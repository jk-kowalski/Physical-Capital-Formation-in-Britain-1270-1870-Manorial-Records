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comments/comment2.xml" ContentType="application/vnd.openxmlformats-officedocument.spreadsheetml.comments+xml"/>
  <Override PartName="/xl/worksheets/sheet10.xml" ContentType="application/vnd.openxmlformats-officedocument.spreadsheetml.worksheet+xml"/>
  <Override PartName="/xl/comments/comment3.xml" ContentType="application/vnd.openxmlformats-officedocument.spreadsheetml.comments+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38520" yWindow="5790" windowWidth="38640" windowHeight="21120" tabRatio="600" firstSheet="0" activeTab="0" autoFilterDateGrouping="1"/>
  </bookViews>
  <sheets>
    <sheet xmlns:r="http://schemas.openxmlformats.org/officeDocument/2006/relationships" name="Highclere Overview - Completed" sheetId="1" state="visible" r:id="rId1"/>
    <sheet xmlns:r="http://schemas.openxmlformats.org/officeDocument/2006/relationships" name="Issues of the Mills" sheetId="2" state="visible" r:id="rId2"/>
    <sheet xmlns:r="http://schemas.openxmlformats.org/officeDocument/2006/relationships" name="raw data" sheetId="3" state="visible" r:id="rId3"/>
    <sheet xmlns:r="http://schemas.openxmlformats.org/officeDocument/2006/relationships" name="Prices" sheetId="4" state="visible" r:id="rId4"/>
    <sheet xmlns:r="http://schemas.openxmlformats.org/officeDocument/2006/relationships" name="Labour Rents" sheetId="5" state="visible" r:id="rId5"/>
    <sheet xmlns:r="http://schemas.openxmlformats.org/officeDocument/2006/relationships" name="Highclere Overview" sheetId="6" state="visible" r:id="rId6"/>
    <sheet xmlns:r="http://schemas.openxmlformats.org/officeDocument/2006/relationships" name="Highclere Receipts" sheetId="7" state="visible" r:id="rId7"/>
    <sheet xmlns:r="http://schemas.openxmlformats.org/officeDocument/2006/relationships" name="Highclere Expenses" sheetId="8" state="visible" r:id="rId8"/>
    <sheet xmlns:r="http://schemas.openxmlformats.org/officeDocument/2006/relationships" name="Issues of the Grange" sheetId="9" state="visible" r:id="rId9"/>
    <sheet xmlns:r="http://schemas.openxmlformats.org/officeDocument/2006/relationships" name="Stock" sheetId="10" state="visible" r:id="rId10"/>
    <sheet xmlns:r="http://schemas.openxmlformats.org/officeDocument/2006/relationships" name="Assumptions" sheetId="11" state="visible" r:id="rId11"/>
  </sheets>
  <definedNames/>
  <calcPr calcId="191029" fullCalcOnLoad="1"/>
</workbook>
</file>

<file path=xl/styles.xml><?xml version="1.0" encoding="utf-8"?>
<styleSheet xmlns="http://schemas.openxmlformats.org/spreadsheetml/2006/main">
  <numFmts count="3">
    <numFmt numFmtId="164" formatCode="0.000000"/>
    <numFmt numFmtId="165" formatCode="#,##0.000000"/>
    <numFmt numFmtId="166" formatCode="0.000"/>
  </numFmts>
  <fonts count="32">
    <font>
      <name val="Calibri"/>
      <family val="2"/>
      <color theme="1"/>
      <sz val="11"/>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b val="1"/>
      <sz val="11"/>
    </font>
    <font>
      <name val="Calibri"/>
      <family val="2"/>
      <color rgb="FFFF0000"/>
      <sz val="12"/>
      <scheme val="minor"/>
    </font>
    <font>
      <name val="Calibri"/>
      <family val="2"/>
      <b val="1"/>
      <color theme="1"/>
      <sz val="12"/>
      <scheme val="minor"/>
    </font>
    <font>
      <name val="Calibri (Body)"/>
      <b val="1"/>
      <color theme="1"/>
      <sz val="12"/>
    </font>
    <font>
      <name val="Calibri (Body)"/>
      <b val="1"/>
      <color rgb="FFFF0000"/>
      <sz val="12"/>
    </font>
    <font>
      <name val="Calibri"/>
      <family val="2"/>
      <b val="1"/>
      <sz val="12"/>
    </font>
    <font>
      <name val="Calibri"/>
      <family val="2"/>
      <b val="1"/>
      <color rgb="FF000000"/>
      <sz val="12"/>
      <scheme val="minor"/>
    </font>
    <font>
      <name val="Calibri"/>
      <family val="2"/>
      <i val="1"/>
      <color theme="1"/>
      <sz val="12"/>
      <scheme val="minor"/>
    </font>
    <font>
      <name val="Calibri"/>
      <family val="2"/>
      <b val="1"/>
      <i val="1"/>
      <color theme="1"/>
      <sz val="12"/>
      <scheme val="minor"/>
    </font>
    <font>
      <name val="Calibri"/>
      <family val="2"/>
      <color rgb="FF000000"/>
      <sz val="12"/>
      <scheme val="minor"/>
    </font>
    <font>
      <name val="Calibri"/>
      <family val="2"/>
      <i val="1"/>
      <color rgb="FF000000"/>
      <sz val="12"/>
      <scheme val="minor"/>
    </font>
    <font>
      <name val="Calibri"/>
      <family val="2"/>
      <b val="1"/>
      <i val="1"/>
      <color rgb="FF000000"/>
      <sz val="12"/>
      <scheme val="minor"/>
    </font>
    <font>
      <name val="Calibri (Body)"/>
      <color rgb="FFFF0000"/>
      <sz val="12"/>
    </font>
    <font>
      <name val="Calibri"/>
      <family val="2"/>
      <b val="1"/>
      <color theme="1"/>
      <sz val="11"/>
      <scheme val="minor"/>
    </font>
    <font>
      <name val="Calibri"/>
      <family val="2"/>
      <i val="1"/>
      <color rgb="FFFF0000"/>
      <sz val="12"/>
      <scheme val="minor"/>
    </font>
    <font>
      <name val="Tahoma"/>
      <family val="2"/>
      <b val="1"/>
      <color rgb="FF000000"/>
      <sz val="10"/>
    </font>
    <font>
      <name val="Tahoma"/>
      <family val="2"/>
      <color rgb="FF000000"/>
      <sz val="10"/>
    </font>
    <font>
      <name val="Calibri"/>
      <family val="2"/>
      <i val="1"/>
      <color theme="1"/>
      <sz val="11"/>
      <scheme val="minor"/>
    </font>
    <font>
      <name val="Calibri"/>
      <family val="2"/>
      <i val="1"/>
      <color rgb="FFFF0000"/>
      <sz val="11"/>
      <scheme val="minor"/>
    </font>
    <font>
      <name val="Calibri"/>
      <family val="2"/>
      <sz val="12"/>
      <scheme val="minor"/>
    </font>
    <font>
      <name val="Calibri"/>
      <family val="2"/>
      <b val="1"/>
      <color rgb="FFFF0000"/>
      <sz val="12"/>
      <scheme val="minor"/>
    </font>
    <font>
      <name val="Calibri"/>
      <family val="2"/>
      <b val="1"/>
      <color rgb="FF000000"/>
      <sz val="14"/>
      <scheme val="minor"/>
    </font>
    <font>
      <name val="Calibri"/>
      <family val="2"/>
      <color rgb="FF000000"/>
      <sz val="14"/>
      <scheme val="minor"/>
    </font>
    <font>
      <name val="Calibri"/>
      <family val="2"/>
      <b val="1"/>
      <color rgb="FFFF0000"/>
      <sz val="14"/>
      <scheme val="minor"/>
    </font>
    <font>
      <name val="Calibri"/>
      <family val="2"/>
      <b val="1"/>
      <color theme="1"/>
      <sz val="14"/>
      <scheme val="minor"/>
    </font>
  </fonts>
  <fills count="11">
    <fill>
      <patternFill/>
    </fill>
    <fill>
      <patternFill patternType="gray125"/>
    </fill>
    <fill>
      <patternFill patternType="solid">
        <fgColor rgb="FFF2F2F2"/>
        <bgColor rgb="FF000000"/>
      </patternFill>
    </fill>
    <fill>
      <patternFill patternType="solid">
        <fgColor theme="7" tint="0.7999816888943144"/>
        <bgColor indexed="64"/>
      </patternFill>
    </fill>
    <fill>
      <patternFill patternType="solid">
        <fgColor theme="7" tint="0.7999816888943144"/>
        <bgColor rgb="FF000000"/>
      </patternFill>
    </fill>
    <fill>
      <patternFill patternType="solid">
        <fgColor theme="0" tint="-0.0499893185216834"/>
        <bgColor indexed="64"/>
      </patternFill>
    </fill>
    <fill>
      <patternFill patternType="solid">
        <fgColor theme="6" tint="0.7999816888943144"/>
        <bgColor indexed="64"/>
      </patternFill>
    </fill>
    <fill>
      <patternFill patternType="solid">
        <fgColor theme="5" tint="0.7999816888943144"/>
        <bgColor indexed="64"/>
      </patternFill>
    </fill>
    <fill>
      <patternFill patternType="solid">
        <fgColor theme="9" tint="0.7999816888943144"/>
        <bgColor indexed="64"/>
      </patternFill>
    </fill>
    <fill>
      <patternFill patternType="solid">
        <fgColor rgb="FFFFFF00"/>
        <bgColor indexed="64"/>
      </patternFill>
    </fill>
    <fill>
      <patternFill patternType="solid">
        <fgColor theme="0" tint="-0.0499893185216834"/>
        <bgColor rgb="FF000000"/>
      </patternFill>
    </fill>
  </fills>
  <borders count="18">
    <border>
      <left/>
      <right/>
      <top/>
      <bottom/>
      <diagonal/>
    </border>
    <border>
      <left style="thin">
        <color auto="1"/>
      </left>
      <right style="thin">
        <color auto="1"/>
      </right>
      <top style="thin">
        <color auto="1"/>
      </top>
      <bottom style="thin">
        <color auto="1"/>
      </bottom>
      <diagonal/>
    </border>
    <border>
      <left/>
      <right/>
      <top/>
      <bottom style="thin">
        <color rgb="FFA6A6A6"/>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right/>
      <top/>
      <bottom style="thin">
        <color theme="0" tint="-0.3499862666707358"/>
      </bottom>
      <diagonal/>
    </border>
    <border>
      <left style="thin">
        <color indexed="64"/>
      </left>
      <right/>
      <top/>
      <bottom/>
      <diagonal/>
    </border>
    <border>
      <left/>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indexed="64"/>
      </right>
      <top style="thin">
        <color indexed="64"/>
      </top>
      <bottom/>
      <diagonal/>
    </border>
  </borders>
  <cellStyleXfs count="1">
    <xf numFmtId="0" fontId="0" fillId="0" borderId="0"/>
  </cellStyleXfs>
  <cellXfs count="201">
    <xf numFmtId="0" fontId="0" fillId="0" borderId="0" pivotButton="0" quotePrefix="0" xfId="0"/>
    <xf numFmtId="0" fontId="7" fillId="0" borderId="1" applyAlignment="1" pivotButton="0" quotePrefix="0" xfId="0">
      <alignment horizontal="center" vertical="top"/>
    </xf>
    <xf numFmtId="0" fontId="10" fillId="0" borderId="0" pivotButton="0" quotePrefix="0" xfId="0"/>
    <xf numFmtId="4" fontId="10" fillId="0" borderId="0" applyAlignment="1" pivotButton="0" quotePrefix="0" xfId="0">
      <alignment horizontal="right"/>
    </xf>
    <xf numFmtId="0" fontId="10" fillId="0" borderId="0" applyAlignment="1" pivotButton="0" quotePrefix="0" xfId="0">
      <alignment horizontal="right"/>
    </xf>
    <xf numFmtId="4" fontId="9" fillId="0" borderId="0" applyAlignment="1" pivotButton="0" quotePrefix="0" xfId="0">
      <alignment horizontal="center"/>
    </xf>
    <xf numFmtId="0" fontId="11" fillId="0" borderId="0" applyAlignment="1" pivotButton="0" quotePrefix="0" xfId="0">
      <alignment horizontal="center" vertical="top"/>
    </xf>
    <xf numFmtId="0" fontId="12" fillId="0" borderId="0" applyAlignment="1" pivotButton="0" quotePrefix="0" xfId="0">
      <alignment horizontal="left" vertical="top"/>
    </xf>
    <xf numFmtId="0" fontId="13" fillId="0" borderId="0" pivotButton="0" quotePrefix="0" xfId="0"/>
    <xf numFmtId="0" fontId="6" fillId="0" borderId="0" pivotButton="0" quotePrefix="0" xfId="0"/>
    <xf numFmtId="0" fontId="8" fillId="0" borderId="0" pivotButton="0" quotePrefix="0" xfId="0"/>
    <xf numFmtId="0" fontId="12" fillId="0" borderId="0" applyAlignment="1" pivotButton="0" quotePrefix="0" xfId="0">
      <alignment horizontal="center" vertical="top"/>
    </xf>
    <xf numFmtId="0" fontId="9" fillId="0" borderId="0" pivotButton="0" quotePrefix="0" xfId="0"/>
    <xf numFmtId="0" fontId="14" fillId="0" borderId="0" pivotButton="0" quotePrefix="0" xfId="0"/>
    <xf numFmtId="0" fontId="15" fillId="0" borderId="0" pivotButton="0" quotePrefix="0" xfId="0"/>
    <xf numFmtId="0" fontId="16" fillId="0" borderId="0" pivotButton="0" quotePrefix="0" xfId="0"/>
    <xf numFmtId="0" fontId="13" fillId="2" borderId="0" pivotButton="0" quotePrefix="0" xfId="0"/>
    <xf numFmtId="0" fontId="17" fillId="2" borderId="0" pivotButton="0" quotePrefix="0" xfId="0"/>
    <xf numFmtId="0" fontId="16" fillId="3" borderId="0" pivotButton="0" quotePrefix="0" xfId="0"/>
    <xf numFmtId="0" fontId="17" fillId="3" borderId="0" pivotButton="0" quotePrefix="0" xfId="0"/>
    <xf numFmtId="0" fontId="17" fillId="4" borderId="0" pivotButton="0" quotePrefix="0" xfId="0"/>
    <xf numFmtId="0" fontId="13" fillId="5" borderId="0" pivotButton="0" quotePrefix="0" xfId="0"/>
    <xf numFmtId="0" fontId="16" fillId="0" borderId="0" applyAlignment="1" pivotButton="0" quotePrefix="0" xfId="0">
      <alignment wrapText="1"/>
    </xf>
    <xf numFmtId="0" fontId="16" fillId="0" borderId="2" pivotButton="0" quotePrefix="0" xfId="0"/>
    <xf numFmtId="0" fontId="16" fillId="0" borderId="0" applyAlignment="1" pivotButton="0" quotePrefix="0" xfId="0">
      <alignment horizontal="right"/>
    </xf>
    <xf numFmtId="0" fontId="16" fillId="0" borderId="2" applyAlignment="1" pivotButton="0" quotePrefix="0" xfId="0">
      <alignment horizontal="left"/>
    </xf>
    <xf numFmtId="2" fontId="6" fillId="0" borderId="0" pivotButton="0" quotePrefix="0" xfId="0"/>
    <xf numFmtId="0" fontId="0" fillId="0" borderId="0" applyAlignment="1" pivotButton="0" quotePrefix="0" xfId="0">
      <alignment horizontal="right" wrapText="1"/>
    </xf>
    <xf numFmtId="0" fontId="0" fillId="0" borderId="0" applyAlignment="1" pivotButton="0" quotePrefix="0" xfId="0">
      <alignment horizontal="right"/>
    </xf>
    <xf numFmtId="0" fontId="9" fillId="0" borderId="0" applyAlignment="1" pivotButton="0" quotePrefix="0" xfId="0">
      <alignment horizontal="right" wrapText="1"/>
    </xf>
    <xf numFmtId="0" fontId="12" fillId="0" borderId="0" applyAlignment="1" pivotButton="0" quotePrefix="0" xfId="0">
      <alignment horizontal="center" vertical="center"/>
    </xf>
    <xf numFmtId="0" fontId="15" fillId="0" borderId="0" applyAlignment="1" pivotButton="0" quotePrefix="0" xfId="0">
      <alignment horizontal="center" vertical="center"/>
    </xf>
    <xf numFmtId="0" fontId="6" fillId="0" borderId="0" applyAlignment="1" pivotButton="0" quotePrefix="0" xfId="0">
      <alignment horizontal="center" vertical="center"/>
    </xf>
    <xf numFmtId="4" fontId="10" fillId="0" borderId="0" applyAlignment="1" pivotButton="0" quotePrefix="0" xfId="0">
      <alignment horizontal="center" vertical="center"/>
    </xf>
    <xf numFmtId="0" fontId="10" fillId="0" borderId="0" applyAlignment="1" pivotButton="0" quotePrefix="0" xfId="0">
      <alignment horizontal="center" vertical="center"/>
    </xf>
    <xf numFmtId="2" fontId="9" fillId="0" borderId="0" applyAlignment="1" pivotButton="0" quotePrefix="0" xfId="0">
      <alignment horizontal="center" vertical="center"/>
    </xf>
    <xf numFmtId="0" fontId="5" fillId="0" borderId="0" pivotButton="0" quotePrefix="0" xfId="0"/>
    <xf numFmtId="0" fontId="7" fillId="0" borderId="0" applyAlignment="1" pivotButton="0" quotePrefix="0" xfId="0">
      <alignment horizontal="center" vertical="top"/>
    </xf>
    <xf numFmtId="0" fontId="20" fillId="0" borderId="0" pivotButton="0" quotePrefix="0" xfId="0"/>
    <xf numFmtId="0" fontId="0" fillId="6" borderId="0" pivotButton="0" quotePrefix="0" xfId="0"/>
    <xf numFmtId="0" fontId="21" fillId="0" borderId="0" pivotButton="0" quotePrefix="0" xfId="0"/>
    <xf numFmtId="0" fontId="0" fillId="0" borderId="0" applyAlignment="1" pivotButton="0" quotePrefix="0" xfId="0">
      <alignment horizontal="center"/>
    </xf>
    <xf numFmtId="0" fontId="0" fillId="8" borderId="0" pivotButton="0" quotePrefix="0" xfId="0"/>
    <xf numFmtId="0" fontId="0" fillId="0" borderId="0" applyAlignment="1" pivotButton="0" quotePrefix="0" xfId="0">
      <alignment horizontal="left"/>
    </xf>
    <xf numFmtId="0" fontId="0" fillId="0" borderId="0" applyAlignment="1" pivotButton="0" quotePrefix="0" xfId="0">
      <alignment wrapText="1"/>
    </xf>
    <xf numFmtId="4" fontId="0" fillId="0" borderId="0" applyAlignment="1" pivotButton="0" quotePrefix="0" xfId="0">
      <alignment horizontal="right" wrapText="1"/>
    </xf>
    <xf numFmtId="0" fontId="0" fillId="0" borderId="3" applyAlignment="1" pivotButton="0" quotePrefix="0" xfId="0">
      <alignment horizontal="right"/>
    </xf>
    <xf numFmtId="0" fontId="0" fillId="0" borderId="4" applyAlignment="1" pivotButton="0" quotePrefix="0" xfId="0">
      <alignment horizontal="right"/>
    </xf>
    <xf numFmtId="0" fontId="0" fillId="0" borderId="5" applyAlignment="1" pivotButton="0" quotePrefix="0" xfId="0">
      <alignment horizontal="right"/>
    </xf>
    <xf numFmtId="0" fontId="0" fillId="0" borderId="4" applyAlignment="1" pivotButton="0" quotePrefix="0" xfId="0">
      <alignment horizontal="center"/>
    </xf>
    <xf numFmtId="2" fontId="19" fillId="0" borderId="0" pivotButton="0" quotePrefix="0" xfId="0"/>
    <xf numFmtId="2" fontId="11" fillId="0" borderId="0" applyAlignment="1" pivotButton="0" quotePrefix="0" xfId="0">
      <alignment horizontal="center" vertical="center"/>
    </xf>
    <xf numFmtId="2" fontId="9" fillId="0" borderId="0" applyAlignment="1" pivotButton="0" quotePrefix="0" xfId="0">
      <alignment horizontal="center" vertical="center" wrapText="1"/>
    </xf>
    <xf numFmtId="0" fontId="9" fillId="5" borderId="0" pivotButton="0" quotePrefix="0" xfId="0"/>
    <xf numFmtId="0" fontId="6" fillId="5" borderId="0" pivotButton="0" quotePrefix="0" xfId="0"/>
    <xf numFmtId="2" fontId="6" fillId="5" borderId="0" pivotButton="0" quotePrefix="0" xfId="0"/>
    <xf numFmtId="2" fontId="19" fillId="5" borderId="0" pivotButton="0" quotePrefix="0" xfId="0"/>
    <xf numFmtId="0" fontId="14" fillId="5" borderId="0" pivotButton="0" quotePrefix="0" xfId="0"/>
    <xf numFmtId="0" fontId="21" fillId="5" borderId="0" pivotButton="0" quotePrefix="0" xfId="0"/>
    <xf numFmtId="0" fontId="24" fillId="0" borderId="0" pivotButton="0" quotePrefix="0" xfId="0"/>
    <xf numFmtId="0" fontId="0" fillId="0" borderId="4" pivotButton="0" quotePrefix="0" xfId="0"/>
    <xf numFmtId="0" fontId="25" fillId="0" borderId="0" pivotButton="0" quotePrefix="0" xfId="0"/>
    <xf numFmtId="164" fontId="26" fillId="0" borderId="0" applyAlignment="1" pivotButton="0" quotePrefix="0" xfId="0">
      <alignment horizontal="right"/>
    </xf>
    <xf numFmtId="164" fontId="0" fillId="0" borderId="0" applyAlignment="1" pivotButton="0" quotePrefix="0" xfId="0">
      <alignment horizontal="right"/>
    </xf>
    <xf numFmtId="165" fontId="0" fillId="0" borderId="0" pivotButton="0" quotePrefix="0" xfId="0"/>
    <xf numFmtId="164" fontId="0" fillId="0" borderId="0" pivotButton="0" quotePrefix="0" xfId="0"/>
    <xf numFmtId="0" fontId="9" fillId="0" borderId="0" applyAlignment="1" pivotButton="0" quotePrefix="0" xfId="0">
      <alignment wrapText="1"/>
    </xf>
    <xf numFmtId="0" fontId="14" fillId="6" borderId="0" pivotButton="0" quotePrefix="0" xfId="0"/>
    <xf numFmtId="0" fontId="0" fillId="0" borderId="6" pivotButton="0" quotePrefix="0" xfId="0"/>
    <xf numFmtId="0" fontId="0" fillId="0" borderId="6" applyAlignment="1" pivotButton="0" quotePrefix="0" xfId="0">
      <alignment horizontal="left"/>
    </xf>
    <xf numFmtId="0" fontId="0" fillId="5" borderId="0" pivotButton="0" quotePrefix="0" xfId="0"/>
    <xf numFmtId="0" fontId="0" fillId="9" borderId="0" pivotButton="0" quotePrefix="0" xfId="0"/>
    <xf numFmtId="2" fontId="0" fillId="0" borderId="0" pivotButton="0" quotePrefix="0" xfId="0"/>
    <xf numFmtId="2" fontId="0" fillId="0" borderId="0" applyAlignment="1" pivotButton="0" quotePrefix="0" xfId="0">
      <alignment wrapText="1"/>
    </xf>
    <xf numFmtId="2" fontId="9" fillId="0" borderId="0" applyAlignment="1" pivotButton="0" quotePrefix="0" xfId="0">
      <alignment wrapText="1"/>
    </xf>
    <xf numFmtId="4" fontId="0" fillId="0" borderId="0" applyAlignment="1" pivotButton="0" quotePrefix="0" xfId="0">
      <alignment horizontal="right"/>
    </xf>
    <xf numFmtId="0" fontId="4" fillId="0" borderId="0" pivotButton="0" quotePrefix="0" xfId="0"/>
    <xf numFmtId="2" fontId="13" fillId="0" borderId="0" applyAlignment="1" pivotButton="0" quotePrefix="0" xfId="0">
      <alignment horizontal="right"/>
    </xf>
    <xf numFmtId="2" fontId="27" fillId="0" borderId="0" applyAlignment="1" pivotButton="0" quotePrefix="0" xfId="0">
      <alignment horizontal="right"/>
    </xf>
    <xf numFmtId="0" fontId="4" fillId="0" borderId="8" pivotButton="0" quotePrefix="0" xfId="0"/>
    <xf numFmtId="0" fontId="8" fillId="0" borderId="8" pivotButton="0" quotePrefix="0" xfId="0"/>
    <xf numFmtId="0" fontId="15" fillId="5" borderId="8" pivotButton="0" quotePrefix="0" xfId="0"/>
    <xf numFmtId="0" fontId="15" fillId="5" borderId="0" pivotButton="0" quotePrefix="0" xfId="0"/>
    <xf numFmtId="0" fontId="18" fillId="2" borderId="0" pivotButton="0" quotePrefix="0" xfId="0"/>
    <xf numFmtId="2" fontId="4" fillId="0" borderId="0" pivotButton="0" quotePrefix="0" xfId="0"/>
    <xf numFmtId="0" fontId="16" fillId="0" borderId="4" pivotButton="0" quotePrefix="0" xfId="0"/>
    <xf numFmtId="2" fontId="4" fillId="0" borderId="4" pivotButton="0" quotePrefix="0" xfId="0"/>
    <xf numFmtId="0" fontId="8" fillId="0" borderId="4" pivotButton="0" quotePrefix="0" xfId="0"/>
    <xf numFmtId="0" fontId="4" fillId="0" borderId="4" pivotButton="0" quotePrefix="0" xfId="0"/>
    <xf numFmtId="4" fontId="9" fillId="0" borderId="0" applyAlignment="1" pivotButton="0" quotePrefix="0" xfId="0">
      <alignment horizontal="right"/>
    </xf>
    <xf numFmtId="0" fontId="9" fillId="0" borderId="0" applyAlignment="1" pivotButton="0" quotePrefix="0" xfId="0">
      <alignment horizontal="right"/>
    </xf>
    <xf numFmtId="2" fontId="13" fillId="5" borderId="0" applyAlignment="1" pivotButton="0" quotePrefix="0" xfId="0">
      <alignment horizontal="right"/>
    </xf>
    <xf numFmtId="0" fontId="13" fillId="10" borderId="0" pivotButton="0" quotePrefix="0" xfId="0"/>
    <xf numFmtId="0" fontId="4" fillId="5" borderId="0" pivotButton="0" quotePrefix="0" xfId="0"/>
    <xf numFmtId="0" fontId="8" fillId="5" borderId="0" pivotButton="0" quotePrefix="0" xfId="0"/>
    <xf numFmtId="0" fontId="9" fillId="5" borderId="0" applyAlignment="1" pivotButton="0" quotePrefix="0" xfId="0">
      <alignment horizontal="right"/>
    </xf>
    <xf numFmtId="0" fontId="3" fillId="0" borderId="0" pivotButton="0" quotePrefix="0" xfId="0"/>
    <xf numFmtId="0" fontId="17" fillId="2" borderId="9" pivotButton="0" quotePrefix="0" xfId="0"/>
    <xf numFmtId="0" fontId="17" fillId="4" borderId="9" pivotButton="0" quotePrefix="0" xfId="0"/>
    <xf numFmtId="0" fontId="16" fillId="0" borderId="9" pivotButton="0" quotePrefix="0" xfId="0"/>
    <xf numFmtId="10" fontId="17" fillId="2" borderId="9" pivotButton="0" quotePrefix="0" xfId="0"/>
    <xf numFmtId="10" fontId="17" fillId="4" borderId="11" pivotButton="0" quotePrefix="0" xfId="0"/>
    <xf numFmtId="0" fontId="8" fillId="0" borderId="12" pivotButton="0" quotePrefix="0" xfId="0"/>
    <xf numFmtId="0" fontId="16" fillId="5" borderId="14" pivotButton="0" quotePrefix="0" xfId="0"/>
    <xf numFmtId="2" fontId="13" fillId="5" borderId="15" applyAlignment="1" pivotButton="0" quotePrefix="0" xfId="0">
      <alignment horizontal="right"/>
    </xf>
    <xf numFmtId="0" fontId="8" fillId="5" borderId="15" pivotButton="0" quotePrefix="0" xfId="0"/>
    <xf numFmtId="0" fontId="3" fillId="0" borderId="12" pivotButton="0" quotePrefix="0" xfId="0"/>
    <xf numFmtId="2" fontId="4" fillId="5" borderId="0" pivotButton="0" quotePrefix="0" xfId="0"/>
    <xf numFmtId="0" fontId="2" fillId="5" borderId="15" pivotButton="0" quotePrefix="0" xfId="0"/>
    <xf numFmtId="0" fontId="2" fillId="5" borderId="16" pivotButton="0" quotePrefix="0" xfId="0"/>
    <xf numFmtId="2" fontId="2" fillId="0" borderId="0" pivotButton="0" quotePrefix="0" xfId="0"/>
    <xf numFmtId="0" fontId="2" fillId="0" borderId="0" pivotButton="0" quotePrefix="0" xfId="0"/>
    <xf numFmtId="0" fontId="2" fillId="0" borderId="10" pivotButton="0" quotePrefix="0" xfId="0"/>
    <xf numFmtId="10" fontId="2" fillId="0" borderId="0" pivotButton="0" quotePrefix="0" xfId="0"/>
    <xf numFmtId="0" fontId="2" fillId="0" borderId="12" pivotButton="0" quotePrefix="0" xfId="0"/>
    <xf numFmtId="0" fontId="2" fillId="0" borderId="13" pivotButton="0" quotePrefix="0" xfId="0"/>
    <xf numFmtId="0" fontId="1" fillId="0" borderId="0" pivotButton="0" quotePrefix="0" xfId="0"/>
    <xf numFmtId="2" fontId="9" fillId="5" borderId="0" pivotButton="0" quotePrefix="0" xfId="0"/>
    <xf numFmtId="2" fontId="13" fillId="0" borderId="0" applyAlignment="1" pivotButton="0" quotePrefix="0" xfId="0">
      <alignment horizontal="left" vertical="center" wrapText="1"/>
    </xf>
    <xf numFmtId="0" fontId="17" fillId="10" borderId="0" pivotButton="0" quotePrefix="0" xfId="0"/>
    <xf numFmtId="0" fontId="9" fillId="5" borderId="0" applyAlignment="1" pivotButton="0" quotePrefix="0" xfId="0">
      <alignment horizontal="center"/>
    </xf>
    <xf numFmtId="0" fontId="0" fillId="7" borderId="0" applyAlignment="1" pivotButton="0" quotePrefix="0" xfId="0">
      <alignment horizontal="center"/>
    </xf>
    <xf numFmtId="0" fontId="0" fillId="3" borderId="0" applyAlignment="1" pivotButton="0" quotePrefix="0" xfId="0">
      <alignment horizontal="center"/>
    </xf>
    <xf numFmtId="0" fontId="0" fillId="3" borderId="3" applyAlignment="1" pivotButton="0" quotePrefix="0" xfId="0">
      <alignment horizontal="center"/>
    </xf>
    <xf numFmtId="0" fontId="0" fillId="0" borderId="0" applyAlignment="1" pivotButton="0" quotePrefix="0" xfId="0">
      <alignment horizontal="center"/>
    </xf>
    <xf numFmtId="0" fontId="0" fillId="0" borderId="0" applyAlignment="1" pivotButton="0" quotePrefix="0" xfId="0">
      <alignment horizontal="center" wrapText="1"/>
    </xf>
    <xf numFmtId="0" fontId="0" fillId="0" borderId="7" applyAlignment="1" pivotButton="0" quotePrefix="0" xfId="0">
      <alignment horizontal="center" wrapText="1"/>
    </xf>
    <xf numFmtId="0" fontId="28" fillId="0" borderId="0" pivotButton="0" quotePrefix="0" xfId="0"/>
    <xf numFmtId="4" fontId="28" fillId="0" borderId="0" applyAlignment="1" pivotButton="0" quotePrefix="0" xfId="0">
      <alignment horizontal="right"/>
    </xf>
    <xf numFmtId="0" fontId="28" fillId="0" borderId="0" applyAlignment="1" pivotButton="0" quotePrefix="0" xfId="0">
      <alignment horizontal="right"/>
    </xf>
    <xf numFmtId="0" fontId="29" fillId="0" borderId="0" pivotButton="0" quotePrefix="0" xfId="0"/>
    <xf numFmtId="2" fontId="28" fillId="0" borderId="0" applyAlignment="1" pivotButton="0" quotePrefix="0" xfId="0">
      <alignment horizontal="right"/>
    </xf>
    <xf numFmtId="0" fontId="30" fillId="0" borderId="0" applyAlignment="1" pivotButton="0" quotePrefix="0" xfId="0">
      <alignment horizontal="right"/>
    </xf>
    <xf numFmtId="2" fontId="16" fillId="0" borderId="0" pivotButton="0" quotePrefix="0" xfId="0"/>
    <xf numFmtId="0" fontId="16" fillId="2" borderId="0" pivotButton="0" quotePrefix="0" xfId="0"/>
    <xf numFmtId="2" fontId="16" fillId="10" borderId="0" pivotButton="0" quotePrefix="0" xfId="0"/>
    <xf numFmtId="2" fontId="16" fillId="5" borderId="0" pivotButton="0" quotePrefix="0" xfId="0"/>
    <xf numFmtId="0" fontId="16" fillId="5" borderId="0" pivotButton="0" quotePrefix="0" xfId="0"/>
    <xf numFmtId="2" fontId="17" fillId="2" borderId="0" pivotButton="0" quotePrefix="0" xfId="0"/>
    <xf numFmtId="4" fontId="8" fillId="0" borderId="0" pivotButton="0" quotePrefix="0" xfId="0"/>
    <xf numFmtId="2" fontId="16" fillId="2" borderId="0" pivotButton="0" quotePrefix="0" xfId="0"/>
    <xf numFmtId="2" fontId="6" fillId="3" borderId="0" pivotButton="0" quotePrefix="0" xfId="0"/>
    <xf numFmtId="2" fontId="16" fillId="3" borderId="0" pivotButton="0" quotePrefix="0" xfId="0"/>
    <xf numFmtId="0" fontId="16" fillId="4" borderId="0" pivotButton="0" quotePrefix="0" xfId="0"/>
    <xf numFmtId="2" fontId="16" fillId="4" borderId="0" pivotButton="0" quotePrefix="0" xfId="0"/>
    <xf numFmtId="0" fontId="13" fillId="2" borderId="0" applyAlignment="1" pivotButton="0" quotePrefix="0" xfId="0">
      <alignment horizontal="center"/>
    </xf>
    <xf numFmtId="4" fontId="13" fillId="0" borderId="0" applyAlignment="1" pivotButton="0" quotePrefix="0" xfId="0">
      <alignment horizontal="right"/>
    </xf>
    <xf numFmtId="0" fontId="13" fillId="0" borderId="0" applyAlignment="1" pivotButton="0" quotePrefix="0" xfId="0">
      <alignment horizontal="right"/>
    </xf>
    <xf numFmtId="2" fontId="9" fillId="0" borderId="0" pivotButton="0" quotePrefix="0" xfId="0"/>
    <xf numFmtId="0" fontId="13" fillId="5" borderId="0" applyAlignment="1" pivotButton="0" quotePrefix="0" xfId="0">
      <alignment horizontal="right" wrapText="1"/>
    </xf>
    <xf numFmtId="0" fontId="13" fillId="5" borderId="0" applyAlignment="1" pivotButton="0" quotePrefix="0" xfId="0">
      <alignment horizontal="right"/>
    </xf>
    <xf numFmtId="2" fontId="13" fillId="5" borderId="0" applyAlignment="1" pivotButton="0" quotePrefix="0" xfId="0">
      <alignment wrapText="1"/>
    </xf>
    <xf numFmtId="0" fontId="6" fillId="5" borderId="15" pivotButton="0" quotePrefix="0" xfId="0"/>
    <xf numFmtId="0" fontId="6" fillId="5" borderId="16" pivotButton="0" quotePrefix="0" xfId="0"/>
    <xf numFmtId="0" fontId="6" fillId="0" borderId="10" pivotButton="0" quotePrefix="0" xfId="0"/>
    <xf numFmtId="2" fontId="8" fillId="0" borderId="0" pivotButton="0" quotePrefix="0" xfId="0"/>
    <xf numFmtId="9" fontId="16" fillId="0" borderId="0" pivotButton="0" quotePrefix="0" xfId="0"/>
    <xf numFmtId="10" fontId="6" fillId="0" borderId="0" pivotButton="0" quotePrefix="0" xfId="0"/>
    <xf numFmtId="10" fontId="6" fillId="0" borderId="12" pivotButton="0" quotePrefix="0" xfId="0"/>
    <xf numFmtId="0" fontId="6" fillId="0" borderId="12" pivotButton="0" quotePrefix="0" xfId="0"/>
    <xf numFmtId="0" fontId="6" fillId="0" borderId="13" pivotButton="0" quotePrefix="0" xfId="0"/>
    <xf numFmtId="0" fontId="31" fillId="0" borderId="0" pivotButton="0" quotePrefix="0" xfId="0"/>
    <xf numFmtId="4" fontId="6" fillId="0" borderId="0" pivotButton="0" quotePrefix="0" xfId="0"/>
    <xf numFmtId="0" fontId="27" fillId="0" borderId="0" pivotButton="0" quotePrefix="0" xfId="0"/>
    <xf numFmtId="4" fontId="9" fillId="0" borderId="0" pivotButton="0" quotePrefix="0" xfId="0"/>
    <xf numFmtId="20" fontId="6" fillId="0" borderId="0" pivotButton="0" quotePrefix="0" xfId="0"/>
    <xf numFmtId="166" fontId="16" fillId="0" borderId="0" pivotButton="0" quotePrefix="0" xfId="0"/>
    <xf numFmtId="166" fontId="13" fillId="0" borderId="0" applyAlignment="1" pivotButton="0" quotePrefix="0" xfId="0">
      <alignment horizontal="center"/>
    </xf>
    <xf numFmtId="0" fontId="6" fillId="0" borderId="0" applyAlignment="1" pivotButton="0" quotePrefix="0" xfId="0">
      <alignment horizontal="right"/>
    </xf>
    <xf numFmtId="0" fontId="6" fillId="0" borderId="0" applyAlignment="1" pivotButton="0" quotePrefix="0" xfId="0">
      <alignment horizontal="center"/>
    </xf>
    <xf numFmtId="0" fontId="6" fillId="7" borderId="0" pivotButton="0" quotePrefix="0" xfId="0"/>
    <xf numFmtId="0" fontId="6" fillId="3" borderId="0" pivotButton="0" quotePrefix="0" xfId="0"/>
    <xf numFmtId="0" fontId="6" fillId="3" borderId="3" pivotButton="0" quotePrefix="0" xfId="0"/>
    <xf numFmtId="0" fontId="6" fillId="8" borderId="0" pivotButton="0" quotePrefix="0" xfId="0"/>
    <xf numFmtId="0" fontId="6" fillId="0" borderId="3" applyAlignment="1" pivotButton="0" quotePrefix="0" xfId="0">
      <alignment horizontal="right"/>
    </xf>
    <xf numFmtId="0" fontId="6" fillId="0" borderId="4" applyAlignment="1" pivotButton="0" quotePrefix="0" xfId="0">
      <alignment horizontal="right"/>
    </xf>
    <xf numFmtId="0" fontId="6" fillId="0" borderId="5" applyAlignment="1" pivotButton="0" quotePrefix="0" xfId="0">
      <alignment horizontal="right"/>
    </xf>
    <xf numFmtId="0" fontId="6" fillId="0" borderId="4" applyAlignment="1" pivotButton="0" quotePrefix="0" xfId="0">
      <alignment horizontal="center"/>
    </xf>
    <xf numFmtId="0" fontId="6" fillId="0" borderId="4" pivotButton="0" quotePrefix="0" xfId="0"/>
    <xf numFmtId="2" fontId="6" fillId="0" borderId="17" pivotButton="0" quotePrefix="0" xfId="0"/>
    <xf numFmtId="0" fontId="6" fillId="0" borderId="3" pivotButton="0" quotePrefix="0" xfId="0"/>
    <xf numFmtId="2" fontId="6" fillId="0" borderId="3" pivotButton="0" quotePrefix="0" xfId="0"/>
    <xf numFmtId="0" fontId="6" fillId="6" borderId="0" pivotButton="0" quotePrefix="0" xfId="0"/>
    <xf numFmtId="0" fontId="6" fillId="0" borderId="0" applyAlignment="1" pivotButton="0" quotePrefix="0" xfId="0">
      <alignment horizontal="right" wrapText="1"/>
    </xf>
    <xf numFmtId="0" fontId="6" fillId="0" borderId="0" applyAlignment="1" pivotButton="0" quotePrefix="0" xfId="0">
      <alignment horizontal="center" wrapText="1"/>
    </xf>
    <xf numFmtId="0" fontId="6" fillId="0" borderId="3" applyAlignment="1" pivotButton="0" quotePrefix="0" xfId="0">
      <alignment horizontal="center" wrapText="1"/>
    </xf>
    <xf numFmtId="4" fontId="6" fillId="0" borderId="0" applyAlignment="1" pivotButton="0" quotePrefix="0" xfId="0">
      <alignment horizontal="right" wrapText="1"/>
    </xf>
    <xf numFmtId="4" fontId="6" fillId="0" borderId="0" applyAlignment="1" pivotButton="0" quotePrefix="0" xfId="0">
      <alignment horizontal="right"/>
    </xf>
    <xf numFmtId="166" fontId="6" fillId="0" borderId="0" pivotButton="0" quotePrefix="0" xfId="0"/>
    <xf numFmtId="0" fontId="13" fillId="0" borderId="0" applyAlignment="1" pivotButton="0" quotePrefix="0" xfId="0">
      <alignment wrapText="1"/>
    </xf>
    <xf numFmtId="0" fontId="13" fillId="0" borderId="0" applyAlignment="1" pivotButton="0" quotePrefix="0" xfId="0">
      <alignment horizontal="right" wrapText="1"/>
    </xf>
    <xf numFmtId="2" fontId="13" fillId="0" borderId="0" applyAlignment="1" pivotButton="0" quotePrefix="0" xfId="0">
      <alignment horizontal="right" wrapText="1"/>
    </xf>
    <xf numFmtId="2" fontId="13" fillId="0" borderId="0" applyAlignment="1" pivotButton="0" quotePrefix="0" xfId="0">
      <alignment wrapText="1"/>
    </xf>
    <xf numFmtId="2" fontId="16" fillId="0" borderId="0" applyAlignment="1" pivotButton="0" quotePrefix="0" xfId="0">
      <alignment horizontal="right" wrapText="1"/>
    </xf>
    <xf numFmtId="0" fontId="16" fillId="0" borderId="0" applyAlignment="1" pivotButton="0" quotePrefix="0" xfId="0">
      <alignment horizontal="right" wrapText="1"/>
    </xf>
    <xf numFmtId="0" fontId="16" fillId="8" borderId="0" pivotButton="0" quotePrefix="0" xfId="0"/>
    <xf numFmtId="0" fontId="13" fillId="8" borderId="0" applyAlignment="1" pivotButton="0" quotePrefix="0" xfId="0">
      <alignment horizontal="right" wrapText="1"/>
    </xf>
    <xf numFmtId="2" fontId="16" fillId="8" borderId="0" pivotButton="0" quotePrefix="0" xfId="0"/>
    <xf numFmtId="0" fontId="17" fillId="0" borderId="0" pivotButton="0" quotePrefix="0" xfId="0"/>
    <xf numFmtId="4" fontId="16" fillId="0" borderId="0" pivotButton="0" quotePrefix="0" xfId="0"/>
    <xf numFmtId="2" fontId="6" fillId="8"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comments/comment1.xml><?xml version="1.0" encoding="utf-8"?>
<comments xmlns="http://schemas.openxmlformats.org/spreadsheetml/2006/main">
  <authors>
    <author>Victoria Gierok</author>
  </authors>
  <commentList>
    <comment ref="F86" authorId="0" shapeId="0">
      <text>
        <t>Victoria Gierok:
valued at sales prices where available</t>
      </text>
    </comment>
    <comment ref="F117" authorId="0" shapeId="0">
      <text>
        <t>Victoria Gierok:
valued at sales prices where available</t>
      </text>
    </comment>
    <comment ref="F126" authorId="0" shapeId="0">
      <text>
        <t>Victoria Gierok:
valued at sales prices where available</t>
      </text>
    </comment>
    <comment ref="F150" authorId="0" shapeId="0">
      <text>
        <t>Victoria Gierok:
valued at sales prices where available</t>
      </text>
    </comment>
    <comment ref="F158" authorId="0" shapeId="0">
      <text>
        <t>Victoria Gierok:
valued at sales prices where available</t>
      </text>
    </comment>
    <comment ref="F165" authorId="0" shapeId="0">
      <text>
        <t>Victoria Gierok:
valued at sales prices where available</t>
      </text>
    </comment>
  </commentList>
</comments>
</file>

<file path=xl/comments/comment2.xml><?xml version="1.0" encoding="utf-8"?>
<comments xmlns="http://schemas.openxmlformats.org/spreadsheetml/2006/main">
  <authors>
    <author>Victoria Gierok</author>
  </authors>
  <commentList>
    <comment ref="E6" authorId="0" shapeId="0">
      <text>
        <t xml:space="preserve">Victoria Gierok:
the 4 bus are from labour services?
</t>
      </text>
    </comment>
    <comment ref="C17" authorId="0" shapeId="0">
      <text>
        <t xml:space="preserve">Victoria Gierok:
from Issue of the grange </t>
      </text>
    </comment>
  </commentList>
</comments>
</file>

<file path=xl/comments/comment3.xml><?xml version="1.0" encoding="utf-8"?>
<comments xmlns="http://schemas.openxmlformats.org/spreadsheetml/2006/main">
  <authors>
    <author>Victoria Gierok</author>
  </authors>
  <commentList>
    <comment ref="D83" authorId="0" shapeId="0">
      <text>
        <t xml:space="preserve">Victoria Gierok:
in cloves
</t>
      </text>
    </comment>
    <comment ref="D89" authorId="0" shapeId="0">
      <text>
        <t xml:space="preserve">Victoria Gierok:
in cloves
</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9.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10.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sheet1.xml><?xml version="1.0" encoding="utf-8"?>
<worksheet xmlns="http://schemas.openxmlformats.org/spreadsheetml/2006/main">
  <sheetPr>
    <outlinePr summaryBelow="1" summaryRight="1"/>
    <pageSetUpPr/>
  </sheetPr>
  <dimension ref="A1:G183"/>
  <sheetViews>
    <sheetView topLeftCell="A1" workbookViewId="0">
      <selection activeCell="A1" sqref="A1"/>
    </sheetView>
  </sheetViews>
  <sheetFormatPr baseColWidth="8" defaultColWidth="10.81640625" defaultRowHeight="15.5"/>
  <cols>
    <col width="80" bestFit="1" customWidth="1" style="76" min="1" max="1"/>
    <col width="10.81640625" customWidth="1" style="76" min="2" max="2"/>
    <col width="10.81640625" customWidth="1" style="10" min="3" max="3"/>
    <col width="30.81640625" bestFit="1" customWidth="1" style="76" min="4" max="4"/>
    <col width="29.36328125" bestFit="1" customWidth="1" style="76" min="5" max="5"/>
    <col width="35.453125" bestFit="1" customWidth="1" style="76" min="6" max="6"/>
    <col width="21.1796875" customWidth="1" style="76" min="7" max="7"/>
    <col width="10.81640625" customWidth="1" style="76" min="8" max="16384"/>
  </cols>
  <sheetData>
    <row r="1">
      <c r="A1" s="8" t="inlineStr">
        <is>
          <t>HIGHCLERE OVERVIEW - COMPLETED</t>
        </is>
      </c>
      <c r="B1" s="77" t="inlineStr">
        <is>
          <t>Total in £</t>
        </is>
      </c>
      <c r="C1" s="78" t="inlineStr">
        <is>
          <t>Error</t>
        </is>
      </c>
      <c r="D1" s="12" t="inlineStr">
        <is>
          <t>Note</t>
        </is>
      </c>
      <c r="E1" s="12" t="n"/>
    </row>
    <row r="2">
      <c r="A2" s="8" t="inlineStr">
        <is>
          <t>CASH ACCOUNT</t>
        </is>
      </c>
    </row>
    <row r="3">
      <c r="A3" s="16" t="inlineStr">
        <is>
          <t>RECEIPTS</t>
        </is>
      </c>
    </row>
    <row r="4">
      <c r="A4" s="15" t="inlineStr">
        <is>
          <t>Arrears total</t>
        </is>
      </c>
      <c r="B4" s="76" t="n">
        <v>1.4</v>
      </c>
      <c r="D4" s="13" t="n"/>
      <c r="E4" s="13" t="n"/>
    </row>
    <row r="5">
      <c r="A5" s="15" t="inlineStr">
        <is>
          <t>Rents of assize total</t>
        </is>
      </c>
      <c r="B5" s="76" t="n">
        <v>22.40625</v>
      </c>
    </row>
    <row r="6">
      <c r="A6" s="15" t="inlineStr">
        <is>
          <t>Quittances total</t>
        </is>
      </c>
      <c r="B6" s="76" t="n">
        <v>1.041666666666667</v>
      </c>
    </row>
    <row r="7">
      <c r="A7" s="15" t="inlineStr">
        <is>
          <t>Defaults of rent total</t>
        </is>
      </c>
      <c r="B7" s="76" t="n">
        <v>2.0375</v>
      </c>
    </row>
    <row r="8">
      <c r="A8" s="76" t="inlineStr">
        <is>
          <t>Defaults of rent through the pestilence total</t>
        </is>
      </c>
      <c r="B8" s="76" t="n"/>
    </row>
    <row r="9">
      <c r="A9" s="76" t="inlineStr">
        <is>
          <t>Cotlands defaults total</t>
        </is>
      </c>
      <c r="B9" s="76" t="n"/>
    </row>
    <row r="10">
      <c r="A10" s="76" t="inlineStr">
        <is>
          <t>Cotlands total</t>
        </is>
      </c>
      <c r="B10" s="76" t="n"/>
    </row>
    <row r="11">
      <c r="A11" s="76" t="inlineStr">
        <is>
          <t>Total of quittances and defaults of rent total</t>
        </is>
      </c>
      <c r="B11" s="76" t="n"/>
    </row>
    <row r="12">
      <c r="A12" s="76" t="inlineStr">
        <is>
          <t>Total of rents remaining clear total</t>
        </is>
      </c>
      <c r="B12" s="76" t="n"/>
    </row>
    <row r="13">
      <c r="A13" s="76" t="inlineStr">
        <is>
          <t>Farms total</t>
        </is>
      </c>
      <c r="B13" s="76" t="n"/>
    </row>
    <row r="14">
      <c r="A14" s="15" t="inlineStr">
        <is>
          <t>Annual recognizances total</t>
        </is>
      </c>
      <c r="B14" s="76" t="n">
        <v>0.05</v>
      </c>
    </row>
    <row r="15">
      <c r="A15" s="15" t="inlineStr">
        <is>
          <t>Issues of the Manor total</t>
        </is>
      </c>
      <c r="B15" s="76" t="n">
        <v>26.47708333333333</v>
      </c>
    </row>
    <row r="16">
      <c r="A16" s="76" t="inlineStr">
        <is>
          <t>Issues of the tenements in the lord's hands total</t>
        </is>
      </c>
      <c r="B16" s="76" t="n"/>
    </row>
    <row r="17">
      <c r="A17" s="76" t="inlineStr">
        <is>
          <t>Sale of labour services total</t>
        </is>
      </c>
      <c r="B17" s="76" t="n"/>
    </row>
    <row r="18">
      <c r="A18" s="15" t="inlineStr">
        <is>
          <t>Sale of corn total</t>
        </is>
      </c>
      <c r="B18" s="76" t="n">
        <v>10.634375</v>
      </c>
    </row>
    <row r="19">
      <c r="A19" s="15" t="inlineStr">
        <is>
          <t>Entry and marriage fines total</t>
        </is>
      </c>
      <c r="B19" s="76" t="n">
        <v>2.341666666666667</v>
      </c>
    </row>
    <row r="20">
      <c r="A20" s="15" t="inlineStr">
        <is>
          <t>Pleas &amp; perquisites total</t>
        </is>
      </c>
      <c r="B20" s="76" t="n">
        <v>1.0375</v>
      </c>
    </row>
    <row r="21">
      <c r="A21" s="76" t="inlineStr">
        <is>
          <t>Forfeited chattels total</t>
        </is>
      </c>
      <c r="B21" s="76" t="n"/>
    </row>
    <row r="22">
      <c r="A22" s="76" t="inlineStr">
        <is>
          <t>Farm of the demesne land total</t>
        </is>
      </c>
      <c r="B22" s="76" t="n"/>
      <c r="D22" s="88" t="n"/>
    </row>
    <row r="23">
      <c r="A23" s="81" t="inlineStr">
        <is>
          <t>Total of all receipts (calculated here)</t>
        </is>
      </c>
      <c r="B23" s="79">
        <f>SUM(B5:B22)</f>
        <v/>
      </c>
      <c r="C23" s="80" t="n"/>
    </row>
    <row r="24">
      <c r="A24" s="82" t="inlineStr">
        <is>
          <t>Total of all receipts (calculated here) incl arrears</t>
        </is>
      </c>
      <c r="B24">
        <f>SUM(B4:B22)</f>
        <v/>
      </c>
      <c r="D24" s="13" t="n"/>
      <c r="E24" s="13" t="n"/>
    </row>
    <row r="25">
      <c r="A25" s="83" t="inlineStr">
        <is>
          <t>Total recorded in the accounts excl. arrears</t>
        </is>
      </c>
      <c r="B25" s="76" t="n"/>
      <c r="C25" s="10">
        <f>B23-B25</f>
        <v/>
      </c>
    </row>
    <row r="26">
      <c r="A26" s="83" t="inlineStr">
        <is>
          <t>Total recorded in the accounts incl. arrears</t>
        </is>
      </c>
      <c r="B26">
        <f>B25+B4</f>
        <v/>
      </c>
      <c r="D26" s="13" t="n"/>
      <c r="E26" s="13" t="n"/>
    </row>
    <row r="27">
      <c r="A27" s="15" t="n"/>
    </row>
    <row r="28">
      <c r="A28" s="15" t="n"/>
    </row>
    <row r="29">
      <c r="A29" s="16" t="inlineStr">
        <is>
          <t>EXPENSES</t>
        </is>
      </c>
    </row>
    <row r="30">
      <c r="A30" s="15" t="inlineStr">
        <is>
          <t>Cost of ploughs total</t>
        </is>
      </c>
      <c r="B30" t="n">
        <v>9.829166666666667</v>
      </c>
    </row>
    <row r="31">
      <c r="A31" s="15" t="inlineStr">
        <is>
          <t>Purchase of corn total</t>
        </is>
      </c>
      <c r="B31" t="n">
        <v>0</v>
      </c>
    </row>
    <row r="32">
      <c r="A32" s="15" t="inlineStr">
        <is>
          <t>Cost of carts and wagons total</t>
        </is>
      </c>
      <c r="B32" t="n">
        <v>0.5395833333333333</v>
      </c>
    </row>
    <row r="33">
      <c r="A33" s="15" t="inlineStr">
        <is>
          <t>Cost of dairy total</t>
        </is>
      </c>
      <c r="B33" t="n">
        <v>0.3333333333333333</v>
      </c>
    </row>
    <row r="34">
      <c r="A34" s="15" t="inlineStr">
        <is>
          <t>Purchase of stock total</t>
        </is>
      </c>
      <c r="B34" t="n">
        <v>0</v>
      </c>
    </row>
    <row r="35">
      <c r="A35" s="15" t="inlineStr">
        <is>
          <t>Sheepcote total</t>
        </is>
      </c>
      <c r="B35" t="n">
        <v>4.274999999999999</v>
      </c>
    </row>
    <row r="36">
      <c r="A36" s="15" t="inlineStr">
        <is>
          <t>Cost of buildings total</t>
        </is>
      </c>
      <c r="B36" s="84" t="n">
        <v>6.385416666666667</v>
      </c>
    </row>
    <row r="37">
      <c r="A37" s="15" t="inlineStr">
        <is>
          <t>Threshing total</t>
        </is>
      </c>
      <c r="B37" t="n">
        <v>0.415625</v>
      </c>
    </row>
    <row r="38">
      <c r="A38" s="15" t="inlineStr">
        <is>
          <t>Barley expenses</t>
        </is>
      </c>
    </row>
    <row r="39">
      <c r="A39" s="15" t="inlineStr">
        <is>
          <t>Expenses of the harvest total</t>
        </is>
      </c>
      <c r="B39" t="n">
        <v>0.6770833333333334</v>
      </c>
    </row>
    <row r="40">
      <c r="A40" s="15" t="inlineStr">
        <is>
          <t>Necessary expenses</t>
        </is>
      </c>
    </row>
    <row r="41">
      <c r="A41" s="15" t="inlineStr">
        <is>
          <t>Wages of the bailiff</t>
        </is>
      </c>
      <c r="B41" s="84" t="n"/>
    </row>
    <row r="42">
      <c r="A42" s="15" t="inlineStr">
        <is>
          <t>Steward's expenses total</t>
        </is>
      </c>
      <c r="B42" s="84" t="n"/>
    </row>
    <row r="43">
      <c r="A43" s="85" t="inlineStr">
        <is>
          <t>Annual fees</t>
        </is>
      </c>
      <c r="B43" s="86" t="n"/>
      <c r="C43" s="87" t="n"/>
      <c r="D43" s="88" t="n"/>
    </row>
    <row r="44">
      <c r="A44" s="82" t="inlineStr">
        <is>
          <t>Total of all expenses per account</t>
        </is>
      </c>
      <c r="B44" s="84" t="n">
        <v>27.95416666666667</v>
      </c>
    </row>
    <row r="45">
      <c r="A45" s="82" t="inlineStr">
        <is>
          <t>Total of all expenses (calculated here)</t>
        </is>
      </c>
      <c r="B45" s="84" t="n">
        <v>28.05520833333333</v>
      </c>
    </row>
    <row r="46">
      <c r="A46" s="82" t="inlineStr">
        <is>
          <t>Total fixed investment</t>
        </is>
      </c>
      <c r="B46" s="84" t="n">
        <v>6.073958333333334</v>
      </c>
    </row>
    <row r="47">
      <c r="A47" s="82" t="inlineStr">
        <is>
          <t>Total Demesne fixed investment</t>
        </is>
      </c>
      <c r="B47" s="84" t="n">
        <v>3.466666666666667</v>
      </c>
    </row>
    <row r="48">
      <c r="A48" s="12" t="n"/>
    </row>
    <row r="49">
      <c r="A49" s="18" t="inlineStr">
        <is>
          <t>Owed by the reeve</t>
        </is>
      </c>
      <c r="B49" s="84">
        <f>B23-B45</f>
        <v/>
      </c>
    </row>
    <row r="50">
      <c r="A50" s="18" t="inlineStr">
        <is>
          <t>From accounts</t>
        </is>
      </c>
      <c r="B50" s="84" t="n">
        <v>27.95416666666667</v>
      </c>
    </row>
    <row r="51">
      <c r="A51" s="15" t="n"/>
    </row>
    <row r="52">
      <c r="A52" s="18" t="inlineStr">
        <is>
          <t>Allowances</t>
        </is>
      </c>
      <c r="B52" s="84" t="n"/>
    </row>
    <row r="53">
      <c r="A53" s="18" t="inlineStr">
        <is>
          <t>Cash deliveries</t>
        </is>
      </c>
      <c r="B53" s="84" t="n"/>
    </row>
    <row r="54">
      <c r="A54" s="19" t="inlineStr">
        <is>
          <t>Sum of the above</t>
        </is>
      </c>
      <c r="B54" s="84">
        <f>SUM(B52:B53)</f>
        <v/>
      </c>
    </row>
    <row r="55">
      <c r="A55" s="20" t="inlineStr">
        <is>
          <t>Total of all allowances and cash deliveries in accounts</t>
        </is>
      </c>
    </row>
    <row r="56">
      <c r="A56" s="15" t="n"/>
    </row>
    <row r="57">
      <c r="A57" s="18" t="inlineStr">
        <is>
          <t>Net amount owed</t>
        </is>
      </c>
      <c r="B57" s="84">
        <f>B50-B54</f>
        <v/>
      </c>
    </row>
    <row r="58">
      <c r="A58" s="18" t="inlineStr">
        <is>
          <t>Net amount owed in accounts</t>
        </is>
      </c>
    </row>
    <row r="59">
      <c r="A59" s="15" t="n"/>
    </row>
    <row r="60">
      <c r="A60" s="16" t="inlineStr">
        <is>
          <t xml:space="preserve">GRANGE ACCOUNT </t>
        </is>
      </c>
      <c r="B60" s="120" t="inlineStr">
        <is>
          <t>Total Production</t>
        </is>
      </c>
      <c r="D60" s="117" t="inlineStr">
        <is>
          <t>Value of total gross production in £</t>
        </is>
      </c>
      <c r="E60" s="117" t="inlineStr">
        <is>
          <t>Value of total net production in £</t>
        </is>
      </c>
    </row>
    <row r="61">
      <c r="A61" s="8" t="inlineStr">
        <is>
          <t>Grange</t>
        </is>
      </c>
      <c r="B61" s="89" t="inlineStr">
        <is>
          <t>qrs</t>
        </is>
      </c>
      <c r="C61" s="90" t="inlineStr">
        <is>
          <t>bus</t>
        </is>
      </c>
    </row>
    <row r="62">
      <c r="A62" s="76" t="inlineStr">
        <is>
          <t>Wheat</t>
        </is>
      </c>
      <c r="B62" t="n">
        <v>28</v>
      </c>
      <c r="F62" s="13" t="n"/>
    </row>
    <row r="63">
      <c r="A63" s="76" t="inlineStr">
        <is>
          <t>Rye</t>
        </is>
      </c>
      <c r="F63" s="13" t="n"/>
    </row>
    <row r="64">
      <c r="A64" s="76" t="inlineStr">
        <is>
          <t>Dredge</t>
        </is>
      </c>
      <c r="F64" s="13" t="n"/>
    </row>
    <row r="65">
      <c r="A65" s="76" t="inlineStr">
        <is>
          <t>Curall</t>
        </is>
      </c>
      <c r="F65" s="13" t="n"/>
    </row>
    <row r="66">
      <c r="A66" s="76" t="inlineStr">
        <is>
          <t>Barley</t>
        </is>
      </c>
      <c r="B66" t="n">
        <v>15</v>
      </c>
      <c r="F66" s="13" t="n"/>
    </row>
    <row r="67">
      <c r="A67" s="76" t="inlineStr">
        <is>
          <t>Oats</t>
        </is>
      </c>
      <c r="B67" t="n">
        <v>43</v>
      </c>
      <c r="F67" s="13" t="n"/>
    </row>
    <row r="68">
      <c r="A68" s="76" t="inlineStr">
        <is>
          <t>Beans</t>
        </is>
      </c>
      <c r="F68" s="13" t="n"/>
    </row>
    <row r="69">
      <c r="A69" s="76" t="inlineStr">
        <is>
          <t>Peas</t>
        </is>
      </c>
      <c r="F69" s="13" t="n"/>
    </row>
    <row r="70">
      <c r="A70" s="76" t="inlineStr">
        <is>
          <t>Vetches</t>
        </is>
      </c>
      <c r="E70" t="n">
        <v>0</v>
      </c>
    </row>
    <row r="71">
      <c r="A71" s="17" t="inlineStr">
        <is>
          <t>Total value of gross production (sum of the above)</t>
        </is>
      </c>
      <c r="B71" s="93" t="n"/>
      <c r="C71" s="94" t="n"/>
      <c r="D71" s="93" t="n"/>
      <c r="E71" s="93" t="n"/>
    </row>
    <row r="72">
      <c r="A72" s="17" t="inlineStr">
        <is>
          <t>Total value of net production</t>
        </is>
      </c>
      <c r="B72" s="93" t="n"/>
      <c r="C72" s="94" t="n"/>
      <c r="D72" s="93" t="n"/>
      <c r="E72" s="93" t="n"/>
    </row>
    <row r="73">
      <c r="A73" s="17" t="inlineStr">
        <is>
          <t>Value of sales</t>
        </is>
      </c>
      <c r="B73" s="93" t="n"/>
      <c r="C73" s="94" t="n"/>
      <c r="D73" s="93" t="n"/>
      <c r="E73" s="93" t="n"/>
    </row>
    <row r="74">
      <c r="A74" s="15" t="n"/>
    </row>
    <row r="75">
      <c r="A75" s="16" t="inlineStr">
        <is>
          <t>MILL ACCOUNT</t>
        </is>
      </c>
      <c r="B75" s="120" t="inlineStr">
        <is>
          <t>Total Production</t>
        </is>
      </c>
      <c r="D75" s="91" t="inlineStr">
        <is>
          <t>Total in £</t>
        </is>
      </c>
      <c r="E75" s="91" t="n"/>
    </row>
    <row r="76">
      <c r="A76" s="8" t="inlineStr">
        <is>
          <t>Issues of the mill</t>
        </is>
      </c>
      <c r="B76" s="89" t="inlineStr">
        <is>
          <t>qrs</t>
        </is>
      </c>
      <c r="C76" s="90" t="inlineStr">
        <is>
          <t>bus</t>
        </is>
      </c>
    </row>
    <row r="77">
      <c r="A77" s="15" t="inlineStr">
        <is>
          <t>Wheat</t>
        </is>
      </c>
      <c r="F77" s="13" t="n"/>
    </row>
    <row r="78">
      <c r="A78" s="15" t="inlineStr">
        <is>
          <t>Oatmeal</t>
        </is>
      </c>
    </row>
    <row r="79">
      <c r="A79" s="15" t="inlineStr">
        <is>
          <t>1st grade malt</t>
        </is>
      </c>
    </row>
    <row r="80">
      <c r="A80" s="15" t="inlineStr">
        <is>
          <t>2nd grade malt</t>
        </is>
      </c>
    </row>
    <row r="81">
      <c r="A81" s="15" t="inlineStr">
        <is>
          <t>Maslin</t>
        </is>
      </c>
    </row>
    <row r="82">
      <c r="A82" s="17" t="inlineStr">
        <is>
          <t>Total value of production (sum of the above)</t>
        </is>
      </c>
      <c r="B82" s="93" t="n"/>
      <c r="C82" s="94" t="n"/>
      <c r="D82" s="93" t="n"/>
      <c r="E82" s="93" t="n"/>
    </row>
    <row r="83">
      <c r="A83" s="17" t="inlineStr">
        <is>
          <t>Value of sales</t>
        </is>
      </c>
      <c r="B83" s="93" t="n"/>
      <c r="C83" s="94" t="n"/>
      <c r="D83" s="93" t="n"/>
      <c r="E83" s="93" t="n"/>
    </row>
    <row r="84">
      <c r="A84" s="15" t="n"/>
    </row>
    <row r="85">
      <c r="A85" s="92" t="inlineStr">
        <is>
          <t>STOCK ACCOUNT</t>
        </is>
      </c>
      <c r="B85" s="93" t="n"/>
      <c r="C85" s="94" t="n"/>
      <c r="D85" s="93" t="n"/>
      <c r="E85" s="93" t="n"/>
      <c r="F85" s="93" t="n"/>
      <c r="G85" s="93" t="n"/>
    </row>
    <row r="86">
      <c r="A86" s="21" t="inlineStr">
        <is>
          <t>Livestock</t>
        </is>
      </c>
      <c r="B86" s="95" t="inlineStr">
        <is>
          <t>Begin stock</t>
        </is>
      </c>
      <c r="C86" s="95" t="inlineStr">
        <is>
          <t>End stock</t>
        </is>
      </c>
      <c r="D86" s="95" t="inlineStr">
        <is>
          <t>Stockbuilding</t>
        </is>
      </c>
      <c r="E86" s="95" t="n"/>
      <c r="F86" s="95" t="inlineStr">
        <is>
          <t>Value of stock in £</t>
        </is>
      </c>
      <c r="G86" s="53" t="inlineStr">
        <is>
          <t>Value of stockbuilding</t>
        </is>
      </c>
    </row>
    <row r="87">
      <c r="A87" s="22" t="inlineStr">
        <is>
          <t>Cart-horses</t>
        </is>
      </c>
      <c r="B87" s="76" t="n"/>
      <c r="C87" s="76" t="n"/>
      <c r="D87" s="76">
        <f>C87-B87</f>
        <v/>
      </c>
      <c r="F87" s="84">
        <f>'Stock'!K5*'Stock'!O5</f>
        <v/>
      </c>
      <c r="G87" s="84">
        <f>D87*'Stock'!O5</f>
        <v/>
      </c>
    </row>
    <row r="88">
      <c r="A88" s="22" t="inlineStr">
        <is>
          <t>Mares</t>
        </is>
      </c>
      <c r="B88" s="76" t="n"/>
      <c r="C88" s="76" t="n"/>
      <c r="D88" s="76">
        <f>C88-B88</f>
        <v/>
      </c>
      <c r="F88" s="84">
        <f>'Stock'!K5*'Stock'!O5</f>
        <v/>
      </c>
      <c r="G88" s="84">
        <f>D88*'Stock'!O5</f>
        <v/>
      </c>
    </row>
    <row r="89">
      <c r="A89" s="15" t="inlineStr">
        <is>
          <t>Plough horses</t>
        </is>
      </c>
      <c r="B89" s="76" t="n"/>
      <c r="C89" s="76" t="n"/>
      <c r="D89" s="76">
        <f>C89-B89</f>
        <v/>
      </c>
      <c r="F89" s="84">
        <f>'Stock'!K6*'Stock'!O6</f>
        <v/>
      </c>
      <c r="G89" s="84">
        <f>D89*'Stock'!O6</f>
        <v/>
      </c>
    </row>
    <row r="90">
      <c r="A90" s="15" t="inlineStr">
        <is>
          <t>Colts (2 years)</t>
        </is>
      </c>
      <c r="B90" s="76" t="n"/>
      <c r="C90" s="76" t="n"/>
      <c r="D90" s="76">
        <f>C90-B90</f>
        <v/>
      </c>
      <c r="F90" s="84">
        <f>'Stock'!K8*'Stock'!O8</f>
        <v/>
      </c>
      <c r="G90" s="84">
        <f>D90*'Stock'!O8</f>
        <v/>
      </c>
    </row>
    <row r="91">
      <c r="A91" s="15" t="inlineStr">
        <is>
          <t>Colts (2 years)</t>
        </is>
      </c>
      <c r="B91" s="76" t="n"/>
      <c r="C91" s="76" t="n"/>
      <c r="D91" s="76">
        <f>C91-B91</f>
        <v/>
      </c>
      <c r="F91" s="84">
        <f>'Stock'!K8*'Stock'!O8</f>
        <v/>
      </c>
      <c r="G91" s="84">
        <f>D91*'Stock'!O8</f>
        <v/>
      </c>
    </row>
    <row r="92">
      <c r="A92" s="15" t="inlineStr">
        <is>
          <t>Colts (1 year)</t>
        </is>
      </c>
      <c r="B92" s="76" t="n"/>
      <c r="C92" s="76" t="n"/>
      <c r="D92" s="76">
        <f>C92-B92</f>
        <v/>
      </c>
      <c r="F92" s="84">
        <f>'Stock'!K9*'Stock'!O9</f>
        <v/>
      </c>
      <c r="G92" s="84">
        <f>D92*'Stock'!O9</f>
        <v/>
      </c>
    </row>
    <row r="93">
      <c r="A93" s="15" t="inlineStr">
        <is>
          <t>Foals</t>
        </is>
      </c>
      <c r="B93" s="76" t="n"/>
      <c r="C93" s="76" t="n"/>
      <c r="D93" s="76">
        <f>C93-B93</f>
        <v/>
      </c>
      <c r="F93" s="84">
        <f>'Stock'!K10*'Stock'!O10</f>
        <v/>
      </c>
      <c r="G93" s="84">
        <f>D93*'Stock'!O10</f>
        <v/>
      </c>
    </row>
    <row r="94">
      <c r="A94" s="15" t="inlineStr">
        <is>
          <t>Oxen</t>
        </is>
      </c>
      <c r="B94" s="76" t="n">
        <v>21</v>
      </c>
      <c r="C94" s="76" t="n">
        <v>18</v>
      </c>
      <c r="D94" s="76" t="n">
        <v>-3</v>
      </c>
      <c r="F94" s="84">
        <f>'Stock'!K11*'Stock'!O11</f>
        <v/>
      </c>
      <c r="G94" s="84">
        <f>D94*'Stock'!O11</f>
        <v/>
      </c>
    </row>
    <row r="95">
      <c r="A95" s="15" t="inlineStr">
        <is>
          <t>Bulls</t>
        </is>
      </c>
      <c r="B95" s="76" t="n">
        <v>1</v>
      </c>
      <c r="C95" s="76" t="n">
        <v>2</v>
      </c>
      <c r="D95" s="76" t="n">
        <v>1</v>
      </c>
      <c r="F95" s="84">
        <f>'Stock'!K12*'Stock'!O12</f>
        <v/>
      </c>
      <c r="G95" s="84">
        <f>D95*'Stock'!O12</f>
        <v/>
      </c>
    </row>
    <row r="96">
      <c r="A96" s="15" t="inlineStr">
        <is>
          <t>Cows</t>
        </is>
      </c>
      <c r="B96" s="76" t="n">
        <v>50</v>
      </c>
      <c r="C96" s="76" t="n">
        <v>43</v>
      </c>
      <c r="D96" s="76" t="n">
        <v>-7</v>
      </c>
      <c r="F96" s="84">
        <f>'Stock'!K13*'Stock'!O13</f>
        <v/>
      </c>
      <c r="G96" s="84">
        <f>D96*'Stock'!O13</f>
        <v/>
      </c>
    </row>
    <row r="97">
      <c r="A97" s="15" t="inlineStr">
        <is>
          <t>Steers</t>
        </is>
      </c>
      <c r="B97" s="76" t="n">
        <v>4</v>
      </c>
      <c r="C97" s="76" t="n">
        <v>0</v>
      </c>
      <c r="D97" s="76" t="n">
        <v>-4</v>
      </c>
      <c r="F97" s="84">
        <f>'Stock'!K14*'Stock'!O14</f>
        <v/>
      </c>
      <c r="G97" s="84">
        <f>D97*'Stock'!O14</f>
        <v/>
      </c>
    </row>
    <row r="98">
      <c r="A98" s="15" t="inlineStr">
        <is>
          <t>Bullocks</t>
        </is>
      </c>
      <c r="B98" s="76" t="n">
        <v>15</v>
      </c>
      <c r="C98" s="76" t="n">
        <v>11</v>
      </c>
      <c r="D98" s="76" t="n">
        <v>-4</v>
      </c>
      <c r="F98" s="84">
        <f>'Stock'!K15*'Stock'!O15</f>
        <v/>
      </c>
      <c r="G98" s="84">
        <f>D98*'Stock'!O15</f>
        <v/>
      </c>
    </row>
    <row r="99">
      <c r="A99" s="15" t="inlineStr">
        <is>
          <t>Yearlings</t>
        </is>
      </c>
      <c r="B99" s="76" t="n">
        <v>18</v>
      </c>
      <c r="C99" s="76" t="n">
        <v>16</v>
      </c>
      <c r="D99" s="76" t="n">
        <v>-2</v>
      </c>
      <c r="F99" s="84">
        <f>'Stock'!K16*'Stock'!O16</f>
        <v/>
      </c>
      <c r="G99" s="84">
        <f>D99*'Stock'!O16</f>
        <v/>
      </c>
    </row>
    <row r="100">
      <c r="A100" s="15" t="inlineStr">
        <is>
          <t>Calves</t>
        </is>
      </c>
      <c r="B100" s="76" t="n"/>
      <c r="C100" s="76" t="n">
        <v>14</v>
      </c>
      <c r="D100" s="76">
        <f>C100-B100</f>
        <v/>
      </c>
      <c r="F100" s="84">
        <f>'Stock'!K17*'Stock'!O17</f>
        <v/>
      </c>
      <c r="G100" s="84">
        <f>D100*'Stock'!O17</f>
        <v/>
      </c>
    </row>
    <row r="101">
      <c r="A101" s="15" t="inlineStr">
        <is>
          <t>Wethers</t>
        </is>
      </c>
      <c r="B101" s="76" t="n"/>
      <c r="C101" s="76" t="n"/>
      <c r="D101" s="76">
        <f>C101-B101</f>
        <v/>
      </c>
      <c r="F101" s="84">
        <f>'Stock'!K18*'Stock'!O18</f>
        <v/>
      </c>
      <c r="G101" s="84">
        <f>D101*'Stock'!O18</f>
        <v/>
      </c>
    </row>
    <row r="102">
      <c r="A102" s="15" t="inlineStr">
        <is>
          <t>Rams</t>
        </is>
      </c>
      <c r="B102" s="76" t="n">
        <v>15</v>
      </c>
      <c r="C102" s="76" t="n">
        <v>10</v>
      </c>
      <c r="D102" s="76" t="n">
        <v>-5</v>
      </c>
      <c r="F102" s="84">
        <f>'Stock'!K19*'Stock'!O19</f>
        <v/>
      </c>
      <c r="G102" s="84">
        <f>D102*'Stock'!O19</f>
        <v/>
      </c>
    </row>
    <row r="103">
      <c r="A103" s="15" t="inlineStr">
        <is>
          <t>Ewes</t>
        </is>
      </c>
      <c r="B103" s="76" t="n">
        <v>383</v>
      </c>
      <c r="C103" s="76" t="n">
        <v>449</v>
      </c>
      <c r="D103" s="76" t="n">
        <v>66</v>
      </c>
      <c r="F103" s="84">
        <f>'Stock'!K20*'Stock'!O20</f>
        <v/>
      </c>
      <c r="G103" s="84">
        <f>D103*'Stock'!O20</f>
        <v/>
      </c>
    </row>
    <row r="104">
      <c r="A104" s="15" t="inlineStr">
        <is>
          <t>Hoggs</t>
        </is>
      </c>
      <c r="B104" s="76" t="n"/>
      <c r="C104" s="76" t="n"/>
      <c r="D104" s="76">
        <f>C104-B104</f>
        <v/>
      </c>
      <c r="F104" s="84">
        <f>'Stock'!K21*'Stock'!O21</f>
        <v/>
      </c>
      <c r="G104" s="84">
        <f>D104*'Stock'!O21</f>
        <v/>
      </c>
    </row>
    <row r="105">
      <c r="A105" s="15" t="inlineStr">
        <is>
          <t>Lambs</t>
        </is>
      </c>
      <c r="B105" s="76" t="n"/>
      <c r="C105" s="76" t="n">
        <v>0</v>
      </c>
      <c r="D105" s="76">
        <f>C105-B105</f>
        <v/>
      </c>
      <c r="F105" s="84">
        <f>'Stock'!K22*'Stock'!O22</f>
        <v/>
      </c>
      <c r="G105" s="84">
        <f>D105*'Stock'!O22</f>
        <v/>
      </c>
    </row>
    <row r="106">
      <c r="A106" s="15" t="inlineStr">
        <is>
          <t>Boars</t>
        </is>
      </c>
      <c r="B106" s="76" t="n"/>
      <c r="C106" s="76" t="n"/>
      <c r="D106" s="76">
        <f>C106-B106</f>
        <v/>
      </c>
      <c r="F106" s="84">
        <f>'Stock'!K23*'Stock'!O23</f>
        <v/>
      </c>
      <c r="G106" s="84">
        <f>D106*'Stock'!O23</f>
        <v/>
      </c>
    </row>
    <row r="107">
      <c r="A107" s="15" t="inlineStr">
        <is>
          <t>Sows</t>
        </is>
      </c>
      <c r="B107" s="76" t="n"/>
      <c r="C107" s="76" t="n"/>
      <c r="D107" s="76">
        <f>C107-B107</f>
        <v/>
      </c>
      <c r="F107" s="84">
        <f>'Stock'!K24*'Stock'!O24</f>
        <v/>
      </c>
      <c r="G107" s="84">
        <f>D107*'Stock'!O24</f>
        <v/>
      </c>
    </row>
    <row r="108">
      <c r="A108" s="15" t="inlineStr">
        <is>
          <t>Pigs</t>
        </is>
      </c>
      <c r="B108" s="76" t="n"/>
      <c r="C108" s="76" t="n">
        <v>0</v>
      </c>
      <c r="D108" s="76">
        <f>C108-B108</f>
        <v/>
      </c>
      <c r="F108" s="84">
        <f>'Stock'!K25*'Stock'!O25</f>
        <v/>
      </c>
      <c r="G108" s="84">
        <f>D108*'Stock'!O25</f>
        <v/>
      </c>
    </row>
    <row r="109">
      <c r="A109" s="15" t="inlineStr">
        <is>
          <t>Hoggets</t>
        </is>
      </c>
      <c r="B109" s="76" t="n"/>
      <c r="C109" s="76" t="n"/>
      <c r="D109" s="76">
        <f>C109-B109</f>
        <v/>
      </c>
      <c r="F109" s="84">
        <f>'Stock'!K26*'Stock'!O26</f>
        <v/>
      </c>
      <c r="G109" s="84">
        <f>D109*'Stock'!O26</f>
        <v/>
      </c>
    </row>
    <row r="110">
      <c r="A110" s="15" t="inlineStr">
        <is>
          <t>Piglets</t>
        </is>
      </c>
      <c r="B110" s="76" t="n"/>
      <c r="C110" s="76" t="n"/>
      <c r="D110" s="76">
        <f>C110-B110</f>
        <v/>
      </c>
      <c r="F110" s="84">
        <f>'Stock'!K27*'Stock'!O27</f>
        <v/>
      </c>
      <c r="G110" s="84">
        <f>D110*'Stock'!O27</f>
        <v/>
      </c>
    </row>
    <row r="111">
      <c r="A111" s="15" t="inlineStr">
        <is>
          <t>Swans</t>
        </is>
      </c>
      <c r="B111" s="76" t="n"/>
      <c r="C111" s="76" t="n"/>
      <c r="D111" s="76">
        <f>C111-B111</f>
        <v/>
      </c>
      <c r="F111" s="84">
        <f>'Stock'!K28*'Stock'!O28</f>
        <v/>
      </c>
      <c r="G111" s="84">
        <f>D111*'Stock'!O28</f>
        <v/>
      </c>
    </row>
    <row r="112">
      <c r="A112" s="15" t="inlineStr">
        <is>
          <t>Peacocks</t>
        </is>
      </c>
      <c r="B112" s="76" t="n">
        <v>15</v>
      </c>
      <c r="C112" s="76" t="n">
        <v>7</v>
      </c>
      <c r="D112" s="76" t="n">
        <v>-8</v>
      </c>
      <c r="F112" s="84">
        <f>'Stock'!K29*'Stock'!O29</f>
        <v/>
      </c>
      <c r="G112" s="84">
        <f>D112*'Stock'!O29</f>
        <v/>
      </c>
    </row>
    <row r="113">
      <c r="A113" s="17" t="inlineStr">
        <is>
          <t>Total value of stock (sum of the above)</t>
        </is>
      </c>
      <c r="B113" s="93" t="n"/>
      <c r="C113" s="94" t="n"/>
      <c r="D113" s="93" t="n"/>
      <c r="E113" s="93" t="n"/>
      <c r="F113" s="107">
        <f>SUM(F87:F112)</f>
        <v/>
      </c>
      <c r="G113" s="107">
        <f>SUM(G87:G112)</f>
        <v/>
      </c>
    </row>
    <row r="114">
      <c r="A114" s="17" t="inlineStr">
        <is>
          <t>Total value of production</t>
        </is>
      </c>
      <c r="B114" s="93" t="n"/>
      <c r="C114" s="94" t="n"/>
      <c r="D114" s="93" t="n"/>
      <c r="E114" s="93" t="n"/>
      <c r="F114" s="107">
        <f>SUM('Stock'!T5:T30)</f>
        <v/>
      </c>
      <c r="G114" s="107" t="n"/>
    </row>
    <row r="115">
      <c r="A115" s="17" t="inlineStr">
        <is>
          <t>Value of sales</t>
        </is>
      </c>
      <c r="B115" s="93" t="n"/>
      <c r="C115" s="94" t="n"/>
      <c r="D115" s="93" t="n"/>
      <c r="E115" s="93" t="n"/>
      <c r="F115" s="107">
        <f>SUM('Stock'!R5:R30)</f>
        <v/>
      </c>
      <c r="G115" s="107" t="n"/>
    </row>
    <row r="116">
      <c r="A116" s="15" t="n"/>
    </row>
    <row r="117">
      <c r="A117" s="16" t="inlineStr">
        <is>
          <t>Wool</t>
        </is>
      </c>
      <c r="B117" s="95" t="inlineStr">
        <is>
          <t>Begin stock</t>
        </is>
      </c>
      <c r="C117" s="95" t="inlineStr">
        <is>
          <t>End stock</t>
        </is>
      </c>
      <c r="D117" s="95" t="inlineStr">
        <is>
          <t>Stockbuilding</t>
        </is>
      </c>
      <c r="E117" s="95" t="n"/>
      <c r="F117" s="95" t="inlineStr">
        <is>
          <t>Value of stock in £</t>
        </is>
      </c>
    </row>
    <row r="118">
      <c r="A118" s="22" t="inlineStr">
        <is>
          <t>Fleeces</t>
        </is>
      </c>
      <c r="G118" s="96" t="n"/>
    </row>
    <row r="119">
      <c r="A119" s="15" t="inlineStr">
        <is>
          <t>Coarse wool</t>
        </is>
      </c>
    </row>
    <row r="120">
      <c r="A120" s="15" t="inlineStr">
        <is>
          <t>Lamb's wool</t>
        </is>
      </c>
      <c r="C120" t="n">
        <v>0</v>
      </c>
      <c r="F120">
        <f>C120*'Stock'!O35</f>
        <v/>
      </c>
    </row>
    <row r="121">
      <c r="A121" s="15" t="inlineStr">
        <is>
          <t>Wool locks</t>
        </is>
      </c>
      <c r="F121">
        <f>C121*'Stock'!O36</f>
        <v/>
      </c>
    </row>
    <row r="122">
      <c r="A122" s="15" t="inlineStr">
        <is>
          <t>Wool sold at shearing</t>
        </is>
      </c>
      <c r="F122">
        <f>C122*'Stock'!O37</f>
        <v/>
      </c>
    </row>
    <row r="123">
      <c r="A123" s="119" t="inlineStr">
        <is>
          <t>Total value of production (sum of the above)</t>
        </is>
      </c>
      <c r="B123" s="93" t="n"/>
      <c r="C123" s="94" t="n"/>
      <c r="D123" s="93" t="n"/>
      <c r="E123" s="93" t="n"/>
      <c r="F123" s="93" t="n"/>
    </row>
    <row r="124">
      <c r="A124" s="119" t="inlineStr">
        <is>
          <t>Value of sales</t>
        </is>
      </c>
      <c r="B124" s="93" t="n"/>
      <c r="C124" s="94" t="n"/>
      <c r="D124" s="93" t="n"/>
      <c r="E124" s="93" t="n"/>
      <c r="F124" s="93" t="n"/>
    </row>
    <row r="125">
      <c r="A125" s="8" t="n"/>
    </row>
    <row r="126">
      <c r="A126" s="16" t="inlineStr">
        <is>
          <t>Hides</t>
        </is>
      </c>
      <c r="B126" s="95" t="inlineStr">
        <is>
          <t>Begin stock</t>
        </is>
      </c>
      <c r="C126" s="95" t="inlineStr">
        <is>
          <t>End stock</t>
        </is>
      </c>
      <c r="D126" s="95" t="inlineStr">
        <is>
          <t>Stockbuilding</t>
        </is>
      </c>
      <c r="E126" s="95" t="n"/>
      <c r="F126" s="95" t="inlineStr">
        <is>
          <t>Value of stock in £</t>
        </is>
      </c>
    </row>
    <row r="127">
      <c r="A127" s="15" t="inlineStr">
        <is>
          <t>Ox hides</t>
        </is>
      </c>
      <c r="G127" s="96" t="n"/>
    </row>
    <row r="128">
      <c r="A128" s="15" t="inlineStr">
        <is>
          <t>Cow hides</t>
        </is>
      </c>
    </row>
    <row r="129">
      <c r="A129" s="15" t="inlineStr">
        <is>
          <t>Mare hides</t>
        </is>
      </c>
    </row>
    <row r="130">
      <c r="A130" s="15" t="inlineStr">
        <is>
          <t>Steer hides</t>
        </is>
      </c>
    </row>
    <row r="131">
      <c r="A131" s="15" t="inlineStr">
        <is>
          <t>Yearling Calf hides</t>
        </is>
      </c>
    </row>
    <row r="132">
      <c r="A132" s="15" t="inlineStr">
        <is>
          <t>Calf hides</t>
        </is>
      </c>
    </row>
    <row r="133">
      <c r="A133" s="23" t="inlineStr">
        <is>
          <t>Pig hides</t>
        </is>
      </c>
    </row>
    <row r="134">
      <c r="A134" s="24" t="inlineStr">
        <is>
          <t>Wether woolskins</t>
        </is>
      </c>
    </row>
    <row r="135">
      <c r="A135" s="24" t="inlineStr">
        <is>
          <t>Ram woolskins</t>
        </is>
      </c>
    </row>
    <row r="136">
      <c r="A136" s="24" t="inlineStr">
        <is>
          <t>Ewe woolskins</t>
        </is>
      </c>
    </row>
    <row r="137">
      <c r="A137" s="24" t="inlineStr">
        <is>
          <t>Hogg woolskins</t>
        </is>
      </c>
    </row>
    <row r="138">
      <c r="A138" s="25" t="inlineStr">
        <is>
          <t>Woolskins (total)</t>
        </is>
      </c>
    </row>
    <row r="139">
      <c r="A139" s="24" t="inlineStr">
        <is>
          <t>Wether bareskins</t>
        </is>
      </c>
    </row>
    <row r="140">
      <c r="A140" s="24" t="inlineStr">
        <is>
          <t>Ram bareskins</t>
        </is>
      </c>
    </row>
    <row r="141">
      <c r="A141" s="24" t="inlineStr">
        <is>
          <t>Ewe bareskins</t>
        </is>
      </c>
    </row>
    <row r="142">
      <c r="A142" s="24" t="inlineStr">
        <is>
          <t>Hogg bareskins</t>
        </is>
      </c>
    </row>
    <row r="143">
      <c r="A143" s="25" t="inlineStr">
        <is>
          <t>Bareskins (total)</t>
        </is>
      </c>
    </row>
    <row r="144">
      <c r="A144" s="15" t="inlineStr">
        <is>
          <t>Lambskins</t>
        </is>
      </c>
    </row>
    <row r="145">
      <c r="A145" s="15" t="inlineStr">
        <is>
          <t>Rotted skins</t>
        </is>
      </c>
    </row>
    <row r="146">
      <c r="A146" s="15" t="inlineStr">
        <is>
          <t>Shorn skins</t>
        </is>
      </c>
    </row>
    <row r="147">
      <c r="A147" s="17" t="inlineStr">
        <is>
          <t>Total value of production (sum of the above)</t>
        </is>
      </c>
      <c r="B147" s="93" t="n"/>
      <c r="C147" s="94" t="n"/>
      <c r="D147" s="93" t="n"/>
      <c r="E147" s="93" t="n"/>
      <c r="F147" s="93" t="n"/>
    </row>
    <row r="148">
      <c r="A148" s="17" t="inlineStr">
        <is>
          <t>Value of sales</t>
        </is>
      </c>
      <c r="B148" s="93" t="n"/>
      <c r="C148" s="94" t="n"/>
      <c r="D148" s="93" t="n"/>
      <c r="E148" s="93" t="n"/>
      <c r="F148" s="93" t="n"/>
    </row>
    <row r="149">
      <c r="A149" s="15" t="n"/>
    </row>
    <row r="150">
      <c r="A150" s="16" t="inlineStr">
        <is>
          <t>Poultry stock</t>
        </is>
      </c>
      <c r="B150" s="95" t="inlineStr">
        <is>
          <t>Begin stock</t>
        </is>
      </c>
      <c r="C150" s="95" t="inlineStr">
        <is>
          <t>End stock</t>
        </is>
      </c>
      <c r="D150" s="95" t="inlineStr">
        <is>
          <t>Stockbuilding</t>
        </is>
      </c>
      <c r="E150" s="95" t="n"/>
      <c r="F150" s="95" t="inlineStr">
        <is>
          <t>Value of stock in £</t>
        </is>
      </c>
    </row>
    <row r="151">
      <c r="A151" s="22" t="inlineStr">
        <is>
          <t>Hens</t>
        </is>
      </c>
      <c r="B151" s="76" t="n">
        <v>0</v>
      </c>
      <c r="C151" s="76" t="n">
        <v>0</v>
      </c>
      <c r="D151" s="76" t="n">
        <v>0</v>
      </c>
      <c r="F151" s="76" t="n">
        <v>0</v>
      </c>
      <c r="G151" s="96" t="n"/>
    </row>
    <row r="152">
      <c r="A152" s="15" t="inlineStr">
        <is>
          <t>Geese</t>
        </is>
      </c>
      <c r="B152" s="76" t="n">
        <v>0</v>
      </c>
      <c r="C152" s="76" t="n">
        <v>0</v>
      </c>
      <c r="D152" s="76" t="n">
        <v>0</v>
      </c>
      <c r="F152" s="76" t="n">
        <v>0</v>
      </c>
    </row>
    <row r="153">
      <c r="A153" s="15" t="inlineStr">
        <is>
          <t>Capons (from chickens)</t>
        </is>
      </c>
      <c r="B153" s="76" t="n">
        <v>0</v>
      </c>
      <c r="C153" s="76" t="n">
        <v>0</v>
      </c>
      <c r="D153" s="76" t="n">
        <v>0</v>
      </c>
      <c r="F153" s="76" t="n">
        <v>0</v>
      </c>
    </row>
    <row r="154">
      <c r="A154" s="15" t="inlineStr">
        <is>
          <t>Cocks &amp; hens</t>
        </is>
      </c>
      <c r="B154" s="76" t="n">
        <v>0</v>
      </c>
      <c r="C154" s="76" t="n">
        <v>0</v>
      </c>
      <c r="D154" s="76" t="n">
        <v>0</v>
      </c>
      <c r="F154" s="76">
        <f>C154*'Stock'!O68</f>
        <v/>
      </c>
    </row>
    <row r="155">
      <c r="A155" s="119" t="inlineStr">
        <is>
          <t>Total value of production (sum of the above)</t>
        </is>
      </c>
      <c r="B155" s="93" t="n"/>
      <c r="C155" s="93" t="n"/>
      <c r="D155" s="93" t="n"/>
      <c r="E155" s="93" t="n"/>
      <c r="F155" s="93">
        <f>SUM(F151:F154)</f>
        <v/>
      </c>
    </row>
    <row r="156">
      <c r="A156" s="119" t="inlineStr">
        <is>
          <t>Value of sales</t>
        </is>
      </c>
      <c r="B156" s="93" t="n"/>
      <c r="C156" s="94" t="n"/>
      <c r="D156" s="93" t="n"/>
      <c r="E156" s="93" t="n"/>
      <c r="F156" s="93">
        <f>SUM('Stock'!R67:R70)</f>
        <v/>
      </c>
    </row>
    <row r="157">
      <c r="A157" s="15" t="n"/>
    </row>
    <row r="158">
      <c r="A158" s="16" t="inlineStr">
        <is>
          <t>Poultry production</t>
        </is>
      </c>
      <c r="B158" s="95" t="inlineStr">
        <is>
          <t>Begin stock</t>
        </is>
      </c>
      <c r="C158" s="95" t="inlineStr">
        <is>
          <t>End stock</t>
        </is>
      </c>
      <c r="D158" s="95" t="inlineStr">
        <is>
          <t>Stockbuilding</t>
        </is>
      </c>
      <c r="E158" s="95" t="n"/>
      <c r="F158" s="95" t="inlineStr">
        <is>
          <t>Value of stock in £</t>
        </is>
      </c>
    </row>
    <row r="159">
      <c r="A159" s="15" t="inlineStr">
        <is>
          <t>Eggs</t>
        </is>
      </c>
      <c r="B159" t="n">
        <v>0</v>
      </c>
      <c r="C159" t="n">
        <v>0</v>
      </c>
      <c r="D159" t="n">
        <v>0</v>
      </c>
      <c r="F159" t="n">
        <v>0</v>
      </c>
      <c r="G159" s="116" t="n"/>
    </row>
    <row r="160">
      <c r="A160" s="15" t="inlineStr">
        <is>
          <t>Cocks &amp; hens from churchscot of customary tenants</t>
        </is>
      </c>
      <c r="B160" t="n">
        <v>0</v>
      </c>
      <c r="C160" t="n">
        <v>0</v>
      </c>
      <c r="D160" t="n">
        <v>0</v>
      </c>
      <c r="F160" t="n">
        <v>0</v>
      </c>
    </row>
    <row r="161">
      <c r="A161" s="15" t="inlineStr">
        <is>
          <t>Sum of above</t>
        </is>
      </c>
    </row>
    <row r="162">
      <c r="A162" s="17" t="inlineStr">
        <is>
          <t>Total value of stock</t>
        </is>
      </c>
      <c r="B162" s="93" t="n"/>
      <c r="C162" s="94" t="n"/>
      <c r="D162" s="93" t="n"/>
      <c r="E162" s="93" t="n"/>
      <c r="F162" s="93" t="n"/>
    </row>
    <row r="163">
      <c r="A163" s="17" t="inlineStr">
        <is>
          <t>Value of sales</t>
        </is>
      </c>
      <c r="B163" s="93" t="n"/>
      <c r="C163" s="94" t="n"/>
      <c r="D163" s="93" t="n"/>
      <c r="E163" s="93" t="n"/>
      <c r="F163" s="93" t="n"/>
    </row>
    <row r="164">
      <c r="A164" s="15" t="n"/>
    </row>
    <row r="165">
      <c r="A165" s="16" t="inlineStr">
        <is>
          <t>Dairy Production</t>
        </is>
      </c>
      <c r="B165" s="95" t="inlineStr">
        <is>
          <t>Begin stock</t>
        </is>
      </c>
      <c r="C165" s="95" t="inlineStr">
        <is>
          <t>End stock</t>
        </is>
      </c>
      <c r="D165" s="95" t="inlineStr">
        <is>
          <t>Stockbuilding</t>
        </is>
      </c>
      <c r="E165" s="95" t="n"/>
      <c r="F165" s="95" t="inlineStr">
        <is>
          <t>Value of stock in £</t>
        </is>
      </c>
    </row>
    <row r="166">
      <c r="A166" s="15" t="inlineStr">
        <is>
          <t>Butter</t>
        </is>
      </c>
      <c r="B166" t="n">
        <v>0</v>
      </c>
      <c r="C166" t="n">
        <v>0</v>
      </c>
      <c r="D166" t="n">
        <v>0</v>
      </c>
      <c r="F166">
        <f>C166*'Stock'!O89</f>
        <v/>
      </c>
      <c r="G166" s="116" t="n"/>
    </row>
    <row r="167">
      <c r="A167" s="15" t="inlineStr">
        <is>
          <t>Winter Cheese</t>
        </is>
      </c>
      <c r="B167" t="n">
        <v>0</v>
      </c>
      <c r="C167" t="n">
        <v>0</v>
      </c>
      <c r="D167" t="n">
        <v>0</v>
      </c>
      <c r="F167" t="n">
        <v>0</v>
      </c>
    </row>
    <row r="168">
      <c r="A168" s="15" t="inlineStr">
        <is>
          <t>Summer Cheese</t>
        </is>
      </c>
      <c r="B168" t="n">
        <v>0</v>
      </c>
      <c r="C168" t="n">
        <v>0</v>
      </c>
      <c r="D168" t="n">
        <v>0</v>
      </c>
      <c r="F168" t="n">
        <v>0</v>
      </c>
    </row>
    <row r="169">
      <c r="A169" s="17" t="inlineStr">
        <is>
          <t>Total value of production (sum of the above)</t>
        </is>
      </c>
      <c r="B169" s="93" t="n"/>
      <c r="C169" s="94" t="n"/>
      <c r="D169" s="93" t="n"/>
      <c r="E169" s="93" t="n"/>
      <c r="F169" s="93" t="n"/>
    </row>
    <row r="170">
      <c r="A170" s="17" t="inlineStr">
        <is>
          <t>Value of sales</t>
        </is>
      </c>
      <c r="B170" s="93" t="n"/>
      <c r="C170" s="94" t="n"/>
      <c r="D170" s="93" t="n"/>
      <c r="E170" s="93" t="n"/>
      <c r="F170" s="93" t="n"/>
    </row>
    <row r="171">
      <c r="A171" s="15" t="n"/>
    </row>
    <row r="172">
      <c r="A172" s="15" t="n"/>
    </row>
    <row r="173" ht="16" customHeight="1" thickBot="1"/>
    <row r="174" ht="16" customHeight="1" thickBot="1">
      <c r="A174" s="103" t="n"/>
      <c r="B174" s="104" t="inlineStr">
        <is>
          <t>Total in £</t>
        </is>
      </c>
      <c r="C174" s="105" t="n"/>
      <c r="D174" s="108" t="n"/>
      <c r="E174" s="108" t="n"/>
      <c r="F174" s="109" t="n"/>
    </row>
    <row r="175">
      <c r="A175" s="97" t="inlineStr">
        <is>
          <t>Total Production Value of all Output (Grange, Dairy, Livestock Sales, Wools, Skins - NO Mill)</t>
        </is>
      </c>
      <c r="B175" s="110">
        <f>F169+F162+F156+F147+F123+F115+D71</f>
        <v/>
      </c>
      <c r="D175" s="111" t="n"/>
      <c r="E175" s="111" t="n"/>
      <c r="F175" s="112" t="n"/>
    </row>
    <row r="176">
      <c r="A176" s="98" t="inlineStr">
        <is>
          <t>Total Sales Value of all Output as defined above</t>
        </is>
      </c>
      <c r="B176" s="110">
        <f>F170+F163+F156+F148+F124+F115+D73</f>
        <v/>
      </c>
      <c r="D176" s="111" t="n"/>
      <c r="E176" s="111" t="n"/>
      <c r="F176" s="112" t="n"/>
    </row>
    <row r="177">
      <c r="A177" s="98" t="inlineStr">
        <is>
          <t>Total Sales of Corn + Issues of the Manor as recorded in account</t>
        </is>
      </c>
      <c r="B177" s="110">
        <f>B15+B18</f>
        <v/>
      </c>
      <c r="D177" s="111" t="n"/>
      <c r="E177" s="111" t="n"/>
      <c r="F177" s="112" t="n"/>
    </row>
    <row r="178">
      <c r="A178" s="98" t="inlineStr">
        <is>
          <t>Production Value + Cash Receipts (excl. Arrears, Issues, Corn and Mill)</t>
        </is>
      </c>
      <c r="B178" s="110">
        <f>B175+B12+B13+B14+B16+B17+B19+B20+B21+B22</f>
        <v/>
      </c>
      <c r="D178" s="111" t="n"/>
      <c r="E178" s="111" t="n"/>
      <c r="F178" s="112" t="n"/>
    </row>
    <row r="179">
      <c r="A179" s="99" t="n"/>
      <c r="B179" s="111" t="n"/>
      <c r="D179" s="111" t="n"/>
      <c r="E179" s="111" t="n"/>
      <c r="F179" s="112" t="n"/>
    </row>
    <row r="180">
      <c r="A180" s="100" t="inlineStr">
        <is>
          <t>% of capital expenses in terms of total production</t>
        </is>
      </c>
      <c r="B180" s="113">
        <f>B47/B175</f>
        <v/>
      </c>
      <c r="C180" s="13" t="n"/>
      <c r="F180" s="112" t="n"/>
    </row>
    <row r="181">
      <c r="A181" s="98" t="inlineStr">
        <is>
          <t>% of capital expenses in terms of total production + cash receipts</t>
        </is>
      </c>
      <c r="B181" s="113">
        <f>B47/B178</f>
        <v/>
      </c>
      <c r="D181" s="111" t="n"/>
      <c r="E181" s="111" t="n"/>
      <c r="F181" s="112" t="n"/>
    </row>
    <row r="182">
      <c r="A182" s="99" t="n"/>
      <c r="D182" s="111" t="n"/>
      <c r="E182" s="111" t="n"/>
      <c r="F182" s="112" t="n"/>
    </row>
    <row r="183" ht="16" customHeight="1" thickBot="1">
      <c r="A183" s="101" t="inlineStr">
        <is>
          <t>% of capital expenses as calculated previously</t>
        </is>
      </c>
      <c r="B183" s="106" t="inlineStr">
        <is>
          <t>n/a</t>
        </is>
      </c>
      <c r="C183" s="102" t="n"/>
      <c r="D183" s="114" t="n"/>
      <c r="E183" s="114" t="n"/>
      <c r="F183" s="115" t="n"/>
    </row>
  </sheetData>
  <mergeCells count="2">
    <mergeCell ref="B60:C60"/>
    <mergeCell ref="B75:C75"/>
  </mergeCells>
  <pageMargins left="0.7" right="0.7" top="0.75" bottom="0.75" header="0.3" footer="0.3"/>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ColWidth="8.81640625" defaultRowHeight="14.5"/>
  <sheetData>
    <row r="1">
      <c r="A1" s="59" t="inlineStr">
        <is>
          <t>No mill account for Adderbury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D268"/>
  <sheetViews>
    <sheetView topLeftCell="A1" workbookViewId="0">
      <selection activeCell="A1" sqref="A1"/>
    </sheetView>
  </sheetViews>
  <sheetFormatPr baseColWidth="8" defaultColWidth="8.81640625" defaultRowHeight="14.5"/>
  <cols>
    <col width="33.1796875" bestFit="1" customWidth="1" min="1" max="1"/>
    <col width="26.81640625" customWidth="1" min="2" max="2"/>
  </cols>
  <sheetData>
    <row r="1">
      <c r="A1" s="1" t="inlineStr">
        <is>
          <t>Heading</t>
        </is>
      </c>
      <c r="B1" s="1" t="inlineStr">
        <is>
          <t>Sentence</t>
        </is>
      </c>
      <c r="C1" s="1" t="inlineStr">
        <is>
          <t>Total in Pounds</t>
        </is>
      </c>
      <c r="D1" s="1" t="inlineStr">
        <is>
          <t>Pounds</t>
        </is>
      </c>
      <c r="E1" s="1" t="inlineStr">
        <is>
          <t>Shillings</t>
        </is>
      </c>
      <c r="F1" s="1" t="inlineStr">
        <is>
          <t>Pence</t>
        </is>
      </c>
      <c r="G1" s="1" t="inlineStr">
        <is>
          <t>Corn</t>
        </is>
      </c>
      <c r="H1" s="1" t="inlineStr">
        <is>
          <t>Total Quarters Except 1</t>
        </is>
      </c>
      <c r="I1" s="1" t="inlineStr">
        <is>
          <t>Total Bushels Except 1</t>
        </is>
      </c>
      <c r="J1" s="1" t="inlineStr">
        <is>
          <t>Total Corn Cross-Check</t>
        </is>
      </c>
      <c r="K1" s="1" t="inlineStr">
        <is>
          <t>Total Corn Manorial Account</t>
        </is>
      </c>
      <c r="L1" s="1" t="inlineStr">
        <is>
          <t>Corn Quantity Error</t>
        </is>
      </c>
      <c r="M1" s="1" t="inlineStr">
        <is>
          <t>Quarters 1</t>
        </is>
      </c>
      <c r="N1" s="1" t="inlineStr">
        <is>
          <t>Bushels 1</t>
        </is>
      </c>
      <c r="O1" s="1" t="inlineStr">
        <is>
          <t>shilling a quarter 1</t>
        </is>
      </c>
      <c r="P1" s="1" t="inlineStr">
        <is>
          <t>pence a quarter 1</t>
        </is>
      </c>
      <c r="Q1" s="1" t="inlineStr">
        <is>
          <t>shilling a quarter 2</t>
        </is>
      </c>
      <c r="R1" s="1" t="inlineStr">
        <is>
          <t>pence a quarter 2</t>
        </is>
      </c>
      <c r="S1" s="1" t="inlineStr">
        <is>
          <t>shilling a quarter 3</t>
        </is>
      </c>
      <c r="T1" s="1" t="inlineStr">
        <is>
          <t>pence a quarter 3</t>
        </is>
      </c>
      <c r="U1" s="1" t="inlineStr">
        <is>
          <t>shilling a quarter 4</t>
        </is>
      </c>
      <c r="V1" s="1" t="inlineStr">
        <is>
          <t>pence a quarter 4</t>
        </is>
      </c>
      <c r="W1" s="1" t="inlineStr">
        <is>
          <t>shilling a bushel 1</t>
        </is>
      </c>
      <c r="X1" s="1" t="inlineStr">
        <is>
          <t>pence a bushel 1</t>
        </is>
      </c>
      <c r="Y1" s="1" t="inlineStr">
        <is>
          <t>shilling a bushel 2</t>
        </is>
      </c>
      <c r="Z1" s="1" t="inlineStr">
        <is>
          <t>pence a bushel 2</t>
        </is>
      </c>
      <c r="AA1" s="1" t="inlineStr">
        <is>
          <t>shilling a bushel 3</t>
        </is>
      </c>
      <c r="AB1" s="1" t="inlineStr">
        <is>
          <t>pence a bushel 3</t>
        </is>
      </c>
      <c r="AC1" s="1" t="inlineStr">
        <is>
          <t>shilling a bushel 4</t>
        </is>
      </c>
      <c r="AD1" s="1" t="inlineStr">
        <is>
          <t>pence a bushel 4</t>
        </is>
      </c>
    </row>
    <row r="2">
      <c r="A2" t="inlineStr">
        <is>
          <t>Adderbury</t>
        </is>
      </c>
      <c r="B2" t="inlineStr">
        <is>
          <t>The account2 of William Jakeman, reeve there, for the sixth year of the translation of Henry Beaufort', lord bishop of Winchester, and the eleventh year of the reign of King Henry the Fourth.</t>
        </is>
      </c>
      <c r="C2" t="n">
        <v>0</v>
      </c>
      <c r="D2" t="n">
        <v>0</v>
      </c>
      <c r="E2" t="n">
        <v>0</v>
      </c>
      <c r="F2" t="n">
        <v>0</v>
      </c>
      <c r="H2" t="n">
        <v>0</v>
      </c>
      <c r="I2" t="n">
        <v>0</v>
      </c>
      <c r="J2" t="n">
        <v>0</v>
      </c>
      <c r="K2" t="n">
        <v>0</v>
      </c>
      <c r="L2" t="n">
        <v>0</v>
      </c>
      <c r="M2" t="n">
        <v>0</v>
      </c>
      <c r="N2" t="n">
        <v>0</v>
      </c>
    </row>
    <row r="3">
      <c r="A3" t="inlineStr">
        <is>
          <t xml:space="preserve">Arrears </t>
        </is>
      </c>
      <c r="B3" t="inlineStr">
        <is>
          <t>None.</t>
        </is>
      </c>
      <c r="C3" t="n">
        <v>0</v>
      </c>
      <c r="D3" t="n">
        <v>0</v>
      </c>
      <c r="E3" t="n">
        <v>0</v>
      </c>
      <c r="F3" t="n">
        <v>0</v>
      </c>
      <c r="H3" t="n">
        <v>0</v>
      </c>
      <c r="I3" t="n">
        <v>0</v>
      </c>
      <c r="J3" t="n">
        <v>0</v>
      </c>
      <c r="K3" t="n">
        <v>0</v>
      </c>
      <c r="L3" t="n">
        <v>0</v>
      </c>
      <c r="M3" t="n">
        <v>0</v>
      </c>
      <c r="N3" t="n">
        <v>0</v>
      </c>
    </row>
    <row r="4">
      <c r="A4" t="inlineStr">
        <is>
          <t>Rents of assize</t>
        </is>
      </c>
      <c r="B4" t="inlineStr">
        <is>
          <t>And for £6 9 shilling 6.25pence for all rents of assize at St Thomas the Apostle (21 December).</t>
        </is>
      </c>
      <c r="C4" t="n">
        <v>6.48</v>
      </c>
      <c r="D4" t="n">
        <v>6</v>
      </c>
      <c r="E4" t="n">
        <v>9</v>
      </c>
      <c r="F4" t="n">
        <v>6.25</v>
      </c>
      <c r="H4" t="n">
        <v>0</v>
      </c>
      <c r="I4" t="n">
        <v>0</v>
      </c>
      <c r="J4" t="n">
        <v>0</v>
      </c>
      <c r="K4" t="n">
        <v>0</v>
      </c>
      <c r="L4" t="n">
        <v>0</v>
      </c>
      <c r="M4" t="n">
        <v>0</v>
      </c>
      <c r="N4" t="n">
        <v>0</v>
      </c>
    </row>
    <row r="5">
      <c r="A5" t="inlineStr">
        <is>
          <t>Rents of assize</t>
        </is>
      </c>
      <c r="B5" t="inlineStr">
        <is>
          <t>£6 9 shilling 8.5pence at Easter (23 March).</t>
        </is>
      </c>
      <c r="C5" t="n">
        <v>6.49</v>
      </c>
      <c r="D5" t="n">
        <v>6</v>
      </c>
      <c r="E5" t="n">
        <v>9</v>
      </c>
      <c r="F5" t="n">
        <v>8.5</v>
      </c>
      <c r="H5" t="n">
        <v>0</v>
      </c>
      <c r="I5" t="n">
        <v>0</v>
      </c>
      <c r="J5" t="n">
        <v>0</v>
      </c>
      <c r="K5" t="n">
        <v>0</v>
      </c>
      <c r="L5" t="n">
        <v>0</v>
      </c>
      <c r="M5" t="n">
        <v>0</v>
      </c>
      <c r="N5" t="n">
        <v>0</v>
      </c>
    </row>
    <row r="6">
      <c r="A6" t="inlineStr">
        <is>
          <t>Rents of assize</t>
        </is>
      </c>
      <c r="B6" t="inlineStr">
        <is>
          <t>£6 9 shilling 6.25pence at the Nativity of St John the Baptist (24 June).</t>
        </is>
      </c>
      <c r="C6" t="n">
        <v>6.48</v>
      </c>
      <c r="D6" t="n">
        <v>6</v>
      </c>
      <c r="E6" t="n">
        <v>9</v>
      </c>
      <c r="F6" t="n">
        <v>6.25</v>
      </c>
      <c r="H6" t="n">
        <v>0</v>
      </c>
      <c r="I6" t="n">
        <v>0</v>
      </c>
      <c r="J6" t="n">
        <v>0</v>
      </c>
      <c r="K6" t="n">
        <v>0</v>
      </c>
      <c r="L6" t="n">
        <v>0</v>
      </c>
      <c r="M6" t="n">
        <v>0</v>
      </c>
      <c r="N6" t="n">
        <v>0</v>
      </c>
    </row>
    <row r="7">
      <c r="A7" t="inlineStr">
        <is>
          <t>Rents of assize</t>
        </is>
      </c>
      <c r="B7" t="inlineStr">
        <is>
          <t>£6 10 shilling 1.5pence at Michaelmas (29 September).</t>
        </is>
      </c>
      <c r="C7" t="n">
        <v>6.51</v>
      </c>
      <c r="D7" t="n">
        <v>6</v>
      </c>
      <c r="E7" t="n">
        <v>10</v>
      </c>
      <c r="F7" t="n">
        <v>1.5</v>
      </c>
      <c r="H7" t="n">
        <v>0</v>
      </c>
      <c r="I7" t="n">
        <v>0</v>
      </c>
      <c r="J7" t="n">
        <v>0</v>
      </c>
      <c r="K7" t="n">
        <v>0</v>
      </c>
      <c r="L7" t="n">
        <v>0</v>
      </c>
      <c r="M7" t="n">
        <v>0</v>
      </c>
      <c r="N7" t="n">
        <v>0</v>
      </c>
    </row>
    <row r="8">
      <c r="A8" t="inlineStr">
        <is>
          <t>Rents of assize</t>
        </is>
      </c>
      <c r="B8" t="inlineStr">
        <is>
          <t>Total, £25 18 shilling 10.5pence.</t>
        </is>
      </c>
      <c r="C8" t="n">
        <v>25.94</v>
      </c>
      <c r="D8" t="n">
        <v>25</v>
      </c>
      <c r="E8" t="n">
        <v>18</v>
      </c>
      <c r="F8" t="n">
        <v>10.5</v>
      </c>
      <c r="H8" t="n">
        <v>0</v>
      </c>
      <c r="I8" t="n">
        <v>0</v>
      </c>
      <c r="J8" t="n">
        <v>0</v>
      </c>
      <c r="K8" t="n">
        <v>0</v>
      </c>
      <c r="L8" t="n">
        <v>0</v>
      </c>
      <c r="M8" t="n">
        <v>0</v>
      </c>
      <c r="N8" t="n">
        <v>0</v>
      </c>
    </row>
    <row r="9">
      <c r="A9" t="inlineStr">
        <is>
          <t>Quittances of rent</t>
        </is>
      </c>
      <c r="B9" t="inlineStr">
        <is>
          <t>In quittance of rent of 1 reeve for the year 5 shilling.</t>
        </is>
      </c>
      <c r="C9" t="n">
        <v>0.25</v>
      </c>
      <c r="D9" t="n">
        <v>0</v>
      </c>
      <c r="E9" t="n">
        <v>5</v>
      </c>
      <c r="F9" t="n">
        <v>0</v>
      </c>
      <c r="H9" t="n">
        <v>0</v>
      </c>
      <c r="I9" t="n">
        <v>0</v>
      </c>
      <c r="J9" t="n">
        <v>0</v>
      </c>
      <c r="K9" t="n">
        <v>0</v>
      </c>
      <c r="L9" t="n">
        <v>0</v>
      </c>
      <c r="M9" t="n">
        <v>0</v>
      </c>
      <c r="N9" t="n">
        <v>0</v>
      </c>
    </row>
    <row r="10">
      <c r="A10" t="inlineStr">
        <is>
          <t>Quittances of rent</t>
        </is>
      </c>
      <c r="B10" t="inlineStr">
        <is>
          <t>nothing this year of the 4 shilling for 1 smith forging the ironwork of 2 ploughs for the year.</t>
        </is>
      </c>
      <c r="C10" t="n">
        <v>0.2</v>
      </c>
      <c r="D10" t="n">
        <v>0</v>
      </c>
      <c r="E10" t="n">
        <v>4</v>
      </c>
      <c r="F10" t="n">
        <v>0</v>
      </c>
      <c r="H10" t="n">
        <v>0</v>
      </c>
      <c r="I10" t="n">
        <v>0</v>
      </c>
      <c r="J10" t="n">
        <v>0</v>
      </c>
      <c r="K10" t="n">
        <v>0</v>
      </c>
      <c r="L10" t="n">
        <v>0</v>
      </c>
      <c r="M10" t="n">
        <v>0</v>
      </c>
      <c r="N10" t="n">
        <v>0</v>
      </c>
    </row>
    <row r="11">
      <c r="A11" t="inlineStr">
        <is>
          <t>Quittances of rent</t>
        </is>
      </c>
      <c r="B11" t="inlineStr">
        <is>
          <t>nothing this year of the 4 shilling for 1 shepherd keeping the lord's wethers for the year.</t>
        </is>
      </c>
      <c r="C11" t="n">
        <v>0.2</v>
      </c>
      <c r="D11" t="n">
        <v>0</v>
      </c>
      <c r="E11" t="n">
        <v>4</v>
      </c>
      <c r="F11" t="n">
        <v>0</v>
      </c>
      <c r="H11" t="n">
        <v>0</v>
      </c>
      <c r="I11" t="n">
        <v>0</v>
      </c>
      <c r="J11" t="n">
        <v>0</v>
      </c>
      <c r="K11" t="n">
        <v>0</v>
      </c>
      <c r="L11" t="n">
        <v>0</v>
      </c>
      <c r="M11" t="n">
        <v>0</v>
      </c>
      <c r="N11" t="n">
        <v>0</v>
      </c>
    </row>
    <row r="12">
      <c r="A12" t="inlineStr">
        <is>
          <t>Quittances of rent</t>
        </is>
      </c>
      <c r="B12" t="inlineStr">
        <is>
          <t>nothing this year of the 4 shilling for 1 swineherd for the year.</t>
        </is>
      </c>
      <c r="C12" t="n">
        <v>0.2</v>
      </c>
      <c r="D12" t="n">
        <v>0</v>
      </c>
      <c r="E12" t="n">
        <v>4</v>
      </c>
      <c r="F12" t="n">
        <v>0</v>
      </c>
      <c r="H12" t="n">
        <v>0</v>
      </c>
      <c r="I12" t="n">
        <v>0</v>
      </c>
      <c r="J12" t="n">
        <v>0</v>
      </c>
      <c r="K12" t="n">
        <v>0</v>
      </c>
      <c r="L12" t="n">
        <v>0</v>
      </c>
      <c r="M12" t="n">
        <v>0</v>
      </c>
      <c r="N12" t="n">
        <v>0</v>
      </c>
    </row>
    <row r="13">
      <c r="A13" t="inlineStr">
        <is>
          <t>Quittances of rent</t>
        </is>
      </c>
      <c r="B13" t="inlineStr">
        <is>
          <t>nothing this year of the 4 shilling for 1 cowherd for the year.</t>
        </is>
      </c>
      <c r="C13" t="n">
        <v>0.2</v>
      </c>
      <c r="D13" t="n">
        <v>0</v>
      </c>
      <c r="E13" t="n">
        <v>4</v>
      </c>
      <c r="F13" t="n">
        <v>0</v>
      </c>
      <c r="H13" t="n">
        <v>0</v>
      </c>
      <c r="I13" t="n">
        <v>0</v>
      </c>
      <c r="J13" t="n">
        <v>0</v>
      </c>
      <c r="K13" t="n">
        <v>0</v>
      </c>
      <c r="L13" t="n">
        <v>0</v>
      </c>
      <c r="M13" t="n">
        <v>0</v>
      </c>
      <c r="N13" t="n">
        <v>0</v>
      </c>
    </row>
    <row r="14">
      <c r="A14" t="inlineStr">
        <is>
          <t>Quittances of rent</t>
        </is>
      </c>
      <c r="B14" t="inlineStr">
        <is>
          <t>nothing this year of the 2 shilling 7.5pence for 1 customary tenant who was accustomed to provide all the necessaries pertaining to 1 plough, apart from iron and steel, with 1 man.</t>
        </is>
      </c>
      <c r="C14" t="n">
        <v>0.13</v>
      </c>
      <c r="D14" t="n">
        <v>0</v>
      </c>
      <c r="E14" t="n">
        <v>2</v>
      </c>
      <c r="F14" t="n">
        <v>7.5</v>
      </c>
      <c r="H14" t="n">
        <v>0</v>
      </c>
      <c r="I14" t="n">
        <v>0</v>
      </c>
      <c r="J14" t="n">
        <v>0</v>
      </c>
      <c r="K14" t="n">
        <v>0</v>
      </c>
      <c r="L14" t="n">
        <v>0</v>
      </c>
      <c r="M14" t="n">
        <v>0</v>
      </c>
      <c r="N14" t="n">
        <v>0</v>
      </c>
    </row>
    <row r="15">
      <c r="A15" t="inlineStr">
        <is>
          <t>Quittances of rent</t>
        </is>
      </c>
      <c r="B15" t="inlineStr">
        <is>
          <t>nothing this year of the 5 shilling 4pence for 2 drovers for the year.</t>
        </is>
      </c>
      <c r="C15" t="n">
        <v>0.27</v>
      </c>
      <c r="D15" t="n">
        <v>0</v>
      </c>
      <c r="E15" t="n">
        <v>5</v>
      </c>
      <c r="F15" t="n">
        <v>4</v>
      </c>
      <c r="H15" t="n">
        <v>0</v>
      </c>
      <c r="I15" t="n">
        <v>0</v>
      </c>
      <c r="J15" t="n">
        <v>0</v>
      </c>
      <c r="K15" t="n">
        <v>0</v>
      </c>
      <c r="L15" t="n">
        <v>0</v>
      </c>
      <c r="M15" t="n">
        <v>0</v>
      </c>
      <c r="N15" t="n">
        <v>0</v>
      </c>
    </row>
    <row r="16">
      <c r="A16" t="inlineStr">
        <is>
          <t>Quittances of rent</t>
        </is>
      </c>
      <c r="B16" t="inlineStr">
        <is>
          <t>37 virgaters working every other day between the Nativity of St John the Baptist and Michaelmas £1 7 shilling 9pence, or 9pence a virgate.</t>
        </is>
      </c>
      <c r="C16" t="n">
        <v>1.39</v>
      </c>
      <c r="D16" t="n">
        <v>1</v>
      </c>
      <c r="E16" t="n">
        <v>7</v>
      </c>
      <c r="F16" t="n">
        <v>9</v>
      </c>
      <c r="H16" t="n">
        <v>0</v>
      </c>
      <c r="I16" t="n">
        <v>0</v>
      </c>
      <c r="J16" t="n">
        <v>0</v>
      </c>
      <c r="K16" t="n">
        <v>0</v>
      </c>
      <c r="L16" t="n">
        <v>0</v>
      </c>
      <c r="M16" t="n">
        <v>0</v>
      </c>
      <c r="N16" t="n">
        <v>0</v>
      </c>
    </row>
    <row r="17">
      <c r="A17" t="inlineStr">
        <is>
          <t>Quittances of rent</t>
        </is>
      </c>
      <c r="B17" t="inlineStr">
        <is>
          <t>2 cotlanders holding in tenure working for the same time 1 shilling, or 6pence each, and not more because 6 cotlands are in the lord's hands.</t>
        </is>
      </c>
      <c r="C17" t="n">
        <v>0.08</v>
      </c>
      <c r="D17" t="n">
        <v>0</v>
      </c>
      <c r="E17" t="n">
        <v>1</v>
      </c>
      <c r="F17" t="n">
        <v>6</v>
      </c>
      <c r="H17" t="n">
        <v>0</v>
      </c>
      <c r="I17" t="n">
        <v>0</v>
      </c>
      <c r="J17" t="n">
        <v>0</v>
      </c>
      <c r="K17" t="n">
        <v>0</v>
      </c>
      <c r="L17" t="n">
        <v>0</v>
      </c>
      <c r="M17" t="n">
        <v>0</v>
      </c>
      <c r="N17" t="n">
        <v>0</v>
      </c>
    </row>
    <row r="18">
      <c r="A18" t="inlineStr">
        <is>
          <t>Quittances of rent</t>
        </is>
      </c>
      <c r="B18" t="inlineStr">
        <is>
          <t>And note that the aforesaid workers are to weed the lord's corn, mow the meadows, make the hay and make haycocks therefrom, clean the curia, collect dung inside the curia and carry it outside, reap and bind all the lord's corn with the hired reapers as made clear elsewhere, stack all the lord's corn, collect the stubble and do other work in the manor when it was necessary.</t>
        </is>
      </c>
      <c r="C18" t="n">
        <v>0</v>
      </c>
      <c r="D18" t="n">
        <v>0</v>
      </c>
      <c r="E18" t="n">
        <v>0</v>
      </c>
      <c r="F18" t="n">
        <v>0</v>
      </c>
      <c r="H18" t="n">
        <v>0</v>
      </c>
      <c r="I18" t="n">
        <v>0</v>
      </c>
      <c r="J18" t="n">
        <v>0</v>
      </c>
      <c r="K18" t="n">
        <v>0</v>
      </c>
      <c r="L18" t="n">
        <v>0</v>
      </c>
      <c r="M18" t="n">
        <v>0</v>
      </c>
      <c r="N18" t="n">
        <v>0</v>
      </c>
    </row>
    <row r="19">
      <c r="A19" t="inlineStr">
        <is>
          <t>Quittances of rent</t>
        </is>
      </c>
      <c r="B19" t="inlineStr">
        <is>
          <t>Total, £1 13 shilling 9pence.</t>
        </is>
      </c>
      <c r="C19" t="n">
        <v>1.69</v>
      </c>
      <c r="D19" t="n">
        <v>1</v>
      </c>
      <c r="E19" t="n">
        <v>13</v>
      </c>
      <c r="F19" t="n">
        <v>9</v>
      </c>
      <c r="H19" t="n">
        <v>0</v>
      </c>
      <c r="I19" t="n">
        <v>0</v>
      </c>
      <c r="J19" t="n">
        <v>0</v>
      </c>
      <c r="K19" t="n">
        <v>0</v>
      </c>
      <c r="L19" t="n">
        <v>0</v>
      </c>
      <c r="M19" t="n">
        <v>0</v>
      </c>
      <c r="N19" t="n">
        <v>0</v>
      </c>
    </row>
    <row r="20">
      <c r="A20" t="inlineStr">
        <is>
          <t>Defaults of rent</t>
        </is>
      </c>
      <c r="B20" t="inlineStr">
        <is>
          <t>Default of the meadow which John Bryddesthorn' held for his life drawn into demesne, 10 shilling for the year.</t>
        </is>
      </c>
      <c r="C20" t="n">
        <v>0.5</v>
      </c>
      <c r="D20" t="n">
        <v>0</v>
      </c>
      <c r="E20" t="n">
        <v>10</v>
      </c>
      <c r="F20" t="n">
        <v>0</v>
      </c>
      <c r="H20" t="n">
        <v>0</v>
      </c>
      <c r="I20" t="n">
        <v>0</v>
      </c>
      <c r="J20" t="n">
        <v>0</v>
      </c>
      <c r="K20" t="n">
        <v>0</v>
      </c>
      <c r="L20" t="n">
        <v>0</v>
      </c>
      <c r="M20" t="n">
        <v>0</v>
      </c>
      <c r="N20" t="n">
        <v>0</v>
      </c>
    </row>
    <row r="21">
      <c r="A21" t="inlineStr">
        <is>
          <t>Defaults of rent</t>
        </is>
      </c>
      <c r="B21" t="inlineStr">
        <is>
          <t>1 toft and 1 curtilage of villein land called Cokpedehall', in the lord's hands from a want of tenants because noone wished to hold it, 6pence.</t>
        </is>
      </c>
      <c r="C21" t="n">
        <v>0.03</v>
      </c>
      <c r="D21" t="n">
        <v>0</v>
      </c>
      <c r="E21" t="n">
        <v>0</v>
      </c>
      <c r="F21" t="n">
        <v>6</v>
      </c>
      <c r="H21" t="n">
        <v>0</v>
      </c>
      <c r="I21" t="n">
        <v>0</v>
      </c>
      <c r="J21" t="n">
        <v>0</v>
      </c>
      <c r="K21" t="n">
        <v>0</v>
      </c>
      <c r="L21" t="n">
        <v>0</v>
      </c>
      <c r="M21" t="n">
        <v>0</v>
      </c>
      <c r="N21" t="n">
        <v>0</v>
      </c>
    </row>
    <row r="22">
      <c r="A22" t="inlineStr">
        <is>
          <t>Defaults of rent</t>
        </is>
      </c>
      <c r="B22" t="inlineStr">
        <is>
          <t>Total, 10 shilling6pence.</t>
        </is>
      </c>
      <c r="C22" t="n">
        <v>0.53</v>
      </c>
      <c r="D22" t="n">
        <v>0</v>
      </c>
      <c r="E22" t="n">
        <v>10</v>
      </c>
      <c r="F22" t="n">
        <v>6</v>
      </c>
      <c r="H22" t="n">
        <v>0</v>
      </c>
      <c r="I22" t="n">
        <v>0</v>
      </c>
      <c r="J22" t="n">
        <v>0</v>
      </c>
      <c r="K22" t="n">
        <v>0</v>
      </c>
      <c r="L22" t="n">
        <v>0</v>
      </c>
      <c r="M22" t="n">
        <v>0</v>
      </c>
      <c r="N22" t="n">
        <v>0</v>
      </c>
    </row>
    <row r="23">
      <c r="A23" t="inlineStr">
        <is>
          <t>Defaults of rent through the pestilence</t>
        </is>
      </c>
      <c r="B23" t="inlineStr">
        <is>
          <t>In default of 1 messuage and 1 acreland formerly of Richard Bolt, in the lord's hands from a want of tenants, 4 shilling 10pence for the year, and demised at farm as made clear below.</t>
        </is>
      </c>
      <c r="C23" t="n">
        <v>0.24</v>
      </c>
      <c r="D23" t="n">
        <v>0</v>
      </c>
      <c r="E23" t="n">
        <v>4</v>
      </c>
      <c r="F23" t="n">
        <v>10</v>
      </c>
      <c r="H23" t="n">
        <v>0</v>
      </c>
      <c r="I23" t="n">
        <v>0</v>
      </c>
      <c r="J23" t="n">
        <v>0</v>
      </c>
      <c r="K23" t="n">
        <v>0</v>
      </c>
      <c r="L23" t="n">
        <v>0</v>
      </c>
      <c r="M23" t="n">
        <v>0</v>
      </c>
      <c r="N23" t="n">
        <v>0</v>
      </c>
    </row>
    <row r="24">
      <c r="A24" t="inlineStr">
        <is>
          <t>Defaults of rent through the pestilence</t>
        </is>
      </c>
      <c r="B24" t="inlineStr">
        <is>
          <t>1 messuage and 1 acreland formerly of John Stephen' and afterwards of Mabel Dawe in the lord's hands, 2 shilling 6pence for the year, and at farm as made clear below.</t>
        </is>
      </c>
      <c r="C24" t="n">
        <v>0.12</v>
      </c>
      <c r="D24" t="n">
        <v>0</v>
      </c>
      <c r="E24" t="n">
        <v>2</v>
      </c>
      <c r="F24" t="n">
        <v>6</v>
      </c>
      <c r="H24" t="n">
        <v>0</v>
      </c>
      <c r="I24" t="n">
        <v>0</v>
      </c>
      <c r="J24" t="n">
        <v>0</v>
      </c>
      <c r="K24" t="n">
        <v>0</v>
      </c>
      <c r="L24" t="n">
        <v>0</v>
      </c>
      <c r="M24" t="n">
        <v>0</v>
      </c>
      <c r="N24" t="n">
        <v>0</v>
      </c>
    </row>
    <row r="25">
      <c r="A25" t="inlineStr">
        <is>
          <t>Defaults of rent through the pestilence</t>
        </is>
      </c>
      <c r="B25" t="inlineStr">
        <is>
          <t>1 messuage and 1 acreland formerly of Richard Dolphin in the lord's hands, 2 shilling 9pence for the year, and at farm as made clear below.</t>
        </is>
      </c>
      <c r="C25" t="n">
        <v>0.14</v>
      </c>
      <c r="D25" t="n">
        <v>0</v>
      </c>
      <c r="E25" t="n">
        <v>2</v>
      </c>
      <c r="F25" t="n">
        <v>9</v>
      </c>
      <c r="H25" t="n">
        <v>0</v>
      </c>
      <c r="I25" t="n">
        <v>0</v>
      </c>
      <c r="J25" t="n">
        <v>0</v>
      </c>
      <c r="K25" t="n">
        <v>0</v>
      </c>
      <c r="L25" t="n">
        <v>0</v>
      </c>
      <c r="M25" t="n">
        <v>0</v>
      </c>
      <c r="N25" t="n">
        <v>0</v>
      </c>
    </row>
    <row r="26">
      <c r="A26" t="inlineStr">
        <is>
          <t>Defaults of rent through the pestilence</t>
        </is>
      </c>
      <c r="B26" t="inlineStr">
        <is>
          <t>1 messuage and 1 acreland formerly of Richard Acreman and afterwards of Alan Acreman in the lord's hands, 5 shilling 6pence for the year, and at farm as made clear below.</t>
        </is>
      </c>
      <c r="C26" t="n">
        <v>0.28</v>
      </c>
      <c r="D26" t="n">
        <v>0</v>
      </c>
      <c r="E26" t="n">
        <v>5</v>
      </c>
      <c r="F26" t="n">
        <v>6</v>
      </c>
      <c r="H26" t="n">
        <v>0</v>
      </c>
      <c r="I26" t="n">
        <v>0</v>
      </c>
      <c r="J26" t="n">
        <v>0</v>
      </c>
      <c r="K26" t="n">
        <v>0</v>
      </c>
      <c r="L26" t="n">
        <v>0</v>
      </c>
      <c r="M26" t="n">
        <v>0</v>
      </c>
      <c r="N26" t="n">
        <v>0</v>
      </c>
    </row>
    <row r="27">
      <c r="A27" t="inlineStr">
        <is>
          <t>Defaults of rent through the pestilence</t>
        </is>
      </c>
      <c r="B27" t="inlineStr">
        <is>
          <t>1 messuage and 1 acreland formerly of John Osbarn' and afterwards of John Dolphyn in the lord's hands, 2 shilling 6pence for the year, and at farm as made clear below.</t>
        </is>
      </c>
      <c r="C27" t="n">
        <v>0.12</v>
      </c>
      <c r="D27" t="n">
        <v>0</v>
      </c>
      <c r="E27" t="n">
        <v>2</v>
      </c>
      <c r="F27" t="n">
        <v>6</v>
      </c>
      <c r="H27" t="n">
        <v>0</v>
      </c>
      <c r="I27" t="n">
        <v>0</v>
      </c>
      <c r="J27" t="n">
        <v>0</v>
      </c>
      <c r="K27" t="n">
        <v>0</v>
      </c>
      <c r="L27" t="n">
        <v>0</v>
      </c>
      <c r="M27" t="n">
        <v>0</v>
      </c>
      <c r="N27" t="n">
        <v>0</v>
      </c>
    </row>
    <row r="28">
      <c r="A28" t="inlineStr">
        <is>
          <t>Defaults of rent through the pestilence</t>
        </is>
      </c>
      <c r="B28" t="inlineStr">
        <is>
          <t>1 messuage and 1 acreland formerly of John Buryman in the lord's hands, 2 shilling 6pence for the year, and at farm as made clear below.</t>
        </is>
      </c>
      <c r="C28" t="n">
        <v>0.12</v>
      </c>
      <c r="D28" t="n">
        <v>0</v>
      </c>
      <c r="E28" t="n">
        <v>2</v>
      </c>
      <c r="F28" t="n">
        <v>6</v>
      </c>
      <c r="H28" t="n">
        <v>0</v>
      </c>
      <c r="I28" t="n">
        <v>0</v>
      </c>
      <c r="J28" t="n">
        <v>0</v>
      </c>
      <c r="K28" t="n">
        <v>0</v>
      </c>
      <c r="L28" t="n">
        <v>0</v>
      </c>
      <c r="M28" t="n">
        <v>0</v>
      </c>
      <c r="N28" t="n">
        <v>0</v>
      </c>
    </row>
    <row r="29">
      <c r="A29" t="inlineStr">
        <is>
          <t>Defaults of rent through the pestilence</t>
        </is>
      </c>
      <c r="B29" t="inlineStr">
        <is>
          <t>1 messuage and 1 acreland formerly of John Geffray and afterwards of Richard Smyth' in the lord's hands, 2 shilling 9pence for the year, and at farm as made clear below.</t>
        </is>
      </c>
      <c r="C29" t="n">
        <v>0.14</v>
      </c>
      <c r="D29" t="n">
        <v>0</v>
      </c>
      <c r="E29" t="n">
        <v>2</v>
      </c>
      <c r="F29" t="n">
        <v>9</v>
      </c>
      <c r="H29" t="n">
        <v>0</v>
      </c>
      <c r="I29" t="n">
        <v>0</v>
      </c>
      <c r="J29" t="n">
        <v>0</v>
      </c>
      <c r="K29" t="n">
        <v>0</v>
      </c>
      <c r="L29" t="n">
        <v>0</v>
      </c>
      <c r="M29" t="n">
        <v>0</v>
      </c>
      <c r="N29" t="n">
        <v>0</v>
      </c>
    </row>
    <row r="30">
      <c r="A30" t="inlineStr">
        <is>
          <t>Cotlands</t>
        </is>
      </c>
      <c r="B30" t="inlineStr">
        <is>
          <t>In default of 1 messuage and 1 cotland formerly of Gilbert Buryman and afterwards of William Som' in the lord's hands, 4 shilling for the year, and at farm as made clear below.</t>
        </is>
      </c>
      <c r="C30" t="n">
        <v>0.2</v>
      </c>
      <c r="D30" t="n">
        <v>0</v>
      </c>
      <c r="E30" t="n">
        <v>4</v>
      </c>
      <c r="F30" t="n">
        <v>0</v>
      </c>
      <c r="H30" t="n">
        <v>0</v>
      </c>
      <c r="I30" t="n">
        <v>0</v>
      </c>
      <c r="J30" t="n">
        <v>0</v>
      </c>
      <c r="K30" t="n">
        <v>0</v>
      </c>
      <c r="L30" t="n">
        <v>0</v>
      </c>
      <c r="M30" t="n">
        <v>0</v>
      </c>
      <c r="N30" t="n">
        <v>0</v>
      </c>
    </row>
    <row r="31">
      <c r="A31" t="inlineStr">
        <is>
          <t>Cotlands</t>
        </is>
      </c>
      <c r="B31" t="inlineStr">
        <is>
          <t>1 messuage and 1 cotland formerly of Richard Janekyn and afterwards of William Smyth in the lord's hands, 4 shilling for the year,' and at farm as made clear below.</t>
        </is>
      </c>
      <c r="C31" t="n">
        <v>0.2</v>
      </c>
      <c r="D31" t="n">
        <v>0</v>
      </c>
      <c r="E31" t="n">
        <v>4</v>
      </c>
      <c r="F31" t="n">
        <v>0</v>
      </c>
      <c r="H31" t="n">
        <v>0</v>
      </c>
      <c r="I31" t="n">
        <v>0</v>
      </c>
      <c r="J31" t="n">
        <v>0</v>
      </c>
      <c r="K31" t="n">
        <v>0</v>
      </c>
      <c r="L31" t="n">
        <v>0</v>
      </c>
      <c r="M31" t="n">
        <v>0</v>
      </c>
      <c r="N31" t="n">
        <v>0</v>
      </c>
    </row>
    <row r="32">
      <c r="A32" t="inlineStr">
        <is>
          <t>Cotlands</t>
        </is>
      </c>
      <c r="B32" t="inlineStr">
        <is>
          <t>1 messuage and 1 cotland formerly of Walter Bolt and afterwards of William Bolt in the lord's hands, 4 shilling for the year, and at farm as made clear below.</t>
        </is>
      </c>
      <c r="C32" t="n">
        <v>0.2</v>
      </c>
      <c r="D32" t="n">
        <v>0</v>
      </c>
      <c r="E32" t="n">
        <v>4</v>
      </c>
      <c r="F32" t="n">
        <v>0</v>
      </c>
      <c r="H32" t="n">
        <v>0</v>
      </c>
      <c r="I32" t="n">
        <v>0</v>
      </c>
      <c r="J32" t="n">
        <v>0</v>
      </c>
      <c r="K32" t="n">
        <v>0</v>
      </c>
      <c r="L32" t="n">
        <v>0</v>
      </c>
      <c r="M32" t="n">
        <v>0</v>
      </c>
      <c r="N32" t="n">
        <v>0</v>
      </c>
    </row>
    <row r="33">
      <c r="A33" t="inlineStr">
        <is>
          <t>Cotlands</t>
        </is>
      </c>
      <c r="B33" t="inlineStr">
        <is>
          <t>1 messuage and 1 cotland formerly of Richard Skreveyn and afterwards of Richard Andrew in the lord's hands, 4 shilling for the year, and at farm as made clear below.</t>
        </is>
      </c>
      <c r="C33" t="n">
        <v>0.2</v>
      </c>
      <c r="D33" t="n">
        <v>0</v>
      </c>
      <c r="E33" t="n">
        <v>4</v>
      </c>
      <c r="F33" t="n">
        <v>0</v>
      </c>
      <c r="H33" t="n">
        <v>0</v>
      </c>
      <c r="I33" t="n">
        <v>0</v>
      </c>
      <c r="J33" t="n">
        <v>0</v>
      </c>
      <c r="K33" t="n">
        <v>0</v>
      </c>
      <c r="L33" t="n">
        <v>0</v>
      </c>
      <c r="M33" t="n">
        <v>0</v>
      </c>
      <c r="N33" t="n">
        <v>0</v>
      </c>
    </row>
    <row r="34">
      <c r="A34" t="inlineStr">
        <is>
          <t>Cotlands</t>
        </is>
      </c>
      <c r="B34" t="inlineStr">
        <is>
          <t>1 messuage and 1 cotland formerly of John Gylot and afterwards of William Gylot in the lord's hands, 4 shilling for the year, and at farm as made clear below.</t>
        </is>
      </c>
      <c r="C34" t="n">
        <v>0.2</v>
      </c>
      <c r="D34" t="n">
        <v>0</v>
      </c>
      <c r="E34" t="n">
        <v>4</v>
      </c>
      <c r="F34" t="n">
        <v>0</v>
      </c>
      <c r="H34" t="n">
        <v>0</v>
      </c>
      <c r="I34" t="n">
        <v>0</v>
      </c>
      <c r="J34" t="n">
        <v>0</v>
      </c>
      <c r="K34" t="n">
        <v>0</v>
      </c>
      <c r="L34" t="n">
        <v>0</v>
      </c>
      <c r="M34" t="n">
        <v>0</v>
      </c>
      <c r="N34" t="n">
        <v>0</v>
      </c>
    </row>
    <row r="35">
      <c r="A35" t="inlineStr">
        <is>
          <t>Cotlands</t>
        </is>
      </c>
      <c r="B35" t="inlineStr">
        <is>
          <t>1 messuage and 1 cotland formerly of Alice atte Halle and afterwards of Thomas Benne in the lord's hands, 4 shilling for the year, and at farm as made clear below.</t>
        </is>
      </c>
      <c r="C35" t="n">
        <v>0.2</v>
      </c>
      <c r="D35" t="n">
        <v>0</v>
      </c>
      <c r="E35" t="n">
        <v>4</v>
      </c>
      <c r="F35" t="n">
        <v>0</v>
      </c>
      <c r="H35" t="n">
        <v>0</v>
      </c>
      <c r="I35" t="n">
        <v>0</v>
      </c>
      <c r="J35" t="n">
        <v>0</v>
      </c>
      <c r="K35" t="n">
        <v>0</v>
      </c>
      <c r="L35" t="n">
        <v>0</v>
      </c>
      <c r="M35" t="n">
        <v>0</v>
      </c>
      <c r="N35" t="n">
        <v>0</v>
      </c>
    </row>
    <row r="36">
      <c r="A36" t="inlineStr">
        <is>
          <t>Cotlands</t>
        </is>
      </c>
      <c r="B36" t="inlineStr">
        <is>
          <t>Total, £2 7 shilling 4pence.</t>
        </is>
      </c>
      <c r="C36" t="n">
        <v>2.37</v>
      </c>
      <c r="D36" t="n">
        <v>2</v>
      </c>
      <c r="E36" t="n">
        <v>7</v>
      </c>
      <c r="F36" t="n">
        <v>4</v>
      </c>
      <c r="H36" t="n">
        <v>0</v>
      </c>
      <c r="I36" t="n">
        <v>0</v>
      </c>
      <c r="J36" t="n">
        <v>0</v>
      </c>
      <c r="K36" t="n">
        <v>0</v>
      </c>
      <c r="L36" t="n">
        <v>0</v>
      </c>
      <c r="M36" t="n">
        <v>0</v>
      </c>
      <c r="N36" t="n">
        <v>0</v>
      </c>
    </row>
    <row r="37">
      <c r="A37" t="inlineStr">
        <is>
          <t>Total of quittances and defaults of rent</t>
        </is>
      </c>
      <c r="B37" t="inlineStr">
        <is>
          <t>Total of quittances and defaults of rent, £4 11 shilling 7pence.</t>
        </is>
      </c>
      <c r="C37" t="n">
        <v>4.58</v>
      </c>
      <c r="D37" t="n">
        <v>4</v>
      </c>
      <c r="E37" t="n">
        <v>11</v>
      </c>
      <c r="F37" t="n">
        <v>7</v>
      </c>
      <c r="H37" t="n">
        <v>0</v>
      </c>
      <c r="I37" t="n">
        <v>0</v>
      </c>
      <c r="J37" t="n">
        <v>0</v>
      </c>
      <c r="K37" t="n">
        <v>0</v>
      </c>
      <c r="L37" t="n">
        <v>0</v>
      </c>
      <c r="M37" t="n">
        <v>0</v>
      </c>
      <c r="N37" t="n">
        <v>0</v>
      </c>
    </row>
    <row r="38">
      <c r="A38" t="inlineStr">
        <is>
          <t>Total of rents remaining clear</t>
        </is>
      </c>
      <c r="B38" t="inlineStr">
        <is>
          <t>Total of rents remaining clear, £21 7 shilling 3.5pence.</t>
        </is>
      </c>
      <c r="C38" t="n">
        <v>21.36</v>
      </c>
      <c r="D38" t="n">
        <v>21</v>
      </c>
      <c r="E38" t="n">
        <v>7</v>
      </c>
      <c r="F38" t="n">
        <v>3.5</v>
      </c>
      <c r="H38" t="n">
        <v>0</v>
      </c>
      <c r="I38" t="n">
        <v>0</v>
      </c>
      <c r="J38" t="n">
        <v>0</v>
      </c>
      <c r="K38" t="n">
        <v>0</v>
      </c>
      <c r="L38" t="n">
        <v>0</v>
      </c>
      <c r="M38" t="n">
        <v>0</v>
      </c>
      <c r="N38" t="n">
        <v>0</v>
      </c>
    </row>
    <row r="39">
      <c r="A39" t="inlineStr">
        <is>
          <t>Farms</t>
        </is>
      </c>
      <c r="B39" t="inlineStr">
        <is>
          <t>And for 16 shilling from William Bourton' for the farm of 15 acres of demesne land lying beside Bodicote called Goldwelleforlong', with the small pasture annexed to the said furlong (cultur') and 1.5 acres in the meadow of Sweteneye, demised to the same William for 20 years, this year being the sixth, to be paid at the four terms of the year.</t>
        </is>
      </c>
      <c r="C39" t="n">
        <v>0.8</v>
      </c>
      <c r="D39" t="n">
        <v>0</v>
      </c>
      <c r="E39" t="n">
        <v>16</v>
      </c>
      <c r="F39" t="n">
        <v>0</v>
      </c>
      <c r="H39" t="n">
        <v>0</v>
      </c>
      <c r="I39" t="n">
        <v>0</v>
      </c>
      <c r="J39" t="n">
        <v>0</v>
      </c>
      <c r="K39" t="n">
        <v>0</v>
      </c>
      <c r="L39" t="n">
        <v>0</v>
      </c>
      <c r="M39" t="n">
        <v>0</v>
      </c>
      <c r="N39" t="n">
        <v>0</v>
      </c>
    </row>
    <row r="40">
      <c r="A40" t="inlineStr">
        <is>
          <t>Farms</t>
        </is>
      </c>
      <c r="B40" t="inlineStr">
        <is>
          <t>6 shilling 8pence from John Jakeman for the farm of 6 selions in le Estfeld' and 6 selions in le Westfeld', with the small pasture annexed to the said furlong called Wyneswell , in severalty every other year whilst it pleases the lord, to be paid as before.</t>
        </is>
      </c>
      <c r="C40" t="n">
        <v>0.33</v>
      </c>
      <c r="D40" t="n">
        <v>0</v>
      </c>
      <c r="E40" t="n">
        <v>6</v>
      </c>
      <c r="F40" t="n">
        <v>8</v>
      </c>
      <c r="H40" t="n">
        <v>0</v>
      </c>
      <c r="I40" t="n">
        <v>0</v>
      </c>
      <c r="J40" t="n">
        <v>0</v>
      </c>
      <c r="K40" t="n">
        <v>0</v>
      </c>
      <c r="L40" t="n">
        <v>0</v>
      </c>
      <c r="M40" t="n">
        <v>0</v>
      </c>
      <c r="N40" t="n">
        <v>0</v>
      </c>
    </row>
    <row r="41">
      <c r="A41" t="inlineStr">
        <is>
          <t>Farms</t>
        </is>
      </c>
      <c r="B41" t="inlineStr">
        <is>
          <t>16 shilling from Robert Box, William Lemburgh' and William Malle for the farm of 13 acres of demesne land in le Westfeld' called Newelond' and 4 acres at the headland of Wyneswell' whilst it pleases the lord, to be paid as before.</t>
        </is>
      </c>
      <c r="C41" t="n">
        <v>0.8</v>
      </c>
      <c r="D41" t="n">
        <v>0</v>
      </c>
      <c r="E41" t="n">
        <v>16</v>
      </c>
      <c r="F41" t="n">
        <v>0</v>
      </c>
      <c r="H41" t="n">
        <v>0</v>
      </c>
      <c r="I41" t="n">
        <v>0</v>
      </c>
      <c r="J41" t="n">
        <v>0</v>
      </c>
      <c r="K41" t="n">
        <v>0</v>
      </c>
      <c r="L41" t="n">
        <v>0</v>
      </c>
      <c r="M41" t="n">
        <v>0</v>
      </c>
      <c r="N41" t="n">
        <v>0</v>
      </c>
    </row>
    <row r="42">
      <c r="A42" t="inlineStr">
        <is>
          <t>Farms</t>
        </is>
      </c>
      <c r="B42" t="inlineStr">
        <is>
          <t>1 shilling 10pence from William Smyth' for 1 parcel of waste land annexed to his tenement, 14 feet long and 8 feet wide, for shoeing the horses at 1 tourn whilst it pleases the lord, and also for 5 acres 1 rood of demesne land, of which 3 acres lie at Cotmannethurne beside the land of John Wyght and 2 acres 1 rood lie beside the land called Nyneacres, for 12 years, this year being the seventh, to be paid as before.</t>
        </is>
      </c>
      <c r="C42" t="n">
        <v>0.09</v>
      </c>
      <c r="D42" t="n">
        <v>0</v>
      </c>
      <c r="E42" t="n">
        <v>1</v>
      </c>
      <c r="F42" t="n">
        <v>10</v>
      </c>
      <c r="H42" t="n">
        <v>0</v>
      </c>
      <c r="I42" t="n">
        <v>0</v>
      </c>
      <c r="J42" t="n">
        <v>0</v>
      </c>
      <c r="K42" t="n">
        <v>0</v>
      </c>
      <c r="L42" t="n">
        <v>0</v>
      </c>
      <c r="M42" t="n">
        <v>0</v>
      </c>
      <c r="N42" t="n">
        <v>0</v>
      </c>
    </row>
    <row r="43">
      <c r="A43" t="inlineStr">
        <is>
          <t>Farms</t>
        </is>
      </c>
      <c r="B43" t="inlineStr">
        <is>
          <t>1 shilling from Thomas Shiperde for the farm of 3 acres of demesne land demised to him whilst it pleases the lord, to be paid as before.</t>
        </is>
      </c>
      <c r="C43" t="n">
        <v>0.05</v>
      </c>
      <c r="D43" t="n">
        <v>0</v>
      </c>
      <c r="E43" t="n">
        <v>1</v>
      </c>
      <c r="F43" t="n">
        <v>0</v>
      </c>
      <c r="H43" t="n">
        <v>0</v>
      </c>
      <c r="I43" t="n">
        <v>0</v>
      </c>
      <c r="J43" t="n">
        <v>0</v>
      </c>
      <c r="K43" t="n">
        <v>0</v>
      </c>
      <c r="L43" t="n">
        <v>0</v>
      </c>
      <c r="M43" t="n">
        <v>0</v>
      </c>
      <c r="N43" t="n">
        <v>0</v>
      </c>
    </row>
    <row r="44">
      <c r="A44" t="inlineStr">
        <is>
          <t>Farms</t>
        </is>
      </c>
      <c r="B44" t="inlineStr">
        <is>
          <t>1 shilling 8pence from John Spencer for the farm of 5 acres of demesne land lying in Middelfurlong',.</t>
        </is>
      </c>
      <c r="C44" t="n">
        <v>0.08</v>
      </c>
      <c r="D44" t="n">
        <v>0</v>
      </c>
      <c r="E44" t="n">
        <v>1</v>
      </c>
      <c r="F44" t="n">
        <v>8</v>
      </c>
      <c r="H44" t="n">
        <v>0</v>
      </c>
      <c r="I44" t="n">
        <v>0</v>
      </c>
      <c r="J44" t="n">
        <v>0</v>
      </c>
      <c r="K44" t="n">
        <v>0</v>
      </c>
      <c r="L44" t="n">
        <v>0</v>
      </c>
      <c r="M44" t="n">
        <v>0</v>
      </c>
      <c r="N44" t="n">
        <v>0</v>
      </c>
    </row>
    <row r="45">
      <c r="A45" t="inlineStr">
        <is>
          <t>Farms</t>
        </is>
      </c>
      <c r="B45" t="inlineStr">
        <is>
          <t>demised to the same for 8 years, this year being the sixth, to be paid as before.</t>
        </is>
      </c>
      <c r="C45" t="n">
        <v>0</v>
      </c>
      <c r="D45" t="n">
        <v>0</v>
      </c>
      <c r="E45" t="n">
        <v>0</v>
      </c>
      <c r="F45" t="n">
        <v>0</v>
      </c>
      <c r="H45" t="n">
        <v>0</v>
      </c>
      <c r="I45" t="n">
        <v>0</v>
      </c>
      <c r="J45" t="n">
        <v>0</v>
      </c>
      <c r="K45" t="n">
        <v>0</v>
      </c>
      <c r="L45" t="n">
        <v>0</v>
      </c>
      <c r="M45" t="n">
        <v>0</v>
      </c>
      <c r="N45" t="n">
        <v>0</v>
      </c>
    </row>
    <row r="46">
      <c r="A46" t="inlineStr">
        <is>
          <t>Farms</t>
        </is>
      </c>
      <c r="B46" t="inlineStr">
        <is>
          <t>8pence from William Webbe for the farm of 2 acres of demesne land lying in Middelfurlong', demised to him for 8 years, this year being the sixth, to be paid as before.</t>
        </is>
      </c>
      <c r="C46" t="n">
        <v>0.03</v>
      </c>
      <c r="D46" t="n">
        <v>0</v>
      </c>
      <c r="E46" t="n">
        <v>0</v>
      </c>
      <c r="F46" t="n">
        <v>8</v>
      </c>
      <c r="H46" t="n">
        <v>0</v>
      </c>
      <c r="I46" t="n">
        <v>0</v>
      </c>
      <c r="J46" t="n">
        <v>0</v>
      </c>
      <c r="K46" t="n">
        <v>0</v>
      </c>
      <c r="L46" t="n">
        <v>0</v>
      </c>
      <c r="M46" t="n">
        <v>0</v>
      </c>
      <c r="N46" t="n">
        <v>0</v>
      </c>
    </row>
    <row r="47">
      <c r="A47" t="inlineStr">
        <is>
          <t>Farms</t>
        </is>
      </c>
      <c r="B47" t="inlineStr">
        <is>
          <t>8pence from William Rundell' for the farm of 2 acres of demesne land lying in Middelfurlong' demised to him this year.</t>
        </is>
      </c>
      <c r="C47" t="n">
        <v>0.03</v>
      </c>
      <c r="D47" t="n">
        <v>0</v>
      </c>
      <c r="E47" t="n">
        <v>0</v>
      </c>
      <c r="F47" t="n">
        <v>8</v>
      </c>
      <c r="H47" t="n">
        <v>0</v>
      </c>
      <c r="I47" t="n">
        <v>0</v>
      </c>
      <c r="J47" t="n">
        <v>0</v>
      </c>
      <c r="K47" t="n">
        <v>0</v>
      </c>
      <c r="L47" t="n">
        <v>0</v>
      </c>
      <c r="M47" t="n">
        <v>0</v>
      </c>
      <c r="N47" t="n">
        <v>0</v>
      </c>
    </row>
    <row r="48">
      <c r="A48" t="inlineStr">
        <is>
          <t>Farms</t>
        </is>
      </c>
      <c r="B48" t="inlineStr">
        <is>
          <t>Total, £2 4 shilling 6pence.</t>
        </is>
      </c>
      <c r="C48" t="n">
        <v>2.23</v>
      </c>
      <c r="D48" t="n">
        <v>2</v>
      </c>
      <c r="E48" t="n">
        <v>4</v>
      </c>
      <c r="F48" t="n">
        <v>6</v>
      </c>
      <c r="H48" t="n">
        <v>0</v>
      </c>
      <c r="I48" t="n">
        <v>0</v>
      </c>
      <c r="J48" t="n">
        <v>0</v>
      </c>
      <c r="K48" t="n">
        <v>0</v>
      </c>
      <c r="L48" t="n">
        <v>0</v>
      </c>
      <c r="M48" t="n">
        <v>0</v>
      </c>
      <c r="N48" t="n">
        <v>0</v>
      </c>
    </row>
    <row r="49">
      <c r="A49" t="inlineStr">
        <is>
          <t>Annual recognizance</t>
        </is>
      </c>
      <c r="B49" t="inlineStr">
        <is>
          <t>And for 2pence from Robert Coupere so that he may dwell within the lord's liberty as long as it pleases the lord and come to the 2 tourns.</t>
        </is>
      </c>
      <c r="C49" t="n">
        <v>0.01</v>
      </c>
      <c r="D49" t="n">
        <v>0</v>
      </c>
      <c r="E49" t="n">
        <v>0</v>
      </c>
      <c r="F49" t="n">
        <v>2</v>
      </c>
      <c r="H49" t="n">
        <v>0</v>
      </c>
      <c r="I49" t="n">
        <v>0</v>
      </c>
      <c r="J49" t="n">
        <v>0</v>
      </c>
      <c r="K49" t="n">
        <v>0</v>
      </c>
      <c r="L49" t="n">
        <v>0</v>
      </c>
      <c r="M49" t="n">
        <v>0</v>
      </c>
      <c r="N49" t="n">
        <v>0</v>
      </c>
    </row>
    <row r="50">
      <c r="A50" t="inlineStr">
        <is>
          <t>Annual recognizance</t>
        </is>
      </c>
      <c r="B50" t="inlineStr">
        <is>
          <t>2pence from John Balfr' for the same, coming to the tourn of Hockday.</t>
        </is>
      </c>
      <c r="C50" t="n">
        <v>0.01</v>
      </c>
      <c r="D50" t="n">
        <v>0</v>
      </c>
      <c r="E50" t="n">
        <v>0</v>
      </c>
      <c r="F50" t="n">
        <v>2</v>
      </c>
      <c r="H50" t="n">
        <v>0</v>
      </c>
      <c r="I50" t="n">
        <v>0</v>
      </c>
      <c r="J50" t="n">
        <v>0</v>
      </c>
      <c r="K50" t="n">
        <v>0</v>
      </c>
      <c r="L50" t="n">
        <v>0</v>
      </c>
      <c r="M50" t="n">
        <v>0</v>
      </c>
      <c r="N50" t="n">
        <v>0</v>
      </c>
    </row>
    <row r="51">
      <c r="A51" t="inlineStr">
        <is>
          <t>Annual recognizance</t>
        </is>
      </c>
      <c r="B51" t="inlineStr">
        <is>
          <t>3pence from Thomas Shiperde for the same, coming to the 2 tourns for the year.</t>
        </is>
      </c>
      <c r="C51" t="n">
        <v>0.01</v>
      </c>
      <c r="D51" t="n">
        <v>0</v>
      </c>
      <c r="E51" t="n">
        <v>0</v>
      </c>
      <c r="F51" t="n">
        <v>3</v>
      </c>
      <c r="H51" t="n">
        <v>0</v>
      </c>
      <c r="I51" t="n">
        <v>0</v>
      </c>
      <c r="J51" t="n">
        <v>0</v>
      </c>
      <c r="K51" t="n">
        <v>0</v>
      </c>
      <c r="L51" t="n">
        <v>0</v>
      </c>
      <c r="M51" t="n">
        <v>0</v>
      </c>
      <c r="N51" t="n">
        <v>0</v>
      </c>
    </row>
    <row r="52">
      <c r="A52" t="inlineStr">
        <is>
          <t>Annual recognizance</t>
        </is>
      </c>
      <c r="B52" t="inlineStr">
        <is>
          <t>3pence from Philip Berners for the same.</t>
        </is>
      </c>
      <c r="C52" t="n">
        <v>0.01</v>
      </c>
      <c r="D52" t="n">
        <v>0</v>
      </c>
      <c r="E52" t="n">
        <v>0</v>
      </c>
      <c r="F52" t="n">
        <v>3</v>
      </c>
      <c r="H52" t="n">
        <v>0</v>
      </c>
      <c r="I52" t="n">
        <v>0</v>
      </c>
      <c r="J52" t="n">
        <v>0</v>
      </c>
      <c r="K52" t="n">
        <v>0</v>
      </c>
      <c r="L52" t="n">
        <v>0</v>
      </c>
      <c r="M52" t="n">
        <v>0</v>
      </c>
      <c r="N52" t="n">
        <v>0</v>
      </c>
    </row>
    <row r="53">
      <c r="A53" t="inlineStr">
        <is>
          <t>Annual recognizance</t>
        </is>
      </c>
      <c r="B53" t="inlineStr">
        <is>
          <t>2pence from Roger Grynder' for the same.</t>
        </is>
      </c>
      <c r="C53" t="n">
        <v>0.01</v>
      </c>
      <c r="D53" t="n">
        <v>0</v>
      </c>
      <c r="E53" t="n">
        <v>0</v>
      </c>
      <c r="F53" t="n">
        <v>2</v>
      </c>
      <c r="H53" t="n">
        <v>0</v>
      </c>
      <c r="I53" t="n">
        <v>0</v>
      </c>
      <c r="J53" t="n">
        <v>0</v>
      </c>
      <c r="K53" t="n">
        <v>0</v>
      </c>
      <c r="L53" t="n">
        <v>0</v>
      </c>
      <c r="M53" t="n">
        <v>0</v>
      </c>
      <c r="N53" t="n">
        <v>0</v>
      </c>
    </row>
    <row r="54">
      <c r="A54" t="inlineStr">
        <is>
          <t>Annual recognizance</t>
        </is>
      </c>
      <c r="B54" t="inlineStr">
        <is>
          <t>2pence from John Aubry for the same, coming to the tourn of Hockday for the year.</t>
        </is>
      </c>
      <c r="C54" t="n">
        <v>0.01</v>
      </c>
      <c r="D54" t="n">
        <v>0</v>
      </c>
      <c r="E54" t="n">
        <v>0</v>
      </c>
      <c r="F54" t="n">
        <v>2</v>
      </c>
      <c r="H54" t="n">
        <v>0</v>
      </c>
      <c r="I54" t="n">
        <v>0</v>
      </c>
      <c r="J54" t="n">
        <v>0</v>
      </c>
      <c r="K54" t="n">
        <v>0</v>
      </c>
      <c r="L54" t="n">
        <v>0</v>
      </c>
      <c r="M54" t="n">
        <v>0</v>
      </c>
      <c r="N54" t="n">
        <v>0</v>
      </c>
    </row>
    <row r="55">
      <c r="A55" t="inlineStr">
        <is>
          <t>Annual recognizance</t>
        </is>
      </c>
      <c r="B55" t="inlineStr">
        <is>
          <t>2pence from William Ropere, coming to the tourn of Martinmas.</t>
        </is>
      </c>
      <c r="C55" t="n">
        <v>0.01</v>
      </c>
      <c r="D55" t="n">
        <v>0</v>
      </c>
      <c r="E55" t="n">
        <v>0</v>
      </c>
      <c r="F55" t="n">
        <v>2</v>
      </c>
      <c r="H55" t="n">
        <v>0</v>
      </c>
      <c r="I55" t="n">
        <v>0</v>
      </c>
      <c r="J55" t="n">
        <v>0</v>
      </c>
      <c r="K55" t="n">
        <v>0</v>
      </c>
      <c r="L55" t="n">
        <v>0</v>
      </c>
      <c r="M55" t="n">
        <v>0</v>
      </c>
      <c r="N55" t="n">
        <v>0</v>
      </c>
    </row>
    <row r="56">
      <c r="A56" t="inlineStr">
        <is>
          <t>Annual recognizance</t>
        </is>
      </c>
      <c r="B56" t="inlineStr">
        <is>
          <t>2pence from William Carpis' for the same, coming to the tourn of Hockday.</t>
        </is>
      </c>
      <c r="C56" t="n">
        <v>0.01</v>
      </c>
      <c r="D56" t="n">
        <v>0</v>
      </c>
      <c r="E56" t="n">
        <v>0</v>
      </c>
      <c r="F56" t="n">
        <v>2</v>
      </c>
      <c r="H56" t="n">
        <v>0</v>
      </c>
      <c r="I56" t="n">
        <v>0</v>
      </c>
      <c r="J56" t="n">
        <v>0</v>
      </c>
      <c r="K56" t="n">
        <v>0</v>
      </c>
      <c r="L56" t="n">
        <v>0</v>
      </c>
      <c r="M56" t="n">
        <v>0</v>
      </c>
      <c r="N56" t="n">
        <v>0</v>
      </c>
    </row>
    <row r="57">
      <c r="A57" t="inlineStr">
        <is>
          <t>Annual recognizance</t>
        </is>
      </c>
      <c r="B57" t="inlineStr">
        <is>
          <t>2pence from Hubert Beverle for the same, coming to the tourn of Martinmas.</t>
        </is>
      </c>
      <c r="C57" t="n">
        <v>0.01</v>
      </c>
      <c r="D57" t="n">
        <v>0</v>
      </c>
      <c r="E57" t="n">
        <v>0</v>
      </c>
      <c r="F57" t="n">
        <v>2</v>
      </c>
      <c r="H57" t="n">
        <v>0</v>
      </c>
      <c r="I57" t="n">
        <v>0</v>
      </c>
      <c r="J57" t="n">
        <v>0</v>
      </c>
      <c r="K57" t="n">
        <v>0</v>
      </c>
      <c r="L57" t="n">
        <v>0</v>
      </c>
      <c r="M57" t="n">
        <v>0</v>
      </c>
      <c r="N57" t="n">
        <v>0</v>
      </c>
    </row>
    <row r="58">
      <c r="A58" t="inlineStr">
        <is>
          <t>Annual recognizance</t>
        </is>
      </c>
      <c r="B58" t="inlineStr">
        <is>
          <t>2pence from William Glovere for the same, coming to the tourn of Hockday.</t>
        </is>
      </c>
      <c r="C58" t="n">
        <v>0.01</v>
      </c>
      <c r="D58" t="n">
        <v>0</v>
      </c>
      <c r="E58" t="n">
        <v>0</v>
      </c>
      <c r="F58" t="n">
        <v>2</v>
      </c>
      <c r="H58" t="n">
        <v>0</v>
      </c>
      <c r="I58" t="n">
        <v>0</v>
      </c>
      <c r="J58" t="n">
        <v>0</v>
      </c>
      <c r="K58" t="n">
        <v>0</v>
      </c>
      <c r="L58" t="n">
        <v>0</v>
      </c>
      <c r="M58" t="n">
        <v>0</v>
      </c>
      <c r="N58" t="n">
        <v>0</v>
      </c>
    </row>
    <row r="59">
      <c r="A59" t="inlineStr">
        <is>
          <t>Annual recognizance</t>
        </is>
      </c>
      <c r="B59" t="inlineStr">
        <is>
          <t>2pence from Thomas Gentylman for the same, coming to the tourn of Hockday.</t>
        </is>
      </c>
      <c r="C59" t="n">
        <v>0.01</v>
      </c>
      <c r="D59" t="n">
        <v>0</v>
      </c>
      <c r="E59" t="n">
        <v>0</v>
      </c>
      <c r="F59" t="n">
        <v>2</v>
      </c>
      <c r="H59" t="n">
        <v>0</v>
      </c>
      <c r="I59" t="n">
        <v>0</v>
      </c>
      <c r="J59" t="n">
        <v>0</v>
      </c>
      <c r="K59" t="n">
        <v>0</v>
      </c>
      <c r="L59" t="n">
        <v>0</v>
      </c>
      <c r="M59" t="n">
        <v>0</v>
      </c>
      <c r="N59" t="n">
        <v>0</v>
      </c>
    </row>
    <row r="60">
      <c r="A60" t="inlineStr">
        <is>
          <t>Annual recognizance</t>
        </is>
      </c>
      <c r="B60" t="inlineStr">
        <is>
          <t>1 shilling from William Buryman' so that he may dwell outside the lord's liberty as long as it pleases the lord and come to the tourn of Hockday and remain the lord's villein as before.</t>
        </is>
      </c>
      <c r="C60" t="n">
        <v>0.05</v>
      </c>
      <c r="D60" t="n">
        <v>0</v>
      </c>
      <c r="E60" t="n">
        <v>1</v>
      </c>
      <c r="F60" t="n">
        <v>0</v>
      </c>
      <c r="H60" t="n">
        <v>0</v>
      </c>
      <c r="I60" t="n">
        <v>0</v>
      </c>
      <c r="J60" t="n">
        <v>0</v>
      </c>
      <c r="K60" t="n">
        <v>0</v>
      </c>
      <c r="L60" t="n">
        <v>0</v>
      </c>
      <c r="M60" t="n">
        <v>0</v>
      </c>
      <c r="N60" t="n">
        <v>0</v>
      </c>
    </row>
    <row r="61">
      <c r="A61" t="inlineStr">
        <is>
          <t>Annual recognizance</t>
        </is>
      </c>
      <c r="B61" t="inlineStr">
        <is>
          <t>1 shilling from Richard Somer for the same, remaining the lord's villein as before.</t>
        </is>
      </c>
      <c r="C61" t="n">
        <v>0.05</v>
      </c>
      <c r="D61" t="n">
        <v>0</v>
      </c>
      <c r="E61" t="n">
        <v>1</v>
      </c>
      <c r="F61" t="n">
        <v>0</v>
      </c>
      <c r="H61" t="n">
        <v>0</v>
      </c>
      <c r="I61" t="n">
        <v>0</v>
      </c>
      <c r="J61" t="n">
        <v>0</v>
      </c>
      <c r="K61" t="n">
        <v>0</v>
      </c>
      <c r="L61" t="n">
        <v>0</v>
      </c>
      <c r="M61" t="n">
        <v>0</v>
      </c>
      <c r="N61" t="n">
        <v>0</v>
      </c>
    </row>
    <row r="62">
      <c r="A62" t="inlineStr">
        <is>
          <t>Annual recognizance</t>
        </is>
      </c>
      <c r="B62" t="inlineStr">
        <is>
          <t>3pence from John Spycer so that he may dwell within the lord's liberty as long as it pleases the lord and himself and come to the tourn of Hockday for the year.</t>
        </is>
      </c>
      <c r="C62" t="n">
        <v>0.01</v>
      </c>
      <c r="D62" t="n">
        <v>0</v>
      </c>
      <c r="E62" t="n">
        <v>0</v>
      </c>
      <c r="F62" t="n">
        <v>3</v>
      </c>
      <c r="H62" t="n">
        <v>0</v>
      </c>
      <c r="I62" t="n">
        <v>0</v>
      </c>
      <c r="J62" t="n">
        <v>0</v>
      </c>
      <c r="K62" t="n">
        <v>0</v>
      </c>
      <c r="L62" t="n">
        <v>0</v>
      </c>
      <c r="M62" t="n">
        <v>0</v>
      </c>
      <c r="N62" t="n">
        <v>0</v>
      </c>
    </row>
    <row r="63">
      <c r="A63" t="inlineStr">
        <is>
          <t>Annual recognizance</t>
        </is>
      </c>
      <c r="B63" t="inlineStr">
        <is>
          <t>2pence from William Shenston for the same.</t>
        </is>
      </c>
      <c r="C63" t="n">
        <v>0.01</v>
      </c>
      <c r="D63" t="n">
        <v>0</v>
      </c>
      <c r="E63" t="n">
        <v>0</v>
      </c>
      <c r="F63" t="n">
        <v>2</v>
      </c>
      <c r="H63" t="n">
        <v>0</v>
      </c>
      <c r="I63" t="n">
        <v>0</v>
      </c>
      <c r="J63" t="n">
        <v>0</v>
      </c>
      <c r="K63" t="n">
        <v>0</v>
      </c>
      <c r="L63" t="n">
        <v>0</v>
      </c>
      <c r="M63" t="n">
        <v>0</v>
      </c>
      <c r="N63" t="n">
        <v>0</v>
      </c>
    </row>
    <row r="64">
      <c r="A64" t="inlineStr">
        <is>
          <t>Annual recognizance</t>
        </is>
      </c>
      <c r="B64" t="inlineStr">
        <is>
          <t>2pence from William Wener' for the same.</t>
        </is>
      </c>
      <c r="C64" t="n">
        <v>0.01</v>
      </c>
      <c r="D64" t="n">
        <v>0</v>
      </c>
      <c r="E64" t="n">
        <v>0</v>
      </c>
      <c r="F64" t="n">
        <v>2</v>
      </c>
      <c r="H64" t="n">
        <v>0</v>
      </c>
      <c r="I64" t="n">
        <v>0</v>
      </c>
      <c r="J64" t="n">
        <v>0</v>
      </c>
      <c r="K64" t="n">
        <v>0</v>
      </c>
      <c r="L64" t="n">
        <v>0</v>
      </c>
      <c r="M64" t="n">
        <v>0</v>
      </c>
      <c r="N64" t="n">
        <v>0</v>
      </c>
    </row>
    <row r="65">
      <c r="A65" t="inlineStr">
        <is>
          <t>Annual recognizance</t>
        </is>
      </c>
      <c r="B65" t="inlineStr">
        <is>
          <t>4pence from John Boys and Simon Bailly for the same.</t>
        </is>
      </c>
      <c r="C65" t="n">
        <v>0.02</v>
      </c>
      <c r="D65" t="n">
        <v>0</v>
      </c>
      <c r="E65" t="n">
        <v>0</v>
      </c>
      <c r="F65" t="n">
        <v>4</v>
      </c>
      <c r="H65" t="n">
        <v>0</v>
      </c>
      <c r="I65" t="n">
        <v>0</v>
      </c>
      <c r="J65" t="n">
        <v>0</v>
      </c>
      <c r="K65" t="n">
        <v>0</v>
      </c>
      <c r="L65" t="n">
        <v>0</v>
      </c>
      <c r="M65" t="n">
        <v>0</v>
      </c>
      <c r="N65" t="n">
        <v>0</v>
      </c>
    </row>
    <row r="66">
      <c r="A66" t="inlineStr">
        <is>
          <t>Annual recognizance</t>
        </is>
      </c>
      <c r="B66" t="inlineStr">
        <is>
          <t>Total, 4 shilling 11pence.</t>
        </is>
      </c>
      <c r="C66" t="n">
        <v>0.25</v>
      </c>
      <c r="D66" t="n">
        <v>0</v>
      </c>
      <c r="E66" t="n">
        <v>4</v>
      </c>
      <c r="F66" t="n">
        <v>11</v>
      </c>
      <c r="H66" t="n">
        <v>0</v>
      </c>
      <c r="I66" t="n">
        <v>0</v>
      </c>
      <c r="J66" t="n">
        <v>0</v>
      </c>
      <c r="K66" t="n">
        <v>0</v>
      </c>
      <c r="L66" t="n">
        <v>0</v>
      </c>
      <c r="M66" t="n">
        <v>0</v>
      </c>
      <c r="N66" t="n">
        <v>0</v>
      </c>
    </row>
    <row r="67">
      <c r="A67" t="inlineStr">
        <is>
          <t>Issues of the manor</t>
        </is>
      </c>
      <c r="B67" t="inlineStr">
        <is>
          <t>And for 5 shilling 6.5pence from the pannage of the pigs of the customary tenants at Martinmas.</t>
        </is>
      </c>
      <c r="C67" t="n">
        <v>0.28</v>
      </c>
      <c r="D67" t="n">
        <v>0</v>
      </c>
      <c r="E67" t="n">
        <v>5</v>
      </c>
      <c r="F67" t="n">
        <v>6.5</v>
      </c>
      <c r="H67" t="n">
        <v>0</v>
      </c>
      <c r="I67" t="n">
        <v>0</v>
      </c>
      <c r="J67" t="n">
        <v>0</v>
      </c>
      <c r="K67" t="n">
        <v>0</v>
      </c>
      <c r="L67" t="n">
        <v>0</v>
      </c>
      <c r="M67" t="n">
        <v>0</v>
      </c>
      <c r="N67" t="n">
        <v>0</v>
      </c>
    </row>
    <row r="68">
      <c r="A68" t="inlineStr">
        <is>
          <t>Issues of the manor</t>
        </is>
      </c>
      <c r="B68" t="inlineStr">
        <is>
          <t>nothing from the pasturage in le Wymore because it pertains to the farmer.</t>
        </is>
      </c>
      <c r="C68" t="n">
        <v>0</v>
      </c>
      <c r="D68" t="n">
        <v>0</v>
      </c>
      <c r="E68" t="n">
        <v>0</v>
      </c>
      <c r="F68" t="n">
        <v>0</v>
      </c>
      <c r="H68" t="n">
        <v>0</v>
      </c>
      <c r="I68" t="n">
        <v>0</v>
      </c>
      <c r="J68" t="n">
        <v>0</v>
      </c>
      <c r="K68" t="n">
        <v>0</v>
      </c>
      <c r="L68" t="n">
        <v>0</v>
      </c>
      <c r="M68" t="n">
        <v>0</v>
      </c>
      <c r="N68" t="n">
        <v>0</v>
      </c>
    </row>
    <row r="69">
      <c r="A69" t="inlineStr">
        <is>
          <t>Issues of the manor</t>
        </is>
      </c>
      <c r="B69" t="inlineStr">
        <is>
          <t>nothing from the pasturage in Mykelham, Buryhok', Halywellesturton', Fulput and Slopet for the aforesaid reason.</t>
        </is>
      </c>
      <c r="C69" t="n">
        <v>0</v>
      </c>
      <c r="D69" t="n">
        <v>0</v>
      </c>
      <c r="E69" t="n">
        <v>0</v>
      </c>
      <c r="F69" t="n">
        <v>0</v>
      </c>
      <c r="H69" t="n">
        <v>0</v>
      </c>
      <c r="I69" t="n">
        <v>0</v>
      </c>
      <c r="J69" t="n">
        <v>0</v>
      </c>
      <c r="K69" t="n">
        <v>0</v>
      </c>
      <c r="L69" t="n">
        <v>0</v>
      </c>
      <c r="M69" t="n">
        <v>0</v>
      </c>
      <c r="N69" t="n">
        <v>0</v>
      </c>
    </row>
    <row r="70">
      <c r="A70" t="inlineStr">
        <is>
          <t>Issues of the manor</t>
        </is>
      </c>
      <c r="B70" t="inlineStr">
        <is>
          <t>nothing from the agistment of cattle with the lord's cattle for the aforesaid reason.</t>
        </is>
      </c>
      <c r="C70" t="n">
        <v>0</v>
      </c>
      <c r="D70" t="n">
        <v>0</v>
      </c>
      <c r="E70" t="n">
        <v>0</v>
      </c>
      <c r="F70" t="n">
        <v>0</v>
      </c>
      <c r="H70" t="n">
        <v>0</v>
      </c>
      <c r="I70" t="n">
        <v>0</v>
      </c>
      <c r="J70" t="n">
        <v>0</v>
      </c>
      <c r="K70" t="n">
        <v>0</v>
      </c>
      <c r="L70" t="n">
        <v>0</v>
      </c>
      <c r="M70" t="n">
        <v>0</v>
      </c>
      <c r="N70" t="n">
        <v>0</v>
      </c>
    </row>
    <row r="71">
      <c r="A71" t="inlineStr">
        <is>
          <t>Issues of the manor</t>
        </is>
      </c>
      <c r="B71" t="inlineStr">
        <is>
          <t>nothing from winter and summer pasturage in Goldwellefurlong' because it is demised to William Bourton' as made clear in the farms above.</t>
        </is>
      </c>
      <c r="C71" t="n">
        <v>0</v>
      </c>
      <c r="D71" t="n">
        <v>0</v>
      </c>
      <c r="E71" t="n">
        <v>0</v>
      </c>
      <c r="F71" t="n">
        <v>0</v>
      </c>
      <c r="H71" t="n">
        <v>0</v>
      </c>
      <c r="I71" t="n">
        <v>0</v>
      </c>
      <c r="J71" t="n">
        <v>0</v>
      </c>
      <c r="K71" t="n">
        <v>0</v>
      </c>
      <c r="L71" t="n">
        <v>0</v>
      </c>
      <c r="M71" t="n">
        <v>0</v>
      </c>
      <c r="N71" t="n">
        <v>0</v>
      </c>
    </row>
    <row r="72">
      <c r="A72" t="inlineStr">
        <is>
          <t>Issues of the manor</t>
        </is>
      </c>
      <c r="B72" t="inlineStr">
        <is>
          <t>nothing of the 3 shilling for the winter pasturage in Wynesterwell' because it is demised to John Jakeman as made clear in the farms above.</t>
        </is>
      </c>
      <c r="C72" t="n">
        <v>0.15</v>
      </c>
      <c r="D72" t="n">
        <v>0</v>
      </c>
      <c r="E72" t="n">
        <v>3</v>
      </c>
      <c r="F72" t="n">
        <v>0</v>
      </c>
      <c r="H72" t="n">
        <v>0</v>
      </c>
      <c r="I72" t="n">
        <v>0</v>
      </c>
      <c r="J72" t="n">
        <v>0</v>
      </c>
      <c r="K72" t="n">
        <v>0</v>
      </c>
      <c r="L72" t="n">
        <v>0</v>
      </c>
      <c r="M72" t="n">
        <v>0</v>
      </c>
      <c r="N72" t="n">
        <v>0</v>
      </c>
    </row>
    <row r="73">
      <c r="A73" t="inlineStr">
        <is>
          <t>Issues of the manor</t>
        </is>
      </c>
      <c r="B73" t="inlineStr">
        <is>
          <t>nothing from the pasturage in Sweteneye because it pertains to the fanner.</t>
        </is>
      </c>
      <c r="C73" t="n">
        <v>0</v>
      </c>
      <c r="D73" t="n">
        <v>0</v>
      </c>
      <c r="E73" t="n">
        <v>0</v>
      </c>
      <c r="F73" t="n">
        <v>0</v>
      </c>
      <c r="H73" t="n">
        <v>0</v>
      </c>
      <c r="I73" t="n">
        <v>0</v>
      </c>
      <c r="J73" t="n">
        <v>0</v>
      </c>
      <c r="K73" t="n">
        <v>0</v>
      </c>
      <c r="L73" t="n">
        <v>0</v>
      </c>
      <c r="M73" t="n">
        <v>0</v>
      </c>
      <c r="N73" t="n">
        <v>0</v>
      </c>
    </row>
    <row r="74">
      <c r="A74" t="inlineStr">
        <is>
          <t>Issues of the manor</t>
        </is>
      </c>
      <c r="B74" t="inlineStr">
        <is>
          <t>£1 from refusals to stack this year.</t>
        </is>
      </c>
      <c r="C74" t="n">
        <v>1</v>
      </c>
      <c r="D74" t="n">
        <v>1</v>
      </c>
      <c r="E74" t="n">
        <v>0</v>
      </c>
      <c r="F74" t="n">
        <v>0</v>
      </c>
      <c r="H74" t="n">
        <v>0</v>
      </c>
      <c r="I74" t="n">
        <v>0</v>
      </c>
      <c r="J74" t="n">
        <v>0</v>
      </c>
      <c r="K74" t="n">
        <v>0</v>
      </c>
      <c r="L74" t="n">
        <v>0</v>
      </c>
      <c r="M74" t="n">
        <v>0</v>
      </c>
      <c r="N74" t="n">
        <v>0</v>
      </c>
    </row>
    <row r="75">
      <c r="A75" t="inlineStr">
        <is>
          <t>Issues of the manor</t>
        </is>
      </c>
      <c r="B75" t="inlineStr">
        <is>
          <t>nothing of the 13 shilling 4pence for the farm of the fishery in the Cherwell because it pertains to the farmer.</t>
        </is>
      </c>
      <c r="C75" t="n">
        <v>0.67</v>
      </c>
      <c r="D75" t="n">
        <v>0</v>
      </c>
      <c r="E75" t="n">
        <v>13</v>
      </c>
      <c r="F75" t="n">
        <v>4</v>
      </c>
      <c r="H75" t="n">
        <v>0</v>
      </c>
      <c r="I75" t="n">
        <v>0</v>
      </c>
      <c r="J75" t="n">
        <v>0</v>
      </c>
      <c r="K75" t="n">
        <v>0</v>
      </c>
      <c r="L75" t="n">
        <v>0</v>
      </c>
      <c r="M75" t="n">
        <v>0</v>
      </c>
      <c r="N75" t="n">
        <v>0</v>
      </c>
    </row>
    <row r="76">
      <c r="A76" t="inlineStr">
        <is>
          <t>Issues of the manor</t>
        </is>
      </c>
      <c r="B76" t="inlineStr">
        <is>
          <t>3 shilling from John Eadburbury for oven-dues.</t>
        </is>
      </c>
      <c r="C76" t="n">
        <v>0.15</v>
      </c>
      <c r="D76" t="n">
        <v>0</v>
      </c>
      <c r="E76" t="n">
        <v>3</v>
      </c>
      <c r="F76" t="n">
        <v>0</v>
      </c>
      <c r="H76" t="n">
        <v>0</v>
      </c>
      <c r="I76" t="n">
        <v>0</v>
      </c>
      <c r="J76" t="n">
        <v>0</v>
      </c>
      <c r="K76" t="n">
        <v>0</v>
      </c>
      <c r="L76" t="n">
        <v>0</v>
      </c>
      <c r="M76" t="n">
        <v>0</v>
      </c>
      <c r="N76" t="n">
        <v>0</v>
      </c>
    </row>
    <row r="77">
      <c r="A77" t="inlineStr">
        <is>
          <t>Issues of the manor</t>
        </is>
      </c>
      <c r="B77" t="inlineStr">
        <is>
          <t>nothing of the 13 shilling 4pence for the farm of the oven-dues which belonged to John Benne because that rent is discharged by council of Adam, recently lord bishop of Winchester, as is made clear at the foot of the account for the sixth year of the same Adam (1338-9).</t>
        </is>
      </c>
      <c r="C77" t="n">
        <v>0.67</v>
      </c>
      <c r="D77" t="n">
        <v>0</v>
      </c>
      <c r="E77" t="n">
        <v>13</v>
      </c>
      <c r="F77" t="n">
        <v>4</v>
      </c>
      <c r="H77" t="n">
        <v>0</v>
      </c>
      <c r="I77" t="n">
        <v>0</v>
      </c>
      <c r="J77" t="n">
        <v>0</v>
      </c>
      <c r="K77" t="n">
        <v>0</v>
      </c>
      <c r="L77" t="n">
        <v>0</v>
      </c>
      <c r="M77" t="n">
        <v>0</v>
      </c>
      <c r="N77" t="n">
        <v>0</v>
      </c>
    </row>
    <row r="78">
      <c r="A78" t="inlineStr">
        <is>
          <t>Issues of the manor</t>
        </is>
      </c>
      <c r="B78" t="inlineStr">
        <is>
          <t>nothing from the herbage in Mikelham and Longmore because it is demised to the farmer.</t>
        </is>
      </c>
      <c r="C78" t="n">
        <v>0</v>
      </c>
      <c r="D78" t="n">
        <v>0</v>
      </c>
      <c r="E78" t="n">
        <v>0</v>
      </c>
      <c r="F78" t="n">
        <v>0</v>
      </c>
      <c r="H78" t="n">
        <v>0</v>
      </c>
      <c r="I78" t="n">
        <v>0</v>
      </c>
      <c r="J78" t="n">
        <v>0</v>
      </c>
      <c r="K78" t="n">
        <v>0</v>
      </c>
      <c r="L78" t="n">
        <v>0</v>
      </c>
      <c r="M78" t="n">
        <v>0</v>
      </c>
      <c r="N78" t="n">
        <v>0</v>
      </c>
    </row>
    <row r="79">
      <c r="A79" t="inlineStr">
        <is>
          <t>Issues of the manor</t>
        </is>
      </c>
      <c r="B79" t="inlineStr">
        <is>
          <t>6 shilling from John Eadburbury for release of his labour services.</t>
        </is>
      </c>
      <c r="C79" t="n">
        <v>0.3</v>
      </c>
      <c r="D79" t="n">
        <v>0</v>
      </c>
      <c r="E79" t="n">
        <v>6</v>
      </c>
      <c r="F79" t="n">
        <v>0</v>
      </c>
      <c r="H79" t="n">
        <v>0</v>
      </c>
      <c r="I79" t="n">
        <v>0</v>
      </c>
      <c r="J79" t="n">
        <v>0</v>
      </c>
      <c r="K79" t="n">
        <v>0</v>
      </c>
      <c r="L79" t="n">
        <v>0</v>
      </c>
      <c r="M79" t="n">
        <v>0</v>
      </c>
      <c r="N79" t="n">
        <v>0</v>
      </c>
    </row>
    <row r="80">
      <c r="A80" t="inlineStr">
        <is>
          <t>Issues of the manor</t>
        </is>
      </c>
      <c r="B80" t="inlineStr">
        <is>
          <t>nothing from geese sold.</t>
        </is>
      </c>
      <c r="C80" t="n">
        <v>0</v>
      </c>
      <c r="D80" t="n">
        <v>0</v>
      </c>
      <c r="E80" t="n">
        <v>0</v>
      </c>
      <c r="F80" t="n">
        <v>0</v>
      </c>
      <c r="H80" t="n">
        <v>0</v>
      </c>
      <c r="I80" t="n">
        <v>0</v>
      </c>
      <c r="J80" t="n">
        <v>0</v>
      </c>
      <c r="K80" t="n">
        <v>0</v>
      </c>
      <c r="L80" t="n">
        <v>0</v>
      </c>
      <c r="M80" t="n">
        <v>0</v>
      </c>
      <c r="N80" t="n">
        <v>0</v>
      </c>
    </row>
    <row r="81">
      <c r="A81" t="inlineStr">
        <is>
          <t>Issues of the manor</t>
        </is>
      </c>
      <c r="B81" t="inlineStr">
        <is>
          <t>1 shilling 6pence from 61 capons sold as made clear elsewhere, at 3pence each.</t>
        </is>
      </c>
      <c r="C81" t="n">
        <v>0.08</v>
      </c>
      <c r="D81" t="n">
        <v>0</v>
      </c>
      <c r="E81" t="n">
        <v>1</v>
      </c>
      <c r="F81" t="n">
        <v>6</v>
      </c>
      <c r="H81" t="n">
        <v>0</v>
      </c>
      <c r="I81" t="n">
        <v>0</v>
      </c>
      <c r="J81" t="n">
        <v>0</v>
      </c>
      <c r="K81" t="n">
        <v>0</v>
      </c>
      <c r="L81" t="n">
        <v>0</v>
      </c>
      <c r="M81" t="n">
        <v>0</v>
      </c>
      <c r="N81" t="n">
        <v>0</v>
      </c>
    </row>
    <row r="82">
      <c r="A82" t="inlineStr">
        <is>
          <t>Issues of the manor</t>
        </is>
      </c>
      <c r="B82" t="inlineStr">
        <is>
          <t>1 shilling 8pence from 10 cocks and hens sold, at 2pence each.</t>
        </is>
      </c>
      <c r="C82" t="n">
        <v>0.08</v>
      </c>
      <c r="D82" t="n">
        <v>0</v>
      </c>
      <c r="E82" t="n">
        <v>1</v>
      </c>
      <c r="F82" t="n">
        <v>8</v>
      </c>
      <c r="H82" t="n">
        <v>0</v>
      </c>
      <c r="I82" t="n">
        <v>0</v>
      </c>
      <c r="J82" t="n">
        <v>0</v>
      </c>
      <c r="K82" t="n">
        <v>0</v>
      </c>
      <c r="L82" t="n">
        <v>0</v>
      </c>
      <c r="M82" t="n">
        <v>0</v>
      </c>
      <c r="N82" t="n">
        <v>0</v>
      </c>
    </row>
    <row r="83">
      <c r="A83" t="inlineStr">
        <is>
          <t>Issues of the manor</t>
        </is>
      </c>
      <c r="B83" t="inlineStr">
        <is>
          <t>nothing from hens' eggs sold.</t>
        </is>
      </c>
      <c r="C83" t="n">
        <v>0</v>
      </c>
      <c r="D83" t="n">
        <v>0</v>
      </c>
      <c r="E83" t="n">
        <v>0</v>
      </c>
      <c r="F83" t="n">
        <v>0</v>
      </c>
      <c r="H83" t="n">
        <v>0</v>
      </c>
      <c r="I83" t="n">
        <v>0</v>
      </c>
      <c r="J83" t="n">
        <v>0</v>
      </c>
      <c r="K83" t="n">
        <v>0</v>
      </c>
      <c r="L83" t="n">
        <v>0</v>
      </c>
      <c r="M83" t="n">
        <v>0</v>
      </c>
      <c r="N83" t="n">
        <v>0</v>
      </c>
    </row>
    <row r="84">
      <c r="A84" t="inlineStr">
        <is>
          <t>Issues of the manor</t>
        </is>
      </c>
      <c r="B84" t="inlineStr">
        <is>
          <t>nothing from the milking of cows or ewes.</t>
        </is>
      </c>
      <c r="C84" t="n">
        <v>0</v>
      </c>
      <c r="D84" t="n">
        <v>0</v>
      </c>
      <c r="E84" t="n">
        <v>0</v>
      </c>
      <c r="F84" t="n">
        <v>0</v>
      </c>
      <c r="H84" t="n">
        <v>0</v>
      </c>
      <c r="I84" t="n">
        <v>0</v>
      </c>
      <c r="J84" t="n">
        <v>0</v>
      </c>
      <c r="K84" t="n">
        <v>0</v>
      </c>
      <c r="L84" t="n">
        <v>0</v>
      </c>
      <c r="M84" t="n">
        <v>0</v>
      </c>
      <c r="N84" t="n">
        <v>0</v>
      </c>
    </row>
    <row r="85">
      <c r="A85" t="inlineStr">
        <is>
          <t>Issues of the manor</t>
        </is>
      </c>
      <c r="B85" t="inlineStr">
        <is>
          <t>nothing for the farm of the lands and tenements in the lord's hands here because they are given separately below.</t>
        </is>
      </c>
      <c r="C85" t="n">
        <v>0</v>
      </c>
      <c r="D85" t="n">
        <v>0</v>
      </c>
      <c r="E85" t="n">
        <v>0</v>
      </c>
      <c r="F85" t="n">
        <v>0</v>
      </c>
      <c r="H85" t="n">
        <v>0</v>
      </c>
      <c r="I85" t="n">
        <v>0</v>
      </c>
      <c r="J85" t="n">
        <v>0</v>
      </c>
      <c r="K85" t="n">
        <v>0</v>
      </c>
      <c r="L85" t="n">
        <v>0</v>
      </c>
      <c r="M85" t="n">
        <v>0</v>
      </c>
      <c r="N85" t="n">
        <v>0</v>
      </c>
    </row>
    <row r="86">
      <c r="A86" t="inlineStr">
        <is>
          <t>Issues of the manor</t>
        </is>
      </c>
      <c r="B86" t="inlineStr">
        <is>
          <t>nothing from wool sold this year.</t>
        </is>
      </c>
      <c r="C86" t="n">
        <v>0</v>
      </c>
      <c r="D86" t="n">
        <v>0</v>
      </c>
      <c r="E86" t="n">
        <v>0</v>
      </c>
      <c r="F86" t="n">
        <v>0</v>
      </c>
      <c r="H86" t="n">
        <v>0</v>
      </c>
      <c r="I86" t="n">
        <v>0</v>
      </c>
      <c r="J86" t="n">
        <v>0</v>
      </c>
      <c r="K86" t="n">
        <v>0</v>
      </c>
      <c r="L86" t="n">
        <v>0</v>
      </c>
      <c r="M86" t="n">
        <v>0</v>
      </c>
      <c r="N86" t="n">
        <v>0</v>
      </c>
    </row>
    <row r="87">
      <c r="A87" t="inlineStr">
        <is>
          <t>Issues of the manor</t>
        </is>
      </c>
      <c r="B87" t="inlineStr">
        <is>
          <t>nothing from hay sold this year.</t>
        </is>
      </c>
      <c r="C87" t="n">
        <v>0</v>
      </c>
      <c r="D87" t="n">
        <v>0</v>
      </c>
      <c r="E87" t="n">
        <v>0</v>
      </c>
      <c r="F87" t="n">
        <v>0</v>
      </c>
      <c r="H87" t="n">
        <v>0</v>
      </c>
      <c r="I87" t="n">
        <v>0</v>
      </c>
      <c r="J87" t="n">
        <v>0</v>
      </c>
      <c r="K87" t="n">
        <v>0</v>
      </c>
      <c r="L87" t="n">
        <v>0</v>
      </c>
      <c r="M87" t="n">
        <v>0</v>
      </c>
      <c r="N87" t="n">
        <v>0</v>
      </c>
    </row>
    <row r="88">
      <c r="A88" t="inlineStr">
        <is>
          <t>Issues of the manor</t>
        </is>
      </c>
      <c r="B88" t="inlineStr">
        <is>
          <t>1 shilling from 250 stone slates sold because unsuitable (inutil') for the use of the lord.</t>
        </is>
      </c>
      <c r="C88" t="n">
        <v>0.05</v>
      </c>
      <c r="D88" t="n">
        <v>0</v>
      </c>
      <c r="E88" t="n">
        <v>1</v>
      </c>
      <c r="F88" t="n">
        <v>0</v>
      </c>
      <c r="H88" t="n">
        <v>0</v>
      </c>
      <c r="I88" t="n">
        <v>0</v>
      </c>
      <c r="J88" t="n">
        <v>0</v>
      </c>
      <c r="K88" t="n">
        <v>0</v>
      </c>
      <c r="L88" t="n">
        <v>0</v>
      </c>
      <c r="M88" t="n">
        <v>0</v>
      </c>
      <c r="N88" t="n">
        <v>0</v>
      </c>
    </row>
    <row r="89">
      <c r="A89" t="inlineStr">
        <is>
          <t>Issues of the manor</t>
        </is>
      </c>
      <c r="B89" t="inlineStr">
        <is>
          <t>3 shilling 4pence from 400 laths sold, at 10pence a 100.</t>
        </is>
      </c>
      <c r="C89" t="n">
        <v>0.17</v>
      </c>
      <c r="D89" t="n">
        <v>0</v>
      </c>
      <c r="E89" t="n">
        <v>3</v>
      </c>
      <c r="F89" t="n">
        <v>4</v>
      </c>
      <c r="H89" t="n">
        <v>0</v>
      </c>
      <c r="I89" t="n">
        <v>0</v>
      </c>
      <c r="J89" t="n">
        <v>0</v>
      </c>
      <c r="K89" t="n">
        <v>0</v>
      </c>
      <c r="L89" t="n">
        <v>0</v>
      </c>
      <c r="M89" t="n">
        <v>0</v>
      </c>
      <c r="N89" t="n">
        <v>0</v>
      </c>
    </row>
    <row r="90">
      <c r="A90" t="inlineStr">
        <is>
          <t>Issues of the manor</t>
        </is>
      </c>
      <c r="B90" t="inlineStr">
        <is>
          <t>6pence from 6 worn out hurdles sold.</t>
        </is>
      </c>
      <c r="C90" t="n">
        <v>0.03</v>
      </c>
      <c r="D90" t="n">
        <v>0</v>
      </c>
      <c r="E90" t="n">
        <v>0</v>
      </c>
      <c r="F90" t="n">
        <v>6</v>
      </c>
      <c r="H90" t="n">
        <v>0</v>
      </c>
      <c r="I90" t="n">
        <v>0</v>
      </c>
      <c r="J90" t="n">
        <v>0</v>
      </c>
      <c r="K90" t="n">
        <v>0</v>
      </c>
      <c r="L90" t="n">
        <v>0</v>
      </c>
      <c r="M90" t="n">
        <v>0</v>
      </c>
      <c r="N90" t="n">
        <v>0</v>
      </c>
    </row>
    <row r="91">
      <c r="A91" t="inlineStr">
        <is>
          <t>Issues of the manor</t>
        </is>
      </c>
      <c r="B91" t="inlineStr">
        <is>
          <t>Total, £2 2 shilling 7.5pence.</t>
        </is>
      </c>
      <c r="C91" t="n">
        <v>2.13</v>
      </c>
      <c r="D91" t="n">
        <v>2</v>
      </c>
      <c r="E91" t="n">
        <v>2</v>
      </c>
      <c r="F91" t="n">
        <v>7.5</v>
      </c>
      <c r="H91" t="n">
        <v>0</v>
      </c>
      <c r="I91" t="n">
        <v>0</v>
      </c>
      <c r="J91" t="n">
        <v>0</v>
      </c>
      <c r="K91" t="n">
        <v>0</v>
      </c>
      <c r="L91" t="n">
        <v>0</v>
      </c>
      <c r="M91" t="n">
        <v>0</v>
      </c>
      <c r="N91" t="n">
        <v>0</v>
      </c>
    </row>
    <row r="92">
      <c r="A92" t="inlineStr">
        <is>
          <t>Issues of the tenements in the lord's hands</t>
        </is>
      </c>
      <c r="B92" t="inlineStr">
        <is>
          <t>And for 10 shilling from Richard atte Mulle for the farm of 1 toft and 1 acreland formerly of Richard Bolt in the lord's hands.</t>
        </is>
      </c>
      <c r="C92" t="n">
        <v>0.5</v>
      </c>
      <c r="D92" t="n">
        <v>0</v>
      </c>
      <c r="E92" t="n">
        <v>10</v>
      </c>
      <c r="F92" t="n">
        <v>0</v>
      </c>
      <c r="H92" t="n">
        <v>0</v>
      </c>
      <c r="I92" t="n">
        <v>0</v>
      </c>
      <c r="J92" t="n">
        <v>0</v>
      </c>
      <c r="K92" t="n">
        <v>0</v>
      </c>
      <c r="L92" t="n">
        <v>0</v>
      </c>
      <c r="M92" t="n">
        <v>0</v>
      </c>
      <c r="N92" t="n">
        <v>0</v>
      </c>
    </row>
    <row r="93">
      <c r="A93" t="inlineStr">
        <is>
          <t>Issues of the tenements in the lord's hands</t>
        </is>
      </c>
      <c r="B93" t="inlineStr">
        <is>
          <t>7 shilling 1pence from John Jakeman for the farm for the year of 1 messuage and 1 acreland formerly of John Stephen' and afterwards of Mabel Dawe in the lord's hands.</t>
        </is>
      </c>
      <c r="C93" t="n">
        <v>0.35</v>
      </c>
      <c r="D93" t="n">
        <v>0</v>
      </c>
      <c r="E93" t="n">
        <v>7</v>
      </c>
      <c r="F93" t="n">
        <v>1</v>
      </c>
      <c r="H93" t="n">
        <v>0</v>
      </c>
      <c r="I93" t="n">
        <v>0</v>
      </c>
      <c r="J93" t="n">
        <v>0</v>
      </c>
      <c r="K93" t="n">
        <v>0</v>
      </c>
      <c r="L93" t="n">
        <v>0</v>
      </c>
      <c r="M93" t="n">
        <v>0</v>
      </c>
      <c r="N93" t="n">
        <v>0</v>
      </c>
    </row>
    <row r="94">
      <c r="A94" t="inlineStr">
        <is>
          <t>Issues of the tenements in the lord's hands</t>
        </is>
      </c>
      <c r="B94" t="inlineStr">
        <is>
          <t>10 shilling 8pence from William atte Lee for the farm of 1 messuage and 1 acreland formerly of Richard Dolphin in the lord's hands.</t>
        </is>
      </c>
      <c r="C94" t="n">
        <v>0.53</v>
      </c>
      <c r="D94" t="n">
        <v>0</v>
      </c>
      <c r="E94" t="n">
        <v>10</v>
      </c>
      <c r="F94" t="n">
        <v>8</v>
      </c>
      <c r="H94" t="n">
        <v>0</v>
      </c>
      <c r="I94" t="n">
        <v>0</v>
      </c>
      <c r="J94" t="n">
        <v>0</v>
      </c>
      <c r="K94" t="n">
        <v>0</v>
      </c>
      <c r="L94" t="n">
        <v>0</v>
      </c>
      <c r="M94" t="n">
        <v>0</v>
      </c>
      <c r="N94" t="n">
        <v>0</v>
      </c>
    </row>
    <row r="95">
      <c r="A95" t="inlineStr">
        <is>
          <t>Issues of the tenements in the lord's hands</t>
        </is>
      </c>
      <c r="B95" t="inlineStr">
        <is>
          <t>19 shilling 1pence from John Andrew of Bodicote for the farm of 1 messuage and 2 acrelands formerly of Richard Acreman and afterwards of Alan Acreman demised to the same at farm.</t>
        </is>
      </c>
      <c r="C95" t="n">
        <v>0.95</v>
      </c>
      <c r="D95" t="n">
        <v>0</v>
      </c>
      <c r="E95" t="n">
        <v>19</v>
      </c>
      <c r="F95" t="n">
        <v>1</v>
      </c>
      <c r="H95" t="n">
        <v>0</v>
      </c>
      <c r="I95" t="n">
        <v>0</v>
      </c>
      <c r="J95" t="n">
        <v>0</v>
      </c>
      <c r="K95" t="n">
        <v>0</v>
      </c>
      <c r="L95" t="n">
        <v>0</v>
      </c>
      <c r="M95" t="n">
        <v>0</v>
      </c>
      <c r="N95" t="n">
        <v>0</v>
      </c>
    </row>
    <row r="96">
      <c r="A96" t="inlineStr">
        <is>
          <t>Issues of the tenements in the lord's hands</t>
        </is>
      </c>
      <c r="B96" t="inlineStr">
        <is>
          <t>12 shilling from Richard atte Mulle for the farm of 1 toft and 1 acreland formerly of John Osebam' and afterwards of John Dolphyn demised to the same.</t>
        </is>
      </c>
      <c r="C96" t="n">
        <v>0.6</v>
      </c>
      <c r="D96" t="n">
        <v>0</v>
      </c>
      <c r="E96" t="n">
        <v>12</v>
      </c>
      <c r="F96" t="n">
        <v>0</v>
      </c>
      <c r="H96" t="n">
        <v>0</v>
      </c>
      <c r="I96" t="n">
        <v>0</v>
      </c>
      <c r="J96" t="n">
        <v>0</v>
      </c>
      <c r="K96" t="n">
        <v>0</v>
      </c>
      <c r="L96" t="n">
        <v>0</v>
      </c>
      <c r="M96" t="n">
        <v>0</v>
      </c>
      <c r="N96" t="n">
        <v>0</v>
      </c>
    </row>
    <row r="97">
      <c r="A97" t="inlineStr">
        <is>
          <t>Issues of the tenements in the lord's hands</t>
        </is>
      </c>
      <c r="B97" t="inlineStr">
        <is>
          <t>12 shilling 8pence from John Stoketon' for the farm of 1 messuage and 1 acreland formerly of John Buryman in the lord's hands.</t>
        </is>
      </c>
      <c r="C97" t="n">
        <v>0.63</v>
      </c>
      <c r="D97" t="n">
        <v>0</v>
      </c>
      <c r="E97" t="n">
        <v>12</v>
      </c>
      <c r="F97" t="n">
        <v>8</v>
      </c>
      <c r="H97" t="n">
        <v>0</v>
      </c>
      <c r="I97" t="n">
        <v>0</v>
      </c>
      <c r="J97" t="n">
        <v>0</v>
      </c>
      <c r="K97" t="n">
        <v>0</v>
      </c>
      <c r="L97" t="n">
        <v>0</v>
      </c>
      <c r="M97" t="n">
        <v>0</v>
      </c>
      <c r="N97" t="n">
        <v>0</v>
      </c>
    </row>
    <row r="98">
      <c r="A98" t="inlineStr">
        <is>
          <t>Issues of the tenements in the lord's hands</t>
        </is>
      </c>
      <c r="B98" t="inlineStr">
        <is>
          <t>14 shilling from Thomas Lanure for 1 messuage and 1 acreland formerly of John Geffrey and afterwards of Richard Smyth' in the lord's hands.</t>
        </is>
      </c>
      <c r="C98" t="n">
        <v>0.7</v>
      </c>
      <c r="D98" t="n">
        <v>0</v>
      </c>
      <c r="E98" t="n">
        <v>14</v>
      </c>
      <c r="F98" t="n">
        <v>0</v>
      </c>
      <c r="H98" t="n">
        <v>0</v>
      </c>
      <c r="I98" t="n">
        <v>0</v>
      </c>
      <c r="J98" t="n">
        <v>0</v>
      </c>
      <c r="K98" t="n">
        <v>0</v>
      </c>
      <c r="L98" t="n">
        <v>0</v>
      </c>
      <c r="M98" t="n">
        <v>0</v>
      </c>
      <c r="N98" t="n">
        <v>0</v>
      </c>
    </row>
    <row r="99">
      <c r="A99" t="inlineStr">
        <is>
          <t>Cotlands</t>
        </is>
      </c>
      <c r="B99" t="inlineStr">
        <is>
          <t>And for 14 shilling from John Knyght for the farm of 1 messuage and 1 cotland formerly of Gilbert Buryman and afterwards of William Somer in the lord's hands.</t>
        </is>
      </c>
      <c r="C99" t="n">
        <v>0.7</v>
      </c>
      <c r="D99" t="n">
        <v>0</v>
      </c>
      <c r="E99" t="n">
        <v>14</v>
      </c>
      <c r="F99" t="n">
        <v>0</v>
      </c>
      <c r="H99" t="n">
        <v>0</v>
      </c>
      <c r="I99" t="n">
        <v>0</v>
      </c>
      <c r="J99" t="n">
        <v>0</v>
      </c>
      <c r="K99" t="n">
        <v>0</v>
      </c>
      <c r="L99" t="n">
        <v>0</v>
      </c>
      <c r="M99" t="n">
        <v>0</v>
      </c>
      <c r="N99" t="n">
        <v>0</v>
      </c>
    </row>
    <row r="100">
      <c r="A100" t="inlineStr">
        <is>
          <t>Cotlands</t>
        </is>
      </c>
      <c r="B100" t="inlineStr">
        <is>
          <t>13 shilling 4pence from William Rundell' for the farm of 1 messuage and 1 cotland formerly of Richard Janekyn and afterwards of William Smyth' demised to the same at farm.</t>
        </is>
      </c>
      <c r="C100" t="n">
        <v>0.67</v>
      </c>
      <c r="D100" t="n">
        <v>0</v>
      </c>
      <c r="E100" t="n">
        <v>13</v>
      </c>
      <c r="F100" t="n">
        <v>4</v>
      </c>
      <c r="H100" t="n">
        <v>0</v>
      </c>
      <c r="I100" t="n">
        <v>0</v>
      </c>
      <c r="J100" t="n">
        <v>0</v>
      </c>
      <c r="K100" t="n">
        <v>0</v>
      </c>
      <c r="L100" t="n">
        <v>0</v>
      </c>
      <c r="M100" t="n">
        <v>0</v>
      </c>
      <c r="N100" t="n">
        <v>0</v>
      </c>
    </row>
    <row r="101">
      <c r="A101" t="inlineStr">
        <is>
          <t>Cotlands</t>
        </is>
      </c>
      <c r="B101" t="inlineStr">
        <is>
          <t>12 shilling from John Berewyk for the farm of 1 messuage and 1 cotland formerly of Walter Bolt and afterwards of Thomas Bolt demised to the same at farm.</t>
        </is>
      </c>
      <c r="C101" t="n">
        <v>0.6</v>
      </c>
      <c r="D101" t="n">
        <v>0</v>
      </c>
      <c r="E101" t="n">
        <v>12</v>
      </c>
      <c r="F101" t="n">
        <v>0</v>
      </c>
      <c r="H101" t="n">
        <v>0</v>
      </c>
      <c r="I101" t="n">
        <v>0</v>
      </c>
      <c r="J101" t="n">
        <v>0</v>
      </c>
      <c r="K101" t="n">
        <v>0</v>
      </c>
      <c r="L101" t="n">
        <v>0</v>
      </c>
      <c r="M101" t="n">
        <v>0</v>
      </c>
      <c r="N101" t="n">
        <v>0</v>
      </c>
    </row>
    <row r="102">
      <c r="A102" t="inlineStr">
        <is>
          <t>Cotlands</t>
        </is>
      </c>
      <c r="B102" t="inlineStr">
        <is>
          <t>18 shilling from John Yonge for the farm of 1 messuage and 1 cotland formerly of Richard Scryveyn and afterwards of Richard Andrew demised to the same at farm.</t>
        </is>
      </c>
      <c r="C102" t="n">
        <v>0.9</v>
      </c>
      <c r="D102" t="n">
        <v>0</v>
      </c>
      <c r="E102" t="n">
        <v>18</v>
      </c>
      <c r="F102" t="n">
        <v>0</v>
      </c>
      <c r="H102" t="n">
        <v>0</v>
      </c>
      <c r="I102" t="n">
        <v>0</v>
      </c>
      <c r="J102" t="n">
        <v>0</v>
      </c>
      <c r="K102" t="n">
        <v>0</v>
      </c>
      <c r="L102" t="n">
        <v>0</v>
      </c>
      <c r="M102" t="n">
        <v>0</v>
      </c>
      <c r="N102" t="n">
        <v>0</v>
      </c>
    </row>
    <row r="103">
      <c r="A103" t="inlineStr">
        <is>
          <t>Cotlands</t>
        </is>
      </c>
      <c r="B103" t="inlineStr">
        <is>
          <t>12 shilling from Richard Clerk for the farm of 1 messuage and 1 cotland formerly of John Gylot and William Gylot demised to the same as above.</t>
        </is>
      </c>
      <c r="C103" t="n">
        <v>0.6</v>
      </c>
      <c r="D103" t="n">
        <v>0</v>
      </c>
      <c r="E103" t="n">
        <v>12</v>
      </c>
      <c r="F103" t="n">
        <v>0</v>
      </c>
      <c r="H103" t="n">
        <v>0</v>
      </c>
      <c r="I103" t="n">
        <v>0</v>
      </c>
      <c r="J103" t="n">
        <v>0</v>
      </c>
      <c r="K103" t="n">
        <v>0</v>
      </c>
      <c r="L103" t="n">
        <v>0</v>
      </c>
      <c r="M103" t="n">
        <v>0</v>
      </c>
      <c r="N103" t="n">
        <v>0</v>
      </c>
    </row>
    <row r="104">
      <c r="A104" t="inlineStr">
        <is>
          <t>Cotlands</t>
        </is>
      </c>
      <c r="B104" t="inlineStr">
        <is>
          <t>10 shilling from Henry Gille for the farm of 1 messuage and 1 cotland formerly of Alice atte Halle and afterwards of Thomas Benne demised to the same as above.</t>
        </is>
      </c>
      <c r="C104" t="n">
        <v>0.5</v>
      </c>
      <c r="D104" t="n">
        <v>0</v>
      </c>
      <c r="E104" t="n">
        <v>10</v>
      </c>
      <c r="F104" t="n">
        <v>0</v>
      </c>
      <c r="H104" t="n">
        <v>0</v>
      </c>
      <c r="I104" t="n">
        <v>0</v>
      </c>
      <c r="J104" t="n">
        <v>0</v>
      </c>
      <c r="K104" t="n">
        <v>0</v>
      </c>
      <c r="L104" t="n">
        <v>0</v>
      </c>
      <c r="M104" t="n">
        <v>0</v>
      </c>
      <c r="N104" t="n">
        <v>0</v>
      </c>
    </row>
    <row r="105">
      <c r="A105" t="inlineStr">
        <is>
          <t>Cotlands</t>
        </is>
      </c>
      <c r="B105" t="inlineStr">
        <is>
          <t>Total, £8 3 shilling 10pence.</t>
        </is>
      </c>
      <c r="C105" t="n">
        <v>8.19</v>
      </c>
      <c r="D105" t="n">
        <v>8</v>
      </c>
      <c r="E105" t="n">
        <v>3</v>
      </c>
      <c r="F105" t="n">
        <v>10</v>
      </c>
      <c r="H105" t="n">
        <v>0</v>
      </c>
      <c r="I105" t="n">
        <v>0</v>
      </c>
      <c r="J105" t="n">
        <v>0</v>
      </c>
      <c r="K105" t="n">
        <v>0</v>
      </c>
      <c r="L105" t="n">
        <v>0</v>
      </c>
      <c r="M105" t="n">
        <v>0</v>
      </c>
      <c r="N105" t="n">
        <v>0</v>
      </c>
    </row>
    <row r="106">
      <c r="A106" t="inlineStr">
        <is>
          <t>Sale of labour services</t>
        </is>
      </c>
      <c r="B106" t="inlineStr">
        <is>
          <t>And for £1 1 shilling for release of the labour services of 3.5 hides in Bodicote this year, at 6 shillinga hide.</t>
        </is>
      </c>
      <c r="C106" t="n">
        <v>1.05</v>
      </c>
      <c r="D106" t="n">
        <v>1</v>
      </c>
      <c r="E106" t="n">
        <v>1</v>
      </c>
      <c r="F106" t="n">
        <v>0</v>
      </c>
      <c r="H106" t="n">
        <v>0</v>
      </c>
      <c r="I106" t="n">
        <v>0</v>
      </c>
      <c r="J106" t="n">
        <v>0</v>
      </c>
      <c r="K106" t="n">
        <v>0</v>
      </c>
      <c r="L106" t="n">
        <v>0</v>
      </c>
      <c r="M106" t="n">
        <v>0</v>
      </c>
      <c r="N106" t="n">
        <v>0</v>
      </c>
    </row>
    <row r="107">
      <c r="A107" t="inlineStr">
        <is>
          <t>Sale of labour services</t>
        </is>
      </c>
      <c r="B107" t="inlineStr">
        <is>
          <t>£16 13 shilling for release of the labour services of 37 virgates for the year, at 9 shilling a virgate, and not more because of the 38 customary tenants to hold of the same tenure 1 is reeve and is quit by reason of his office.</t>
        </is>
      </c>
      <c r="C107" t="n">
        <v>16.65</v>
      </c>
      <c r="D107" t="n">
        <v>16</v>
      </c>
      <c r="E107" t="n">
        <v>13</v>
      </c>
      <c r="F107" t="n">
        <v>0</v>
      </c>
      <c r="H107" t="n">
        <v>0</v>
      </c>
      <c r="I107" t="n">
        <v>0</v>
      </c>
      <c r="J107" t="n">
        <v>0</v>
      </c>
      <c r="K107" t="n">
        <v>0</v>
      </c>
      <c r="L107" t="n">
        <v>0</v>
      </c>
      <c r="M107" t="n">
        <v>0</v>
      </c>
      <c r="N107" t="n">
        <v>0</v>
      </c>
    </row>
    <row r="108">
      <c r="A108" t="inlineStr">
        <is>
          <t>Sale of labour services</t>
        </is>
      </c>
      <c r="B108" t="inlineStr">
        <is>
          <t>6 shilling 8pence from 40 cottars for 40 labour services making hay sold to the same this year, at 2pence a labour service.</t>
        </is>
      </c>
      <c r="C108" t="n">
        <v>0.33</v>
      </c>
      <c r="D108" t="n">
        <v>0</v>
      </c>
      <c r="E108" t="n">
        <v>6</v>
      </c>
      <c r="F108" t="n">
        <v>8</v>
      </c>
      <c r="H108" t="n">
        <v>0</v>
      </c>
      <c r="I108" t="n">
        <v>0</v>
      </c>
      <c r="J108" t="n">
        <v>0</v>
      </c>
      <c r="K108" t="n">
        <v>0</v>
      </c>
      <c r="L108" t="n">
        <v>0</v>
      </c>
      <c r="M108" t="n">
        <v>0</v>
      </c>
      <c r="N108" t="n">
        <v>0</v>
      </c>
    </row>
    <row r="109">
      <c r="A109" t="inlineStr">
        <is>
          <t>Sale of labour services</t>
        </is>
      </c>
      <c r="B109" t="inlineStr">
        <is>
          <t>3 shilling 6pence from 21 cottars for 21 labour services weeding corn sold to the same this year, at 2pence a labour service.</t>
        </is>
      </c>
      <c r="C109" t="n">
        <v>0.17</v>
      </c>
      <c r="D109" t="n">
        <v>0</v>
      </c>
      <c r="E109" t="n">
        <v>3</v>
      </c>
      <c r="F109" t="n">
        <v>6</v>
      </c>
      <c r="H109" t="n">
        <v>0</v>
      </c>
      <c r="I109" t="n">
        <v>0</v>
      </c>
      <c r="J109" t="n">
        <v>0</v>
      </c>
      <c r="K109" t="n">
        <v>0</v>
      </c>
      <c r="L109" t="n">
        <v>0</v>
      </c>
      <c r="M109" t="n">
        <v>0</v>
      </c>
      <c r="N109" t="n">
        <v>0</v>
      </c>
    </row>
    <row r="110">
      <c r="A110" t="inlineStr">
        <is>
          <t>Sale of labour services</t>
        </is>
      </c>
      <c r="B110" t="inlineStr">
        <is>
          <t>8 shilling from 16 cottars for 32 boon-works sold to the same this year, at 3pence a labour service.</t>
        </is>
      </c>
      <c r="C110" t="n">
        <v>0.41</v>
      </c>
      <c r="D110" t="n">
        <v>0</v>
      </c>
      <c r="E110" t="n">
        <v>8</v>
      </c>
      <c r="F110" t="n">
        <v>3</v>
      </c>
      <c r="H110" t="n">
        <v>0</v>
      </c>
      <c r="I110" t="n">
        <v>0</v>
      </c>
      <c r="J110" t="n">
        <v>0</v>
      </c>
      <c r="K110" t="n">
        <v>0</v>
      </c>
      <c r="L110" t="n">
        <v>0</v>
      </c>
      <c r="M110" t="n">
        <v>0</v>
      </c>
      <c r="N110" t="n">
        <v>0</v>
      </c>
    </row>
    <row r="111">
      <c r="A111" t="inlineStr">
        <is>
          <t>Sale of labour services</t>
        </is>
      </c>
      <c r="B111" t="inlineStr">
        <is>
          <t>16 shilling for release of the labour services of 2 cotlands, at 8 shilling a cotland, and not more because of the 8 customary tenants to hold of the same tenure 6 are in the lord's hands, as made clear under the heading, issues of the tenements.</t>
        </is>
      </c>
      <c r="C111" t="n">
        <v>0.8</v>
      </c>
      <c r="D111" t="n">
        <v>0</v>
      </c>
      <c r="E111" t="n">
        <v>16</v>
      </c>
      <c r="F111" t="n">
        <v>0</v>
      </c>
      <c r="H111" t="n">
        <v>0</v>
      </c>
      <c r="I111" t="n">
        <v>0</v>
      </c>
      <c r="J111" t="n">
        <v>0</v>
      </c>
      <c r="K111" t="n">
        <v>0</v>
      </c>
      <c r="L111" t="n">
        <v>0</v>
      </c>
      <c r="M111" t="n">
        <v>0</v>
      </c>
      <c r="N111" t="n">
        <v>0</v>
      </c>
    </row>
    <row r="112">
      <c r="A112" t="inlineStr">
        <is>
          <t>Sale of labour services</t>
        </is>
      </c>
      <c r="B112" t="inlineStr">
        <is>
          <t>Total, £19 8 shilling 2pence.</t>
        </is>
      </c>
      <c r="C112" t="n">
        <v>19.41</v>
      </c>
      <c r="D112" t="n">
        <v>19</v>
      </c>
      <c r="E112" t="n">
        <v>8</v>
      </c>
      <c r="F112" t="n">
        <v>2</v>
      </c>
      <c r="H112" t="n">
        <v>0</v>
      </c>
      <c r="I112" t="n">
        <v>0</v>
      </c>
      <c r="J112" t="n">
        <v>0</v>
      </c>
      <c r="K112" t="n">
        <v>0</v>
      </c>
      <c r="L112" t="n">
        <v>0</v>
      </c>
      <c r="M112" t="n">
        <v>0</v>
      </c>
      <c r="N112" t="n">
        <v>0</v>
      </c>
    </row>
    <row r="113">
      <c r="A113" t="inlineStr">
        <is>
          <t>Sale of corn</t>
        </is>
      </c>
      <c r="B113" t="inlineStr">
        <is>
          <t>Nothing from the sale of corn for the reason made clear elsewhere.</t>
        </is>
      </c>
      <c r="C113" t="n">
        <v>0</v>
      </c>
      <c r="D113" t="n">
        <v>0</v>
      </c>
      <c r="E113" t="n">
        <v>0</v>
      </c>
      <c r="F113" t="n">
        <v>0</v>
      </c>
      <c r="H113" t="n">
        <v>0</v>
      </c>
      <c r="I113" t="n">
        <v>0</v>
      </c>
      <c r="J113" t="n">
        <v>0</v>
      </c>
      <c r="K113" t="n">
        <v>0</v>
      </c>
      <c r="L113" t="n">
        <v>0</v>
      </c>
      <c r="M113" t="n">
        <v>0</v>
      </c>
      <c r="N113" t="n">
        <v>0</v>
      </c>
    </row>
    <row r="114">
      <c r="A114" t="inlineStr">
        <is>
          <t>Sale of stock</t>
        </is>
      </c>
      <c r="B114" t="inlineStr">
        <is>
          <t>And for 10 shilling 6pence from 1 horse sold as made clear elsewhere.</t>
        </is>
      </c>
      <c r="C114" t="n">
        <v>0.53</v>
      </c>
      <c r="D114" t="n">
        <v>0</v>
      </c>
      <c r="E114" t="n">
        <v>10</v>
      </c>
      <c r="F114" t="n">
        <v>6</v>
      </c>
      <c r="H114" t="n">
        <v>0</v>
      </c>
      <c r="I114" t="n">
        <v>0</v>
      </c>
      <c r="J114" t="n">
        <v>0</v>
      </c>
      <c r="K114" t="n">
        <v>0</v>
      </c>
      <c r="L114" t="n">
        <v>0</v>
      </c>
      <c r="M114" t="n">
        <v>0</v>
      </c>
      <c r="N114" t="n">
        <v>0</v>
      </c>
    </row>
    <row r="115">
      <c r="A115" t="inlineStr">
        <is>
          <t>Sale of stock</t>
        </is>
      </c>
      <c r="B115" t="inlineStr">
        <is>
          <t>5 shilling from 1 colt sold as made clear elsewhere.</t>
        </is>
      </c>
      <c r="C115" t="n">
        <v>0.25</v>
      </c>
      <c r="D115" t="n">
        <v>0</v>
      </c>
      <c r="E115" t="n">
        <v>5</v>
      </c>
      <c r="F115" t="n">
        <v>0</v>
      </c>
      <c r="H115" t="n">
        <v>0</v>
      </c>
      <c r="I115" t="n">
        <v>0</v>
      </c>
      <c r="J115" t="n">
        <v>0</v>
      </c>
      <c r="K115" t="n">
        <v>0</v>
      </c>
      <c r="L115" t="n">
        <v>0</v>
      </c>
      <c r="M115" t="n">
        <v>0</v>
      </c>
      <c r="N115" t="n">
        <v>0</v>
      </c>
    </row>
    <row r="116">
      <c r="A116" t="inlineStr">
        <is>
          <t>Sale of stock</t>
        </is>
      </c>
      <c r="B116" t="inlineStr">
        <is>
          <t>£1 10 shilling from 3 cows sold as made clear elsewhere.</t>
        </is>
      </c>
      <c r="C116" t="n">
        <v>1.5</v>
      </c>
      <c r="D116" t="n">
        <v>1</v>
      </c>
      <c r="E116" t="n">
        <v>10</v>
      </c>
      <c r="F116" t="n">
        <v>0</v>
      </c>
      <c r="H116" t="n">
        <v>0</v>
      </c>
      <c r="I116" t="n">
        <v>0</v>
      </c>
      <c r="J116" t="n">
        <v>0</v>
      </c>
      <c r="K116" t="n">
        <v>0</v>
      </c>
      <c r="L116" t="n">
        <v>0</v>
      </c>
      <c r="M116" t="n">
        <v>0</v>
      </c>
      <c r="N116" t="n">
        <v>0</v>
      </c>
    </row>
    <row r="117">
      <c r="A117" t="inlineStr">
        <is>
          <t>Sale of stock</t>
        </is>
      </c>
      <c r="B117" t="inlineStr">
        <is>
          <t>8pence from 1 ewe sold as made clear elsewhere.</t>
        </is>
      </c>
      <c r="C117" t="n">
        <v>0.03</v>
      </c>
      <c r="D117" t="n">
        <v>0</v>
      </c>
      <c r="E117" t="n">
        <v>0</v>
      </c>
      <c r="F117" t="n">
        <v>8</v>
      </c>
      <c r="H117" t="n">
        <v>0</v>
      </c>
      <c r="I117" t="n">
        <v>0</v>
      </c>
      <c r="J117" t="n">
        <v>0</v>
      </c>
      <c r="K117" t="n">
        <v>0</v>
      </c>
      <c r="L117" t="n">
        <v>0</v>
      </c>
      <c r="M117" t="n">
        <v>0</v>
      </c>
      <c r="N117" t="n">
        <v>0</v>
      </c>
    </row>
    <row r="118">
      <c r="A118" t="inlineStr">
        <is>
          <t>Sale of stock</t>
        </is>
      </c>
      <c r="B118" t="inlineStr">
        <is>
          <t>Total, £2 6 shilling 2pence.</t>
        </is>
      </c>
      <c r="C118" t="n">
        <v>2.31</v>
      </c>
      <c r="D118" t="n">
        <v>2</v>
      </c>
      <c r="E118" t="n">
        <v>6</v>
      </c>
      <c r="F118" t="n">
        <v>2</v>
      </c>
      <c r="H118" t="n">
        <v>0</v>
      </c>
      <c r="I118" t="n">
        <v>0</v>
      </c>
      <c r="J118" t="n">
        <v>0</v>
      </c>
      <c r="K118" t="n">
        <v>0</v>
      </c>
      <c r="L118" t="n">
        <v>0</v>
      </c>
      <c r="M118" t="n">
        <v>0</v>
      </c>
      <c r="N118" t="n">
        <v>0</v>
      </c>
    </row>
    <row r="119">
      <c r="A119" t="inlineStr">
        <is>
          <t>Entry and marriage fines</t>
        </is>
      </c>
      <c r="B119" t="inlineStr">
        <is>
          <t>And for £1 from fixed payments (certus visus) and tithingpenny at Martinmas.</t>
        </is>
      </c>
      <c r="C119" t="n">
        <v>1</v>
      </c>
      <c r="D119" t="n">
        <v>1</v>
      </c>
      <c r="E119" t="n">
        <v>0</v>
      </c>
      <c r="F119" t="n">
        <v>0</v>
      </c>
      <c r="H119" t="n">
        <v>0</v>
      </c>
      <c r="I119" t="n">
        <v>0</v>
      </c>
      <c r="J119" t="n">
        <v>0</v>
      </c>
      <c r="K119" t="n">
        <v>0</v>
      </c>
      <c r="L119" t="n">
        <v>0</v>
      </c>
      <c r="M119" t="n">
        <v>0</v>
      </c>
      <c r="N119" t="n">
        <v>0</v>
      </c>
    </row>
    <row r="120">
      <c r="A120" t="inlineStr">
        <is>
          <t>Entry and marriage fines</t>
        </is>
      </c>
      <c r="B120" t="inlineStr">
        <is>
          <t>£1 from fixed payments and tithingpenny at Hockday.</t>
        </is>
      </c>
      <c r="C120" t="n">
        <v>1</v>
      </c>
      <c r="D120" t="n">
        <v>1</v>
      </c>
      <c r="E120" t="n">
        <v>0</v>
      </c>
      <c r="F120" t="n">
        <v>0</v>
      </c>
      <c r="H120" t="n">
        <v>0</v>
      </c>
      <c r="I120" t="n">
        <v>0</v>
      </c>
      <c r="J120" t="n">
        <v>0</v>
      </c>
      <c r="K120" t="n">
        <v>0</v>
      </c>
      <c r="L120" t="n">
        <v>0</v>
      </c>
      <c r="M120" t="n">
        <v>0</v>
      </c>
      <c r="N120" t="n">
        <v>0</v>
      </c>
    </row>
    <row r="121">
      <c r="A121" t="inlineStr">
        <is>
          <t>Entry and marriage fines</t>
        </is>
      </c>
      <c r="B121" t="inlineStr">
        <is>
          <t>3 shilling 4pence from Thomas Mason' to have 3.5 acres of arable land and 1 acre of meadow in Bodicote by surrender of Richard Umfray and Alice his wife, and she is examined about this in court.</t>
        </is>
      </c>
      <c r="C121" t="n">
        <v>0.17</v>
      </c>
      <c r="D121" t="n">
        <v>0</v>
      </c>
      <c r="E121" t="n">
        <v>3</v>
      </c>
      <c r="F121" t="n">
        <v>4</v>
      </c>
      <c r="H121" t="n">
        <v>0</v>
      </c>
      <c r="I121" t="n">
        <v>0</v>
      </c>
      <c r="J121" t="n">
        <v>0</v>
      </c>
      <c r="K121" t="n">
        <v>0</v>
      </c>
      <c r="L121" t="n">
        <v>0</v>
      </c>
      <c r="M121" t="n">
        <v>0</v>
      </c>
      <c r="N121" t="n">
        <v>0</v>
      </c>
    </row>
    <row r="122">
      <c r="A122" t="inlineStr">
        <is>
          <t>Entry and marriage fines</t>
        </is>
      </c>
      <c r="B122" t="inlineStr">
        <is>
          <t>£1 from Robert Clerk' to have 1 messuage with a curtilage and 1 cotland of villein land in Adderbury which belonged to William Gylot and which came into the lord's hands as his escheat because noone of the kin of the said William took steps to fine for the same although a proclamation was made according to the custom of the manor.</t>
        </is>
      </c>
      <c r="C122" t="n">
        <v>1</v>
      </c>
      <c r="D122" t="n">
        <v>1</v>
      </c>
      <c r="E122" t="n">
        <v>0</v>
      </c>
      <c r="F122" t="n">
        <v>0</v>
      </c>
      <c r="H122" t="n">
        <v>0</v>
      </c>
      <c r="I122" t="n">
        <v>0</v>
      </c>
      <c r="J122" t="n">
        <v>0</v>
      </c>
      <c r="K122" t="n">
        <v>0</v>
      </c>
      <c r="L122" t="n">
        <v>0</v>
      </c>
      <c r="M122" t="n">
        <v>0</v>
      </c>
      <c r="N122" t="n">
        <v>0</v>
      </c>
    </row>
    <row r="123">
      <c r="A123" t="inlineStr">
        <is>
          <t>Entry and marriage fines</t>
        </is>
      </c>
      <c r="B123" t="inlineStr">
        <is>
          <t>£1 6 shilling 8pence from Thomas Ingram to have 1 messuage and 1 virgate of villein land in Adderbury by surrender of Richard Asser, for which William, son and heir of the aforesaid Richard, refused to make fine in full court and remised and released all his right and claim which he had or will be able to have in the same to the aforesaid Thomas.</t>
        </is>
      </c>
      <c r="C123" t="n">
        <v>1.33</v>
      </c>
      <c r="D123" t="n">
        <v>1</v>
      </c>
      <c r="E123" t="n">
        <v>6</v>
      </c>
      <c r="F123" t="n">
        <v>8</v>
      </c>
      <c r="H123" t="n">
        <v>0</v>
      </c>
      <c r="I123" t="n">
        <v>0</v>
      </c>
      <c r="J123" t="n">
        <v>0</v>
      </c>
      <c r="K123" t="n">
        <v>0</v>
      </c>
      <c r="L123" t="n">
        <v>0</v>
      </c>
      <c r="M123" t="n">
        <v>0</v>
      </c>
      <c r="N123" t="n">
        <v>0</v>
      </c>
    </row>
    <row r="124">
      <c r="A124" t="inlineStr">
        <is>
          <t>Entry and marriage fines</t>
        </is>
      </c>
      <c r="B124" t="inlineStr">
        <is>
          <t>£2 from Richard atte Mulle to have 1 toft called Boltes and 1 other toft called Osebarnes with 2 acrelands of villein land in Adderbury which belonged to Richard Bolt and John Osbarn and which came into the lord's hands as his escheat because noone of the kin of the said Richard took steps to fine for the same although a proclamation was made according to the custom of the manor.</t>
        </is>
      </c>
      <c r="C124" t="n">
        <v>2</v>
      </c>
      <c r="D124" t="n">
        <v>2</v>
      </c>
      <c r="E124" t="n">
        <v>0</v>
      </c>
      <c r="F124" t="n">
        <v>0</v>
      </c>
      <c r="H124" t="n">
        <v>0</v>
      </c>
      <c r="I124" t="n">
        <v>0</v>
      </c>
      <c r="J124" t="n">
        <v>0</v>
      </c>
      <c r="K124" t="n">
        <v>0</v>
      </c>
      <c r="L124" t="n">
        <v>0</v>
      </c>
      <c r="M124" t="n">
        <v>0</v>
      </c>
      <c r="N124" t="n">
        <v>0</v>
      </c>
    </row>
    <row r="125">
      <c r="A125" t="inlineStr">
        <is>
          <t>Entry and marriage fines</t>
        </is>
      </c>
      <c r="B125" t="inlineStr">
        <is>
          <t>6 shilling 8pence from Amice, daughter of Thomas Hogg', for marrying herself outside.</t>
        </is>
      </c>
      <c r="C125" t="n">
        <v>0.33</v>
      </c>
      <c r="D125" t="n">
        <v>0</v>
      </c>
      <c r="E125" t="n">
        <v>6</v>
      </c>
      <c r="F125" t="n">
        <v>8</v>
      </c>
      <c r="H125" t="n">
        <v>0</v>
      </c>
      <c r="I125" t="n">
        <v>0</v>
      </c>
      <c r="J125" t="n">
        <v>0</v>
      </c>
      <c r="K125" t="n">
        <v>0</v>
      </c>
      <c r="L125" t="n">
        <v>0</v>
      </c>
      <c r="M125" t="n">
        <v>0</v>
      </c>
      <c r="N125" t="n">
        <v>0</v>
      </c>
    </row>
    <row r="126">
      <c r="A126" t="inlineStr">
        <is>
          <t>Entry and marriage fines</t>
        </is>
      </c>
      <c r="B126" t="inlineStr">
        <is>
          <t>10 shilling from William, son of Thomas Benne, to have 1 messuage and .5 virgate of villein land in Adderbury which belonged to the aforesaid Thomas his father.</t>
        </is>
      </c>
      <c r="C126" t="n">
        <v>0.5</v>
      </c>
      <c r="D126" t="n">
        <v>0</v>
      </c>
      <c r="E126" t="n">
        <v>10</v>
      </c>
      <c r="F126" t="n">
        <v>0</v>
      </c>
      <c r="H126" t="n">
        <v>0</v>
      </c>
      <c r="I126" t="n">
        <v>0</v>
      </c>
      <c r="J126" t="n">
        <v>0</v>
      </c>
      <c r="K126" t="n">
        <v>0</v>
      </c>
      <c r="L126" t="n">
        <v>0</v>
      </c>
      <c r="M126" t="n">
        <v>0</v>
      </c>
      <c r="N126" t="n">
        <v>0</v>
      </c>
    </row>
    <row r="127">
      <c r="A127" t="inlineStr">
        <is>
          <t>Entry and marriage fines</t>
        </is>
      </c>
      <c r="B127" t="inlineStr">
        <is>
          <t>£1 from William atte Lee to have 1 messuage with a curtilage and 1 acreland of villein land in Adderbury which belonged to Richard Dolphin and which came into the lord's hands as his escheat because noone of the kin of the said Richard took steps to fine for the same although a proclamation was made according to the custom of the manor.</t>
        </is>
      </c>
      <c r="C127" t="n">
        <v>1</v>
      </c>
      <c r="D127" t="n">
        <v>1</v>
      </c>
      <c r="E127" t="n">
        <v>0</v>
      </c>
      <c r="F127" t="n">
        <v>0</v>
      </c>
      <c r="H127" t="n">
        <v>0</v>
      </c>
      <c r="I127" t="n">
        <v>0</v>
      </c>
      <c r="J127" t="n">
        <v>0</v>
      </c>
      <c r="K127" t="n">
        <v>0</v>
      </c>
      <c r="L127" t="n">
        <v>0</v>
      </c>
      <c r="M127" t="n">
        <v>0</v>
      </c>
      <c r="N127" t="n">
        <v>0</v>
      </c>
    </row>
    <row r="128">
      <c r="A128" t="inlineStr">
        <is>
          <t>Entry and marriage fines</t>
        </is>
      </c>
      <c r="B128" t="inlineStr">
        <is>
          <t>£2 from Simon Holte to have 1 messuage 16 acres of land, 2 cottages, 9 acres of land and 1 acre of meadow, 1 messuage and 1 virgate of villein land and 1 water-mill in Bodicote.</t>
        </is>
      </c>
      <c r="C128" t="n">
        <v>2</v>
      </c>
      <c r="D128" t="n">
        <v>2</v>
      </c>
      <c r="E128" t="n">
        <v>0</v>
      </c>
      <c r="F128" t="n">
        <v>0</v>
      </c>
      <c r="H128" t="n">
        <v>0</v>
      </c>
      <c r="I128" t="n">
        <v>0</v>
      </c>
      <c r="J128" t="n">
        <v>0</v>
      </c>
      <c r="K128" t="n">
        <v>0</v>
      </c>
      <c r="L128" t="n">
        <v>0</v>
      </c>
      <c r="M128" t="n">
        <v>0</v>
      </c>
      <c r="N128" t="n">
        <v>0</v>
      </c>
    </row>
    <row r="129">
      <c r="A129" t="inlineStr">
        <is>
          <t>Entry and marriage fines</t>
        </is>
      </c>
      <c r="B129" t="inlineStr">
        <is>
          <t>£4 6 shilling 8pence from Richard Verdon' and Alice his wife to have 1 messuage 36 acres of land and 7 acres of meadow in the meadow of Bodicote together with common pasture for 3 cattle in the common pasture of Bodicote and 5 cattle in the several pasture of the aforesaid vill by surrender of Agnes Hammeye.</t>
        </is>
      </c>
      <c r="C129" t="n">
        <v>4.33</v>
      </c>
      <c r="D129" t="n">
        <v>4</v>
      </c>
      <c r="E129" t="n">
        <v>6</v>
      </c>
      <c r="F129" t="n">
        <v>8</v>
      </c>
      <c r="H129" t="n">
        <v>0</v>
      </c>
      <c r="I129" t="n">
        <v>0</v>
      </c>
      <c r="J129" t="n">
        <v>0</v>
      </c>
      <c r="K129" t="n">
        <v>0</v>
      </c>
      <c r="L129" t="n">
        <v>0</v>
      </c>
      <c r="M129" t="n">
        <v>0</v>
      </c>
      <c r="N129" t="n">
        <v>0</v>
      </c>
    </row>
    <row r="130">
      <c r="A130" t="inlineStr">
        <is>
          <t>Entry and marriage fines</t>
        </is>
      </c>
      <c r="B130" t="inlineStr">
        <is>
          <t>£3 6 shilling 8pence from John Appuldor, of Bodicote to have 1 messuage and 1 virgate of villein land in Bodicote by surrender of Adam Chapeleyn.</t>
        </is>
      </c>
      <c r="C130" t="n">
        <v>3.33</v>
      </c>
      <c r="D130" t="n">
        <v>3</v>
      </c>
      <c r="E130" t="n">
        <v>6</v>
      </c>
      <c r="F130" t="n">
        <v>8</v>
      </c>
      <c r="H130" t="n">
        <v>0</v>
      </c>
      <c r="I130" t="n">
        <v>0</v>
      </c>
      <c r="J130" t="n">
        <v>0</v>
      </c>
      <c r="K130" t="n">
        <v>0</v>
      </c>
      <c r="L130" t="n">
        <v>0</v>
      </c>
      <c r="M130" t="n">
        <v>0</v>
      </c>
      <c r="N130" t="n">
        <v>0</v>
      </c>
    </row>
    <row r="131">
      <c r="A131" t="inlineStr">
        <is>
          <t>Entry and marriage fines</t>
        </is>
      </c>
      <c r="B131" t="inlineStr">
        <is>
          <t>£1 from William Verneye to have the reversion of the moiety of 1 messuage 2.5 virgates of land and 6 acres of meadow in Bodicote, for which Emma, who was wife of John Whyte, had the estate for the term of her life.</t>
        </is>
      </c>
      <c r="C131" t="n">
        <v>1</v>
      </c>
      <c r="D131" t="n">
        <v>1</v>
      </c>
      <c r="E131" t="n">
        <v>0</v>
      </c>
      <c r="F131" t="n">
        <v>0</v>
      </c>
      <c r="H131" t="n">
        <v>0</v>
      </c>
      <c r="I131" t="n">
        <v>0</v>
      </c>
      <c r="J131" t="n">
        <v>0</v>
      </c>
      <c r="K131" t="n">
        <v>0</v>
      </c>
      <c r="L131" t="n">
        <v>0</v>
      </c>
      <c r="M131" t="n">
        <v>0</v>
      </c>
      <c r="N131" t="n">
        <v>0</v>
      </c>
    </row>
    <row r="132">
      <c r="A132" t="inlineStr">
        <is>
          <t>Entry and marriage fines</t>
        </is>
      </c>
      <c r="B132" t="inlineStr">
        <is>
          <t>£1 from John White to have the reversion of the moiety of 1 messuage 2.5 virgates of land and 6 acres of meadow in Bodicote by surrender of William Verneye.</t>
        </is>
      </c>
      <c r="C132" t="n">
        <v>1</v>
      </c>
      <c r="D132" t="n">
        <v>1</v>
      </c>
      <c r="E132" t="n">
        <v>0</v>
      </c>
      <c r="F132" t="n">
        <v>0</v>
      </c>
      <c r="H132" t="n">
        <v>0</v>
      </c>
      <c r="I132" t="n">
        <v>0</v>
      </c>
      <c r="J132" t="n">
        <v>0</v>
      </c>
      <c r="K132" t="n">
        <v>0</v>
      </c>
      <c r="L132" t="n">
        <v>0</v>
      </c>
      <c r="M132" t="n">
        <v>0</v>
      </c>
      <c r="N132" t="n">
        <v>0</v>
      </c>
    </row>
    <row r="133">
      <c r="A133" t="inlineStr">
        <is>
          <t>Entry and marriage fines</t>
        </is>
      </c>
      <c r="B133" t="inlineStr">
        <is>
          <t>2 shilling from William to have 1 toft with a croft and 2 acres of villein land in Adderbury by 'surrender of John Rundell' and Agnes his wife, and she is examined about this in court.</t>
        </is>
      </c>
      <c r="C133" t="n">
        <v>0.1</v>
      </c>
      <c r="D133" t="n">
        <v>0</v>
      </c>
      <c r="E133" t="n">
        <v>2</v>
      </c>
      <c r="F133" t="n">
        <v>0</v>
      </c>
      <c r="H133" t="n">
        <v>0</v>
      </c>
      <c r="I133" t="n">
        <v>0</v>
      </c>
      <c r="J133" t="n">
        <v>0</v>
      </c>
      <c r="K133" t="n">
        <v>0</v>
      </c>
      <c r="L133" t="n">
        <v>0</v>
      </c>
      <c r="M133" t="n">
        <v>0</v>
      </c>
      <c r="N133" t="n">
        <v>0</v>
      </c>
    </row>
    <row r="134">
      <c r="A134" t="inlineStr">
        <is>
          <t>Entry and marriage fines</t>
        </is>
      </c>
      <c r="B134" t="inlineStr">
        <is>
          <t>£3 6 shilling 8pence from John Whityng to have 1 messuage and 1 virgate of villein land n Adderbury which belonged to John Dicon' and about which Robert Box and Margery his wife are examined in full court, having remised and released all right and claim which they have or will be able to have in the same to the aforesaid John whytyng'.</t>
        </is>
      </c>
      <c r="C134" t="n">
        <v>3.33</v>
      </c>
      <c r="D134" t="n">
        <v>3</v>
      </c>
      <c r="E134" t="n">
        <v>6</v>
      </c>
      <c r="F134" t="n">
        <v>8</v>
      </c>
      <c r="H134" t="n">
        <v>0</v>
      </c>
      <c r="I134" t="n">
        <v>0</v>
      </c>
      <c r="J134" t="n">
        <v>0</v>
      </c>
      <c r="K134" t="n">
        <v>0</v>
      </c>
      <c r="L134" t="n">
        <v>0</v>
      </c>
      <c r="M134" t="n">
        <v>0</v>
      </c>
      <c r="N134" t="n">
        <v>0</v>
      </c>
    </row>
    <row r="135">
      <c r="A135" t="inlineStr">
        <is>
          <t>Entry and marriage fines</t>
        </is>
      </c>
      <c r="B135" t="inlineStr">
        <is>
          <t>8pence from Adam Taillour to have 1 pig-sty of purpresture in Adderbury by surrender of John Coupere.</t>
        </is>
      </c>
      <c r="C135" t="n">
        <v>0.03</v>
      </c>
      <c r="D135" t="n">
        <v>0</v>
      </c>
      <c r="E135" t="n">
        <v>0</v>
      </c>
      <c r="F135" t="n">
        <v>8</v>
      </c>
      <c r="H135" t="n">
        <v>0</v>
      </c>
      <c r="I135" t="n">
        <v>0</v>
      </c>
      <c r="J135" t="n">
        <v>0</v>
      </c>
      <c r="K135" t="n">
        <v>0</v>
      </c>
      <c r="L135" t="n">
        <v>0</v>
      </c>
      <c r="M135" t="n">
        <v>0</v>
      </c>
      <c r="N135" t="n">
        <v>0</v>
      </c>
    </row>
    <row r="136">
      <c r="A136" t="inlineStr">
        <is>
          <t>Entry and marriage fines</t>
        </is>
      </c>
      <c r="B136" t="inlineStr">
        <is>
          <t>6 shilling 8pence from Emma atte Mulle, otherwise known as Emmeline, making fine with the lord to have licence to demise to Richard atte Mulle, her son, 1 messuage and 1 virgate of land, with 1 mill with its appurtenances, and 1 cottage called Sybfordesplace in Adderbury for the next 15 years.</t>
        </is>
      </c>
      <c r="C136" t="n">
        <v>0.33</v>
      </c>
      <c r="D136" t="n">
        <v>0</v>
      </c>
      <c r="E136" t="n">
        <v>6</v>
      </c>
      <c r="F136" t="n">
        <v>8</v>
      </c>
      <c r="H136" t="n">
        <v>0</v>
      </c>
      <c r="I136" t="n">
        <v>0</v>
      </c>
      <c r="J136" t="n">
        <v>0</v>
      </c>
      <c r="K136" t="n">
        <v>0</v>
      </c>
      <c r="L136" t="n">
        <v>0</v>
      </c>
      <c r="M136" t="n">
        <v>0</v>
      </c>
      <c r="N136" t="n">
        <v>0</v>
      </c>
    </row>
    <row r="137">
      <c r="A137" t="inlineStr">
        <is>
          <t>Entry and marriage fines</t>
        </is>
      </c>
      <c r="B137" t="inlineStr">
        <is>
          <t>Total, £24 16 shilling.</t>
        </is>
      </c>
      <c r="C137" t="n">
        <v>24.8</v>
      </c>
      <c r="D137" t="n">
        <v>24</v>
      </c>
      <c r="E137" t="n">
        <v>16</v>
      </c>
      <c r="F137" t="n">
        <v>0</v>
      </c>
      <c r="H137" t="n">
        <v>0</v>
      </c>
      <c r="I137" t="n">
        <v>0</v>
      </c>
      <c r="J137" t="n">
        <v>0</v>
      </c>
      <c r="K137" t="n">
        <v>0</v>
      </c>
      <c r="L137" t="n">
        <v>0</v>
      </c>
      <c r="M137" t="n">
        <v>0</v>
      </c>
      <c r="N137" t="n">
        <v>0</v>
      </c>
    </row>
    <row r="138">
      <c r="A138" t="inlineStr">
        <is>
          <t>Perquisites</t>
        </is>
      </c>
      <c r="B138" t="inlineStr">
        <is>
          <t>And for 2 shilling 5pence from the perquisites of the tourn of Martinmas (11 November).</t>
        </is>
      </c>
      <c r="C138" t="n">
        <v>0.12</v>
      </c>
      <c r="D138" t="n">
        <v>0</v>
      </c>
      <c r="E138" t="n">
        <v>2</v>
      </c>
      <c r="F138" t="n">
        <v>5</v>
      </c>
      <c r="H138" t="n">
        <v>0</v>
      </c>
      <c r="I138" t="n">
        <v>0</v>
      </c>
      <c r="J138" t="n">
        <v>0</v>
      </c>
      <c r="K138" t="n">
        <v>0</v>
      </c>
      <c r="L138" t="n">
        <v>0</v>
      </c>
      <c r="M138" t="n">
        <v>0</v>
      </c>
      <c r="N138" t="n">
        <v>0</v>
      </c>
    </row>
    <row r="139">
      <c r="A139" t="inlineStr">
        <is>
          <t>Perquisites</t>
        </is>
      </c>
      <c r="B139" t="inlineStr">
        <is>
          <t>14 shilling 4pence from the perquisites of the courts held by the bailiff between the 2 tourns.</t>
        </is>
      </c>
      <c r="C139" t="n">
        <v>0.72</v>
      </c>
      <c r="D139" t="n">
        <v>0</v>
      </c>
      <c r="E139" t="n">
        <v>14</v>
      </c>
      <c r="F139" t="n">
        <v>4</v>
      </c>
      <c r="H139" t="n">
        <v>0</v>
      </c>
      <c r="I139" t="n">
        <v>0</v>
      </c>
      <c r="J139" t="n">
        <v>0</v>
      </c>
      <c r="K139" t="n">
        <v>0</v>
      </c>
      <c r="L139" t="n">
        <v>0</v>
      </c>
      <c r="M139" t="n">
        <v>0</v>
      </c>
      <c r="N139" t="n">
        <v>0</v>
      </c>
    </row>
    <row r="140">
      <c r="A140" t="inlineStr">
        <is>
          <t>Perquisites</t>
        </is>
      </c>
      <c r="B140" t="inlineStr">
        <is>
          <t>12 shilling 2pence from the perquisites of the tourn of Hockday (1 April).</t>
        </is>
      </c>
      <c r="C140" t="n">
        <v>0.61</v>
      </c>
      <c r="D140" t="n">
        <v>0</v>
      </c>
      <c r="E140" t="n">
        <v>12</v>
      </c>
      <c r="F140" t="n">
        <v>2</v>
      </c>
      <c r="H140" t="n">
        <v>0</v>
      </c>
      <c r="I140" t="n">
        <v>0</v>
      </c>
      <c r="J140" t="n">
        <v>0</v>
      </c>
      <c r="K140" t="n">
        <v>0</v>
      </c>
      <c r="L140" t="n">
        <v>0</v>
      </c>
      <c r="M140" t="n">
        <v>0</v>
      </c>
      <c r="N140" t="n">
        <v>0</v>
      </c>
    </row>
    <row r="141">
      <c r="A141" t="inlineStr">
        <is>
          <t>Perquisites</t>
        </is>
      </c>
      <c r="B141" t="inlineStr">
        <is>
          <t>8 shilling 1pence from the perquisites of the courts held by the bailiff after the said tourn of Hockday.</t>
        </is>
      </c>
      <c r="C141" t="n">
        <v>0.4</v>
      </c>
      <c r="D141" t="n">
        <v>0</v>
      </c>
      <c r="E141" t="n">
        <v>8</v>
      </c>
      <c r="F141" t="n">
        <v>1</v>
      </c>
      <c r="H141" t="n">
        <v>0</v>
      </c>
      <c r="I141" t="n">
        <v>0</v>
      </c>
      <c r="J141" t="n">
        <v>0</v>
      </c>
      <c r="K141" t="n">
        <v>0</v>
      </c>
      <c r="L141" t="n">
        <v>0</v>
      </c>
      <c r="M141" t="n">
        <v>0</v>
      </c>
      <c r="N141" t="n">
        <v>0</v>
      </c>
    </row>
    <row r="142">
      <c r="A142" t="inlineStr">
        <is>
          <t>Perquisites</t>
        </is>
      </c>
      <c r="B142" t="inlineStr">
        <is>
          <t>Total, £1 17 shilling.</t>
        </is>
      </c>
      <c r="C142" t="n">
        <v>1.85</v>
      </c>
      <c r="D142" t="n">
        <v>1</v>
      </c>
      <c r="E142" t="n">
        <v>17</v>
      </c>
      <c r="F142" t="n">
        <v>0</v>
      </c>
      <c r="H142" t="n">
        <v>0</v>
      </c>
      <c r="I142" t="n">
        <v>0</v>
      </c>
      <c r="J142" t="n">
        <v>0</v>
      </c>
      <c r="K142" t="n">
        <v>0</v>
      </c>
      <c r="L142" t="n">
        <v>0</v>
      </c>
      <c r="M142" t="n">
        <v>0</v>
      </c>
      <c r="N142" t="n">
        <v>0</v>
      </c>
    </row>
    <row r="143">
      <c r="A143" t="inlineStr">
        <is>
          <t>Forfeited chattels</t>
        </is>
      </c>
      <c r="B143" t="inlineStr">
        <is>
          <t>And for 3 shilling from the chattels of a waif as made clear at the tourn of Hockday.</t>
        </is>
      </c>
      <c r="C143" t="n">
        <v>0.15</v>
      </c>
      <c r="D143" t="n">
        <v>0</v>
      </c>
      <c r="E143" t="n">
        <v>3</v>
      </c>
      <c r="F143" t="n">
        <v>0</v>
      </c>
      <c r="H143" t="n">
        <v>0</v>
      </c>
      <c r="I143" t="n">
        <v>0</v>
      </c>
      <c r="J143" t="n">
        <v>0</v>
      </c>
      <c r="K143" t="n">
        <v>0</v>
      </c>
      <c r="L143" t="n">
        <v>0</v>
      </c>
      <c r="M143" t="n">
        <v>0</v>
      </c>
      <c r="N143" t="n">
        <v>0</v>
      </c>
    </row>
    <row r="144">
      <c r="A144" t="inlineStr">
        <is>
          <t>Forfeited chattels</t>
        </is>
      </c>
      <c r="B144" t="inlineStr">
        <is>
          <t>Total, 3 shilling.</t>
        </is>
      </c>
      <c r="C144" t="n">
        <v>0.15</v>
      </c>
      <c r="D144" t="n">
        <v>0</v>
      </c>
      <c r="E144" t="n">
        <v>3</v>
      </c>
      <c r="F144" t="n">
        <v>0</v>
      </c>
      <c r="H144" t="n">
        <v>0</v>
      </c>
      <c r="I144" t="n">
        <v>0</v>
      </c>
      <c r="J144" t="n">
        <v>0</v>
      </c>
      <c r="K144" t="n">
        <v>0</v>
      </c>
      <c r="L144" t="n">
        <v>0</v>
      </c>
      <c r="M144" t="n">
        <v>0</v>
      </c>
      <c r="N144" t="n">
        <v>0</v>
      </c>
    </row>
    <row r="145">
      <c r="A145" t="inlineStr">
        <is>
          <t>Farm of the demesne land</t>
        </is>
      </c>
      <c r="B145" t="inlineStr">
        <is>
          <t>And for £15 16 shilling for the farm of the demesne land demised to John Eadburbury for 12 years, this year being the fifth.</t>
        </is>
      </c>
      <c r="C145" t="n">
        <v>15.8</v>
      </c>
      <c r="D145" t="n">
        <v>15</v>
      </c>
      <c r="E145" t="n">
        <v>16</v>
      </c>
      <c r="F145" t="n">
        <v>0</v>
      </c>
      <c r="H145" t="n">
        <v>0</v>
      </c>
      <c r="I145" t="n">
        <v>0</v>
      </c>
      <c r="J145" t="n">
        <v>0</v>
      </c>
      <c r="K145" t="n">
        <v>0</v>
      </c>
      <c r="L145" t="n">
        <v>0</v>
      </c>
      <c r="M145" t="n">
        <v>0</v>
      </c>
      <c r="N145" t="n">
        <v>0</v>
      </c>
    </row>
    <row r="146">
      <c r="A146" t="inlineStr">
        <is>
          <t>Farm of the demesne land</t>
        </is>
      </c>
      <c r="B146" t="inlineStr">
        <is>
          <t>Total, £15 16 shilling.</t>
        </is>
      </c>
      <c r="C146" t="n">
        <v>15.8</v>
      </c>
      <c r="D146" t="n">
        <v>15</v>
      </c>
      <c r="E146" t="n">
        <v>16</v>
      </c>
      <c r="F146" t="n">
        <v>0</v>
      </c>
      <c r="H146" t="n">
        <v>0</v>
      </c>
      <c r="I146" t="n">
        <v>0</v>
      </c>
      <c r="J146" t="n">
        <v>0</v>
      </c>
      <c r="K146" t="n">
        <v>0</v>
      </c>
      <c r="L146" t="n">
        <v>0</v>
      </c>
      <c r="M146" t="n">
        <v>0</v>
      </c>
      <c r="N146" t="n">
        <v>0</v>
      </c>
    </row>
    <row r="147">
      <c r="A147" t="inlineStr">
        <is>
          <t>Total of all receipts</t>
        </is>
      </c>
      <c r="B147" t="inlineStr">
        <is>
          <t>Total of all receipts, £981 10 shilling 6pence.</t>
        </is>
      </c>
      <c r="C147" t="n">
        <v>981.52</v>
      </c>
      <c r="D147" t="n">
        <v>981</v>
      </c>
      <c r="E147" t="n">
        <v>10</v>
      </c>
      <c r="F147" t="n">
        <v>6</v>
      </c>
      <c r="H147" t="n">
        <v>0</v>
      </c>
      <c r="I147" t="n">
        <v>0</v>
      </c>
      <c r="J147" t="n">
        <v>0</v>
      </c>
      <c r="K147" t="n">
        <v>0</v>
      </c>
      <c r="L147" t="n">
        <v>0</v>
      </c>
      <c r="M147" t="n">
        <v>0</v>
      </c>
      <c r="N147" t="n">
        <v>0</v>
      </c>
    </row>
    <row r="148">
      <c r="A148" t="inlineStr">
        <is>
          <t>Cost of buildings</t>
        </is>
      </c>
      <c r="B148" t="inlineStr">
        <is>
          <t>In 6,200 lath-nails bought for mending and making the barn, the hall and half of the kitchen 9 shilling 4.5pence, at 1 shilling 6pence a 1,000..</t>
        </is>
      </c>
      <c r="C148" t="n">
        <v>0.47</v>
      </c>
      <c r="D148" t="n">
        <v>0</v>
      </c>
      <c r="E148" t="n">
        <v>9</v>
      </c>
      <c r="F148" t="n">
        <v>4.5</v>
      </c>
      <c r="H148" t="n">
        <v>0</v>
      </c>
      <c r="I148" t="n">
        <v>0</v>
      </c>
      <c r="J148" t="n">
        <v>0</v>
      </c>
      <c r="K148" t="n">
        <v>0</v>
      </c>
      <c r="L148" t="n">
        <v>0</v>
      </c>
      <c r="M148" t="n">
        <v>0</v>
      </c>
      <c r="N148" t="n">
        <v>0</v>
      </c>
    </row>
    <row r="149">
      <c r="A149" t="inlineStr">
        <is>
          <t>Cost of buildings</t>
        </is>
      </c>
      <c r="B149" t="inlineStr">
        <is>
          <t>board-nails and clout-nails bought for the same 1 shilling 4pence.</t>
        </is>
      </c>
      <c r="C149" t="n">
        <v>0.07000000000000001</v>
      </c>
      <c r="D149" t="n">
        <v>0</v>
      </c>
      <c r="E149" t="n">
        <v>1</v>
      </c>
      <c r="F149" t="n">
        <v>4</v>
      </c>
      <c r="H149" t="n">
        <v>0</v>
      </c>
      <c r="I149" t="n">
        <v>0</v>
      </c>
      <c r="J149" t="n">
        <v>0</v>
      </c>
      <c r="K149" t="n">
        <v>0</v>
      </c>
      <c r="L149" t="n">
        <v>0</v>
      </c>
      <c r="M149" t="n">
        <v>0</v>
      </c>
      <c r="N149" t="n">
        <v>0</v>
      </c>
    </row>
    <row r="150">
      <c r="A150" t="inlineStr">
        <is>
          <t>Cost of buildings</t>
        </is>
      </c>
      <c r="B150" t="inlineStr">
        <is>
          <t>4 quarters 4 bushels of limestone bought at Walton' 5 shilling 3pence, at 1 shilling 2pence a quarters.</t>
        </is>
      </c>
      <c r="C150" t="n">
        <v>0.26</v>
      </c>
      <c r="D150" t="n">
        <v>0</v>
      </c>
      <c r="E150" t="n">
        <v>5</v>
      </c>
      <c r="F150" t="n">
        <v>3</v>
      </c>
      <c r="H150" t="n">
        <v>4</v>
      </c>
      <c r="I150" t="n">
        <v>4</v>
      </c>
      <c r="J150" t="n">
        <v>4.5</v>
      </c>
      <c r="K150" t="n">
        <v>4.5</v>
      </c>
      <c r="L150" t="n">
        <v>0</v>
      </c>
      <c r="M150" t="n">
        <v>4</v>
      </c>
      <c r="N150" t="n">
        <v>4</v>
      </c>
      <c r="O150" t="n">
        <v>1</v>
      </c>
      <c r="P150" t="n">
        <v>2</v>
      </c>
    </row>
    <row r="151">
      <c r="A151" t="inlineStr">
        <is>
          <t>Cost of buildings</t>
        </is>
      </c>
      <c r="B151" t="inlineStr">
        <is>
          <t>carrying the same 4pence.</t>
        </is>
      </c>
      <c r="C151" t="n">
        <v>0.02</v>
      </c>
      <c r="D151" t="n">
        <v>0</v>
      </c>
      <c r="E151" t="n">
        <v>0</v>
      </c>
      <c r="F151" t="n">
        <v>4</v>
      </c>
      <c r="H151" t="n">
        <v>0</v>
      </c>
      <c r="I151" t="n">
        <v>0</v>
      </c>
      <c r="J151" t="n">
        <v>0</v>
      </c>
      <c r="K151" t="n">
        <v>0</v>
      </c>
      <c r="L151" t="n">
        <v>0</v>
      </c>
      <c r="M151" t="n">
        <v>0</v>
      </c>
      <c r="N151" t="n">
        <v>0</v>
      </c>
    </row>
    <row r="152">
      <c r="A152" t="inlineStr">
        <is>
          <t>Cost of buildings</t>
        </is>
      </c>
      <c r="B152" t="inlineStr">
        <is>
          <t>8 quarters of limestone bought at Witney 10 shilling 4pence, at 1 shilling 31 pence a quarters.</t>
        </is>
      </c>
      <c r="C152" t="n">
        <v>0.52</v>
      </c>
      <c r="D152" t="n">
        <v>0</v>
      </c>
      <c r="E152" t="n">
        <v>10</v>
      </c>
      <c r="F152" t="n">
        <v>4</v>
      </c>
      <c r="H152" t="n">
        <v>8</v>
      </c>
      <c r="I152" t="n">
        <v>0</v>
      </c>
      <c r="J152" t="n">
        <v>8</v>
      </c>
      <c r="K152" t="n">
        <v>8</v>
      </c>
      <c r="L152" t="n">
        <v>0</v>
      </c>
      <c r="M152" t="n">
        <v>8</v>
      </c>
      <c r="N152" t="n">
        <v>0</v>
      </c>
      <c r="O152" t="n">
        <v>1</v>
      </c>
      <c r="P152" t="n">
        <v>31</v>
      </c>
    </row>
    <row r="153">
      <c r="A153" t="inlineStr">
        <is>
          <t>Cost of buildings</t>
        </is>
      </c>
      <c r="B153" t="inlineStr">
        <is>
          <t>carrying the same from Witney to Adderbury 3 shilling 8pence.</t>
        </is>
      </c>
      <c r="C153" t="n">
        <v>0.18</v>
      </c>
      <c r="D153" t="n">
        <v>0</v>
      </c>
      <c r="E153" t="n">
        <v>3</v>
      </c>
      <c r="F153" t="n">
        <v>8</v>
      </c>
      <c r="H153" t="n">
        <v>0</v>
      </c>
      <c r="I153" t="n">
        <v>0</v>
      </c>
      <c r="J153" t="n">
        <v>0</v>
      </c>
      <c r="K153" t="n">
        <v>0</v>
      </c>
      <c r="L153" t="n">
        <v>0</v>
      </c>
      <c r="M153" t="n">
        <v>0</v>
      </c>
      <c r="N153" t="n">
        <v>0</v>
      </c>
    </row>
    <row r="154">
      <c r="A154" t="inlineStr">
        <is>
          <t>Cost of buildings</t>
        </is>
      </c>
      <c r="B154" t="inlineStr">
        <is>
          <t>1,500 stone slates bought 6 shilling, at 4 shilling a 1,000..</t>
        </is>
      </c>
      <c r="C154" t="n">
        <v>0.3</v>
      </c>
      <c r="D154" t="n">
        <v>0</v>
      </c>
      <c r="E154" t="n">
        <v>6</v>
      </c>
      <c r="F154" t="n">
        <v>0</v>
      </c>
      <c r="H154" t="n">
        <v>0</v>
      </c>
      <c r="I154" t="n">
        <v>0</v>
      </c>
      <c r="J154" t="n">
        <v>0</v>
      </c>
      <c r="K154" t="n">
        <v>0</v>
      </c>
      <c r="L154" t="n">
        <v>0</v>
      </c>
      <c r="M154" t="n">
        <v>0</v>
      </c>
      <c r="N154" t="n">
        <v>0</v>
      </c>
    </row>
    <row r="155">
      <c r="A155" t="inlineStr">
        <is>
          <t>Cost of buildings</t>
        </is>
      </c>
      <c r="B155" t="inlineStr">
        <is>
          <t>500 eaves-stones bought 2 shilling 6pence, at 6pence a 100..</t>
        </is>
      </c>
      <c r="C155" t="n">
        <v>0.12</v>
      </c>
      <c r="D155" t="n">
        <v>0</v>
      </c>
      <c r="E155" t="n">
        <v>2</v>
      </c>
      <c r="F155" t="n">
        <v>6</v>
      </c>
      <c r="H155" t="n">
        <v>0</v>
      </c>
      <c r="I155" t="n">
        <v>0</v>
      </c>
      <c r="J155" t="n">
        <v>0</v>
      </c>
      <c r="K155" t="n">
        <v>0</v>
      </c>
      <c r="L155" t="n">
        <v>0</v>
      </c>
      <c r="M155" t="n">
        <v>0</v>
      </c>
      <c r="N155" t="n">
        <v>0</v>
      </c>
    </row>
    <row r="156">
      <c r="A156" t="inlineStr">
        <is>
          <t>Cost of buildings</t>
        </is>
      </c>
      <c r="B156" t="inlineStr">
        <is>
          <t>6,000 pins bought 2 shilling, at 4pence a 1,000..</t>
        </is>
      </c>
      <c r="C156" t="n">
        <v>0.12</v>
      </c>
      <c r="D156" t="n">
        <v>0</v>
      </c>
      <c r="E156" t="n">
        <v>2</v>
      </c>
      <c r="F156" t="n">
        <v>4</v>
      </c>
      <c r="H156" t="n">
        <v>0</v>
      </c>
      <c r="I156" t="n">
        <v>0</v>
      </c>
      <c r="J156" t="n">
        <v>0</v>
      </c>
      <c r="K156" t="n">
        <v>0</v>
      </c>
      <c r="L156" t="n">
        <v>0</v>
      </c>
      <c r="M156" t="n">
        <v>0</v>
      </c>
      <c r="N156" t="n">
        <v>0</v>
      </c>
    </row>
    <row r="157">
      <c r="A157" t="inlineStr">
        <is>
          <t>Cost of buildings</t>
        </is>
      </c>
      <c r="B157" t="inlineStr">
        <is>
          <t>50 ridge-tiles bought 6 shilling 3pence, at 1.5pence each.</t>
        </is>
      </c>
      <c r="C157" t="n">
        <v>0.31</v>
      </c>
      <c r="D157" t="n">
        <v>0</v>
      </c>
      <c r="E157" t="n">
        <v>6</v>
      </c>
      <c r="F157" t="n">
        <v>3</v>
      </c>
      <c r="H157" t="n">
        <v>0</v>
      </c>
      <c r="I157" t="n">
        <v>0</v>
      </c>
      <c r="J157" t="n">
        <v>0</v>
      </c>
      <c r="K157" t="n">
        <v>0</v>
      </c>
      <c r="L157" t="n">
        <v>0</v>
      </c>
      <c r="M157" t="n">
        <v>0</v>
      </c>
      <c r="N157" t="n">
        <v>0</v>
      </c>
    </row>
    <row r="158">
      <c r="A158" t="inlineStr">
        <is>
          <t>Cost of buildings</t>
        </is>
      </c>
      <c r="B158" t="inlineStr">
        <is>
          <t>sand bought and dug and quarried at Tadmarton 10pence.</t>
        </is>
      </c>
      <c r="C158" t="n">
        <v>0.04</v>
      </c>
      <c r="D158" t="n">
        <v>0</v>
      </c>
      <c r="E158" t="n">
        <v>0</v>
      </c>
      <c r="F158" t="n">
        <v>10</v>
      </c>
      <c r="H158" t="n">
        <v>0</v>
      </c>
      <c r="I158" t="n">
        <v>0</v>
      </c>
      <c r="J158" t="n">
        <v>0</v>
      </c>
      <c r="K158" t="n">
        <v>0</v>
      </c>
      <c r="L158" t="n">
        <v>0</v>
      </c>
      <c r="M158" t="n">
        <v>0</v>
      </c>
      <c r="N158" t="n">
        <v>0</v>
      </c>
    </row>
    <row r="159">
      <c r="A159" t="inlineStr">
        <is>
          <t>Cost of buildings</t>
        </is>
      </c>
      <c r="B159" t="inlineStr">
        <is>
          <t>stipend of 1 man going to Walton' to quarry lime there 2pence.</t>
        </is>
      </c>
      <c r="C159" t="n">
        <v>0.01</v>
      </c>
      <c r="D159" t="n">
        <v>0</v>
      </c>
      <c r="E159" t="n">
        <v>0</v>
      </c>
      <c r="F159" t="n">
        <v>2</v>
      </c>
      <c r="H159" t="n">
        <v>0</v>
      </c>
      <c r="I159" t="n">
        <v>0</v>
      </c>
      <c r="J159" t="n">
        <v>0</v>
      </c>
      <c r="K159" t="n">
        <v>0</v>
      </c>
      <c r="L159" t="n">
        <v>0</v>
      </c>
      <c r="M159" t="n">
        <v>0</v>
      </c>
      <c r="N159" t="n">
        <v>0</v>
      </c>
    </row>
    <row r="160">
      <c r="A160" t="inlineStr">
        <is>
          <t>Cost of buildings</t>
        </is>
      </c>
      <c r="B160" t="inlineStr">
        <is>
          <t>expenses of 12 men coming for a boon-work with 6 carts to quarry sand at Newotele and carry it to Adderbury, with the digging, 2 shilling 3pence.</t>
        </is>
      </c>
      <c r="C160" t="n">
        <v>0.11</v>
      </c>
      <c r="D160" t="n">
        <v>0</v>
      </c>
      <c r="E160" t="n">
        <v>2</v>
      </c>
      <c r="F160" t="n">
        <v>3</v>
      </c>
      <c r="H160" t="n">
        <v>0</v>
      </c>
      <c r="I160" t="n">
        <v>0</v>
      </c>
      <c r="J160" t="n">
        <v>0</v>
      </c>
      <c r="K160" t="n">
        <v>0</v>
      </c>
      <c r="L160" t="n">
        <v>0</v>
      </c>
      <c r="M160" t="n">
        <v>0</v>
      </c>
      <c r="N160" t="n">
        <v>0</v>
      </c>
    </row>
    <row r="161">
      <c r="A161" t="inlineStr">
        <is>
          <t>Cost of buildings</t>
        </is>
      </c>
      <c r="B161" t="inlineStr">
        <is>
          <t>hiring 1 man to carry sand and lime from the warrener's chamber to the barn by piece-work 4pence.</t>
        </is>
      </c>
      <c r="C161" t="n">
        <v>0.02</v>
      </c>
      <c r="D161" t="n">
        <v>0</v>
      </c>
      <c r="E161" t="n">
        <v>0</v>
      </c>
      <c r="F161" t="n">
        <v>4</v>
      </c>
      <c r="H161" t="n">
        <v>0</v>
      </c>
      <c r="I161" t="n">
        <v>0</v>
      </c>
      <c r="J161" t="n">
        <v>0</v>
      </c>
      <c r="K161" t="n">
        <v>0</v>
      </c>
      <c r="L161" t="n">
        <v>0</v>
      </c>
      <c r="M161" t="n">
        <v>0</v>
      </c>
      <c r="N161" t="n">
        <v>0</v>
      </c>
    </row>
    <row r="162">
      <c r="A162" t="inlineStr">
        <is>
          <t>Cost of buildings</t>
        </is>
      </c>
      <c r="B162" t="inlineStr">
        <is>
          <t>carrying the ridge-tiles bought above 8pence.</t>
        </is>
      </c>
      <c r="C162" t="n">
        <v>0.03</v>
      </c>
      <c r="D162" t="n">
        <v>0</v>
      </c>
      <c r="E162" t="n">
        <v>0</v>
      </c>
      <c r="F162" t="n">
        <v>8</v>
      </c>
      <c r="H162" t="n">
        <v>0</v>
      </c>
      <c r="I162" t="n">
        <v>0</v>
      </c>
      <c r="J162" t="n">
        <v>0</v>
      </c>
      <c r="K162" t="n">
        <v>0</v>
      </c>
      <c r="L162" t="n">
        <v>0</v>
      </c>
      <c r="M162" t="n">
        <v>0</v>
      </c>
      <c r="N162" t="n">
        <v>0</v>
      </c>
    </row>
    <row r="163">
      <c r="A163" t="inlineStr">
        <is>
          <t>Cost of buildings</t>
        </is>
      </c>
      <c r="B163" t="inlineStr">
        <is>
          <t>expenses of various men coming for a boon-work to buy slates at Aynho and carry them to Adderbury with the expenses of 1 man there mending the said slates 2d 1 shilling 9.5pence.</t>
        </is>
      </c>
      <c r="C163" t="n">
        <v>0.09</v>
      </c>
      <c r="D163" t="n">
        <v>0</v>
      </c>
      <c r="E163" t="n">
        <v>1</v>
      </c>
      <c r="F163" t="n">
        <v>9.5</v>
      </c>
      <c r="H163" t="n">
        <v>0</v>
      </c>
      <c r="I163" t="n">
        <v>0</v>
      </c>
      <c r="J163" t="n">
        <v>0</v>
      </c>
      <c r="K163" t="n">
        <v>0</v>
      </c>
      <c r="L163" t="n">
        <v>0</v>
      </c>
      <c r="M163" t="n">
        <v>0</v>
      </c>
      <c r="N163" t="n">
        <v>0</v>
      </c>
    </row>
    <row r="164">
      <c r="A164" t="inlineStr">
        <is>
          <t>Cost of buildings</t>
        </is>
      </c>
      <c r="B164" t="inlineStr">
        <is>
          <t>1 tine bought 8pence.</t>
        </is>
      </c>
      <c r="C164" t="n">
        <v>0.03</v>
      </c>
      <c r="D164" t="n">
        <v>0</v>
      </c>
      <c r="E164" t="n">
        <v>0</v>
      </c>
      <c r="F164" t="n">
        <v>8</v>
      </c>
      <c r="H164" t="n">
        <v>0</v>
      </c>
      <c r="I164" t="n">
        <v>0</v>
      </c>
      <c r="J164" t="n">
        <v>0</v>
      </c>
      <c r="K164" t="n">
        <v>0</v>
      </c>
      <c r="L164" t="n">
        <v>0</v>
      </c>
      <c r="M164" t="n">
        <v>0</v>
      </c>
      <c r="N164" t="n">
        <v>0</v>
      </c>
    </row>
    <row r="165">
      <c r="A165" t="inlineStr">
        <is>
          <t>Cost of buildings</t>
        </is>
      </c>
      <c r="B165" t="inlineStr">
        <is>
          <t>1 bucket bought 3.5pence.</t>
        </is>
      </c>
      <c r="C165" t="n">
        <v>0.01</v>
      </c>
      <c r="D165" t="n">
        <v>0</v>
      </c>
      <c r="E165" t="n">
        <v>0</v>
      </c>
      <c r="F165" t="n">
        <v>3.5</v>
      </c>
      <c r="H165" t="n">
        <v>0</v>
      </c>
      <c r="I165" t="n">
        <v>0</v>
      </c>
      <c r="J165" t="n">
        <v>0</v>
      </c>
      <c r="K165" t="n">
        <v>0</v>
      </c>
      <c r="L165" t="n">
        <v>0</v>
      </c>
      <c r="M165" t="n">
        <v>0</v>
      </c>
      <c r="N165" t="n">
        <v>0</v>
      </c>
    </row>
    <row r="166">
      <c r="A166" t="inlineStr">
        <is>
          <t>Cost of buildings</t>
        </is>
      </c>
      <c r="B166" t="inlineStr">
        <is>
          <t>1 riddle (redell') bought 2pence.</t>
        </is>
      </c>
      <c r="C166" t="n">
        <v>0.01</v>
      </c>
      <c r="D166" t="n">
        <v>0</v>
      </c>
      <c r="E166" t="n">
        <v>0</v>
      </c>
      <c r="F166" t="n">
        <v>2</v>
      </c>
      <c r="H166" t="n">
        <v>0</v>
      </c>
      <c r="I166" t="n">
        <v>0</v>
      </c>
      <c r="J166" t="n">
        <v>0</v>
      </c>
      <c r="K166" t="n">
        <v>0</v>
      </c>
      <c r="L166" t="n">
        <v>0</v>
      </c>
      <c r="M166" t="n">
        <v>0</v>
      </c>
      <c r="N166" t="n">
        <v>0</v>
      </c>
    </row>
    <row r="167">
      <c r="A167" t="inlineStr">
        <is>
          <t>Cost of buildings</t>
        </is>
      </c>
      <c r="B167" t="inlineStr">
        <is>
          <t>1 ladder bought 1 shilling 4pence.</t>
        </is>
      </c>
      <c r="C167" t="n">
        <v>0.07000000000000001</v>
      </c>
      <c r="D167" t="n">
        <v>0</v>
      </c>
      <c r="E167" t="n">
        <v>1</v>
      </c>
      <c r="F167" t="n">
        <v>4</v>
      </c>
      <c r="H167" t="n">
        <v>0</v>
      </c>
      <c r="I167" t="n">
        <v>0</v>
      </c>
      <c r="J167" t="n">
        <v>0</v>
      </c>
      <c r="K167" t="n">
        <v>0</v>
      </c>
      <c r="L167" t="n">
        <v>0</v>
      </c>
      <c r="M167" t="n">
        <v>0</v>
      </c>
      <c r="N167" t="n">
        <v>0</v>
      </c>
    </row>
    <row r="168">
      <c r="A168" t="inlineStr">
        <is>
          <t>Cost of buildings</t>
        </is>
      </c>
      <c r="B168" t="inlineStr">
        <is>
          <t>1 table bought to make 2 hawk-boards therefrom zd n agreement made with a certain slater to mend, remove and cover with laths various defects on the corn barn, hall and half of the kitchen by piece-work £6 13 shilling 4pence.</t>
        </is>
      </c>
      <c r="C168" t="n">
        <v>6.67</v>
      </c>
      <c r="D168" t="n">
        <v>6</v>
      </c>
      <c r="E168" t="n">
        <v>13</v>
      </c>
      <c r="F168" t="n">
        <v>4</v>
      </c>
      <c r="H168" t="n">
        <v>0</v>
      </c>
      <c r="I168" t="n">
        <v>0</v>
      </c>
      <c r="J168" t="n">
        <v>0</v>
      </c>
      <c r="K168" t="n">
        <v>0</v>
      </c>
      <c r="L168" t="n">
        <v>0</v>
      </c>
      <c r="M168" t="n">
        <v>0</v>
      </c>
      <c r="N168" t="n">
        <v>0</v>
      </c>
    </row>
    <row r="169">
      <c r="A169" t="inlineStr">
        <is>
          <t>Cost of buildings</t>
        </is>
      </c>
      <c r="B169" t="inlineStr">
        <is>
          <t>Total, £9 9 shilling 1.5pence.</t>
        </is>
      </c>
      <c r="C169" t="n">
        <v>9.460000000000001</v>
      </c>
      <c r="D169" t="n">
        <v>9</v>
      </c>
      <c r="E169" t="n">
        <v>9</v>
      </c>
      <c r="F169" t="n">
        <v>1.5</v>
      </c>
      <c r="H169" t="n">
        <v>0</v>
      </c>
      <c r="I169" t="n">
        <v>0</v>
      </c>
      <c r="J169" t="n">
        <v>0</v>
      </c>
      <c r="K169" t="n">
        <v>0</v>
      </c>
      <c r="L169" t="n">
        <v>0</v>
      </c>
      <c r="M169" t="n">
        <v>0</v>
      </c>
      <c r="N169" t="n">
        <v>0</v>
      </c>
    </row>
    <row r="170">
      <c r="A170" t="inlineStr">
        <is>
          <t>Wages of the bailiff</t>
        </is>
      </c>
      <c r="B170" t="inlineStr">
        <is>
          <t>In wages of Thomas Bekyngham, bailiff, in part payment of his wages, £3 6 shilling 8pence.</t>
        </is>
      </c>
      <c r="C170" t="n">
        <v>3.33</v>
      </c>
      <c r="D170" t="n">
        <v>3</v>
      </c>
      <c r="E170" t="n">
        <v>6</v>
      </c>
      <c r="F170" t="n">
        <v>8</v>
      </c>
      <c r="H170" t="n">
        <v>0</v>
      </c>
      <c r="I170" t="n">
        <v>0</v>
      </c>
      <c r="J170" t="n">
        <v>0</v>
      </c>
      <c r="K170" t="n">
        <v>0</v>
      </c>
      <c r="L170" t="n">
        <v>0</v>
      </c>
      <c r="M170" t="n">
        <v>0</v>
      </c>
      <c r="N170" t="n">
        <v>0</v>
      </c>
    </row>
    <row r="171">
      <c r="A171" t="inlineStr">
        <is>
          <t>Wages of the bailiff</t>
        </is>
      </c>
      <c r="B171" t="inlineStr">
        <is>
          <t>Total, £3 6 shilling 8pence.</t>
        </is>
      </c>
      <c r="C171" t="n">
        <v>3.33</v>
      </c>
      <c r="D171" t="n">
        <v>3</v>
      </c>
      <c r="E171" t="n">
        <v>6</v>
      </c>
      <c r="F171" t="n">
        <v>8</v>
      </c>
      <c r="H171" t="n">
        <v>0</v>
      </c>
      <c r="I171" t="n">
        <v>0</v>
      </c>
      <c r="J171" t="n">
        <v>0</v>
      </c>
      <c r="K171" t="n">
        <v>0</v>
      </c>
      <c r="L171" t="n">
        <v>0</v>
      </c>
      <c r="M171" t="n">
        <v>0</v>
      </c>
      <c r="N171" t="n">
        <v>0</v>
      </c>
    </row>
    <row r="172">
      <c r="A172" t="inlineStr">
        <is>
          <t>Expenses of the steward</t>
        </is>
      </c>
      <c r="B172" t="inlineStr">
        <is>
          <t>In expenses of Richard Wyot', steward, coming there to hold the tourns of Martinmas and Hockday, by 2 sealed bills, 14 shilling 9pence.</t>
        </is>
      </c>
      <c r="C172" t="n">
        <v>0.74</v>
      </c>
      <c r="D172" t="n">
        <v>0</v>
      </c>
      <c r="E172" t="n">
        <v>14</v>
      </c>
      <c r="F172" t="n">
        <v>9</v>
      </c>
      <c r="H172" t="n">
        <v>0</v>
      </c>
      <c r="I172" t="n">
        <v>0</v>
      </c>
      <c r="J172" t="n">
        <v>0</v>
      </c>
      <c r="K172" t="n">
        <v>0</v>
      </c>
      <c r="L172" t="n">
        <v>0</v>
      </c>
      <c r="M172" t="n">
        <v>0</v>
      </c>
      <c r="N172" t="n">
        <v>0</v>
      </c>
    </row>
    <row r="173">
      <c r="A173" t="inlineStr">
        <is>
          <t>Annual fees</t>
        </is>
      </c>
      <c r="B173" t="inlineStr">
        <is>
          <t>Paid to John Wylkotes for the annual fee granted to him for the term of his life as made clear by the lord's letters patent and the quittance of the payment made therefor £20..</t>
        </is>
      </c>
      <c r="C173" t="n">
        <v>20</v>
      </c>
      <c r="D173" t="n">
        <v>20</v>
      </c>
      <c r="E173" t="n">
        <v>0</v>
      </c>
      <c r="F173" t="n">
        <v>0</v>
      </c>
      <c r="H173" t="n">
        <v>0</v>
      </c>
      <c r="I173" t="n">
        <v>0</v>
      </c>
      <c r="J173" t="n">
        <v>0</v>
      </c>
      <c r="K173" t="n">
        <v>0</v>
      </c>
      <c r="L173" t="n">
        <v>0</v>
      </c>
      <c r="M173" t="n">
        <v>0</v>
      </c>
      <c r="N173" t="n">
        <v>0</v>
      </c>
    </row>
    <row r="174">
      <c r="A174" t="inlineStr">
        <is>
          <t>Annual fees</t>
        </is>
      </c>
      <c r="B174" t="inlineStr">
        <is>
          <t>Total, £20..</t>
        </is>
      </c>
      <c r="C174" t="n">
        <v>20</v>
      </c>
      <c r="D174" t="n">
        <v>20</v>
      </c>
      <c r="E174" t="n">
        <v>0</v>
      </c>
      <c r="F174" t="n">
        <v>0</v>
      </c>
      <c r="H174" t="n">
        <v>0</v>
      </c>
      <c r="I174" t="n">
        <v>0</v>
      </c>
      <c r="J174" t="n">
        <v>0</v>
      </c>
      <c r="K174" t="n">
        <v>0</v>
      </c>
      <c r="L174" t="n">
        <v>0</v>
      </c>
      <c r="M174" t="n">
        <v>0</v>
      </c>
      <c r="N174" t="n">
        <v>0</v>
      </c>
    </row>
    <row r="175">
      <c r="A175" t="inlineStr">
        <is>
          <t>Total of all expenses</t>
        </is>
      </c>
      <c r="B175" t="inlineStr">
        <is>
          <t>Total of all expenses, £33 10 shilling 6.5pence.</t>
        </is>
      </c>
      <c r="C175" t="n">
        <v>33.53</v>
      </c>
      <c r="D175" t="n">
        <v>33</v>
      </c>
      <c r="E175" t="n">
        <v>10</v>
      </c>
      <c r="F175" t="n">
        <v>6.5</v>
      </c>
      <c r="H175" t="n">
        <v>0</v>
      </c>
      <c r="I175" t="n">
        <v>0</v>
      </c>
      <c r="J175" t="n">
        <v>0</v>
      </c>
      <c r="K175" t="n">
        <v>0</v>
      </c>
      <c r="L175" t="n">
        <v>0</v>
      </c>
      <c r="M175" t="n">
        <v>0</v>
      </c>
      <c r="N175" t="n">
        <v>0</v>
      </c>
    </row>
    <row r="176">
      <c r="A176" t="inlineStr">
        <is>
          <t>And he owes</t>
        </is>
      </c>
      <c r="B176" t="inlineStr">
        <is>
          <t>And he owes, £64 19 shilling 11.5pence.</t>
        </is>
      </c>
      <c r="C176" t="n">
        <v>65</v>
      </c>
      <c r="D176" t="n">
        <v>64</v>
      </c>
      <c r="E176" t="n">
        <v>19</v>
      </c>
      <c r="F176" t="n">
        <v>11.5</v>
      </c>
      <c r="H176" t="n">
        <v>0</v>
      </c>
      <c r="I176" t="n">
        <v>0</v>
      </c>
      <c r="J176" t="n">
        <v>0</v>
      </c>
      <c r="K176" t="n">
        <v>0</v>
      </c>
      <c r="L176" t="n">
        <v>0</v>
      </c>
      <c r="M176" t="n">
        <v>0</v>
      </c>
      <c r="N176" t="n">
        <v>0</v>
      </c>
    </row>
    <row r="177">
      <c r="A177" t="inlineStr">
        <is>
          <t>Allowances without writ</t>
        </is>
      </c>
      <c r="B177" t="inlineStr">
        <is>
          <t>In allowance to the reeve for 6 shilling 8pence for the reward made to the warrener for summoning the courts and raising the money from the estreat of the courts this year, which was not allowed to him above.</t>
        </is>
      </c>
      <c r="C177" t="n">
        <v>0.33</v>
      </c>
      <c r="D177" t="n">
        <v>0</v>
      </c>
      <c r="E177" t="n">
        <v>6</v>
      </c>
      <c r="F177" t="n">
        <v>8</v>
      </c>
      <c r="H177" t="n">
        <v>0</v>
      </c>
      <c r="I177" t="n">
        <v>0</v>
      </c>
      <c r="J177" t="n">
        <v>0</v>
      </c>
      <c r="K177" t="n">
        <v>0</v>
      </c>
      <c r="L177" t="n">
        <v>0</v>
      </c>
      <c r="M177" t="n">
        <v>0</v>
      </c>
      <c r="N177" t="n">
        <v>0</v>
      </c>
    </row>
    <row r="178">
      <c r="A178" t="inlineStr">
        <is>
          <t>Allowances without writ</t>
        </is>
      </c>
      <c r="B178" t="inlineStr">
        <is>
          <t>Total, 6 shilling 8pence.</t>
        </is>
      </c>
      <c r="C178" t="n">
        <v>0.33</v>
      </c>
      <c r="D178" t="n">
        <v>0</v>
      </c>
      <c r="E178" t="n">
        <v>6</v>
      </c>
      <c r="F178" t="n">
        <v>8</v>
      </c>
      <c r="H178" t="n">
        <v>0</v>
      </c>
      <c r="I178" t="n">
        <v>0</v>
      </c>
      <c r="J178" t="n">
        <v>0</v>
      </c>
      <c r="K178" t="n">
        <v>0</v>
      </c>
      <c r="L178" t="n">
        <v>0</v>
      </c>
      <c r="M178" t="n">
        <v>0</v>
      </c>
      <c r="N178" t="n">
        <v>0</v>
      </c>
    </row>
    <row r="179">
      <c r="A179" t="inlineStr">
        <is>
          <t>Cash deliveries</t>
        </is>
      </c>
      <c r="B179" t="inlineStr">
        <is>
          <t>Delivered to John Arnold', receiver of Wolvesey, by 1 tally, £64 13 shilling 3.5pence.</t>
        </is>
      </c>
      <c r="C179" t="n">
        <v>64.66</v>
      </c>
      <c r="D179" t="n">
        <v>64</v>
      </c>
      <c r="E179" t="n">
        <v>13</v>
      </c>
      <c r="F179" t="n">
        <v>3.5</v>
      </c>
      <c r="H179" t="n">
        <v>0</v>
      </c>
      <c r="I179" t="n">
        <v>0</v>
      </c>
      <c r="J179" t="n">
        <v>0</v>
      </c>
      <c r="K179" t="n">
        <v>0</v>
      </c>
      <c r="L179" t="n">
        <v>0</v>
      </c>
      <c r="M179" t="n">
        <v>0</v>
      </c>
      <c r="N179" t="n">
        <v>0</v>
      </c>
    </row>
    <row r="180">
      <c r="A180" t="inlineStr">
        <is>
          <t>Cash deliveries</t>
        </is>
      </c>
      <c r="B180" t="inlineStr">
        <is>
          <t>Total, £64 13 shilling 3.5pence.</t>
        </is>
      </c>
      <c r="C180" t="n">
        <v>64.66</v>
      </c>
      <c r="D180" t="n">
        <v>64</v>
      </c>
      <c r="E180" t="n">
        <v>13</v>
      </c>
      <c r="F180" t="n">
        <v>3.5</v>
      </c>
      <c r="H180" t="n">
        <v>0</v>
      </c>
      <c r="I180" t="n">
        <v>0</v>
      </c>
      <c r="J180" t="n">
        <v>0</v>
      </c>
      <c r="K180" t="n">
        <v>0</v>
      </c>
      <c r="L180" t="n">
        <v>0</v>
      </c>
      <c r="M180" t="n">
        <v>0</v>
      </c>
      <c r="N180" t="n">
        <v>0</v>
      </c>
    </row>
    <row r="181">
      <c r="A181" t="inlineStr">
        <is>
          <t>Total of all allowances</t>
        </is>
      </c>
      <c r="B181" t="inlineStr">
        <is>
          <t>Total of all allowances and cash deliveries, £64 19 shilling 11.5pence He is quit.</t>
        </is>
      </c>
      <c r="C181" t="n">
        <v>65</v>
      </c>
      <c r="D181" t="n">
        <v>64</v>
      </c>
      <c r="E181" t="n">
        <v>19</v>
      </c>
      <c r="F181" t="n">
        <v>11.5</v>
      </c>
      <c r="H181" t="n">
        <v>0</v>
      </c>
      <c r="I181" t="n">
        <v>0</v>
      </c>
      <c r="J181" t="n">
        <v>0</v>
      </c>
      <c r="K181" t="n">
        <v>0</v>
      </c>
      <c r="L181" t="n">
        <v>0</v>
      </c>
      <c r="M181" t="n">
        <v>0</v>
      </c>
      <c r="N181" t="n">
        <v>0</v>
      </c>
    </row>
    <row r="182">
      <c r="A182" t="inlineStr">
        <is>
          <t>Wheat</t>
        </is>
      </c>
      <c r="B182" t="inlineStr">
        <is>
          <t>William Jakeman, reeve there, answers for 3 quarters of wheat remaining..</t>
        </is>
      </c>
      <c r="C182" t="n">
        <v>0</v>
      </c>
      <c r="D182" t="n">
        <v>0</v>
      </c>
      <c r="E182" t="n">
        <v>0</v>
      </c>
      <c r="F182" t="n">
        <v>0</v>
      </c>
      <c r="G182" t="inlineStr">
        <is>
          <t>wheat</t>
        </is>
      </c>
      <c r="H182" t="n">
        <v>3</v>
      </c>
      <c r="I182" t="n">
        <v>0</v>
      </c>
      <c r="J182" t="n">
        <v>3</v>
      </c>
      <c r="K182" t="n">
        <v>3</v>
      </c>
      <c r="L182" t="n">
        <v>0</v>
      </c>
      <c r="M182" t="n">
        <v>3</v>
      </c>
      <c r="N182" t="n">
        <v>0</v>
      </c>
    </row>
    <row r="183">
      <c r="A183" t="inlineStr">
        <is>
          <t>Wheat</t>
        </is>
      </c>
      <c r="B183" t="inlineStr">
        <is>
          <t>Total, 3 quarters..</t>
        </is>
      </c>
      <c r="C183" t="n">
        <v>0</v>
      </c>
      <c r="D183" t="n">
        <v>0</v>
      </c>
      <c r="E183" t="n">
        <v>0</v>
      </c>
      <c r="F183" t="n">
        <v>0</v>
      </c>
      <c r="H183" t="n">
        <v>3</v>
      </c>
      <c r="I183" t="n">
        <v>0</v>
      </c>
      <c r="J183" t="n">
        <v>3</v>
      </c>
      <c r="K183" t="n">
        <v>3</v>
      </c>
      <c r="L183" t="n">
        <v>0</v>
      </c>
      <c r="M183" t="n">
        <v>3</v>
      </c>
      <c r="N183" t="n">
        <v>0</v>
      </c>
    </row>
    <row r="184">
      <c r="A184" t="inlineStr">
        <is>
          <t>Wheat</t>
        </is>
      </c>
      <c r="B184" t="inlineStr">
        <is>
          <t>3 quarters remain in the keeping of John Eadburbury, farmer there, to be handed back and restored at the end of his farm of 12 years, this year being the fifth.</t>
        </is>
      </c>
      <c r="C184" t="n">
        <v>0</v>
      </c>
      <c r="D184" t="n">
        <v>0</v>
      </c>
      <c r="E184" t="n">
        <v>0</v>
      </c>
      <c r="F184" t="n">
        <v>0</v>
      </c>
      <c r="H184" t="n">
        <v>3</v>
      </c>
      <c r="I184" t="n">
        <v>0</v>
      </c>
      <c r="J184" t="n">
        <v>3</v>
      </c>
      <c r="K184" t="n">
        <v>3</v>
      </c>
      <c r="L184" t="n">
        <v>0</v>
      </c>
      <c r="M184" t="n">
        <v>3</v>
      </c>
      <c r="N184" t="n">
        <v>0</v>
      </c>
    </row>
    <row r="185">
      <c r="A185" t="inlineStr">
        <is>
          <t>Rye</t>
        </is>
      </c>
      <c r="B185" t="inlineStr">
        <is>
          <t>And for 34 quarters of rye remaining..</t>
        </is>
      </c>
      <c r="C185" t="n">
        <v>0</v>
      </c>
      <c r="D185" t="n">
        <v>0</v>
      </c>
      <c r="E185" t="n">
        <v>0</v>
      </c>
      <c r="F185" t="n">
        <v>0</v>
      </c>
      <c r="G185" t="inlineStr">
        <is>
          <t>rye</t>
        </is>
      </c>
      <c r="H185" t="n">
        <v>34</v>
      </c>
      <c r="I185" t="n">
        <v>0</v>
      </c>
      <c r="J185" t="n">
        <v>34</v>
      </c>
      <c r="K185" t="n">
        <v>34</v>
      </c>
      <c r="L185" t="n">
        <v>0</v>
      </c>
      <c r="M185" t="n">
        <v>34</v>
      </c>
      <c r="N185" t="n">
        <v>0</v>
      </c>
    </row>
    <row r="186">
      <c r="A186" t="inlineStr">
        <is>
          <t>Rye</t>
        </is>
      </c>
      <c r="B186" t="inlineStr">
        <is>
          <t>Total, 34 quarters..</t>
        </is>
      </c>
      <c r="C186" t="n">
        <v>0</v>
      </c>
      <c r="D186" t="n">
        <v>0</v>
      </c>
      <c r="E186" t="n">
        <v>0</v>
      </c>
      <c r="F186" t="n">
        <v>0</v>
      </c>
      <c r="H186" t="n">
        <v>34</v>
      </c>
      <c r="I186" t="n">
        <v>0</v>
      </c>
      <c r="J186" t="n">
        <v>34</v>
      </c>
      <c r="K186" t="n">
        <v>34</v>
      </c>
      <c r="L186" t="n">
        <v>0</v>
      </c>
      <c r="M186" t="n">
        <v>34</v>
      </c>
      <c r="N186" t="n">
        <v>0</v>
      </c>
    </row>
    <row r="187">
      <c r="A187" t="inlineStr">
        <is>
          <t>Rye</t>
        </is>
      </c>
      <c r="B187" t="inlineStr">
        <is>
          <t>34 quarters remain in the keeping of the said John Eadburbury, farmer there, to be handed back and restored at the end of his farm as before.</t>
        </is>
      </c>
      <c r="C187" t="n">
        <v>0</v>
      </c>
      <c r="D187" t="n">
        <v>0</v>
      </c>
      <c r="E187" t="n">
        <v>0</v>
      </c>
      <c r="F187" t="n">
        <v>0</v>
      </c>
      <c r="H187" t="n">
        <v>34</v>
      </c>
      <c r="I187" t="n">
        <v>0</v>
      </c>
      <c r="J187" t="n">
        <v>34</v>
      </c>
      <c r="K187" t="n">
        <v>34</v>
      </c>
      <c r="L187" t="n">
        <v>0</v>
      </c>
      <c r="M187" t="n">
        <v>34</v>
      </c>
      <c r="N187" t="n">
        <v>0</v>
      </c>
    </row>
    <row r="188">
      <c r="A188" t="inlineStr">
        <is>
          <t>Dredge</t>
        </is>
      </c>
      <c r="B188" t="inlineStr">
        <is>
          <t>And for 30 quarters of dredge remaining..</t>
        </is>
      </c>
      <c r="C188" t="n">
        <v>0</v>
      </c>
      <c r="D188" t="n">
        <v>0</v>
      </c>
      <c r="E188" t="n">
        <v>0</v>
      </c>
      <c r="F188" t="n">
        <v>0</v>
      </c>
      <c r="G188" t="inlineStr">
        <is>
          <t>dredge</t>
        </is>
      </c>
      <c r="H188" t="n">
        <v>30</v>
      </c>
      <c r="I188" t="n">
        <v>0</v>
      </c>
      <c r="J188" t="n">
        <v>30</v>
      </c>
      <c r="K188" t="n">
        <v>30</v>
      </c>
      <c r="L188" t="n">
        <v>0</v>
      </c>
      <c r="M188" t="n">
        <v>30</v>
      </c>
      <c r="N188" t="n">
        <v>0</v>
      </c>
    </row>
    <row r="189">
      <c r="A189" t="inlineStr">
        <is>
          <t>Dredge</t>
        </is>
      </c>
      <c r="B189" t="inlineStr">
        <is>
          <t>Total, 30 quarters..</t>
        </is>
      </c>
      <c r="C189" t="n">
        <v>0</v>
      </c>
      <c r="D189" t="n">
        <v>0</v>
      </c>
      <c r="E189" t="n">
        <v>0</v>
      </c>
      <c r="F189" t="n">
        <v>0</v>
      </c>
      <c r="H189" t="n">
        <v>30</v>
      </c>
      <c r="I189" t="n">
        <v>0</v>
      </c>
      <c r="J189" t="n">
        <v>30</v>
      </c>
      <c r="K189" t="n">
        <v>30</v>
      </c>
      <c r="L189" t="n">
        <v>0</v>
      </c>
      <c r="M189" t="n">
        <v>30</v>
      </c>
      <c r="N189" t="n">
        <v>0</v>
      </c>
    </row>
    <row r="190">
      <c r="A190" t="inlineStr">
        <is>
          <t>Dredge</t>
        </is>
      </c>
      <c r="B190" t="inlineStr">
        <is>
          <t>30 quarters remain in the keeping of the said John Eadburbury, farmer there, to be handed back and restored as before.</t>
        </is>
      </c>
      <c r="C190" t="n">
        <v>0</v>
      </c>
      <c r="D190" t="n">
        <v>0</v>
      </c>
      <c r="E190" t="n">
        <v>0</v>
      </c>
      <c r="F190" t="n">
        <v>0</v>
      </c>
      <c r="H190" t="n">
        <v>30</v>
      </c>
      <c r="I190" t="n">
        <v>0</v>
      </c>
      <c r="J190" t="n">
        <v>30</v>
      </c>
      <c r="K190" t="n">
        <v>30</v>
      </c>
      <c r="L190" t="n">
        <v>0</v>
      </c>
      <c r="M190" t="n">
        <v>30</v>
      </c>
      <c r="N190" t="n">
        <v>0</v>
      </c>
    </row>
    <row r="191">
      <c r="A191" t="inlineStr">
        <is>
          <t>Pulses</t>
        </is>
      </c>
      <c r="B191" t="inlineStr">
        <is>
          <t>None remain.</t>
        </is>
      </c>
      <c r="C191" t="n">
        <v>0</v>
      </c>
      <c r="D191" t="n">
        <v>0</v>
      </c>
      <c r="E191" t="n">
        <v>0</v>
      </c>
      <c r="F191" t="n">
        <v>0</v>
      </c>
      <c r="H191" t="n">
        <v>0</v>
      </c>
      <c r="I191" t="n">
        <v>0</v>
      </c>
      <c r="J191" t="n">
        <v>0</v>
      </c>
      <c r="K191" t="n">
        <v>0</v>
      </c>
      <c r="L191" t="n">
        <v>0</v>
      </c>
      <c r="M191" t="n">
        <v>0</v>
      </c>
      <c r="N191" t="n">
        <v>0</v>
      </c>
    </row>
    <row r="192">
      <c r="A192" t="inlineStr">
        <is>
          <t>Oats</t>
        </is>
      </c>
      <c r="B192" t="inlineStr">
        <is>
          <t>And for 10 quarters of oats..</t>
        </is>
      </c>
      <c r="C192" t="n">
        <v>0</v>
      </c>
      <c r="D192" t="n">
        <v>0</v>
      </c>
      <c r="E192" t="n">
        <v>0</v>
      </c>
      <c r="F192" t="n">
        <v>0</v>
      </c>
      <c r="G192" t="inlineStr">
        <is>
          <t>oats</t>
        </is>
      </c>
      <c r="H192" t="n">
        <v>10</v>
      </c>
      <c r="I192" t="n">
        <v>0</v>
      </c>
      <c r="J192" t="n">
        <v>10</v>
      </c>
      <c r="K192" t="n">
        <v>10</v>
      </c>
      <c r="L192" t="n">
        <v>0</v>
      </c>
      <c r="M192" t="n">
        <v>10</v>
      </c>
      <c r="N192" t="n">
        <v>0</v>
      </c>
    </row>
    <row r="193">
      <c r="A193" t="inlineStr">
        <is>
          <t>Oats</t>
        </is>
      </c>
      <c r="B193" t="inlineStr">
        <is>
          <t>Total, 10 quarters..</t>
        </is>
      </c>
      <c r="C193" t="n">
        <v>0</v>
      </c>
      <c r="D193" t="n">
        <v>0</v>
      </c>
      <c r="E193" t="n">
        <v>0</v>
      </c>
      <c r="F193" t="n">
        <v>0</v>
      </c>
      <c r="H193" t="n">
        <v>10</v>
      </c>
      <c r="I193" t="n">
        <v>0</v>
      </c>
      <c r="J193" t="n">
        <v>10</v>
      </c>
      <c r="K193" t="n">
        <v>10</v>
      </c>
      <c r="L193" t="n">
        <v>0</v>
      </c>
      <c r="M193" t="n">
        <v>10</v>
      </c>
      <c r="N193" t="n">
        <v>0</v>
      </c>
    </row>
    <row r="194">
      <c r="A194" t="inlineStr">
        <is>
          <t>Oats</t>
        </is>
      </c>
      <c r="B194" t="inlineStr">
        <is>
          <t>10 quarters remain in the keeping of the said John Eadburbury, farmer there, to be handed back and restored as before.</t>
        </is>
      </c>
      <c r="C194" t="n">
        <v>0</v>
      </c>
      <c r="D194" t="n">
        <v>0</v>
      </c>
      <c r="E194" t="n">
        <v>0</v>
      </c>
      <c r="F194" t="n">
        <v>0</v>
      </c>
      <c r="H194" t="n">
        <v>10</v>
      </c>
      <c r="I194" t="n">
        <v>0</v>
      </c>
      <c r="J194" t="n">
        <v>10</v>
      </c>
      <c r="K194" t="n">
        <v>10</v>
      </c>
      <c r="L194" t="n">
        <v>0</v>
      </c>
      <c r="M194" t="n">
        <v>10</v>
      </c>
      <c r="N194" t="n">
        <v>0</v>
      </c>
    </row>
    <row r="195">
      <c r="A195" t="inlineStr">
        <is>
          <t>Oats</t>
        </is>
      </c>
      <c r="B195" t="inlineStr">
        <is>
          <t>Eadburbury, farmer, to be handed back and restored at the end of his farm or the value of the same as before.</t>
        </is>
      </c>
      <c r="C195" t="n">
        <v>0</v>
      </c>
      <c r="D195" t="n">
        <v>0</v>
      </c>
      <c r="E195" t="n">
        <v>0</v>
      </c>
      <c r="F195" t="n">
        <v>0</v>
      </c>
      <c r="H195" t="n">
        <v>0</v>
      </c>
      <c r="I195" t="n">
        <v>0</v>
      </c>
      <c r="J195" t="n">
        <v>0</v>
      </c>
      <c r="K195" t="n">
        <v>0</v>
      </c>
      <c r="L195" t="n">
        <v>0</v>
      </c>
      <c r="M195" t="n">
        <v>0</v>
      </c>
      <c r="N195" t="n">
        <v>0</v>
      </c>
    </row>
    <row r="196">
      <c r="A196" t="inlineStr">
        <is>
          <t>Stock</t>
        </is>
      </c>
      <c r="B196" t="inlineStr">
        <is>
          <t>Horses: 4 remain.</t>
        </is>
      </c>
      <c r="C196" t="n">
        <v>0</v>
      </c>
      <c r="D196" t="n">
        <v>0</v>
      </c>
      <c r="E196" t="n">
        <v>0</v>
      </c>
      <c r="F196" t="n">
        <v>0</v>
      </c>
      <c r="H196" t="n">
        <v>0</v>
      </c>
      <c r="I196" t="n">
        <v>0</v>
      </c>
      <c r="J196" t="n">
        <v>0</v>
      </c>
      <c r="K196" t="n">
        <v>0</v>
      </c>
      <c r="L196" t="n">
        <v>0</v>
      </c>
      <c r="M196" t="n">
        <v>0</v>
      </c>
      <c r="N196" t="n">
        <v>0</v>
      </c>
    </row>
    <row r="197">
      <c r="A197" t="inlineStr">
        <is>
          <t>Stock</t>
        </is>
      </c>
      <c r="B197" t="inlineStr">
        <is>
          <t>1 from the heriot of William Rundell'.</t>
        </is>
      </c>
      <c r="C197" t="n">
        <v>0</v>
      </c>
      <c r="D197" t="n">
        <v>0</v>
      </c>
      <c r="E197" t="n">
        <v>0</v>
      </c>
      <c r="F197" t="n">
        <v>0</v>
      </c>
      <c r="H197" t="n">
        <v>0</v>
      </c>
      <c r="I197" t="n">
        <v>0</v>
      </c>
      <c r="J197" t="n">
        <v>0</v>
      </c>
      <c r="K197" t="n">
        <v>0</v>
      </c>
      <c r="L197" t="n">
        <v>0</v>
      </c>
      <c r="M197" t="n">
        <v>0</v>
      </c>
      <c r="N197" t="n">
        <v>0</v>
      </c>
    </row>
    <row r="198">
      <c r="A198" t="inlineStr">
        <is>
          <t>Stock</t>
        </is>
      </c>
      <c r="B198" t="inlineStr">
        <is>
          <t>Total 5. 1 sold within.</t>
        </is>
      </c>
      <c r="C198" t="n">
        <v>0</v>
      </c>
      <c r="D198" t="n">
        <v>0</v>
      </c>
      <c r="E198" t="n">
        <v>0</v>
      </c>
      <c r="F198" t="n">
        <v>0</v>
      </c>
      <c r="H198" t="n">
        <v>0</v>
      </c>
      <c r="I198" t="n">
        <v>0</v>
      </c>
      <c r="J198" t="n">
        <v>0</v>
      </c>
      <c r="K198" t="n">
        <v>0</v>
      </c>
      <c r="L198" t="n">
        <v>0</v>
      </c>
      <c r="M198" t="n">
        <v>0</v>
      </c>
      <c r="N198" t="n">
        <v>0</v>
      </c>
    </row>
    <row r="199">
      <c r="A199" t="inlineStr">
        <is>
          <t>Stock</t>
        </is>
      </c>
      <c r="B199" t="inlineStr">
        <is>
          <t>4 cart-horses remain, of which 2 are worth £1 6s 8pence, 1 is worth £1, and 1 feeble one is worth 2 shilling, in the keeping of the said John Eadburbury, farmer there, to be handed back and restored at the end of his farm or the value of the same at the choice of the lord bishop or his attorney.</t>
        </is>
      </c>
      <c r="C199" t="n">
        <v>1</v>
      </c>
      <c r="D199" t="n">
        <v>1</v>
      </c>
      <c r="E199" t="n">
        <v>0</v>
      </c>
      <c r="F199" t="n">
        <v>0</v>
      </c>
      <c r="H199" t="n">
        <v>0</v>
      </c>
      <c r="I199" t="n">
        <v>0</v>
      </c>
      <c r="J199" t="n">
        <v>0</v>
      </c>
      <c r="K199" t="n">
        <v>0</v>
      </c>
      <c r="L199" t="n">
        <v>0</v>
      </c>
      <c r="M199" t="n">
        <v>0</v>
      </c>
      <c r="N199" t="n">
        <v>0</v>
      </c>
    </row>
    <row r="200">
      <c r="A200" t="inlineStr">
        <is>
          <t>Stock</t>
        </is>
      </c>
      <c r="B200" t="inlineStr">
        <is>
          <t>Plough-horses: 6 remain.</t>
        </is>
      </c>
      <c r="C200" t="n">
        <v>0</v>
      </c>
      <c r="D200" t="n">
        <v>0</v>
      </c>
      <c r="E200" t="n">
        <v>0</v>
      </c>
      <c r="F200" t="n">
        <v>0</v>
      </c>
      <c r="H200" t="n">
        <v>0</v>
      </c>
      <c r="I200" t="n">
        <v>0</v>
      </c>
      <c r="J200" t="n">
        <v>0</v>
      </c>
      <c r="K200" t="n">
        <v>0</v>
      </c>
      <c r="L200" t="n">
        <v>0</v>
      </c>
      <c r="M200" t="n">
        <v>0</v>
      </c>
      <c r="N200" t="n">
        <v>0</v>
      </c>
    </row>
    <row r="201">
      <c r="A201" t="inlineStr">
        <is>
          <t>Stock</t>
        </is>
      </c>
      <c r="B201" t="inlineStr">
        <is>
          <t>Total, 6. 6 remain, worth £2, in the keeping of John.</t>
        </is>
      </c>
      <c r="C201" t="n">
        <v>2</v>
      </c>
      <c r="D201" t="n">
        <v>2</v>
      </c>
      <c r="E201" t="n">
        <v>0</v>
      </c>
      <c r="F201" t="n">
        <v>0</v>
      </c>
      <c r="H201" t="n">
        <v>0</v>
      </c>
      <c r="I201" t="n">
        <v>0</v>
      </c>
      <c r="J201" t="n">
        <v>0</v>
      </c>
      <c r="K201" t="n">
        <v>0</v>
      </c>
      <c r="L201" t="n">
        <v>0</v>
      </c>
      <c r="M201" t="n">
        <v>0</v>
      </c>
      <c r="N201" t="n">
        <v>0</v>
      </c>
    </row>
    <row r="202">
      <c r="A202" t="inlineStr">
        <is>
          <t>Stock</t>
        </is>
      </c>
      <c r="B202" t="inlineStr">
        <is>
          <t>Colts: 1 from the heriot of John Diconurn.</t>
        </is>
      </c>
      <c r="C202" t="n">
        <v>0</v>
      </c>
      <c r="D202" t="n">
        <v>0</v>
      </c>
      <c r="E202" t="n">
        <v>0</v>
      </c>
      <c r="F202" t="n">
        <v>0</v>
      </c>
      <c r="H202" t="n">
        <v>0</v>
      </c>
      <c r="I202" t="n">
        <v>0</v>
      </c>
      <c r="J202" t="n">
        <v>0</v>
      </c>
      <c r="K202" t="n">
        <v>0</v>
      </c>
      <c r="L202" t="n">
        <v>0</v>
      </c>
      <c r="M202" t="n">
        <v>0</v>
      </c>
      <c r="N202" t="n">
        <v>0</v>
      </c>
    </row>
    <row r="203">
      <c r="A203" t="inlineStr">
        <is>
          <t>Stock</t>
        </is>
      </c>
      <c r="B203" t="inlineStr">
        <is>
          <t>sold within.</t>
        </is>
      </c>
      <c r="C203" t="n">
        <v>0</v>
      </c>
      <c r="D203" t="n">
        <v>0</v>
      </c>
      <c r="E203" t="n">
        <v>0</v>
      </c>
      <c r="F203" t="n">
        <v>0</v>
      </c>
      <c r="H203" t="n">
        <v>0</v>
      </c>
      <c r="I203" t="n">
        <v>0</v>
      </c>
      <c r="J203" t="n">
        <v>0</v>
      </c>
      <c r="K203" t="n">
        <v>0</v>
      </c>
      <c r="L203" t="n">
        <v>0</v>
      </c>
      <c r="M203" t="n">
        <v>0</v>
      </c>
      <c r="N203" t="n">
        <v>0</v>
      </c>
    </row>
    <row r="204">
      <c r="A204" t="inlineStr">
        <is>
          <t>Stock</t>
        </is>
      </c>
      <c r="B204" t="inlineStr">
        <is>
          <t>none remain.</t>
        </is>
      </c>
      <c r="C204" t="n">
        <v>0</v>
      </c>
      <c r="D204" t="n">
        <v>0</v>
      </c>
      <c r="E204" t="n">
        <v>0</v>
      </c>
      <c r="F204" t="n">
        <v>0</v>
      </c>
      <c r="H204" t="n">
        <v>0</v>
      </c>
      <c r="I204" t="n">
        <v>0</v>
      </c>
      <c r="J204" t="n">
        <v>0</v>
      </c>
      <c r="K204" t="n">
        <v>0</v>
      </c>
      <c r="L204" t="n">
        <v>0</v>
      </c>
      <c r="M204" t="n">
        <v>0</v>
      </c>
      <c r="N204" t="n">
        <v>0</v>
      </c>
    </row>
    <row r="205">
      <c r="A205" t="inlineStr">
        <is>
          <t>Stock</t>
        </is>
      </c>
      <c r="B205" t="inlineStr">
        <is>
          <t>Bulls: 2 remain.</t>
        </is>
      </c>
      <c r="C205" t="n">
        <v>0</v>
      </c>
      <c r="D205" t="n">
        <v>0</v>
      </c>
      <c r="E205" t="n">
        <v>0</v>
      </c>
      <c r="F205" t="n">
        <v>0</v>
      </c>
      <c r="H205" t="n">
        <v>0</v>
      </c>
      <c r="I205" t="n">
        <v>0</v>
      </c>
      <c r="J205" t="n">
        <v>0</v>
      </c>
      <c r="K205" t="n">
        <v>0</v>
      </c>
      <c r="L205" t="n">
        <v>0</v>
      </c>
      <c r="M205" t="n">
        <v>0</v>
      </c>
      <c r="N205" t="n">
        <v>0</v>
      </c>
    </row>
    <row r="206">
      <c r="A206" t="inlineStr">
        <is>
          <t>Stock</t>
        </is>
      </c>
      <c r="B206" t="inlineStr">
        <is>
          <t>Total, 2. 2 remain, worth 10 shilling each, in the keeping of the said John, to be handed back and restored at the end of his farm as before.</t>
        </is>
      </c>
      <c r="C206" t="n">
        <v>0.5</v>
      </c>
      <c r="D206" t="n">
        <v>0</v>
      </c>
      <c r="E206" t="n">
        <v>10</v>
      </c>
      <c r="F206" t="n">
        <v>0</v>
      </c>
      <c r="H206" t="n">
        <v>0</v>
      </c>
      <c r="I206" t="n">
        <v>0</v>
      </c>
      <c r="J206" t="n">
        <v>0</v>
      </c>
      <c r="K206" t="n">
        <v>0</v>
      </c>
      <c r="L206" t="n">
        <v>0</v>
      </c>
      <c r="M206" t="n">
        <v>0</v>
      </c>
      <c r="N206" t="n">
        <v>0</v>
      </c>
    </row>
    <row r="207">
      <c r="A207" t="inlineStr">
        <is>
          <t>Stock</t>
        </is>
      </c>
      <c r="B207" t="inlineStr">
        <is>
          <t>Oxen: none.</t>
        </is>
      </c>
      <c r="C207" t="n">
        <v>0</v>
      </c>
      <c r="D207" t="n">
        <v>0</v>
      </c>
      <c r="E207" t="n">
        <v>0</v>
      </c>
      <c r="F207" t="n">
        <v>0</v>
      </c>
      <c r="H207" t="n">
        <v>0</v>
      </c>
      <c r="I207" t="n">
        <v>0</v>
      </c>
      <c r="J207" t="n">
        <v>0</v>
      </c>
      <c r="K207" t="n">
        <v>0</v>
      </c>
      <c r="L207" t="n">
        <v>0</v>
      </c>
      <c r="M207" t="n">
        <v>0</v>
      </c>
      <c r="N207" t="n">
        <v>0</v>
      </c>
    </row>
    <row r="208">
      <c r="A208" t="inlineStr">
        <is>
          <t>Stock</t>
        </is>
      </c>
      <c r="B208" t="inlineStr">
        <is>
          <t>Cows: 19 remain.</t>
        </is>
      </c>
      <c r="C208" t="n">
        <v>0</v>
      </c>
      <c r="D208" t="n">
        <v>0</v>
      </c>
      <c r="E208" t="n">
        <v>0</v>
      </c>
      <c r="F208" t="n">
        <v>0</v>
      </c>
      <c r="H208" t="n">
        <v>0</v>
      </c>
      <c r="I208" t="n">
        <v>0</v>
      </c>
      <c r="J208" t="n">
        <v>0</v>
      </c>
      <c r="K208" t="n">
        <v>0</v>
      </c>
      <c r="L208" t="n">
        <v>0</v>
      </c>
      <c r="M208" t="n">
        <v>0</v>
      </c>
      <c r="N208" t="n">
        <v>0</v>
      </c>
    </row>
    <row r="209">
      <c r="A209" t="inlineStr">
        <is>
          <t>Stock</t>
        </is>
      </c>
      <c r="B209" t="inlineStr">
        <is>
          <t>1 from the heriot of Adam Chapeleyn.</t>
        </is>
      </c>
      <c r="C209" t="n">
        <v>0</v>
      </c>
      <c r="D209" t="n">
        <v>0</v>
      </c>
      <c r="E209" t="n">
        <v>0</v>
      </c>
      <c r="F209" t="n">
        <v>0</v>
      </c>
      <c r="H209" t="n">
        <v>0</v>
      </c>
      <c r="I209" t="n">
        <v>0</v>
      </c>
      <c r="J209" t="n">
        <v>0</v>
      </c>
      <c r="K209" t="n">
        <v>0</v>
      </c>
      <c r="L209" t="n">
        <v>0</v>
      </c>
      <c r="M209" t="n">
        <v>0</v>
      </c>
      <c r="N209" t="n">
        <v>0</v>
      </c>
    </row>
    <row r="210">
      <c r="A210" t="inlineStr">
        <is>
          <t>Stock</t>
        </is>
      </c>
      <c r="B210" t="inlineStr">
        <is>
          <t>1 from the heriot of John Rundell'.</t>
        </is>
      </c>
      <c r="C210" t="n">
        <v>0</v>
      </c>
      <c r="D210" t="n">
        <v>0</v>
      </c>
      <c r="E210" t="n">
        <v>0</v>
      </c>
      <c r="F210" t="n">
        <v>0</v>
      </c>
      <c r="H210" t="n">
        <v>0</v>
      </c>
      <c r="I210" t="n">
        <v>0</v>
      </c>
      <c r="J210" t="n">
        <v>0</v>
      </c>
      <c r="K210" t="n">
        <v>0</v>
      </c>
      <c r="L210" t="n">
        <v>0</v>
      </c>
      <c r="M210" t="n">
        <v>0</v>
      </c>
      <c r="N210" t="n">
        <v>0</v>
      </c>
    </row>
    <row r="211">
      <c r="A211" t="inlineStr">
        <is>
          <t>Stock</t>
        </is>
      </c>
      <c r="B211" t="inlineStr">
        <is>
          <t>1 from the heriot of John Forde.</t>
        </is>
      </c>
      <c r="C211" t="n">
        <v>0</v>
      </c>
      <c r="D211" t="n">
        <v>0</v>
      </c>
      <c r="E211" t="n">
        <v>0</v>
      </c>
      <c r="F211" t="n">
        <v>0</v>
      </c>
      <c r="H211" t="n">
        <v>0</v>
      </c>
      <c r="I211" t="n">
        <v>0</v>
      </c>
      <c r="J211" t="n">
        <v>0</v>
      </c>
      <c r="K211" t="n">
        <v>0</v>
      </c>
      <c r="L211" t="n">
        <v>0</v>
      </c>
      <c r="M211" t="n">
        <v>0</v>
      </c>
      <c r="N211" t="n">
        <v>0</v>
      </c>
    </row>
    <row r="212">
      <c r="A212" t="inlineStr">
        <is>
          <t>Stock</t>
        </is>
      </c>
      <c r="B212" t="inlineStr">
        <is>
          <t>Total, 22. 3 sold within.</t>
        </is>
      </c>
      <c r="C212" t="n">
        <v>0</v>
      </c>
      <c r="D212" t="n">
        <v>0</v>
      </c>
      <c r="E212" t="n">
        <v>0</v>
      </c>
      <c r="F212" t="n">
        <v>0</v>
      </c>
      <c r="H212" t="n">
        <v>0</v>
      </c>
      <c r="I212" t="n">
        <v>0</v>
      </c>
      <c r="J212" t="n">
        <v>0</v>
      </c>
      <c r="K212" t="n">
        <v>0</v>
      </c>
      <c r="L212" t="n">
        <v>0</v>
      </c>
      <c r="M212" t="n">
        <v>0</v>
      </c>
      <c r="N212" t="n">
        <v>0</v>
      </c>
    </row>
    <row r="213">
      <c r="A213" t="inlineStr">
        <is>
          <t>Stock</t>
        </is>
      </c>
      <c r="B213" t="inlineStr">
        <is>
          <t>Total, 3. 19 remain, worth 10 shilling each, in the keeping of the said John, to be handed back and restored at the end of his farm as before.</t>
        </is>
      </c>
      <c r="C213" t="n">
        <v>0.5</v>
      </c>
      <c r="D213" t="n">
        <v>0</v>
      </c>
      <c r="E213" t="n">
        <v>10</v>
      </c>
      <c r="F213" t="n">
        <v>0</v>
      </c>
      <c r="H213" t="n">
        <v>0</v>
      </c>
      <c r="I213" t="n">
        <v>0</v>
      </c>
      <c r="J213" t="n">
        <v>0</v>
      </c>
      <c r="K213" t="n">
        <v>0</v>
      </c>
      <c r="L213" t="n">
        <v>0</v>
      </c>
      <c r="M213" t="n">
        <v>0</v>
      </c>
      <c r="N213" t="n">
        <v>0</v>
      </c>
    </row>
    <row r="214">
      <c r="A214" t="inlineStr">
        <is>
          <t>Stock</t>
        </is>
      </c>
      <c r="B214" t="inlineStr">
        <is>
          <t>Yearlings: 10 remain.</t>
        </is>
      </c>
      <c r="C214" t="n">
        <v>0</v>
      </c>
      <c r="D214" t="n">
        <v>0</v>
      </c>
      <c r="E214" t="n">
        <v>0</v>
      </c>
      <c r="F214" t="n">
        <v>0</v>
      </c>
      <c r="H214" t="n">
        <v>0</v>
      </c>
      <c r="I214" t="n">
        <v>0</v>
      </c>
      <c r="J214" t="n">
        <v>0</v>
      </c>
      <c r="K214" t="n">
        <v>0</v>
      </c>
      <c r="L214" t="n">
        <v>0</v>
      </c>
      <c r="M214" t="n">
        <v>0</v>
      </c>
      <c r="N214" t="n">
        <v>0</v>
      </c>
    </row>
    <row r="215">
      <c r="A215" t="inlineStr">
        <is>
          <t>Stock</t>
        </is>
      </c>
      <c r="B215" t="inlineStr">
        <is>
          <t>Total, 10. 10 remain, worth 3 shilling 4pence each, in the keeping of the said John, farmer, to be handed back and restored at the end of his farm as before.</t>
        </is>
      </c>
      <c r="C215" t="n">
        <v>0.17</v>
      </c>
      <c r="D215" t="n">
        <v>0</v>
      </c>
      <c r="E215" t="n">
        <v>3</v>
      </c>
      <c r="F215" t="n">
        <v>4</v>
      </c>
      <c r="H215" t="n">
        <v>0</v>
      </c>
      <c r="I215" t="n">
        <v>0</v>
      </c>
      <c r="J215" t="n">
        <v>0</v>
      </c>
      <c r="K215" t="n">
        <v>0</v>
      </c>
      <c r="L215" t="n">
        <v>0</v>
      </c>
      <c r="M215" t="n">
        <v>0</v>
      </c>
      <c r="N215" t="n">
        <v>0</v>
      </c>
    </row>
    <row r="216">
      <c r="A216" t="inlineStr">
        <is>
          <t>Stock</t>
        </is>
      </c>
      <c r="B216" t="inlineStr">
        <is>
          <t>No calves this year.</t>
        </is>
      </c>
      <c r="C216" t="n">
        <v>0</v>
      </c>
      <c r="D216" t="n">
        <v>0</v>
      </c>
      <c r="E216" t="n">
        <v>0</v>
      </c>
      <c r="F216" t="n">
        <v>0</v>
      </c>
      <c r="H216" t="n">
        <v>0</v>
      </c>
      <c r="I216" t="n">
        <v>0</v>
      </c>
      <c r="J216" t="n">
        <v>0</v>
      </c>
      <c r="K216" t="n">
        <v>0</v>
      </c>
      <c r="L216" t="n">
        <v>0</v>
      </c>
      <c r="M216" t="n">
        <v>0</v>
      </c>
      <c r="N216" t="n">
        <v>0</v>
      </c>
    </row>
    <row r="217">
      <c r="A217" t="inlineStr">
        <is>
          <t>Stock</t>
        </is>
      </c>
      <c r="B217" t="inlineStr">
        <is>
          <t>No wethers.</t>
        </is>
      </c>
      <c r="C217" t="n">
        <v>0</v>
      </c>
      <c r="D217" t="n">
        <v>0</v>
      </c>
      <c r="E217" t="n">
        <v>0</v>
      </c>
      <c r="F217" t="n">
        <v>0</v>
      </c>
      <c r="H217" t="n">
        <v>0</v>
      </c>
      <c r="I217" t="n">
        <v>0</v>
      </c>
      <c r="J217" t="n">
        <v>0</v>
      </c>
      <c r="K217" t="n">
        <v>0</v>
      </c>
      <c r="L217" t="n">
        <v>0</v>
      </c>
      <c r="M217" t="n">
        <v>0</v>
      </c>
      <c r="N217" t="n">
        <v>0</v>
      </c>
    </row>
    <row r="218">
      <c r="A218" t="inlineStr">
        <is>
          <t>Stock</t>
        </is>
      </c>
      <c r="B218" t="inlineStr">
        <is>
          <t>No rams.</t>
        </is>
      </c>
      <c r="C218" t="n">
        <v>0</v>
      </c>
      <c r="D218" t="n">
        <v>0</v>
      </c>
      <c r="E218" t="n">
        <v>0</v>
      </c>
      <c r="F218" t="n">
        <v>0</v>
      </c>
      <c r="H218" t="n">
        <v>0</v>
      </c>
      <c r="I218" t="n">
        <v>0</v>
      </c>
      <c r="J218" t="n">
        <v>0</v>
      </c>
      <c r="K218" t="n">
        <v>0</v>
      </c>
      <c r="L218" t="n">
        <v>0</v>
      </c>
      <c r="M218" t="n">
        <v>0</v>
      </c>
      <c r="N218" t="n">
        <v>0</v>
      </c>
    </row>
    <row r="219">
      <c r="A219" t="inlineStr">
        <is>
          <t>Stock</t>
        </is>
      </c>
      <c r="B219" t="inlineStr">
        <is>
          <t>Ewes: 1 from the heriot of Richard Asser.</t>
        </is>
      </c>
      <c r="C219" t="n">
        <v>0</v>
      </c>
      <c r="D219" t="n">
        <v>0</v>
      </c>
      <c r="E219" t="n">
        <v>0</v>
      </c>
      <c r="F219" t="n">
        <v>0</v>
      </c>
      <c r="H219" t="n">
        <v>0</v>
      </c>
      <c r="I219" t="n">
        <v>0</v>
      </c>
      <c r="J219" t="n">
        <v>0</v>
      </c>
      <c r="K219" t="n">
        <v>0</v>
      </c>
      <c r="L219" t="n">
        <v>0</v>
      </c>
      <c r="M219" t="n">
        <v>0</v>
      </c>
      <c r="N219" t="n">
        <v>0</v>
      </c>
    </row>
    <row r="220">
      <c r="A220" t="inlineStr">
        <is>
          <t>Stock</t>
        </is>
      </c>
      <c r="B220" t="inlineStr">
        <is>
          <t>sold within.</t>
        </is>
      </c>
      <c r="C220" t="n">
        <v>0</v>
      </c>
      <c r="D220" t="n">
        <v>0</v>
      </c>
      <c r="E220" t="n">
        <v>0</v>
      </c>
      <c r="F220" t="n">
        <v>0</v>
      </c>
      <c r="H220" t="n">
        <v>0</v>
      </c>
      <c r="I220" t="n">
        <v>0</v>
      </c>
      <c r="J220" t="n">
        <v>0</v>
      </c>
      <c r="K220" t="n">
        <v>0</v>
      </c>
      <c r="L220" t="n">
        <v>0</v>
      </c>
      <c r="M220" t="n">
        <v>0</v>
      </c>
      <c r="N220" t="n">
        <v>0</v>
      </c>
    </row>
    <row r="221">
      <c r="A221" t="inlineStr">
        <is>
          <t>Stock</t>
        </is>
      </c>
      <c r="B221" t="inlineStr">
        <is>
          <t>none remain.</t>
        </is>
      </c>
      <c r="C221" t="n">
        <v>0</v>
      </c>
      <c r="D221" t="n">
        <v>0</v>
      </c>
      <c r="E221" t="n">
        <v>0</v>
      </c>
      <c r="F221" t="n">
        <v>0</v>
      </c>
      <c r="H221" t="n">
        <v>0</v>
      </c>
      <c r="I221" t="n">
        <v>0</v>
      </c>
      <c r="J221" t="n">
        <v>0</v>
      </c>
      <c r="K221" t="n">
        <v>0</v>
      </c>
      <c r="L221" t="n">
        <v>0</v>
      </c>
      <c r="M221" t="n">
        <v>0</v>
      </c>
      <c r="N221" t="n">
        <v>0</v>
      </c>
    </row>
    <row r="222">
      <c r="A222" t="inlineStr">
        <is>
          <t>Stock</t>
        </is>
      </c>
      <c r="B222" t="inlineStr">
        <is>
          <t>None: No hoggs.</t>
        </is>
      </c>
      <c r="C222" t="n">
        <v>0</v>
      </c>
      <c r="D222" t="n">
        <v>0</v>
      </c>
      <c r="E222" t="n">
        <v>0</v>
      </c>
      <c r="F222" t="n">
        <v>0</v>
      </c>
      <c r="H222" t="n">
        <v>0</v>
      </c>
      <c r="I222" t="n">
        <v>0</v>
      </c>
      <c r="J222" t="n">
        <v>0</v>
      </c>
      <c r="K222" t="n">
        <v>0</v>
      </c>
      <c r="L222" t="n">
        <v>0</v>
      </c>
      <c r="M222" t="n">
        <v>0</v>
      </c>
      <c r="N222" t="n">
        <v>0</v>
      </c>
    </row>
    <row r="223">
      <c r="A223" t="inlineStr">
        <is>
          <t>Stock</t>
        </is>
      </c>
      <c r="B223" t="inlineStr">
        <is>
          <t>No lambs.</t>
        </is>
      </c>
      <c r="C223" t="n">
        <v>0</v>
      </c>
      <c r="D223" t="n">
        <v>0</v>
      </c>
      <c r="E223" t="n">
        <v>0</v>
      </c>
      <c r="F223" t="n">
        <v>0</v>
      </c>
      <c r="H223" t="n">
        <v>0</v>
      </c>
      <c r="I223" t="n">
        <v>0</v>
      </c>
      <c r="J223" t="n">
        <v>0</v>
      </c>
      <c r="K223" t="n">
        <v>0</v>
      </c>
      <c r="L223" t="n">
        <v>0</v>
      </c>
      <c r="M223" t="n">
        <v>0</v>
      </c>
      <c r="N223" t="n">
        <v>0</v>
      </c>
    </row>
    <row r="224">
      <c r="A224" t="inlineStr">
        <is>
          <t>Stock</t>
        </is>
      </c>
      <c r="B224" t="inlineStr">
        <is>
          <t>No boars.</t>
        </is>
      </c>
      <c r="C224" t="n">
        <v>0</v>
      </c>
      <c r="D224" t="n">
        <v>0</v>
      </c>
      <c r="E224" t="n">
        <v>0</v>
      </c>
      <c r="F224" t="n">
        <v>0</v>
      </c>
      <c r="H224" t="n">
        <v>0</v>
      </c>
      <c r="I224" t="n">
        <v>0</v>
      </c>
      <c r="J224" t="n">
        <v>0</v>
      </c>
      <c r="K224" t="n">
        <v>0</v>
      </c>
      <c r="L224" t="n">
        <v>0</v>
      </c>
      <c r="M224" t="n">
        <v>0</v>
      </c>
      <c r="N224" t="n">
        <v>0</v>
      </c>
    </row>
    <row r="225">
      <c r="A225" t="inlineStr">
        <is>
          <t>Stock</t>
        </is>
      </c>
      <c r="B225" t="inlineStr">
        <is>
          <t>No sows.</t>
        </is>
      </c>
      <c r="C225" t="n">
        <v>0</v>
      </c>
      <c r="D225" t="n">
        <v>0</v>
      </c>
      <c r="E225" t="n">
        <v>0</v>
      </c>
      <c r="F225" t="n">
        <v>0</v>
      </c>
      <c r="H225" t="n">
        <v>0</v>
      </c>
      <c r="I225" t="n">
        <v>0</v>
      </c>
      <c r="J225" t="n">
        <v>0</v>
      </c>
      <c r="K225" t="n">
        <v>0</v>
      </c>
      <c r="L225" t="n">
        <v>0</v>
      </c>
      <c r="M225" t="n">
        <v>0</v>
      </c>
      <c r="N225" t="n">
        <v>0</v>
      </c>
    </row>
    <row r="226">
      <c r="A226" t="inlineStr">
        <is>
          <t>Stock</t>
        </is>
      </c>
      <c r="B226" t="inlineStr">
        <is>
          <t>No pigs.</t>
        </is>
      </c>
      <c r="C226" t="n">
        <v>0</v>
      </c>
      <c r="D226" t="n">
        <v>0</v>
      </c>
      <c r="E226" t="n">
        <v>0</v>
      </c>
      <c r="F226" t="n">
        <v>0</v>
      </c>
      <c r="H226" t="n">
        <v>0</v>
      </c>
      <c r="I226" t="n">
        <v>0</v>
      </c>
      <c r="J226" t="n">
        <v>0</v>
      </c>
      <c r="K226" t="n">
        <v>0</v>
      </c>
      <c r="L226" t="n">
        <v>0</v>
      </c>
      <c r="M226" t="n">
        <v>0</v>
      </c>
      <c r="N226" t="n">
        <v>0</v>
      </c>
    </row>
    <row r="227">
      <c r="A227" t="inlineStr">
        <is>
          <t>Stock</t>
        </is>
      </c>
      <c r="B227" t="inlineStr">
        <is>
          <t>No hoggets.</t>
        </is>
      </c>
      <c r="C227" t="n">
        <v>0</v>
      </c>
      <c r="D227" t="n">
        <v>0</v>
      </c>
      <c r="E227" t="n">
        <v>0</v>
      </c>
      <c r="F227" t="n">
        <v>0</v>
      </c>
      <c r="H227" t="n">
        <v>0</v>
      </c>
      <c r="I227" t="n">
        <v>0</v>
      </c>
      <c r="J227" t="n">
        <v>0</v>
      </c>
      <c r="K227" t="n">
        <v>0</v>
      </c>
      <c r="L227" t="n">
        <v>0</v>
      </c>
      <c r="M227" t="n">
        <v>0</v>
      </c>
      <c r="N227" t="n">
        <v>0</v>
      </c>
    </row>
    <row r="228">
      <c r="A228" t="inlineStr">
        <is>
          <t>Stock</t>
        </is>
      </c>
      <c r="B228" t="inlineStr">
        <is>
          <t>No piglets.</t>
        </is>
      </c>
      <c r="C228" t="n">
        <v>0</v>
      </c>
      <c r="D228" t="n">
        <v>0</v>
      </c>
      <c r="E228" t="n">
        <v>0</v>
      </c>
      <c r="F228" t="n">
        <v>0</v>
      </c>
      <c r="H228" t="n">
        <v>0</v>
      </c>
      <c r="I228" t="n">
        <v>0</v>
      </c>
      <c r="J228" t="n">
        <v>0</v>
      </c>
      <c r="K228" t="n">
        <v>0</v>
      </c>
      <c r="L228" t="n">
        <v>0</v>
      </c>
      <c r="M228" t="n">
        <v>0</v>
      </c>
      <c r="N228" t="n">
        <v>0</v>
      </c>
    </row>
    <row r="229">
      <c r="A229" t="inlineStr">
        <is>
          <t>Stock</t>
        </is>
      </c>
      <c r="B229" t="inlineStr">
        <is>
          <t>No hides.</t>
        </is>
      </c>
      <c r="C229" t="n">
        <v>0</v>
      </c>
      <c r="D229" t="n">
        <v>0</v>
      </c>
      <c r="E229" t="n">
        <v>0</v>
      </c>
      <c r="F229" t="n">
        <v>0</v>
      </c>
      <c r="H229" t="n">
        <v>0</v>
      </c>
      <c r="I229" t="n">
        <v>0</v>
      </c>
      <c r="J229" t="n">
        <v>0</v>
      </c>
      <c r="K229" t="n">
        <v>0</v>
      </c>
      <c r="L229" t="n">
        <v>0</v>
      </c>
      <c r="M229" t="n">
        <v>0</v>
      </c>
      <c r="N229" t="n">
        <v>0</v>
      </c>
    </row>
    <row r="230">
      <c r="A230" t="inlineStr">
        <is>
          <t>Stock</t>
        </is>
      </c>
      <c r="B230" t="inlineStr">
        <is>
          <t>No wool.</t>
        </is>
      </c>
      <c r="C230" t="n">
        <v>0</v>
      </c>
      <c r="D230" t="n">
        <v>0</v>
      </c>
      <c r="E230" t="n">
        <v>0</v>
      </c>
      <c r="F230" t="n">
        <v>0</v>
      </c>
      <c r="H230" t="n">
        <v>0</v>
      </c>
      <c r="I230" t="n">
        <v>0</v>
      </c>
      <c r="J230" t="n">
        <v>0</v>
      </c>
      <c r="K230" t="n">
        <v>0</v>
      </c>
      <c r="L230" t="n">
        <v>0</v>
      </c>
      <c r="M230" t="n">
        <v>0</v>
      </c>
      <c r="N230" t="n">
        <v>0</v>
      </c>
    </row>
    <row r="231">
      <c r="A231" t="inlineStr">
        <is>
          <t>Stock</t>
        </is>
      </c>
      <c r="B231" t="inlineStr">
        <is>
          <t>No skins.</t>
        </is>
      </c>
      <c r="C231" t="n">
        <v>0</v>
      </c>
      <c r="D231" t="n">
        <v>0</v>
      </c>
      <c r="E231" t="n">
        <v>0</v>
      </c>
      <c r="F231" t="n">
        <v>0</v>
      </c>
      <c r="H231" t="n">
        <v>0</v>
      </c>
      <c r="I231" t="n">
        <v>0</v>
      </c>
      <c r="J231" t="n">
        <v>0</v>
      </c>
      <c r="K231" t="n">
        <v>0</v>
      </c>
      <c r="L231" t="n">
        <v>0</v>
      </c>
      <c r="M231" t="n">
        <v>0</v>
      </c>
      <c r="N231" t="n">
        <v>0</v>
      </c>
    </row>
    <row r="232">
      <c r="A232" t="inlineStr">
        <is>
          <t>Stock</t>
        </is>
      </c>
      <c r="B232" t="inlineStr">
        <is>
          <t>No milking.</t>
        </is>
      </c>
      <c r="C232" t="n">
        <v>0</v>
      </c>
      <c r="D232" t="n">
        <v>0</v>
      </c>
      <c r="E232" t="n">
        <v>0</v>
      </c>
      <c r="F232" t="n">
        <v>0</v>
      </c>
      <c r="H232" t="n">
        <v>0</v>
      </c>
      <c r="I232" t="n">
        <v>0</v>
      </c>
      <c r="J232" t="n">
        <v>0</v>
      </c>
      <c r="K232" t="n">
        <v>0</v>
      </c>
      <c r="L232" t="n">
        <v>0</v>
      </c>
      <c r="M232" t="n">
        <v>0</v>
      </c>
      <c r="N232" t="n">
        <v>0</v>
      </c>
    </row>
    <row r="233">
      <c r="A233" t="inlineStr">
        <is>
          <t>Stock</t>
        </is>
      </c>
      <c r="B233" t="inlineStr">
        <is>
          <t>No geese.</t>
        </is>
      </c>
      <c r="C233" t="n">
        <v>0</v>
      </c>
      <c r="D233" t="n">
        <v>0</v>
      </c>
      <c r="E233" t="n">
        <v>0</v>
      </c>
      <c r="F233" t="n">
        <v>0</v>
      </c>
      <c r="H233" t="n">
        <v>0</v>
      </c>
      <c r="I233" t="n">
        <v>0</v>
      </c>
      <c r="J233" t="n">
        <v>0</v>
      </c>
      <c r="K233" t="n">
        <v>0</v>
      </c>
      <c r="L233" t="n">
        <v>0</v>
      </c>
      <c r="M233" t="n">
        <v>0</v>
      </c>
      <c r="N233" t="n">
        <v>0</v>
      </c>
    </row>
    <row r="234">
      <c r="A234" t="inlineStr">
        <is>
          <t>Stock</t>
        </is>
      </c>
      <c r="B234" t="inlineStr">
        <is>
          <t>Capons: none from stock.</t>
        </is>
      </c>
      <c r="C234" t="n">
        <v>0</v>
      </c>
      <c r="D234" t="n">
        <v>0</v>
      </c>
      <c r="E234" t="n">
        <v>0</v>
      </c>
      <c r="F234" t="n">
        <v>0</v>
      </c>
      <c r="H234" t="n">
        <v>0</v>
      </c>
      <c r="I234" t="n">
        <v>0</v>
      </c>
      <c r="J234" t="n">
        <v>0</v>
      </c>
      <c r="K234" t="n">
        <v>0</v>
      </c>
      <c r="L234" t="n">
        <v>0</v>
      </c>
      <c r="M234" t="n">
        <v>0</v>
      </c>
      <c r="N234" t="n">
        <v>0</v>
      </c>
    </row>
    <row r="235">
      <c r="A235" t="inlineStr">
        <is>
          <t>Stock</t>
        </is>
      </c>
      <c r="B235" t="inlineStr">
        <is>
          <t>6 for the rent of Emma atte Mulle.</t>
        </is>
      </c>
      <c r="C235" t="n">
        <v>0</v>
      </c>
      <c r="D235" t="n">
        <v>0</v>
      </c>
      <c r="E235" t="n">
        <v>0</v>
      </c>
      <c r="F235" t="n">
        <v>0</v>
      </c>
      <c r="H235" t="n">
        <v>0</v>
      </c>
      <c r="I235" t="n">
        <v>0</v>
      </c>
      <c r="J235" t="n">
        <v>0</v>
      </c>
      <c r="K235" t="n">
        <v>0</v>
      </c>
      <c r="L235" t="n">
        <v>0</v>
      </c>
      <c r="M235" t="n">
        <v>0</v>
      </c>
      <c r="N235" t="n">
        <v>0</v>
      </c>
    </row>
    <row r="236">
      <c r="A236" t="inlineStr">
        <is>
          <t>Stock</t>
        </is>
      </c>
      <c r="B236" t="inlineStr">
        <is>
          <t>Total, 6. Sold within.</t>
        </is>
      </c>
      <c r="C236" t="n">
        <v>0</v>
      </c>
      <c r="D236" t="n">
        <v>0</v>
      </c>
      <c r="E236" t="n">
        <v>0</v>
      </c>
      <c r="F236" t="n">
        <v>0</v>
      </c>
      <c r="H236" t="n">
        <v>0</v>
      </c>
      <c r="I236" t="n">
        <v>0</v>
      </c>
      <c r="J236" t="n">
        <v>0</v>
      </c>
      <c r="K236" t="n">
        <v>0</v>
      </c>
      <c r="L236" t="n">
        <v>0</v>
      </c>
      <c r="M236" t="n">
        <v>0</v>
      </c>
      <c r="N236" t="n">
        <v>0</v>
      </c>
    </row>
    <row r="237">
      <c r="A237" t="inlineStr">
        <is>
          <t>Stock</t>
        </is>
      </c>
      <c r="B237" t="inlineStr">
        <is>
          <t>none remain.</t>
        </is>
      </c>
      <c r="C237" t="n">
        <v>0</v>
      </c>
      <c r="D237" t="n">
        <v>0</v>
      </c>
      <c r="E237" t="n">
        <v>0</v>
      </c>
      <c r="F237" t="n">
        <v>0</v>
      </c>
      <c r="H237" t="n">
        <v>0</v>
      </c>
      <c r="I237" t="n">
        <v>0</v>
      </c>
      <c r="J237" t="n">
        <v>0</v>
      </c>
      <c r="K237" t="n">
        <v>0</v>
      </c>
      <c r="L237" t="n">
        <v>0</v>
      </c>
      <c r="M237" t="n">
        <v>0</v>
      </c>
      <c r="N237" t="n">
        <v>0</v>
      </c>
    </row>
    <row r="238">
      <c r="A238" t="inlineStr">
        <is>
          <t>Stock</t>
        </is>
      </c>
      <c r="B238" t="inlineStr">
        <is>
          <t>Cocks and hens: none from stock.</t>
        </is>
      </c>
      <c r="C238" t="n">
        <v>0</v>
      </c>
      <c r="D238" t="n">
        <v>0</v>
      </c>
      <c r="E238" t="n">
        <v>0</v>
      </c>
      <c r="F238" t="n">
        <v>0</v>
      </c>
      <c r="H238" t="n">
        <v>0</v>
      </c>
      <c r="I238" t="n">
        <v>0</v>
      </c>
      <c r="J238" t="n">
        <v>0</v>
      </c>
      <c r="K238" t="n">
        <v>0</v>
      </c>
      <c r="L238" t="n">
        <v>0</v>
      </c>
      <c r="M238" t="n">
        <v>0</v>
      </c>
      <c r="N238" t="n">
        <v>0</v>
      </c>
    </row>
    <row r="239">
      <c r="A239" t="inlineStr">
        <is>
          <t>Stock</t>
        </is>
      </c>
      <c r="B239" t="inlineStr">
        <is>
          <t>28 from churchscot at Martinmas, of which 4 are from William Prew, 3 from William Tut, 4 from Richard Smyth' and John Buryman, 6 from Alice Aylon, and 4 from Alan Acreman for 2 cotlands.</t>
        </is>
      </c>
      <c r="C239" t="n">
        <v>0</v>
      </c>
      <c r="D239" t="n">
        <v>0</v>
      </c>
      <c r="E239" t="n">
        <v>0</v>
      </c>
      <c r="F239" t="n">
        <v>0</v>
      </c>
      <c r="H239" t="n">
        <v>0</v>
      </c>
      <c r="I239" t="n">
        <v>0</v>
      </c>
      <c r="J239" t="n">
        <v>0</v>
      </c>
      <c r="K239" t="n">
        <v>0</v>
      </c>
      <c r="L239" t="n">
        <v>0</v>
      </c>
      <c r="M239" t="n">
        <v>0</v>
      </c>
      <c r="N239" t="n">
        <v>0</v>
      </c>
    </row>
    <row r="240">
      <c r="A240" t="inlineStr">
        <is>
          <t>Stock</t>
        </is>
      </c>
      <c r="B240" t="inlineStr">
        <is>
          <t>Total, 28. 4 in default of the churchscot of 1 cotland of John Dawe which formerly belonged to William Gilot and William Gille because their tenements are in the lord's hands and at farm as made clear within.</t>
        </is>
      </c>
      <c r="C240" t="n">
        <v>0</v>
      </c>
      <c r="D240" t="n">
        <v>0</v>
      </c>
      <c r="E240" t="n">
        <v>0</v>
      </c>
      <c r="F240" t="n">
        <v>0</v>
      </c>
      <c r="H240" t="n">
        <v>0</v>
      </c>
      <c r="I240" t="n">
        <v>0</v>
      </c>
      <c r="J240" t="n">
        <v>0</v>
      </c>
      <c r="K240" t="n">
        <v>0</v>
      </c>
      <c r="L240" t="n">
        <v>0</v>
      </c>
      <c r="M240" t="n">
        <v>0</v>
      </c>
      <c r="N240" t="n">
        <v>0</v>
      </c>
    </row>
    <row r="241">
      <c r="A241" t="inlineStr">
        <is>
          <t>Stock</t>
        </is>
      </c>
      <c r="B241" t="inlineStr">
        <is>
          <t>1 in default of 1 messuage and 1 acreland, containing 12 acres of land, and 1 acre of meadow formerly of Richard Smyth' and now of Gregory Benet, because he pays a fixed rent this year.</t>
        </is>
      </c>
      <c r="C241" t="n">
        <v>0</v>
      </c>
      <c r="D241" t="n">
        <v>0</v>
      </c>
      <c r="E241" t="n">
        <v>0</v>
      </c>
      <c r="F241" t="n">
        <v>0</v>
      </c>
      <c r="H241" t="n">
        <v>0</v>
      </c>
      <c r="I241" t="n">
        <v>0</v>
      </c>
      <c r="J241" t="n">
        <v>0</v>
      </c>
      <c r="K241" t="n">
        <v>0</v>
      </c>
      <c r="L241" t="n">
        <v>0</v>
      </c>
      <c r="M241" t="n">
        <v>0</v>
      </c>
      <c r="N241" t="n">
        <v>0</v>
      </c>
    </row>
    <row r="242">
      <c r="A242" t="inlineStr">
        <is>
          <t>Stock</t>
        </is>
      </c>
      <c r="B242" t="inlineStr">
        <is>
          <t>6 in default of the churchscot of 2 acrelands formerly of Richard Bolt, Mabel Dawe and John Dolphyn and now of Richard White, Alice Wylot and Richard atte Mulle for the aforesaid reason.</t>
        </is>
      </c>
      <c r="C242" t="n">
        <v>0</v>
      </c>
      <c r="D242" t="n">
        <v>0</v>
      </c>
      <c r="E242" t="n">
        <v>0</v>
      </c>
      <c r="F242" t="n">
        <v>0</v>
      </c>
      <c r="H242" t="n">
        <v>0</v>
      </c>
      <c r="I242" t="n">
        <v>0</v>
      </c>
      <c r="J242" t="n">
        <v>0</v>
      </c>
      <c r="K242" t="n">
        <v>0</v>
      </c>
      <c r="L242" t="n">
        <v>0</v>
      </c>
      <c r="M242" t="n">
        <v>0</v>
      </c>
      <c r="N242" t="n">
        <v>0</v>
      </c>
    </row>
    <row r="243">
      <c r="A243" t="inlineStr">
        <is>
          <t>Stock</t>
        </is>
      </c>
      <c r="B243" t="inlineStr">
        <is>
          <t>4 in default of 2 acrelands formerly of Alan Acreman and now of William Jakeman and Robert atte Style for the aforesaid reason.</t>
        </is>
      </c>
      <c r="C243" t="n">
        <v>0</v>
      </c>
      <c r="D243" t="n">
        <v>0</v>
      </c>
      <c r="E243" t="n">
        <v>0</v>
      </c>
      <c r="F243" t="n">
        <v>0</v>
      </c>
      <c r="H243" t="n">
        <v>0</v>
      </c>
      <c r="I243" t="n">
        <v>0</v>
      </c>
      <c r="J243" t="n">
        <v>0</v>
      </c>
      <c r="K243" t="n">
        <v>0</v>
      </c>
      <c r="L243" t="n">
        <v>0</v>
      </c>
      <c r="M243" t="n">
        <v>0</v>
      </c>
      <c r="N243" t="n">
        <v>0</v>
      </c>
    </row>
    <row r="244">
      <c r="A244" t="inlineStr">
        <is>
          <t>Stock</t>
        </is>
      </c>
      <c r="B244" t="inlineStr">
        <is>
          <t>1 in default of 1 acreland formerly of Richard Buryman and now of John Scot for the aforesaid reason.</t>
        </is>
      </c>
      <c r="C244" t="n">
        <v>0</v>
      </c>
      <c r="D244" t="n">
        <v>0</v>
      </c>
      <c r="E244" t="n">
        <v>0</v>
      </c>
      <c r="F244" t="n">
        <v>0</v>
      </c>
      <c r="H244" t="n">
        <v>0</v>
      </c>
      <c r="I244" t="n">
        <v>0</v>
      </c>
      <c r="J244" t="n">
        <v>0</v>
      </c>
      <c r="K244" t="n">
        <v>0</v>
      </c>
      <c r="L244" t="n">
        <v>0</v>
      </c>
      <c r="M244" t="n">
        <v>0</v>
      </c>
      <c r="N244" t="n">
        <v>0</v>
      </c>
    </row>
    <row r="245">
      <c r="A245" t="inlineStr">
        <is>
          <t>Stock</t>
        </is>
      </c>
      <c r="B245" t="inlineStr">
        <is>
          <t>2 in default of 1 cotland formerly of Alice Aylon and now of Henry Gille for the aforesaid reason.</t>
        </is>
      </c>
      <c r="C245" t="n">
        <v>0</v>
      </c>
      <c r="D245" t="n">
        <v>0</v>
      </c>
      <c r="E245" t="n">
        <v>0</v>
      </c>
      <c r="F245" t="n">
        <v>0</v>
      </c>
      <c r="H245" t="n">
        <v>0</v>
      </c>
      <c r="I245" t="n">
        <v>0</v>
      </c>
      <c r="J245" t="n">
        <v>0</v>
      </c>
      <c r="K245" t="n">
        <v>0</v>
      </c>
      <c r="L245" t="n">
        <v>0</v>
      </c>
      <c r="M245" t="n">
        <v>0</v>
      </c>
      <c r="N245" t="n">
        <v>0</v>
      </c>
    </row>
    <row r="246">
      <c r="A246" t="inlineStr">
        <is>
          <t>Stock</t>
        </is>
      </c>
      <c r="B246" t="inlineStr">
        <is>
          <t>10 sold within.</t>
        </is>
      </c>
      <c r="C246" t="n">
        <v>0</v>
      </c>
      <c r="D246" t="n">
        <v>0</v>
      </c>
      <c r="E246" t="n">
        <v>0</v>
      </c>
      <c r="F246" t="n">
        <v>0</v>
      </c>
      <c r="H246" t="n">
        <v>0</v>
      </c>
      <c r="I246" t="n">
        <v>0</v>
      </c>
      <c r="J246" t="n">
        <v>0</v>
      </c>
      <c r="K246" t="n">
        <v>0</v>
      </c>
      <c r="L246" t="n">
        <v>0</v>
      </c>
      <c r="M246" t="n">
        <v>0</v>
      </c>
      <c r="N246" t="n">
        <v>0</v>
      </c>
    </row>
    <row r="247">
      <c r="A247" t="inlineStr">
        <is>
          <t>Stock</t>
        </is>
      </c>
      <c r="B247" t="inlineStr">
        <is>
          <t>Total as before.</t>
        </is>
      </c>
      <c r="C247" t="n">
        <v>0</v>
      </c>
      <c r="D247" t="n">
        <v>0</v>
      </c>
      <c r="E247" t="n">
        <v>0</v>
      </c>
      <c r="F247" t="n">
        <v>0</v>
      </c>
      <c r="H247" t="n">
        <v>0</v>
      </c>
      <c r="I247" t="n">
        <v>0</v>
      </c>
      <c r="J247" t="n">
        <v>0</v>
      </c>
      <c r="K247" t="n">
        <v>0</v>
      </c>
      <c r="L247" t="n">
        <v>0</v>
      </c>
      <c r="M247" t="n">
        <v>0</v>
      </c>
      <c r="N247" t="n">
        <v>0</v>
      </c>
    </row>
    <row r="248">
      <c r="A248" t="inlineStr">
        <is>
          <t>Stock</t>
        </is>
      </c>
      <c r="B248" t="inlineStr">
        <is>
          <t>None remain.</t>
        </is>
      </c>
      <c r="C248" t="n">
        <v>0</v>
      </c>
      <c r="D248" t="n">
        <v>0</v>
      </c>
      <c r="E248" t="n">
        <v>0</v>
      </c>
      <c r="F248" t="n">
        <v>0</v>
      </c>
      <c r="H248" t="n">
        <v>0</v>
      </c>
      <c r="I248" t="n">
        <v>0</v>
      </c>
      <c r="J248" t="n">
        <v>0</v>
      </c>
      <c r="K248" t="n">
        <v>0</v>
      </c>
      <c r="L248" t="n">
        <v>0</v>
      </c>
      <c r="M248" t="n">
        <v>0</v>
      </c>
      <c r="N248" t="n">
        <v>0</v>
      </c>
    </row>
    <row r="249">
      <c r="A249" t="inlineStr">
        <is>
          <t>Stock</t>
        </is>
      </c>
      <c r="B249" t="inlineStr">
        <is>
          <t>Laths: 2,700 laths remain.</t>
        </is>
      </c>
      <c r="C249" t="n">
        <v>0</v>
      </c>
      <c r="D249" t="n">
        <v>0</v>
      </c>
      <c r="E249" t="n">
        <v>0</v>
      </c>
      <c r="F249" t="n">
        <v>0</v>
      </c>
      <c r="H249" t="n">
        <v>0</v>
      </c>
      <c r="I249" t="n">
        <v>0</v>
      </c>
      <c r="J249" t="n">
        <v>0</v>
      </c>
      <c r="K249" t="n">
        <v>0</v>
      </c>
      <c r="L249" t="n">
        <v>0</v>
      </c>
      <c r="M249" t="n">
        <v>0</v>
      </c>
      <c r="N249" t="n">
        <v>0</v>
      </c>
    </row>
    <row r="250">
      <c r="A250" t="inlineStr">
        <is>
          <t>Stock</t>
        </is>
      </c>
      <c r="B250" t="inlineStr">
        <is>
          <t>Total, 2,700. 2,000 used to repair the lord's barn, hall and kitchen.</t>
        </is>
      </c>
      <c r="C250" t="n">
        <v>0</v>
      </c>
      <c r="D250" t="n">
        <v>0</v>
      </c>
      <c r="E250" t="n">
        <v>0</v>
      </c>
      <c r="F250" t="n">
        <v>0</v>
      </c>
      <c r="H250" t="n">
        <v>0</v>
      </c>
      <c r="I250" t="n">
        <v>0</v>
      </c>
      <c r="J250" t="n">
        <v>0</v>
      </c>
      <c r="K250" t="n">
        <v>0</v>
      </c>
      <c r="L250" t="n">
        <v>0</v>
      </c>
      <c r="M250" t="n">
        <v>0</v>
      </c>
      <c r="N250" t="n">
        <v>0</v>
      </c>
    </row>
    <row r="251">
      <c r="A251" t="inlineStr">
        <is>
          <t>Stock</t>
        </is>
      </c>
      <c r="B251" t="inlineStr">
        <is>
          <t>400 sold within.</t>
        </is>
      </c>
      <c r="C251" t="n">
        <v>0</v>
      </c>
      <c r="D251" t="n">
        <v>0</v>
      </c>
      <c r="E251" t="n">
        <v>0</v>
      </c>
      <c r="F251" t="n">
        <v>0</v>
      </c>
      <c r="H251" t="n">
        <v>0</v>
      </c>
      <c r="I251" t="n">
        <v>0</v>
      </c>
      <c r="J251" t="n">
        <v>0</v>
      </c>
      <c r="K251" t="n">
        <v>0</v>
      </c>
      <c r="L251" t="n">
        <v>0</v>
      </c>
      <c r="M251" t="n">
        <v>0</v>
      </c>
      <c r="N251" t="n">
        <v>0</v>
      </c>
    </row>
    <row r="252">
      <c r="A252" t="inlineStr">
        <is>
          <t>Stock</t>
        </is>
      </c>
      <c r="B252" t="inlineStr">
        <is>
          <t>Total, 2,400. 300 remain.</t>
        </is>
      </c>
      <c r="C252" t="n">
        <v>0</v>
      </c>
      <c r="D252" t="n">
        <v>0</v>
      </c>
      <c r="E252" t="n">
        <v>0</v>
      </c>
      <c r="F252" t="n">
        <v>0</v>
      </c>
      <c r="H252" t="n">
        <v>0</v>
      </c>
      <c r="I252" t="n">
        <v>0</v>
      </c>
      <c r="J252" t="n">
        <v>0</v>
      </c>
      <c r="K252" t="n">
        <v>0</v>
      </c>
      <c r="L252" t="n">
        <v>0</v>
      </c>
      <c r="M252" t="n">
        <v>0</v>
      </c>
      <c r="N252" t="n">
        <v>0</v>
      </c>
    </row>
    <row r="253">
      <c r="A253" t="inlineStr">
        <is>
          <t>Stock</t>
        </is>
      </c>
      <c r="B253" t="inlineStr">
        <is>
          <t>Lime: 6 quarters of limestone remain.</t>
        </is>
      </c>
      <c r="C253" t="n">
        <v>0</v>
      </c>
      <c r="D253" t="n">
        <v>0</v>
      </c>
      <c r="E253" t="n">
        <v>0</v>
      </c>
      <c r="F253" t="n">
        <v>0</v>
      </c>
      <c r="H253" t="n">
        <v>6</v>
      </c>
      <c r="I253" t="n">
        <v>0</v>
      </c>
      <c r="J253" t="n">
        <v>6</v>
      </c>
      <c r="K253" t="n">
        <v>6</v>
      </c>
      <c r="L253" t="n">
        <v>0</v>
      </c>
      <c r="M253" t="n">
        <v>6</v>
      </c>
      <c r="N253" t="n">
        <v>0</v>
      </c>
    </row>
    <row r="254">
      <c r="A254" t="inlineStr">
        <is>
          <t>Stock</t>
        </is>
      </c>
      <c r="B254" t="inlineStr">
        <is>
          <t>4 quarters 4 bushels bought at Walton'.</t>
        </is>
      </c>
      <c r="C254" t="n">
        <v>0</v>
      </c>
      <c r="D254" t="n">
        <v>0</v>
      </c>
      <c r="E254" t="n">
        <v>0</v>
      </c>
      <c r="F254" t="n">
        <v>0</v>
      </c>
      <c r="H254" t="n">
        <v>4</v>
      </c>
      <c r="I254" t="n">
        <v>4</v>
      </c>
      <c r="J254" t="n">
        <v>4.5</v>
      </c>
      <c r="K254" t="n">
        <v>4.5</v>
      </c>
      <c r="L254" t="n">
        <v>0</v>
      </c>
      <c r="M254" t="n">
        <v>4</v>
      </c>
      <c r="N254" t="n">
        <v>4</v>
      </c>
    </row>
    <row r="255">
      <c r="A255" t="inlineStr">
        <is>
          <t>Stock</t>
        </is>
      </c>
      <c r="B255" t="inlineStr">
        <is>
          <t>8 quarters bought at wi.t ney.</t>
        </is>
      </c>
      <c r="C255" t="n">
        <v>0</v>
      </c>
      <c r="D255" t="n">
        <v>0</v>
      </c>
      <c r="E255" t="n">
        <v>0</v>
      </c>
      <c r="F255" t="n">
        <v>0</v>
      </c>
      <c r="H255" t="n">
        <v>8</v>
      </c>
      <c r="I255" t="n">
        <v>0</v>
      </c>
      <c r="J255" t="n">
        <v>8</v>
      </c>
      <c r="K255" t="n">
        <v>8</v>
      </c>
      <c r="L255" t="n">
        <v>0</v>
      </c>
      <c r="M255" t="n">
        <v>8</v>
      </c>
      <c r="N255" t="n">
        <v>0</v>
      </c>
    </row>
    <row r="256">
      <c r="A256" t="inlineStr">
        <is>
          <t>Stock</t>
        </is>
      </c>
      <c r="B256" t="inlineStr">
        <is>
          <t>Total, 18 quarters 4 bushels Used to repair the lord's barn, hall and kitchen.</t>
        </is>
      </c>
      <c r="C256" t="n">
        <v>0</v>
      </c>
      <c r="D256" t="n">
        <v>0</v>
      </c>
      <c r="E256" t="n">
        <v>0</v>
      </c>
      <c r="F256" t="n">
        <v>0</v>
      </c>
      <c r="H256" t="n">
        <v>18</v>
      </c>
      <c r="I256" t="n">
        <v>4</v>
      </c>
      <c r="J256" t="n">
        <v>18.5</v>
      </c>
      <c r="K256" t="n">
        <v>18.5</v>
      </c>
      <c r="L256" t="n">
        <v>0</v>
      </c>
      <c r="M256" t="n">
        <v>18</v>
      </c>
      <c r="N256" t="n">
        <v>4</v>
      </c>
    </row>
    <row r="257">
      <c r="A257" t="inlineStr">
        <is>
          <t>Stock</t>
        </is>
      </c>
      <c r="B257" t="inlineStr">
        <is>
          <t>none remains.</t>
        </is>
      </c>
      <c r="C257" t="n">
        <v>0</v>
      </c>
      <c r="D257" t="n">
        <v>0</v>
      </c>
      <c r="E257" t="n">
        <v>0</v>
      </c>
      <c r="F257" t="n">
        <v>0</v>
      </c>
      <c r="H257" t="n">
        <v>0</v>
      </c>
      <c r="I257" t="n">
        <v>0</v>
      </c>
      <c r="J257" t="n">
        <v>0</v>
      </c>
      <c r="K257" t="n">
        <v>0</v>
      </c>
      <c r="L257" t="n">
        <v>0</v>
      </c>
      <c r="M257" t="n">
        <v>0</v>
      </c>
      <c r="N257" t="n">
        <v>0</v>
      </c>
    </row>
    <row r="258">
      <c r="A258" t="inlineStr">
        <is>
          <t>Stock</t>
        </is>
      </c>
      <c r="B258" t="inlineStr">
        <is>
          <t>Stone slates: 3,000 stone slates remain.</t>
        </is>
      </c>
      <c r="C258" t="n">
        <v>0</v>
      </c>
      <c r="D258" t="n">
        <v>0</v>
      </c>
      <c r="E258" t="n">
        <v>0</v>
      </c>
      <c r="F258" t="n">
        <v>0</v>
      </c>
      <c r="H258" t="n">
        <v>0</v>
      </c>
      <c r="I258" t="n">
        <v>0</v>
      </c>
      <c r="J258" t="n">
        <v>0</v>
      </c>
      <c r="K258" t="n">
        <v>0</v>
      </c>
      <c r="L258" t="n">
        <v>0</v>
      </c>
      <c r="M258" t="n">
        <v>0</v>
      </c>
      <c r="N258" t="n">
        <v>0</v>
      </c>
    </row>
    <row r="259">
      <c r="A259" t="inlineStr">
        <is>
          <t>Stock</t>
        </is>
      </c>
      <c r="B259" t="inlineStr">
        <is>
          <t>200 large stones remain.</t>
        </is>
      </c>
      <c r="C259" t="n">
        <v>0</v>
      </c>
      <c r="D259" t="n">
        <v>0</v>
      </c>
      <c r="E259" t="n">
        <v>0</v>
      </c>
      <c r="F259" t="n">
        <v>0</v>
      </c>
      <c r="H259" t="n">
        <v>0</v>
      </c>
      <c r="I259" t="n">
        <v>0</v>
      </c>
      <c r="J259" t="n">
        <v>0</v>
      </c>
      <c r="K259" t="n">
        <v>0</v>
      </c>
      <c r="L259" t="n">
        <v>0</v>
      </c>
      <c r="M259" t="n">
        <v>0</v>
      </c>
      <c r="N259" t="n">
        <v>0</v>
      </c>
    </row>
    <row r="260">
      <c r="A260" t="inlineStr">
        <is>
          <t>Stock</t>
        </is>
      </c>
      <c r="B260" t="inlineStr">
        <is>
          <t>1,500 stone slates bought.</t>
        </is>
      </c>
      <c r="C260" t="n">
        <v>0</v>
      </c>
      <c r="D260" t="n">
        <v>0</v>
      </c>
      <c r="E260" t="n">
        <v>0</v>
      </c>
      <c r="F260" t="n">
        <v>0</v>
      </c>
      <c r="H260" t="n">
        <v>0</v>
      </c>
      <c r="I260" t="n">
        <v>0</v>
      </c>
      <c r="J260" t="n">
        <v>0</v>
      </c>
      <c r="K260" t="n">
        <v>0</v>
      </c>
      <c r="L260" t="n">
        <v>0</v>
      </c>
      <c r="M260" t="n">
        <v>0</v>
      </c>
      <c r="N260" t="n">
        <v>0</v>
      </c>
    </row>
    <row r="261">
      <c r="A261" t="inlineStr">
        <is>
          <t>Stock</t>
        </is>
      </c>
      <c r="B261" t="inlineStr">
        <is>
          <t>500 eaves-stones bought.</t>
        </is>
      </c>
      <c r="C261" t="n">
        <v>0</v>
      </c>
      <c r="D261" t="n">
        <v>0</v>
      </c>
      <c r="E261" t="n">
        <v>0</v>
      </c>
      <c r="F261" t="n">
        <v>0</v>
      </c>
      <c r="H261" t="n">
        <v>0</v>
      </c>
      <c r="I261" t="n">
        <v>0</v>
      </c>
      <c r="J261" t="n">
        <v>0</v>
      </c>
      <c r="K261" t="n">
        <v>0</v>
      </c>
      <c r="L261" t="n">
        <v>0</v>
      </c>
      <c r="M261" t="n">
        <v>0</v>
      </c>
      <c r="N261" t="n">
        <v>0</v>
      </c>
    </row>
    <row r="262">
      <c r="A262" t="inlineStr">
        <is>
          <t>Stock</t>
        </is>
      </c>
      <c r="B262" t="inlineStr">
        <is>
          <t>Total, 5,200. 250 sold within because unsuitable for the use of the lord.</t>
        </is>
      </c>
      <c r="C262" t="n">
        <v>0</v>
      </c>
      <c r="D262" t="n">
        <v>0</v>
      </c>
      <c r="E262" t="n">
        <v>0</v>
      </c>
      <c r="F262" t="n">
        <v>0</v>
      </c>
      <c r="H262" t="n">
        <v>0</v>
      </c>
      <c r="I262" t="n">
        <v>0</v>
      </c>
      <c r="J262" t="n">
        <v>0</v>
      </c>
      <c r="K262" t="n">
        <v>0</v>
      </c>
      <c r="L262" t="n">
        <v>0</v>
      </c>
      <c r="M262" t="n">
        <v>0</v>
      </c>
      <c r="N262" t="n">
        <v>0</v>
      </c>
    </row>
    <row r="263">
      <c r="A263" t="inlineStr">
        <is>
          <t>Stock</t>
        </is>
      </c>
      <c r="B263" t="inlineStr">
        <is>
          <t>4,950 used in mending the lord's barn, hall and kitchen.</t>
        </is>
      </c>
      <c r="C263" t="n">
        <v>0</v>
      </c>
      <c r="D263" t="n">
        <v>0</v>
      </c>
      <c r="E263" t="n">
        <v>0</v>
      </c>
      <c r="F263" t="n">
        <v>0</v>
      </c>
      <c r="H263" t="n">
        <v>0</v>
      </c>
      <c r="I263" t="n">
        <v>0</v>
      </c>
      <c r="J263" t="n">
        <v>0</v>
      </c>
      <c r="K263" t="n">
        <v>0</v>
      </c>
      <c r="L263" t="n">
        <v>0</v>
      </c>
      <c r="M263" t="n">
        <v>0</v>
      </c>
      <c r="N263" t="n">
        <v>0</v>
      </c>
    </row>
    <row r="264">
      <c r="A264" t="inlineStr">
        <is>
          <t>Stock</t>
        </is>
      </c>
      <c r="B264" t="inlineStr">
        <is>
          <t>Total as before.</t>
        </is>
      </c>
      <c r="C264" t="n">
        <v>0</v>
      </c>
      <c r="D264" t="n">
        <v>0</v>
      </c>
      <c r="E264" t="n">
        <v>0</v>
      </c>
      <c r="F264" t="n">
        <v>0</v>
      </c>
      <c r="H264" t="n">
        <v>0</v>
      </c>
      <c r="I264" t="n">
        <v>0</v>
      </c>
      <c r="J264" t="n">
        <v>0</v>
      </c>
      <c r="K264" t="n">
        <v>0</v>
      </c>
      <c r="L264" t="n">
        <v>0</v>
      </c>
      <c r="M264" t="n">
        <v>0</v>
      </c>
      <c r="N264" t="n">
        <v>0</v>
      </c>
    </row>
    <row r="265">
      <c r="A265" t="inlineStr">
        <is>
          <t>Stock</t>
        </is>
      </c>
      <c r="B265" t="inlineStr">
        <is>
          <t>None remain.</t>
        </is>
      </c>
      <c r="C265" t="n">
        <v>0</v>
      </c>
      <c r="D265" t="n">
        <v>0</v>
      </c>
      <c r="E265" t="n">
        <v>0</v>
      </c>
      <c r="F265" t="n">
        <v>0</v>
      </c>
      <c r="H265" t="n">
        <v>0</v>
      </c>
      <c r="I265" t="n">
        <v>0</v>
      </c>
      <c r="J265" t="n">
        <v>0</v>
      </c>
      <c r="K265" t="n">
        <v>0</v>
      </c>
      <c r="L265" t="n">
        <v>0</v>
      </c>
      <c r="M265" t="n">
        <v>0</v>
      </c>
      <c r="N265" t="n">
        <v>0</v>
      </c>
    </row>
    <row r="266">
      <c r="A266" t="inlineStr">
        <is>
          <t>Stock</t>
        </is>
      </c>
      <c r="B266" t="inlineStr">
        <is>
          <t>Hurdles: 6 remain.</t>
        </is>
      </c>
      <c r="C266" t="n">
        <v>0</v>
      </c>
      <c r="D266" t="n">
        <v>0</v>
      </c>
      <c r="E266" t="n">
        <v>0</v>
      </c>
      <c r="F266" t="n">
        <v>0</v>
      </c>
      <c r="H266" t="n">
        <v>0</v>
      </c>
      <c r="I266" t="n">
        <v>0</v>
      </c>
      <c r="J266" t="n">
        <v>0</v>
      </c>
      <c r="K266" t="n">
        <v>0</v>
      </c>
      <c r="L266" t="n">
        <v>0</v>
      </c>
      <c r="M266" t="n">
        <v>0</v>
      </c>
      <c r="N266" t="n">
        <v>0</v>
      </c>
    </row>
    <row r="267">
      <c r="A267" t="inlineStr">
        <is>
          <t>Stock</t>
        </is>
      </c>
      <c r="B267" t="inlineStr">
        <is>
          <t>Total, 6. Sold because useless for the stock.</t>
        </is>
      </c>
      <c r="C267" t="n">
        <v>0</v>
      </c>
      <c r="D267" t="n">
        <v>0</v>
      </c>
      <c r="E267" t="n">
        <v>0</v>
      </c>
      <c r="F267" t="n">
        <v>0</v>
      </c>
      <c r="H267" t="n">
        <v>0</v>
      </c>
      <c r="I267" t="n">
        <v>0</v>
      </c>
      <c r="J267" t="n">
        <v>0</v>
      </c>
      <c r="K267" t="n">
        <v>0</v>
      </c>
      <c r="L267" t="n">
        <v>0</v>
      </c>
      <c r="M267" t="n">
        <v>0</v>
      </c>
      <c r="N267" t="n">
        <v>0</v>
      </c>
    </row>
    <row r="268">
      <c r="A268" t="inlineStr">
        <is>
          <t>Stock</t>
        </is>
      </c>
      <c r="B268" t="inlineStr">
        <is>
          <t>none remain. mid.</t>
        </is>
      </c>
      <c r="C268" t="n">
        <v>0</v>
      </c>
      <c r="D268" t="n">
        <v>0</v>
      </c>
      <c r="E268" t="n">
        <v>0</v>
      </c>
      <c r="F268" t="n">
        <v>0</v>
      </c>
      <c r="H268" t="n">
        <v>0</v>
      </c>
      <c r="I268" t="n">
        <v>0</v>
      </c>
      <c r="J268" t="n">
        <v>0</v>
      </c>
      <c r="K268" t="n">
        <v>0</v>
      </c>
      <c r="L268" t="n">
        <v>0</v>
      </c>
      <c r="M268" t="n">
        <v>0</v>
      </c>
      <c r="N268"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8"/>
  <sheetViews>
    <sheetView topLeftCell="A1" workbookViewId="0">
      <selection activeCell="A1" sqref="A1"/>
    </sheetView>
  </sheetViews>
  <sheetFormatPr baseColWidth="8" defaultColWidth="12.6328125" defaultRowHeight="14.5"/>
  <sheetData>
    <row r="1" ht="15.5" customHeight="1">
      <c r="A1" s="12" t="inlineStr">
        <is>
          <t>Meat &amp; Dairy Prices</t>
        </is>
      </c>
    </row>
    <row r="2">
      <c r="C2" t="n">
        <v>1301</v>
      </c>
      <c r="D2" t="n">
        <v>1302</v>
      </c>
      <c r="E2" s="28" t="inlineStr">
        <is>
          <t>Average</t>
        </is>
      </c>
    </row>
    <row r="3" ht="15.5" customHeight="1">
      <c r="A3" t="inlineStr">
        <is>
          <t>Beef</t>
        </is>
      </c>
      <c r="B3" t="inlineStr">
        <is>
          <t>£ per lb</t>
        </is>
      </c>
      <c r="C3" s="62" t="n">
        <v>0.003335185413087333</v>
      </c>
      <c r="D3" s="62" t="n">
        <v>0.003260853786849182</v>
      </c>
      <c r="E3" s="63">
        <f>AVERAGE(C3:D3)</f>
        <v/>
      </c>
    </row>
    <row r="4">
      <c r="A4" t="inlineStr">
        <is>
          <t>Mutton</t>
        </is>
      </c>
      <c r="B4" t="inlineStr">
        <is>
          <t>£ per lb</t>
        </is>
      </c>
      <c r="C4" s="63" t="n">
        <v>0.003659397726835158</v>
      </c>
      <c r="D4" s="63" t="n">
        <v>0.003712551295250783</v>
      </c>
      <c r="E4" s="63">
        <f>AVERAGE(C4:D4)</f>
        <v/>
      </c>
    </row>
    <row r="5">
      <c r="A5" t="inlineStr">
        <is>
          <t>Pork</t>
        </is>
      </c>
      <c r="B5" t="inlineStr">
        <is>
          <t>£ per lb</t>
        </is>
      </c>
      <c r="C5" s="63" t="n">
        <v>0.003843132608634785</v>
      </c>
      <c r="D5" s="63" t="n">
        <v>0.003757480310106574</v>
      </c>
      <c r="E5" s="63">
        <f>AVERAGE(C5:D5)</f>
        <v/>
      </c>
    </row>
    <row r="6">
      <c r="A6" t="inlineStr">
        <is>
          <t>Cheese</t>
        </is>
      </c>
      <c r="B6" t="inlineStr">
        <is>
          <t>£ per lb</t>
        </is>
      </c>
      <c r="C6" s="64" t="n">
        <v>0.005576875401355813</v>
      </c>
      <c r="D6" s="63" t="n">
        <v>0.005665489823647453</v>
      </c>
      <c r="E6" s="63">
        <f>AVERAGE(C6:D6)</f>
        <v/>
      </c>
    </row>
    <row r="7">
      <c r="A7" t="inlineStr">
        <is>
          <t>Butter</t>
        </is>
      </c>
      <c r="B7" t="inlineStr">
        <is>
          <t>£ per lb</t>
        </is>
      </c>
      <c r="C7" s="63" t="n">
        <v>0.00366262210285494</v>
      </c>
      <c r="D7" s="63" t="n">
        <v>0.003593507742292381</v>
      </c>
      <c r="E7" s="63">
        <f>AVERAGE(C7:D7)</f>
        <v/>
      </c>
    </row>
    <row r="8">
      <c r="A8" t="inlineStr">
        <is>
          <t>Milk</t>
        </is>
      </c>
      <c r="B8" t="inlineStr">
        <is>
          <t>£ per gallon</t>
        </is>
      </c>
      <c r="C8" s="65" t="n">
        <v>0.005576875401355813</v>
      </c>
      <c r="D8" s="63" t="n">
        <v>0.005665489823647453</v>
      </c>
      <c r="E8" s="63">
        <f>AVERAGE(C8:D8)</f>
        <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ColWidth="8.81640625" defaultRowHeight="14.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163"/>
  <sheetViews>
    <sheetView topLeftCell="A1" workbookViewId="0">
      <selection activeCell="A1" sqref="A1"/>
    </sheetView>
  </sheetViews>
  <sheetFormatPr baseColWidth="8" defaultRowHeight="15"/>
  <cols>
    <col width="78.375" customWidth="1" min="1" max="1"/>
    <col width="12.125" customWidth="1" min="4" max="4"/>
    <col width="30.875" customWidth="1" min="7" max="7"/>
    <col width="29.625" customWidth="1" min="8" max="8"/>
  </cols>
  <sheetData>
    <row r="1" ht="18.95" customHeight="1">
      <c r="A1" s="127" t="inlineStr">
        <is>
          <t>Highclere</t>
        </is>
      </c>
      <c r="B1" s="128" t="inlineStr">
        <is>
          <t>£</t>
        </is>
      </c>
      <c r="C1" s="129" t="inlineStr">
        <is>
          <t xml:space="preserve">s </t>
        </is>
      </c>
      <c r="D1" s="129" t="inlineStr">
        <is>
          <t>d</t>
        </is>
      </c>
      <c r="E1" s="130" t="n"/>
      <c r="F1" s="130" t="n"/>
      <c r="G1" s="131" t="inlineStr">
        <is>
          <t>Total in £</t>
        </is>
      </c>
      <c r="H1" s="132" t="inlineStr">
        <is>
          <t>Error</t>
        </is>
      </c>
    </row>
    <row r="2">
      <c r="A2" s="15" t="n"/>
      <c r="B2" s="15" t="n"/>
      <c r="C2" s="15" t="n"/>
      <c r="D2" s="15" t="n"/>
      <c r="E2" s="15" t="n"/>
      <c r="F2" s="15" t="n"/>
      <c r="G2" s="133" t="n"/>
      <c r="H2" s="10" t="n"/>
    </row>
    <row r="3">
      <c r="A3" s="8" t="inlineStr">
        <is>
          <t>CASH ACCOUNT</t>
        </is>
      </c>
      <c r="B3" s="15" t="n"/>
      <c r="C3" s="15" t="n"/>
      <c r="D3" s="15" t="n"/>
      <c r="E3" s="15" t="n"/>
      <c r="F3" s="15" t="n"/>
      <c r="G3" s="133" t="n"/>
      <c r="H3" s="10" t="n"/>
    </row>
    <row r="4">
      <c r="A4" s="16" t="inlineStr">
        <is>
          <t>RECEIPTS</t>
        </is>
      </c>
      <c r="B4" s="134" t="n"/>
      <c r="C4" s="134" t="n"/>
      <c r="D4" s="134" t="n"/>
      <c r="E4" s="134" t="n"/>
      <c r="F4" s="134" t="n"/>
      <c r="G4" s="135" t="n"/>
      <c r="H4" s="10" t="n"/>
    </row>
    <row r="5">
      <c r="A5" s="15" t="inlineStr">
        <is>
          <t>Arrears total</t>
        </is>
      </c>
      <c r="C5" s="15" t="n"/>
      <c r="D5" s="15" t="n"/>
      <c r="E5" s="15" t="n"/>
      <c r="F5" s="15" t="n"/>
      <c r="G5" s="136">
        <f>IF(INDEX('Highclere Receipts'!$A$4:$F$136,MATCH('Highclere Overview'!$A5,'Highclere Receipts'!$A$4:$A$136,0),6)=0,"",INDEX('Highclere Receipts'!$A$4:$F$136,MATCH('Highclere Overview'!$A5,'Highclere Receipts'!$A$4:$A$136,0),6))</f>
        <v/>
      </c>
      <c r="H5" s="10" t="n"/>
    </row>
    <row r="6">
      <c r="A6" s="15" t="inlineStr">
        <is>
          <t>Rents of assize total</t>
        </is>
      </c>
      <c r="B6" s="15" t="n"/>
      <c r="C6" s="15" t="n"/>
      <c r="D6" s="15" t="n"/>
      <c r="E6" s="15" t="n"/>
      <c r="F6" s="15" t="n"/>
      <c r="G6" s="136">
        <f>IF(INDEX('Highclere Receipts'!$A$4:$F$136,MATCH('Highclere Overview'!$A6,'Highclere Receipts'!$A$4:$A$136,0),6)=0,"",INDEX('Highclere Receipts'!$A$4:$F$136,MATCH('Highclere Overview'!$A6,'Highclere Receipts'!$A$4:$A$136,0),6))</f>
        <v/>
      </c>
      <c r="H6" s="10" t="n"/>
    </row>
    <row r="7">
      <c r="A7" s="15" t="inlineStr">
        <is>
          <t>Quittances total</t>
        </is>
      </c>
      <c r="B7" s="15" t="n"/>
      <c r="C7" s="15" t="n"/>
      <c r="D7" s="15" t="n"/>
      <c r="E7" s="15" t="n"/>
      <c r="F7" s="15" t="n"/>
      <c r="G7" s="136">
        <f>IF(INDEX('Highclere Receipts'!$A$4:$F$136,MATCH('Highclere Overview'!$A7,'Highclere Receipts'!$A$4:$A$136,0),6)=0,"",INDEX('Highclere Receipts'!$A$4:$F$136,MATCH('Highclere Overview'!$A7,'Highclere Receipts'!$A$4:$A$136,0),6))</f>
        <v/>
      </c>
      <c r="H7" s="10" t="n"/>
    </row>
    <row r="8">
      <c r="A8" s="15" t="inlineStr">
        <is>
          <t>Defaults of rent total</t>
        </is>
      </c>
      <c r="B8" s="15" t="n"/>
      <c r="C8" s="15" t="n"/>
      <c r="D8" s="15" t="n"/>
      <c r="E8" s="15" t="n"/>
      <c r="F8" s="15" t="n"/>
      <c r="G8" s="136">
        <f>IF(INDEX('Highclere Receipts'!$A$4:$F$136,MATCH('Highclere Overview'!$A8,'Highclere Receipts'!$A$4:$A$136,0),6)=0,"",INDEX('Highclere Receipts'!$A$4:$F$136,MATCH('Highclere Overview'!$A8,'Highclere Receipts'!$A$4:$A$136,0),6))</f>
        <v/>
      </c>
      <c r="H8" s="10" t="n"/>
    </row>
    <row r="9">
      <c r="A9" s="15" t="inlineStr">
        <is>
          <t>Rents remaining</t>
        </is>
      </c>
      <c r="B9" s="15" t="n"/>
      <c r="C9" s="15" t="n"/>
      <c r="D9" s="15" t="n"/>
      <c r="E9" s="15" t="n"/>
      <c r="F9" s="15" t="n"/>
      <c r="G9" s="136">
        <f>'Highclere Receipts'!F39</f>
        <v/>
      </c>
      <c r="H9" s="10" t="n"/>
    </row>
    <row r="10">
      <c r="A10" s="15" t="inlineStr">
        <is>
          <t>Annual recognizances total</t>
        </is>
      </c>
      <c r="B10" s="15" t="n"/>
      <c r="C10" s="15" t="n"/>
      <c r="D10" s="15" t="n"/>
      <c r="E10" s="15" t="n"/>
      <c r="F10" s="15" t="n"/>
      <c r="G10" s="136">
        <f>IF(INDEX('Highclere Receipts'!$A$4:$F$136,MATCH('Highclere Overview'!$A10,'Highclere Receipts'!$A$4:$A$136,0),6)=0,"",INDEX('Highclere Receipts'!$A$4:$F$136,MATCH('Highclere Overview'!$A10,'Highclere Receipts'!$A$4:$A$136,0),6))</f>
        <v/>
      </c>
      <c r="H10" s="10" t="n"/>
    </row>
    <row r="11">
      <c r="A11" s="15" t="inlineStr">
        <is>
          <t>Issues of the Manor total</t>
        </is>
      </c>
      <c r="B11" s="15" t="n"/>
      <c r="C11" s="15" t="n"/>
      <c r="D11" s="15" t="n"/>
      <c r="E11" s="15" t="n"/>
      <c r="F11" s="15" t="n"/>
      <c r="G11" s="136">
        <f>IF(INDEX('Highclere Receipts'!$A$4:$F$136,MATCH('Highclere Overview'!$A11,'Highclere Receipts'!$A$4:$A$136,0),6)=0,"",INDEX('Highclere Receipts'!$A$4:$F$136,MATCH('Highclere Overview'!$A11,'Highclere Receipts'!$A$4:$A$136,0),6))</f>
        <v/>
      </c>
      <c r="H11" s="10" t="n"/>
    </row>
    <row r="12">
      <c r="A12" s="15" t="inlineStr">
        <is>
          <t>Sale of corn total</t>
        </is>
      </c>
      <c r="B12" s="15" t="n"/>
      <c r="C12" s="15" t="n"/>
      <c r="D12" s="15" t="n"/>
      <c r="E12" s="15" t="n"/>
      <c r="F12" s="15" t="n"/>
      <c r="G12" s="136">
        <f>IF(INDEX('Highclere Receipts'!$A$4:$F$136,MATCH('Highclere Overview'!$A12,'Highclere Receipts'!$A$4:$A$136,0),6)=0,"",INDEX('Highclere Receipts'!$A$4:$F$136,MATCH('Highclere Overview'!$A12,'Highclere Receipts'!$A$4:$A$136,0),6))</f>
        <v/>
      </c>
      <c r="H12" s="10" t="n"/>
    </row>
    <row r="13">
      <c r="A13" s="15" t="inlineStr">
        <is>
          <t>Entry and marriage fines total</t>
        </is>
      </c>
      <c r="B13" s="15" t="n"/>
      <c r="C13" s="15" t="n"/>
      <c r="D13" s="15" t="n"/>
      <c r="E13" s="15" t="n"/>
      <c r="F13" s="15" t="n"/>
      <c r="G13" s="136">
        <f>IF(INDEX('Highclere Receipts'!$A$4:$F$136,MATCH('Highclere Overview'!$A13,'Highclere Receipts'!$A$4:$A$136,0),6)=0,"",INDEX('Highclere Receipts'!$A$4:$F$136,MATCH('Highclere Overview'!$A13,'Highclere Receipts'!$A$4:$A$136,0),6))</f>
        <v/>
      </c>
      <c r="H13" s="10" t="n"/>
    </row>
    <row r="14">
      <c r="A14" s="15" t="inlineStr">
        <is>
          <t>Pleas &amp; perquisites total</t>
        </is>
      </c>
      <c r="B14" s="15" t="n"/>
      <c r="C14" s="15" t="n"/>
      <c r="D14" s="15" t="n"/>
      <c r="E14" s="15" t="n"/>
      <c r="F14" s="15" t="n"/>
      <c r="G14" s="137">
        <f>IF(INDEX('Highclere Receipts'!$A$4:$F$136,MATCH('Highclere Overview'!$A14,'Highclere Receipts'!$A$4:$A$136,0),6)=0,"",INDEX('Highclere Receipts'!$A$4:$F$136,MATCH('Highclere Overview'!$A14,'Highclere Receipts'!$A$4:$A$136,0),6))</f>
        <v/>
      </c>
      <c r="H14" s="10" t="n"/>
    </row>
    <row r="15">
      <c r="A15" s="17" t="inlineStr">
        <is>
          <t>Sum of the above (incl. arrears)</t>
        </is>
      </c>
      <c r="B15" s="17" t="n"/>
      <c r="C15" s="17" t="n"/>
      <c r="D15" s="17" t="n"/>
      <c r="E15" s="17" t="n"/>
      <c r="F15" s="17" t="n"/>
      <c r="G15" s="138">
        <f>G5+G9+G10+G11+G12+G13+G14</f>
        <v/>
      </c>
      <c r="H15" s="10" t="n"/>
    </row>
    <row r="16">
      <c r="A16" s="17" t="inlineStr">
        <is>
          <t>Total recorded in the accounts excl. arrears</t>
        </is>
      </c>
      <c r="B16" s="17" t="n"/>
      <c r="C16" s="17" t="n"/>
      <c r="D16" s="17" t="n"/>
      <c r="E16" s="17" t="n"/>
      <c r="F16" s="17" t="n"/>
      <c r="G16" s="138">
        <f>'Highclere Receipts'!F135</f>
        <v/>
      </c>
      <c r="H16" s="139">
        <f>G15-G16</f>
        <v/>
      </c>
    </row>
    <row r="17">
      <c r="A17" s="17" t="inlineStr">
        <is>
          <t>Total recorded in the accounts incl. arrears</t>
        </is>
      </c>
      <c r="B17" s="17" t="n"/>
      <c r="C17" s="17" t="n"/>
      <c r="D17" s="17" t="n"/>
      <c r="E17" s="17" t="n"/>
      <c r="F17" s="17" t="n"/>
      <c r="G17" s="138">
        <f>'Highclere Receipts'!F136</f>
        <v/>
      </c>
      <c r="H17" s="139" t="n"/>
      <c r="I17" s="40" t="inlineStr">
        <is>
          <t>not recorded</t>
        </is>
      </c>
    </row>
    <row r="18">
      <c r="A18" s="15" t="n"/>
      <c r="B18" s="15" t="n"/>
      <c r="C18" s="15" t="n"/>
      <c r="D18" s="15" t="n"/>
      <c r="E18" s="15" t="n"/>
      <c r="F18" s="15" t="n"/>
      <c r="G18" s="133" t="n"/>
      <c r="H18" s="10" t="n"/>
    </row>
    <row r="19">
      <c r="A19" s="15" t="n"/>
      <c r="B19" s="15" t="n"/>
      <c r="C19" s="15" t="n"/>
      <c r="D19" s="15" t="n"/>
      <c r="E19" s="15" t="n"/>
      <c r="F19" s="15" t="n"/>
      <c r="G19" s="133" t="n"/>
      <c r="H19" s="10" t="n"/>
    </row>
    <row r="20">
      <c r="A20" s="16" t="inlineStr">
        <is>
          <t>EXPENSES</t>
        </is>
      </c>
      <c r="B20" s="134" t="n"/>
      <c r="C20" s="134" t="n"/>
      <c r="D20" s="134" t="n"/>
      <c r="E20" s="134" t="n"/>
      <c r="F20" s="134" t="n"/>
      <c r="G20" s="135" t="n"/>
      <c r="H20" s="10" t="n"/>
    </row>
    <row r="21">
      <c r="A21" s="15" t="inlineStr">
        <is>
          <t>Cost of ploughs total</t>
        </is>
      </c>
      <c r="C21" s="15" t="n"/>
      <c r="D21" s="15" t="n"/>
      <c r="E21" s="15" t="n"/>
      <c r="F21" s="15" t="n"/>
      <c r="G21" s="136">
        <f>IF(INDEX('Highclere Expenses'!$A$2:$F$148,MATCH('Highclere Overview'!$A21,'Highclere Expenses'!$A$2:$A$148,0),6)=0,"",INDEX('Highclere Expenses'!$A$2:$F$148,MATCH('Highclere Overview'!$A21,'Highclere Expenses'!$A$2:$A$148,0),6))</f>
        <v/>
      </c>
      <c r="H21" s="10" t="n"/>
    </row>
    <row r="22">
      <c r="A22" s="15" t="inlineStr">
        <is>
          <t>Purchase of corn total</t>
        </is>
      </c>
      <c r="B22" s="15" t="n"/>
      <c r="C22" s="15" t="n"/>
      <c r="D22" s="15" t="n"/>
      <c r="E22" s="15" t="n"/>
      <c r="F22" s="15" t="n"/>
      <c r="G22" s="136">
        <f>IF(INDEX('Highclere Expenses'!$A$2:$F$148,MATCH('Highclere Overview'!$A22,'Highclere Expenses'!$A$2:$A$148,0),6)=0,"",INDEX('Highclere Expenses'!$A$2:$F$148,MATCH('Highclere Overview'!$A22,'Highclere Expenses'!$A$2:$A$148,0),6))</f>
        <v/>
      </c>
      <c r="H22" s="10" t="n"/>
    </row>
    <row r="23">
      <c r="A23" s="15" t="inlineStr">
        <is>
          <t>Cost of carts and wagons total</t>
        </is>
      </c>
      <c r="B23" s="15" t="n"/>
      <c r="C23" s="15" t="n"/>
      <c r="D23" s="15" t="n"/>
      <c r="E23" s="15" t="n"/>
      <c r="F23" s="15" t="n"/>
      <c r="G23" s="136">
        <f>IF(INDEX('Highclere Expenses'!$A$2:$F$148,MATCH('Highclere Overview'!$A23,'Highclere Expenses'!$A$2:$A$148,0),6)=0,"",INDEX('Highclere Expenses'!$A$2:$F$148,MATCH('Highclere Overview'!$A23,'Highclere Expenses'!$A$2:$A$148,0),6))</f>
        <v/>
      </c>
      <c r="H23" s="10" t="n"/>
    </row>
    <row r="24">
      <c r="A24" s="15" t="inlineStr">
        <is>
          <t>Cost of dairy total</t>
        </is>
      </c>
      <c r="B24" s="15" t="n"/>
      <c r="C24" s="15" t="n"/>
      <c r="D24" s="15" t="n"/>
      <c r="E24" s="15" t="n"/>
      <c r="F24" s="15" t="n"/>
      <c r="G24" s="136">
        <f>IF(INDEX('Highclere Expenses'!$A$2:$F$148,MATCH('Highclere Overview'!$A24,'Highclere Expenses'!$A$2:$A$148,0),6)=0,"",INDEX('Highclere Expenses'!$A$2:$F$148,MATCH('Highclere Overview'!$A24,'Highclere Expenses'!$A$2:$A$148,0),6))</f>
        <v/>
      </c>
      <c r="H24" s="10" t="n"/>
    </row>
    <row r="25">
      <c r="A25" s="15" t="inlineStr">
        <is>
          <t>Purchase of stock total</t>
        </is>
      </c>
      <c r="B25" s="15" t="n"/>
      <c r="C25" s="15" t="n"/>
      <c r="D25" s="15" t="n"/>
      <c r="E25" s="15" t="n"/>
      <c r="F25" s="15" t="n"/>
      <c r="G25" s="136">
        <f>IF(INDEX('Highclere Expenses'!$A$2:$F$148,MATCH('Highclere Overview'!$A25,'Highclere Expenses'!$A$2:$A$148,0),6)=0,"",INDEX('Highclere Expenses'!$A$2:$F$148,MATCH('Highclere Overview'!$A25,'Highclere Expenses'!$A$2:$A$148,0),6))</f>
        <v/>
      </c>
      <c r="H25" s="10" t="n"/>
    </row>
    <row r="26">
      <c r="A26" s="15" t="inlineStr">
        <is>
          <t>Sheepcote total</t>
        </is>
      </c>
      <c r="B26" s="15" t="n"/>
      <c r="C26" s="15" t="n"/>
      <c r="D26" s="15" t="n"/>
      <c r="E26" s="15" t="n"/>
      <c r="F26" s="15" t="n"/>
      <c r="G26" s="136">
        <f>IF(INDEX('Highclere Expenses'!$A$2:$F$148,MATCH('Highclere Overview'!$A26,'Highclere Expenses'!$A$2:$A$148,0),6)=0,"",INDEX('Highclere Expenses'!$A$2:$F$148,MATCH('Highclere Overview'!$A26,'Highclere Expenses'!$A$2:$A$148,0),6))</f>
        <v/>
      </c>
      <c r="H26" s="10" t="n"/>
    </row>
    <row r="27">
      <c r="A27" s="15" t="inlineStr">
        <is>
          <t>Cost of buildings total</t>
        </is>
      </c>
      <c r="B27" s="15" t="n"/>
      <c r="C27" s="15" t="n"/>
      <c r="D27" s="15" t="n"/>
      <c r="E27" s="15" t="n"/>
      <c r="F27" s="15" t="n"/>
      <c r="G27" s="136">
        <f>IF(INDEX('Highclere Expenses'!$A$2:$F$148,MATCH('Highclere Overview'!$A27,'Highclere Expenses'!$A$2:$A$148,0),6)=0,"",INDEX('Highclere Expenses'!$A$2:$F$148,MATCH('Highclere Overview'!$A27,'Highclere Expenses'!$A$2:$A$148,0),6))</f>
        <v/>
      </c>
      <c r="H27" s="10" t="n"/>
    </row>
    <row r="28">
      <c r="A28" s="15" t="inlineStr">
        <is>
          <t>Threshing total</t>
        </is>
      </c>
      <c r="B28" s="15" t="n"/>
      <c r="C28" s="15" t="n"/>
      <c r="D28" s="15" t="n"/>
      <c r="E28" s="15" t="n"/>
      <c r="F28" s="15" t="n"/>
      <c r="G28" s="136">
        <f>IF(INDEX('Highclere Expenses'!$A$2:$F$148,MATCH('Highclere Overview'!$A28,'Highclere Expenses'!$A$2:$A$148,0),6)=0,"",INDEX('Highclere Expenses'!$A$2:$F$148,MATCH('Highclere Overview'!$A28,'Highclere Expenses'!$A$2:$A$148,0),6))</f>
        <v/>
      </c>
      <c r="H28" s="10" t="n"/>
    </row>
    <row r="29">
      <c r="A29" s="15" t="inlineStr">
        <is>
          <t>Expenses of the harvest total</t>
        </is>
      </c>
      <c r="B29" s="15" t="n"/>
      <c r="C29" s="15" t="n"/>
      <c r="D29" s="15" t="n"/>
      <c r="E29" s="15" t="n"/>
      <c r="F29" s="15" t="n"/>
      <c r="G29" s="136">
        <f>IF(INDEX('Highclere Expenses'!$A$2:$F$148,MATCH('Highclere Overview'!$A29,'Highclere Expenses'!$A$2:$A$148,0),6)=0,"",INDEX('Highclere Expenses'!$A$2:$F$148,MATCH('Highclere Overview'!$A29,'Highclere Expenses'!$A$2:$A$148,0),6))</f>
        <v/>
      </c>
      <c r="H29" s="10" t="n"/>
    </row>
    <row r="30">
      <c r="A30" s="15" t="inlineStr">
        <is>
          <t>Steward's expenses total</t>
        </is>
      </c>
      <c r="B30" s="15" t="n"/>
      <c r="C30" s="15" t="n"/>
      <c r="D30" s="15" t="n"/>
      <c r="E30" s="15" t="n"/>
      <c r="F30" s="15" t="n"/>
      <c r="G30" s="136">
        <f>IF(INDEX('Highclere Expenses'!$A$2:$F$148,MATCH('Highclere Overview'!$A30,'Highclere Expenses'!$A$2:$A$148,0),6)=0,"",INDEX('Highclere Expenses'!$A$2:$F$148,MATCH('Highclere Overview'!$A30,'Highclere Expenses'!$A$2:$A$148,0),6))</f>
        <v/>
      </c>
      <c r="H30" s="10" t="n"/>
    </row>
    <row r="31">
      <c r="A31" s="17" t="inlineStr">
        <is>
          <t>Total of all expenses calculated</t>
        </is>
      </c>
      <c r="B31" s="134" t="n"/>
      <c r="C31" s="134" t="n"/>
      <c r="D31" s="134" t="n"/>
      <c r="E31" s="134" t="n"/>
      <c r="F31" s="134" t="n"/>
      <c r="G31" s="140">
        <f>'Highclere Expenses'!F141</f>
        <v/>
      </c>
      <c r="H31" s="10" t="n"/>
    </row>
    <row r="32">
      <c r="A32" s="17" t="inlineStr">
        <is>
          <t>Total of all expenses in account</t>
        </is>
      </c>
      <c r="B32" s="134" t="n"/>
      <c r="C32" s="134" t="n"/>
      <c r="D32" s="134" t="n"/>
      <c r="E32" s="134" t="n"/>
      <c r="F32" s="134" t="n"/>
      <c r="G32" s="140">
        <f>'Highclere Expenses'!F140</f>
        <v/>
      </c>
      <c r="H32" s="139">
        <f>G31-G32</f>
        <v/>
      </c>
    </row>
    <row r="33">
      <c r="A33" s="17" t="inlineStr">
        <is>
          <t>Capital Expenses</t>
        </is>
      </c>
      <c r="B33" s="134" t="n"/>
      <c r="C33" s="134" t="n"/>
      <c r="D33" s="134" t="n"/>
      <c r="E33" s="134" t="n"/>
      <c r="F33" s="134" t="n"/>
      <c r="G33" s="140">
        <f>'Highclere Expenses'!F148</f>
        <v/>
      </c>
      <c r="H33" s="10" t="n"/>
    </row>
    <row r="34">
      <c r="A34" s="15" t="n"/>
      <c r="B34" s="15" t="n"/>
      <c r="C34" s="15" t="n"/>
      <c r="D34" s="15" t="n"/>
      <c r="E34" s="15" t="n"/>
      <c r="F34" s="15" t="n"/>
      <c r="G34" s="133" t="n"/>
      <c r="H34" s="10" t="n"/>
    </row>
    <row r="35">
      <c r="A35" s="18" t="inlineStr">
        <is>
          <t>Owed by the reeve</t>
        </is>
      </c>
      <c r="B35" s="18" t="n"/>
      <c r="C35" s="18" t="n"/>
      <c r="D35" s="18" t="n"/>
      <c r="E35" s="18" t="n"/>
      <c r="F35" s="18" t="n"/>
      <c r="G35" s="141">
        <f>G15-G31</f>
        <v/>
      </c>
      <c r="H35" s="10" t="n"/>
    </row>
    <row r="36">
      <c r="A36" s="18" t="inlineStr">
        <is>
          <t>From accounts</t>
        </is>
      </c>
      <c r="B36" s="18" t="n"/>
      <c r="C36" s="18" t="n"/>
      <c r="D36" s="18" t="n"/>
      <c r="E36" s="18" t="n"/>
      <c r="F36" s="18" t="n"/>
      <c r="G36" s="142">
        <f>'Highclere Expenses'!F143</f>
        <v/>
      </c>
      <c r="H36" s="139">
        <f>G36-G35</f>
        <v/>
      </c>
    </row>
    <row r="37">
      <c r="A37" s="15" t="n"/>
      <c r="B37" s="15" t="n"/>
      <c r="C37" s="15" t="n"/>
      <c r="D37" s="15" t="n"/>
      <c r="E37" s="15" t="n"/>
      <c r="F37" s="15" t="n"/>
      <c r="G37" s="133" t="n"/>
      <c r="H37" s="10" t="n"/>
    </row>
    <row r="38">
      <c r="A38" s="18" t="inlineStr">
        <is>
          <t>Cash deliveries</t>
        </is>
      </c>
      <c r="B38" s="18" t="n"/>
      <c r="C38" s="18" t="n"/>
      <c r="D38" s="18" t="n"/>
      <c r="E38" s="18" t="n"/>
      <c r="F38" s="18" t="n"/>
      <c r="G38" s="141" t="n"/>
      <c r="H38" s="10" t="n"/>
    </row>
    <row r="39">
      <c r="A39" s="20" t="inlineStr">
        <is>
          <t>Total of all allowances and cash deliveries in accounts</t>
        </is>
      </c>
      <c r="B39" s="143" t="n"/>
      <c r="C39" s="143" t="n"/>
      <c r="D39" s="143" t="n"/>
      <c r="E39" s="143" t="n"/>
      <c r="F39" s="143" t="n"/>
      <c r="G39" s="144" t="inlineStr">
        <is>
          <t>n/a</t>
        </is>
      </c>
      <c r="H39" s="10" t="n"/>
    </row>
    <row r="40">
      <c r="A40" s="15" t="n"/>
      <c r="B40" s="15" t="n"/>
      <c r="C40" s="15" t="n"/>
      <c r="D40" s="15" t="n"/>
      <c r="E40" s="15" t="n"/>
      <c r="F40" s="15" t="n"/>
      <c r="G40" s="133" t="n"/>
      <c r="H40" s="10" t="n"/>
    </row>
    <row r="41">
      <c r="A41" s="18" t="inlineStr">
        <is>
          <t>Net amount owed</t>
        </is>
      </c>
      <c r="B41" s="18" t="n"/>
      <c r="C41" s="18" t="n"/>
      <c r="D41" s="18" t="n"/>
      <c r="E41" s="18" t="n"/>
      <c r="F41" s="18" t="n"/>
      <c r="G41" s="141" t="inlineStr">
        <is>
          <t>n/a</t>
        </is>
      </c>
      <c r="H41" s="10" t="n"/>
    </row>
    <row r="42">
      <c r="A42" s="18" t="inlineStr">
        <is>
          <t>Net amount owed in accounts</t>
        </is>
      </c>
      <c r="B42" s="18" t="n"/>
      <c r="C42" s="18" t="n"/>
      <c r="D42" s="18" t="n"/>
      <c r="E42" s="18" t="n"/>
      <c r="F42" s="18" t="n"/>
      <c r="G42" s="141">
        <f>'Highclere Expenses'!F146</f>
        <v/>
      </c>
      <c r="H42" s="139" t="n"/>
    </row>
    <row r="43">
      <c r="A43" s="15" t="n"/>
      <c r="B43" s="15" t="n"/>
      <c r="C43" s="15" t="n"/>
      <c r="D43" s="15" t="n"/>
      <c r="E43" s="15" t="n"/>
      <c r="F43" s="15" t="n"/>
      <c r="G43" s="133" t="n"/>
      <c r="H43" s="10" t="n"/>
    </row>
    <row r="44">
      <c r="A44" s="16" t="inlineStr">
        <is>
          <t xml:space="preserve">GRANGE ACCOUNT </t>
        </is>
      </c>
      <c r="B44" s="145" t="inlineStr">
        <is>
          <t>Net Production</t>
        </is>
      </c>
      <c r="D44" s="134" t="n"/>
      <c r="E44" s="134" t="n"/>
      <c r="F44" s="134" t="n"/>
      <c r="G44" s="140" t="n"/>
      <c r="H44" s="94" t="n"/>
    </row>
    <row r="45">
      <c r="A45" s="8" t="inlineStr">
        <is>
          <t>Grange</t>
        </is>
      </c>
      <c r="B45" s="146" t="inlineStr">
        <is>
          <t>qrs</t>
        </is>
      </c>
      <c r="C45" s="147" t="n"/>
      <c r="D45" s="15" t="n"/>
      <c r="E45" s="15" t="n"/>
      <c r="F45" s="15" t="n"/>
      <c r="G45" s="148" t="inlineStr">
        <is>
          <t>Value of total gross production in £</t>
        </is>
      </c>
      <c r="H45" s="148" t="inlineStr">
        <is>
          <t>Value of total net production in £</t>
        </is>
      </c>
    </row>
    <row r="46">
      <c r="A46" t="inlineStr">
        <is>
          <t>Net wheat</t>
        </is>
      </c>
      <c r="B46" s="133">
        <f>'Issues of the Grange'!J19</f>
        <v/>
      </c>
      <c r="C46" s="15" t="n"/>
      <c r="D46" s="15" t="n"/>
      <c r="E46" s="15" t="n"/>
      <c r="F46" s="15" t="n"/>
      <c r="G46" s="26">
        <f>'Issues of the Grange'!P5</f>
        <v/>
      </c>
      <c r="H46" s="133">
        <f>'Issues of the Grange'!M19</f>
        <v/>
      </c>
    </row>
    <row r="47">
      <c r="A47" t="inlineStr">
        <is>
          <t>Net bere</t>
        </is>
      </c>
      <c r="B47" s="133">
        <f>'Issues of the Grange'!J20</f>
        <v/>
      </c>
      <c r="C47" s="15" t="n"/>
      <c r="D47" s="15" t="n"/>
      <c r="E47" s="15" t="n"/>
      <c r="F47" s="15" t="n"/>
      <c r="G47" s="26">
        <f>'Issues of the Grange'!P6</f>
        <v/>
      </c>
      <c r="H47" s="133">
        <f>'Issues of the Grange'!M20</f>
        <v/>
      </c>
    </row>
    <row r="48">
      <c r="A48" t="inlineStr">
        <is>
          <t>Net curall</t>
        </is>
      </c>
      <c r="B48" s="133">
        <f>'Issues of the Grange'!J21</f>
        <v/>
      </c>
      <c r="C48" s="15" t="n"/>
      <c r="D48" s="15" t="n"/>
      <c r="E48" s="15" t="n"/>
      <c r="F48" s="15" t="n"/>
      <c r="G48" s="26">
        <f>'Issues of the Grange'!P7</f>
        <v/>
      </c>
      <c r="H48" s="133">
        <f>'Issues of the Grange'!M21</f>
        <v/>
      </c>
    </row>
    <row r="49">
      <c r="A49" t="inlineStr">
        <is>
          <t>Net barley</t>
        </is>
      </c>
      <c r="B49" s="133">
        <f>'Issues of the Grange'!J22</f>
        <v/>
      </c>
      <c r="C49" s="15" t="n"/>
      <c r="D49" s="15" t="n"/>
      <c r="E49" s="15" t="n"/>
      <c r="F49" s="15" t="n"/>
      <c r="G49" s="26">
        <f>'Issues of the Grange'!P8</f>
        <v/>
      </c>
      <c r="H49" s="133">
        <f>'Issues of the Grange'!M22</f>
        <v/>
      </c>
    </row>
    <row r="50">
      <c r="A50" t="inlineStr">
        <is>
          <t>Net oats</t>
        </is>
      </c>
      <c r="B50" s="133">
        <f>'Issues of the Grange'!J23</f>
        <v/>
      </c>
      <c r="C50" s="15" t="n"/>
      <c r="D50" s="15" t="n"/>
      <c r="E50" s="15" t="n"/>
      <c r="F50" s="15" t="n"/>
      <c r="G50" s="26">
        <f>'Issues of the Grange'!P9</f>
        <v/>
      </c>
      <c r="H50" s="133">
        <f>'Issues of the Grange'!M23</f>
        <v/>
      </c>
    </row>
    <row r="51">
      <c r="A51" t="inlineStr">
        <is>
          <t>Net peas</t>
        </is>
      </c>
      <c r="B51" s="133">
        <f>'Issues of the Grange'!J24</f>
        <v/>
      </c>
      <c r="C51" s="15" t="n"/>
      <c r="D51" s="15" t="n"/>
      <c r="E51" s="15" t="n"/>
      <c r="F51" s="15" t="n"/>
      <c r="G51" s="26">
        <f>'Issues of the Grange'!P10</f>
        <v/>
      </c>
      <c r="H51" s="133">
        <f>'Issues of the Grange'!M24</f>
        <v/>
      </c>
    </row>
    <row r="52">
      <c r="A52" t="inlineStr">
        <is>
          <t>Net vetches</t>
        </is>
      </c>
      <c r="B52" s="133">
        <f>'Issues of the Grange'!J25</f>
        <v/>
      </c>
      <c r="C52" s="15" t="n"/>
      <c r="D52" s="15" t="n"/>
      <c r="E52" s="15" t="n"/>
      <c r="F52" s="15" t="n"/>
      <c r="G52" s="26">
        <f>'Issues of the Grange'!P11</f>
        <v/>
      </c>
      <c r="H52" s="133">
        <f>'Issues of the Grange'!M25</f>
        <v/>
      </c>
    </row>
    <row r="53">
      <c r="A53" s="17" t="inlineStr">
        <is>
          <t>Total value of gross production (sum of the above)</t>
        </is>
      </c>
      <c r="B53" s="134" t="n"/>
      <c r="C53" s="134" t="n"/>
      <c r="D53" s="134" t="n"/>
      <c r="E53" s="134" t="n"/>
      <c r="F53" s="134" t="n"/>
      <c r="G53" s="55">
        <f>SUM(G46:G52)</f>
        <v/>
      </c>
      <c r="H53" s="135" t="n"/>
    </row>
    <row r="54">
      <c r="A54" s="17" t="inlineStr">
        <is>
          <t>Total value of net production</t>
        </is>
      </c>
      <c r="B54" s="134" t="n"/>
      <c r="C54" s="134" t="n"/>
      <c r="D54" s="134" t="n"/>
      <c r="E54" s="134" t="n"/>
      <c r="F54" s="134" t="n"/>
      <c r="G54" s="55">
        <f>SUM(H46:H52)</f>
        <v/>
      </c>
      <c r="H54" s="135" t="n"/>
    </row>
    <row r="55">
      <c r="A55" s="17" t="inlineStr">
        <is>
          <t>Value of sales</t>
        </is>
      </c>
      <c r="B55" s="134" t="n"/>
      <c r="C55" s="134" t="n"/>
      <c r="D55" s="134" t="n"/>
      <c r="E55" s="134" t="n"/>
      <c r="F55" s="134" t="n"/>
      <c r="G55" s="140">
        <f>'Issues of the Grange'!N26</f>
        <v/>
      </c>
      <c r="H55" s="94" t="n"/>
    </row>
    <row r="56">
      <c r="A56" s="15" t="n"/>
      <c r="B56" s="15" t="n"/>
      <c r="C56" s="15" t="n"/>
      <c r="D56" s="15" t="n"/>
      <c r="E56" s="15" t="n"/>
      <c r="F56" s="15" t="n"/>
      <c r="G56" s="133" t="n"/>
      <c r="H56" s="10" t="n"/>
    </row>
    <row r="57">
      <c r="A57" s="16" t="inlineStr">
        <is>
          <t>MILL ACCOUNT</t>
        </is>
      </c>
      <c r="B57" s="134" t="inlineStr">
        <is>
          <t>n/a</t>
        </is>
      </c>
      <c r="C57" s="134" t="n"/>
      <c r="D57" s="134" t="n"/>
      <c r="E57" s="134" t="n"/>
      <c r="F57" s="134" t="n"/>
      <c r="G57" s="140" t="n"/>
      <c r="H57" s="10" t="n"/>
    </row>
    <row r="58">
      <c r="A58" s="8" t="inlineStr">
        <is>
          <t>Issues of the mill</t>
        </is>
      </c>
      <c r="B58" s="146" t="inlineStr">
        <is>
          <t>qrs</t>
        </is>
      </c>
      <c r="C58" s="147" t="inlineStr">
        <is>
          <t>bus</t>
        </is>
      </c>
      <c r="D58" s="15" t="n"/>
      <c r="E58" s="15" t="n"/>
      <c r="F58" s="15" t="n"/>
      <c r="G58" s="77" t="inlineStr">
        <is>
          <t>£</t>
        </is>
      </c>
      <c r="H58" s="10" t="n"/>
    </row>
    <row r="59">
      <c r="A59" s="15" t="inlineStr">
        <is>
          <t>Wheat</t>
        </is>
      </c>
      <c r="B59" s="15" t="n"/>
      <c r="C59" s="15" t="n"/>
      <c r="D59" s="15" t="n"/>
      <c r="E59" s="15" t="n"/>
      <c r="F59" s="15" t="n"/>
      <c r="G59" s="133" t="n"/>
      <c r="H59" s="10" t="n"/>
    </row>
    <row r="60">
      <c r="A60" s="15" t="inlineStr">
        <is>
          <t>Oatmeal</t>
        </is>
      </c>
      <c r="B60" s="15" t="n"/>
      <c r="C60" s="15" t="n"/>
      <c r="D60" s="15" t="n"/>
      <c r="E60" s="15" t="n"/>
      <c r="F60" s="15" t="n"/>
      <c r="G60" s="133" t="n"/>
      <c r="H60" s="10" t="n"/>
    </row>
    <row r="61">
      <c r="A61" s="15" t="inlineStr">
        <is>
          <t>1st grade malt</t>
        </is>
      </c>
      <c r="B61" s="15" t="n"/>
      <c r="C61" s="15" t="n"/>
      <c r="D61" s="15" t="n"/>
      <c r="E61" s="15" t="n"/>
      <c r="F61" s="15" t="n"/>
      <c r="G61" s="133" t="n"/>
      <c r="H61" s="10" t="n"/>
    </row>
    <row r="62">
      <c r="A62" s="15" t="inlineStr">
        <is>
          <t>2nd grade malt</t>
        </is>
      </c>
      <c r="B62" s="15" t="n"/>
      <c r="C62" s="15" t="n"/>
      <c r="D62" s="15" t="n"/>
      <c r="E62" s="15" t="n"/>
      <c r="F62" s="15" t="n"/>
      <c r="G62" s="133" t="n"/>
      <c r="H62" s="10" t="n"/>
    </row>
    <row r="63">
      <c r="A63" s="15" t="inlineStr">
        <is>
          <t>Maslin</t>
        </is>
      </c>
      <c r="B63" s="15" t="n"/>
      <c r="C63" s="15" t="n"/>
      <c r="D63" s="15" t="n"/>
      <c r="E63" s="15" t="n"/>
      <c r="F63" s="15" t="n"/>
      <c r="G63" s="133" t="n"/>
      <c r="H63" s="10" t="n"/>
    </row>
    <row r="64">
      <c r="A64" s="17" t="inlineStr">
        <is>
          <t>Total value of production (sum of the above)</t>
        </is>
      </c>
      <c r="B64" s="134" t="n"/>
      <c r="C64" s="134" t="n"/>
      <c r="D64" s="134" t="n"/>
      <c r="E64" s="134" t="n"/>
      <c r="F64" s="134" t="n"/>
      <c r="G64" s="136" t="n"/>
      <c r="H64" s="10" t="n"/>
    </row>
    <row r="65">
      <c r="A65" s="17" t="inlineStr">
        <is>
          <t>Value of sales</t>
        </is>
      </c>
      <c r="B65" s="134" t="n"/>
      <c r="C65" s="134" t="n"/>
      <c r="D65" s="134" t="n"/>
      <c r="E65" s="134" t="n"/>
      <c r="F65" s="134" t="n"/>
      <c r="G65" s="136" t="inlineStr">
        <is>
          <t>n/a</t>
        </is>
      </c>
      <c r="H65" s="10" t="n"/>
    </row>
    <row r="66">
      <c r="A66" s="15" t="n"/>
      <c r="B66" s="15" t="n"/>
      <c r="C66" s="15" t="n"/>
      <c r="D66" s="15" t="n"/>
      <c r="E66" s="15" t="n"/>
      <c r="F66" s="15" t="n"/>
      <c r="G66" s="133" t="n"/>
      <c r="H66" s="10" t="n"/>
    </row>
    <row r="67">
      <c r="A67" s="16" t="inlineStr">
        <is>
          <t>STOCK ACCOUNT</t>
        </is>
      </c>
      <c r="B67" s="134" t="n"/>
      <c r="C67" s="134" t="n"/>
      <c r="D67" s="134" t="n"/>
      <c r="E67" s="134" t="n"/>
      <c r="F67" s="134" t="n"/>
      <c r="G67" s="140" t="n"/>
      <c r="H67" s="10" t="n"/>
    </row>
    <row r="68" ht="33.95" customHeight="1">
      <c r="A68" s="21" t="inlineStr">
        <is>
          <t>Livestock</t>
        </is>
      </c>
      <c r="B68" s="149" t="inlineStr">
        <is>
          <t>Inherited stock</t>
        </is>
      </c>
      <c r="C68" s="149" t="inlineStr">
        <is>
          <t>End-period  stock</t>
        </is>
      </c>
      <c r="D68" s="150" t="inlineStr">
        <is>
          <t>Stockbuilding</t>
        </is>
      </c>
      <c r="E68" s="137" t="n"/>
      <c r="F68" s="151" t="inlineStr">
        <is>
          <t>Sales in (£)</t>
        </is>
      </c>
      <c r="G68" s="151" t="inlineStr">
        <is>
          <t>Value of production (£) at sales prices</t>
        </is>
      </c>
      <c r="H68" s="10" t="n"/>
    </row>
    <row r="69" ht="17.1" customHeight="1">
      <c r="A69" s="22" t="inlineStr">
        <is>
          <t>Cart-horses</t>
        </is>
      </c>
      <c r="B69" s="15">
        <f>IFERROR(INDEX(Stock!$A$3:$U$91,MATCH('Highclere Overview'!$A69,Stock!$A$3:$A$91,0),MATCH('Highclere Overview'!B$68,Stock!$A$3:$U$3,0)),0)</f>
        <v/>
      </c>
      <c r="C69" s="15">
        <f>IFERROR(INDEX(Stock!$A$3:$U$91,MATCH('Highclere Overview'!$A69,Stock!$A$3:$A$91,0),MATCH('Highclere Overview'!C$68,Stock!$A$3:$U$3,0)),0)</f>
        <v/>
      </c>
      <c r="D69" s="15">
        <f>C69-B69</f>
        <v/>
      </c>
      <c r="E69" s="133" t="n"/>
      <c r="F69" s="15">
        <f>IFERROR(INDEX(Stock!$A$3:$U$91,MATCH('Highclere Overview'!$A69,Stock!$A$3:$A$91,0),MATCH('Highclere Overview'!F$68,Stock!$A$3:$U$3,0)),0)</f>
        <v/>
      </c>
      <c r="G69" s="133">
        <f>IFERROR(INDEX(Stock!$A$3:$U$91,MATCH('Highclere Overview'!$A69,Stock!$A$3:$A$91,0),MATCH('Highclere Overview'!G$68,Stock!$A$3:$U$3,0)),0)</f>
        <v/>
      </c>
      <c r="H69" s="10" t="n"/>
    </row>
    <row r="70" ht="17.1" customHeight="1">
      <c r="A70" s="22" t="inlineStr">
        <is>
          <t>Mares</t>
        </is>
      </c>
      <c r="B70" s="15">
        <f>IFERROR(INDEX(Stock!$A$3:$U$91,MATCH('Highclere Overview'!$A70,Stock!$A$3:$A$91,0),MATCH('Highclere Overview'!B$68,Stock!$A$3:$U$3,0)),0)</f>
        <v/>
      </c>
      <c r="C70" s="15">
        <f>IFERROR(INDEX(Stock!$A$3:$U$91,MATCH('Highclere Overview'!$A70,Stock!$A$3:$A$91,0),MATCH('Highclere Overview'!C$68,Stock!$A$3:$U$3,0)),0)</f>
        <v/>
      </c>
      <c r="D70" s="15">
        <f>C70-B70</f>
        <v/>
      </c>
      <c r="E70" s="133" t="n"/>
      <c r="F70" s="15">
        <f>IFERROR(INDEX(Stock!$A$3:$U$91,MATCH('Highclere Overview'!$A70,Stock!$A$3:$A$91,0),MATCH('Highclere Overview'!F$68,Stock!$A$3:$U$3,0)),0)</f>
        <v/>
      </c>
      <c r="G70" s="133">
        <f>IFERROR(INDEX(Stock!$A$3:$U$91,MATCH('Highclere Overview'!$A70,Stock!$A$3:$A$91,0),MATCH('Highclere Overview'!G$68,Stock!$A$3:$U$3,0)),0)</f>
        <v/>
      </c>
      <c r="H70" s="10" t="n"/>
    </row>
    <row r="71">
      <c r="A71" s="15" t="inlineStr">
        <is>
          <t>Plough horses</t>
        </is>
      </c>
      <c r="B71" s="15">
        <f>IFERROR(INDEX(Stock!$A$3:$U$91,MATCH('Highclere Overview'!$A71,Stock!$A$3:$A$91,0),MATCH('Highclere Overview'!B$68,Stock!$A$3:$U$3,0)),0)</f>
        <v/>
      </c>
      <c r="C71" s="15">
        <f>IFERROR(INDEX(Stock!$A$3:$U$91,MATCH('Highclere Overview'!$A71,Stock!$A$3:$A$91,0),MATCH('Highclere Overview'!C$68,Stock!$A$3:$U$3,0)),0)</f>
        <v/>
      </c>
      <c r="D71" s="15">
        <f>C71-B71</f>
        <v/>
      </c>
      <c r="E71" s="133" t="n"/>
      <c r="F71" s="15">
        <f>IFERROR(INDEX(Stock!$A$3:$U$91,MATCH('Highclere Overview'!$A71,Stock!$A$3:$A$91,0),MATCH('Highclere Overview'!F$68,Stock!$A$3:$U$3,0)),0)</f>
        <v/>
      </c>
      <c r="G71" s="133">
        <f>IFERROR(INDEX(Stock!$A$3:$U$91,MATCH('Highclere Overview'!$A71,Stock!$A$3:$A$91,0),MATCH('Highclere Overview'!G$68,Stock!$A$3:$U$3,0)),0)</f>
        <v/>
      </c>
      <c r="H71" s="10" t="n"/>
    </row>
    <row r="72">
      <c r="A72" s="15" t="inlineStr">
        <is>
          <t>Colts (2 years)</t>
        </is>
      </c>
      <c r="B72" s="15">
        <f>IFERROR(INDEX(Stock!$A$3:$U$91,MATCH('Highclere Overview'!$A72,Stock!$A$3:$A$91,0),MATCH('Highclere Overview'!B$68,Stock!$A$3:$U$3,0)),0)</f>
        <v/>
      </c>
      <c r="C72" s="15">
        <f>IFERROR(INDEX(Stock!$A$3:$U$91,MATCH('Highclere Overview'!$A72,Stock!$A$3:$A$91,0),MATCH('Highclere Overview'!C$68,Stock!$A$3:$U$3,0)),0)</f>
        <v/>
      </c>
      <c r="D72" s="15">
        <f>C72-B72</f>
        <v/>
      </c>
      <c r="E72" s="133" t="n"/>
      <c r="F72" s="15">
        <f>IFERROR(INDEX(Stock!$A$3:$U$91,MATCH('Highclere Overview'!$A72,Stock!$A$3:$A$91,0),MATCH('Highclere Overview'!F$68,Stock!$A$3:$U$3,0)),0)</f>
        <v/>
      </c>
      <c r="G72" s="133">
        <f>IFERROR(INDEX(Stock!$A$3:$U$91,MATCH('Highclere Overview'!$A72,Stock!$A$3:$A$91,0),MATCH('Highclere Overview'!G$68,Stock!$A$3:$U$3,0)),0)</f>
        <v/>
      </c>
      <c r="H72" s="10" t="n"/>
    </row>
    <row r="73">
      <c r="A73" s="15" t="inlineStr">
        <is>
          <t>Colts (2 years)</t>
        </is>
      </c>
      <c r="B73" s="15">
        <f>IFERROR(INDEX(Stock!$A$3:$U$91,MATCH('Highclere Overview'!$A73,Stock!$A$3:$A$91,0),MATCH('Highclere Overview'!B$68,Stock!$A$3:$U$3,0)),0)</f>
        <v/>
      </c>
      <c r="C73" s="15">
        <f>IFERROR(INDEX(Stock!$A$3:$U$91,MATCH('Highclere Overview'!$A73,Stock!$A$3:$A$91,0),MATCH('Highclere Overview'!C$68,Stock!$A$3:$U$3,0)),0)</f>
        <v/>
      </c>
      <c r="D73" s="15">
        <f>C73-B73</f>
        <v/>
      </c>
      <c r="E73" s="133" t="n"/>
      <c r="F73" s="15">
        <f>IFERROR(INDEX(Stock!$A$3:$U$91,MATCH('Highclere Overview'!$A73,Stock!$A$3:$A$91,0),MATCH('Highclere Overview'!F$68,Stock!$A$3:$U$3,0)),0)</f>
        <v/>
      </c>
      <c r="G73" s="133">
        <f>IFERROR(INDEX(Stock!$A$3:$U$91,MATCH('Highclere Overview'!$A73,Stock!$A$3:$A$91,0),MATCH('Highclere Overview'!G$68,Stock!$A$3:$U$3,0)),0)</f>
        <v/>
      </c>
      <c r="H73" s="10" t="n"/>
    </row>
    <row r="74">
      <c r="A74" s="15" t="inlineStr">
        <is>
          <t>Colts (1 year)</t>
        </is>
      </c>
      <c r="B74" s="15">
        <f>IFERROR(INDEX(Stock!$A$3:$U$91,MATCH('Highclere Overview'!$A74,Stock!$A$3:$A$91,0),MATCH('Highclere Overview'!B$68,Stock!$A$3:$U$3,0)),0)</f>
        <v/>
      </c>
      <c r="C74" s="15">
        <f>IFERROR(INDEX(Stock!$A$3:$U$91,MATCH('Highclere Overview'!$A74,Stock!$A$3:$A$91,0),MATCH('Highclere Overview'!C$68,Stock!$A$3:$U$3,0)),0)</f>
        <v/>
      </c>
      <c r="D74" s="15">
        <f>C74-B74</f>
        <v/>
      </c>
      <c r="E74" s="133" t="n"/>
      <c r="F74" s="15">
        <f>IFERROR(INDEX(Stock!$A$3:$U$91,MATCH('Highclere Overview'!$A74,Stock!$A$3:$A$91,0),MATCH('Highclere Overview'!F$68,Stock!$A$3:$U$3,0)),0)</f>
        <v/>
      </c>
      <c r="G74" s="133">
        <f>IFERROR(INDEX(Stock!$A$3:$U$91,MATCH('Highclere Overview'!$A74,Stock!$A$3:$A$91,0),MATCH('Highclere Overview'!G$68,Stock!$A$3:$U$3,0)),0)</f>
        <v/>
      </c>
      <c r="H74" s="10" t="n"/>
    </row>
    <row r="75">
      <c r="A75" s="15" t="inlineStr">
        <is>
          <t>Foals</t>
        </is>
      </c>
      <c r="B75" s="15">
        <f>IFERROR(INDEX(Stock!$A$3:$U$91,MATCH('Highclere Overview'!$A75,Stock!$A$3:$A$91,0),MATCH('Highclere Overview'!B$68,Stock!$A$3:$U$3,0)),0)</f>
        <v/>
      </c>
      <c r="C75" s="15">
        <f>IFERROR(INDEX(Stock!$A$3:$U$91,MATCH('Highclere Overview'!$A75,Stock!$A$3:$A$91,0),MATCH('Highclere Overview'!C$68,Stock!$A$3:$U$3,0)),0)</f>
        <v/>
      </c>
      <c r="D75" s="15">
        <f>C75-B75</f>
        <v/>
      </c>
      <c r="E75" s="133" t="n"/>
      <c r="F75" s="15">
        <f>IFERROR(INDEX(Stock!$A$3:$U$91,MATCH('Highclere Overview'!$A75,Stock!$A$3:$A$91,0),MATCH('Highclere Overview'!F$68,Stock!$A$3:$U$3,0)),0)</f>
        <v/>
      </c>
      <c r="G75" s="133">
        <f>IFERROR(INDEX(Stock!$A$3:$U$91,MATCH('Highclere Overview'!$A75,Stock!$A$3:$A$91,0),MATCH('Highclere Overview'!G$68,Stock!$A$3:$U$3,0)),0)</f>
        <v/>
      </c>
      <c r="H75" s="10" t="n"/>
    </row>
    <row r="76">
      <c r="A76" s="15" t="inlineStr">
        <is>
          <t>Oxen</t>
        </is>
      </c>
      <c r="B76" s="15">
        <f>IFERROR(INDEX(Stock!$A$3:$U$91,MATCH('Highclere Overview'!$A76,Stock!$A$3:$A$91,0),MATCH('Highclere Overview'!B$68,Stock!$A$3:$U$3,0)),0)</f>
        <v/>
      </c>
      <c r="C76" s="15">
        <f>IFERROR(INDEX(Stock!$A$3:$U$91,MATCH('Highclere Overview'!$A76,Stock!$A$3:$A$91,0),MATCH('Highclere Overview'!C$68,Stock!$A$3:$U$3,0)),0)</f>
        <v/>
      </c>
      <c r="D76" s="15">
        <f>C76-B76</f>
        <v/>
      </c>
      <c r="E76" s="133" t="n"/>
      <c r="F76" s="15">
        <f>IFERROR(INDEX(Stock!$A$3:$U$91,MATCH('Highclere Overview'!$A76,Stock!$A$3:$A$91,0),MATCH('Highclere Overview'!F$68,Stock!$A$3:$U$3,0)),0)</f>
        <v/>
      </c>
      <c r="G76" s="133">
        <f>IFERROR(INDEX(Stock!$A$3:$U$91,MATCH('Highclere Overview'!$A76,Stock!$A$3:$A$91,0),MATCH('Highclere Overview'!G$68,Stock!$A$3:$U$3,0)),0)</f>
        <v/>
      </c>
      <c r="H76" s="10" t="n"/>
    </row>
    <row r="77">
      <c r="A77" s="15" t="inlineStr">
        <is>
          <t>Bulls</t>
        </is>
      </c>
      <c r="B77" s="15">
        <f>IFERROR(INDEX(Stock!$A$3:$U$91,MATCH('Highclere Overview'!$A77,Stock!$A$3:$A$91,0),MATCH('Highclere Overview'!B$68,Stock!$A$3:$U$3,0)),0)</f>
        <v/>
      </c>
      <c r="C77" s="15">
        <f>IFERROR(INDEX(Stock!$A$3:$U$91,MATCH('Highclere Overview'!$A77,Stock!$A$3:$A$91,0),MATCH('Highclere Overview'!C$68,Stock!$A$3:$U$3,0)),0)</f>
        <v/>
      </c>
      <c r="D77" s="15">
        <f>C77-B77</f>
        <v/>
      </c>
      <c r="E77" s="133" t="n"/>
      <c r="F77" s="15">
        <f>IFERROR(INDEX(Stock!$A$3:$U$91,MATCH('Highclere Overview'!$A77,Stock!$A$3:$A$91,0),MATCH('Highclere Overview'!F$68,Stock!$A$3:$U$3,0)),0)</f>
        <v/>
      </c>
      <c r="G77" s="133">
        <f>IFERROR(INDEX(Stock!$A$3:$U$91,MATCH('Highclere Overview'!$A77,Stock!$A$3:$A$91,0),MATCH('Highclere Overview'!G$68,Stock!$A$3:$U$3,0)),0)</f>
        <v/>
      </c>
      <c r="H77" s="10" t="n"/>
    </row>
    <row r="78">
      <c r="A78" s="15" t="inlineStr">
        <is>
          <t>Cows</t>
        </is>
      </c>
      <c r="B78" s="15">
        <f>IFERROR(INDEX(Stock!$A$3:$U$91,MATCH('Highclere Overview'!$A78,Stock!$A$3:$A$91,0),MATCH('Highclere Overview'!B$68,Stock!$A$3:$U$3,0)),0)</f>
        <v/>
      </c>
      <c r="C78" s="15">
        <f>IFERROR(INDEX(Stock!$A$3:$U$91,MATCH('Highclere Overview'!$A78,Stock!$A$3:$A$91,0),MATCH('Highclere Overview'!C$68,Stock!$A$3:$U$3,0)),0)</f>
        <v/>
      </c>
      <c r="D78" s="15">
        <f>C78-B78</f>
        <v/>
      </c>
      <c r="E78" s="133" t="n"/>
      <c r="F78" s="15">
        <f>IFERROR(INDEX(Stock!$A$3:$U$91,MATCH('Highclere Overview'!$A78,Stock!$A$3:$A$91,0),MATCH('Highclere Overview'!F$68,Stock!$A$3:$U$3,0)),0)</f>
        <v/>
      </c>
      <c r="G78" s="133">
        <f>IFERROR(INDEX(Stock!$A$3:$U$91,MATCH('Highclere Overview'!$A78,Stock!$A$3:$A$91,0),MATCH('Highclere Overview'!G$68,Stock!$A$3:$U$3,0)),0)</f>
        <v/>
      </c>
      <c r="H78" s="10" t="n"/>
    </row>
    <row r="79">
      <c r="A79" s="15" t="inlineStr">
        <is>
          <t>Steers</t>
        </is>
      </c>
      <c r="B79" s="15">
        <f>IFERROR(INDEX(Stock!$A$3:$U$91,MATCH('Highclere Overview'!$A79,Stock!$A$3:$A$91,0),MATCH('Highclere Overview'!B$68,Stock!$A$3:$U$3,0)),0)</f>
        <v/>
      </c>
      <c r="C79" s="15">
        <f>IFERROR(INDEX(Stock!$A$3:$U$91,MATCH('Highclere Overview'!$A79,Stock!$A$3:$A$91,0),MATCH('Highclere Overview'!C$68,Stock!$A$3:$U$3,0)),0)</f>
        <v/>
      </c>
      <c r="D79" s="15">
        <f>C79-B79</f>
        <v/>
      </c>
      <c r="E79" s="133" t="n"/>
      <c r="F79" s="15">
        <f>IFERROR(INDEX(Stock!$A$3:$U$91,MATCH('Highclere Overview'!$A79,Stock!$A$3:$A$91,0),MATCH('Highclere Overview'!F$68,Stock!$A$3:$U$3,0)),0)</f>
        <v/>
      </c>
      <c r="G79" s="133">
        <f>IFERROR(INDEX(Stock!$A$3:$U$91,MATCH('Highclere Overview'!$A79,Stock!$A$3:$A$91,0),MATCH('Highclere Overview'!G$68,Stock!$A$3:$U$3,0)),0)</f>
        <v/>
      </c>
      <c r="H79" s="10" t="n"/>
    </row>
    <row r="80">
      <c r="A80" s="15" t="inlineStr">
        <is>
          <t>Bullocks</t>
        </is>
      </c>
      <c r="B80" s="15">
        <f>IFERROR(INDEX(Stock!$A$3:$U$91,MATCH('Highclere Overview'!$A80,Stock!$A$3:$A$91,0),MATCH('Highclere Overview'!B$68,Stock!$A$3:$U$3,0)),0)</f>
        <v/>
      </c>
      <c r="C80" s="15">
        <f>IFERROR(INDEX(Stock!$A$3:$U$91,MATCH('Highclere Overview'!$A80,Stock!$A$3:$A$91,0),MATCH('Highclere Overview'!C$68,Stock!$A$3:$U$3,0)),0)</f>
        <v/>
      </c>
      <c r="D80" s="15">
        <f>C80-B80</f>
        <v/>
      </c>
      <c r="E80" s="133" t="n"/>
      <c r="F80" s="15">
        <f>IFERROR(INDEX(Stock!$A$3:$U$91,MATCH('Highclere Overview'!$A80,Stock!$A$3:$A$91,0),MATCH('Highclere Overview'!F$68,Stock!$A$3:$U$3,0)),0)</f>
        <v/>
      </c>
      <c r="G80" s="133">
        <f>IFERROR(INDEX(Stock!$A$3:$U$91,MATCH('Highclere Overview'!$A80,Stock!$A$3:$A$91,0),MATCH('Highclere Overview'!G$68,Stock!$A$3:$U$3,0)),0)</f>
        <v/>
      </c>
      <c r="H80" s="10" t="n"/>
    </row>
    <row r="81">
      <c r="A81" s="15" t="inlineStr">
        <is>
          <t>Yearlings</t>
        </is>
      </c>
      <c r="B81" s="15">
        <f>IFERROR(INDEX(Stock!$A$3:$U$91,MATCH('Highclere Overview'!$A81,Stock!$A$3:$A$91,0),MATCH('Highclere Overview'!B$68,Stock!$A$3:$U$3,0)),0)</f>
        <v/>
      </c>
      <c r="C81" s="15">
        <f>IFERROR(INDEX(Stock!$A$3:$U$91,MATCH('Highclere Overview'!$A81,Stock!$A$3:$A$91,0),MATCH('Highclere Overview'!C$68,Stock!$A$3:$U$3,0)),0)</f>
        <v/>
      </c>
      <c r="D81" s="15">
        <f>C81-B81</f>
        <v/>
      </c>
      <c r="E81" s="133" t="n"/>
      <c r="F81" s="15">
        <f>IFERROR(INDEX(Stock!$A$3:$U$91,MATCH('Highclere Overview'!$A81,Stock!$A$3:$A$91,0),MATCH('Highclere Overview'!F$68,Stock!$A$3:$U$3,0)),0)</f>
        <v/>
      </c>
      <c r="G81" s="133">
        <f>IFERROR(INDEX(Stock!$A$3:$U$91,MATCH('Highclere Overview'!$A81,Stock!$A$3:$A$91,0),MATCH('Highclere Overview'!G$68,Stock!$A$3:$U$3,0)),0)</f>
        <v/>
      </c>
      <c r="H81" s="10" t="n"/>
    </row>
    <row r="82">
      <c r="A82" s="15" t="inlineStr">
        <is>
          <t>Calves</t>
        </is>
      </c>
      <c r="B82" s="15">
        <f>IFERROR(INDEX(Stock!$A$3:$U$91,MATCH('Highclere Overview'!$A82,Stock!$A$3:$A$91,0),MATCH('Highclere Overview'!B$68,Stock!$A$3:$U$3,0)),0)</f>
        <v/>
      </c>
      <c r="C82" s="15">
        <f>IFERROR(INDEX(Stock!$A$3:$U$91,MATCH('Highclere Overview'!$A82,Stock!$A$3:$A$91,0),MATCH('Highclere Overview'!C$68,Stock!$A$3:$U$3,0)),0)</f>
        <v/>
      </c>
      <c r="D82" s="15">
        <f>C82-B82</f>
        <v/>
      </c>
      <c r="E82" s="133" t="n"/>
      <c r="F82" s="15">
        <f>IFERROR(INDEX(Stock!$A$3:$U$91,MATCH('Highclere Overview'!$A82,Stock!$A$3:$A$91,0),MATCH('Highclere Overview'!F$68,Stock!$A$3:$U$3,0)),0)</f>
        <v/>
      </c>
      <c r="G82" s="133">
        <f>IFERROR(INDEX(Stock!$A$3:$U$91,MATCH('Highclere Overview'!$A82,Stock!$A$3:$A$91,0),MATCH('Highclere Overview'!G$68,Stock!$A$3:$U$3,0)),0)</f>
        <v/>
      </c>
      <c r="H82" s="10" t="n"/>
    </row>
    <row r="83">
      <c r="A83" s="15" t="inlineStr">
        <is>
          <t>Wethers</t>
        </is>
      </c>
      <c r="B83" s="15">
        <f>IFERROR(INDEX(Stock!$A$3:$U$91,MATCH('Highclere Overview'!$A83,Stock!$A$3:$A$91,0),MATCH('Highclere Overview'!B$68,Stock!$A$3:$U$3,0)),0)</f>
        <v/>
      </c>
      <c r="C83" s="15">
        <f>IFERROR(INDEX(Stock!$A$3:$U$91,MATCH('Highclere Overview'!$A83,Stock!$A$3:$A$91,0),MATCH('Highclere Overview'!C$68,Stock!$A$3:$U$3,0)),0)</f>
        <v/>
      </c>
      <c r="D83" s="15">
        <f>C83-B83</f>
        <v/>
      </c>
      <c r="E83" s="133" t="n"/>
      <c r="F83" s="15">
        <f>IFERROR(INDEX(Stock!$A$3:$U$91,MATCH('Highclere Overview'!$A83,Stock!$A$3:$A$91,0),MATCH('Highclere Overview'!F$68,Stock!$A$3:$U$3,0)),0)</f>
        <v/>
      </c>
      <c r="G83" s="133">
        <f>IFERROR(INDEX(Stock!$A$3:$U$91,MATCH('Highclere Overview'!$A83,Stock!$A$3:$A$91,0),MATCH('Highclere Overview'!G$68,Stock!$A$3:$U$3,0)),0)</f>
        <v/>
      </c>
      <c r="H83" s="10" t="n"/>
    </row>
    <row r="84">
      <c r="A84" s="15" t="inlineStr">
        <is>
          <t>Rams</t>
        </is>
      </c>
      <c r="B84" s="15">
        <f>IFERROR(INDEX(Stock!$A$3:$U$91,MATCH('Highclere Overview'!$A84,Stock!$A$3:$A$91,0),MATCH('Highclere Overview'!B$68,Stock!$A$3:$U$3,0)),0)</f>
        <v/>
      </c>
      <c r="C84" s="15">
        <f>IFERROR(INDEX(Stock!$A$3:$U$91,MATCH('Highclere Overview'!$A84,Stock!$A$3:$A$91,0),MATCH('Highclere Overview'!C$68,Stock!$A$3:$U$3,0)),0)</f>
        <v/>
      </c>
      <c r="D84" s="15">
        <f>C84-B84</f>
        <v/>
      </c>
      <c r="E84" s="133" t="n"/>
      <c r="F84" s="15">
        <f>IFERROR(INDEX(Stock!$A$3:$U$91,MATCH('Highclere Overview'!$A84,Stock!$A$3:$A$91,0),MATCH('Highclere Overview'!F$68,Stock!$A$3:$U$3,0)),0)</f>
        <v/>
      </c>
      <c r="G84" s="133">
        <f>IFERROR(INDEX(Stock!$A$3:$U$91,MATCH('Highclere Overview'!$A84,Stock!$A$3:$A$91,0),MATCH('Highclere Overview'!G$68,Stock!$A$3:$U$3,0)),0)</f>
        <v/>
      </c>
      <c r="H84" s="10" t="n"/>
    </row>
    <row r="85">
      <c r="A85" s="15" t="inlineStr">
        <is>
          <t>Ewes</t>
        </is>
      </c>
      <c r="B85" s="15">
        <f>IFERROR(INDEX(Stock!$A$3:$U$91,MATCH('Highclere Overview'!$A85,Stock!$A$3:$A$91,0),MATCH('Highclere Overview'!B$68,Stock!$A$3:$U$3,0)),0)</f>
        <v/>
      </c>
      <c r="C85" s="15">
        <f>IFERROR(INDEX(Stock!$A$3:$U$91,MATCH('Highclere Overview'!$A85,Stock!$A$3:$A$91,0),MATCH('Highclere Overview'!C$68,Stock!$A$3:$U$3,0)),0)</f>
        <v/>
      </c>
      <c r="D85" s="15">
        <f>C85-B85</f>
        <v/>
      </c>
      <c r="E85" s="133" t="n"/>
      <c r="F85" s="15">
        <f>IFERROR(INDEX(Stock!$A$3:$U$91,MATCH('Highclere Overview'!$A85,Stock!$A$3:$A$91,0),MATCH('Highclere Overview'!F$68,Stock!$A$3:$U$3,0)),0)</f>
        <v/>
      </c>
      <c r="G85" s="133">
        <f>IFERROR(INDEX(Stock!$A$3:$U$91,MATCH('Highclere Overview'!$A85,Stock!$A$3:$A$91,0),MATCH('Highclere Overview'!G$68,Stock!$A$3:$U$3,0)),0)</f>
        <v/>
      </c>
      <c r="H85" s="10" t="n"/>
    </row>
    <row r="86">
      <c r="A86" s="15" t="inlineStr">
        <is>
          <t>Hoggs</t>
        </is>
      </c>
      <c r="B86" s="15">
        <f>IFERROR(INDEX(Stock!$A$3:$U$91,MATCH('Highclere Overview'!$A86,Stock!$A$3:$A$91,0),MATCH('Highclere Overview'!B$68,Stock!$A$3:$U$3,0)),0)</f>
        <v/>
      </c>
      <c r="C86" s="15">
        <f>IFERROR(INDEX(Stock!$A$3:$U$91,MATCH('Highclere Overview'!$A86,Stock!$A$3:$A$91,0),MATCH('Highclere Overview'!C$68,Stock!$A$3:$U$3,0)),0)</f>
        <v/>
      </c>
      <c r="D86" s="15">
        <f>C86-B86</f>
        <v/>
      </c>
      <c r="E86" s="133" t="n"/>
      <c r="F86" s="15">
        <f>IFERROR(INDEX(Stock!$A$3:$U$91,MATCH('Highclere Overview'!$A86,Stock!$A$3:$A$91,0),MATCH('Highclere Overview'!F$68,Stock!$A$3:$U$3,0)),0)</f>
        <v/>
      </c>
      <c r="G86" s="133">
        <f>IFERROR(INDEX(Stock!$A$3:$U$91,MATCH('Highclere Overview'!$A86,Stock!$A$3:$A$91,0),MATCH('Highclere Overview'!G$68,Stock!$A$3:$U$3,0)),0)</f>
        <v/>
      </c>
      <c r="H86" s="10" t="n"/>
    </row>
    <row r="87">
      <c r="A87" s="15" t="inlineStr">
        <is>
          <t>Lambs</t>
        </is>
      </c>
      <c r="B87" s="15">
        <f>IFERROR(INDEX(Stock!$A$3:$U$91,MATCH('Highclere Overview'!$A87,Stock!$A$3:$A$91,0),MATCH('Highclere Overview'!B$68,Stock!$A$3:$U$3,0)),0)</f>
        <v/>
      </c>
      <c r="C87" s="15">
        <f>IFERROR(INDEX(Stock!$A$3:$U$91,MATCH('Highclere Overview'!$A87,Stock!$A$3:$A$91,0),MATCH('Highclere Overview'!C$68,Stock!$A$3:$U$3,0)),0)</f>
        <v/>
      </c>
      <c r="D87" s="15">
        <f>C87-B87</f>
        <v/>
      </c>
      <c r="E87" s="133" t="n"/>
      <c r="F87" s="15">
        <f>IFERROR(INDEX(Stock!$A$3:$U$91,MATCH('Highclere Overview'!$A87,Stock!$A$3:$A$91,0),MATCH('Highclere Overview'!F$68,Stock!$A$3:$U$3,0)),0)</f>
        <v/>
      </c>
      <c r="G87" s="133">
        <f>IFERROR(INDEX(Stock!$A$3:$U$91,MATCH('Highclere Overview'!$A87,Stock!$A$3:$A$91,0),MATCH('Highclere Overview'!G$68,Stock!$A$3:$U$3,0)),0)</f>
        <v/>
      </c>
      <c r="H87" s="10" t="n"/>
    </row>
    <row r="88">
      <c r="A88" s="15" t="inlineStr">
        <is>
          <t>Boars</t>
        </is>
      </c>
      <c r="B88" s="15">
        <f>IFERROR(INDEX(Stock!$A$3:$U$91,MATCH('Highclere Overview'!$A88,Stock!$A$3:$A$91,0),MATCH('Highclere Overview'!B$68,Stock!$A$3:$U$3,0)),0)</f>
        <v/>
      </c>
      <c r="C88" s="15">
        <f>IFERROR(INDEX(Stock!$A$3:$U$91,MATCH('Highclere Overview'!$A88,Stock!$A$3:$A$91,0),MATCH('Highclere Overview'!C$68,Stock!$A$3:$U$3,0)),0)</f>
        <v/>
      </c>
      <c r="D88" s="15">
        <f>C88-B88</f>
        <v/>
      </c>
      <c r="E88" s="133" t="n"/>
      <c r="F88" s="15">
        <f>IFERROR(INDEX(Stock!$A$3:$U$91,MATCH('Highclere Overview'!$A88,Stock!$A$3:$A$91,0),MATCH('Highclere Overview'!F$68,Stock!$A$3:$U$3,0)),0)</f>
        <v/>
      </c>
      <c r="G88" s="133">
        <f>IFERROR(INDEX(Stock!$A$3:$U$91,MATCH('Highclere Overview'!$A88,Stock!$A$3:$A$91,0),MATCH('Highclere Overview'!G$68,Stock!$A$3:$U$3,0)),0)</f>
        <v/>
      </c>
      <c r="H88" s="10" t="n"/>
    </row>
    <row r="89">
      <c r="A89" s="15" t="inlineStr">
        <is>
          <t>Sows</t>
        </is>
      </c>
      <c r="B89" s="15">
        <f>IFERROR(INDEX(Stock!$A$3:$U$91,MATCH('Highclere Overview'!$A89,Stock!$A$3:$A$91,0),MATCH('Highclere Overview'!B$68,Stock!$A$3:$U$3,0)),0)</f>
        <v/>
      </c>
      <c r="C89" s="15">
        <f>IFERROR(INDEX(Stock!$A$3:$U$91,MATCH('Highclere Overview'!$A89,Stock!$A$3:$A$91,0),MATCH('Highclere Overview'!C$68,Stock!$A$3:$U$3,0)),0)</f>
        <v/>
      </c>
      <c r="D89" s="15">
        <f>C89-B89</f>
        <v/>
      </c>
      <c r="E89" s="133" t="n"/>
      <c r="F89" s="15">
        <f>IFERROR(INDEX(Stock!$A$3:$U$91,MATCH('Highclere Overview'!$A89,Stock!$A$3:$A$91,0),MATCH('Highclere Overview'!F$68,Stock!$A$3:$U$3,0)),0)</f>
        <v/>
      </c>
      <c r="G89" s="133">
        <f>IFERROR(INDEX(Stock!$A$3:$U$91,MATCH('Highclere Overview'!$A89,Stock!$A$3:$A$91,0),MATCH('Highclere Overview'!G$68,Stock!$A$3:$U$3,0)),0)</f>
        <v/>
      </c>
      <c r="H89" s="10" t="n"/>
    </row>
    <row r="90">
      <c r="A90" s="15" t="inlineStr">
        <is>
          <t>Pigs</t>
        </is>
      </c>
      <c r="B90" s="15">
        <f>IFERROR(INDEX(Stock!$A$3:$U$91,MATCH('Highclere Overview'!$A90,Stock!$A$3:$A$91,0),MATCH('Highclere Overview'!B$68,Stock!$A$3:$U$3,0)),0)</f>
        <v/>
      </c>
      <c r="C90" s="15">
        <f>IFERROR(INDEX(Stock!$A$3:$U$91,MATCH('Highclere Overview'!$A90,Stock!$A$3:$A$91,0),MATCH('Highclere Overview'!C$68,Stock!$A$3:$U$3,0)),0)</f>
        <v/>
      </c>
      <c r="D90" s="15">
        <f>C90-B90</f>
        <v/>
      </c>
      <c r="E90" s="133" t="n"/>
      <c r="F90" s="15">
        <f>IFERROR(INDEX(Stock!$A$3:$U$91,MATCH('Highclere Overview'!$A90,Stock!$A$3:$A$91,0),MATCH('Highclere Overview'!F$68,Stock!$A$3:$U$3,0)),0)</f>
        <v/>
      </c>
      <c r="G90" s="133">
        <f>IFERROR(INDEX(Stock!$A$3:$U$91,MATCH('Highclere Overview'!$A90,Stock!$A$3:$A$91,0),MATCH('Highclere Overview'!G$68,Stock!$A$3:$U$3,0)),0)</f>
        <v/>
      </c>
      <c r="H90" s="10" t="n"/>
    </row>
    <row r="91">
      <c r="A91" s="15" t="inlineStr">
        <is>
          <t>Hoggets</t>
        </is>
      </c>
      <c r="B91" s="15">
        <f>IFERROR(INDEX(Stock!$A$3:$U$91,MATCH('Highclere Overview'!$A91,Stock!$A$3:$A$91,0),MATCH('Highclere Overview'!B$68,Stock!$A$3:$U$3,0)),0)</f>
        <v/>
      </c>
      <c r="C91" s="15">
        <f>IFERROR(INDEX(Stock!$A$3:$U$91,MATCH('Highclere Overview'!$A91,Stock!$A$3:$A$91,0),MATCH('Highclere Overview'!C$68,Stock!$A$3:$U$3,0)),0)</f>
        <v/>
      </c>
      <c r="D91" s="15">
        <f>C91-B91</f>
        <v/>
      </c>
      <c r="E91" s="133" t="n"/>
      <c r="F91" s="15">
        <f>IFERROR(INDEX(Stock!$A$3:$U$91,MATCH('Highclere Overview'!$A91,Stock!$A$3:$A$91,0),MATCH('Highclere Overview'!F$68,Stock!$A$3:$U$3,0)),0)</f>
        <v/>
      </c>
      <c r="G91" s="133">
        <f>IFERROR(INDEX(Stock!$A$3:$U$91,MATCH('Highclere Overview'!$A91,Stock!$A$3:$A$91,0),MATCH('Highclere Overview'!G$68,Stock!$A$3:$U$3,0)),0)</f>
        <v/>
      </c>
      <c r="H91" s="10" t="n"/>
    </row>
    <row r="92">
      <c r="A92" s="15" t="inlineStr">
        <is>
          <t>Piglets</t>
        </is>
      </c>
      <c r="B92" s="15">
        <f>IFERROR(INDEX(Stock!$A$3:$U$91,MATCH('Highclere Overview'!$A92,Stock!$A$3:$A$91,0),MATCH('Highclere Overview'!B$68,Stock!$A$3:$U$3,0)),0)</f>
        <v/>
      </c>
      <c r="C92" s="15">
        <f>IFERROR(INDEX(Stock!$A$3:$U$91,MATCH('Highclere Overview'!$A92,Stock!$A$3:$A$91,0),MATCH('Highclere Overview'!C$68,Stock!$A$3:$U$3,0)),0)</f>
        <v/>
      </c>
      <c r="D92" s="15">
        <f>C92-B92</f>
        <v/>
      </c>
      <c r="E92" s="133" t="n"/>
      <c r="F92" s="15">
        <f>IFERROR(INDEX(Stock!$A$3:$U$91,MATCH('Highclere Overview'!$A92,Stock!$A$3:$A$91,0),MATCH('Highclere Overview'!F$68,Stock!$A$3:$U$3,0)),0)</f>
        <v/>
      </c>
      <c r="G92" s="133">
        <f>IFERROR(INDEX(Stock!$A$3:$U$91,MATCH('Highclere Overview'!$A92,Stock!$A$3:$A$91,0),MATCH('Highclere Overview'!G$68,Stock!$A$3:$U$3,0)),0)</f>
        <v/>
      </c>
      <c r="H92" s="10" t="n"/>
    </row>
    <row r="93">
      <c r="A93" s="15" t="inlineStr">
        <is>
          <t>Swans</t>
        </is>
      </c>
      <c r="B93" s="15">
        <f>IFERROR(INDEX(Stock!$A$3:$U$91,MATCH('Highclere Overview'!$A93,Stock!$A$3:$A$91,0),MATCH('Highclere Overview'!B$68,Stock!$A$3:$U$3,0)),0)</f>
        <v/>
      </c>
      <c r="C93" s="15">
        <f>IFERROR(INDEX(Stock!$A$3:$U$91,MATCH('Highclere Overview'!$A93,Stock!$A$3:$A$91,0),MATCH('Highclere Overview'!C$68,Stock!$A$3:$U$3,0)),0)</f>
        <v/>
      </c>
      <c r="D93" s="15">
        <f>C93-B93</f>
        <v/>
      </c>
      <c r="E93" s="133" t="n"/>
      <c r="F93" s="15">
        <f>IFERROR(INDEX(Stock!$A$3:$U$91,MATCH('Highclere Overview'!$A93,Stock!$A$3:$A$91,0),MATCH('Highclere Overview'!F$68,Stock!$A$3:$U$3,0)),0)</f>
        <v/>
      </c>
      <c r="G93" s="133">
        <f>IFERROR(INDEX(Stock!$A$3:$U$91,MATCH('Highclere Overview'!$A93,Stock!$A$3:$A$91,0),MATCH('Highclere Overview'!G$68,Stock!$A$3:$U$3,0)),0)</f>
        <v/>
      </c>
      <c r="H93" s="10" t="n"/>
    </row>
    <row r="94">
      <c r="A94" s="15" t="inlineStr">
        <is>
          <t>Peacocks</t>
        </is>
      </c>
      <c r="B94" s="15">
        <f>IFERROR(INDEX(Stock!$A$3:$U$91,MATCH('Highclere Overview'!$A94,Stock!$A$3:$A$91,0),MATCH('Highclere Overview'!B$68,Stock!$A$3:$U$3,0)),0)</f>
        <v/>
      </c>
      <c r="C94" s="15">
        <f>IFERROR(INDEX(Stock!$A$3:$U$91,MATCH('Highclere Overview'!$A94,Stock!$A$3:$A$91,0),MATCH('Highclere Overview'!C$68,Stock!$A$3:$U$3,0)),0)</f>
        <v/>
      </c>
      <c r="D94" s="15">
        <f>C94-B94</f>
        <v/>
      </c>
      <c r="E94" s="133" t="n"/>
      <c r="F94" s="15">
        <f>IFERROR(INDEX(Stock!$A$3:$U$91,MATCH('Highclere Overview'!$A94,Stock!$A$3:$A$91,0),MATCH('Highclere Overview'!F$68,Stock!$A$3:$U$3,0)),0)</f>
        <v/>
      </c>
      <c r="G94" s="133">
        <f>IFERROR(INDEX(Stock!$A$3:$U$91,MATCH('Highclere Overview'!$A94,Stock!$A$3:$A$91,0),MATCH('Highclere Overview'!G$68,Stock!$A$3:$U$3,0)),0)</f>
        <v/>
      </c>
      <c r="H94" s="10" t="n"/>
    </row>
    <row r="95">
      <c r="A95" s="17" t="inlineStr">
        <is>
          <t>Total value of production</t>
        </is>
      </c>
      <c r="B95" s="134" t="n"/>
      <c r="C95" s="134" t="n"/>
      <c r="D95" s="134" t="n"/>
      <c r="E95" s="134" t="n"/>
      <c r="F95" s="134" t="n"/>
      <c r="G95" s="140">
        <f>SUM(G69:G94)</f>
        <v/>
      </c>
      <c r="H95" s="10" t="inlineStr">
        <is>
          <t>less than sales because we are missing prices for some livestock</t>
        </is>
      </c>
    </row>
    <row r="96">
      <c r="A96" s="17" t="inlineStr">
        <is>
          <t>Value of sales</t>
        </is>
      </c>
      <c r="B96" s="134" t="n"/>
      <c r="C96" s="134" t="n"/>
      <c r="D96" s="134" t="n"/>
      <c r="E96" s="134" t="n"/>
      <c r="F96" s="134" t="n"/>
      <c r="G96" s="140">
        <f>SUM(F69:F94)</f>
        <v/>
      </c>
      <c r="H96" s="10" t="n"/>
    </row>
    <row r="97">
      <c r="A97" s="15" t="n"/>
      <c r="B97" s="15" t="n"/>
      <c r="C97" s="15" t="n"/>
      <c r="D97" s="15" t="n"/>
      <c r="E97" s="15" t="n"/>
      <c r="F97" s="15" t="n"/>
      <c r="G97" s="133" t="n"/>
      <c r="H97" s="10" t="n"/>
    </row>
    <row r="98" ht="33.95" customHeight="1">
      <c r="A98" s="16" t="inlineStr">
        <is>
          <t>Wool</t>
        </is>
      </c>
      <c r="B98" s="149" t="inlineStr">
        <is>
          <t>Inherited stock</t>
        </is>
      </c>
      <c r="C98" s="149" t="inlineStr">
        <is>
          <t>End-period  stock</t>
        </is>
      </c>
      <c r="D98" s="150" t="inlineStr">
        <is>
          <t>Stockbuilding</t>
        </is>
      </c>
      <c r="E98" s="137" t="n"/>
      <c r="F98" s="151" t="inlineStr">
        <is>
          <t>Sales in (£)</t>
        </is>
      </c>
      <c r="G98" s="151" t="inlineStr">
        <is>
          <t>Value of production (£) at sales prices</t>
        </is>
      </c>
      <c r="H98" s="10" t="n"/>
    </row>
    <row r="99" ht="17.1" customHeight="1">
      <c r="A99" s="22" t="inlineStr">
        <is>
          <t>Fleeces</t>
        </is>
      </c>
      <c r="B99" s="15">
        <f>IFERROR(INDEX(Stock!$A$3:$U$91,MATCH('Highclere Overview'!$A99,Stock!$A$3:$A$91,0),MATCH('Highclere Overview'!B$68,Stock!$A$3:$U$3,0)),0)</f>
        <v/>
      </c>
      <c r="C99" s="15">
        <f>IFERROR(INDEX(Stock!$A$3:$U$91,MATCH('Highclere Overview'!$A99,Stock!$A$3:$A$91,0),MATCH('Highclere Overview'!C$68,Stock!$A$3:$U$3,0)),0)</f>
        <v/>
      </c>
      <c r="D99" s="15">
        <f>C99-B99</f>
        <v/>
      </c>
      <c r="F99" s="15">
        <f>IFERROR(INDEX(Stock!$A$3:$U$91,MATCH('Highclere Overview'!$A99,Stock!$A$3:$A$91,0),MATCH('Highclere Overview'!F$68,Stock!$A$3:$U$3,0)),0)</f>
        <v/>
      </c>
      <c r="G99" s="15">
        <f>IFERROR(INDEX(Stock!$A$3:$U$91,MATCH('Highclere Overview'!$A99,Stock!$A$3:$A$91,0),MATCH('Highclere Overview'!G$68,Stock!$A$3:$U$3,0)),0)</f>
        <v/>
      </c>
      <c r="H99" s="10" t="n"/>
    </row>
    <row r="100">
      <c r="A100" s="15" t="inlineStr">
        <is>
          <t>Coarse wool</t>
        </is>
      </c>
      <c r="B100" s="15">
        <f>IFERROR(INDEX(Stock!$A$3:$U$91,MATCH('Highclere Overview'!$A100,Stock!$A$3:$A$91,0),MATCH('Highclere Overview'!B$68,Stock!$A$3:$U$3,0)),0)</f>
        <v/>
      </c>
      <c r="C100" s="15">
        <f>IFERROR(INDEX(Stock!$A$3:$U$91,MATCH('Highclere Overview'!$A100,Stock!$A$3:$A$91,0),MATCH('Highclere Overview'!C$68,Stock!$A$3:$U$3,0)),0)</f>
        <v/>
      </c>
      <c r="D100" s="15">
        <f>C100-B100</f>
        <v/>
      </c>
      <c r="F100" s="15">
        <f>IFERROR(INDEX(Stock!$A$3:$U$91,MATCH('Highclere Overview'!$A100,Stock!$A$3:$A$91,0),MATCH('Highclere Overview'!F$68,Stock!$A$3:$U$3,0)),0)</f>
        <v/>
      </c>
      <c r="G100" s="15">
        <f>IFERROR(INDEX(Stock!$A$3:$U$91,MATCH('Highclere Overview'!$A100,Stock!$A$3:$A$91,0),MATCH('Highclere Overview'!G$68,Stock!$A$3:$U$3,0)),0)</f>
        <v/>
      </c>
      <c r="H100" s="10" t="n"/>
    </row>
    <row r="101">
      <c r="A101" s="15" t="inlineStr">
        <is>
          <t>Lamb's wool</t>
        </is>
      </c>
      <c r="B101" s="15">
        <f>IFERROR(INDEX(Stock!$A$3:$U$91,MATCH('Highclere Overview'!$A101,Stock!$A$3:$A$91,0),MATCH('Highclere Overview'!B$68,Stock!$A$3:$U$3,0)),0)</f>
        <v/>
      </c>
      <c r="C101" s="15">
        <f>IFERROR(INDEX(Stock!$A$3:$U$91,MATCH('Highclere Overview'!$A101,Stock!$A$3:$A$91,0),MATCH('Highclere Overview'!C$68,Stock!$A$3:$U$3,0)),0)</f>
        <v/>
      </c>
      <c r="D101" s="15">
        <f>C101-B101</f>
        <v/>
      </c>
      <c r="F101" s="15">
        <f>IFERROR(INDEX(Stock!$A$3:$U$91,MATCH('Highclere Overview'!$A101,Stock!$A$3:$A$91,0),MATCH('Highclere Overview'!F$68,Stock!$A$3:$U$3,0)),0)</f>
        <v/>
      </c>
      <c r="G101" s="15">
        <f>IFERROR(INDEX(Stock!$A$3:$U$91,MATCH('Highclere Overview'!$A101,Stock!$A$3:$A$91,0),MATCH('Highclere Overview'!G$68,Stock!$A$3:$U$3,0)),0)</f>
        <v/>
      </c>
      <c r="H101" s="10" t="n"/>
    </row>
    <row r="102">
      <c r="A102" s="15" t="inlineStr">
        <is>
          <t>Wool locks</t>
        </is>
      </c>
      <c r="B102" s="15">
        <f>IFERROR(INDEX(Stock!$A$3:$U$91,MATCH('Highclere Overview'!$A102,Stock!$A$3:$A$91,0),MATCH('Highclere Overview'!B$68,Stock!$A$3:$U$3,0)),0)</f>
        <v/>
      </c>
      <c r="C102" s="15">
        <f>IFERROR(INDEX(Stock!$A$3:$U$91,MATCH('Highclere Overview'!$A102,Stock!$A$3:$A$91,0),MATCH('Highclere Overview'!C$68,Stock!$A$3:$U$3,0)),0)</f>
        <v/>
      </c>
      <c r="D102" s="15">
        <f>C102-B102</f>
        <v/>
      </c>
      <c r="F102" s="15">
        <f>IFERROR(INDEX(Stock!$A$3:$U$91,MATCH('Highclere Overview'!$A102,Stock!$A$3:$A$91,0),MATCH('Highclere Overview'!F$68,Stock!$A$3:$U$3,0)),0)</f>
        <v/>
      </c>
      <c r="G102" s="15">
        <f>IFERROR(INDEX(Stock!$A$3:$U$91,MATCH('Highclere Overview'!$A102,Stock!$A$3:$A$91,0),MATCH('Highclere Overview'!G$68,Stock!$A$3:$U$3,0)),0)</f>
        <v/>
      </c>
      <c r="H102" s="10" t="n"/>
    </row>
    <row r="103">
      <c r="A103" s="15" t="inlineStr">
        <is>
          <t>Wool sold at shearing</t>
        </is>
      </c>
      <c r="B103" s="15">
        <f>IFERROR(INDEX(Stock!$A$3:$U$91,MATCH('Highclere Overview'!$A103,Stock!$A$3:$A$91,0),MATCH('Highclere Overview'!B$68,Stock!$A$3:$U$3,0)),0)</f>
        <v/>
      </c>
      <c r="C103" s="15">
        <f>IFERROR(INDEX(Stock!$A$3:$U$91,MATCH('Highclere Overview'!$A103,Stock!$A$3:$A$91,0),MATCH('Highclere Overview'!C$68,Stock!$A$3:$U$3,0)),0)</f>
        <v/>
      </c>
      <c r="D103" s="15">
        <f>C103-B103</f>
        <v/>
      </c>
      <c r="F103" s="15">
        <f>IFERROR(INDEX(Stock!$A$3:$U$91,MATCH('Highclere Overview'!$A103,Stock!$A$3:$A$91,0),MATCH('Highclere Overview'!F$68,Stock!$A$3:$U$3,0)),0)</f>
        <v/>
      </c>
      <c r="G103" s="15">
        <f>IFERROR(INDEX(Stock!$A$3:$U$91,MATCH('Highclere Overview'!$A103,Stock!$A$3:$A$91,0),MATCH('Highclere Overview'!G$68,Stock!$A$3:$U$3,0)),0)</f>
        <v/>
      </c>
      <c r="H103" s="10" t="n"/>
    </row>
    <row r="104">
      <c r="A104" s="17" t="inlineStr">
        <is>
          <t>Total value of production (sum of the above)</t>
        </is>
      </c>
      <c r="B104" s="134" t="n"/>
      <c r="C104" s="134" t="n"/>
      <c r="D104" s="134" t="n"/>
      <c r="E104" s="134" t="n"/>
      <c r="F104" s="134" t="n"/>
      <c r="G104" s="140">
        <f>SUM(G99:G103)</f>
        <v/>
      </c>
      <c r="H104" s="10" t="n"/>
    </row>
    <row r="105">
      <c r="A105" s="17" t="inlineStr">
        <is>
          <t>Value of sales</t>
        </is>
      </c>
      <c r="B105" s="134" t="n"/>
      <c r="C105" s="134" t="n"/>
      <c r="D105" s="134" t="n"/>
      <c r="E105" s="134" t="n"/>
      <c r="F105" s="134" t="n"/>
      <c r="G105" s="140">
        <f>SUM(F99:F103)</f>
        <v/>
      </c>
      <c r="H105" s="10" t="n"/>
    </row>
    <row r="106">
      <c r="A106" s="8" t="n"/>
      <c r="B106" s="15" t="n"/>
      <c r="C106" s="15" t="n"/>
      <c r="D106" s="15" t="n"/>
      <c r="E106" s="15" t="n"/>
      <c r="F106" s="15" t="n"/>
      <c r="G106" s="133" t="n"/>
      <c r="H106" s="10" t="n"/>
    </row>
    <row r="107" ht="33.95" customHeight="1">
      <c r="A107" s="16" t="inlineStr">
        <is>
          <t>Hides</t>
        </is>
      </c>
      <c r="B107" s="149" t="inlineStr">
        <is>
          <t>Inherited stock</t>
        </is>
      </c>
      <c r="C107" s="149" t="inlineStr">
        <is>
          <t>End-period  stock</t>
        </is>
      </c>
      <c r="D107" s="150" t="inlineStr">
        <is>
          <t>Stockbuilding</t>
        </is>
      </c>
      <c r="E107" s="137" t="n"/>
      <c r="F107" s="151" t="inlineStr">
        <is>
          <t>Sales in (£)</t>
        </is>
      </c>
      <c r="G107" s="151" t="inlineStr">
        <is>
          <t>Value of production (£) at sales prices</t>
        </is>
      </c>
      <c r="H107" s="10" t="n"/>
    </row>
    <row r="108">
      <c r="A108" s="15" t="inlineStr">
        <is>
          <t>Ox hides</t>
        </is>
      </c>
      <c r="B108" s="15">
        <f>IFERROR(INDEX(Stock!$A$3:$U$91,MATCH('Highclere Overview'!$A108,Stock!$A$3:$A$91,0),MATCH('Highclere Overview'!B$68,Stock!$A$3:$U$3,0)),0)</f>
        <v/>
      </c>
      <c r="C108" s="15">
        <f>IFERROR(INDEX(Stock!$A$3:$U$91,MATCH('Highclere Overview'!$A108,Stock!$A$3:$A$91,0),MATCH('Highclere Overview'!C$68,Stock!$A$3:$U$3,0)),0)</f>
        <v/>
      </c>
      <c r="D108" s="15">
        <f>C108-B108</f>
        <v/>
      </c>
      <c r="E108" s="15" t="n"/>
      <c r="F108" s="133">
        <f>IFERROR(INDEX(Stock!$A$3:$U$91,MATCH('Highclere Overview'!$A108,Stock!$A$3:$A$91,0),MATCH('Highclere Overview'!F$68,Stock!$A$3:$U$3,0)),0)</f>
        <v/>
      </c>
      <c r="G108" s="133">
        <f>IFERROR(INDEX(Stock!$A$3:$U$91,MATCH('Highclere Overview'!$A108,Stock!$A$3:$A$91,0),MATCH('Highclere Overview'!G$68,Stock!$A$3:$U$3,0)),0)</f>
        <v/>
      </c>
      <c r="H108" s="10" t="n"/>
    </row>
    <row r="109">
      <c r="A109" s="15" t="inlineStr">
        <is>
          <t>Cow hides</t>
        </is>
      </c>
      <c r="B109" s="15">
        <f>IFERROR(INDEX(Stock!$A$3:$U$91,MATCH('Highclere Overview'!$A109,Stock!$A$3:$A$91,0),MATCH('Highclere Overview'!B$68,Stock!$A$3:$U$3,0)),0)</f>
        <v/>
      </c>
      <c r="C109" s="15">
        <f>IFERROR(INDEX(Stock!$A$3:$U$91,MATCH('Highclere Overview'!$A109,Stock!$A$3:$A$91,0),MATCH('Highclere Overview'!C$68,Stock!$A$3:$U$3,0)),0)</f>
        <v/>
      </c>
      <c r="D109" s="15">
        <f>C109-B109</f>
        <v/>
      </c>
      <c r="E109" s="15" t="n"/>
      <c r="F109" s="133">
        <f>IFERROR(INDEX(Stock!$A$3:$U$91,MATCH('Highclere Overview'!$A109,Stock!$A$3:$A$91,0),MATCH('Highclere Overview'!F$68,Stock!$A$3:$U$3,0)),0)</f>
        <v/>
      </c>
      <c r="G109" s="133">
        <f>IFERROR(INDEX(Stock!$A$3:$U$91,MATCH('Highclere Overview'!$A109,Stock!$A$3:$A$91,0),MATCH('Highclere Overview'!G$68,Stock!$A$3:$U$3,0)),0)</f>
        <v/>
      </c>
      <c r="H109" s="10" t="n"/>
    </row>
    <row r="110">
      <c r="A110" s="15" t="inlineStr">
        <is>
          <t>Mare hides</t>
        </is>
      </c>
      <c r="B110" s="15">
        <f>IFERROR(INDEX(Stock!$A$3:$U$91,MATCH('Highclere Overview'!$A110,Stock!$A$3:$A$91,0),MATCH('Highclere Overview'!B$68,Stock!$A$3:$U$3,0)),0)</f>
        <v/>
      </c>
      <c r="C110" s="15">
        <f>IFERROR(INDEX(Stock!$A$3:$U$91,MATCH('Highclere Overview'!$A110,Stock!$A$3:$A$91,0),MATCH('Highclere Overview'!C$68,Stock!$A$3:$U$3,0)),0)</f>
        <v/>
      </c>
      <c r="D110" s="15">
        <f>C110-B110</f>
        <v/>
      </c>
      <c r="E110" s="15" t="n"/>
      <c r="F110" s="133">
        <f>IFERROR(INDEX(Stock!$A$3:$U$91,MATCH('Highclere Overview'!$A110,Stock!$A$3:$A$91,0),MATCH('Highclere Overview'!F$68,Stock!$A$3:$U$3,0)),0)</f>
        <v/>
      </c>
      <c r="G110" s="133">
        <f>IFERROR(INDEX(Stock!$A$3:$U$91,MATCH('Highclere Overview'!$A110,Stock!$A$3:$A$91,0),MATCH('Highclere Overview'!G$68,Stock!$A$3:$U$3,0)),0)</f>
        <v/>
      </c>
      <c r="H110" s="10" t="n"/>
    </row>
    <row r="111">
      <c r="A111" s="15" t="inlineStr">
        <is>
          <t>Steer hides</t>
        </is>
      </c>
      <c r="B111" s="15">
        <f>IFERROR(INDEX(Stock!$A$3:$U$91,MATCH('Highclere Overview'!$A111,Stock!$A$3:$A$91,0),MATCH('Highclere Overview'!B$68,Stock!$A$3:$U$3,0)),0)</f>
        <v/>
      </c>
      <c r="C111" s="15">
        <f>IFERROR(INDEX(Stock!$A$3:$U$91,MATCH('Highclere Overview'!$A111,Stock!$A$3:$A$91,0),MATCH('Highclere Overview'!C$68,Stock!$A$3:$U$3,0)),0)</f>
        <v/>
      </c>
      <c r="D111" s="15">
        <f>C111-B111</f>
        <v/>
      </c>
      <c r="E111" s="15" t="n"/>
      <c r="F111" s="133">
        <f>IFERROR(INDEX(Stock!$A$3:$U$91,MATCH('Highclere Overview'!$A111,Stock!$A$3:$A$91,0),MATCH('Highclere Overview'!F$68,Stock!$A$3:$U$3,0)),0)</f>
        <v/>
      </c>
      <c r="G111" s="133">
        <f>IFERROR(INDEX(Stock!$A$3:$U$91,MATCH('Highclere Overview'!$A111,Stock!$A$3:$A$91,0),MATCH('Highclere Overview'!G$68,Stock!$A$3:$U$3,0)),0)</f>
        <v/>
      </c>
      <c r="H111" s="10" t="n"/>
    </row>
    <row r="112">
      <c r="A112" s="15" t="inlineStr">
        <is>
          <t>Yearling Calf hides</t>
        </is>
      </c>
      <c r="B112" s="15">
        <f>IFERROR(INDEX(Stock!$A$3:$U$91,MATCH('Highclere Overview'!$A112,Stock!$A$3:$A$91,0),MATCH('Highclere Overview'!B$68,Stock!$A$3:$U$3,0)),0)</f>
        <v/>
      </c>
      <c r="C112" s="15">
        <f>IFERROR(INDEX(Stock!$A$3:$U$91,MATCH('Highclere Overview'!$A112,Stock!$A$3:$A$91,0),MATCH('Highclere Overview'!C$68,Stock!$A$3:$U$3,0)),0)</f>
        <v/>
      </c>
      <c r="D112" s="15">
        <f>C112-B112</f>
        <v/>
      </c>
      <c r="E112" s="15" t="n"/>
      <c r="F112" s="133">
        <f>IFERROR(INDEX(Stock!$A$3:$U$91,MATCH('Highclere Overview'!$A112,Stock!$A$3:$A$91,0),MATCH('Highclere Overview'!F$68,Stock!$A$3:$U$3,0)),0)</f>
        <v/>
      </c>
      <c r="G112" s="133">
        <f>IFERROR(INDEX(Stock!$A$3:$U$91,MATCH('Highclere Overview'!$A112,Stock!$A$3:$A$91,0),MATCH('Highclere Overview'!G$68,Stock!$A$3:$U$3,0)),0)</f>
        <v/>
      </c>
      <c r="H112" s="10" t="n"/>
    </row>
    <row r="113">
      <c r="A113" s="15" t="inlineStr">
        <is>
          <t>Calf hides</t>
        </is>
      </c>
      <c r="B113" s="15">
        <f>IFERROR(INDEX(Stock!$A$3:$U$91,MATCH('Highclere Overview'!$A113,Stock!$A$3:$A$91,0),MATCH('Highclere Overview'!B$68,Stock!$A$3:$U$3,0)),0)</f>
        <v/>
      </c>
      <c r="C113" s="15">
        <f>IFERROR(INDEX(Stock!$A$3:$U$91,MATCH('Highclere Overview'!$A113,Stock!$A$3:$A$91,0),MATCH('Highclere Overview'!C$68,Stock!$A$3:$U$3,0)),0)</f>
        <v/>
      </c>
      <c r="D113" s="15">
        <f>C113-B113</f>
        <v/>
      </c>
      <c r="E113" s="15" t="n"/>
      <c r="F113" s="133">
        <f>IFERROR(INDEX(Stock!$A$3:$U$91,MATCH('Highclere Overview'!$A113,Stock!$A$3:$A$91,0),MATCH('Highclere Overview'!F$68,Stock!$A$3:$U$3,0)),0)</f>
        <v/>
      </c>
      <c r="G113" s="133">
        <f>IFERROR(INDEX(Stock!$A$3:$U$91,MATCH('Highclere Overview'!$A113,Stock!$A$3:$A$91,0),MATCH('Highclere Overview'!G$68,Stock!$A$3:$U$3,0)),0)</f>
        <v/>
      </c>
      <c r="H113" s="10" t="n"/>
    </row>
    <row r="114">
      <c r="A114" s="23" t="inlineStr">
        <is>
          <t>Pig hides</t>
        </is>
      </c>
      <c r="B114" s="15">
        <f>IFERROR(INDEX(Stock!$A$3:$U$91,MATCH('Highclere Overview'!$A114,Stock!$A$3:$A$91,0),MATCH('Highclere Overview'!B$68,Stock!$A$3:$U$3,0)),0)</f>
        <v/>
      </c>
      <c r="C114" s="15">
        <f>IFERROR(INDEX(Stock!$A$3:$U$91,MATCH('Highclere Overview'!$A114,Stock!$A$3:$A$91,0),MATCH('Highclere Overview'!C$68,Stock!$A$3:$U$3,0)),0)</f>
        <v/>
      </c>
      <c r="D114" s="15">
        <f>C114-B114</f>
        <v/>
      </c>
      <c r="E114" s="15" t="n"/>
      <c r="F114" s="133">
        <f>IFERROR(INDEX(Stock!$A$3:$U$91,MATCH('Highclere Overview'!$A114,Stock!$A$3:$A$91,0),MATCH('Highclere Overview'!F$68,Stock!$A$3:$U$3,0)),0)</f>
        <v/>
      </c>
      <c r="G114" s="133">
        <f>IFERROR(INDEX(Stock!$A$3:$U$91,MATCH('Highclere Overview'!$A114,Stock!$A$3:$A$91,0),MATCH('Highclere Overview'!G$68,Stock!$A$3:$U$3,0)),0)</f>
        <v/>
      </c>
      <c r="H114" s="10" t="n"/>
    </row>
    <row r="115">
      <c r="A115" s="24" t="inlineStr">
        <is>
          <t>Weather woolskins</t>
        </is>
      </c>
      <c r="B115" s="15">
        <f>IFERROR(INDEX(Stock!$A$3:$U$91,MATCH('Highclere Overview'!$A115,Stock!$A$3:$A$91,0),MATCH('Highclere Overview'!B$68,Stock!$A$3:$U$3,0)),0)</f>
        <v/>
      </c>
      <c r="C115" s="15">
        <f>IFERROR(INDEX(Stock!$A$3:$U$91,MATCH('Highclere Overview'!$A115,Stock!$A$3:$A$91,0),MATCH('Highclere Overview'!C$68,Stock!$A$3:$U$3,0)),0)</f>
        <v/>
      </c>
      <c r="D115" s="15">
        <f>C115-B115</f>
        <v/>
      </c>
      <c r="E115" s="15" t="n"/>
      <c r="F115" s="133">
        <f>IFERROR(INDEX(Stock!$A$3:$U$91,MATCH('Highclere Overview'!$A115,Stock!$A$3:$A$91,0),MATCH('Highclere Overview'!F$68,Stock!$A$3:$U$3,0)),0)</f>
        <v/>
      </c>
      <c r="G115" s="133">
        <f>IFERROR(INDEX(Stock!$A$3:$U$91,MATCH('Highclere Overview'!$A115,Stock!$A$3:$A$91,0),MATCH('Highclere Overview'!G$68,Stock!$A$3:$U$3,0)),0)</f>
        <v/>
      </c>
      <c r="H115" s="10" t="n"/>
    </row>
    <row r="116">
      <c r="A116" s="24" t="inlineStr">
        <is>
          <t>Ram woolskins</t>
        </is>
      </c>
      <c r="B116" s="15">
        <f>IFERROR(INDEX(Stock!$A$3:$U$91,MATCH('Highclere Overview'!$A116,Stock!$A$3:$A$91,0),MATCH('Highclere Overview'!B$68,Stock!$A$3:$U$3,0)),0)</f>
        <v/>
      </c>
      <c r="C116" s="15">
        <f>IFERROR(INDEX(Stock!$A$3:$U$91,MATCH('Highclere Overview'!$A116,Stock!$A$3:$A$91,0),MATCH('Highclere Overview'!C$68,Stock!$A$3:$U$3,0)),0)</f>
        <v/>
      </c>
      <c r="D116" s="15">
        <f>C116-B116</f>
        <v/>
      </c>
      <c r="E116" s="15" t="n"/>
      <c r="F116" s="133">
        <f>IFERROR(INDEX(Stock!$A$3:$U$91,MATCH('Highclere Overview'!$A116,Stock!$A$3:$A$91,0),MATCH('Highclere Overview'!F$68,Stock!$A$3:$U$3,0)),0)</f>
        <v/>
      </c>
      <c r="G116" s="133">
        <f>IFERROR(INDEX(Stock!$A$3:$U$91,MATCH('Highclere Overview'!$A116,Stock!$A$3:$A$91,0),MATCH('Highclere Overview'!G$68,Stock!$A$3:$U$3,0)),0)</f>
        <v/>
      </c>
      <c r="H116" s="10" t="n"/>
    </row>
    <row r="117">
      <c r="A117" s="24" t="inlineStr">
        <is>
          <t>Ewe woolskins</t>
        </is>
      </c>
      <c r="B117" s="15">
        <f>IFERROR(INDEX(Stock!$A$3:$U$91,MATCH('Highclere Overview'!$A117,Stock!$A$3:$A$91,0),MATCH('Highclere Overview'!B$68,Stock!$A$3:$U$3,0)),0)</f>
        <v/>
      </c>
      <c r="C117" s="15">
        <f>IFERROR(INDEX(Stock!$A$3:$U$91,MATCH('Highclere Overview'!$A117,Stock!$A$3:$A$91,0),MATCH('Highclere Overview'!C$68,Stock!$A$3:$U$3,0)),0)</f>
        <v/>
      </c>
      <c r="D117" s="15">
        <f>C117-B117</f>
        <v/>
      </c>
      <c r="E117" s="15" t="n"/>
      <c r="F117" s="133">
        <f>IFERROR(INDEX(Stock!$A$3:$U$91,MATCH('Highclere Overview'!$A117,Stock!$A$3:$A$91,0),MATCH('Highclere Overview'!F$68,Stock!$A$3:$U$3,0)),0)</f>
        <v/>
      </c>
      <c r="G117" s="133">
        <f>IFERROR(INDEX(Stock!$A$3:$U$91,MATCH('Highclere Overview'!$A117,Stock!$A$3:$A$91,0),MATCH('Highclere Overview'!G$68,Stock!$A$3:$U$3,0)),0)</f>
        <v/>
      </c>
      <c r="H117" s="10" t="n"/>
    </row>
    <row r="118">
      <c r="A118" s="24" t="inlineStr">
        <is>
          <t>Hogg woolskins</t>
        </is>
      </c>
      <c r="B118" s="15">
        <f>IFERROR(INDEX(Stock!$A$3:$U$91,MATCH('Highclere Overview'!$A118,Stock!$A$3:$A$91,0),MATCH('Highclere Overview'!B$68,Stock!$A$3:$U$3,0)),0)</f>
        <v/>
      </c>
      <c r="C118" s="15">
        <f>IFERROR(INDEX(Stock!$A$3:$U$91,MATCH('Highclere Overview'!$A118,Stock!$A$3:$A$91,0),MATCH('Highclere Overview'!C$68,Stock!$A$3:$U$3,0)),0)</f>
        <v/>
      </c>
      <c r="D118" s="15">
        <f>C118-B118</f>
        <v/>
      </c>
      <c r="E118" s="15" t="n"/>
      <c r="F118" s="133">
        <f>IFERROR(INDEX(Stock!$A$3:$U$91,MATCH('Highclere Overview'!$A118,Stock!$A$3:$A$91,0),MATCH('Highclere Overview'!F$68,Stock!$A$3:$U$3,0)),0)</f>
        <v/>
      </c>
      <c r="G118" s="133">
        <f>IFERROR(INDEX(Stock!$A$3:$U$91,MATCH('Highclere Overview'!$A118,Stock!$A$3:$A$91,0),MATCH('Highclere Overview'!G$68,Stock!$A$3:$U$3,0)),0)</f>
        <v/>
      </c>
      <c r="H118" s="10" t="n"/>
    </row>
    <row r="119">
      <c r="A119" s="25" t="inlineStr">
        <is>
          <t>Woolskins (total)</t>
        </is>
      </c>
      <c r="B119" s="15">
        <f>IFERROR(INDEX(Stock!$A$3:$U$91,MATCH('Highclere Overview'!$A119,Stock!$A$3:$A$91,0),MATCH('Highclere Overview'!B$68,Stock!$A$3:$U$3,0)),0)</f>
        <v/>
      </c>
      <c r="C119" s="15">
        <f>IFERROR(INDEX(Stock!$A$3:$U$91,MATCH('Highclere Overview'!$A119,Stock!$A$3:$A$91,0),MATCH('Highclere Overview'!C$68,Stock!$A$3:$U$3,0)),0)</f>
        <v/>
      </c>
      <c r="D119" s="15">
        <f>C119-B119</f>
        <v/>
      </c>
      <c r="E119" s="15" t="n"/>
      <c r="F119" s="133">
        <f>IFERROR(INDEX(Stock!$A$3:$U$91,MATCH('Highclere Overview'!$A119,Stock!$A$3:$A$91,0),MATCH('Highclere Overview'!F$68,Stock!$A$3:$U$3,0)),0)</f>
        <v/>
      </c>
      <c r="G119" s="133">
        <f>IFERROR(INDEX(Stock!$A$3:$U$91,MATCH('Highclere Overview'!$A119,Stock!$A$3:$A$91,0),MATCH('Highclere Overview'!G$68,Stock!$A$3:$U$3,0)),0)</f>
        <v/>
      </c>
      <c r="H119" s="10" t="n"/>
    </row>
    <row r="120">
      <c r="A120" s="24" t="inlineStr">
        <is>
          <t>Wether bareskins</t>
        </is>
      </c>
      <c r="B120" s="15">
        <f>IFERROR(INDEX(Stock!$A$3:$U$91,MATCH('Highclere Overview'!$A120,Stock!$A$3:$A$91,0),MATCH('Highclere Overview'!B$68,Stock!$A$3:$U$3,0)),0)</f>
        <v/>
      </c>
      <c r="C120" s="15">
        <f>IFERROR(INDEX(Stock!$A$3:$U$91,MATCH('Highclere Overview'!$A120,Stock!$A$3:$A$91,0),MATCH('Highclere Overview'!C$68,Stock!$A$3:$U$3,0)),0)</f>
        <v/>
      </c>
      <c r="D120" s="15">
        <f>C120-B120</f>
        <v/>
      </c>
      <c r="E120" s="15" t="n"/>
      <c r="F120" s="133">
        <f>IFERROR(INDEX(Stock!$A$3:$U$91,MATCH('Highclere Overview'!$A120,Stock!$A$3:$A$91,0),MATCH('Highclere Overview'!F$68,Stock!$A$3:$U$3,0)),0)</f>
        <v/>
      </c>
      <c r="G120" s="133">
        <f>IFERROR(INDEX(Stock!$A$3:$U$91,MATCH('Highclere Overview'!$A120,Stock!$A$3:$A$91,0),MATCH('Highclere Overview'!G$68,Stock!$A$3:$U$3,0)),0)</f>
        <v/>
      </c>
      <c r="H120" s="10" t="n"/>
    </row>
    <row r="121">
      <c r="A121" s="24" t="inlineStr">
        <is>
          <t>Ram bareskins</t>
        </is>
      </c>
      <c r="B121" s="15">
        <f>IFERROR(INDEX(Stock!$A$3:$U$91,MATCH('Highclere Overview'!$A121,Stock!$A$3:$A$91,0),MATCH('Highclere Overview'!B$68,Stock!$A$3:$U$3,0)),0)</f>
        <v/>
      </c>
      <c r="C121" s="15">
        <f>IFERROR(INDEX(Stock!$A$3:$U$91,MATCH('Highclere Overview'!$A121,Stock!$A$3:$A$91,0),MATCH('Highclere Overview'!C$68,Stock!$A$3:$U$3,0)),0)</f>
        <v/>
      </c>
      <c r="D121" s="15">
        <f>C121-B121</f>
        <v/>
      </c>
      <c r="E121" s="15" t="n"/>
      <c r="F121" s="133">
        <f>IFERROR(INDEX(Stock!$A$3:$U$91,MATCH('Highclere Overview'!$A121,Stock!$A$3:$A$91,0),MATCH('Highclere Overview'!F$68,Stock!$A$3:$U$3,0)),0)</f>
        <v/>
      </c>
      <c r="G121" s="133">
        <f>IFERROR(INDEX(Stock!$A$3:$U$91,MATCH('Highclere Overview'!$A121,Stock!$A$3:$A$91,0),MATCH('Highclere Overview'!G$68,Stock!$A$3:$U$3,0)),0)</f>
        <v/>
      </c>
      <c r="H121" s="10" t="n"/>
    </row>
    <row r="122">
      <c r="A122" s="24" t="inlineStr">
        <is>
          <t>Ewe bareskins</t>
        </is>
      </c>
      <c r="B122" s="15">
        <f>IFERROR(INDEX(Stock!$A$3:$U$91,MATCH('Highclere Overview'!$A122,Stock!$A$3:$A$91,0),MATCH('Highclere Overview'!B$68,Stock!$A$3:$U$3,0)),0)</f>
        <v/>
      </c>
      <c r="C122" s="15">
        <f>IFERROR(INDEX(Stock!$A$3:$U$91,MATCH('Highclere Overview'!$A122,Stock!$A$3:$A$91,0),MATCH('Highclere Overview'!C$68,Stock!$A$3:$U$3,0)),0)</f>
        <v/>
      </c>
      <c r="D122" s="15">
        <f>C122-B122</f>
        <v/>
      </c>
      <c r="E122" s="15" t="n"/>
      <c r="F122" s="133">
        <f>IFERROR(INDEX(Stock!$A$3:$U$91,MATCH('Highclere Overview'!$A122,Stock!$A$3:$A$91,0),MATCH('Highclere Overview'!F$68,Stock!$A$3:$U$3,0)),0)</f>
        <v/>
      </c>
      <c r="G122" s="133">
        <f>IFERROR(INDEX(Stock!$A$3:$U$91,MATCH('Highclere Overview'!$A122,Stock!$A$3:$A$91,0),MATCH('Highclere Overview'!G$68,Stock!$A$3:$U$3,0)),0)</f>
        <v/>
      </c>
      <c r="H122" s="10" t="n"/>
    </row>
    <row r="123">
      <c r="A123" s="24" t="inlineStr">
        <is>
          <t>Hogg bareskins</t>
        </is>
      </c>
      <c r="B123" s="15">
        <f>IFERROR(INDEX(Stock!$A$3:$U$91,MATCH('Highclere Overview'!$A123,Stock!$A$3:$A$91,0),MATCH('Highclere Overview'!B$68,Stock!$A$3:$U$3,0)),0)</f>
        <v/>
      </c>
      <c r="C123" s="15">
        <f>IFERROR(INDEX(Stock!$A$3:$U$91,MATCH('Highclere Overview'!$A123,Stock!$A$3:$A$91,0),MATCH('Highclere Overview'!C$68,Stock!$A$3:$U$3,0)),0)</f>
        <v/>
      </c>
      <c r="D123" s="15">
        <f>C123-B123</f>
        <v/>
      </c>
      <c r="E123" s="15" t="n"/>
      <c r="F123" s="133">
        <f>IFERROR(INDEX(Stock!$A$3:$U$91,MATCH('Highclere Overview'!$A123,Stock!$A$3:$A$91,0),MATCH('Highclere Overview'!F$68,Stock!$A$3:$U$3,0)),0)</f>
        <v/>
      </c>
      <c r="G123" s="133">
        <f>IFERROR(INDEX(Stock!$A$3:$U$91,MATCH('Highclere Overview'!$A123,Stock!$A$3:$A$91,0),MATCH('Highclere Overview'!G$68,Stock!$A$3:$U$3,0)),0)</f>
        <v/>
      </c>
      <c r="H123" s="10" t="n"/>
    </row>
    <row r="124">
      <c r="A124" s="25" t="inlineStr">
        <is>
          <t>Bareskins (total)</t>
        </is>
      </c>
      <c r="B124" s="15">
        <f>IFERROR(INDEX(Stock!$A$3:$U$91,MATCH('Highclere Overview'!$A124,Stock!$A$3:$A$91,0),MATCH('Highclere Overview'!B$68,Stock!$A$3:$U$3,0)),0)</f>
        <v/>
      </c>
      <c r="C124" s="15">
        <f>IFERROR(INDEX(Stock!$A$3:$U$91,MATCH('Highclere Overview'!$A124,Stock!$A$3:$A$91,0),MATCH('Highclere Overview'!C$68,Stock!$A$3:$U$3,0)),0)</f>
        <v/>
      </c>
      <c r="D124" s="15">
        <f>C124-B124</f>
        <v/>
      </c>
      <c r="E124" s="15" t="n"/>
      <c r="F124" s="133">
        <f>IFERROR(INDEX(Stock!$A$3:$U$91,MATCH('Highclere Overview'!$A124,Stock!$A$3:$A$91,0),MATCH('Highclere Overview'!F$68,Stock!$A$3:$U$3,0)),0)</f>
        <v/>
      </c>
      <c r="G124" s="133">
        <f>IFERROR(INDEX(Stock!$A$3:$U$91,MATCH('Highclere Overview'!$A124,Stock!$A$3:$A$91,0),MATCH('Highclere Overview'!G$68,Stock!$A$3:$U$3,0)),0)</f>
        <v/>
      </c>
      <c r="H124" s="10" t="n"/>
    </row>
    <row r="125">
      <c r="A125" s="15" t="inlineStr">
        <is>
          <t>Lambskins</t>
        </is>
      </c>
      <c r="B125" s="15">
        <f>IFERROR(INDEX(Stock!$A$3:$U$91,MATCH('Highclere Overview'!$A125,Stock!$A$3:$A$91,0),MATCH('Highclere Overview'!B$68,Stock!$A$3:$U$3,0)),0)</f>
        <v/>
      </c>
      <c r="C125" s="15">
        <f>IFERROR(INDEX(Stock!$A$3:$U$91,MATCH('Highclere Overview'!$A125,Stock!$A$3:$A$91,0),MATCH('Highclere Overview'!C$68,Stock!$A$3:$U$3,0)),0)</f>
        <v/>
      </c>
      <c r="D125" s="15">
        <f>C125-B125</f>
        <v/>
      </c>
      <c r="E125" s="15" t="n"/>
      <c r="F125" s="133">
        <f>IFERROR(INDEX(Stock!$A$3:$U$91,MATCH('Highclere Overview'!$A125,Stock!$A$3:$A$91,0),MATCH('Highclere Overview'!F$68,Stock!$A$3:$U$3,0)),0)</f>
        <v/>
      </c>
      <c r="G125" s="133">
        <f>IFERROR(INDEX(Stock!$A$3:$U$91,MATCH('Highclere Overview'!$A125,Stock!$A$3:$A$91,0),MATCH('Highclere Overview'!G$68,Stock!$A$3:$U$3,0)),0)</f>
        <v/>
      </c>
      <c r="H125" s="10" t="n"/>
    </row>
    <row r="126">
      <c r="A126" s="15" t="inlineStr">
        <is>
          <t>Rotted skins</t>
        </is>
      </c>
      <c r="B126" s="15">
        <f>IFERROR(INDEX(Stock!$A$3:$U$91,MATCH('Highclere Overview'!$A126,Stock!$A$3:$A$91,0),MATCH('Highclere Overview'!B$68,Stock!$A$3:$U$3,0)),0)</f>
        <v/>
      </c>
      <c r="C126" s="15">
        <f>IFERROR(INDEX(Stock!$A$3:$U$91,MATCH('Highclere Overview'!$A126,Stock!$A$3:$A$91,0),MATCH('Highclere Overview'!C$68,Stock!$A$3:$U$3,0)),0)</f>
        <v/>
      </c>
      <c r="D126" s="15">
        <f>C126-B126</f>
        <v/>
      </c>
      <c r="E126" s="15" t="n"/>
      <c r="F126" s="15">
        <f>IFERROR(INDEX(Stock!$A$3:$U$91,MATCH('Highclere Overview'!$A126,Stock!$A$3:$A$91,0),MATCH('Highclere Overview'!F$68,Stock!$A$3:$U$3,0)),0)</f>
        <v/>
      </c>
      <c r="G126" s="15">
        <f>IFERROR(INDEX(Stock!$A$3:$U$91,MATCH('Highclere Overview'!$A126,Stock!$A$3:$A$91,0),MATCH('Highclere Overview'!G$68,Stock!$A$3:$U$3,0)),0)</f>
        <v/>
      </c>
      <c r="H126" s="10" t="n"/>
    </row>
    <row r="127">
      <c r="A127" s="15" t="inlineStr">
        <is>
          <t>Shorn skins</t>
        </is>
      </c>
      <c r="B127" s="15">
        <f>IFERROR(INDEX(Stock!$A$3:$U$91,MATCH('Highclere Overview'!$A127,Stock!$A$3:$A$91,0),MATCH('Highclere Overview'!B$68,Stock!$A$3:$U$3,0)),0)</f>
        <v/>
      </c>
      <c r="C127" s="15">
        <f>IFERROR(INDEX(Stock!$A$3:$U$91,MATCH('Highclere Overview'!$A127,Stock!$A$3:$A$91,0),MATCH('Highclere Overview'!C$68,Stock!$A$3:$U$3,0)),0)</f>
        <v/>
      </c>
      <c r="D127" s="15">
        <f>C127-B127</f>
        <v/>
      </c>
      <c r="E127" s="15" t="n"/>
      <c r="F127" s="15">
        <f>IFERROR(INDEX(Stock!$A$3:$U$91,MATCH('Highclere Overview'!$A127,Stock!$A$3:$A$91,0),MATCH('Highclere Overview'!F$68,Stock!$A$3:$U$3,0)),0)</f>
        <v/>
      </c>
      <c r="G127" s="15">
        <f>IFERROR(INDEX(Stock!$A$3:$U$91,MATCH('Highclere Overview'!$A127,Stock!$A$3:$A$91,0),MATCH('Highclere Overview'!G$68,Stock!$A$3:$U$3,0)),0)</f>
        <v/>
      </c>
      <c r="H127" s="10" t="n"/>
    </row>
    <row r="128">
      <c r="A128" s="17" t="inlineStr">
        <is>
          <t>Total value of production (sum of the above)</t>
        </is>
      </c>
      <c r="B128" s="134" t="n"/>
      <c r="C128" s="134" t="n"/>
      <c r="D128" s="134" t="n"/>
      <c r="E128" s="134" t="n"/>
      <c r="F128" s="134" t="n"/>
      <c r="G128" s="140">
        <f>SUM(G108:G127)</f>
        <v/>
      </c>
      <c r="H128" s="10" t="n"/>
    </row>
    <row r="129">
      <c r="A129" s="17" t="inlineStr">
        <is>
          <t>Value of sales</t>
        </is>
      </c>
      <c r="B129" s="134" t="n"/>
      <c r="C129" s="134" t="n"/>
      <c r="D129" s="134" t="n"/>
      <c r="E129" s="134" t="n"/>
      <c r="F129" s="134" t="n"/>
      <c r="G129" s="140">
        <f>SUM(F108:F127)</f>
        <v/>
      </c>
      <c r="H129" s="10" t="n"/>
    </row>
    <row r="130">
      <c r="A130" s="15" t="n"/>
      <c r="B130" s="15" t="n"/>
      <c r="C130" s="15" t="n"/>
      <c r="D130" s="15" t="n"/>
      <c r="E130" s="15" t="n"/>
      <c r="F130" s="15" t="n"/>
      <c r="G130" s="133" t="n"/>
      <c r="H130" s="10" t="n"/>
    </row>
    <row r="131" ht="33.95" customHeight="1">
      <c r="A131" s="16" t="inlineStr">
        <is>
          <t>Poultry stock</t>
        </is>
      </c>
      <c r="B131" s="149" t="inlineStr">
        <is>
          <t>Inherited stock</t>
        </is>
      </c>
      <c r="C131" s="149" t="inlineStr">
        <is>
          <t>End-period  stock</t>
        </is>
      </c>
      <c r="D131" s="150" t="inlineStr">
        <is>
          <t>Stockbuilding</t>
        </is>
      </c>
      <c r="E131" s="137" t="n"/>
      <c r="F131" s="151" t="inlineStr">
        <is>
          <t>Sales in (£)</t>
        </is>
      </c>
      <c r="G131" s="151" t="inlineStr">
        <is>
          <t>Value of production (£) at sales prices</t>
        </is>
      </c>
      <c r="H131" s="10" t="n"/>
    </row>
    <row r="132" ht="17.1" customHeight="1">
      <c r="A132" s="22" t="inlineStr">
        <is>
          <t>Hens</t>
        </is>
      </c>
      <c r="B132" s="15">
        <f>IFERROR(INDEX(Stock!$A$3:$U$91,MATCH('Highclere Overview'!$A132,Stock!$A$3:$A$91,0),MATCH('Highclere Overview'!B$68,Stock!$A$3:$U$3,0)),0)</f>
        <v/>
      </c>
      <c r="C132" s="15">
        <f>IFERROR(INDEX(Stock!$A$3:$U$91,MATCH('Highclere Overview'!$A132,Stock!$A$3:$A$91,0),MATCH('Highclere Overview'!C$68,Stock!$A$3:$U$3,0)),0)</f>
        <v/>
      </c>
      <c r="D132" s="15">
        <f>C132-B132</f>
        <v/>
      </c>
      <c r="E132" s="15" t="n"/>
      <c r="F132" s="15">
        <f>IFERROR(INDEX(Stock!$A$3:$U$91,MATCH('Highclere Overview'!$A132,Stock!$A$3:$A$91,0),MATCH('Highclere Overview'!F$68,Stock!$A$3:$U$3,0)),0)</f>
        <v/>
      </c>
      <c r="G132" s="15">
        <f>IFERROR(INDEX(Stock!$A$3:$U$91,MATCH('Highclere Overview'!$A132,Stock!$A$3:$A$91,0),MATCH('Highclere Overview'!G$68,Stock!$A$3:$U$3,0)),0)</f>
        <v/>
      </c>
      <c r="H132" s="10" t="n"/>
    </row>
    <row r="133">
      <c r="A133" s="15" t="inlineStr">
        <is>
          <t>Geese</t>
        </is>
      </c>
      <c r="B133" s="15">
        <f>IFERROR(INDEX(Stock!$A$3:$U$91,MATCH('Highclere Overview'!$A133,Stock!$A$3:$A$91,0),MATCH('Highclere Overview'!B$68,Stock!$A$3:$U$3,0)),0)</f>
        <v/>
      </c>
      <c r="C133" s="15">
        <f>IFERROR(INDEX(Stock!$A$3:$U$91,MATCH('Highclere Overview'!$A133,Stock!$A$3:$A$91,0),MATCH('Highclere Overview'!C$68,Stock!$A$3:$U$3,0)),0)</f>
        <v/>
      </c>
      <c r="D133" s="15">
        <f>C133-B133</f>
        <v/>
      </c>
      <c r="E133" s="15" t="n"/>
      <c r="F133" s="15">
        <f>IFERROR(INDEX(Stock!$A$3:$U$91,MATCH('Highclere Overview'!$A133,Stock!$A$3:$A$91,0),MATCH('Highclere Overview'!F$68,Stock!$A$3:$U$3,0)),0)</f>
        <v/>
      </c>
      <c r="G133" s="15">
        <f>IFERROR(INDEX(Stock!$A$3:$U$91,MATCH('Highclere Overview'!$A133,Stock!$A$3:$A$91,0),MATCH('Highclere Overview'!G$68,Stock!$A$3:$U$3,0)),0)</f>
        <v/>
      </c>
      <c r="H133" s="10" t="n"/>
    </row>
    <row r="134">
      <c r="A134" s="15" t="inlineStr">
        <is>
          <t>Capons (from chickens)</t>
        </is>
      </c>
      <c r="B134" s="15">
        <f>IFERROR(INDEX(Stock!$A$3:$U$91,MATCH('Highclere Overview'!$A134,Stock!$A$3:$A$91,0),MATCH('Highclere Overview'!B$68,Stock!$A$3:$U$3,0)),0)</f>
        <v/>
      </c>
      <c r="C134" s="15">
        <f>IFERROR(INDEX(Stock!$A$3:$U$91,MATCH('Highclere Overview'!$A134,Stock!$A$3:$A$91,0),MATCH('Highclere Overview'!C$68,Stock!$A$3:$U$3,0)),0)</f>
        <v/>
      </c>
      <c r="D134" s="15">
        <f>C134-B134</f>
        <v/>
      </c>
      <c r="E134" s="15" t="n"/>
      <c r="F134" s="15">
        <f>IFERROR(INDEX(Stock!$A$3:$U$91,MATCH('Highclere Overview'!$A134,Stock!$A$3:$A$91,0),MATCH('Highclere Overview'!F$68,Stock!$A$3:$U$3,0)),0)</f>
        <v/>
      </c>
      <c r="G134" s="15">
        <f>IFERROR(INDEX(Stock!$A$3:$U$91,MATCH('Highclere Overview'!$A134,Stock!$A$3:$A$91,0),MATCH('Highclere Overview'!G$68,Stock!$A$3:$U$3,0)),0)</f>
        <v/>
      </c>
      <c r="H134" s="10" t="n"/>
    </row>
    <row r="135">
      <c r="A135" s="15" t="inlineStr">
        <is>
          <t>Cocks &amp; hens</t>
        </is>
      </c>
      <c r="B135" s="15">
        <f>IFERROR(INDEX(Stock!$A$3:$U$91,MATCH('Highclere Overview'!$A135,Stock!$A$3:$A$91,0),MATCH('Highclere Overview'!B$68,Stock!$A$3:$U$3,0)),0)</f>
        <v/>
      </c>
      <c r="C135" s="15">
        <f>IFERROR(INDEX(Stock!$A$3:$U$91,MATCH('Highclere Overview'!$A135,Stock!$A$3:$A$91,0),MATCH('Highclere Overview'!C$68,Stock!$A$3:$U$3,0)),0)</f>
        <v/>
      </c>
      <c r="D135" s="15">
        <f>C135-B135</f>
        <v/>
      </c>
      <c r="E135" s="15" t="n"/>
      <c r="F135" s="15">
        <f>IFERROR(INDEX(Stock!$A$3:$U$91,MATCH('Highclere Overview'!$A135,Stock!$A$3:$A$91,0),MATCH('Highclere Overview'!F$68,Stock!$A$3:$U$3,0)),0)</f>
        <v/>
      </c>
      <c r="G135" s="15">
        <f>IFERROR(INDEX(Stock!$A$3:$U$91,MATCH('Highclere Overview'!$A135,Stock!$A$3:$A$91,0),MATCH('Highclere Overview'!G$68,Stock!$A$3:$U$3,0)),0)</f>
        <v/>
      </c>
      <c r="H135" s="10" t="n"/>
    </row>
    <row r="136">
      <c r="A136" s="17" t="inlineStr">
        <is>
          <t>Total value of production (sum of the above)</t>
        </is>
      </c>
      <c r="B136" s="134" t="n"/>
      <c r="C136" s="134" t="n"/>
      <c r="D136" s="134" t="n"/>
      <c r="E136" s="134" t="n"/>
      <c r="F136" s="134" t="n"/>
      <c r="G136" s="140" t="n"/>
      <c r="H136" s="10" t="n"/>
    </row>
    <row r="137">
      <c r="A137" s="17" t="inlineStr">
        <is>
          <t>Value of sales</t>
        </is>
      </c>
      <c r="B137" s="134" t="n"/>
      <c r="C137" s="134" t="n"/>
      <c r="D137" s="134" t="n"/>
      <c r="E137" s="134" t="n"/>
      <c r="F137" s="134" t="n"/>
      <c r="G137" s="140" t="n"/>
      <c r="H137" s="10" t="n"/>
    </row>
    <row r="138">
      <c r="A138" s="15" t="n"/>
      <c r="B138" s="15" t="n"/>
      <c r="C138" s="15" t="n"/>
      <c r="D138" s="15" t="n"/>
      <c r="E138" s="15" t="n"/>
      <c r="F138" s="15" t="n"/>
      <c r="G138" s="133" t="n"/>
      <c r="H138" s="10" t="n"/>
    </row>
    <row r="139" ht="33.95" customHeight="1">
      <c r="A139" s="16" t="inlineStr">
        <is>
          <t>Poultry production</t>
        </is>
      </c>
      <c r="B139" s="149" t="inlineStr">
        <is>
          <t>Inherited stock</t>
        </is>
      </c>
      <c r="C139" s="149" t="inlineStr">
        <is>
          <t>End-period  stock</t>
        </is>
      </c>
      <c r="D139" s="150" t="inlineStr">
        <is>
          <t>Stockbuilding</t>
        </is>
      </c>
      <c r="E139" s="137" t="n"/>
      <c r="F139" s="151" t="inlineStr">
        <is>
          <t>Sales in (£)</t>
        </is>
      </c>
      <c r="G139" s="151" t="inlineStr">
        <is>
          <t>Value of production (£) at sales prices</t>
        </is>
      </c>
      <c r="H139" s="10" t="n"/>
    </row>
    <row r="140">
      <c r="A140" s="15" t="inlineStr">
        <is>
          <t>Eggs</t>
        </is>
      </c>
      <c r="B140" s="15">
        <f>IFERROR(INDEX(Stock!$A$3:$U$91,MATCH('Highclere Overview'!$A140,Stock!$A$3:$A$91,0),MATCH('Highclere Overview'!B$68,Stock!$A$3:$U$3,0)),0)</f>
        <v/>
      </c>
      <c r="C140" s="15">
        <f>IFERROR(INDEX(Stock!$A$3:$U$91,MATCH('Highclere Overview'!$A140,Stock!$A$3:$A$91,0),MATCH('Highclere Overview'!C$68,Stock!$A$3:$U$3,0)),0)</f>
        <v/>
      </c>
      <c r="D140" s="15">
        <f>C140-B140</f>
        <v/>
      </c>
      <c r="E140" s="15" t="n"/>
      <c r="F140" s="133">
        <f>IFERROR(INDEX(Stock!$A$3:$U$91,MATCH('Highclere Overview'!$A140,Stock!$A$3:$A$91,0),MATCH('Highclere Overview'!F$68,Stock!$A$3:$U$3,0)),0)</f>
        <v/>
      </c>
      <c r="G140" s="133">
        <f>IFERROR(INDEX(Stock!$A$3:$U$91,MATCH('Highclere Overview'!$A140,Stock!$A$3:$A$91,0),MATCH('Highclere Overview'!G$68,Stock!$A$3:$U$3,0)),0)</f>
        <v/>
      </c>
      <c r="H140" s="10" t="n"/>
    </row>
    <row r="141">
      <c r="A141" s="15" t="inlineStr">
        <is>
          <t>Cocks &amp; hens from churchscot of customary tenants</t>
        </is>
      </c>
      <c r="B141" s="15">
        <f>IFERROR(INDEX(Stock!$A$3:$U$91,MATCH('Highclere Overview'!$A141,Stock!$A$3:$A$91,0),MATCH('Highclere Overview'!B$68,Stock!$A$3:$U$3,0)),0)</f>
        <v/>
      </c>
      <c r="C141" s="15">
        <f>IFERROR(INDEX(Stock!$A$3:$U$91,MATCH('Highclere Overview'!$A141,Stock!$A$3:$A$91,0),MATCH('Highclere Overview'!C$68,Stock!$A$3:$U$3,0)),0)</f>
        <v/>
      </c>
      <c r="D141" s="15">
        <f>C141-B141</f>
        <v/>
      </c>
      <c r="E141" s="15" t="n"/>
      <c r="F141" s="133">
        <f>IFERROR(INDEX(Stock!$A$3:$U$91,MATCH('Highclere Overview'!$A141,Stock!$A$3:$A$91,0),MATCH('Highclere Overview'!F$68,Stock!$A$3:$U$3,0)),0)</f>
        <v/>
      </c>
      <c r="G141" s="133">
        <f>IFERROR(INDEX(Stock!$A$3:$U$91,MATCH('Highclere Overview'!$A141,Stock!$A$3:$A$91,0),MATCH('Highclere Overview'!G$68,Stock!$A$3:$U$3,0)),0)</f>
        <v/>
      </c>
      <c r="H141" s="10" t="n"/>
    </row>
    <row r="142">
      <c r="A142" s="17" t="inlineStr">
        <is>
          <t>Total value of production (sum of the above)</t>
        </is>
      </c>
      <c r="B142" s="134" t="n"/>
      <c r="C142" s="134" t="n"/>
      <c r="D142" s="134" t="n"/>
      <c r="E142" s="134" t="n"/>
      <c r="F142" s="134" t="n"/>
      <c r="G142" s="140">
        <f>SUM(G140:G141)</f>
        <v/>
      </c>
      <c r="H142" s="10" t="n"/>
    </row>
    <row r="143">
      <c r="A143" s="17" t="inlineStr">
        <is>
          <t>Value of sales</t>
        </is>
      </c>
      <c r="B143" s="134" t="n"/>
      <c r="C143" s="134" t="n"/>
      <c r="D143" s="134" t="n"/>
      <c r="E143" s="134" t="n"/>
      <c r="F143" s="134" t="n"/>
      <c r="G143" s="140">
        <f>SUM(Stock!T72:T73)</f>
        <v/>
      </c>
      <c r="H143" s="10" t="n"/>
    </row>
    <row r="144">
      <c r="A144" s="15" t="n"/>
      <c r="B144" s="15" t="n"/>
      <c r="C144" s="15" t="n"/>
      <c r="D144" s="15" t="n"/>
      <c r="E144" s="15" t="n"/>
      <c r="F144" s="15" t="n"/>
      <c r="G144" s="133" t="n"/>
      <c r="H144" s="10" t="n"/>
    </row>
    <row r="145" ht="33.95" customHeight="1">
      <c r="A145" s="16" t="inlineStr">
        <is>
          <t>Dairy Production</t>
        </is>
      </c>
      <c r="B145" s="149" t="inlineStr">
        <is>
          <t>Inherited stock</t>
        </is>
      </c>
      <c r="C145" s="149" t="inlineStr">
        <is>
          <t>End-period  stock</t>
        </is>
      </c>
      <c r="D145" s="150" t="inlineStr">
        <is>
          <t>Stockbuilding</t>
        </is>
      </c>
      <c r="E145" s="137" t="n"/>
      <c r="F145" s="151" t="inlineStr">
        <is>
          <t>Sales in (£)</t>
        </is>
      </c>
      <c r="G145" s="151" t="inlineStr">
        <is>
          <t>Value of production (£) at sales prices</t>
        </is>
      </c>
      <c r="H145" s="10" t="n"/>
    </row>
    <row r="146">
      <c r="A146" s="15" t="inlineStr">
        <is>
          <t>Butter</t>
        </is>
      </c>
      <c r="B146" s="15">
        <f>IFERROR(INDEX(Stock!$A$3:$U$91,MATCH('Highclere Overview'!$A146,Stock!$A$3:$A$91,0),MATCH('Highclere Overview'!B$68,Stock!$A$3:$U$3,0)),0)</f>
        <v/>
      </c>
      <c r="C146" s="15">
        <f>IFERROR(INDEX(Stock!$A$3:$U$91,MATCH('Highclere Overview'!$A146,Stock!$A$3:$A$91,0),MATCH('Highclere Overview'!C$68,Stock!$A$3:$U$3,0)),0)</f>
        <v/>
      </c>
      <c r="D146" s="15">
        <f>C146-B146</f>
        <v/>
      </c>
      <c r="E146" s="15" t="n"/>
      <c r="F146" s="15">
        <f>IFERROR(INDEX(Stock!$A$3:$U$91,MATCH('Highclere Overview'!$A146,Stock!$A$3:$A$91,0),MATCH('Highclere Overview'!F$68,Stock!$A$3:$U$3,0)),0)</f>
        <v/>
      </c>
      <c r="G146" s="15">
        <f>IFERROR(INDEX(Stock!$A$3:$U$91,MATCH('Highclere Overview'!$A146,Stock!$A$3:$A$91,0),MATCH('Highclere Overview'!G$68,Stock!$A$3:$U$3,0)),0)</f>
        <v/>
      </c>
      <c r="H146" s="10" t="n"/>
    </row>
    <row r="147">
      <c r="A147" s="15" t="inlineStr">
        <is>
          <t>Winter Cheese</t>
        </is>
      </c>
      <c r="B147" s="15">
        <f>IFERROR(INDEX(Stock!$A$3:$U$91,MATCH('Highclere Overview'!$A147,Stock!$A$3:$A$91,0),MATCH('Highclere Overview'!B$68,Stock!$A$3:$U$3,0)),0)</f>
        <v/>
      </c>
      <c r="C147" s="15">
        <f>IFERROR(INDEX(Stock!$A$3:$U$91,MATCH('Highclere Overview'!$A147,Stock!$A$3:$A$91,0),MATCH('Highclere Overview'!C$68,Stock!$A$3:$U$3,0)),0)</f>
        <v/>
      </c>
      <c r="D147" s="15">
        <f>C147-B147</f>
        <v/>
      </c>
      <c r="E147" s="15" t="n"/>
      <c r="F147" s="133">
        <f>IFERROR(INDEX(Stock!$A$3:$U$91,MATCH('Highclere Overview'!$A147,Stock!$A$3:$A$91,0),MATCH('Highclere Overview'!F$68,Stock!$A$3:$U$3,0)),0)</f>
        <v/>
      </c>
      <c r="G147" s="133">
        <f>Stock!S83</f>
        <v/>
      </c>
      <c r="H147" s="10" t="inlineStr">
        <is>
          <t>cannot be valued because of measurement in wey vs sales in number of cheeses</t>
        </is>
      </c>
    </row>
    <row r="148">
      <c r="A148" s="15" t="inlineStr">
        <is>
          <t>Summer Cheese</t>
        </is>
      </c>
      <c r="B148" s="15">
        <f>IFERROR(INDEX(Stock!$A$3:$U$91,MATCH('Highclere Overview'!$A148,Stock!$A$3:$A$91,0),MATCH('Highclere Overview'!B$68,Stock!$A$3:$U$3,0)),0)</f>
        <v/>
      </c>
      <c r="C148" s="15">
        <f>IFERROR(INDEX(Stock!$A$3:$U$91,MATCH('Highclere Overview'!$A148,Stock!$A$3:$A$91,0),MATCH('Highclere Overview'!C$68,Stock!$A$3:$U$3,0)),0)</f>
        <v/>
      </c>
      <c r="D148" s="15">
        <f>C148-B148</f>
        <v/>
      </c>
      <c r="E148" s="15" t="n"/>
      <c r="F148" s="133">
        <f>IFERROR(INDEX(Stock!$A$3:$U$91,MATCH('Highclere Overview'!$A148,Stock!$A$3:$A$91,0),MATCH('Highclere Overview'!F$68,Stock!$A$3:$U$3,0)),0)</f>
        <v/>
      </c>
      <c r="G148" s="133">
        <f>Stock!S84</f>
        <v/>
      </c>
      <c r="H148" s="10" t="n"/>
    </row>
    <row r="149">
      <c r="A149" s="15" t="inlineStr">
        <is>
          <t>Burghclere Cheese</t>
        </is>
      </c>
      <c r="B149" s="15">
        <f>IFERROR(INDEX(Stock!$A$3:$U$91,MATCH('Highclere Overview'!$A149,Stock!$A$3:$A$91,0),MATCH('Highclere Overview'!B$68,Stock!$A$3:$U$3,0)),0)</f>
        <v/>
      </c>
      <c r="C149" s="15">
        <f>IFERROR(INDEX(Stock!$A$3:$U$91,MATCH('Highclere Overview'!$A149,Stock!$A$3:$A$91,0),MATCH('Highclere Overview'!C$68,Stock!$A$3:$U$3,0)),0)</f>
        <v/>
      </c>
      <c r="D149" s="15">
        <f>C149-B149</f>
        <v/>
      </c>
      <c r="E149" s="15" t="n"/>
      <c r="F149" s="133">
        <f>IFERROR(INDEX(Stock!$A$3:$U$91,MATCH('Highclere Overview'!$A149,Stock!$A$3:$A$91,0),MATCH('Highclere Overview'!F$68,Stock!$A$3:$U$3,0)),0)</f>
        <v/>
      </c>
      <c r="G149" s="133">
        <f>Stock!S85</f>
        <v/>
      </c>
      <c r="H149" s="10" t="n"/>
    </row>
    <row r="150">
      <c r="A150" s="17" t="inlineStr">
        <is>
          <t>Total value of production (sum of the above)</t>
        </is>
      </c>
      <c r="B150" s="134" t="n"/>
      <c r="C150" s="134" t="n"/>
      <c r="D150" s="134" t="n"/>
      <c r="E150" s="134" t="n"/>
      <c r="F150" s="134" t="n"/>
      <c r="G150" s="140">
        <f>SUM(G146:G149)</f>
        <v/>
      </c>
      <c r="H150" s="10" t="n"/>
    </row>
    <row r="151">
      <c r="A151" s="17" t="inlineStr">
        <is>
          <t>Value of sales</t>
        </is>
      </c>
      <c r="B151" s="134" t="n"/>
      <c r="C151" s="134" t="n"/>
      <c r="D151" s="134" t="n"/>
      <c r="E151" s="134" t="n"/>
      <c r="F151" s="134" t="n"/>
      <c r="G151" s="140">
        <f>SUM(F146:F148)</f>
        <v/>
      </c>
      <c r="H151" s="10" t="n"/>
    </row>
    <row r="152">
      <c r="A152" s="15" t="n"/>
      <c r="B152" s="15" t="n"/>
      <c r="C152" s="15" t="n"/>
      <c r="D152" s="15" t="n"/>
      <c r="E152" s="15" t="n"/>
      <c r="F152" s="15" t="n"/>
      <c r="G152" s="133" t="n"/>
      <c r="H152" s="10" t="n"/>
    </row>
    <row r="153" ht="17.1" customHeight="1">
      <c r="A153" s="15" t="n"/>
      <c r="B153" s="15" t="n"/>
      <c r="C153" s="15" t="n"/>
      <c r="D153" s="15" t="n"/>
      <c r="E153" s="15" t="n"/>
      <c r="F153" s="15" t="n"/>
      <c r="G153" s="133" t="n"/>
      <c r="H153" s="10" t="n"/>
    </row>
    <row r="154" ht="17.1" customHeight="1">
      <c r="A154" s="103" t="n"/>
      <c r="B154" s="104" t="inlineStr">
        <is>
          <t>Total in £</t>
        </is>
      </c>
      <c r="C154" s="105" t="n"/>
      <c r="D154" s="152" t="n"/>
      <c r="E154" s="153" t="n"/>
      <c r="F154" s="15" t="n"/>
      <c r="G154" s="133" t="n"/>
      <c r="H154" s="10" t="n"/>
    </row>
    <row r="155">
      <c r="A155" s="97" t="inlineStr">
        <is>
          <t>Total Production Value of all Output (Grange, Dairy, Livestock Sales, Wools, Skins - NO Mill)</t>
        </is>
      </c>
      <c r="B155" s="26">
        <f>G150+G142+G128+G104+G96+G54</f>
        <v/>
      </c>
      <c r="C155" s="10" t="n"/>
      <c r="D155" s="9" t="n"/>
      <c r="E155" s="154" t="n"/>
      <c r="F155" s="15" t="n"/>
      <c r="G155" s="155" t="n"/>
      <c r="H155" s="10" t="n"/>
    </row>
    <row r="156">
      <c r="A156" s="98" t="inlineStr">
        <is>
          <t>Total Sales Value of all Output as defined above</t>
        </is>
      </c>
      <c r="B156" s="26">
        <f>G151+G143+G129+G105+G96+G55</f>
        <v/>
      </c>
      <c r="C156" s="10" t="n"/>
      <c r="D156" s="9" t="n"/>
      <c r="E156" s="154" t="n"/>
      <c r="F156" s="15" t="n"/>
      <c r="G156" s="155" t="n"/>
      <c r="H156" s="10" t="n"/>
    </row>
    <row r="157">
      <c r="A157" s="98" t="inlineStr">
        <is>
          <t>Total Sales of Corn + Issues of the Manor as recorded in account</t>
        </is>
      </c>
      <c r="B157" s="26">
        <f>G12+G11</f>
        <v/>
      </c>
      <c r="C157" s="10" t="n"/>
      <c r="D157" s="9" t="n"/>
      <c r="E157" s="154" t="n"/>
      <c r="F157" s="15" t="n"/>
      <c r="G157" s="155" t="n"/>
      <c r="H157" s="10" t="n"/>
    </row>
    <row r="158">
      <c r="A158" s="98" t="inlineStr">
        <is>
          <t>Production Value + Cash Receipts (excl. Arrears, Issues, Corn)</t>
        </is>
      </c>
      <c r="B158" s="26">
        <f>B155+G9+G10+G13+G14</f>
        <v/>
      </c>
      <c r="C158" s="10" t="n"/>
      <c r="D158" s="9" t="n"/>
      <c r="E158" s="154" t="n"/>
      <c r="F158" s="15" t="n"/>
      <c r="G158" s="133" t="n"/>
      <c r="H158" s="10" t="n"/>
    </row>
    <row r="159">
      <c r="A159" s="99" t="n"/>
      <c r="B159" s="9" t="n"/>
      <c r="C159" s="10" t="n"/>
      <c r="D159" s="9" t="n"/>
      <c r="E159" s="154" t="n"/>
      <c r="F159" s="15" t="n"/>
      <c r="G159" s="156" t="n"/>
      <c r="H159" s="10" t="n"/>
    </row>
    <row r="160">
      <c r="A160" s="100" t="inlineStr">
        <is>
          <t>% of capital expenses in terms of total production</t>
        </is>
      </c>
      <c r="B160" s="157">
        <f>G33/B155</f>
        <v/>
      </c>
      <c r="C160" s="40" t="n"/>
      <c r="D160" s="9" t="n"/>
      <c r="E160" s="154" t="n"/>
      <c r="F160" s="15" t="n"/>
      <c r="G160" s="155" t="n"/>
      <c r="H160" s="10" t="n"/>
    </row>
    <row r="161">
      <c r="A161" s="98" t="inlineStr">
        <is>
          <t>% of capital expenses in terms of total production + cash receipts</t>
        </is>
      </c>
      <c r="B161" s="157">
        <f>G33/B158</f>
        <v/>
      </c>
      <c r="C161" s="10" t="n"/>
      <c r="D161" s="9" t="n"/>
      <c r="E161" s="154" t="n"/>
      <c r="F161" s="15" t="n"/>
      <c r="G161" s="133" t="n"/>
      <c r="H161" s="10" t="n"/>
    </row>
    <row r="162">
      <c r="A162" s="99" t="n"/>
      <c r="B162" s="9" t="n"/>
      <c r="C162" s="10" t="n"/>
      <c r="D162" s="9" t="n"/>
      <c r="E162" s="154" t="n"/>
      <c r="F162" s="15" t="n"/>
      <c r="G162" s="155" t="n"/>
      <c r="H162" s="10" t="n"/>
    </row>
    <row r="163" ht="17.1" customHeight="1">
      <c r="A163" s="101" t="inlineStr">
        <is>
          <t>% of capital expenses as calculated previously</t>
        </is>
      </c>
      <c r="B163" s="158" t="n">
        <v>0.1082</v>
      </c>
      <c r="C163" s="102" t="n"/>
      <c r="D163" s="159" t="n"/>
      <c r="E163" s="160" t="n"/>
    </row>
  </sheetData>
  <mergeCells count="1">
    <mergeCell ref="B44:C44"/>
  </mergeCells>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L136"/>
  <sheetViews>
    <sheetView topLeftCell="A1" workbookViewId="0">
      <selection activeCell="A1" sqref="A1"/>
    </sheetView>
  </sheetViews>
  <sheetFormatPr baseColWidth="8" defaultRowHeight="15"/>
  <cols>
    <col width="48.375" customWidth="1" min="1" max="1"/>
    <col width="10.875" customWidth="1" min="7" max="7"/>
  </cols>
  <sheetData>
    <row r="1" ht="18.95" customHeight="1">
      <c r="A1" s="161" t="inlineStr">
        <is>
          <t>Highclere RECEIPTS</t>
        </is>
      </c>
      <c r="F1" s="162" t="n"/>
      <c r="H1" s="10" t="n"/>
    </row>
    <row r="2">
      <c r="B2" s="89" t="inlineStr">
        <is>
          <t>£</t>
        </is>
      </c>
      <c r="C2" s="90" t="inlineStr">
        <is>
          <t xml:space="preserve">s </t>
        </is>
      </c>
      <c r="D2" s="90" t="inlineStr">
        <is>
          <t>d</t>
        </is>
      </c>
      <c r="E2" s="12" t="n"/>
      <c r="F2" s="5" t="inlineStr">
        <is>
          <t>Total in £</t>
        </is>
      </c>
      <c r="G2" s="163" t="inlineStr">
        <is>
          <t>Error</t>
        </is>
      </c>
      <c r="H2" s="12" t="inlineStr">
        <is>
          <t>Notes</t>
        </is>
      </c>
    </row>
    <row r="3">
      <c r="F3" s="162" t="n"/>
      <c r="H3" s="10" t="n"/>
    </row>
    <row r="4">
      <c r="A4" s="12" t="inlineStr">
        <is>
          <t>Arrears</t>
        </is>
      </c>
      <c r="F4" s="162" t="n"/>
      <c r="H4" s="10" t="n"/>
    </row>
    <row r="5">
      <c r="A5" t="inlineStr">
        <is>
          <t>Arrears total</t>
        </is>
      </c>
      <c r="B5" t="n">
        <v>1</v>
      </c>
      <c r="C5" t="n">
        <v>8</v>
      </c>
      <c r="F5" s="162">
        <f>B5+C5/20+D5/240</f>
        <v/>
      </c>
      <c r="H5" s="10" t="n"/>
    </row>
    <row r="6">
      <c r="A6" t="inlineStr">
        <is>
          <t>of which delivered to treasurer of Wolvesey</t>
        </is>
      </c>
      <c r="B6" t="n">
        <v>1</v>
      </c>
      <c r="C6" t="n">
        <v>8</v>
      </c>
      <c r="F6" s="164">
        <f>B6+C6/20+D6/240</f>
        <v/>
      </c>
      <c r="H6" s="10" t="n"/>
    </row>
    <row r="7"/>
    <row r="8">
      <c r="A8" s="12" t="inlineStr">
        <is>
          <t>Rents of assize</t>
        </is>
      </c>
    </row>
    <row r="9">
      <c r="A9" t="inlineStr">
        <is>
          <t>Christmas</t>
        </is>
      </c>
      <c r="B9" t="n">
        <v>1</v>
      </c>
      <c r="C9" t="n">
        <v>14</v>
      </c>
      <c r="F9" s="162">
        <f>B9+C9/20+D9/240</f>
        <v/>
      </c>
    </row>
    <row r="10">
      <c r="A10" t="inlineStr">
        <is>
          <t>Easter</t>
        </is>
      </c>
      <c r="B10" t="n">
        <v>3</v>
      </c>
      <c r="C10" t="n">
        <v>6</v>
      </c>
      <c r="F10" s="162">
        <f>B10+C10/20+D10/240</f>
        <v/>
      </c>
    </row>
    <row r="11">
      <c r="A11" t="inlineStr">
        <is>
          <t>Nativity</t>
        </is>
      </c>
      <c r="B11" t="n">
        <v>2</v>
      </c>
      <c r="F11" s="162">
        <f>B11+C11/20+D11/240</f>
        <v/>
      </c>
    </row>
    <row r="12">
      <c r="A12" t="inlineStr">
        <is>
          <t>Michaelmas</t>
        </is>
      </c>
      <c r="B12" t="n">
        <v>15</v>
      </c>
      <c r="C12" t="n">
        <v>8</v>
      </c>
      <c r="D12" t="n">
        <v>1.5</v>
      </c>
      <c r="F12" s="162">
        <f>B12+C12/20+D12/240</f>
        <v/>
      </c>
    </row>
    <row r="13">
      <c r="A13" s="12" t="inlineStr">
        <is>
          <t>Total recorded in accounts</t>
        </is>
      </c>
      <c r="B13" t="n">
        <v>22</v>
      </c>
      <c r="C13" t="n">
        <v>8</v>
      </c>
      <c r="D13" t="n">
        <v>1.5</v>
      </c>
      <c r="F13" s="164">
        <f>B13+C13/20+D13/240</f>
        <v/>
      </c>
    </row>
    <row r="14">
      <c r="A14" s="12" t="inlineStr">
        <is>
          <t>Rents of assize total</t>
        </is>
      </c>
      <c r="B14">
        <f>SUM(B9:B12)</f>
        <v/>
      </c>
      <c r="C14">
        <f>SUM(C9:C12)</f>
        <v/>
      </c>
      <c r="D14">
        <f>SUM(D9:D12)</f>
        <v/>
      </c>
      <c r="F14" s="164">
        <f>B14+C14/20+D14/240</f>
        <v/>
      </c>
      <c r="G14" s="139">
        <f>F14-F13</f>
        <v/>
      </c>
    </row>
    <row r="15"/>
    <row r="16">
      <c r="A16" s="12" t="inlineStr">
        <is>
          <t>Quittances</t>
        </is>
      </c>
    </row>
    <row r="17">
      <c r="A17" t="inlineStr">
        <is>
          <t>quittance of 1 reeve</t>
        </is>
      </c>
      <c r="C17" t="n">
        <v>4</v>
      </c>
      <c r="F17" s="162">
        <f>B17+C17/20+D17/240</f>
        <v/>
      </c>
    </row>
    <row r="18">
      <c r="A18" t="inlineStr">
        <is>
          <t>1 hayward for the year</t>
        </is>
      </c>
      <c r="C18" t="n">
        <v>2</v>
      </c>
      <c r="F18" s="162">
        <f>B18+C18/20+D18/240</f>
        <v/>
      </c>
    </row>
    <row r="19">
      <c r="A19" t="inlineStr">
        <is>
          <t>1 woodward of Holehurst</t>
        </is>
      </c>
      <c r="C19" t="n">
        <v>2</v>
      </c>
      <c r="D19" t="n">
        <v>4</v>
      </c>
      <c r="F19" s="162">
        <f>B19+C19/20+D19/240</f>
        <v/>
      </c>
    </row>
    <row r="20">
      <c r="A20" t="inlineStr">
        <is>
          <t>3 ploughmen</t>
        </is>
      </c>
      <c r="C20" t="n">
        <v>6</v>
      </c>
      <c r="F20" s="162">
        <f>B20+C20/20+D20/240</f>
        <v/>
      </c>
      <c r="L20" s="165" t="n"/>
    </row>
    <row r="21">
      <c r="A21" t="inlineStr">
        <is>
          <t>1 ploughman</t>
        </is>
      </c>
      <c r="C21" t="n">
        <v>1</v>
      </c>
      <c r="D21" t="n">
        <v>3</v>
      </c>
      <c r="F21" s="162">
        <f>B21+C21/20+D21/240</f>
        <v/>
      </c>
    </row>
    <row r="22">
      <c r="A22" t="inlineStr">
        <is>
          <t>1 smith making the ironwork of the ploughs</t>
        </is>
      </c>
      <c r="C22" t="n">
        <v>2</v>
      </c>
      <c r="F22" s="162">
        <f>B22+C22/20+D22/240</f>
        <v/>
      </c>
    </row>
    <row r="23">
      <c r="A23" t="inlineStr">
        <is>
          <t>1 keeper of ewes</t>
        </is>
      </c>
      <c r="C23" t="n">
        <v>1</v>
      </c>
      <c r="D23" t="n">
        <v>3</v>
      </c>
      <c r="F23" s="162">
        <f>B23+C23/20+D23/240</f>
        <v/>
      </c>
    </row>
    <row r="24">
      <c r="A24" t="inlineStr">
        <is>
          <t>1 cowherd</t>
        </is>
      </c>
      <c r="C24" t="n">
        <v>2</v>
      </c>
      <c r="F24" s="162">
        <f>B24+C24/20+D24/240</f>
        <v/>
      </c>
    </row>
    <row r="25">
      <c r="A25" s="12" t="inlineStr">
        <is>
          <t>Total recorded in accounts</t>
        </is>
      </c>
      <c r="B25" t="n">
        <v>1</v>
      </c>
      <c r="D25" t="n">
        <v>10</v>
      </c>
      <c r="F25" s="164">
        <f>B25+C25/20+D25/240</f>
        <v/>
      </c>
    </row>
    <row r="26">
      <c r="A26" s="12" t="inlineStr">
        <is>
          <t>Quittances total</t>
        </is>
      </c>
      <c r="B26">
        <f>SUM(B17:B24)</f>
        <v/>
      </c>
      <c r="C26">
        <f>SUM(C17:C25)</f>
        <v/>
      </c>
      <c r="D26">
        <f>SUM(D17:D24)</f>
        <v/>
      </c>
      <c r="F26" s="164">
        <f>B26+C26/20+D26/240</f>
        <v/>
      </c>
      <c r="G26" s="139">
        <f>F26-F25</f>
        <v/>
      </c>
    </row>
    <row r="27"/>
    <row r="28">
      <c r="A28" s="12" t="inlineStr">
        <is>
          <t>Defaults of rent</t>
        </is>
      </c>
    </row>
    <row r="29">
      <c r="A29" t="inlineStr">
        <is>
          <t xml:space="preserve">in default of 24 acres of land </t>
        </is>
      </c>
      <c r="D29" t="n">
        <v>10</v>
      </c>
      <c r="F29" s="162">
        <f>B29+C29/20+D29/240</f>
        <v/>
      </c>
    </row>
    <row r="30">
      <c r="A30" t="inlineStr">
        <is>
          <t>10 virgates</t>
        </is>
      </c>
      <c r="C30" t="n">
        <v>13</v>
      </c>
      <c r="D30" t="n">
        <v>4</v>
      </c>
      <c r="F30" s="162">
        <f>B30+C30/20+D30/240</f>
        <v/>
      </c>
    </row>
    <row r="31">
      <c r="A31" t="inlineStr">
        <is>
          <t xml:space="preserve">the land of the skinner </t>
        </is>
      </c>
      <c r="C31" t="n">
        <v>1</v>
      </c>
      <c r="F31" s="162">
        <f>B31+C31/20+D31/240</f>
        <v/>
      </c>
    </row>
    <row r="32">
      <c r="A32" t="inlineStr">
        <is>
          <t>the land which belonged Benedict Clericus</t>
        </is>
      </c>
      <c r="C32" t="n">
        <v>4</v>
      </c>
      <c r="D32" t="n">
        <v>6</v>
      </c>
      <c r="F32" s="162">
        <f>B32+C32/20+D32/240</f>
        <v/>
      </c>
    </row>
    <row r="33">
      <c r="A33" t="inlineStr">
        <is>
          <t>land which belonged to Alexander ly Rych</t>
        </is>
      </c>
      <c r="C33" t="n">
        <v>17</v>
      </c>
      <c r="D33" t="n">
        <v>9</v>
      </c>
      <c r="F33" s="162">
        <f>B33+C33/20+D33/240</f>
        <v/>
      </c>
    </row>
    <row r="34">
      <c r="A34" t="inlineStr">
        <is>
          <t>rent of Hawkley</t>
        </is>
      </c>
      <c r="C34" t="n">
        <v>3</v>
      </c>
      <c r="F34" s="162">
        <f>B34+C34/20+D34/240</f>
        <v/>
      </c>
    </row>
    <row r="35">
      <c r="A35" t="inlineStr">
        <is>
          <t>Nicholas atte Zele</t>
        </is>
      </c>
      <c r="D35" t="n">
        <v>4</v>
      </c>
      <c r="F35" s="162">
        <f>B35+C35/20+D35/240</f>
        <v/>
      </c>
    </row>
    <row r="36">
      <c r="A36" s="12" t="inlineStr">
        <is>
          <t>Total recorded in accounts</t>
        </is>
      </c>
      <c r="B36" t="n">
        <v>2</v>
      </c>
      <c r="D36" t="n">
        <v>9</v>
      </c>
      <c r="F36" s="164">
        <f>B36+C36/20+D36/240</f>
        <v/>
      </c>
    </row>
    <row r="37">
      <c r="A37" s="12" t="inlineStr">
        <is>
          <t>Defaults of rent total</t>
        </is>
      </c>
      <c r="B37">
        <f>SUM(B29:B35)</f>
        <v/>
      </c>
      <c r="C37">
        <f>SUM(C29:C35)</f>
        <v/>
      </c>
      <c r="D37">
        <f>SUM(D29:D35)</f>
        <v/>
      </c>
      <c r="F37" s="164">
        <f>B37+C37/20+D37/240</f>
        <v/>
      </c>
      <c r="G37" s="139">
        <f>F37-F36</f>
        <v/>
      </c>
    </row>
    <row r="38"/>
    <row r="39">
      <c r="A39" s="12" t="inlineStr">
        <is>
          <t>Total of rents remaining</t>
        </is>
      </c>
      <c r="B39" t="n">
        <v>19</v>
      </c>
      <c r="C39" t="n">
        <v>6</v>
      </c>
      <c r="D39" t="n">
        <v>6.5</v>
      </c>
      <c r="F39" s="164">
        <f>B39+C39/20+D39/240</f>
        <v/>
      </c>
    </row>
    <row r="40">
      <c r="F40" s="164" t="n"/>
    </row>
    <row r="41">
      <c r="A41" s="12" t="inlineStr">
        <is>
          <t>Wax</t>
        </is>
      </c>
      <c r="F41" s="164" t="n"/>
    </row>
    <row r="42">
      <c r="A42" t="inlineStr">
        <is>
          <t>nothing</t>
        </is>
      </c>
      <c r="F42" s="162">
        <f>B42+C42/20+D42/240</f>
        <v/>
      </c>
    </row>
    <row r="43">
      <c r="A43" s="12" t="inlineStr">
        <is>
          <t>Total recorded in accounts</t>
        </is>
      </c>
      <c r="F43" s="164">
        <f>B43+C43/20+D43/240</f>
        <v/>
      </c>
    </row>
    <row r="44">
      <c r="A44" s="12" t="inlineStr">
        <is>
          <t>Wax total</t>
        </is>
      </c>
      <c r="B44">
        <f>SUM(B42)</f>
        <v/>
      </c>
      <c r="C44">
        <f>SUM(C42)</f>
        <v/>
      </c>
      <c r="D44">
        <f>SUM(D42)</f>
        <v/>
      </c>
      <c r="F44" s="164">
        <f>B44+C44/20+D44/240</f>
        <v/>
      </c>
      <c r="G44" s="139">
        <f>F44-F43</f>
        <v/>
      </c>
    </row>
    <row r="45"/>
    <row r="46">
      <c r="A46" s="12" t="inlineStr">
        <is>
          <t>Annual recognizances</t>
        </is>
      </c>
    </row>
    <row r="47">
      <c r="A47" t="inlineStr">
        <is>
          <t>from Elias Snow</t>
        </is>
      </c>
      <c r="C47" t="n">
        <v>1</v>
      </c>
      <c r="F47" s="162">
        <f>B47+C47/20+D47/240</f>
        <v/>
      </c>
    </row>
    <row r="48">
      <c r="A48" s="12" t="inlineStr">
        <is>
          <t>Total recorded in accounts</t>
        </is>
      </c>
      <c r="F48" s="162">
        <f>B48+C48/20+D48/240</f>
        <v/>
      </c>
    </row>
    <row r="49">
      <c r="A49" s="12" t="inlineStr">
        <is>
          <t>Annual recognizances total</t>
        </is>
      </c>
      <c r="B49">
        <f>SUM(B47:B47)</f>
        <v/>
      </c>
      <c r="C49">
        <f>SUM(C47:C47)</f>
        <v/>
      </c>
      <c r="D49">
        <f>SUM(D47:D47)</f>
        <v/>
      </c>
      <c r="F49" s="164">
        <f>B49+C49/20+D49/240</f>
        <v/>
      </c>
      <c r="G49" s="139">
        <f>F49-F48</f>
        <v/>
      </c>
    </row>
    <row r="50">
      <c r="A50" s="162" t="n"/>
    </row>
    <row r="51">
      <c r="A51" s="12" t="inlineStr">
        <is>
          <t>Issues of the manor</t>
        </is>
      </c>
    </row>
    <row r="52">
      <c r="A52" t="inlineStr">
        <is>
          <t>pannage of pigs</t>
        </is>
      </c>
      <c r="C52" t="n">
        <v>5</v>
      </c>
      <c r="D52" t="n">
        <v>4.5</v>
      </c>
      <c r="F52" s="162">
        <f>B52+C52/20+D52/240</f>
        <v/>
      </c>
    </row>
    <row r="53">
      <c r="A53" t="inlineStr">
        <is>
          <t>foreign pannage</t>
        </is>
      </c>
      <c r="B53" t="n">
        <v>1</v>
      </c>
      <c r="C53" t="n">
        <v>5</v>
      </c>
      <c r="D53" t="n">
        <v>7</v>
      </c>
      <c r="F53" s="162">
        <f>B53+C53/20+D53/240</f>
        <v/>
      </c>
    </row>
    <row r="54">
      <c r="A54" t="inlineStr">
        <is>
          <t>pannage sold wholesale</t>
        </is>
      </c>
      <c r="C54" t="n">
        <v>17</v>
      </c>
      <c r="F54" s="162">
        <f>B54+C54/20+D54/240</f>
        <v/>
      </c>
    </row>
    <row r="55">
      <c r="A55" t="inlineStr">
        <is>
          <t>from the men of Hawkley</t>
        </is>
      </c>
      <c r="C55" t="n">
        <v>1</v>
      </c>
      <c r="D55" t="n">
        <v>6</v>
      </c>
      <c r="F55" s="162">
        <f>B55+C55/20+D55/240</f>
        <v/>
      </c>
    </row>
    <row r="56">
      <c r="A56" t="inlineStr">
        <is>
          <t>from the pinfold at Michaelmas</t>
        </is>
      </c>
      <c r="C56" t="n">
        <v>2</v>
      </c>
      <c r="F56" s="162">
        <f>B56+C56/20+D56/240</f>
        <v/>
      </c>
    </row>
    <row r="57">
      <c r="A57" t="inlineStr">
        <is>
          <t>from lopping sold</t>
        </is>
      </c>
      <c r="C57" t="n">
        <v>1</v>
      </c>
      <c r="D57" t="n">
        <v>7</v>
      </c>
      <c r="F57" s="162">
        <f>B57+C57/20+D57/240</f>
        <v/>
      </c>
    </row>
    <row r="58">
      <c r="A58" t="inlineStr">
        <is>
          <t>from 8 oxen sold</t>
        </is>
      </c>
      <c r="B58" t="n">
        <v>4</v>
      </c>
      <c r="C58" t="n">
        <v>8</v>
      </c>
      <c r="F58" s="162">
        <f>B58+C58/20+D58/240</f>
        <v/>
      </c>
    </row>
    <row r="59">
      <c r="A59" t="inlineStr">
        <is>
          <t>from 6 cows sold</t>
        </is>
      </c>
      <c r="B59" t="n">
        <v>2</v>
      </c>
      <c r="C59" t="n">
        <v>6</v>
      </c>
      <c r="F59" s="162">
        <f>B59+C59/20+D59/240</f>
        <v/>
      </c>
    </row>
    <row r="60">
      <c r="A60" t="inlineStr">
        <is>
          <t>from 1 feeble cow sold</t>
        </is>
      </c>
      <c r="C60" t="n">
        <v>5</v>
      </c>
      <c r="F60" s="162">
        <f>B60+C60/20+D60/240</f>
        <v/>
      </c>
    </row>
    <row r="61">
      <c r="A61" t="inlineStr">
        <is>
          <t>from 1 steer from a heriot sold</t>
        </is>
      </c>
      <c r="C61" t="n">
        <v>8</v>
      </c>
      <c r="F61" s="162">
        <f>B61+C61/20+D61/240</f>
        <v/>
      </c>
    </row>
    <row r="62">
      <c r="A62" t="inlineStr">
        <is>
          <t>from 17 calves sold</t>
        </is>
      </c>
      <c r="B62" t="n">
        <v>1</v>
      </c>
      <c r="F62" s="162">
        <f>B62+C62/20+D62/240</f>
        <v/>
      </c>
    </row>
    <row r="63">
      <c r="A63" t="inlineStr">
        <is>
          <t>from 39 ewes sold</t>
        </is>
      </c>
      <c r="B63" t="n">
        <v>1</v>
      </c>
      <c r="C63" t="n">
        <v>9</v>
      </c>
      <c r="D63" t="n">
        <v>3</v>
      </c>
      <c r="F63" s="162">
        <f>B63+C63/20+D63/240</f>
        <v/>
      </c>
    </row>
    <row r="64">
      <c r="A64" t="inlineStr">
        <is>
          <t>from the hide of 1 ox in murrain</t>
        </is>
      </c>
      <c r="C64" t="n">
        <v>2</v>
      </c>
      <c r="D64" t="n">
        <v>2</v>
      </c>
      <c r="F64" s="162">
        <f>B64+C64/20+D64/240</f>
        <v/>
      </c>
    </row>
    <row r="65">
      <c r="A65" t="inlineStr">
        <is>
          <t>from the hide of 1 cow in murrain</t>
        </is>
      </c>
      <c r="C65" t="n">
        <v>1</v>
      </c>
      <c r="D65" t="n">
        <v>7</v>
      </c>
      <c r="F65" s="162">
        <f>B65+C65/20+D65/240</f>
        <v/>
      </c>
    </row>
    <row r="66">
      <c r="A66" t="inlineStr">
        <is>
          <t>from the hides sold of 1 steer and 2 yearlings in murrain</t>
        </is>
      </c>
      <c r="C66" t="n">
        <v>1</v>
      </c>
      <c r="D66" t="n">
        <v>7</v>
      </c>
      <c r="F66" s="162">
        <f>B66+C66/20+D66/240</f>
        <v/>
      </c>
    </row>
    <row r="67">
      <c r="A67" t="inlineStr">
        <is>
          <t>from the hides of 2 calves in murrain</t>
        </is>
      </c>
      <c r="D67" t="n">
        <v>2</v>
      </c>
      <c r="F67" s="162">
        <f>B67+C67/20+D67/240</f>
        <v/>
      </c>
    </row>
    <row r="68">
      <c r="A68" t="inlineStr">
        <is>
          <t>from the skins sold of 9 ewes</t>
        </is>
      </c>
      <c r="C68" t="n">
        <v>2</v>
      </c>
      <c r="D68" t="n">
        <v>3</v>
      </c>
      <c r="F68" s="162">
        <f>B68+C68/20+D68/240</f>
        <v/>
      </c>
    </row>
    <row r="69">
      <c r="A69" t="inlineStr">
        <is>
          <t>skins of 2 ewes</t>
        </is>
      </c>
      <c r="D69" t="n">
        <v>2</v>
      </c>
      <c r="F69" s="162">
        <f>B69+C69/20+D69/240</f>
        <v/>
      </c>
    </row>
    <row r="70">
      <c r="A70" t="inlineStr">
        <is>
          <t>from the skins of 34 lambs in murrain</t>
        </is>
      </c>
      <c r="C70" t="n">
        <v>2</v>
      </c>
      <c r="D70" t="n">
        <v>10</v>
      </c>
      <c r="F70" s="162">
        <f>B70+C70/20+D70/240</f>
        <v/>
      </c>
    </row>
    <row r="71">
      <c r="A71" t="inlineStr">
        <is>
          <t>from 1 wey 6 cloves in winter cheese sold</t>
        </is>
      </c>
      <c r="C71" t="n">
        <v>11</v>
      </c>
      <c r="F71" s="162">
        <f>B71+C71/20+D71/240</f>
        <v/>
      </c>
    </row>
    <row r="72">
      <c r="A72" t="inlineStr">
        <is>
          <t>from 8 weys of cows cheese</t>
        </is>
      </c>
      <c r="B72" t="n">
        <v>6</v>
      </c>
      <c r="C72" t="n">
        <v>19</v>
      </c>
      <c r="D72" t="n">
        <v>6</v>
      </c>
      <c r="F72" s="162">
        <f>B72+C72/20+D72/240</f>
        <v/>
      </c>
    </row>
    <row r="73">
      <c r="A73" t="inlineStr">
        <is>
          <t>from 5.5 weys 5 cloves of Burghclere cheese</t>
        </is>
      </c>
      <c r="B73" t="n">
        <v>2</v>
      </c>
      <c r="C73" t="n">
        <v>11</v>
      </c>
      <c r="D73" t="n">
        <v>1</v>
      </c>
      <c r="F73" s="162">
        <f>B73+C73/20+D73/240</f>
        <v/>
      </c>
    </row>
    <row r="74">
      <c r="A74" t="inlineStr">
        <is>
          <t>from 1.5 weys 7 colves of butter sold</t>
        </is>
      </c>
      <c r="C74" t="n">
        <v>15</v>
      </c>
      <c r="D74" t="n">
        <v>9</v>
      </c>
      <c r="F74" s="162">
        <f>B74+C74/20+D74/240</f>
        <v/>
      </c>
    </row>
    <row r="75">
      <c r="A75" t="inlineStr">
        <is>
          <t>from the feathers and tails of peacocks sold</t>
        </is>
      </c>
      <c r="D75" t="n">
        <v>5</v>
      </c>
      <c r="F75" s="162">
        <f>B75+C75/20+D75/240</f>
        <v/>
      </c>
    </row>
    <row r="76">
      <c r="A76" t="inlineStr">
        <is>
          <t>from honey found in the wood sold</t>
        </is>
      </c>
      <c r="C76" t="n">
        <v>2</v>
      </c>
      <c r="F76" s="162">
        <f>B76+C76/20+D76/240</f>
        <v/>
      </c>
    </row>
    <row r="77">
      <c r="A77" t="inlineStr">
        <is>
          <t>from 9 dozen pigeons sold</t>
        </is>
      </c>
      <c r="C77" t="n">
        <v>2</v>
      </c>
      <c r="D77" t="n">
        <v>7.5</v>
      </c>
      <c r="F77" s="162">
        <f>B77+C77/20+D77/240</f>
        <v/>
      </c>
    </row>
    <row r="78">
      <c r="A78" t="inlineStr">
        <is>
          <t>from 39 cloves 2lb of wool locks sold</t>
        </is>
      </c>
      <c r="C78" t="n">
        <v>17</v>
      </c>
      <c r="D78" t="n">
        <v>2</v>
      </c>
      <c r="F78" s="162">
        <f>B78+C78/20+D78/240</f>
        <v/>
      </c>
    </row>
    <row r="79">
      <c r="A79" t="inlineStr">
        <is>
          <t>from 64 hens from churchscot sold</t>
        </is>
      </c>
      <c r="C79" t="n">
        <v>5</v>
      </c>
      <c r="D79" t="n">
        <v>4</v>
      </c>
      <c r="F79" s="162">
        <f>B79+C79/20+D79/240</f>
        <v/>
      </c>
    </row>
    <row r="80">
      <c r="A80" t="inlineStr">
        <is>
          <t>from 1005 eggs sold</t>
        </is>
      </c>
      <c r="C80" t="n">
        <v>2</v>
      </c>
      <c r="D80" t="n">
        <v>11</v>
      </c>
      <c r="F80" s="162">
        <f>B80+C80/20+D80/240</f>
        <v/>
      </c>
    </row>
    <row r="81">
      <c r="A81" t="inlineStr">
        <is>
          <t xml:space="preserve">from 3 pigs sold </t>
        </is>
      </c>
      <c r="C81" t="n">
        <v>11</v>
      </c>
      <c r="F81" s="162">
        <f>B81+C81/20+D81/240</f>
        <v/>
      </c>
    </row>
    <row r="82">
      <c r="A82" t="inlineStr">
        <is>
          <t>from the dairy produce of cows</t>
        </is>
      </c>
      <c r="C82" t="n">
        <v>5</v>
      </c>
      <c r="D82" t="n">
        <v>3</v>
      </c>
      <c r="F82" s="162">
        <f>B82+C82/20+D82/240</f>
        <v/>
      </c>
    </row>
    <row r="83">
      <c r="A83" t="inlineStr">
        <is>
          <t>from the dairy produce of Burghclere ewes sold at audit</t>
        </is>
      </c>
      <c r="C83" t="n">
        <v>5</v>
      </c>
      <c r="D83" t="n">
        <v>5.5</v>
      </c>
      <c r="F83" s="162">
        <f>B83+C83/20+D83/240</f>
        <v/>
      </c>
    </row>
    <row r="84">
      <c r="A84" s="12" t="inlineStr">
        <is>
          <t>Total recorded in accounts</t>
        </is>
      </c>
      <c r="B84" t="n">
        <v>26</v>
      </c>
      <c r="C84" t="n">
        <v>9</v>
      </c>
      <c r="D84" t="n">
        <v>6.5</v>
      </c>
      <c r="F84" s="164">
        <f>B84+C84/20+D84/240</f>
        <v/>
      </c>
    </row>
    <row r="85">
      <c r="A85" s="12" t="inlineStr">
        <is>
          <t>Issues of the manor total</t>
        </is>
      </c>
      <c r="B85">
        <f>SUM(B52:B83)</f>
        <v/>
      </c>
      <c r="C85">
        <f>SUM(C52:C83)</f>
        <v/>
      </c>
      <c r="D85">
        <f>SUM(D52:D83)</f>
        <v/>
      </c>
      <c r="F85" s="164">
        <f>B85+C85/20+D85/240</f>
        <v/>
      </c>
      <c r="G85" s="139">
        <f>F85-F84</f>
        <v/>
      </c>
    </row>
    <row r="86"/>
    <row r="87">
      <c r="A87" s="12" t="inlineStr">
        <is>
          <t>Sale of corn</t>
        </is>
      </c>
    </row>
    <row r="88">
      <c r="A88" t="inlineStr">
        <is>
          <t>wheat</t>
        </is>
      </c>
      <c r="B88" t="n">
        <v>7</v>
      </c>
      <c r="C88" t="n">
        <v>11</v>
      </c>
      <c r="D88" t="n">
        <v>6</v>
      </c>
      <c r="F88" s="162">
        <f>B88+C88/20+D88/240</f>
        <v/>
      </c>
    </row>
    <row r="89">
      <c r="A89" t="inlineStr">
        <is>
          <t>barley</t>
        </is>
      </c>
      <c r="B89" t="n">
        <v>1</v>
      </c>
      <c r="C89" t="n">
        <v>13</v>
      </c>
      <c r="F89" s="162">
        <f>B89+C89/20+D89/240</f>
        <v/>
      </c>
    </row>
    <row r="90">
      <c r="A90" t="inlineStr">
        <is>
          <t>oats</t>
        </is>
      </c>
      <c r="C90" t="n">
        <v>12</v>
      </c>
      <c r="D90" t="n">
        <v>2.25</v>
      </c>
      <c r="F90" s="162">
        <f>B90+C90/20+D90/240</f>
        <v/>
      </c>
    </row>
    <row r="91">
      <c r="A91" s="12" t="inlineStr">
        <is>
          <t>Total recorded in accounts</t>
        </is>
      </c>
      <c r="B91" t="n">
        <v>9</v>
      </c>
      <c r="C91" t="n">
        <v>16</v>
      </c>
      <c r="D91" t="n">
        <v>8.25</v>
      </c>
      <c r="F91" s="164">
        <f>B91+C91/20+D91/240</f>
        <v/>
      </c>
    </row>
    <row r="92">
      <c r="A92" s="12" t="inlineStr">
        <is>
          <t>Sale of corn total</t>
        </is>
      </c>
      <c r="B92">
        <f>SUM(B88:B90)</f>
        <v/>
      </c>
      <c r="C92">
        <f>SUM(C88:C91)</f>
        <v/>
      </c>
      <c r="D92">
        <f>SUM(D88:D90)</f>
        <v/>
      </c>
      <c r="F92" s="164">
        <f>B92+C92/20+D92/240</f>
        <v/>
      </c>
      <c r="G92" s="139">
        <f>F92-F91</f>
        <v/>
      </c>
    </row>
    <row r="93"/>
    <row r="94">
      <c r="A94" s="12" t="inlineStr">
        <is>
          <t>Entry and marriage fines</t>
        </is>
      </c>
    </row>
    <row r="95">
      <c r="A95" t="inlineStr">
        <is>
          <t>tithing for tithingpenny</t>
        </is>
      </c>
      <c r="C95" t="n">
        <v>4</v>
      </c>
      <c r="F95" s="162">
        <f>B95+C95/20+D95/240</f>
        <v/>
      </c>
    </row>
    <row r="96">
      <c r="A96" t="inlineStr">
        <is>
          <t>William Yong</t>
        </is>
      </c>
      <c r="C96" t="n">
        <v>6</v>
      </c>
      <c r="D96" t="n">
        <v>8</v>
      </c>
      <c r="F96" s="162">
        <f>B96+C96/20+D96/240</f>
        <v/>
      </c>
    </row>
    <row r="97">
      <c r="A97" t="inlineStr">
        <is>
          <t>from Aleva Snow</t>
        </is>
      </c>
      <c r="C97" t="n">
        <v>10</v>
      </c>
      <c r="F97" s="162">
        <f>B97+C97/20+D97/240</f>
        <v/>
      </c>
    </row>
    <row r="98">
      <c r="A98" t="inlineStr">
        <is>
          <t>from Matildaatte Den</t>
        </is>
      </c>
      <c r="C98" t="n">
        <v>1</v>
      </c>
      <c r="F98" s="162">
        <f>B98+C98/20+D98/240</f>
        <v/>
      </c>
    </row>
    <row r="99">
      <c r="A99" t="inlineStr">
        <is>
          <t>from Juliana Elys</t>
        </is>
      </c>
      <c r="C99" t="n">
        <v>1</v>
      </c>
      <c r="F99" s="162">
        <f>B99+C99/20+D99/240</f>
        <v/>
      </c>
    </row>
    <row r="100">
      <c r="A100" t="inlineStr">
        <is>
          <t>from Thomas le Pottere</t>
        </is>
      </c>
      <c r="D100" t="n">
        <v>6</v>
      </c>
      <c r="F100" s="162">
        <f>B100+C100/20+D100/240</f>
        <v/>
      </c>
    </row>
    <row r="101">
      <c r="A101" t="inlineStr">
        <is>
          <t>from Richrad Duk</t>
        </is>
      </c>
      <c r="C101" t="n">
        <v>6</v>
      </c>
      <c r="D101" t="n">
        <v>8</v>
      </c>
      <c r="F101" s="162">
        <f>B101+C101/20+D101/240</f>
        <v/>
      </c>
    </row>
    <row r="102">
      <c r="A102" t="inlineStr">
        <is>
          <t>from John atte Cruch</t>
        </is>
      </c>
      <c r="C102" t="n">
        <v>2</v>
      </c>
      <c r="F102" s="162">
        <f>B102+C102/20+D102/240</f>
        <v/>
      </c>
    </row>
    <row r="103">
      <c r="A103" t="inlineStr">
        <is>
          <t>from John atte Zele</t>
        </is>
      </c>
      <c r="C103" t="n">
        <v>2</v>
      </c>
      <c r="F103" s="162">
        <f>B103+C103/20+D103/240</f>
        <v/>
      </c>
    </row>
    <row r="104">
      <c r="A104" s="12" t="inlineStr">
        <is>
          <t>Total recorded in accounts</t>
        </is>
      </c>
      <c r="B104" t="n">
        <v>1</v>
      </c>
      <c r="C104" t="n">
        <v>13</v>
      </c>
      <c r="D104" t="n">
        <v>10</v>
      </c>
      <c r="F104" s="164">
        <f>B104+C104/20+D104/240</f>
        <v/>
      </c>
    </row>
    <row r="105">
      <c r="A105" s="12" t="inlineStr">
        <is>
          <t>Entry and marriage fines total</t>
        </is>
      </c>
      <c r="B105">
        <f>SUM(B95:B103)</f>
        <v/>
      </c>
      <c r="C105">
        <f>SUM(C95:C104)</f>
        <v/>
      </c>
      <c r="D105">
        <f>SUM(D95:D103)</f>
        <v/>
      </c>
      <c r="F105" s="164">
        <f>B105+C105/20+D105/240</f>
        <v/>
      </c>
      <c r="G105" s="139">
        <f>F105-F104</f>
        <v/>
      </c>
    </row>
    <row r="106"/>
    <row r="107">
      <c r="A107" s="12" t="inlineStr">
        <is>
          <t>Pleas and perquisites</t>
        </is>
      </c>
    </row>
    <row r="108">
      <c r="A108" t="inlineStr">
        <is>
          <t>from the whole tithing because it did not produce in court those it had bailed</t>
        </is>
      </c>
      <c r="C108" t="n">
        <v>1</v>
      </c>
      <c r="F108">
        <f>B108+C108/20+D108/240</f>
        <v/>
      </c>
    </row>
    <row r="109">
      <c r="A109" t="inlineStr">
        <is>
          <t>from Robert Ely because he is convicted</t>
        </is>
      </c>
      <c r="D109" t="n">
        <v>6</v>
      </c>
      <c r="F109">
        <f>B109+C109/20+D109/240</f>
        <v/>
      </c>
    </row>
    <row r="110">
      <c r="A110" t="inlineStr">
        <is>
          <t>from John atte Zele for keeping the cows badly</t>
        </is>
      </c>
      <c r="D110" t="n">
        <v>6</v>
      </c>
      <c r="F110">
        <f>B110+C110/20+D110/240</f>
        <v/>
      </c>
    </row>
    <row r="111">
      <c r="A111" t="inlineStr">
        <is>
          <t>from John Gouham for transgression</t>
        </is>
      </c>
      <c r="D111" t="n">
        <v>3</v>
      </c>
      <c r="F111">
        <f>B111+C111/20+D111/240</f>
        <v/>
      </c>
    </row>
    <row r="112">
      <c r="A112" t="inlineStr">
        <is>
          <t>from the tithing</t>
        </is>
      </c>
      <c r="D112" t="n">
        <v>6</v>
      </c>
      <c r="F112">
        <f>B112+C112/20+D112/240</f>
        <v/>
      </c>
    </row>
    <row r="113">
      <c r="A113" t="inlineStr">
        <is>
          <t>from John Snow and others</t>
        </is>
      </c>
      <c r="C113" t="n">
        <v>3</v>
      </c>
      <c r="F113">
        <f>B113+C113/20+D113/240</f>
        <v/>
      </c>
    </row>
    <row r="114">
      <c r="A114" t="inlineStr">
        <is>
          <t>from Geoffrey Crorou for contempt</t>
        </is>
      </c>
      <c r="D114" t="n">
        <v>9</v>
      </c>
      <c r="F114">
        <f>B114+C114/20+D114/240</f>
        <v/>
      </c>
    </row>
    <row r="115">
      <c r="A115" t="inlineStr">
        <is>
          <t>from Felicia Sewal</t>
        </is>
      </c>
      <c r="D115" t="n">
        <v>3</v>
      </c>
      <c r="F115">
        <f>B115+C115/20+D115/240</f>
        <v/>
      </c>
    </row>
    <row r="116">
      <c r="A116" t="inlineStr">
        <is>
          <t>from Adam de Whyteweye for trespass</t>
        </is>
      </c>
      <c r="C116" t="n">
        <v>2</v>
      </c>
      <c r="D116" t="n">
        <v>3</v>
      </c>
      <c r="F116">
        <f>B116+C116/20+D116/240</f>
        <v/>
      </c>
    </row>
    <row r="117">
      <c r="A117" t="inlineStr">
        <is>
          <t>from the reeve and bartoner</t>
        </is>
      </c>
      <c r="C117" t="n">
        <v>1</v>
      </c>
      <c r="D117" t="n">
        <v>6</v>
      </c>
      <c r="F117">
        <f>B117+C117/20+D117/240</f>
        <v/>
      </c>
    </row>
    <row r="118">
      <c r="A118" t="inlineStr">
        <is>
          <t>from Sarah Conestabil</t>
        </is>
      </c>
      <c r="D118" t="n">
        <v>9</v>
      </c>
      <c r="F118">
        <f>B118+C118/20+D118/240</f>
        <v/>
      </c>
    </row>
    <row r="119">
      <c r="A119" t="inlineStr">
        <is>
          <t>from the tithing</t>
        </is>
      </c>
      <c r="D119" t="n">
        <v>6</v>
      </c>
      <c r="F119">
        <f>B119+C119/20+D119/240</f>
        <v/>
      </c>
    </row>
    <row r="120">
      <c r="A120" t="inlineStr">
        <is>
          <t>from Richard Duk</t>
        </is>
      </c>
      <c r="D120" t="n">
        <v>3</v>
      </c>
      <c r="F120">
        <f>B120+C120/20+D120/240</f>
        <v/>
      </c>
    </row>
    <row r="121">
      <c r="A121" t="inlineStr">
        <is>
          <t>from the ploughman for bad ploughing</t>
        </is>
      </c>
      <c r="D121" t="n">
        <v>6</v>
      </c>
      <c r="F121">
        <f>B121+C121/20+D121/240</f>
        <v/>
      </c>
    </row>
    <row r="122">
      <c r="A122" t="inlineStr">
        <is>
          <t>from Nicholas le Fox</t>
        </is>
      </c>
      <c r="C122" t="n">
        <v>2</v>
      </c>
      <c r="F122">
        <f>B122+C122/20+D122/240</f>
        <v/>
      </c>
    </row>
    <row r="123">
      <c r="A123" t="inlineStr">
        <is>
          <t>from Maurice Lynt</t>
        </is>
      </c>
      <c r="C123" t="n">
        <v>1</v>
      </c>
      <c r="F123">
        <f>B123+C123/20+D123/240</f>
        <v/>
      </c>
    </row>
    <row r="124">
      <c r="A124" t="inlineStr">
        <is>
          <t>from 3 ploughmen because they came late and for bad ploughing</t>
        </is>
      </c>
      <c r="F124">
        <f>B124+C124/20+D124/240</f>
        <v/>
      </c>
    </row>
    <row r="125">
      <c r="A125" t="inlineStr">
        <is>
          <t>from John Swon etc</t>
        </is>
      </c>
      <c r="C125" t="n">
        <v>1</v>
      </c>
      <c r="D125" t="n">
        <v>6</v>
      </c>
      <c r="F125">
        <f>B125+C125/20+D125/240</f>
        <v/>
      </c>
    </row>
    <row r="126">
      <c r="A126" t="inlineStr">
        <is>
          <t>from Robert Ken etc</t>
        </is>
      </c>
      <c r="C126" t="n">
        <v>1</v>
      </c>
      <c r="D126" t="n">
        <v>9</v>
      </c>
      <c r="F126">
        <f>B126+C126/20+D126/240</f>
        <v/>
      </c>
    </row>
    <row r="127">
      <c r="A127" t="inlineStr">
        <is>
          <t>from Adam le Ryd</t>
        </is>
      </c>
      <c r="D127" t="n">
        <v>6</v>
      </c>
      <c r="F127">
        <f>B127+C127/20+D127/240</f>
        <v/>
      </c>
    </row>
    <row r="128">
      <c r="A128" t="inlineStr">
        <is>
          <t>from Richard Kambe</t>
        </is>
      </c>
      <c r="C128" t="n">
        <v>1</v>
      </c>
      <c r="F128">
        <f>B128+C128/20+D128/240</f>
        <v/>
      </c>
    </row>
    <row r="129">
      <c r="A129" t="inlineStr">
        <is>
          <t>from John atte Zele</t>
        </is>
      </c>
      <c r="D129" t="n">
        <v>6</v>
      </c>
      <c r="F129">
        <f>B129+C129/20+D129/240</f>
        <v/>
      </c>
    </row>
    <row r="130">
      <c r="A130" s="12" t="inlineStr">
        <is>
          <t>Total recorded in accounts</t>
        </is>
      </c>
      <c r="B130" t="n">
        <v>1</v>
      </c>
      <c r="C130" t="n">
        <v>2</v>
      </c>
      <c r="D130" t="n">
        <v>9</v>
      </c>
      <c r="F130">
        <f>B130+C130/20+D130/240</f>
        <v/>
      </c>
    </row>
    <row r="131">
      <c r="A131" s="12" t="inlineStr">
        <is>
          <t>Pleas &amp; perquisites total</t>
        </is>
      </c>
      <c r="B131">
        <f>SUM(B108:B129)</f>
        <v/>
      </c>
      <c r="C131">
        <f>SUM(C108:C129)</f>
        <v/>
      </c>
      <c r="D131">
        <f>SUM(D108:D129)</f>
        <v/>
      </c>
      <c r="F131" s="164">
        <f>B131+C131/20+D131/240</f>
        <v/>
      </c>
      <c r="G131" s="139">
        <f>F131-F130</f>
        <v/>
      </c>
    </row>
    <row r="132"/>
    <row r="133">
      <c r="A133" s="8" t="inlineStr">
        <is>
          <t>Total of all receipts (sum of above excl. arrears)</t>
        </is>
      </c>
      <c r="F133" s="164">
        <f>F131+F105+F92+F85+F49+F44+F39</f>
        <v/>
      </c>
    </row>
    <row r="134">
      <c r="A134" s="8" t="inlineStr">
        <is>
          <t>Total of all receipts (sum of above incl. arrears)</t>
        </is>
      </c>
      <c r="F134" s="164">
        <f>F133+F6</f>
        <v/>
      </c>
    </row>
    <row r="135">
      <c r="A135" s="8" t="inlineStr">
        <is>
          <t>Total of all receipts in account excl.  arrears</t>
        </is>
      </c>
      <c r="B135" t="n">
        <v>58</v>
      </c>
      <c r="C135" t="n">
        <v>10</v>
      </c>
      <c r="D135" t="n">
        <v>4.25</v>
      </c>
      <c r="F135" s="164">
        <f>B135+C135/20+D135/240</f>
        <v/>
      </c>
      <c r="G135" s="139">
        <f>F135-F133</f>
        <v/>
      </c>
    </row>
    <row r="136">
      <c r="A136" s="8" t="inlineStr">
        <is>
          <t>Total of all receipts in account incl. arrears</t>
        </is>
      </c>
      <c r="F136" s="164">
        <f>B136+C136/20+D136/240</f>
        <v/>
      </c>
      <c r="G136" s="139" t="n"/>
      <c r="H136" t="inlineStr">
        <is>
          <t>not recorded</t>
        </is>
      </c>
    </row>
  </sheetData>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K154"/>
  <sheetViews>
    <sheetView topLeftCell="A1" workbookViewId="0">
      <selection activeCell="A1" sqref="A1"/>
    </sheetView>
  </sheetViews>
  <sheetFormatPr baseColWidth="8" defaultRowHeight="15"/>
  <cols>
    <col width="39" customWidth="1" min="1" max="1"/>
    <col width="10.875" customWidth="1" min="7" max="7"/>
  </cols>
  <sheetData>
    <row r="1">
      <c r="A1" s="8" t="inlineStr">
        <is>
          <t>Highclere EXPENSES</t>
        </is>
      </c>
      <c r="B1" s="15" t="n"/>
      <c r="C1" s="15" t="n"/>
      <c r="D1" s="15" t="n"/>
      <c r="E1" s="15" t="n"/>
      <c r="F1" s="166" t="n"/>
      <c r="H1" s="10" t="n"/>
    </row>
    <row r="2">
      <c r="A2" s="15" t="n"/>
      <c r="B2" s="146" t="inlineStr">
        <is>
          <t>£</t>
        </is>
      </c>
      <c r="C2" s="147" t="inlineStr">
        <is>
          <t xml:space="preserve">s </t>
        </is>
      </c>
      <c r="D2" s="147" t="inlineStr">
        <is>
          <t>d</t>
        </is>
      </c>
      <c r="E2" s="8" t="n"/>
      <c r="F2" s="167" t="inlineStr">
        <is>
          <t>Total in £</t>
        </is>
      </c>
      <c r="G2" s="163" t="inlineStr">
        <is>
          <t>Error</t>
        </is>
      </c>
      <c r="H2" s="12" t="inlineStr">
        <is>
          <t>Notes</t>
        </is>
      </c>
      <c r="J2" s="52" t="n"/>
      <c r="K2" s="52" t="n"/>
    </row>
    <row r="3">
      <c r="A3" s="12" t="inlineStr">
        <is>
          <t>Cost of Ploughs</t>
        </is>
      </c>
    </row>
    <row r="4">
      <c r="A4" t="inlineStr">
        <is>
          <t>ironworks for 2 ploughs</t>
        </is>
      </c>
      <c r="C4" t="n">
        <v>2</v>
      </c>
      <c r="D4" t="n">
        <v>10</v>
      </c>
      <c r="F4" s="162">
        <f>B4+C4/20+D4/240</f>
        <v/>
      </c>
    </row>
    <row r="5">
      <c r="A5" t="inlineStr">
        <is>
          <t>2 plough irons bought</t>
        </is>
      </c>
      <c r="D5" t="n">
        <v>7</v>
      </c>
      <c r="F5" s="162">
        <f>B5+C5/20+D5/240</f>
        <v/>
      </c>
    </row>
    <row r="6">
      <c r="A6" t="inlineStr">
        <is>
          <t>1 plougshare bought</t>
        </is>
      </c>
      <c r="D6" t="n">
        <v>10</v>
      </c>
      <c r="F6" s="162">
        <f>B6+C6/20+D6/240</f>
        <v/>
      </c>
    </row>
    <row r="7">
      <c r="A7" t="inlineStr">
        <is>
          <t>mending and fitting the ploughs</t>
        </is>
      </c>
      <c r="D7" t="n">
        <v>4.5</v>
      </c>
      <c r="F7" s="162">
        <f>B7+C7/20+D7/240</f>
        <v/>
      </c>
    </row>
    <row r="8">
      <c r="A8" t="inlineStr">
        <is>
          <t>fitting 1 plough with iron tyres</t>
        </is>
      </c>
      <c r="D8" t="n">
        <v>2.5</v>
      </c>
      <c r="F8" s="162">
        <f>B8+C8/20+D8/240</f>
        <v/>
      </c>
    </row>
    <row r="9">
      <c r="A9" t="inlineStr">
        <is>
          <t>2 pairs of wheels bought</t>
        </is>
      </c>
      <c r="D9" t="n">
        <v>8</v>
      </c>
      <c r="F9" s="162">
        <f>B9+C9/20+D9/240</f>
        <v/>
      </c>
    </row>
    <row r="10">
      <c r="A10" t="inlineStr">
        <is>
          <t>trimming and treating timber for ploughs</t>
        </is>
      </c>
      <c r="C10" t="n">
        <v>2</v>
      </c>
      <c r="D10" t="n">
        <v>1.5</v>
      </c>
      <c r="F10" s="162">
        <f>B10+C10/20+D10/240</f>
        <v/>
      </c>
    </row>
    <row r="11">
      <c r="A11" t="inlineStr">
        <is>
          <t>in ploughing boon-works of 15 ploughmen</t>
        </is>
      </c>
      <c r="C11" t="n">
        <v>5</v>
      </c>
      <c r="F11" s="162">
        <f>B11+C11/20+D11/240</f>
        <v/>
      </c>
    </row>
    <row r="12">
      <c r="A12" t="inlineStr">
        <is>
          <t>reward of 3 ploughmen for the year for their Saturday ploughings</t>
        </is>
      </c>
      <c r="C12" t="n">
        <v>16</v>
      </c>
      <c r="D12" t="n">
        <v>10.5</v>
      </c>
      <c r="F12" s="162">
        <f>B12+C12/20+D12/240</f>
        <v/>
      </c>
    </row>
    <row r="13">
      <c r="A13" t="inlineStr">
        <is>
          <t>in stipend of 1 oxherd for 1.5 terms</t>
        </is>
      </c>
      <c r="D13" t="n">
        <v>9</v>
      </c>
      <c r="F13" s="162">
        <f>B13+C13/20+D13/240</f>
        <v/>
      </c>
    </row>
    <row r="14">
      <c r="A14" t="inlineStr">
        <is>
          <t>in 9 oxen bought for ploughs</t>
        </is>
      </c>
      <c r="B14" t="n">
        <v>5</v>
      </c>
      <c r="C14" t="n">
        <v>1</v>
      </c>
      <c r="D14" t="n">
        <v>3</v>
      </c>
      <c r="F14" s="162">
        <f>B14+C14/20+D14/240</f>
        <v/>
      </c>
    </row>
    <row r="15">
      <c r="A15" t="inlineStr">
        <is>
          <t>in wheat bought</t>
        </is>
      </c>
      <c r="B15" t="n">
        <v>1</v>
      </c>
      <c r="C15" t="n">
        <v>14</v>
      </c>
      <c r="D15" t="n">
        <v>4.5</v>
      </c>
      <c r="F15" s="162">
        <f>B15+C15/20+D15/240</f>
        <v/>
      </c>
    </row>
    <row r="16">
      <c r="A16" t="inlineStr">
        <is>
          <t>in bere bought for sowing and liveries</t>
        </is>
      </c>
      <c r="B16" t="n">
        <v>1</v>
      </c>
      <c r="C16" t="n">
        <v>10</v>
      </c>
      <c r="D16" t="n">
        <v>8.5</v>
      </c>
      <c r="F16" s="162">
        <f>B16+C16/20+D16/240</f>
        <v/>
      </c>
    </row>
    <row r="17">
      <c r="A17" s="12" t="inlineStr">
        <is>
          <t>Total recorded in accounts</t>
        </is>
      </c>
      <c r="B17" t="n">
        <v>9</v>
      </c>
      <c r="C17" t="n">
        <v>16</v>
      </c>
      <c r="D17" t="n">
        <v>7</v>
      </c>
      <c r="F17" s="164">
        <f>B17+C17/20+D17/240</f>
        <v/>
      </c>
    </row>
    <row r="18">
      <c r="A18" s="12" t="inlineStr">
        <is>
          <t>Cost of ploughs total</t>
        </is>
      </c>
      <c r="B18">
        <f>SUM(B3:B16)</f>
        <v/>
      </c>
      <c r="C18">
        <f>SUM(C3:C16)</f>
        <v/>
      </c>
      <c r="D18">
        <f>SUM(D3:D16)</f>
        <v/>
      </c>
      <c r="F18" s="164">
        <f>B18+C18/20+D18/240</f>
        <v/>
      </c>
      <c r="G18" s="139">
        <f>F18-F17</f>
        <v/>
      </c>
    </row>
    <row r="19">
      <c r="A19" s="12" t="inlineStr">
        <is>
          <t>Total capital expenses</t>
        </is>
      </c>
      <c r="F19" s="164">
        <f>F4+F5+F6+F7+F8+F9+F10</f>
        <v/>
      </c>
      <c r="G19" s="139" t="n"/>
    </row>
    <row r="20"/>
    <row r="21">
      <c r="A21" s="12" t="inlineStr">
        <is>
          <t>Purchase of Corn</t>
        </is>
      </c>
    </row>
    <row r="22">
      <c r="F22" s="162">
        <f>B22+C22/20+D22/240</f>
        <v/>
      </c>
      <c r="H22" t="inlineStr">
        <is>
          <t>for some reason recorded with cost of ploughs</t>
        </is>
      </c>
    </row>
    <row r="23">
      <c r="A23" s="12" t="inlineStr">
        <is>
          <t>Total recorded in accounts</t>
        </is>
      </c>
      <c r="F23" s="164">
        <f>B23+C23/20+D23/240</f>
        <v/>
      </c>
    </row>
    <row r="24">
      <c r="A24" s="12" t="inlineStr">
        <is>
          <t>Purchase of corn total</t>
        </is>
      </c>
      <c r="B24">
        <f>SUM(B22)</f>
        <v/>
      </c>
      <c r="C24">
        <f>SUM(C22)</f>
        <v/>
      </c>
      <c r="D24">
        <f>SUM(D22)</f>
        <v/>
      </c>
      <c r="F24" s="164">
        <f>B24+C24/20+D24/240</f>
        <v/>
      </c>
      <c r="G24" s="139">
        <f>F24-F23</f>
        <v/>
      </c>
    </row>
    <row r="25"/>
    <row r="26">
      <c r="A26" s="12" t="inlineStr">
        <is>
          <t>Cost of Carts and Wagons</t>
        </is>
      </c>
    </row>
    <row r="27">
      <c r="A27" t="inlineStr">
        <is>
          <t>clouts, nails, grease and white leather bought and in fitting 3 carts with axles</t>
        </is>
      </c>
      <c r="C27" t="n">
        <v>1</v>
      </c>
      <c r="D27" t="n">
        <v>10</v>
      </c>
      <c r="F27" s="162">
        <f>B27+C27/20+D27/240</f>
        <v/>
      </c>
    </row>
    <row r="28">
      <c r="A28" t="inlineStr">
        <is>
          <t>in 1 pair of tie-beams</t>
        </is>
      </c>
      <c r="D28" t="n">
        <v>6</v>
      </c>
      <c r="F28" s="162">
        <f>B28+C28/20+D28/240</f>
        <v/>
      </c>
    </row>
    <row r="29">
      <c r="A29" t="inlineStr">
        <is>
          <t>in 1 cart saddle</t>
        </is>
      </c>
      <c r="D29" t="n">
        <v>4</v>
      </c>
      <c r="F29" s="162">
        <f>B29+C29/20+D29/240</f>
        <v/>
      </c>
    </row>
    <row r="30">
      <c r="A30" t="inlineStr">
        <is>
          <t>in 1 pair of traces</t>
        </is>
      </c>
      <c r="D30" t="n">
        <v>6.5</v>
      </c>
      <c r="F30" s="162">
        <f>B30+C30/20+D30/240</f>
        <v/>
      </c>
    </row>
    <row r="31">
      <c r="A31" t="inlineStr">
        <is>
          <t>in 1 cart rope</t>
        </is>
      </c>
      <c r="C31" t="n">
        <v>1</v>
      </c>
      <c r="D31" t="n">
        <v>2</v>
      </c>
      <c r="F31" s="162">
        <f>B31+C31/20+D31/240</f>
        <v/>
      </c>
    </row>
    <row r="32">
      <c r="A32" t="inlineStr">
        <is>
          <t>in 1 cart-body made anew</t>
        </is>
      </c>
      <c r="D32" t="n">
        <v>6</v>
      </c>
      <c r="F32" s="162">
        <f>B32+C32/20+D32/240</f>
        <v/>
      </c>
    </row>
    <row r="33">
      <c r="A33" t="inlineStr">
        <is>
          <t>in mending the ironwork of the old dung-cart</t>
        </is>
      </c>
      <c r="D33" t="n">
        <v>3</v>
      </c>
      <c r="F33" s="162">
        <f>B33+C33/20+D33/240</f>
        <v/>
      </c>
    </row>
    <row r="34">
      <c r="A34" t="inlineStr">
        <is>
          <t>in 2 halters bought</t>
        </is>
      </c>
      <c r="D34" t="n">
        <v>4</v>
      </c>
      <c r="F34" s="162">
        <f>B34+C34/20+D34/240</f>
        <v/>
      </c>
    </row>
    <row r="35">
      <c r="A35" t="inlineStr">
        <is>
          <t>in shoeing 2 cart-horses</t>
        </is>
      </c>
      <c r="C35" t="n">
        <v>2</v>
      </c>
      <c r="D35" t="n">
        <v>2</v>
      </c>
      <c r="F35" s="162">
        <f>B35+C35/20+D35/240</f>
        <v/>
      </c>
    </row>
    <row r="36">
      <c r="A36" t="inlineStr">
        <is>
          <t>stipend of 1 carter for the year</t>
        </is>
      </c>
      <c r="C36" t="n">
        <v>3</v>
      </c>
      <c r="F36" s="162">
        <f>B36+C36/20+D36/240</f>
        <v/>
      </c>
    </row>
    <row r="37">
      <c r="A37" s="12" t="inlineStr">
        <is>
          <t>Total recorded in accounts</t>
        </is>
      </c>
      <c r="C37" t="n">
        <v>11</v>
      </c>
      <c r="D37" t="n">
        <v>2</v>
      </c>
      <c r="F37" s="164">
        <f>B37+C37/20+D37/240</f>
        <v/>
      </c>
    </row>
    <row r="38">
      <c r="A38" s="12" t="inlineStr">
        <is>
          <t>Cost of carts and wagons total</t>
        </is>
      </c>
      <c r="B38">
        <f>SUM(B27:B36)</f>
        <v/>
      </c>
      <c r="C38">
        <f>SUM(C27:C36)</f>
        <v/>
      </c>
      <c r="D38">
        <f>SUM(D27:D37)</f>
        <v/>
      </c>
      <c r="F38" s="164">
        <f>B38+C38/20+D38/240</f>
        <v/>
      </c>
      <c r="G38" s="139">
        <f>F38-F37</f>
        <v/>
      </c>
    </row>
    <row r="39">
      <c r="A39" s="12" t="inlineStr">
        <is>
          <t>Total capital expenses</t>
        </is>
      </c>
      <c r="F39" s="164">
        <f>F27+F28+F29+F30+F31+F32+F33+F34+F35</f>
        <v/>
      </c>
      <c r="G39" s="139" t="n"/>
    </row>
    <row r="40"/>
    <row r="41">
      <c r="A41" s="12" t="inlineStr">
        <is>
          <t>Cost of Dairy</t>
        </is>
      </c>
    </row>
    <row r="42">
      <c r="A42" t="inlineStr">
        <is>
          <t>linen and woollen cloth</t>
        </is>
      </c>
      <c r="C42" t="n">
        <v>1</v>
      </c>
      <c r="D42" t="n">
        <v>2</v>
      </c>
      <c r="F42" s="162">
        <f>B42+C42/20+D42/240</f>
        <v/>
      </c>
    </row>
    <row r="43">
      <c r="A43" t="inlineStr">
        <is>
          <t>1 new bucket</t>
        </is>
      </c>
      <c r="D43" t="n">
        <v>10.5</v>
      </c>
      <c r="F43" s="162">
        <f>B43+C43/20+D43/240</f>
        <v/>
      </c>
    </row>
    <row r="44">
      <c r="A44" t="inlineStr">
        <is>
          <t>earthenware pots and pans</t>
        </is>
      </c>
      <c r="D44" t="n">
        <v>8</v>
      </c>
      <c r="F44" s="162">
        <f>B44+C44/20+D44/240</f>
        <v/>
      </c>
    </row>
    <row r="45">
      <c r="A45" t="inlineStr">
        <is>
          <t>in a press</t>
        </is>
      </c>
      <c r="D45" t="n">
        <v>6</v>
      </c>
      <c r="F45" s="162">
        <f>B45+C45/20+D45/240</f>
        <v/>
      </c>
    </row>
    <row r="46">
      <c r="A46" t="inlineStr">
        <is>
          <t>in 3qrs of salt bought</t>
        </is>
      </c>
      <c r="D46" t="n">
        <v>7</v>
      </c>
      <c r="F46" s="162">
        <f>B46+C46/20+D46/240</f>
        <v/>
      </c>
    </row>
    <row r="47">
      <c r="A47" t="inlineStr">
        <is>
          <t>in stipend of 1 dairymaid</t>
        </is>
      </c>
      <c r="C47" t="n">
        <v>2</v>
      </c>
      <c r="D47" t="n">
        <v>4</v>
      </c>
      <c r="F47" s="162">
        <f>B47+C47/20+D47/240</f>
        <v/>
      </c>
    </row>
    <row r="48">
      <c r="A48" s="12" t="inlineStr">
        <is>
          <t>Total recorded in accounts</t>
        </is>
      </c>
      <c r="C48" t="n">
        <v>12</v>
      </c>
      <c r="D48" t="n">
        <v>6.5</v>
      </c>
      <c r="F48" s="164">
        <f>B48+C48/20+D48/240</f>
        <v/>
      </c>
    </row>
    <row r="49">
      <c r="A49" s="12" t="inlineStr">
        <is>
          <t>Cost of dairy total</t>
        </is>
      </c>
      <c r="B49">
        <f>SUM(B42:B47)</f>
        <v/>
      </c>
      <c r="C49">
        <f>SUM(C42:C47)</f>
        <v/>
      </c>
      <c r="D49">
        <f>SUM(D42:D48)</f>
        <v/>
      </c>
      <c r="F49" s="164">
        <f>B49+C49/20+D49/240</f>
        <v/>
      </c>
      <c r="G49" s="139">
        <f>F49-F48</f>
        <v/>
      </c>
    </row>
    <row r="50">
      <c r="A50" s="12" t="inlineStr">
        <is>
          <t>Total capital expenses</t>
        </is>
      </c>
      <c r="F50" s="164">
        <f>F42+F43+F44+F45+F46</f>
        <v/>
      </c>
      <c r="G50" s="139" t="n"/>
    </row>
    <row r="51"/>
    <row r="52">
      <c r="A52" s="12" t="inlineStr">
        <is>
          <t>Purchase of Stock</t>
        </is>
      </c>
    </row>
    <row r="53">
      <c r="F53" s="162">
        <f>B53+C53/20+D53/240</f>
        <v/>
      </c>
      <c r="H53" t="inlineStr">
        <is>
          <t>nothing</t>
        </is>
      </c>
    </row>
    <row r="54">
      <c r="F54" s="162">
        <f>B54+C54/20+D54/240</f>
        <v/>
      </c>
    </row>
    <row r="55">
      <c r="F55" s="162">
        <f>B55+C55/20+D55/240</f>
        <v/>
      </c>
    </row>
    <row r="56">
      <c r="A56" s="12" t="inlineStr">
        <is>
          <t>Total recorded in accounts</t>
        </is>
      </c>
      <c r="F56" s="164">
        <f>B56+C56/20+D56/240</f>
        <v/>
      </c>
    </row>
    <row r="57">
      <c r="A57" s="12" t="inlineStr">
        <is>
          <t>Purchase of stock total</t>
        </is>
      </c>
      <c r="B57">
        <f>SUM(B53:B55)</f>
        <v/>
      </c>
      <c r="C57">
        <f>SUM(C53:C55)</f>
        <v/>
      </c>
      <c r="D57">
        <f>SUM(D53:D55)</f>
        <v/>
      </c>
      <c r="F57" s="164">
        <f>B57+C57/20+D57/240</f>
        <v/>
      </c>
      <c r="G57" s="139">
        <f>F57-F56</f>
        <v/>
      </c>
    </row>
    <row r="58"/>
    <row r="59">
      <c r="A59" s="12" t="inlineStr">
        <is>
          <t>Sheepcote</t>
        </is>
      </c>
    </row>
    <row r="60">
      <c r="A60" t="inlineStr">
        <is>
          <t>roofing the sheepcote of Suthdon</t>
        </is>
      </c>
      <c r="C60" t="n">
        <v>2</v>
      </c>
      <c r="F60" s="162">
        <f>B60+C60/20+D60/240</f>
        <v/>
      </c>
    </row>
    <row r="61">
      <c r="A61" t="inlineStr">
        <is>
          <t>collecting 6 acres of stublle for the same</t>
        </is>
      </c>
      <c r="C61" t="n">
        <v>1</v>
      </c>
      <c r="F61" s="162">
        <f>B61+C61/20+D61/240</f>
        <v/>
      </c>
    </row>
    <row r="62">
      <c r="A62" t="inlineStr">
        <is>
          <t>grease bought for greasing the sheep</t>
        </is>
      </c>
      <c r="C62" t="n">
        <v>12</v>
      </c>
      <c r="F62" s="162">
        <f>B62+C62/20+D62/240</f>
        <v/>
      </c>
    </row>
    <row r="63">
      <c r="A63" t="inlineStr">
        <is>
          <t>in stipend of 1 shepherd</t>
        </is>
      </c>
      <c r="D63" t="n">
        <v>9</v>
      </c>
      <c r="F63" s="162">
        <f>B63+C63/20+D63/240</f>
        <v/>
      </c>
    </row>
    <row r="64">
      <c r="A64" t="inlineStr">
        <is>
          <t>in wattling the sheepfold</t>
        </is>
      </c>
      <c r="D64" t="n">
        <v>5</v>
      </c>
      <c r="F64" s="162">
        <f>B64+C64/20+D64/240</f>
        <v/>
      </c>
    </row>
    <row r="65">
      <c r="A65" t="inlineStr">
        <is>
          <t>in 59 ewes bought after shearing</t>
        </is>
      </c>
      <c r="B65" t="n">
        <v>2</v>
      </c>
      <c r="C65" t="n">
        <v>18</v>
      </c>
      <c r="F65" s="162">
        <f>B65+C65/20+D65/240</f>
        <v/>
      </c>
    </row>
    <row r="66">
      <c r="A66" t="inlineStr">
        <is>
          <t>in 36 ells of canvas bought for putting the coarse wool and lamb's wool in</t>
        </is>
      </c>
      <c r="C66" t="n">
        <v>9</v>
      </c>
      <c r="D66" t="n">
        <v>9</v>
      </c>
      <c r="F66" s="162">
        <f>B66+C66/20+D66/240</f>
        <v/>
      </c>
    </row>
    <row r="67">
      <c r="A67" t="inlineStr">
        <is>
          <t>in sacks made</t>
        </is>
      </c>
      <c r="D67" t="n">
        <v>6</v>
      </c>
      <c r="F67" s="162">
        <f>B67+C67/20+D67/240</f>
        <v/>
      </c>
    </row>
    <row r="68">
      <c r="A68" t="inlineStr">
        <is>
          <t>in packing and treating the wool</t>
        </is>
      </c>
      <c r="C68" t="n">
        <v>1</v>
      </c>
      <c r="D68" t="n">
        <v>4</v>
      </c>
      <c r="F68" s="162">
        <f>B68+C68/20+D68/240</f>
        <v/>
      </c>
    </row>
    <row r="69">
      <c r="A69" s="12" t="inlineStr">
        <is>
          <t>Total recorded in accounts</t>
        </is>
      </c>
      <c r="B69" t="n">
        <v>4</v>
      </c>
      <c r="C69" t="n">
        <v>5</v>
      </c>
      <c r="D69" t="n">
        <v>9</v>
      </c>
      <c r="F69" s="164">
        <f>B69+C69/20+D69/240</f>
        <v/>
      </c>
    </row>
    <row r="70">
      <c r="A70" s="12" t="inlineStr">
        <is>
          <t>Sheepcote total</t>
        </is>
      </c>
      <c r="B70">
        <f>SUM(B60:B67)</f>
        <v/>
      </c>
      <c r="C70">
        <f>SUM(C60:C67)</f>
        <v/>
      </c>
      <c r="D70">
        <f>SUM(D60:D69)</f>
        <v/>
      </c>
      <c r="F70" s="164">
        <f>B70+C70/20+D70/240</f>
        <v/>
      </c>
      <c r="G70" s="139">
        <f>F70-F69</f>
        <v/>
      </c>
    </row>
    <row r="71">
      <c r="A71" s="12" t="inlineStr">
        <is>
          <t>Total capital expenses</t>
        </is>
      </c>
      <c r="F71" s="164">
        <f>SUM(F60:F64)+F66+F67</f>
        <v/>
      </c>
      <c r="G71" s="139" t="n"/>
    </row>
    <row r="72"/>
    <row r="73">
      <c r="A73" s="12" t="inlineStr">
        <is>
          <t>Cost of Buildings</t>
        </is>
      </c>
    </row>
    <row r="74">
      <c r="A74" t="inlineStr">
        <is>
          <t>in re-roofing the unroofed barn</t>
        </is>
      </c>
      <c r="C74" t="n">
        <v>2</v>
      </c>
      <c r="D74" t="n">
        <v>6</v>
      </c>
      <c r="F74" s="162">
        <f>B74+C74/20+D74/240</f>
        <v/>
      </c>
    </row>
    <row r="75">
      <c r="A75" t="inlineStr">
        <is>
          <t>in collecting 12 acres of stubble for the same</t>
        </is>
      </c>
      <c r="C75" t="n">
        <v>2</v>
      </c>
      <c r="F75" s="162">
        <f>B75+C75/20+D75/240</f>
        <v/>
      </c>
    </row>
    <row r="76">
      <c r="A76" t="inlineStr">
        <is>
          <t>roofing the kitchen, dairy, larder</t>
        </is>
      </c>
      <c r="C76" t="n">
        <v>1</v>
      </c>
      <c r="D76" t="n">
        <v>3</v>
      </c>
      <c r="F76" s="162">
        <f>B76+C76/20+D76/240</f>
        <v/>
      </c>
    </row>
    <row r="77">
      <c r="A77" t="inlineStr">
        <is>
          <t>mending the walls of the small barn</t>
        </is>
      </c>
      <c r="C77" t="n">
        <v>1</v>
      </c>
      <c r="F77" s="162">
        <f>B77+C77/20+D77/240</f>
        <v/>
      </c>
    </row>
    <row r="78">
      <c r="A78" t="inlineStr">
        <is>
          <t>in hooks and hinges</t>
        </is>
      </c>
      <c r="C78" t="n">
        <v>1</v>
      </c>
      <c r="D78" t="n">
        <v>1.5</v>
      </c>
      <c r="F78" s="162">
        <f>B78+C78/20+D78/240</f>
        <v/>
      </c>
    </row>
    <row r="79">
      <c r="A79" t="inlineStr">
        <is>
          <t>carpenter rebuilding a part of the long chamber</t>
        </is>
      </c>
      <c r="C79" t="n">
        <v>3</v>
      </c>
      <c r="D79" t="n">
        <v>4</v>
      </c>
      <c r="F79" s="162">
        <f>B79+C79/20+D79/240</f>
        <v/>
      </c>
    </row>
    <row r="80">
      <c r="A80" t="inlineStr">
        <is>
          <t>laying 4000 tiles on the same</t>
        </is>
      </c>
      <c r="C80" t="n">
        <v>2</v>
      </c>
      <c r="F80" s="162">
        <f>B80+C80/20+D80/240</f>
        <v/>
      </c>
    </row>
    <row r="81">
      <c r="A81" t="inlineStr">
        <is>
          <t>in pegs bought for the same</t>
        </is>
      </c>
      <c r="D81" t="n">
        <v>4</v>
      </c>
      <c r="F81" s="162">
        <f>B81+C81/20+D81/240</f>
        <v/>
      </c>
    </row>
    <row r="82">
      <c r="A82" t="inlineStr">
        <is>
          <t>1500 nails bought for laths</t>
        </is>
      </c>
      <c r="C82" t="n">
        <v>1</v>
      </c>
      <c r="D82" t="n">
        <v>0.75</v>
      </c>
      <c r="F82" s="162">
        <f>B82+C82/20+D82/240</f>
        <v/>
      </c>
    </row>
    <row r="83">
      <c r="A83" t="inlineStr">
        <is>
          <t>100 large nails bought for the chamber</t>
        </is>
      </c>
      <c r="D83" t="n">
        <v>3</v>
      </c>
      <c r="F83" s="162">
        <f>B83+C83/20+D83/240</f>
        <v/>
      </c>
    </row>
    <row r="84">
      <c r="A84" t="inlineStr">
        <is>
          <t>carpenter making 1 new leaf for the outside gate and mending the same gate</t>
        </is>
      </c>
      <c r="C84" t="n">
        <v>3</v>
      </c>
      <c r="F84" s="162">
        <f>B84+C84/20+D84/240</f>
        <v/>
      </c>
    </row>
    <row r="85">
      <c r="A85" t="inlineStr">
        <is>
          <t>hooks, hinges, nails for the same</t>
        </is>
      </c>
      <c r="C85" t="n">
        <v>2</v>
      </c>
      <c r="F85" s="162">
        <f>B85+C85/20+D85/240</f>
        <v/>
      </c>
    </row>
    <row r="86">
      <c r="A86" t="inlineStr">
        <is>
          <t>1 new lock for the cemetary gate and wicket gate, and mending the lock on the great gate</t>
        </is>
      </c>
      <c r="C86" t="n">
        <v>1</v>
      </c>
      <c r="F86" s="162">
        <f>B86+C86/20+D86/240</f>
        <v/>
      </c>
    </row>
    <row r="87">
      <c r="A87" t="inlineStr">
        <is>
          <t>repairing and restoring 2 broken glass windows in the lord's chapel</t>
        </is>
      </c>
      <c r="C87" t="n">
        <v>1</v>
      </c>
      <c r="D87" t="n">
        <v>6</v>
      </c>
      <c r="F87" s="162">
        <f>B87+C87/20+D87/240</f>
        <v/>
      </c>
    </row>
    <row r="88">
      <c r="A88" t="inlineStr">
        <is>
          <t>in ironwork bought for the same</t>
        </is>
      </c>
      <c r="D88" t="n">
        <v>6</v>
      </c>
      <c r="F88" s="162">
        <f>B88+C88/20+D88/240</f>
        <v/>
      </c>
    </row>
    <row r="89">
      <c r="A89" t="inlineStr">
        <is>
          <t>stipend of 1 carpenter rebuilding the gutter betwen the hall and lord's chamber</t>
        </is>
      </c>
      <c r="C89" t="n">
        <v>2</v>
      </c>
      <c r="D89" t="n">
        <v>6</v>
      </c>
      <c r="F89" s="162">
        <f>B89+C89/20+D89/240</f>
        <v/>
      </c>
    </row>
    <row r="90">
      <c r="A90" t="inlineStr">
        <is>
          <t>nails bought</t>
        </is>
      </c>
      <c r="D90" t="n">
        <v>4</v>
      </c>
      <c r="F90" s="162">
        <f>B90+C90/20+D90/240</f>
        <v/>
      </c>
    </row>
    <row r="91">
      <c r="A91" t="inlineStr">
        <is>
          <t>lead bought</t>
        </is>
      </c>
      <c r="B91" t="n">
        <v>1</v>
      </c>
      <c r="C91" t="n">
        <v>1</v>
      </c>
      <c r="D91" t="n">
        <v>6</v>
      </c>
      <c r="F91" s="162">
        <f>B91+C91/20+D91/240</f>
        <v/>
      </c>
    </row>
    <row r="92">
      <c r="A92" t="inlineStr">
        <is>
          <t>stipend of the plumber smelting the said lead and laying it on the aforesaid gutter</t>
        </is>
      </c>
      <c r="C92" t="n">
        <v>2</v>
      </c>
      <c r="D92" t="n">
        <v>6</v>
      </c>
      <c r="F92" s="162">
        <f>B92+C92/20+D92/240</f>
        <v/>
      </c>
    </row>
    <row r="93">
      <c r="A93" t="inlineStr">
        <is>
          <t>1500 slates bought for roofing the oriel of the chapel</t>
        </is>
      </c>
      <c r="C93" t="n">
        <v>2</v>
      </c>
      <c r="F93" s="162">
        <f>B93+C93/20+D93/240</f>
        <v/>
      </c>
    </row>
    <row r="94">
      <c r="A94" t="inlineStr">
        <is>
          <t>roofing and mending the hall, lord's chamber and chapel</t>
        </is>
      </c>
      <c r="C94" t="n">
        <v>3</v>
      </c>
      <c r="D94" t="n">
        <v>8</v>
      </c>
      <c r="F94" s="162">
        <f>B94+C94/20+D94/240</f>
        <v/>
      </c>
    </row>
    <row r="95">
      <c r="A95" t="inlineStr">
        <is>
          <t>7000 tiles and 8qrs of lime</t>
        </is>
      </c>
      <c r="C95" t="n">
        <v>8</v>
      </c>
      <c r="D95" t="n">
        <v>7</v>
      </c>
      <c r="F95" s="162">
        <f>B95+C95/20+D95/240</f>
        <v/>
      </c>
    </row>
    <row r="96">
      <c r="A96" t="inlineStr">
        <is>
          <t>making 100 ridge-tiles</t>
        </is>
      </c>
      <c r="C96" t="n">
        <v>1</v>
      </c>
      <c r="D96" t="n">
        <v>1</v>
      </c>
      <c r="F96" s="162">
        <f>B96+C96/20+D96/240</f>
        <v/>
      </c>
    </row>
    <row r="97">
      <c r="A97" t="inlineStr">
        <is>
          <t>1 rope for the well</t>
        </is>
      </c>
      <c r="C97" t="n">
        <v>8</v>
      </c>
      <c r="D97" t="n">
        <v>4</v>
      </c>
      <c r="F97" s="162">
        <f>B97+C97/20+D97/240</f>
        <v/>
      </c>
    </row>
    <row r="98">
      <c r="A98" t="inlineStr">
        <is>
          <t>hay and forage bought</t>
        </is>
      </c>
      <c r="B98" t="n">
        <v>1</v>
      </c>
      <c r="C98" t="n">
        <v>5</v>
      </c>
      <c r="D98" t="n">
        <v>2</v>
      </c>
      <c r="F98" s="162">
        <f>B98+C98/20+D98/240</f>
        <v/>
      </c>
    </row>
    <row r="99">
      <c r="A99" t="inlineStr">
        <is>
          <t>1 lock bought for the door to the forage-shed</t>
        </is>
      </c>
      <c r="D99" t="n">
        <v>8</v>
      </c>
      <c r="F99" s="162">
        <f>B99+C99/20+D99/240</f>
        <v/>
      </c>
    </row>
    <row r="100">
      <c r="A100" t="inlineStr">
        <is>
          <t>3 pigs bought</t>
        </is>
      </c>
      <c r="C100" t="n">
        <v>7</v>
      </c>
      <c r="D100" t="n">
        <v>4</v>
      </c>
      <c r="F100" s="162">
        <f>B100+C100/20+D100/240</f>
        <v/>
      </c>
    </row>
    <row r="101">
      <c r="A101" t="inlineStr">
        <is>
          <t>2 casks bought</t>
        </is>
      </c>
      <c r="D101" t="n">
        <v>6</v>
      </c>
      <c r="F101" s="162">
        <f>B101+C101/20+D101/240</f>
        <v/>
      </c>
    </row>
    <row r="102">
      <c r="A102" t="inlineStr">
        <is>
          <t>hooping and mending the casks</t>
        </is>
      </c>
      <c r="C102" t="n">
        <v>1</v>
      </c>
      <c r="D102" t="n">
        <v>6</v>
      </c>
      <c r="F102" s="162">
        <f>B102+C102/20+D102/240</f>
        <v/>
      </c>
    </row>
    <row r="103">
      <c r="A103" s="12" t="inlineStr">
        <is>
          <t>Total recorded in accounts</t>
        </is>
      </c>
      <c r="B103" t="n">
        <v>5</v>
      </c>
      <c r="C103" t="n">
        <v>19</v>
      </c>
      <c r="D103" t="n">
        <v>2.25</v>
      </c>
      <c r="F103" s="164">
        <f>B103+C103/20+D103/240</f>
        <v/>
      </c>
    </row>
    <row r="104">
      <c r="A104" s="12" t="inlineStr">
        <is>
          <t>Cost of buildings total</t>
        </is>
      </c>
      <c r="B104">
        <f>SUM(B74:B102)</f>
        <v/>
      </c>
      <c r="C104">
        <f>SUM(C74:C103)</f>
        <v/>
      </c>
      <c r="D104">
        <f>SUM(D74:D103)</f>
        <v/>
      </c>
      <c r="F104" s="164">
        <f>B104+C104/20+D104/240</f>
        <v/>
      </c>
      <c r="G104" s="139">
        <f>F104-F103</f>
        <v/>
      </c>
    </row>
    <row r="105">
      <c r="A105" s="12" t="inlineStr">
        <is>
          <t>Total capital expenses</t>
        </is>
      </c>
      <c r="F105" s="164">
        <f>F74+F75+F76+F77+F78+F79+F80+F81+F82+F83+F84+F85+F86+F87+F88+F89+F90+F91+F92+F93+F94+F95+F96+F97+F99+F101+F102</f>
        <v/>
      </c>
      <c r="G105" s="139" t="n"/>
    </row>
    <row r="106">
      <c r="A106" s="12" t="inlineStr">
        <is>
          <t>Total demesne capital expenses</t>
        </is>
      </c>
      <c r="F106" s="164">
        <f>F74+F75+F76+F77+F78+F84+F85+F97+F99+F101+F102</f>
        <v/>
      </c>
      <c r="G106" s="139" t="n"/>
    </row>
    <row r="107"/>
    <row r="108">
      <c r="A108" s="12" t="inlineStr">
        <is>
          <t>Threshing</t>
        </is>
      </c>
    </row>
    <row r="109">
      <c r="A109" t="inlineStr">
        <is>
          <t>threshing and winnowing</t>
        </is>
      </c>
      <c r="C109" t="n">
        <v>3</v>
      </c>
      <c r="D109" t="n">
        <v>8.5</v>
      </c>
      <c r="F109" s="162">
        <f>B109+C109/20+D109/240</f>
        <v/>
      </c>
    </row>
    <row r="110">
      <c r="A110" t="inlineStr">
        <is>
          <t>threshing and winnowing</t>
        </is>
      </c>
      <c r="C110" t="n">
        <v>1</v>
      </c>
      <c r="D110" t="n">
        <v>11.75</v>
      </c>
      <c r="F110" s="162">
        <f>B110+C110/20+D110/240</f>
        <v/>
      </c>
    </row>
    <row r="111">
      <c r="A111" s="15" t="inlineStr">
        <is>
          <t>threshing and winnowing</t>
        </is>
      </c>
      <c r="C111" t="n">
        <v>1</v>
      </c>
      <c r="D111" t="n">
        <v>2.5</v>
      </c>
      <c r="F111" s="162">
        <f>B111+C111/20+D111/240</f>
        <v/>
      </c>
    </row>
    <row r="112">
      <c r="A112" s="15" t="inlineStr">
        <is>
          <t>threshing and winnowing</t>
        </is>
      </c>
      <c r="C112" t="n">
        <v>1</v>
      </c>
      <c r="D112" t="n">
        <v>1.5</v>
      </c>
      <c r="F112" s="162">
        <f>B112+C112/20+D112/240</f>
        <v/>
      </c>
    </row>
    <row r="113">
      <c r="A113" t="inlineStr">
        <is>
          <t>winnowing</t>
        </is>
      </c>
      <c r="D113" t="n">
        <v>3.5</v>
      </c>
      <c r="F113" s="162">
        <f>B113+C113/20+D113/240</f>
        <v/>
      </c>
    </row>
    <row r="114">
      <c r="A114" s="12" t="inlineStr">
        <is>
          <t>Total recorded in accounts</t>
        </is>
      </c>
      <c r="C114" t="n">
        <v>8</v>
      </c>
      <c r="D114" t="n">
        <v>3.75</v>
      </c>
      <c r="F114" s="164">
        <f>B114+C114/20+D114/240</f>
        <v/>
      </c>
    </row>
    <row r="115">
      <c r="A115" s="12" t="inlineStr">
        <is>
          <t>Threshing total</t>
        </is>
      </c>
      <c r="B115">
        <f>SUM(B109:B113)</f>
        <v/>
      </c>
      <c r="C115">
        <f>SUM(C109:C113)</f>
        <v/>
      </c>
      <c r="D115">
        <f>SUM(D109:D113)</f>
        <v/>
      </c>
      <c r="F115" s="164">
        <f>B115+C115/20+D115/240</f>
        <v/>
      </c>
      <c r="G115" s="139">
        <f>F115-F114</f>
        <v/>
      </c>
    </row>
    <row r="116"/>
    <row r="117">
      <c r="A117" s="12" t="inlineStr">
        <is>
          <t>Expenses of the Harvest</t>
        </is>
      </c>
    </row>
    <row r="118">
      <c r="A118" t="inlineStr">
        <is>
          <t>wheat, bere, barley and oats weeded</t>
        </is>
      </c>
      <c r="C118" t="n">
        <v>5</v>
      </c>
      <c r="D118" t="n">
        <v>10</v>
      </c>
      <c r="F118" s="162">
        <f>B118+C118/20+D118/240</f>
        <v/>
      </c>
    </row>
    <row r="119">
      <c r="A119" t="inlineStr">
        <is>
          <t>in 1 boon work of 66 men</t>
        </is>
      </c>
      <c r="C119" t="n">
        <v>6</v>
      </c>
      <c r="D119" t="n">
        <v>10.5</v>
      </c>
      <c r="F119" s="162">
        <f>B119+C119/20+D119/240</f>
        <v/>
      </c>
    </row>
    <row r="120">
      <c r="A120" t="inlineStr">
        <is>
          <t>in the bartoner mowing, tossing and gathering in the sheepcote</t>
        </is>
      </c>
      <c r="D120" t="n">
        <v>10</v>
      </c>
      <c r="F120" s="162">
        <f>B120+C120/20+D120/240</f>
        <v/>
      </c>
    </row>
    <row r="121">
      <c r="A121" s="12" t="inlineStr">
        <is>
          <t>Total recorded in accounts</t>
        </is>
      </c>
      <c r="C121" t="n">
        <v>13</v>
      </c>
      <c r="F121" s="164">
        <f>B121+C121/20+D121/240</f>
        <v/>
      </c>
    </row>
    <row r="122">
      <c r="A122" s="12" t="inlineStr">
        <is>
          <t>Expenses of the harvest total</t>
        </is>
      </c>
      <c r="B122">
        <f>SUM(B118:B120)</f>
        <v/>
      </c>
      <c r="C122">
        <f>SUM(C118:C120)</f>
        <v/>
      </c>
      <c r="D122">
        <f>SUM(D118:D120)</f>
        <v/>
      </c>
      <c r="F122" s="164">
        <f>B122+C122/20+D122/240</f>
        <v/>
      </c>
      <c r="G122" s="139">
        <f>F122-F121</f>
        <v/>
      </c>
    </row>
    <row r="123">
      <c r="A123" s="12" t="n"/>
      <c r="F123" s="164" t="n"/>
      <c r="G123" s="139" t="n"/>
    </row>
    <row r="124">
      <c r="A124" s="12" t="inlineStr">
        <is>
          <t>Cost of the park</t>
        </is>
      </c>
    </row>
    <row r="125">
      <c r="A125" t="inlineStr">
        <is>
          <t>enclosing 1.5 furlongs 19 perches with hedge</t>
        </is>
      </c>
      <c r="C125" t="n">
        <v>5</v>
      </c>
      <c r="D125" t="n">
        <v>11</v>
      </c>
      <c r="F125" s="162">
        <f>B125+C125/20+D125/240</f>
        <v/>
      </c>
    </row>
    <row r="126">
      <c r="A126" s="12" t="inlineStr">
        <is>
          <t>Total recorded in accounts</t>
        </is>
      </c>
      <c r="C126" t="n">
        <v>5</v>
      </c>
      <c r="D126" t="n">
        <v>11</v>
      </c>
      <c r="F126" s="164">
        <f>B126+C126/20+D126/240</f>
        <v/>
      </c>
    </row>
    <row r="127">
      <c r="A127" s="12" t="inlineStr">
        <is>
          <t>Cost of the park total</t>
        </is>
      </c>
      <c r="B127">
        <f>SUM(B125:B125)</f>
        <v/>
      </c>
      <c r="C127">
        <f>SUM(C125:C125)</f>
        <v/>
      </c>
      <c r="D127">
        <f>SUM(D125:D125)</f>
        <v/>
      </c>
      <c r="F127" s="164">
        <f>B127+C127/20+D127/240</f>
        <v/>
      </c>
      <c r="G127" s="139">
        <f>F127-F126</f>
        <v/>
      </c>
    </row>
    <row r="128"/>
    <row r="129">
      <c r="A129" s="12" t="inlineStr">
        <is>
          <t>Steward's Expenses</t>
        </is>
      </c>
    </row>
    <row r="130">
      <c r="A130" t="inlineStr">
        <is>
          <t xml:space="preserve">for 1 visit </t>
        </is>
      </c>
      <c r="C130" t="n">
        <v>3</v>
      </c>
      <c r="D130" t="n">
        <v>1</v>
      </c>
      <c r="F130" s="162">
        <f>B130+C130/20+D130/240</f>
        <v/>
      </c>
    </row>
    <row r="131">
      <c r="A131" s="12" t="inlineStr">
        <is>
          <t>Total recorded in accounts</t>
        </is>
      </c>
      <c r="C131" t="n">
        <v>3</v>
      </c>
      <c r="D131" t="n">
        <v>1</v>
      </c>
      <c r="F131" s="164">
        <f>B131+C131/20+D131/240</f>
        <v/>
      </c>
    </row>
    <row r="132">
      <c r="A132" s="12" t="inlineStr">
        <is>
          <t>Steward's expenses total</t>
        </is>
      </c>
      <c r="B132">
        <f>SUM(B130:B130)</f>
        <v/>
      </c>
      <c r="C132">
        <f>SUM(C130:C130)</f>
        <v/>
      </c>
      <c r="D132">
        <f>SUM(D130:D130)</f>
        <v/>
      </c>
      <c r="F132" s="164">
        <f>B132+C132/20+D132/240</f>
        <v/>
      </c>
      <c r="G132" s="139">
        <f>F132-F131</f>
        <v/>
      </c>
    </row>
    <row r="133">
      <c r="A133" s="12" t="n"/>
      <c r="F133" s="164" t="n"/>
      <c r="G133" s="139" t="n"/>
    </row>
    <row r="134">
      <c r="A134" s="12" t="inlineStr">
        <is>
          <t>Expenses of the bailiff</t>
        </is>
      </c>
    </row>
    <row r="135">
      <c r="A135" t="inlineStr">
        <is>
          <t>bailiff and his household for the year</t>
        </is>
      </c>
      <c r="B135" t="n">
        <v>5</v>
      </c>
      <c r="C135" t="n">
        <v>0</v>
      </c>
      <c r="D135" t="n">
        <v>0</v>
      </c>
      <c r="F135" s="162">
        <f>B135+C135/20+D135/240</f>
        <v/>
      </c>
    </row>
    <row r="136">
      <c r="A136" s="12" t="inlineStr">
        <is>
          <t>in 1 fur for the summer livery</t>
        </is>
      </c>
      <c r="C136" t="n">
        <v>3</v>
      </c>
      <c r="F136" s="162" t="n"/>
    </row>
    <row r="137">
      <c r="A137" s="12" t="inlineStr">
        <is>
          <t>Total recorded in accounts</t>
        </is>
      </c>
      <c r="B137" t="n">
        <v>5</v>
      </c>
      <c r="C137" t="n">
        <v>3</v>
      </c>
      <c r="D137" t="n">
        <v>1</v>
      </c>
      <c r="F137" s="164">
        <f>B137+C137/20+D137/240</f>
        <v/>
      </c>
    </row>
    <row r="138">
      <c r="A138" s="12" t="inlineStr">
        <is>
          <t>Expenses of the bailiff total</t>
        </is>
      </c>
      <c r="B138">
        <f>SUM(B135:B136)</f>
        <v/>
      </c>
      <c r="C138">
        <f>SUM(C135:C136)</f>
        <v/>
      </c>
      <c r="D138">
        <f>SUM(D135:D136)</f>
        <v/>
      </c>
      <c r="F138" s="164">
        <f>B138+C138/20+D138/240</f>
        <v/>
      </c>
      <c r="G138" s="139">
        <f>F138-F137</f>
        <v/>
      </c>
    </row>
    <row r="139"/>
    <row r="140">
      <c r="A140" s="12" t="inlineStr">
        <is>
          <t>Total of all Expenses</t>
        </is>
      </c>
      <c r="B140" s="12" t="n">
        <v>27</v>
      </c>
      <c r="C140" s="12" t="n">
        <v>19</v>
      </c>
      <c r="D140" s="12" t="n">
        <v>1</v>
      </c>
      <c r="E140" s="12" t="n"/>
      <c r="F140" s="164">
        <f>B140+C140/20+D140/240</f>
        <v/>
      </c>
    </row>
    <row r="141">
      <c r="A141" s="12" t="inlineStr">
        <is>
          <t>Total of all Expenses (calculated)</t>
        </is>
      </c>
      <c r="B141" s="12" t="n"/>
      <c r="C141" s="12" t="n"/>
      <c r="D141" s="12" t="n"/>
      <c r="E141" s="12" t="n"/>
      <c r="F141" s="164">
        <f>F138+F132+F127+F122+F115+F104+F70+F57+F49+F38+F24+F18</f>
        <v/>
      </c>
      <c r="G141" s="139">
        <f>F141-F140</f>
        <v/>
      </c>
    </row>
    <row r="142">
      <c r="F142" s="162" t="n"/>
      <c r="G142" s="139" t="n"/>
    </row>
    <row r="143">
      <c r="A143" t="inlineStr">
        <is>
          <t>And thus he owes</t>
        </is>
      </c>
      <c r="B143" t="n">
        <v>30</v>
      </c>
      <c r="C143" t="n">
        <v>11</v>
      </c>
      <c r="D143" t="n">
        <v>3.25</v>
      </c>
      <c r="F143" s="162">
        <f>B143+C143/20+D143/240</f>
        <v/>
      </c>
    </row>
    <row r="144">
      <c r="F144" s="162" t="n"/>
    </row>
    <row r="145">
      <c r="A145" t="inlineStr">
        <is>
          <t>Delivered to Sir Geoffrey, treasurer of Wolvesey</t>
        </is>
      </c>
      <c r="B145" t="n">
        <v>19</v>
      </c>
      <c r="C145" t="n">
        <v>12</v>
      </c>
      <c r="F145" s="162">
        <f>B145+C145/20+D145/240</f>
        <v/>
      </c>
    </row>
    <row r="146">
      <c r="A146" t="inlineStr">
        <is>
          <t>and thus he owes clear</t>
        </is>
      </c>
      <c r="B146" t="n">
        <v>10</v>
      </c>
      <c r="C146" t="n">
        <v>19</v>
      </c>
      <c r="D146" t="n">
        <v>3.25</v>
      </c>
      <c r="F146" s="162">
        <f>B146+C146/20+D146/240</f>
        <v/>
      </c>
    </row>
    <row r="147">
      <c r="F147" s="162" t="n"/>
    </row>
    <row r="148">
      <c r="A148" s="12" t="inlineStr">
        <is>
          <t>Total capital expenses (demesne)</t>
        </is>
      </c>
      <c r="B148" s="12" t="n"/>
      <c r="C148" s="12" t="n"/>
      <c r="D148" s="12" t="n"/>
      <c r="E148" s="12" t="n"/>
      <c r="F148" s="164">
        <f>F19+F39+F50+F71+F106</f>
        <v/>
      </c>
    </row>
    <row r="149">
      <c r="A149" s="12" t="inlineStr">
        <is>
          <t>Total capital expenses (also incl. non-demesne building)</t>
        </is>
      </c>
      <c r="B149" s="12" t="n"/>
      <c r="C149" s="12" t="n"/>
      <c r="D149" s="12" t="n"/>
      <c r="E149" s="12" t="n"/>
      <c r="F149" s="164">
        <f>F19+F39+F50+F71+F105</f>
        <v/>
      </c>
    </row>
    <row r="150"/>
    <row r="151">
      <c r="A151" s="12" t="inlineStr">
        <is>
          <t>Total of all expenses per account</t>
        </is>
      </c>
      <c r="F151" s="162">
        <f>F140</f>
        <v/>
      </c>
    </row>
    <row r="152">
      <c r="A152" s="12" t="inlineStr">
        <is>
          <t>Total of all expenses (calculated here)</t>
        </is>
      </c>
      <c r="F152" s="162">
        <f>F141</f>
        <v/>
      </c>
    </row>
    <row r="153">
      <c r="A153" s="12" t="inlineStr">
        <is>
          <t>Total fixed investment</t>
        </is>
      </c>
      <c r="F153" s="162">
        <f>F19+F39+F50+F71+F105</f>
        <v/>
      </c>
    </row>
    <row r="154">
      <c r="A154" s="12" t="inlineStr">
        <is>
          <t>Total Demesne fixed investment</t>
        </is>
      </c>
      <c r="F154" s="162">
        <f>F19+F39+F50+F71+F106</f>
        <v/>
      </c>
    </row>
  </sheetData>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Q26"/>
  <sheetViews>
    <sheetView topLeftCell="A1" workbookViewId="0">
      <selection activeCell="A1" sqref="A1"/>
    </sheetView>
  </sheetViews>
  <sheetFormatPr baseColWidth="8" defaultRowHeight="15"/>
  <cols>
    <col width="24.625" customWidth="1" min="10" max="10"/>
    <col width="19.5" customWidth="1" min="11" max="11"/>
    <col width="22.125" customWidth="1" min="16" max="16"/>
  </cols>
  <sheetData>
    <row r="1">
      <c r="A1" s="38" t="n"/>
      <c r="B1" s="40" t="inlineStr">
        <is>
          <t>The issue of the grange account gives the total "yield" at the top of each heading in curly brackets, measurements used: fold, qrs, bus</t>
        </is>
      </c>
      <c r="I1" s="168" t="n"/>
      <c r="J1" s="168" t="n"/>
      <c r="O1" s="169" t="n"/>
      <c r="P1" s="169" t="n"/>
      <c r="Q1" s="169" t="n"/>
    </row>
    <row r="2">
      <c r="A2" s="38" t="n"/>
      <c r="B2" s="170" t="inlineStr">
        <is>
          <t>In "Issues of the grange" (p.xx)</t>
        </is>
      </c>
      <c r="C2" s="170" t="n"/>
      <c r="D2" s="170" t="n"/>
      <c r="E2" s="170" t="n"/>
      <c r="F2" s="170" t="n"/>
      <c r="G2" s="171" t="inlineStr">
        <is>
          <t>In "Sale of Corn" (p.x)</t>
        </is>
      </c>
      <c r="H2" s="171" t="n"/>
      <c r="I2" s="171" t="n"/>
      <c r="J2" s="171" t="n"/>
      <c r="K2" s="171" t="n"/>
      <c r="L2" s="171" t="n"/>
      <c r="M2" s="171" t="n"/>
      <c r="N2" s="171" t="n"/>
      <c r="O2" s="172" t="n"/>
      <c r="P2" s="173" t="inlineStr">
        <is>
          <t>Value of Total Production</t>
        </is>
      </c>
      <c r="Q2" s="173" t="n"/>
    </row>
    <row r="3">
      <c r="A3" s="38" t="inlineStr">
        <is>
          <t>Gross output</t>
        </is>
      </c>
      <c r="B3" s="169" t="inlineStr">
        <is>
          <t>Quantity</t>
        </is>
      </c>
      <c r="D3" s="169" t="inlineStr">
        <is>
          <t>Additional bought-in</t>
        </is>
      </c>
      <c r="F3" s="174" t="inlineStr">
        <is>
          <t>Quantity</t>
        </is>
      </c>
      <c r="G3" s="169" t="inlineStr">
        <is>
          <t>Quantity noted as sold</t>
        </is>
      </c>
      <c r="J3" s="169" t="inlineStr">
        <is>
          <t>Difference Produced vs. Sold</t>
        </is>
      </c>
      <c r="K3" s="168" t="inlineStr">
        <is>
          <t>Price 1</t>
        </is>
      </c>
      <c r="L3" s="168" t="inlineStr">
        <is>
          <t>Quantity 1</t>
        </is>
      </c>
      <c r="M3" s="168" t="inlineStr">
        <is>
          <t>Price 2</t>
        </is>
      </c>
      <c r="N3" s="168" t="inlineStr">
        <is>
          <t>Quantity 2</t>
        </is>
      </c>
      <c r="O3" s="174" t="inlineStr">
        <is>
          <t>Unit price</t>
        </is>
      </c>
      <c r="P3" s="169" t="inlineStr">
        <is>
          <t>Value</t>
        </is>
      </c>
    </row>
    <row r="4">
      <c r="B4" s="175" t="inlineStr">
        <is>
          <t>qrs</t>
        </is>
      </c>
      <c r="C4" s="175" t="inlineStr">
        <is>
          <t>bus</t>
        </is>
      </c>
      <c r="D4" s="175" t="inlineStr">
        <is>
          <t>qrs</t>
        </is>
      </c>
      <c r="E4" s="175" t="inlineStr">
        <is>
          <t>bus</t>
        </is>
      </c>
      <c r="F4" s="176" t="inlineStr">
        <is>
          <t>qrs</t>
        </is>
      </c>
      <c r="G4" s="175" t="inlineStr">
        <is>
          <t>qrs</t>
        </is>
      </c>
      <c r="H4" s="175" t="inlineStr">
        <is>
          <t>bus</t>
        </is>
      </c>
      <c r="I4" s="175" t="inlineStr">
        <is>
          <t>qrs</t>
        </is>
      </c>
      <c r="J4" s="175" t="n"/>
      <c r="K4" s="175" t="inlineStr">
        <is>
          <t>£</t>
        </is>
      </c>
      <c r="L4" s="175" t="inlineStr">
        <is>
          <t>qrs</t>
        </is>
      </c>
      <c r="M4" s="175" t="inlineStr">
        <is>
          <t>£</t>
        </is>
      </c>
      <c r="N4" s="175" t="inlineStr">
        <is>
          <t>qrs</t>
        </is>
      </c>
      <c r="O4" s="176" t="inlineStr">
        <is>
          <t>£ per qr</t>
        </is>
      </c>
      <c r="P4" s="177" t="inlineStr">
        <is>
          <t>£</t>
        </is>
      </c>
      <c r="Q4" s="178" t="n"/>
    </row>
    <row r="5">
      <c r="A5" t="inlineStr">
        <is>
          <t>Wheat</t>
        </is>
      </c>
      <c r="B5">
        <f>27+1</f>
        <v/>
      </c>
      <c r="C5" t="n">
        <v>6</v>
      </c>
      <c r="D5" t="n">
        <v>6.5</v>
      </c>
      <c r="E5" t="n">
        <v>3</v>
      </c>
      <c r="F5" s="179">
        <f>B5+D5+C5/8+E5/8</f>
        <v/>
      </c>
      <c r="G5" t="n">
        <v>25</v>
      </c>
      <c r="H5" t="n">
        <v>2</v>
      </c>
      <c r="I5">
        <f>G5+H5/8</f>
        <v/>
      </c>
      <c r="J5" s="26">
        <f>F5-I5</f>
        <v/>
      </c>
      <c r="K5">
        <f>6/20</f>
        <v/>
      </c>
      <c r="L5" t="n">
        <v>1</v>
      </c>
      <c r="O5" s="180">
        <f>IFERROR((K5+M5)/(L5+N5),0)</f>
        <v/>
      </c>
      <c r="P5" s="26">
        <f>O5*F5</f>
        <v/>
      </c>
    </row>
    <row r="6">
      <c r="A6" t="inlineStr">
        <is>
          <t>Bere</t>
        </is>
      </c>
      <c r="B6" t="n">
        <v>17</v>
      </c>
      <c r="C6" t="n">
        <v>1</v>
      </c>
      <c r="D6" t="n">
        <v>10</v>
      </c>
      <c r="E6">
        <f>6+4</f>
        <v/>
      </c>
      <c r="F6" s="181">
        <f>B6+D6+C6/8+E6/8</f>
        <v/>
      </c>
      <c r="I6">
        <f>G6+H6/8</f>
        <v/>
      </c>
      <c r="J6" s="26">
        <f>F6-I6</f>
        <v/>
      </c>
      <c r="O6" s="180">
        <f>IFERROR((K6+M6)/(L6+N6),0)</f>
        <v/>
      </c>
      <c r="P6" s="26" t="n"/>
      <c r="Q6" t="inlineStr">
        <is>
          <t>not feasible to estimate because no sales prices</t>
        </is>
      </c>
    </row>
    <row r="7">
      <c r="A7" t="inlineStr">
        <is>
          <t>Curall</t>
        </is>
      </c>
      <c r="F7" s="181">
        <f>B7+D7+C7/8+E7/8</f>
        <v/>
      </c>
      <c r="I7">
        <f>G7+H7/8</f>
        <v/>
      </c>
      <c r="J7" s="26">
        <f>F7-I7</f>
        <v/>
      </c>
      <c r="O7" s="180">
        <f>IFERROR((K7+M7)/(L7+N7),0)</f>
        <v/>
      </c>
      <c r="P7" s="26">
        <f>O7*F7</f>
        <v/>
      </c>
    </row>
    <row r="8">
      <c r="A8" t="inlineStr">
        <is>
          <t>Barley</t>
        </is>
      </c>
      <c r="B8" t="n">
        <v>15</v>
      </c>
      <c r="F8" s="181">
        <f>B8+D8+C8/8+E8/8</f>
        <v/>
      </c>
      <c r="G8" t="n">
        <v>8</v>
      </c>
      <c r="H8" t="n">
        <v>2</v>
      </c>
      <c r="I8">
        <f>G8+H8/8</f>
        <v/>
      </c>
      <c r="J8" s="26">
        <f>F8-I8</f>
        <v/>
      </c>
      <c r="K8">
        <f>4/20</f>
        <v/>
      </c>
      <c r="L8" t="n">
        <v>1</v>
      </c>
      <c r="O8" s="180">
        <f>IFERROR((K8+M8)/(L8+N8),0)</f>
        <v/>
      </c>
      <c r="P8" s="26">
        <f>O8*F8</f>
        <v/>
      </c>
    </row>
    <row r="9">
      <c r="A9" t="inlineStr">
        <is>
          <t>Oats</t>
        </is>
      </c>
      <c r="B9" t="n">
        <v>43</v>
      </c>
      <c r="C9" t="n">
        <v>0.5</v>
      </c>
      <c r="F9" s="181">
        <f>B9+D9+C9/8+E9/8</f>
        <v/>
      </c>
      <c r="G9" t="n">
        <v>4</v>
      </c>
      <c r="H9" t="n">
        <v>7</v>
      </c>
      <c r="I9">
        <f>G9+H9/8</f>
        <v/>
      </c>
      <c r="J9" s="26">
        <f>F9-I9</f>
        <v/>
      </c>
      <c r="K9">
        <f>2/20+6/240</f>
        <v/>
      </c>
      <c r="L9" t="n">
        <v>1</v>
      </c>
      <c r="O9" s="180">
        <f>IFERROR((K9+M9)/(L9+N9),0)</f>
        <v/>
      </c>
      <c r="P9" s="26">
        <f>O9*F9</f>
        <v/>
      </c>
    </row>
    <row r="10">
      <c r="A10" t="inlineStr">
        <is>
          <t>Peas</t>
        </is>
      </c>
      <c r="D10" t="n">
        <v>0.5</v>
      </c>
      <c r="F10" s="181">
        <f>B10+D10+C10/8+E10/8</f>
        <v/>
      </c>
      <c r="I10">
        <f>G10+H10/8</f>
        <v/>
      </c>
      <c r="J10" s="26">
        <f>F10-I10</f>
        <v/>
      </c>
      <c r="O10" s="180">
        <f>IFERROR((K10+M10)/(L10+N10),0)</f>
        <v/>
      </c>
      <c r="P10" s="26">
        <f>O10*F10</f>
        <v/>
      </c>
    </row>
    <row r="11">
      <c r="A11" t="inlineStr">
        <is>
          <t>Vetches</t>
        </is>
      </c>
      <c r="F11" s="181">
        <f>B11+D11+C11/8+E11/8</f>
        <v/>
      </c>
      <c r="I11">
        <f>G11+H11/8</f>
        <v/>
      </c>
      <c r="J11" s="26">
        <f>F11-I11</f>
        <v/>
      </c>
      <c r="O11" s="180">
        <f>IFERROR((K11+M11)/(L11+N11),0)</f>
        <v/>
      </c>
      <c r="P11" s="26">
        <f>O11*F11</f>
        <v/>
      </c>
    </row>
    <row r="12"/>
    <row r="13">
      <c r="A13" s="182" t="inlineStr">
        <is>
          <t>Total Production</t>
        </is>
      </c>
      <c r="B13" s="54" t="n"/>
      <c r="C13" s="54" t="n"/>
      <c r="D13" s="54" t="n"/>
      <c r="E13" s="54" t="n"/>
      <c r="F13" s="55">
        <f>SUM(F5:F11)</f>
        <v/>
      </c>
      <c r="G13" s="54" t="n"/>
      <c r="H13" s="54" t="n"/>
      <c r="I13" s="54" t="n"/>
      <c r="J13" s="54" t="n"/>
      <c r="K13" s="54" t="n"/>
      <c r="L13" s="54" t="n"/>
      <c r="M13" s="54" t="n"/>
      <c r="N13" s="54" t="n"/>
      <c r="O13" s="54" t="n"/>
      <c r="P13" s="55">
        <f>SUM(P5:P11)</f>
        <v/>
      </c>
      <c r="Q13" s="67" t="inlineStr">
        <is>
          <t>Production value is significantly more, as much less was sold than what was produced</t>
        </is>
      </c>
    </row>
    <row r="14">
      <c r="A14" s="182" t="inlineStr">
        <is>
          <t>Sales of corn (as recorded in accounts)</t>
        </is>
      </c>
      <c r="B14" s="54" t="n"/>
      <c r="C14" s="54" t="n"/>
      <c r="D14" s="54" t="n"/>
      <c r="E14" s="54" t="n"/>
      <c r="F14" s="54">
        <f>SUM(I5:I11)</f>
        <v/>
      </c>
      <c r="G14" s="54" t="n"/>
      <c r="H14" s="54" t="n"/>
      <c r="I14" s="54" t="n"/>
      <c r="J14" s="54" t="n"/>
      <c r="K14" s="54" t="n"/>
      <c r="L14" s="54" t="n"/>
      <c r="M14" s="54" t="n"/>
      <c r="N14" s="54" t="n"/>
      <c r="O14" s="54" t="n"/>
      <c r="P14" s="55">
        <f>(O5*I5)+(O8*I8)+(O9*I9)</f>
        <v/>
      </c>
      <c r="Q14" s="54" t="n"/>
    </row>
    <row r="15"/>
    <row r="16"/>
    <row r="17" ht="68.09999999999999" customHeight="1">
      <c r="A17" s="38" t="inlineStr">
        <is>
          <t>Net output</t>
        </is>
      </c>
      <c r="B17" s="183" t="inlineStr">
        <is>
          <t>Gross output</t>
        </is>
      </c>
      <c r="C17" s="184" t="inlineStr">
        <is>
          <t>Seed</t>
        </is>
      </c>
      <c r="F17" t="inlineStr">
        <is>
          <t>tithe</t>
        </is>
      </c>
      <c r="G17" s="185" t="inlineStr">
        <is>
          <t>to manorial servants &amp; livestock</t>
        </is>
      </c>
      <c r="J17" s="183" t="inlineStr">
        <is>
          <t>Output net of tithe &amp; seed &amp; liveries to manorial servants</t>
        </is>
      </c>
      <c r="K17" t="inlineStr">
        <is>
          <t>in stock from last year</t>
        </is>
      </c>
      <c r="L17" s="186" t="inlineStr">
        <is>
          <t xml:space="preserve">Price </t>
        </is>
      </c>
      <c r="M17" s="183" t="inlineStr">
        <is>
          <t>Value of net output</t>
        </is>
      </c>
      <c r="N17" s="183" t="inlineStr">
        <is>
          <t>Value of sales (in "Sale of Corn")</t>
        </is>
      </c>
    </row>
    <row r="18">
      <c r="B18" s="168" t="inlineStr">
        <is>
          <t>qrs</t>
        </is>
      </c>
      <c r="C18" s="168" t="inlineStr">
        <is>
          <t>qrs</t>
        </is>
      </c>
      <c r="D18" t="inlineStr">
        <is>
          <t>bus</t>
        </is>
      </c>
      <c r="E18" t="inlineStr">
        <is>
          <t>qrs</t>
        </is>
      </c>
      <c r="F18" t="inlineStr">
        <is>
          <t>qrs</t>
        </is>
      </c>
      <c r="G18" t="inlineStr">
        <is>
          <t>qrs</t>
        </is>
      </c>
      <c r="H18" t="inlineStr">
        <is>
          <t>bus</t>
        </is>
      </c>
      <c r="I18" s="180" t="inlineStr">
        <is>
          <t>qrs</t>
        </is>
      </c>
      <c r="J18" s="168" t="inlineStr">
        <is>
          <t>qrs</t>
        </is>
      </c>
      <c r="K18" s="180" t="inlineStr">
        <is>
          <t>qrs</t>
        </is>
      </c>
      <c r="L18" s="187" t="inlineStr">
        <is>
          <t>£ per qr</t>
        </is>
      </c>
      <c r="M18" s="168" t="inlineStr">
        <is>
          <t>£</t>
        </is>
      </c>
      <c r="N18" s="168" t="inlineStr">
        <is>
          <t>£</t>
        </is>
      </c>
    </row>
    <row r="19">
      <c r="A19" t="inlineStr">
        <is>
          <t>Net wheat</t>
        </is>
      </c>
      <c r="B19" s="26">
        <f>F5</f>
        <v/>
      </c>
      <c r="C19" t="n">
        <v>8</v>
      </c>
      <c r="D19">
        <f>3+5</f>
        <v/>
      </c>
      <c r="E19">
        <f>C19+D19/8</f>
        <v/>
      </c>
      <c r="G19">
        <f>1</f>
        <v/>
      </c>
      <c r="H19">
        <f>1+2</f>
        <v/>
      </c>
      <c r="I19" s="180">
        <f>G19+H19/8</f>
        <v/>
      </c>
      <c r="J19" s="26">
        <f>B19-(E19+F19+I19)</f>
        <v/>
      </c>
      <c r="K19" s="180" t="n"/>
      <c r="L19" s="188">
        <f>O5</f>
        <v/>
      </c>
      <c r="M19" s="26">
        <f>L19*J19</f>
        <v/>
      </c>
      <c r="N19" s="26">
        <f>O5*I5</f>
        <v/>
      </c>
    </row>
    <row r="20">
      <c r="A20" t="inlineStr">
        <is>
          <t>Net bere</t>
        </is>
      </c>
      <c r="B20" s="26">
        <f>F6</f>
        <v/>
      </c>
      <c r="C20" t="n">
        <v>15</v>
      </c>
      <c r="D20" t="n">
        <v>1</v>
      </c>
      <c r="E20">
        <f>C20+D20/8</f>
        <v/>
      </c>
      <c r="G20">
        <f>5+2+1+4</f>
        <v/>
      </c>
      <c r="H20">
        <f>0.5+1+6+2.5</f>
        <v/>
      </c>
      <c r="I20" s="180">
        <f>G20+H20/8</f>
        <v/>
      </c>
      <c r="J20" s="26">
        <f>B20-(E20+F20+I20)</f>
        <v/>
      </c>
      <c r="K20" s="180" t="n"/>
      <c r="L20" s="188" t="n"/>
      <c r="M20" s="26" t="n"/>
      <c r="N20" s="26" t="n"/>
    </row>
    <row r="21">
      <c r="A21" t="inlineStr">
        <is>
          <t>Net curall</t>
        </is>
      </c>
      <c r="B21" s="26">
        <f>F7</f>
        <v/>
      </c>
      <c r="E21">
        <f>C21+D21/8</f>
        <v/>
      </c>
      <c r="I21" s="180">
        <f>G21+H21/8</f>
        <v/>
      </c>
      <c r="J21" s="26">
        <f>B21-(E21+F21+I21)</f>
        <v/>
      </c>
      <c r="K21" s="180" t="n"/>
      <c r="L21" s="188">
        <f>O7</f>
        <v/>
      </c>
      <c r="M21" s="26">
        <f>L21*J21</f>
        <v/>
      </c>
      <c r="N21" s="26">
        <f>O7*I7</f>
        <v/>
      </c>
    </row>
    <row r="22">
      <c r="A22" t="inlineStr">
        <is>
          <t>Net barley</t>
        </is>
      </c>
      <c r="B22" s="26">
        <f>F8</f>
        <v/>
      </c>
      <c r="C22" t="n">
        <v>6</v>
      </c>
      <c r="D22" t="n">
        <v>5</v>
      </c>
      <c r="E22">
        <f>C22+D22/8</f>
        <v/>
      </c>
      <c r="I22" s="180">
        <f>G22+H22/8</f>
        <v/>
      </c>
      <c r="J22" s="26">
        <f>B22-(E22+F22+I22)</f>
        <v/>
      </c>
      <c r="K22" s="180" t="n"/>
      <c r="L22" s="188">
        <f>O8</f>
        <v/>
      </c>
      <c r="M22" s="26">
        <f>L22*J22</f>
        <v/>
      </c>
      <c r="N22" s="26">
        <f>O8*I8</f>
        <v/>
      </c>
    </row>
    <row r="23">
      <c r="A23" t="inlineStr">
        <is>
          <t>Net oats</t>
        </is>
      </c>
      <c r="B23" s="26">
        <f>F9</f>
        <v/>
      </c>
      <c r="C23" t="n">
        <v>21</v>
      </c>
      <c r="D23" t="n">
        <v>1</v>
      </c>
      <c r="E23">
        <f>C23+D23/8</f>
        <v/>
      </c>
      <c r="G23">
        <f>7+8+1</f>
        <v/>
      </c>
      <c r="H23">
        <f>1+5+2+0.5</f>
        <v/>
      </c>
      <c r="I23" s="180">
        <f>G23+H23/8</f>
        <v/>
      </c>
      <c r="J23" s="26">
        <f>B23-(E23+F23+I23)</f>
        <v/>
      </c>
      <c r="K23" s="180" t="n"/>
      <c r="L23" s="188">
        <f>O9</f>
        <v/>
      </c>
      <c r="M23" s="26">
        <f>L23*J23</f>
        <v/>
      </c>
      <c r="N23" s="26">
        <f>O9*I9</f>
        <v/>
      </c>
    </row>
    <row r="24">
      <c r="A24" t="inlineStr">
        <is>
          <t>Net peas</t>
        </is>
      </c>
      <c r="B24" s="26">
        <f>F10</f>
        <v/>
      </c>
      <c r="D24" t="n">
        <v>2</v>
      </c>
      <c r="E24">
        <f>C24+D24/8</f>
        <v/>
      </c>
      <c r="H24" t="n">
        <v>2</v>
      </c>
      <c r="I24" s="180">
        <f>G24+H24/8</f>
        <v/>
      </c>
      <c r="J24" s="26">
        <f>B24-(E24+F24+I24)</f>
        <v/>
      </c>
      <c r="K24" s="180" t="n"/>
      <c r="L24" s="188">
        <f>O10</f>
        <v/>
      </c>
      <c r="M24" s="26">
        <f>L24*J24</f>
        <v/>
      </c>
      <c r="N24" s="26">
        <f>O10*I10</f>
        <v/>
      </c>
    </row>
    <row r="25">
      <c r="A25" t="inlineStr">
        <is>
          <t>Net vetches</t>
        </is>
      </c>
      <c r="B25" s="26">
        <f>F11</f>
        <v/>
      </c>
      <c r="E25">
        <f>C25+D25/8</f>
        <v/>
      </c>
      <c r="I25" s="180">
        <f>G25+H25/8</f>
        <v/>
      </c>
      <c r="J25" s="26">
        <f>B25-(E25+F25+I25)</f>
        <v/>
      </c>
      <c r="K25" s="180" t="n"/>
      <c r="L25" s="188">
        <f>O11</f>
        <v/>
      </c>
      <c r="M25" s="26">
        <f>L25*J25</f>
        <v/>
      </c>
      <c r="N25" s="26">
        <f>O11*I11</f>
        <v/>
      </c>
    </row>
    <row r="26">
      <c r="A26" s="182" t="inlineStr">
        <is>
          <t>Total</t>
        </is>
      </c>
      <c r="B26" s="55">
        <f>SUM(B19:B25)</f>
        <v/>
      </c>
      <c r="C26" s="54" t="n"/>
      <c r="D26" s="54" t="n"/>
      <c r="E26" s="54">
        <f>SUM(E19:E25)</f>
        <v/>
      </c>
      <c r="F26" s="54" t="n"/>
      <c r="G26" s="54" t="n"/>
      <c r="H26" s="54" t="n"/>
      <c r="I26" s="54" t="n"/>
      <c r="J26" s="55">
        <f>SUM(J19:J25)</f>
        <v/>
      </c>
      <c r="K26" s="54" t="n"/>
      <c r="L26" s="54" t="n"/>
      <c r="M26" s="55">
        <f>SUM(M19:M25)</f>
        <v/>
      </c>
      <c r="N26" s="55">
        <f>SUM(N19:N25)</f>
        <v/>
      </c>
    </row>
  </sheetData>
  <mergeCells count="5">
    <mergeCell ref="B3:C3"/>
    <mergeCell ref="C17:E17"/>
    <mergeCell ref="G17:I17"/>
    <mergeCell ref="G3:I3"/>
    <mergeCell ref="D3:E3"/>
  </mergeCells>
  <pageMargins left="0.7" right="0.7" top="0.75" bottom="0.75" header="0.3" footer="0.3"/>
  <legacyDrawing xmlns:r="http://schemas.openxmlformats.org/officeDocument/2006/relationships" r:id="anysvml"/>
</worksheet>
</file>

<file path=xl/worksheets/sheet10.xml><?xml version="1.0" encoding="utf-8"?>
<worksheet xmlns="http://schemas.openxmlformats.org/spreadsheetml/2006/main">
  <sheetPr>
    <outlinePr summaryBelow="1" summaryRight="1"/>
    <pageSetUpPr/>
  </sheetPr>
  <dimension ref="A1:U97"/>
  <sheetViews>
    <sheetView topLeftCell="A1" workbookViewId="0">
      <selection activeCell="A1" sqref="A1"/>
    </sheetView>
  </sheetViews>
  <sheetFormatPr baseColWidth="8" defaultRowHeight="15"/>
  <cols>
    <col width="44.375" customWidth="1" min="1" max="1"/>
    <col width="14.5" customWidth="1" min="5" max="5"/>
    <col width="11.875" customWidth="1" min="6" max="6"/>
    <col width="11.625" customWidth="1" min="15" max="15"/>
    <col width="10.875" customWidth="1" min="18" max="18"/>
    <col width="15.875" customWidth="1" min="20" max="20"/>
  </cols>
  <sheetData>
    <row r="1">
      <c r="A1" s="8" t="inlineStr">
        <is>
          <t>EAST KNOYLE STOCK ACCOUNT</t>
        </is>
      </c>
      <c r="B1" s="15" t="n"/>
      <c r="C1" s="15" t="n"/>
      <c r="D1" s="15" t="n"/>
      <c r="E1" s="15" t="n"/>
      <c r="F1" s="15" t="n"/>
      <c r="G1" s="15" t="n"/>
      <c r="H1" s="15" t="n"/>
      <c r="I1" s="15" t="n"/>
      <c r="J1" s="15" t="n"/>
      <c r="K1" s="15" t="n"/>
      <c r="L1" s="15" t="n"/>
      <c r="M1" s="133" t="n"/>
      <c r="N1" s="133" t="n"/>
      <c r="O1" s="15" t="n"/>
      <c r="P1" s="15" t="n"/>
      <c r="Q1" s="15" t="n"/>
      <c r="R1" s="133" t="n"/>
      <c r="S1" s="133" t="n"/>
      <c r="T1" s="133" t="n"/>
      <c r="U1" s="15" t="n"/>
    </row>
    <row r="2">
      <c r="A2" s="22" t="n"/>
      <c r="B2" s="15" t="n"/>
      <c r="C2" s="15" t="n"/>
      <c r="D2" s="15" t="n"/>
      <c r="E2" s="15" t="n"/>
      <c r="F2" s="15" t="n"/>
      <c r="G2" s="15" t="n"/>
      <c r="H2" s="15" t="n"/>
      <c r="I2" s="15" t="n"/>
      <c r="J2" s="15" t="n"/>
      <c r="K2" s="15" t="n"/>
      <c r="L2" s="15" t="n"/>
      <c r="M2" s="133" t="n"/>
      <c r="N2" s="133" t="n"/>
      <c r="O2" s="15" t="n"/>
      <c r="P2" s="15" t="n"/>
      <c r="Q2" s="15" t="n"/>
      <c r="R2" s="133" t="n"/>
      <c r="S2" s="133" t="n"/>
      <c r="T2" s="133" t="n"/>
      <c r="U2" s="15" t="n"/>
    </row>
    <row r="3" ht="68.09999999999999" customHeight="1">
      <c r="A3" s="189" t="inlineStr">
        <is>
          <t>Livestock</t>
        </is>
      </c>
      <c r="B3" s="190" t="inlineStr">
        <is>
          <t>Inherited stock</t>
        </is>
      </c>
      <c r="C3" s="190" t="inlineStr">
        <is>
          <t>Bought</t>
        </is>
      </c>
      <c r="D3" s="190" t="inlineStr">
        <is>
          <t>Produced</t>
        </is>
      </c>
      <c r="E3" s="190" t="inlineStr">
        <is>
          <t>received fromother manors</t>
        </is>
      </c>
      <c r="F3" s="8" t="inlineStr">
        <is>
          <t>strays/heriot</t>
        </is>
      </c>
      <c r="G3" s="8" t="inlineStr">
        <is>
          <t>herbage</t>
        </is>
      </c>
      <c r="H3" s="190" t="inlineStr">
        <is>
          <t>sold</t>
        </is>
      </c>
      <c r="I3" s="190" t="inlineStr">
        <is>
          <t>in murrain</t>
        </is>
      </c>
      <c r="J3" s="190" t="inlineStr">
        <is>
          <t>accounted for elsewhere</t>
        </is>
      </c>
      <c r="K3" s="190" t="inlineStr">
        <is>
          <t>End-period  stock</t>
        </is>
      </c>
      <c r="L3" s="190" t="inlineStr">
        <is>
          <t>cross-check</t>
        </is>
      </c>
      <c r="M3" s="191" t="inlineStr">
        <is>
          <t>price 1</t>
        </is>
      </c>
      <c r="N3" s="191" t="inlineStr">
        <is>
          <t>units 1</t>
        </is>
      </c>
      <c r="O3" s="190" t="inlineStr">
        <is>
          <t>price 2</t>
        </is>
      </c>
      <c r="P3" s="190" t="inlineStr">
        <is>
          <t>units 2</t>
        </is>
      </c>
      <c r="Q3" s="190" t="inlineStr">
        <is>
          <t>Weight (weys)</t>
        </is>
      </c>
      <c r="R3" s="191" t="inlineStr">
        <is>
          <t>Unit price (£)</t>
        </is>
      </c>
      <c r="S3" s="192" t="inlineStr">
        <is>
          <t>Value of production (£) at sales prices</t>
        </is>
      </c>
      <c r="T3" s="192" t="inlineStr">
        <is>
          <t>Sales in (£)</t>
        </is>
      </c>
      <c r="U3" s="190" t="inlineStr">
        <is>
          <t>Details</t>
        </is>
      </c>
    </row>
    <row r="4" ht="17.1" customHeight="1">
      <c r="A4" s="22" t="inlineStr">
        <is>
          <t>Cart-horses</t>
        </is>
      </c>
      <c r="B4" s="15" t="n">
        <v>2</v>
      </c>
      <c r="C4" s="15" t="n"/>
      <c r="D4" s="15" t="n"/>
      <c r="E4" s="15" t="n"/>
      <c r="F4" s="15" t="n"/>
      <c r="G4" s="15" t="n"/>
      <c r="H4" s="15" t="n"/>
      <c r="I4" s="15" t="n"/>
      <c r="J4" s="15" t="n"/>
      <c r="K4" s="15" t="n">
        <v>2</v>
      </c>
      <c r="L4" s="190">
        <f>B4+C4+D4+F4-G4-H4-I4-J4</f>
        <v/>
      </c>
      <c r="R4" s="133">
        <f>IFERROR((M4+O4)/(N4+P4),"")</f>
        <v/>
      </c>
      <c r="S4" s="133">
        <f>IFERROR(D4*R4,"")</f>
        <v/>
      </c>
      <c r="T4" s="133">
        <f>IFERROR(R4*H4,"")</f>
        <v/>
      </c>
      <c r="U4" s="15" t="n"/>
    </row>
    <row r="5" ht="17.1" customHeight="1">
      <c r="A5" s="22" t="inlineStr">
        <is>
          <t>Mares</t>
        </is>
      </c>
      <c r="B5" s="15" t="n"/>
      <c r="C5" s="15" t="n"/>
      <c r="D5" s="15" t="n"/>
      <c r="E5" s="15" t="n"/>
      <c r="F5" s="15" t="n"/>
      <c r="G5" s="15" t="n"/>
      <c r="H5" s="15" t="n"/>
      <c r="I5" s="15" t="n"/>
      <c r="J5" s="15" t="n"/>
      <c r="K5" s="15" t="n"/>
      <c r="L5" s="190">
        <f>B5+C5+D5+F5-G5-H5-I5-J5</f>
        <v/>
      </c>
      <c r="M5" s="191" t="n"/>
      <c r="N5" s="191" t="n"/>
      <c r="O5" s="190" t="n"/>
      <c r="P5" s="190" t="n"/>
      <c r="Q5" s="190" t="n"/>
      <c r="R5" s="133">
        <f>IFERROR((M5+O5)/(N5+P5),"")</f>
        <v/>
      </c>
      <c r="S5" s="133">
        <f>IFERROR(D5*R5,"")</f>
        <v/>
      </c>
      <c r="T5" s="133">
        <f>IFERROR(R5*H5,"")</f>
        <v/>
      </c>
      <c r="U5" s="15" t="n"/>
    </row>
    <row r="6">
      <c r="A6" s="15" t="inlineStr">
        <is>
          <t>Plough horses</t>
        </is>
      </c>
      <c r="B6" s="15" t="n"/>
      <c r="C6" s="15" t="n"/>
      <c r="D6" s="15" t="n"/>
      <c r="E6" s="15" t="n"/>
      <c r="F6" s="15" t="n"/>
      <c r="G6" s="15" t="n"/>
      <c r="H6" s="15" t="n"/>
      <c r="I6" s="15" t="n"/>
      <c r="J6" s="15" t="n"/>
      <c r="K6" s="15" t="n"/>
      <c r="L6" s="190">
        <f>B6+C6+D6+F6-G6-H6-I6-J6</f>
        <v/>
      </c>
      <c r="M6" s="191" t="n"/>
      <c r="N6" s="191" t="n"/>
      <c r="O6" s="190" t="n"/>
      <c r="P6" s="190" t="n"/>
      <c r="Q6" s="190" t="n"/>
      <c r="R6" s="133">
        <f>IFERROR((M6+O6)/(N6+P6),"")</f>
        <v/>
      </c>
      <c r="S6" s="133">
        <f>IFERROR(D6*R6,"")</f>
        <v/>
      </c>
      <c r="T6" s="133">
        <f>IFERROR(R6*H6,"")</f>
        <v/>
      </c>
      <c r="U6" s="15" t="n"/>
    </row>
    <row r="7">
      <c r="A7" s="15" t="inlineStr">
        <is>
          <t>Colts (2 years)</t>
        </is>
      </c>
      <c r="B7" s="15" t="n"/>
      <c r="C7" s="15" t="n"/>
      <c r="D7" s="15" t="n"/>
      <c r="E7" s="15" t="n"/>
      <c r="F7" s="15" t="n"/>
      <c r="G7" s="15" t="n"/>
      <c r="H7" s="15" t="n"/>
      <c r="I7" s="15" t="n"/>
      <c r="J7" s="15" t="n"/>
      <c r="K7" s="15" t="n"/>
      <c r="L7" s="190">
        <f>B7+C7+D7+F7-G7-H7-I7-J7</f>
        <v/>
      </c>
      <c r="M7" s="191" t="n"/>
      <c r="N7" s="191" t="n"/>
      <c r="O7" s="190" t="n"/>
      <c r="P7" s="190" t="n"/>
      <c r="Q7" s="190" t="n"/>
      <c r="R7" s="133">
        <f>IFERROR((M7+O7)/(N7+P7),"")</f>
        <v/>
      </c>
      <c r="S7" s="133">
        <f>IFERROR(D7*R7,"")</f>
        <v/>
      </c>
      <c r="T7" s="133">
        <f>IFERROR(R7*H7,"")</f>
        <v/>
      </c>
      <c r="U7" s="15" t="n"/>
    </row>
    <row r="8">
      <c r="A8" s="15" t="inlineStr">
        <is>
          <t>Colts (2 years)</t>
        </is>
      </c>
      <c r="B8" s="15" t="n"/>
      <c r="C8" s="15" t="n"/>
      <c r="D8" s="15" t="n"/>
      <c r="E8" s="15" t="n"/>
      <c r="F8" s="15" t="n"/>
      <c r="G8" s="15" t="n"/>
      <c r="H8" s="15" t="n"/>
      <c r="I8" s="15" t="n"/>
      <c r="J8" s="15" t="n"/>
      <c r="K8" s="15" t="n"/>
      <c r="L8" s="190">
        <f>B8+C8+D8+F8-G8-H8-I8-J8</f>
        <v/>
      </c>
      <c r="M8" s="191" t="n"/>
      <c r="N8" s="191" t="n"/>
      <c r="O8" s="190" t="n"/>
      <c r="P8" s="190" t="n"/>
      <c r="Q8" s="190" t="n"/>
      <c r="R8" s="133">
        <f>IFERROR((M8+O8)/(N8+P8),"")</f>
        <v/>
      </c>
      <c r="S8" s="133">
        <f>IFERROR(D8*R8,"")</f>
        <v/>
      </c>
      <c r="T8" s="133">
        <f>IFERROR(R8*H8,"")</f>
        <v/>
      </c>
      <c r="U8" s="15" t="n"/>
    </row>
    <row r="9">
      <c r="A9" s="15" t="inlineStr">
        <is>
          <t>Colts (1 year)</t>
        </is>
      </c>
      <c r="B9" s="15" t="n"/>
      <c r="C9" s="15" t="n"/>
      <c r="D9" s="15" t="n"/>
      <c r="E9" s="15" t="n"/>
      <c r="F9" s="15" t="n"/>
      <c r="G9" s="15" t="n"/>
      <c r="H9" s="15" t="n"/>
      <c r="I9" s="15" t="n"/>
      <c r="J9" s="15" t="n"/>
      <c r="K9" s="15" t="n"/>
      <c r="L9" s="190">
        <f>B9+C9+D9+F9-G9-H9-I9-J9</f>
        <v/>
      </c>
      <c r="M9" s="191" t="n"/>
      <c r="N9" s="191" t="n"/>
      <c r="O9" s="190" t="n"/>
      <c r="P9" s="190" t="n"/>
      <c r="Q9" s="190" t="n"/>
      <c r="R9" s="133">
        <f>IFERROR((M9+O9)/(N9+P9),"")</f>
        <v/>
      </c>
      <c r="S9" s="133">
        <f>IFERROR(D9*R9,"")</f>
        <v/>
      </c>
      <c r="T9" s="133">
        <f>IFERROR(R9*H9,"")</f>
        <v/>
      </c>
      <c r="U9" s="15" t="n"/>
    </row>
    <row r="10">
      <c r="A10" s="15" t="inlineStr">
        <is>
          <t>Foals</t>
        </is>
      </c>
      <c r="B10" s="15" t="n"/>
      <c r="C10" s="15" t="n"/>
      <c r="D10" s="15" t="n"/>
      <c r="E10" s="15" t="n"/>
      <c r="F10" s="15" t="n"/>
      <c r="G10" s="15" t="n"/>
      <c r="H10" s="15" t="n"/>
      <c r="I10" s="15" t="n"/>
      <c r="J10" s="15" t="n"/>
      <c r="K10" s="15" t="n"/>
      <c r="L10" s="190">
        <f>B10+C10+D10+F10-G10-H10-I10-J10</f>
        <v/>
      </c>
      <c r="M10" s="191" t="n"/>
      <c r="N10" s="191" t="n"/>
      <c r="O10" s="190" t="n"/>
      <c r="P10" s="190" t="n"/>
      <c r="Q10" s="190" t="n"/>
      <c r="R10" s="133">
        <f>IFERROR((M10+O10)/(N10+P10),"")</f>
        <v/>
      </c>
      <c r="S10" s="133">
        <f>IFERROR(D10*R10,"")</f>
        <v/>
      </c>
      <c r="T10" s="133">
        <f>IFERROR(R10*H10,"")</f>
        <v/>
      </c>
      <c r="U10" s="15" t="n"/>
    </row>
    <row r="11">
      <c r="A11" s="15" t="inlineStr">
        <is>
          <t>Oxen</t>
        </is>
      </c>
      <c r="B11" s="15" t="n">
        <v>21</v>
      </c>
      <c r="C11" s="15" t="n">
        <v>9</v>
      </c>
      <c r="D11" s="15" t="n"/>
      <c r="E11" s="15" t="n"/>
      <c r="F11" s="15" t="n"/>
      <c r="G11" s="15" t="n"/>
      <c r="H11" s="15" t="n">
        <v>8</v>
      </c>
      <c r="I11" s="15" t="n">
        <v>1</v>
      </c>
      <c r="J11" s="15" t="n">
        <v>3</v>
      </c>
      <c r="K11" s="15" t="n">
        <v>18</v>
      </c>
      <c r="L11" s="190">
        <f>B11+C11+D11+F11-G11-H11-I11-J11</f>
        <v/>
      </c>
      <c r="M11" s="193" t="n"/>
      <c r="N11" s="193" t="n"/>
      <c r="O11" s="194" t="n"/>
      <c r="P11" s="194" t="n"/>
      <c r="Q11" s="194" t="n"/>
      <c r="R11" s="133">
        <f>T11/H11</f>
        <v/>
      </c>
      <c r="S11" s="133">
        <f>D11*R11</f>
        <v/>
      </c>
      <c r="T11" s="133">
        <f>'Highclere Receipts'!F58</f>
        <v/>
      </c>
      <c r="U11" s="15" t="n"/>
    </row>
    <row r="12">
      <c r="A12" s="15" t="inlineStr">
        <is>
          <t>Bulls</t>
        </is>
      </c>
      <c r="B12" s="15" t="n">
        <v>1</v>
      </c>
      <c r="C12" s="15" t="n"/>
      <c r="D12" s="15" t="n">
        <v>1</v>
      </c>
      <c r="E12" s="15" t="n"/>
      <c r="F12" s="15" t="n"/>
      <c r="G12" s="15" t="n"/>
      <c r="H12" s="15" t="n"/>
      <c r="I12" s="15" t="n"/>
      <c r="J12" s="15" t="n"/>
      <c r="K12" s="15" t="n">
        <v>2</v>
      </c>
      <c r="L12" s="190">
        <f>B12+C12+D12+F12-G12-H12-I12-J12</f>
        <v/>
      </c>
      <c r="M12" s="193" t="n"/>
      <c r="N12" s="193" t="n"/>
      <c r="O12" s="194" t="n"/>
      <c r="P12" s="194" t="n"/>
      <c r="Q12" s="194" t="n"/>
      <c r="R12" s="133" t="n"/>
      <c r="S12" s="133">
        <f>D12*R12</f>
        <v/>
      </c>
      <c r="T12" s="133">
        <f>IFERROR(R12*H12,"")</f>
        <v/>
      </c>
      <c r="U12" s="15" t="n"/>
    </row>
    <row r="13">
      <c r="A13" s="15" t="inlineStr">
        <is>
          <t>Cows</t>
        </is>
      </c>
      <c r="B13" s="15" t="n">
        <v>50</v>
      </c>
      <c r="C13" s="15" t="n"/>
      <c r="D13" s="15" t="n">
        <v>1</v>
      </c>
      <c r="E13" s="15" t="n"/>
      <c r="F13" s="15" t="n"/>
      <c r="G13" s="15" t="n"/>
      <c r="H13" s="15" t="n">
        <v>7</v>
      </c>
      <c r="I13" s="15" t="n">
        <v>1</v>
      </c>
      <c r="J13" s="15" t="n"/>
      <c r="K13" s="15" t="n">
        <v>43</v>
      </c>
      <c r="L13" s="190">
        <f>B13+C13+D13+F13-G13-H13-I13-J13</f>
        <v/>
      </c>
      <c r="M13" s="193" t="n"/>
      <c r="N13" s="193" t="n"/>
      <c r="O13" s="194" t="n"/>
      <c r="P13" s="194" t="n"/>
      <c r="Q13" s="194" t="n"/>
      <c r="R13" s="133">
        <f>T13/H13</f>
        <v/>
      </c>
      <c r="S13" s="133">
        <f>D13*R13</f>
        <v/>
      </c>
      <c r="T13" s="133">
        <f>'Highclere Receipts'!F59+('Highclere Receipts'!F60)</f>
        <v/>
      </c>
      <c r="U13" s="15" t="n"/>
    </row>
    <row r="14">
      <c r="A14" s="15" t="inlineStr">
        <is>
          <t>Steers</t>
        </is>
      </c>
      <c r="B14" s="15" t="n">
        <v>4</v>
      </c>
      <c r="C14" s="15" t="n"/>
      <c r="D14" s="15" t="n"/>
      <c r="E14" s="15" t="n"/>
      <c r="F14" s="15" t="n">
        <v>1</v>
      </c>
      <c r="G14" s="15" t="n"/>
      <c r="H14" s="15" t="n">
        <v>1</v>
      </c>
      <c r="I14" s="15" t="n">
        <v>1</v>
      </c>
      <c r="J14" s="15">
        <f>1+1+1</f>
        <v/>
      </c>
      <c r="K14" s="15" t="n">
        <v>0</v>
      </c>
      <c r="L14" s="190">
        <f>B14+C14+D14+F14-G14-H14-I14-J14</f>
        <v/>
      </c>
      <c r="M14" s="193" t="n"/>
      <c r="N14" s="193" t="n"/>
      <c r="O14" s="194" t="n"/>
      <c r="P14" s="194" t="n"/>
      <c r="Q14" s="194" t="n"/>
      <c r="R14" s="133">
        <f>T14/H14</f>
        <v/>
      </c>
      <c r="S14" s="133">
        <f>D14*R14</f>
        <v/>
      </c>
      <c r="T14" s="133">
        <f>'Highclere Receipts'!F61</f>
        <v/>
      </c>
      <c r="U14" s="15" t="n"/>
    </row>
    <row r="15">
      <c r="A15" s="15" t="inlineStr">
        <is>
          <t>Bullocks</t>
        </is>
      </c>
      <c r="B15" s="15" t="n">
        <v>15</v>
      </c>
      <c r="C15" s="15" t="n"/>
      <c r="D15" s="15" t="n"/>
      <c r="E15" s="15" t="n"/>
      <c r="F15" s="15" t="n"/>
      <c r="G15" s="15" t="n"/>
      <c r="H15" s="15" t="n"/>
      <c r="I15" s="15" t="n"/>
      <c r="J15" s="15" t="n">
        <v>4</v>
      </c>
      <c r="K15" s="15" t="n">
        <v>11</v>
      </c>
      <c r="L15" s="190">
        <f>B15+C15+D15+F15-G15-H15-I15-J15</f>
        <v/>
      </c>
      <c r="M15" s="193" t="n"/>
      <c r="N15" s="193" t="n"/>
      <c r="O15" s="194" t="n"/>
      <c r="P15" s="194" t="n"/>
      <c r="Q15" s="194" t="n"/>
      <c r="R15" s="133" t="n"/>
      <c r="S15" s="133">
        <f>D15*R15</f>
        <v/>
      </c>
      <c r="T15" s="133">
        <f>IFERROR(R15*H15,"")</f>
        <v/>
      </c>
      <c r="U15" s="15" t="n"/>
    </row>
    <row r="16">
      <c r="A16" s="15" t="inlineStr">
        <is>
          <t>Yearlings</t>
        </is>
      </c>
      <c r="B16" s="15" t="n">
        <v>18</v>
      </c>
      <c r="C16" s="15" t="n"/>
      <c r="D16" s="15" t="n"/>
      <c r="E16" s="15" t="n"/>
      <c r="F16" s="15" t="n"/>
      <c r="G16" s="15" t="n"/>
      <c r="H16" s="15" t="n"/>
      <c r="I16" s="15" t="n">
        <v>2</v>
      </c>
      <c r="J16" s="15" t="n"/>
      <c r="K16" s="15" t="n">
        <v>16</v>
      </c>
      <c r="L16" s="190">
        <f>B16+C16+D16+F16-G16-H16-I16-J16</f>
        <v/>
      </c>
      <c r="M16" s="193" t="n"/>
      <c r="N16" s="193" t="n"/>
      <c r="O16" s="194" t="n"/>
      <c r="P16" s="194" t="n"/>
      <c r="Q16" s="194" t="n"/>
      <c r="R16" s="133" t="n"/>
      <c r="S16" s="133">
        <f>D16*R16</f>
        <v/>
      </c>
      <c r="T16" s="133">
        <f>IFERROR(R16*H16,"")</f>
        <v/>
      </c>
      <c r="U16" s="15" t="n"/>
    </row>
    <row r="17">
      <c r="A17" s="15" t="inlineStr">
        <is>
          <t>Calves</t>
        </is>
      </c>
      <c r="B17" s="15" t="n"/>
      <c r="C17" s="15" t="n"/>
      <c r="D17" s="15" t="n">
        <v>36</v>
      </c>
      <c r="E17" s="15" t="n"/>
      <c r="F17" s="15" t="n"/>
      <c r="G17" s="15" t="n"/>
      <c r="H17" s="15">
        <f>7+17</f>
        <v/>
      </c>
      <c r="I17" s="15">
        <f>1+2</f>
        <v/>
      </c>
      <c r="J17" s="15">
        <f>1+3</f>
        <v/>
      </c>
      <c r="K17" s="15" t="n">
        <v>14</v>
      </c>
      <c r="L17" s="190">
        <f>B17+C17+D17+F17-G17-H17-I17-J17</f>
        <v/>
      </c>
      <c r="M17" s="193" t="n"/>
      <c r="N17" s="193" t="n"/>
      <c r="O17" s="194" t="n"/>
      <c r="P17" s="194" t="n"/>
      <c r="Q17" s="194" t="n"/>
      <c r="R17" s="133">
        <f>T17/17</f>
        <v/>
      </c>
      <c r="S17" s="133">
        <f>D17*R17</f>
        <v/>
      </c>
      <c r="T17" s="133">
        <f>'Highclere Receipts'!F62</f>
        <v/>
      </c>
      <c r="U17" s="15" t="inlineStr">
        <is>
          <t>accounting does not add up, sales only record 17 sales</t>
        </is>
      </c>
    </row>
    <row r="18">
      <c r="A18" s="15" t="inlineStr">
        <is>
          <t>Wethers</t>
        </is>
      </c>
      <c r="B18" s="15" t="n"/>
      <c r="C18" s="15" t="n"/>
      <c r="D18" s="15" t="n"/>
      <c r="E18" s="15" t="n"/>
      <c r="F18" s="15" t="n"/>
      <c r="G18" s="15" t="n"/>
      <c r="H18" s="15" t="n"/>
      <c r="I18" s="15" t="n"/>
      <c r="J18" s="15" t="n"/>
      <c r="K18" s="15" t="n"/>
      <c r="L18" s="190">
        <f>B18+C18+D18+F18-G18-H18-I18-J18</f>
        <v/>
      </c>
      <c r="M18" s="193" t="n"/>
      <c r="N18" s="193" t="n"/>
      <c r="O18" s="194" t="n"/>
      <c r="P18" s="194" t="n"/>
      <c r="Q18" s="194" t="n"/>
      <c r="R18" s="133" t="n"/>
      <c r="S18" s="133">
        <f>D18*R18</f>
        <v/>
      </c>
      <c r="T18" s="133">
        <f>IFERROR(R18*H18,"")</f>
        <v/>
      </c>
      <c r="U18" s="15" t="n"/>
    </row>
    <row r="19">
      <c r="A19" s="15" t="inlineStr">
        <is>
          <t>Rams</t>
        </is>
      </c>
      <c r="B19" s="15" t="n">
        <v>15</v>
      </c>
      <c r="C19" s="15" t="n"/>
      <c r="D19" s="15" t="n"/>
      <c r="E19" s="15" t="n"/>
      <c r="F19" s="15" t="n"/>
      <c r="G19" s="15" t="n"/>
      <c r="H19" s="15" t="n"/>
      <c r="I19" s="15" t="n">
        <v>1</v>
      </c>
      <c r="J19" s="15" t="n">
        <v>4</v>
      </c>
      <c r="K19" s="15" t="n">
        <v>10</v>
      </c>
      <c r="L19" s="190">
        <f>B19+C19+D19+F19-G19-H19-I19-J19</f>
        <v/>
      </c>
      <c r="M19" s="193" t="n"/>
      <c r="N19" s="193" t="n"/>
      <c r="O19" s="194" t="n"/>
      <c r="P19" s="194" t="n"/>
      <c r="Q19" s="194" t="n"/>
      <c r="R19" s="133" t="n"/>
      <c r="S19" s="133">
        <f>D19*R19</f>
        <v/>
      </c>
      <c r="T19" s="133">
        <f>IFERROR(R19*H19,"")</f>
        <v/>
      </c>
      <c r="U19" s="15" t="n"/>
    </row>
    <row r="20">
      <c r="A20" s="15" t="inlineStr">
        <is>
          <t>Ewes</t>
        </is>
      </c>
      <c r="B20" s="15" t="n">
        <v>383</v>
      </c>
      <c r="C20" s="15" t="n">
        <v>59</v>
      </c>
      <c r="D20" s="15" t="n">
        <v>48</v>
      </c>
      <c r="E20" s="15" t="n"/>
      <c r="F20" s="15" t="n"/>
      <c r="G20" s="15" t="n"/>
      <c r="H20" s="15" t="n">
        <v>39</v>
      </c>
      <c r="I20" s="15">
        <f>6+3+2</f>
        <v/>
      </c>
      <c r="J20" s="15" t="n">
        <v>1</v>
      </c>
      <c r="K20" s="15" t="n">
        <v>449</v>
      </c>
      <c r="L20" s="190">
        <f>B20+C20+D20+F20-G20-H20-I20-J20</f>
        <v/>
      </c>
      <c r="M20" s="193" t="n"/>
      <c r="N20" s="193" t="n"/>
      <c r="O20" s="194" t="n"/>
      <c r="P20" s="194" t="n"/>
      <c r="Q20" s="194" t="n"/>
      <c r="R20" s="133">
        <f>T20/H20</f>
        <v/>
      </c>
      <c r="S20" s="133">
        <f>D20*R20</f>
        <v/>
      </c>
      <c r="T20" s="133">
        <f>'Highclere Receipts'!F63</f>
        <v/>
      </c>
      <c r="U20" s="15" t="n"/>
    </row>
    <row r="21">
      <c r="A21" s="15" t="inlineStr">
        <is>
          <t>Hoggs</t>
        </is>
      </c>
      <c r="B21" s="15" t="n"/>
      <c r="C21" s="15" t="n"/>
      <c r="D21" s="15" t="n"/>
      <c r="E21" s="15" t="n"/>
      <c r="F21" s="15" t="n"/>
      <c r="G21" s="15" t="n"/>
      <c r="H21" s="15" t="n"/>
      <c r="I21" s="15" t="n"/>
      <c r="J21" s="15" t="n"/>
      <c r="K21" s="15" t="n"/>
      <c r="L21" s="190">
        <f>B21+C21+D21+F21-G21-H21-I21-J21</f>
        <v/>
      </c>
      <c r="M21" s="193" t="n"/>
      <c r="N21" s="193" t="n"/>
      <c r="O21" s="194" t="n"/>
      <c r="P21" s="194" t="n"/>
      <c r="Q21" s="194" t="n"/>
      <c r="R21" s="133" t="n"/>
      <c r="S21" s="133">
        <f>D21*R21</f>
        <v/>
      </c>
      <c r="T21" s="133">
        <f>IFERROR(R21*H21,"")</f>
        <v/>
      </c>
      <c r="U21" s="15" t="n"/>
    </row>
    <row r="22">
      <c r="A22" s="15" t="inlineStr">
        <is>
          <t>Lambs</t>
        </is>
      </c>
      <c r="B22" s="15" t="n"/>
      <c r="C22" s="15" t="n"/>
      <c r="D22" s="15" t="n">
        <v>324</v>
      </c>
      <c r="E22" s="15" t="n"/>
      <c r="F22" s="15" t="n"/>
      <c r="G22" s="15" t="n"/>
      <c r="H22" s="15" t="n"/>
      <c r="I22" s="15">
        <f>37</f>
        <v/>
      </c>
      <c r="J22" s="15">
        <f>28+4+225</f>
        <v/>
      </c>
      <c r="K22" s="15" t="n">
        <v>0</v>
      </c>
      <c r="L22" s="190">
        <f>B22+C22+D22+F22-G22-H22-I22-J22</f>
        <v/>
      </c>
      <c r="M22" s="193" t="n"/>
      <c r="N22" s="193" t="n"/>
      <c r="O22" s="194" t="n"/>
      <c r="P22" s="194" t="n"/>
      <c r="Q22" s="194" t="n"/>
      <c r="R22" s="133" t="n"/>
      <c r="S22" s="133">
        <f>D22*R22</f>
        <v/>
      </c>
      <c r="T22" s="133">
        <f>IFERROR(R22*H22,"")</f>
        <v/>
      </c>
      <c r="U22" s="15" t="n"/>
    </row>
    <row r="23">
      <c r="A23" s="15" t="inlineStr">
        <is>
          <t>Boars</t>
        </is>
      </c>
      <c r="B23" s="15" t="n"/>
      <c r="C23" s="15" t="n"/>
      <c r="D23" s="15" t="n"/>
      <c r="E23" s="15" t="n"/>
      <c r="F23" s="15" t="n"/>
      <c r="G23" s="15" t="n"/>
      <c r="H23" s="15" t="n"/>
      <c r="I23" s="15" t="n"/>
      <c r="J23" s="15" t="n"/>
      <c r="K23" s="15" t="n"/>
      <c r="L23" s="190">
        <f>B23+C23+D23+F23-G23-H23-I23-J23</f>
        <v/>
      </c>
      <c r="M23" s="193" t="n"/>
      <c r="N23" s="193" t="n"/>
      <c r="O23" s="194" t="n"/>
      <c r="P23" s="194" t="n"/>
      <c r="Q23" s="194" t="n"/>
      <c r="R23" s="133" t="n"/>
      <c r="S23" s="133">
        <f>D23*R23</f>
        <v/>
      </c>
      <c r="T23" s="133">
        <f>IFERROR(R23*H23,"")</f>
        <v/>
      </c>
      <c r="U23" s="15" t="n"/>
    </row>
    <row r="24">
      <c r="A24" s="15" t="inlineStr">
        <is>
          <t>Sows</t>
        </is>
      </c>
      <c r="B24" s="15" t="n"/>
      <c r="C24" s="15" t="n"/>
      <c r="D24" s="15" t="n"/>
      <c r="E24" s="15" t="n"/>
      <c r="F24" s="15" t="n"/>
      <c r="G24" s="15" t="n"/>
      <c r="H24" s="15" t="n"/>
      <c r="I24" s="15" t="n"/>
      <c r="J24" s="15" t="n"/>
      <c r="K24" s="15" t="n"/>
      <c r="L24" s="190">
        <f>B24+C24+D24+F24-G24-H24-I24-J24</f>
        <v/>
      </c>
      <c r="M24" s="193" t="n"/>
      <c r="N24" s="193" t="n"/>
      <c r="O24" s="194" t="n"/>
      <c r="P24" s="194" t="n"/>
      <c r="Q24" s="194" t="n"/>
      <c r="R24" s="133" t="n"/>
      <c r="S24" s="133">
        <f>D24*R24</f>
        <v/>
      </c>
      <c r="T24" s="133">
        <f>IFERROR(R24*H24,"")</f>
        <v/>
      </c>
      <c r="U24" s="15" t="n"/>
    </row>
    <row r="25">
      <c r="A25" s="15" t="inlineStr">
        <is>
          <t>Pigs</t>
        </is>
      </c>
      <c r="B25" s="15" t="n"/>
      <c r="C25" s="15" t="n">
        <v>3</v>
      </c>
      <c r="D25" s="15" t="n"/>
      <c r="E25" s="15" t="n"/>
      <c r="F25" s="15" t="n"/>
      <c r="G25" s="15" t="n"/>
      <c r="H25" s="15" t="n">
        <v>3</v>
      </c>
      <c r="I25" s="15" t="n"/>
      <c r="J25" s="15" t="n"/>
      <c r="K25" s="15" t="n">
        <v>0</v>
      </c>
      <c r="L25" s="190">
        <f>B25+C25+D25+F25-G25-H25-I25-J25</f>
        <v/>
      </c>
      <c r="M25" s="193" t="n"/>
      <c r="N25" s="193" t="n"/>
      <c r="O25" s="194" t="n"/>
      <c r="P25" s="194" t="n"/>
      <c r="Q25" s="194" t="n"/>
      <c r="R25" s="133">
        <f>T25/H25</f>
        <v/>
      </c>
      <c r="S25" s="133">
        <f>D25*R25</f>
        <v/>
      </c>
      <c r="T25" s="133">
        <f>'Highclere Receipts'!F81</f>
        <v/>
      </c>
      <c r="U25" s="15" t="n"/>
    </row>
    <row r="26">
      <c r="A26" s="15" t="inlineStr">
        <is>
          <t>Hoggets</t>
        </is>
      </c>
      <c r="B26" s="15" t="n"/>
      <c r="C26" s="15" t="n"/>
      <c r="D26" s="15" t="n"/>
      <c r="E26" s="15" t="n"/>
      <c r="F26" s="15" t="n"/>
      <c r="G26" s="15" t="n"/>
      <c r="H26" s="15" t="n"/>
      <c r="I26" s="15" t="n"/>
      <c r="J26" s="15" t="n"/>
      <c r="K26" s="15" t="n"/>
      <c r="L26" s="190">
        <f>B26+C26+D26+F26-G26-H26-I26-J26</f>
        <v/>
      </c>
      <c r="M26" s="193" t="n"/>
      <c r="N26" s="193" t="n"/>
      <c r="O26" s="194" t="n"/>
      <c r="P26" s="194" t="n"/>
      <c r="Q26" s="194" t="n"/>
      <c r="R26" s="133" t="n"/>
      <c r="S26" s="133">
        <f>D26*R26</f>
        <v/>
      </c>
      <c r="T26" s="133">
        <f>IFERROR(R26*H26,"")</f>
        <v/>
      </c>
      <c r="U26" s="15" t="n"/>
    </row>
    <row r="27">
      <c r="A27" s="15" t="inlineStr">
        <is>
          <t>Piglets</t>
        </is>
      </c>
      <c r="B27" s="15" t="n"/>
      <c r="C27" s="15" t="n"/>
      <c r="D27" s="15" t="n"/>
      <c r="E27" s="15" t="n"/>
      <c r="F27" s="15" t="n"/>
      <c r="G27" s="15" t="n"/>
      <c r="H27" s="15" t="n"/>
      <c r="I27" s="15" t="n"/>
      <c r="J27" s="15" t="n"/>
      <c r="K27" s="15" t="n"/>
      <c r="L27" s="190">
        <f>B27+C27+D27+F27-G27-H27-I27-J27</f>
        <v/>
      </c>
      <c r="M27" s="193" t="n"/>
      <c r="N27" s="193" t="n"/>
      <c r="O27" s="194" t="n"/>
      <c r="P27" s="194" t="n"/>
      <c r="Q27" s="194" t="n"/>
      <c r="R27" s="133">
        <f>IFERROR((M27+O27)/(N27+P27),"")</f>
        <v/>
      </c>
      <c r="S27" s="133" t="n"/>
      <c r="T27" s="133">
        <f>IFERROR(R27*H27,"")</f>
        <v/>
      </c>
      <c r="U27" s="15" t="n"/>
    </row>
    <row r="28">
      <c r="A28" s="15" t="inlineStr">
        <is>
          <t>Swans</t>
        </is>
      </c>
      <c r="B28" s="15" t="n"/>
      <c r="C28" s="15" t="n"/>
      <c r="D28" s="15" t="n"/>
      <c r="E28" s="15" t="n"/>
      <c r="F28" s="15" t="n"/>
      <c r="G28" s="15" t="n"/>
      <c r="H28" s="15" t="n"/>
      <c r="I28" s="15" t="n"/>
      <c r="J28" s="15" t="n"/>
      <c r="K28" s="15" t="n"/>
      <c r="L28" s="190">
        <f>B28+C28+D28+F28-G28-H28-I28-J28</f>
        <v/>
      </c>
      <c r="M28" s="193" t="n"/>
      <c r="N28" s="193" t="n"/>
      <c r="O28" s="194" t="n"/>
      <c r="P28" s="194" t="n"/>
      <c r="Q28" s="194" t="n"/>
      <c r="R28" s="133">
        <f>IFERROR((M28+O28)/(N28+P28),"")</f>
        <v/>
      </c>
      <c r="S28" s="133" t="n"/>
      <c r="T28" s="133">
        <f>IFERROR(R28*H28,"")</f>
        <v/>
      </c>
      <c r="U28" s="15" t="n"/>
    </row>
    <row r="29">
      <c r="A29" s="15" t="inlineStr">
        <is>
          <t>Peacocks</t>
        </is>
      </c>
      <c r="B29" s="15" t="n">
        <v>15</v>
      </c>
      <c r="C29" s="15" t="n"/>
      <c r="D29" s="15" t="n"/>
      <c r="E29" s="15" t="n"/>
      <c r="F29" s="15" t="n"/>
      <c r="G29" s="15" t="n"/>
      <c r="H29" s="15" t="n"/>
      <c r="I29" s="15" t="n">
        <v>2</v>
      </c>
      <c r="J29" s="15" t="n">
        <v>6</v>
      </c>
      <c r="K29" s="15" t="n">
        <v>7</v>
      </c>
      <c r="L29" s="190">
        <f>B29+C29+D29+F29-G29-H29-I29-J29</f>
        <v/>
      </c>
      <c r="M29" s="133" t="n"/>
      <c r="N29" s="133" t="n"/>
      <c r="O29" s="15" t="n"/>
      <c r="P29" s="15" t="n"/>
      <c r="Q29" s="15" t="n"/>
      <c r="R29" s="133">
        <f>IFERROR((M29+O29)/(N29+P29),"")</f>
        <v/>
      </c>
      <c r="S29" s="133" t="n"/>
      <c r="T29" s="133">
        <f>IFERROR(R29*H29,"")</f>
        <v/>
      </c>
      <c r="U29" s="15" t="n"/>
    </row>
    <row r="30">
      <c r="A30" s="195" t="inlineStr">
        <is>
          <t>Total</t>
        </is>
      </c>
      <c r="B30" s="195" t="n"/>
      <c r="C30" s="195" t="n"/>
      <c r="D30" s="195" t="n"/>
      <c r="E30" s="195" t="n"/>
      <c r="F30" s="195" t="n"/>
      <c r="G30" s="195" t="n"/>
      <c r="H30" s="195" t="n"/>
      <c r="I30" s="195" t="n"/>
      <c r="J30" s="195" t="n"/>
      <c r="K30" s="195" t="n"/>
      <c r="L30" s="196">
        <f>B30+C30+D30+F30-G30-H30-I30-J30</f>
        <v/>
      </c>
      <c r="M30" s="197" t="n"/>
      <c r="N30" s="197" t="n"/>
      <c r="O30" s="195" t="n"/>
      <c r="P30" s="195" t="n"/>
      <c r="Q30" s="195" t="n"/>
      <c r="R30" s="197">
        <f>IFERROR((M30+O30)/(N30+P30),"")</f>
        <v/>
      </c>
      <c r="S30" s="197">
        <f>SUM(S11:S26)</f>
        <v/>
      </c>
      <c r="T30" s="197">
        <f>SUM(T4:T29)</f>
        <v/>
      </c>
      <c r="U30" s="195" t="n"/>
    </row>
    <row r="31">
      <c r="A31" s="15" t="n"/>
      <c r="B31" s="15" t="n"/>
      <c r="C31" s="15" t="n"/>
      <c r="D31" s="15" t="n"/>
      <c r="E31" s="15" t="n"/>
      <c r="F31" s="15" t="n"/>
      <c r="G31" s="15" t="n"/>
      <c r="H31" s="15" t="n"/>
      <c r="I31" s="15" t="n"/>
      <c r="J31" s="15" t="n"/>
      <c r="K31" s="15" t="n"/>
      <c r="L31" s="190" t="n"/>
      <c r="M31" s="133" t="n"/>
      <c r="N31" s="133" t="n"/>
      <c r="O31" s="15" t="n"/>
      <c r="P31" s="15" t="n"/>
      <c r="Q31" s="15" t="n"/>
      <c r="R31" s="133">
        <f>IFERROR((M31+O31)/(N31+P31),"")</f>
        <v/>
      </c>
      <c r="S31" s="133" t="n"/>
      <c r="T31" s="133">
        <f>IFERROR(R31*H31,"")</f>
        <v/>
      </c>
      <c r="U31" s="15" t="n"/>
    </row>
    <row r="32" ht="17.1" customHeight="1">
      <c r="A32" s="189" t="inlineStr">
        <is>
          <t>Wool</t>
        </is>
      </c>
      <c r="B32" s="198" t="n"/>
      <c r="C32" s="198" t="n"/>
      <c r="D32" s="198" t="n"/>
      <c r="E32" s="198" t="n"/>
      <c r="F32" s="198" t="n"/>
      <c r="G32" s="15" t="n"/>
      <c r="H32" s="15" t="n"/>
      <c r="I32" s="15" t="n"/>
      <c r="J32" s="15" t="n"/>
      <c r="K32" s="15" t="n"/>
      <c r="L32" s="190" t="n"/>
      <c r="M32" s="133" t="n"/>
      <c r="N32" s="133" t="n"/>
      <c r="O32" s="15" t="n"/>
      <c r="P32" s="15" t="n"/>
      <c r="Q32" s="15" t="n"/>
      <c r="R32" s="133">
        <f>IFERROR((M32+O32)/(N32+P32),"")</f>
        <v/>
      </c>
      <c r="S32" s="133" t="n"/>
      <c r="T32" s="133">
        <f>IFERROR(R32*H32,"")</f>
        <v/>
      </c>
      <c r="U32" s="15" t="n"/>
    </row>
    <row r="33" ht="17.1" customHeight="1">
      <c r="A33" s="22" t="inlineStr">
        <is>
          <t>Fleeces</t>
        </is>
      </c>
      <c r="B33" s="15" t="n"/>
      <c r="C33" s="15" t="n"/>
      <c r="D33" s="15" t="n"/>
      <c r="E33" s="15" t="n"/>
      <c r="F33" s="15" t="n"/>
      <c r="G33" s="15" t="n"/>
      <c r="H33" s="15" t="n"/>
      <c r="I33" s="15" t="n"/>
      <c r="J33" s="15" t="n"/>
      <c r="K33" s="15" t="n"/>
      <c r="L33" s="190">
        <f>B33+C33+D33+F33-G33-H33-I33-J33</f>
        <v/>
      </c>
      <c r="M33" s="133" t="n"/>
      <c r="N33" s="133" t="n"/>
      <c r="O33" s="15" t="n"/>
      <c r="P33" s="15" t="n"/>
      <c r="Q33" s="15" t="n"/>
      <c r="R33" s="133">
        <f>IFERROR((M33+O33)/(N33+P33),"")</f>
        <v/>
      </c>
      <c r="S33" s="133" t="n"/>
      <c r="T33" s="133">
        <f>IFERROR(R33*H33,"")</f>
        <v/>
      </c>
      <c r="U33" s="15" t="n"/>
    </row>
    <row r="34">
      <c r="A34" s="15" t="inlineStr">
        <is>
          <t>Coarse wool</t>
        </is>
      </c>
      <c r="B34" s="15" t="n"/>
      <c r="C34" s="15" t="n"/>
      <c r="D34" s="15">
        <f>335+10</f>
        <v/>
      </c>
      <c r="E34" s="15">
        <f>237+570+320</f>
        <v/>
      </c>
      <c r="F34" s="15" t="n"/>
      <c r="G34" s="15" t="n"/>
      <c r="H34" s="15" t="n"/>
      <c r="I34" s="15" t="n"/>
      <c r="J34" s="15">
        <f>34+1+1437</f>
        <v/>
      </c>
      <c r="K34" s="15" t="n">
        <v>0</v>
      </c>
      <c r="L34" s="190">
        <f>B34+C34+D34+F34+E34-G34-H34-I34-J34</f>
        <v/>
      </c>
      <c r="M34" s="133" t="n"/>
      <c r="N34" s="133" t="n"/>
      <c r="O34" s="15" t="n"/>
      <c r="P34" s="15" t="n"/>
      <c r="Q34" s="15" t="n"/>
      <c r="R34" s="26" t="n">
        <v>0.02</v>
      </c>
      <c r="S34" s="133">
        <f>R34*J34</f>
        <v/>
      </c>
      <c r="T34" s="133">
        <f>IFERROR(R34*H34,"")</f>
        <v/>
      </c>
      <c r="U34" s="15" t="n"/>
    </row>
    <row r="35">
      <c r="A35" s="15" t="inlineStr">
        <is>
          <t>Lamb's wool</t>
        </is>
      </c>
      <c r="B35" s="15" t="n"/>
      <c r="C35" s="15" t="n"/>
      <c r="D35" s="15" t="n"/>
      <c r="E35" s="15">
        <f>243+249</f>
        <v/>
      </c>
      <c r="F35" s="15" t="n"/>
      <c r="G35" s="15" t="n"/>
      <c r="H35" s="15" t="n"/>
      <c r="I35" s="15" t="n"/>
      <c r="J35" s="15">
        <f>243+249</f>
        <v/>
      </c>
      <c r="K35" s="15" t="n">
        <v>0</v>
      </c>
      <c r="L35" s="190">
        <f>B35+C35+D35+F35+E35-G35-H35-I35-J35</f>
        <v/>
      </c>
      <c r="M35" s="133" t="n"/>
      <c r="N35" s="133" t="n"/>
      <c r="O35" s="15" t="n"/>
      <c r="P35" s="15" t="n"/>
      <c r="Q35" s="15" t="n"/>
      <c r="R35" s="26" t="n">
        <v>0.01</v>
      </c>
      <c r="S35" s="133">
        <f>R35*J35</f>
        <v/>
      </c>
      <c r="T35" s="133">
        <f>IFERROR(R35*H35,"")</f>
        <v/>
      </c>
      <c r="U35" s="15" t="n"/>
    </row>
    <row r="36">
      <c r="A36" s="15" t="inlineStr">
        <is>
          <t>Wool locks</t>
        </is>
      </c>
      <c r="B36" s="15" t="n"/>
      <c r="C36" s="15" t="n"/>
      <c r="D36" s="15" t="n"/>
      <c r="E36" s="15" t="n"/>
      <c r="F36" s="15" t="n"/>
      <c r="G36" s="15" t="n"/>
      <c r="H36" s="15" t="n"/>
      <c r="I36" s="15" t="n"/>
      <c r="J36" s="15" t="n"/>
      <c r="K36" s="15" t="n"/>
      <c r="L36" s="190">
        <f>B36+C36+D36+F36+E36-G36-H36-I36-J36</f>
        <v/>
      </c>
      <c r="M36" s="133" t="n"/>
      <c r="N36" s="15" t="n"/>
      <c r="O36" s="15" t="n"/>
      <c r="P36" s="15" t="n"/>
      <c r="Q36" s="15" t="n"/>
      <c r="R36" s="133">
        <f>IFERROR((M36+O36)/(N36+P36),"")</f>
        <v/>
      </c>
      <c r="S36" s="133" t="n"/>
      <c r="T36" s="133">
        <f>'Highclere Receipts'!F78</f>
        <v/>
      </c>
      <c r="U36" s="15" t="inlineStr">
        <is>
          <t>no woollocks in stock account but they appear as being sold in receipts</t>
        </is>
      </c>
    </row>
    <row r="37">
      <c r="A37" s="15" t="inlineStr">
        <is>
          <t>Wool sold at shearing</t>
        </is>
      </c>
      <c r="B37" s="15" t="n"/>
      <c r="C37" s="15" t="n"/>
      <c r="D37" s="15" t="n"/>
      <c r="E37" s="15" t="n"/>
      <c r="F37" s="15" t="n"/>
      <c r="G37" s="15" t="n"/>
      <c r="H37" s="15" t="n"/>
      <c r="I37" s="15" t="n"/>
      <c r="J37" s="15" t="n"/>
      <c r="K37" s="15" t="n"/>
      <c r="L37" s="190">
        <f>B37+C37+D37+F37+E37-G37-H37-I37-J37</f>
        <v/>
      </c>
      <c r="M37" s="133" t="n"/>
      <c r="N37" s="133" t="n"/>
      <c r="O37" s="15" t="n"/>
      <c r="P37" s="15" t="n"/>
      <c r="Q37" s="15" t="n"/>
      <c r="R37" s="133">
        <f>IFERROR((M37+O37)/(N37+P37),"")</f>
        <v/>
      </c>
      <c r="S37" s="133" t="n"/>
      <c r="T37" s="133">
        <f>IFERROR(R37*H37,"")</f>
        <v/>
      </c>
      <c r="U37" s="15" t="n"/>
    </row>
    <row r="38">
      <c r="A38" s="195" t="inlineStr">
        <is>
          <t>Total</t>
        </is>
      </c>
      <c r="B38" s="195" t="n"/>
      <c r="C38" s="195" t="n"/>
      <c r="D38" s="195" t="n"/>
      <c r="E38" s="195" t="n"/>
      <c r="F38" s="195" t="n"/>
      <c r="G38" s="195" t="n"/>
      <c r="H38" s="195" t="n"/>
      <c r="I38" s="195" t="n"/>
      <c r="J38" s="195" t="n"/>
      <c r="K38" s="195" t="n"/>
      <c r="L38" s="196">
        <f>B38+C38+D38+F38+E38-G38-H38-I38-J38</f>
        <v/>
      </c>
      <c r="M38" s="197" t="n"/>
      <c r="N38" s="197" t="n"/>
      <c r="O38" s="195" t="n"/>
      <c r="P38" s="195" t="n"/>
      <c r="Q38" s="195" t="n"/>
      <c r="R38" s="197">
        <f>IFERROR((M38+O38)/(N38+P38),"")</f>
        <v/>
      </c>
      <c r="S38" s="197">
        <f>S34+S35+T36</f>
        <v/>
      </c>
      <c r="T38" s="197">
        <f>SUM(T33:T37)</f>
        <v/>
      </c>
      <c r="U38" s="195" t="n"/>
    </row>
    <row r="39">
      <c r="A39" s="15" t="n"/>
      <c r="B39" s="15" t="n"/>
      <c r="C39" s="15" t="n"/>
      <c r="D39" s="15" t="n"/>
      <c r="E39" s="15" t="n"/>
      <c r="F39" s="15" t="n"/>
      <c r="G39" s="15" t="n"/>
      <c r="H39" s="15" t="n"/>
      <c r="I39" s="15" t="n"/>
      <c r="J39" s="15" t="n"/>
      <c r="K39" s="15" t="n"/>
      <c r="L39" s="190" t="n"/>
      <c r="M39" s="133" t="n"/>
      <c r="N39" s="133" t="n"/>
      <c r="O39" s="15" t="n"/>
      <c r="P39" s="15" t="n"/>
      <c r="Q39" s="15" t="n"/>
      <c r="R39" s="133">
        <f>IFERROR((M39+O39)/(N39+P39),"")</f>
        <v/>
      </c>
      <c r="S39" s="133" t="n"/>
      <c r="T39" s="133">
        <f>IFERROR(R39*H39,"")</f>
        <v/>
      </c>
      <c r="U39" s="15" t="n"/>
    </row>
    <row r="40">
      <c r="A40" s="15" t="n"/>
      <c r="B40" s="15" t="n"/>
      <c r="C40" s="15" t="n"/>
      <c r="D40" s="15" t="n"/>
      <c r="E40" s="15" t="n"/>
      <c r="F40" s="15" t="n"/>
      <c r="G40" s="15" t="n"/>
      <c r="H40" s="15" t="n"/>
      <c r="I40" s="15" t="n"/>
      <c r="J40" s="15" t="n"/>
      <c r="K40" s="15" t="n"/>
      <c r="L40" s="190" t="n"/>
      <c r="M40" s="133" t="n"/>
      <c r="N40" s="133" t="n"/>
      <c r="O40" s="15" t="n"/>
      <c r="P40" s="15" t="n"/>
      <c r="Q40" s="15" t="n"/>
      <c r="R40" s="133">
        <f>IFERROR((M40+O40)/(N40+P40),"")</f>
        <v/>
      </c>
      <c r="S40" s="133" t="n"/>
      <c r="T40" s="133">
        <f>IFERROR(R40*H40,"")</f>
        <v/>
      </c>
      <c r="U40" s="15" t="n"/>
    </row>
    <row r="41" ht="17.1" customHeight="1">
      <c r="A41" s="189" t="inlineStr">
        <is>
          <t>Hides</t>
        </is>
      </c>
      <c r="B41" s="198" t="n"/>
      <c r="C41" s="198" t="n"/>
      <c r="D41" s="15" t="n"/>
      <c r="E41" s="15" t="n"/>
      <c r="F41" s="15" t="n"/>
      <c r="G41" s="15" t="n"/>
      <c r="H41" s="15" t="n"/>
      <c r="I41" s="15" t="n"/>
      <c r="J41" s="15" t="n"/>
      <c r="K41" s="15" t="n"/>
      <c r="L41" s="190" t="n"/>
      <c r="M41" s="133" t="n"/>
      <c r="N41" s="133" t="n"/>
      <c r="O41" s="15" t="n"/>
      <c r="P41" s="15" t="n"/>
      <c r="Q41" s="15" t="n"/>
      <c r="R41" s="133">
        <f>IFERROR((M41+O41)/(N41+P41),"")</f>
        <v/>
      </c>
      <c r="S41" s="133" t="n"/>
      <c r="T41" s="133">
        <f>IFERROR(R41*H41,"")</f>
        <v/>
      </c>
      <c r="U41" s="15" t="n"/>
    </row>
    <row r="42">
      <c r="A42" s="15" t="inlineStr">
        <is>
          <t>Ox hides</t>
        </is>
      </c>
      <c r="B42" s="15" t="n"/>
      <c r="C42" s="15" t="n"/>
      <c r="D42" s="15" t="n">
        <v>1</v>
      </c>
      <c r="E42" s="15" t="n"/>
      <c r="F42" s="15" t="n"/>
      <c r="G42" s="15" t="n"/>
      <c r="H42" s="15" t="n">
        <v>1</v>
      </c>
      <c r="I42" s="15" t="n"/>
      <c r="J42" s="15" t="n"/>
      <c r="K42" s="15" t="n">
        <v>0</v>
      </c>
      <c r="L42" s="190">
        <f>B42+C42+D42+F42-G42-H42-I42-J42</f>
        <v/>
      </c>
      <c r="M42" s="133" t="n"/>
      <c r="N42" s="133" t="n"/>
      <c r="O42" s="15" t="n"/>
      <c r="P42" s="133" t="n"/>
      <c r="Q42" s="133" t="n"/>
      <c r="R42" s="133">
        <f>T42/H42</f>
        <v/>
      </c>
      <c r="S42" s="133">
        <f>D42*R42</f>
        <v/>
      </c>
      <c r="T42" s="133">
        <f>'Highclere Receipts'!F64</f>
        <v/>
      </c>
      <c r="U42" s="15" t="n"/>
    </row>
    <row r="43">
      <c r="A43" s="15" t="inlineStr">
        <is>
          <t>Cow hides</t>
        </is>
      </c>
      <c r="B43" s="15" t="n"/>
      <c r="C43" s="15" t="n"/>
      <c r="D43" s="15" t="n">
        <v>1</v>
      </c>
      <c r="E43" s="15" t="n"/>
      <c r="G43" s="15" t="n"/>
      <c r="H43" s="15" t="n">
        <v>1</v>
      </c>
      <c r="I43" s="15" t="n"/>
      <c r="J43" s="15" t="n"/>
      <c r="K43" s="15" t="n">
        <v>0</v>
      </c>
      <c r="L43" s="190">
        <f>B43+C43+D43+F43-G43-H43-I43-J43</f>
        <v/>
      </c>
      <c r="M43" s="133" t="n"/>
      <c r="N43" s="133" t="n"/>
      <c r="O43" s="15" t="n"/>
      <c r="P43" s="133" t="n"/>
      <c r="Q43" s="133" t="n"/>
      <c r="R43" s="133">
        <f>T43/H43</f>
        <v/>
      </c>
      <c r="S43" s="133">
        <f>D43*R43</f>
        <v/>
      </c>
      <c r="T43" s="133">
        <f>'Highclere Receipts'!F65</f>
        <v/>
      </c>
      <c r="U43" s="15" t="n"/>
    </row>
    <row r="44">
      <c r="A44" s="15" t="inlineStr">
        <is>
          <t>Mare hides</t>
        </is>
      </c>
      <c r="B44" s="15" t="n"/>
      <c r="C44" s="15" t="n"/>
      <c r="D44" s="15" t="n"/>
      <c r="E44" s="15" t="n"/>
      <c r="F44" s="15" t="n"/>
      <c r="G44" s="15" t="n"/>
      <c r="H44" s="15" t="n"/>
      <c r="I44" s="15" t="n"/>
      <c r="J44" s="15" t="n"/>
      <c r="K44" s="15" t="n"/>
      <c r="L44" s="190">
        <f>B44+C44+D44+F44-G44-H44-I44-J44</f>
        <v/>
      </c>
      <c r="M44" s="133" t="n"/>
      <c r="N44" s="133" t="n"/>
      <c r="O44" s="15" t="n"/>
      <c r="P44" s="15" t="n"/>
      <c r="Q44" s="15" t="n"/>
      <c r="R44" s="133">
        <f>IFERROR(D44*#REF!,"")</f>
        <v/>
      </c>
      <c r="S44" s="133" t="n"/>
      <c r="T44" s="133">
        <f>IFERROR(#REF!*H44,"")</f>
        <v/>
      </c>
      <c r="U44" s="15" t="n"/>
    </row>
    <row r="45">
      <c r="A45" s="15" t="inlineStr">
        <is>
          <t>Steer hides</t>
        </is>
      </c>
      <c r="B45" s="15" t="n"/>
      <c r="C45" s="15" t="n"/>
      <c r="D45" s="15" t="n">
        <v>1</v>
      </c>
      <c r="E45" s="15" t="n"/>
      <c r="G45" s="15" t="n"/>
      <c r="H45" s="15" t="n">
        <v>1</v>
      </c>
      <c r="I45" s="15" t="n"/>
      <c r="J45" s="15" t="n"/>
      <c r="K45" s="15" t="n">
        <v>0</v>
      </c>
      <c r="L45" s="190">
        <f>B45+C45+D45+F45-G45-H45-I45-J45</f>
        <v/>
      </c>
      <c r="M45" s="133" t="n"/>
      <c r="N45" s="133" t="n"/>
      <c r="O45" s="199" t="n"/>
      <c r="P45" s="15" t="n"/>
      <c r="Q45" s="15" t="n"/>
      <c r="R45" s="133">
        <f>T45/(H45+H46)</f>
        <v/>
      </c>
      <c r="S45" s="133">
        <f>D45*R45</f>
        <v/>
      </c>
      <c r="T45" s="133">
        <f>'Highclere Receipts'!F66</f>
        <v/>
      </c>
      <c r="U45" s="15" t="inlineStr">
        <is>
          <t>this is for the yearling and steer hides together</t>
        </is>
      </c>
    </row>
    <row r="46">
      <c r="A46" s="15" t="inlineStr">
        <is>
          <t>Yearling hides</t>
        </is>
      </c>
      <c r="B46" s="15" t="n"/>
      <c r="C46" s="15" t="n"/>
      <c r="D46" s="15" t="n">
        <v>2</v>
      </c>
      <c r="E46" s="15" t="n"/>
      <c r="F46" s="15" t="n"/>
      <c r="G46" s="15" t="n"/>
      <c r="H46" s="15" t="n">
        <v>2</v>
      </c>
      <c r="I46" s="15" t="n"/>
      <c r="J46" s="15" t="n"/>
      <c r="K46" s="15" t="n">
        <v>0</v>
      </c>
      <c r="L46" s="190">
        <f>B46+C46+D46+F46-G46-H46-I46-J46</f>
        <v/>
      </c>
      <c r="M46" s="133" t="n"/>
      <c r="N46" s="133" t="n"/>
      <c r="O46" s="15" t="n"/>
      <c r="P46" s="15" t="n"/>
      <c r="Q46" s="15" t="n"/>
      <c r="R46" s="133">
        <f>R45</f>
        <v/>
      </c>
      <c r="S46" s="133">
        <f>D46*R46</f>
        <v/>
      </c>
      <c r="T46" s="133">
        <f>IFERROR(#REF!*H46,"")</f>
        <v/>
      </c>
      <c r="U46" s="15" t="n"/>
    </row>
    <row r="47">
      <c r="A47" s="15" t="inlineStr">
        <is>
          <t>Calf hides</t>
        </is>
      </c>
      <c r="B47" s="15" t="n"/>
      <c r="C47" s="15" t="n"/>
      <c r="D47" s="15" t="n">
        <v>2</v>
      </c>
      <c r="E47" s="15" t="n"/>
      <c r="F47" s="15" t="n"/>
      <c r="G47" s="15" t="n"/>
      <c r="H47" s="15" t="n">
        <v>2</v>
      </c>
      <c r="I47" s="15" t="n"/>
      <c r="J47" s="15" t="n"/>
      <c r="K47" s="15" t="n">
        <v>0</v>
      </c>
      <c r="L47" s="190">
        <f>B47+C47+D47+F47-G47-H47-I47-J47</f>
        <v/>
      </c>
      <c r="M47" s="133" t="n"/>
      <c r="N47" s="133" t="n"/>
      <c r="O47" s="15" t="n"/>
      <c r="P47" s="15" t="n"/>
      <c r="Q47" s="15" t="n"/>
      <c r="R47" s="133">
        <f>T47/H47</f>
        <v/>
      </c>
      <c r="S47" s="133">
        <f>D47*R47</f>
        <v/>
      </c>
      <c r="T47" s="133">
        <f>'Highclere Receipts'!F67</f>
        <v/>
      </c>
      <c r="U47" s="15" t="n"/>
    </row>
    <row r="48">
      <c r="A48" s="23" t="inlineStr">
        <is>
          <t>Pig hides</t>
        </is>
      </c>
      <c r="B48" s="15" t="n"/>
      <c r="C48" s="15" t="n"/>
      <c r="D48" s="15" t="n"/>
      <c r="E48" s="15" t="n"/>
      <c r="F48" s="15" t="n"/>
      <c r="G48" s="15" t="n"/>
      <c r="H48" s="15" t="n"/>
      <c r="I48" s="15" t="n"/>
      <c r="J48" s="15" t="n"/>
      <c r="K48" s="15" t="n"/>
      <c r="L48" s="190">
        <f>B48+C48+D48+F48-G48-H48-I48-J48</f>
        <v/>
      </c>
      <c r="M48" s="133" t="n"/>
      <c r="N48" s="133" t="n"/>
      <c r="O48" s="15" t="n"/>
      <c r="P48" s="15" t="n"/>
      <c r="Q48" s="15" t="n"/>
      <c r="R48" s="133">
        <f>IFERROR((M48+O48)/(N48+P48),"")</f>
        <v/>
      </c>
      <c r="S48" s="133" t="n"/>
      <c r="T48" s="133">
        <f>IFERROR(R48*H48,"")</f>
        <v/>
      </c>
      <c r="U48" s="15" t="n"/>
    </row>
    <row r="49">
      <c r="A49" s="24" t="inlineStr">
        <is>
          <t>Weather woolskins</t>
        </is>
      </c>
      <c r="B49" s="15" t="n"/>
      <c r="C49" s="15" t="n"/>
      <c r="D49" s="15" t="n"/>
      <c r="E49" s="15" t="n"/>
      <c r="F49" s="15" t="n"/>
      <c r="G49" s="15" t="n"/>
      <c r="H49" s="15" t="n"/>
      <c r="I49" s="15" t="n"/>
      <c r="J49" s="15" t="n"/>
      <c r="K49" s="15" t="n"/>
      <c r="L49" s="190">
        <f>B49+C49+D49+F49-G49-H49-I49-J49</f>
        <v/>
      </c>
      <c r="M49" s="133" t="n"/>
      <c r="N49" s="133" t="n"/>
      <c r="O49" s="15" t="n"/>
      <c r="P49" s="15" t="n"/>
      <c r="Q49" s="15" t="n"/>
      <c r="R49" s="133">
        <f>IFERROR((M49+O49)/(N49+P49),"")</f>
        <v/>
      </c>
      <c r="S49" s="133" t="n"/>
      <c r="T49" s="133">
        <f>IFERROR(R49*H49,"")</f>
        <v/>
      </c>
      <c r="U49" s="15" t="n"/>
    </row>
    <row r="50">
      <c r="A50" s="24" t="inlineStr">
        <is>
          <t>Ram woolskins</t>
        </is>
      </c>
      <c r="B50" s="15" t="n"/>
      <c r="C50" s="15" t="n"/>
      <c r="D50" s="15" t="n"/>
      <c r="E50" s="15" t="n"/>
      <c r="F50" s="15" t="n"/>
      <c r="G50" s="15" t="n"/>
      <c r="H50" s="15" t="n"/>
      <c r="I50" s="15" t="n"/>
      <c r="J50" s="15" t="n"/>
      <c r="K50" s="15" t="n"/>
      <c r="L50" s="190">
        <f>B50+C50+D50+F50-G50-H50-I50-J50</f>
        <v/>
      </c>
      <c r="M50" s="133" t="n"/>
      <c r="N50" s="133" t="n"/>
      <c r="O50" s="15" t="n"/>
      <c r="P50" s="15" t="n"/>
      <c r="Q50" s="15" t="n"/>
      <c r="R50" s="133">
        <f>IFERROR((M50+O50)/(N50+P50),"")</f>
        <v/>
      </c>
      <c r="S50" s="133" t="n"/>
      <c r="T50" s="133">
        <f>IFERROR(R50*H50,"")</f>
        <v/>
      </c>
      <c r="U50" s="15" t="n"/>
    </row>
    <row r="51">
      <c r="A51" s="24" t="inlineStr">
        <is>
          <t>Ewe woolskins</t>
        </is>
      </c>
      <c r="B51" s="15" t="n"/>
      <c r="C51" s="15" t="n"/>
      <c r="D51" s="15" t="n"/>
      <c r="E51" s="15" t="n"/>
      <c r="F51" s="15" t="n"/>
      <c r="G51" s="15" t="n"/>
      <c r="H51" s="15" t="n"/>
      <c r="I51" s="15" t="n"/>
      <c r="J51" s="15" t="n"/>
      <c r="K51" s="15" t="n"/>
      <c r="L51" s="190">
        <f>B51+C51+D51+F51-G51-H51-I51-J51</f>
        <v/>
      </c>
      <c r="M51" s="133" t="n"/>
      <c r="N51" s="133" t="n"/>
      <c r="O51" s="15" t="n"/>
      <c r="P51" s="15" t="n"/>
      <c r="Q51" s="15" t="n"/>
      <c r="R51" s="133">
        <f>IFERROR((M51+O51)/(N51+P51),"")</f>
        <v/>
      </c>
      <c r="S51" s="133" t="n"/>
      <c r="T51" s="133">
        <f>IFERROR(R51*H51,"")</f>
        <v/>
      </c>
      <c r="U51" s="15" t="n"/>
    </row>
    <row r="52">
      <c r="A52" s="24" t="inlineStr">
        <is>
          <t>Hogg woolskins</t>
        </is>
      </c>
      <c r="B52" s="15" t="n"/>
      <c r="C52" s="15" t="n"/>
      <c r="D52" s="15" t="n"/>
      <c r="E52" s="15" t="n"/>
      <c r="F52" s="15" t="n"/>
      <c r="G52" s="15" t="n"/>
      <c r="H52" s="15" t="n"/>
      <c r="I52" s="15" t="n"/>
      <c r="J52" s="15" t="n"/>
      <c r="K52" s="15" t="n"/>
      <c r="L52" s="190">
        <f>B52+C52+D52+F52-G52-H52-I52-J52</f>
        <v/>
      </c>
      <c r="M52" s="133" t="n"/>
      <c r="N52" s="133" t="n"/>
      <c r="O52" s="15" t="n"/>
      <c r="P52" s="15" t="n"/>
      <c r="Q52" s="15" t="n"/>
      <c r="R52" s="133">
        <f>IFERROR((M52+O52)/(N52+P52),"")</f>
        <v/>
      </c>
      <c r="S52" s="133" t="n"/>
      <c r="T52" s="133">
        <f>IFERROR(R52*H52,"")</f>
        <v/>
      </c>
      <c r="U52" s="15" t="n"/>
    </row>
    <row r="53">
      <c r="A53" s="25" t="inlineStr">
        <is>
          <t>Woolskins (total)</t>
        </is>
      </c>
      <c r="B53" s="15" t="n"/>
      <c r="C53" s="15" t="n"/>
      <c r="D53" s="15" t="n"/>
      <c r="E53" s="15" t="n"/>
      <c r="F53" s="15" t="n"/>
      <c r="G53" s="15" t="n"/>
      <c r="H53" s="15" t="n"/>
      <c r="I53" s="15" t="n"/>
      <c r="J53" s="15" t="n"/>
      <c r="K53" s="15" t="n"/>
      <c r="L53" s="190">
        <f>B53+C53+D53+F53-G53-H53-I53-J53</f>
        <v/>
      </c>
      <c r="M53" s="133" t="n"/>
      <c r="N53" s="133" t="n"/>
      <c r="O53" s="15" t="n"/>
      <c r="P53" s="15" t="n"/>
      <c r="Q53" s="15" t="n"/>
      <c r="R53" s="133">
        <f>IFERROR((M53+O53)/(N53+P53),"")</f>
        <v/>
      </c>
      <c r="S53" s="133" t="n"/>
      <c r="T53" s="133">
        <f>IFERROR(R53*H53,"")</f>
        <v/>
      </c>
      <c r="U53" s="15" t="n"/>
    </row>
    <row r="54">
      <c r="A54" s="24" t="inlineStr">
        <is>
          <t>Wether bareskins</t>
        </is>
      </c>
      <c r="B54" s="15" t="n"/>
      <c r="C54" s="15" t="n"/>
      <c r="D54" s="15" t="n"/>
      <c r="E54" s="15" t="n"/>
      <c r="F54" s="15" t="n"/>
      <c r="G54" s="15" t="n"/>
      <c r="H54" s="15" t="n"/>
      <c r="I54" s="15" t="n"/>
      <c r="J54" s="15" t="n"/>
      <c r="K54" s="15" t="n"/>
      <c r="L54" s="190">
        <f>B54+C54+D54+F54-G54-H54-I54-J54</f>
        <v/>
      </c>
      <c r="M54" s="133" t="n"/>
      <c r="N54" s="133" t="n"/>
      <c r="O54" s="15" t="n"/>
      <c r="P54" s="15" t="n"/>
      <c r="Q54" s="15" t="n"/>
      <c r="R54" s="133">
        <f>IFERROR((M54+O54)/(N54+P54),"")</f>
        <v/>
      </c>
      <c r="S54" s="133" t="n"/>
      <c r="T54" s="133">
        <f>IFERROR(R54*H54,"")</f>
        <v/>
      </c>
      <c r="U54" s="15" t="n"/>
    </row>
    <row r="55">
      <c r="A55" s="24" t="inlineStr">
        <is>
          <t>Ram bareskins</t>
        </is>
      </c>
      <c r="B55" s="15" t="n"/>
      <c r="C55" s="15" t="n"/>
      <c r="D55" s="15" t="n">
        <v>1</v>
      </c>
      <c r="E55" s="15" t="n"/>
      <c r="F55" s="15" t="n"/>
      <c r="G55" s="15" t="n"/>
      <c r="H55" s="15" t="n"/>
      <c r="I55" s="15" t="n"/>
      <c r="J55" s="15" t="n">
        <v>1</v>
      </c>
      <c r="K55" s="15" t="n">
        <v>0</v>
      </c>
      <c r="L55" s="190">
        <f>B55+C55+D55+F55-G55-H55-I55-J55</f>
        <v/>
      </c>
      <c r="M55" s="133" t="n"/>
      <c r="N55" s="133" t="n"/>
      <c r="O55" s="15" t="n"/>
      <c r="P55" s="15" t="n"/>
      <c r="Q55" s="15" t="n"/>
      <c r="R55" s="133">
        <f>IFERROR((M55+O55)/(N55+P55),"")</f>
        <v/>
      </c>
      <c r="S55" s="133" t="n"/>
      <c r="T55" s="133">
        <f>IFERROR(R55*H55,"")</f>
        <v/>
      </c>
      <c r="U55" s="15" t="n"/>
    </row>
    <row r="56">
      <c r="A56" s="24" t="inlineStr">
        <is>
          <t>Ewe bareskins</t>
        </is>
      </c>
      <c r="B56" s="15" t="n"/>
      <c r="C56" s="15" t="n"/>
      <c r="D56" s="15" t="n">
        <v>9</v>
      </c>
      <c r="E56" s="15" t="n"/>
      <c r="F56" s="15" t="n"/>
      <c r="G56" s="15" t="n"/>
      <c r="H56" s="15" t="n">
        <v>9</v>
      </c>
      <c r="I56" s="15" t="n"/>
      <c r="J56" s="15" t="n"/>
      <c r="K56" s="15" t="n"/>
      <c r="L56" s="190">
        <f>B56+C56+D56+F56-G56-H56-I56-J56</f>
        <v/>
      </c>
      <c r="M56" s="133" t="n"/>
      <c r="N56" s="133" t="n"/>
      <c r="O56" s="15" t="n"/>
      <c r="P56" s="15" t="n"/>
      <c r="Q56" s="15" t="n"/>
      <c r="R56" s="133">
        <f>T56/H56</f>
        <v/>
      </c>
      <c r="S56" s="133">
        <f>D56*R56</f>
        <v/>
      </c>
      <c r="T56" s="133">
        <f>'Highclere Receipts'!F68</f>
        <v/>
      </c>
      <c r="U56" s="15" t="n"/>
    </row>
    <row r="57">
      <c r="A57" s="24" t="inlineStr">
        <is>
          <t>Hogg bareskins</t>
        </is>
      </c>
      <c r="B57" s="15" t="n"/>
      <c r="C57" s="15" t="n"/>
      <c r="D57" s="15" t="n"/>
      <c r="E57" s="15" t="n"/>
      <c r="F57" s="15" t="n"/>
      <c r="G57" s="15" t="n"/>
      <c r="H57" s="15" t="n"/>
      <c r="I57" s="15" t="n"/>
      <c r="J57" s="15" t="n"/>
      <c r="K57" s="15" t="n"/>
      <c r="L57" s="190">
        <f>B57+C57+D57+F57-G57-H57-I57-J57</f>
        <v/>
      </c>
      <c r="M57" s="133" t="n"/>
      <c r="N57" s="133" t="n"/>
      <c r="O57" s="15" t="n"/>
      <c r="P57" s="15" t="n"/>
      <c r="Q57" s="15" t="n"/>
      <c r="R57" s="133">
        <f>IFERROR(D57*#REF!,"")</f>
        <v/>
      </c>
      <c r="S57" s="133" t="n"/>
      <c r="T57" s="133">
        <f>IFERROR(#REF!*H57,"")</f>
        <v/>
      </c>
      <c r="U57" s="15" t="n"/>
    </row>
    <row r="58">
      <c r="A58" s="25" t="inlineStr">
        <is>
          <t>Bareskins (total)</t>
        </is>
      </c>
      <c r="B58" s="15" t="n"/>
      <c r="C58" s="15" t="n"/>
      <c r="D58" s="15" t="n">
        <v>2</v>
      </c>
      <c r="E58" s="15" t="n"/>
      <c r="F58" s="15" t="n"/>
      <c r="G58" s="15" t="n"/>
      <c r="H58" s="15" t="n">
        <v>2</v>
      </c>
      <c r="I58" s="15" t="n"/>
      <c r="J58" s="15" t="n"/>
      <c r="K58" s="15" t="n"/>
      <c r="L58" s="190">
        <f>B58+C58+D58+F58-G58-H58-I58-J58</f>
        <v/>
      </c>
      <c r="M58" s="133" t="n"/>
      <c r="N58" s="133" t="n"/>
      <c r="O58" s="15" t="n"/>
      <c r="P58" s="15" t="n"/>
      <c r="Q58" s="15" t="n"/>
      <c r="R58" s="133">
        <f>T58/H58</f>
        <v/>
      </c>
      <c r="S58" s="133">
        <f>D58*R58</f>
        <v/>
      </c>
      <c r="T58" s="133">
        <f>'Highclere Receipts'!F69</f>
        <v/>
      </c>
      <c r="U58" s="15" t="n"/>
    </row>
    <row r="59">
      <c r="A59" s="15" t="inlineStr">
        <is>
          <t>Lambskins</t>
        </is>
      </c>
      <c r="B59" s="15" t="n"/>
      <c r="C59" s="15" t="n"/>
      <c r="D59" s="15" t="n">
        <v>37</v>
      </c>
      <c r="E59" s="15" t="n"/>
      <c r="F59" s="15" t="n"/>
      <c r="G59" s="15" t="n"/>
      <c r="H59" s="15" t="n">
        <v>34</v>
      </c>
      <c r="I59" s="15" t="n"/>
      <c r="J59" s="15" t="n">
        <v>3</v>
      </c>
      <c r="K59" s="15" t="n">
        <v>0</v>
      </c>
      <c r="L59" s="190">
        <f>B59+C59+D59+F59-G59-H59-I59-J59</f>
        <v/>
      </c>
      <c r="M59" s="133" t="n"/>
      <c r="N59" s="133" t="n"/>
      <c r="O59" s="199" t="n"/>
      <c r="P59" s="15" t="n"/>
      <c r="Q59" s="15" t="n"/>
      <c r="R59" s="133">
        <f>T59/H59</f>
        <v/>
      </c>
      <c r="S59" s="133">
        <f>D59*R59</f>
        <v/>
      </c>
      <c r="T59" s="133">
        <f>'Highclere Receipts'!F70</f>
        <v/>
      </c>
      <c r="U59" s="15" t="n"/>
    </row>
    <row r="60">
      <c r="A60" s="15" t="inlineStr">
        <is>
          <t>Rotted skins</t>
        </is>
      </c>
      <c r="B60" s="15" t="n"/>
      <c r="C60" s="15" t="n"/>
      <c r="D60" s="15" t="n"/>
      <c r="E60" s="15" t="n"/>
      <c r="F60" s="15" t="n"/>
      <c r="G60" s="15" t="n"/>
      <c r="H60" s="15" t="n"/>
      <c r="I60" s="15" t="n"/>
      <c r="J60" s="15" t="n"/>
      <c r="K60" s="15" t="n"/>
      <c r="L60" s="190">
        <f>B60+C60+D60+F60-G60-H60-I60-J60</f>
        <v/>
      </c>
      <c r="M60" s="133" t="n"/>
      <c r="N60" s="133" t="n"/>
      <c r="O60" s="15" t="n"/>
      <c r="P60" s="15" t="n"/>
      <c r="Q60" s="15" t="n"/>
      <c r="R60" s="133">
        <f>IFERROR((M60+O60)/(N60+P60),"")</f>
        <v/>
      </c>
      <c r="S60" s="133">
        <f>IFERROR(D60*R60,"")</f>
        <v/>
      </c>
      <c r="T60" s="133">
        <f>IFERROR(R60*H60,"")</f>
        <v/>
      </c>
      <c r="U60" s="15" t="n"/>
    </row>
    <row r="61">
      <c r="A61" s="15" t="inlineStr">
        <is>
          <t>Shorn skins</t>
        </is>
      </c>
      <c r="B61" s="15" t="n"/>
      <c r="C61" s="15" t="n"/>
      <c r="D61" s="15" t="n"/>
      <c r="E61" s="15" t="n"/>
      <c r="F61" s="15" t="n"/>
      <c r="G61" s="15" t="n"/>
      <c r="H61" s="15" t="n"/>
      <c r="I61" s="15" t="n"/>
      <c r="J61" s="15" t="n"/>
      <c r="K61" s="15" t="n"/>
      <c r="L61" s="190">
        <f>B61+C61+D61+F61-G61-H61-I61-J61</f>
        <v/>
      </c>
      <c r="M61" s="133" t="n"/>
      <c r="N61" s="133" t="n"/>
      <c r="O61" s="15" t="n"/>
      <c r="P61" s="15" t="n"/>
      <c r="Q61" s="15" t="n"/>
      <c r="R61" s="133">
        <f>IFERROR((M61+O61)/(N61+P61),"")</f>
        <v/>
      </c>
      <c r="S61" s="133">
        <f>IFERROR(D61*R61,"")</f>
        <v/>
      </c>
      <c r="T61" s="133">
        <f>IFERROR(R61*H61,"")</f>
        <v/>
      </c>
      <c r="U61" s="15" t="n"/>
    </row>
    <row r="62">
      <c r="A62" s="195" t="inlineStr">
        <is>
          <t>Total</t>
        </is>
      </c>
      <c r="B62" s="195" t="n"/>
      <c r="C62" s="195" t="n"/>
      <c r="D62" s="195" t="n"/>
      <c r="E62" s="195" t="n"/>
      <c r="F62" s="195" t="n"/>
      <c r="G62" s="195" t="n"/>
      <c r="H62" s="195" t="n"/>
      <c r="I62" s="195" t="n"/>
      <c r="J62" s="195" t="n"/>
      <c r="K62" s="195" t="n"/>
      <c r="L62" s="196">
        <f>B62+C62+D62+F62-G62-H62-I62-J62</f>
        <v/>
      </c>
      <c r="M62" s="197" t="n"/>
      <c r="N62" s="197" t="n"/>
      <c r="O62" s="195" t="n"/>
      <c r="P62" s="195" t="n"/>
      <c r="Q62" s="195" t="n"/>
      <c r="R62" s="197">
        <f>IFERROR((M62+O62)/(N62+P62),"")</f>
        <v/>
      </c>
      <c r="S62" s="197">
        <f>SUM(S42:S61)</f>
        <v/>
      </c>
      <c r="T62" s="197">
        <f>SUM(T42:T61)</f>
        <v/>
      </c>
      <c r="U62" s="195" t="n"/>
    </row>
    <row r="63">
      <c r="A63" s="15" t="n"/>
      <c r="B63" s="15" t="n"/>
      <c r="C63" s="15" t="n"/>
      <c r="D63" s="15" t="n"/>
      <c r="E63" s="15" t="n"/>
      <c r="F63" s="15" t="n"/>
      <c r="G63" s="15" t="n"/>
      <c r="H63" s="15" t="n"/>
      <c r="I63" s="15" t="n"/>
      <c r="J63" s="15" t="n"/>
      <c r="K63" s="15" t="n"/>
      <c r="L63" s="190" t="n"/>
      <c r="M63" s="133" t="n"/>
      <c r="N63" s="133" t="n"/>
      <c r="O63" s="15" t="n"/>
      <c r="P63" s="15" t="n"/>
      <c r="Q63" s="15" t="n"/>
      <c r="R63" s="133">
        <f>IFERROR((M63+O63)/(N63+P63),"")</f>
        <v/>
      </c>
      <c r="S63" s="133">
        <f>IFERROR(D63*R63,"")</f>
        <v/>
      </c>
      <c r="T63" s="133">
        <f>IFERROR(R63*H63,"")</f>
        <v/>
      </c>
      <c r="U63" s="15" t="n"/>
    </row>
    <row r="64" ht="17.1" customHeight="1">
      <c r="A64" s="189" t="inlineStr">
        <is>
          <t>Poultry stock</t>
        </is>
      </c>
      <c r="B64" s="198" t="n"/>
      <c r="C64" s="198" t="n"/>
      <c r="D64" s="15" t="n"/>
      <c r="E64" s="15" t="n"/>
      <c r="F64" s="15" t="n"/>
      <c r="G64" s="15" t="n"/>
      <c r="H64" s="15" t="n"/>
      <c r="I64" s="15" t="n"/>
      <c r="J64" s="15" t="n"/>
      <c r="K64" s="15" t="n"/>
      <c r="L64" s="190" t="n"/>
      <c r="M64" s="133" t="n"/>
      <c r="N64" s="133" t="n"/>
      <c r="O64" s="15" t="n"/>
      <c r="P64" s="15" t="n"/>
      <c r="Q64" s="15" t="n"/>
      <c r="R64" s="133">
        <f>IFERROR((M64+O64)/(N64+P64),"")</f>
        <v/>
      </c>
      <c r="S64" s="133">
        <f>IFERROR(D64*R64,"")</f>
        <v/>
      </c>
      <c r="T64" s="133">
        <f>IFERROR(R64*H64,"")</f>
        <v/>
      </c>
      <c r="U64" s="15" t="n"/>
    </row>
    <row r="65" ht="17.1" customHeight="1">
      <c r="A65" s="22" t="inlineStr">
        <is>
          <t>Hens</t>
        </is>
      </c>
      <c r="B65" s="15" t="n"/>
      <c r="C65" s="15" t="n"/>
      <c r="D65" s="15" t="n"/>
      <c r="E65" s="15" t="n"/>
      <c r="F65" s="15" t="n"/>
      <c r="G65" s="15" t="n"/>
      <c r="H65" s="15" t="n"/>
      <c r="I65" s="15" t="n"/>
      <c r="J65" s="15" t="n"/>
      <c r="K65" s="15" t="n"/>
      <c r="L65" s="190">
        <f>B65+C65+D65+F65-G65-H65-I65-J65</f>
        <v/>
      </c>
      <c r="M65" s="133" t="n"/>
      <c r="N65" s="133" t="n"/>
      <c r="O65" s="15" t="n"/>
      <c r="P65" s="15" t="n"/>
      <c r="Q65" s="15" t="n"/>
      <c r="R65" s="133">
        <f>IFERROR((M65+O65)/(N65+P65),"")</f>
        <v/>
      </c>
      <c r="S65" s="133">
        <f>IFERROR(D65*R65,"")</f>
        <v/>
      </c>
      <c r="T65" s="133">
        <f>IFERROR(R65*H65,"")</f>
        <v/>
      </c>
      <c r="U65" s="15" t="n"/>
    </row>
    <row r="66">
      <c r="A66" s="15" t="inlineStr">
        <is>
          <t>Geese</t>
        </is>
      </c>
      <c r="B66" s="15" t="n"/>
      <c r="C66" s="15" t="n"/>
      <c r="D66" s="15" t="n"/>
      <c r="E66" s="15" t="n"/>
      <c r="F66" s="15" t="n"/>
      <c r="G66" s="15" t="n"/>
      <c r="H66" s="15" t="n"/>
      <c r="I66" s="15" t="n"/>
      <c r="J66" s="15" t="n"/>
      <c r="K66" s="15" t="n"/>
      <c r="L66" s="190">
        <f>B66+C66+D66+F66-G66-H66-I66-J66</f>
        <v/>
      </c>
      <c r="M66" s="133" t="n"/>
      <c r="N66" s="133" t="n"/>
      <c r="O66" s="15" t="n"/>
      <c r="P66" s="15" t="n"/>
      <c r="Q66" s="15" t="n"/>
      <c r="R66" s="133">
        <f>IFERROR((M66+O66)/(N66+P66),"")</f>
        <v/>
      </c>
      <c r="S66" s="133">
        <f>IFERROR(D66*R66,"")</f>
        <v/>
      </c>
      <c r="T66" s="133">
        <f>IFERROR(R66*H66,"")</f>
        <v/>
      </c>
      <c r="U66" s="15" t="n"/>
    </row>
    <row r="67">
      <c r="A67" s="15" t="inlineStr">
        <is>
          <t>Capons (from chickens)</t>
        </is>
      </c>
      <c r="B67" s="15" t="n"/>
      <c r="C67" s="15" t="n"/>
      <c r="D67" s="15" t="n"/>
      <c r="E67" s="15" t="n"/>
      <c r="F67" s="15" t="n"/>
      <c r="G67" s="15" t="n"/>
      <c r="H67" s="15" t="n"/>
      <c r="I67" s="15" t="n"/>
      <c r="J67" s="15" t="n"/>
      <c r="K67" s="15" t="n"/>
      <c r="L67" s="190">
        <f>B67+C67+D67+F67-G67-H67-I67-J67</f>
        <v/>
      </c>
      <c r="M67" s="133" t="n"/>
      <c r="N67" s="133" t="n"/>
      <c r="O67" s="15" t="n"/>
      <c r="P67" s="15" t="n"/>
      <c r="Q67" s="15" t="n"/>
      <c r="R67" s="133">
        <f>IFERROR((M67+O67)/(N67+P67),"")</f>
        <v/>
      </c>
      <c r="S67" s="133">
        <f>IFERROR(D67*R67,"")</f>
        <v/>
      </c>
      <c r="T67" s="133">
        <f>IFERROR(R67*H67,"")</f>
        <v/>
      </c>
      <c r="U67" s="15" t="n"/>
    </row>
    <row r="68">
      <c r="A68" s="15" t="inlineStr">
        <is>
          <t>Cocks &amp; hens</t>
        </is>
      </c>
      <c r="B68" s="15" t="n"/>
      <c r="C68" s="15" t="n"/>
      <c r="D68" s="15" t="n"/>
      <c r="E68" s="15" t="n"/>
      <c r="F68" s="15" t="n"/>
      <c r="G68" s="15" t="n"/>
      <c r="H68" s="15" t="n"/>
      <c r="I68" s="15" t="n"/>
      <c r="J68" s="15" t="n"/>
      <c r="K68" s="15" t="n"/>
      <c r="L68" s="190">
        <f>B68+C68+D68+F68-G68-H68-I68-J68</f>
        <v/>
      </c>
      <c r="M68" s="133" t="n"/>
      <c r="N68" s="133" t="n"/>
      <c r="O68" s="15" t="n"/>
      <c r="P68" s="15" t="n"/>
      <c r="Q68" s="15" t="n"/>
      <c r="R68" s="133">
        <f>IFERROR((M68+O68)/(N68+P68),"")</f>
        <v/>
      </c>
      <c r="S68" s="133">
        <f>IFERROR(D68*R68,"")</f>
        <v/>
      </c>
      <c r="T68" s="133">
        <f>IFERROR(R68*H68,"")</f>
        <v/>
      </c>
      <c r="U68" s="15" t="n"/>
    </row>
    <row r="69">
      <c r="A69" s="195" t="inlineStr">
        <is>
          <t>Total</t>
        </is>
      </c>
      <c r="B69" s="195" t="n"/>
      <c r="C69" s="195" t="n"/>
      <c r="D69" s="195" t="n"/>
      <c r="E69" s="195" t="n"/>
      <c r="F69" s="195" t="n"/>
      <c r="G69" s="195" t="n"/>
      <c r="H69" s="195" t="n"/>
      <c r="I69" s="195" t="n"/>
      <c r="J69" s="195" t="n"/>
      <c r="K69" s="195" t="n"/>
      <c r="L69" s="196">
        <f>B69+C69+D69+F69-G69-H69-I69-J69</f>
        <v/>
      </c>
      <c r="M69" s="197" t="n"/>
      <c r="N69" s="197" t="n"/>
      <c r="O69" s="195" t="n"/>
      <c r="P69" s="195" t="n"/>
      <c r="Q69" s="195" t="n"/>
      <c r="R69" s="197">
        <f>IFERROR((M69+O69)/(N69+P69),"")</f>
        <v/>
      </c>
      <c r="S69" s="197">
        <f>IFERROR(D69*R69,"")</f>
        <v/>
      </c>
      <c r="T69" s="197">
        <f>IFERROR(R69*H69,"")</f>
        <v/>
      </c>
      <c r="U69" s="195" t="n"/>
    </row>
    <row r="70">
      <c r="A70" s="15" t="n"/>
      <c r="B70" s="15" t="n"/>
      <c r="C70" s="15" t="n"/>
      <c r="D70" s="15" t="n"/>
      <c r="E70" s="15" t="n"/>
      <c r="F70" s="15" t="n"/>
      <c r="G70" s="15" t="n"/>
      <c r="H70" s="15" t="n"/>
      <c r="I70" s="15" t="n"/>
      <c r="J70" s="15" t="n"/>
      <c r="K70" s="15" t="n"/>
      <c r="L70" s="190" t="n"/>
      <c r="M70" s="133" t="n"/>
      <c r="N70" s="133" t="n"/>
      <c r="O70" s="15" t="n"/>
      <c r="P70" s="15" t="n"/>
      <c r="Q70" s="15" t="n"/>
      <c r="R70" s="133">
        <f>IFERROR((M70+O70)/(N70+P70),"")</f>
        <v/>
      </c>
      <c r="S70" s="133">
        <f>IFERROR(D70*R70,"")</f>
        <v/>
      </c>
      <c r="T70" s="133">
        <f>IFERROR(R70*H70,"")</f>
        <v/>
      </c>
      <c r="U70" s="15" t="n"/>
    </row>
    <row r="71">
      <c r="A71" s="8" t="inlineStr">
        <is>
          <t>Poultry production</t>
        </is>
      </c>
      <c r="B71" s="198" t="n"/>
      <c r="C71" s="198" t="n"/>
      <c r="D71" s="15" t="n"/>
      <c r="E71" s="15" t="n"/>
      <c r="F71" s="15" t="n"/>
      <c r="G71" s="15" t="n"/>
      <c r="H71" s="15" t="n"/>
      <c r="I71" s="15" t="n"/>
      <c r="J71" s="15" t="n"/>
      <c r="K71" s="15" t="n"/>
      <c r="L71" s="190" t="n"/>
      <c r="M71" s="133" t="n"/>
      <c r="N71" s="133" t="n"/>
      <c r="O71" s="15" t="n"/>
      <c r="P71" s="15" t="n"/>
      <c r="Q71" s="15" t="n"/>
      <c r="R71" s="133">
        <f>IFERROR((M71+O71)/(N71+P71),"")</f>
        <v/>
      </c>
      <c r="S71" s="133">
        <f>IFERROR(D71*R71,"")</f>
        <v/>
      </c>
      <c r="T71" s="133">
        <f>IFERROR(R71*H71,"")</f>
        <v/>
      </c>
      <c r="U71" s="15" t="n"/>
    </row>
    <row r="72">
      <c r="A72" s="15" t="inlineStr">
        <is>
          <t>Eggs</t>
        </is>
      </c>
      <c r="B72" s="15" t="n"/>
      <c r="C72" s="15" t="n"/>
      <c r="D72" s="15" t="n">
        <v>1005</v>
      </c>
      <c r="E72" s="15" t="n"/>
      <c r="F72" s="15" t="n"/>
      <c r="G72" s="15" t="n"/>
      <c r="H72" s="15" t="n">
        <v>1005</v>
      </c>
      <c r="I72" s="15" t="n"/>
      <c r="J72" s="15" t="n"/>
      <c r="K72" s="15" t="n"/>
      <c r="L72" s="190">
        <f>B72+C72+D72+F72-G72-H72-I72-J72</f>
        <v/>
      </c>
      <c r="M72" s="133" t="n"/>
      <c r="N72" s="133" t="n"/>
      <c r="O72" s="15" t="n"/>
      <c r="P72" s="15" t="n"/>
      <c r="Q72" s="15" t="n"/>
      <c r="R72" s="133">
        <f>T72/H72</f>
        <v/>
      </c>
      <c r="S72" s="26">
        <f>R72*D72</f>
        <v/>
      </c>
      <c r="T72" s="133">
        <f>'Highclere Receipts'!F80</f>
        <v/>
      </c>
      <c r="U72" s="15" t="n"/>
    </row>
    <row r="73">
      <c r="A73" s="15" t="inlineStr">
        <is>
          <t>Cocks &amp; hens from churchscot of customary tenants</t>
        </is>
      </c>
      <c r="B73" s="15">
        <f>20+60</f>
        <v/>
      </c>
      <c r="C73" s="15" t="n"/>
      <c r="D73" s="15" t="n"/>
      <c r="E73" s="15" t="n"/>
      <c r="F73" s="15" t="n"/>
      <c r="G73" s="15" t="n"/>
      <c r="H73" s="15" t="n">
        <v>64</v>
      </c>
      <c r="I73" s="15" t="n"/>
      <c r="J73" s="15">
        <f>8+2+2+2+2</f>
        <v/>
      </c>
      <c r="K73" s="15" t="n">
        <v>0</v>
      </c>
      <c r="L73" s="190">
        <f>B73+C73+D73+F73-G73-H73-I73-J73</f>
        <v/>
      </c>
      <c r="M73" s="133" t="n"/>
      <c r="N73" s="133" t="n"/>
      <c r="O73" s="15" t="n"/>
      <c r="P73" s="15" t="n"/>
      <c r="Q73" s="15" t="n"/>
      <c r="R73" s="133">
        <f>T73/H73</f>
        <v/>
      </c>
      <c r="S73" s="26">
        <f>R73*D73</f>
        <v/>
      </c>
      <c r="T73" s="133">
        <f>'Highclere Receipts'!F79</f>
        <v/>
      </c>
      <c r="U73" s="15" t="n"/>
    </row>
    <row r="74">
      <c r="A74" s="195" t="inlineStr">
        <is>
          <t>Total</t>
        </is>
      </c>
      <c r="B74" s="195" t="n"/>
      <c r="C74" s="195" t="n"/>
      <c r="D74" s="195" t="n"/>
      <c r="E74" s="195" t="n"/>
      <c r="F74" s="195" t="n"/>
      <c r="G74" s="195" t="n"/>
      <c r="H74" s="195" t="n"/>
      <c r="I74" s="195" t="n"/>
      <c r="J74" s="195" t="n"/>
      <c r="K74" s="195" t="n"/>
      <c r="L74" s="196">
        <f>B74+C74+D74+F74-G74-H74-I74-J74</f>
        <v/>
      </c>
      <c r="M74" s="197" t="n"/>
      <c r="N74" s="197" t="n"/>
      <c r="O74" s="195" t="n"/>
      <c r="P74" s="195" t="n"/>
      <c r="Q74" s="195" t="n"/>
      <c r="R74" s="197">
        <f>IFERROR((M74+O74)/(N74+P74),"")</f>
        <v/>
      </c>
      <c r="S74" s="197" t="n"/>
      <c r="T74" s="197">
        <f>SUM(T72:T73)</f>
        <v/>
      </c>
      <c r="U74" s="195" t="n"/>
    </row>
    <row r="75">
      <c r="A75" s="15" t="n"/>
      <c r="B75" s="15" t="n"/>
      <c r="C75" s="15" t="n"/>
      <c r="D75" s="15" t="n"/>
      <c r="E75" s="15" t="n"/>
      <c r="F75" s="15" t="n"/>
      <c r="G75" s="15" t="n"/>
      <c r="H75" s="15" t="n"/>
      <c r="I75" s="15" t="n"/>
      <c r="J75" s="15" t="n"/>
      <c r="K75" s="15" t="n"/>
      <c r="L75" s="190" t="n"/>
      <c r="M75" s="133" t="n"/>
      <c r="N75" s="133" t="n"/>
      <c r="O75" s="15" t="n"/>
      <c r="P75" s="15" t="n"/>
      <c r="Q75" s="15" t="n"/>
      <c r="R75" s="133">
        <f>IFERROR((M75+O75)/(N75+P75),"")</f>
        <v/>
      </c>
      <c r="S75" s="133">
        <f>IFERROR(D75*R75,"")</f>
        <v/>
      </c>
      <c r="T75" s="133">
        <f>IFERROR(R75*H75,"")</f>
        <v/>
      </c>
      <c r="U75" s="15" t="n"/>
    </row>
    <row r="76">
      <c r="A76" s="8" t="inlineStr">
        <is>
          <t>Meat</t>
        </is>
      </c>
      <c r="B76" s="15" t="n"/>
      <c r="C76" s="15" t="n"/>
      <c r="D76" s="15" t="n"/>
      <c r="E76" s="15" t="n"/>
      <c r="F76" s="15" t="n"/>
      <c r="G76" s="15" t="n"/>
      <c r="H76" s="15" t="n"/>
      <c r="I76" s="15" t="n"/>
      <c r="J76" s="15" t="n"/>
      <c r="K76" s="15" t="n"/>
      <c r="L76" s="190" t="n"/>
      <c r="M76" s="133" t="n"/>
      <c r="N76" s="133" t="n"/>
      <c r="O76" s="15" t="n"/>
      <c r="P76" s="15" t="n"/>
      <c r="Q76" s="15" t="n"/>
      <c r="R76" s="133">
        <f>IFERROR((M76+O76)/(N76+P76),"")</f>
        <v/>
      </c>
      <c r="S76" s="133">
        <f>IFERROR(D76*R76,"")</f>
        <v/>
      </c>
      <c r="T76" s="133">
        <f>IFERROR(R76*H76,"")</f>
        <v/>
      </c>
      <c r="U76" s="15" t="n"/>
    </row>
    <row r="77">
      <c r="A77" s="15" t="inlineStr">
        <is>
          <t>Beef</t>
        </is>
      </c>
      <c r="B77" s="15" t="n"/>
      <c r="C77" s="15" t="n"/>
      <c r="D77" s="15" t="n"/>
      <c r="E77" s="15" t="n"/>
      <c r="F77" s="15" t="n"/>
      <c r="G77" s="15" t="n"/>
      <c r="H77" s="15" t="n"/>
      <c r="I77" s="15" t="n"/>
      <c r="J77" s="15" t="n"/>
      <c r="K77" s="15" t="n"/>
      <c r="L77" s="190">
        <f>B77+C77+D77+F77-G77-H77-I77-J77</f>
        <v/>
      </c>
      <c r="M77" s="133" t="n"/>
      <c r="N77" s="133" t="n"/>
      <c r="O77" s="15" t="n"/>
      <c r="P77" s="15" t="n"/>
      <c r="Q77" s="15" t="n"/>
      <c r="R77" s="133">
        <f>IFERROR((M77+O77)/(N77+P77),"")</f>
        <v/>
      </c>
      <c r="S77" s="133">
        <f>IFERROR(D77*R77,"")</f>
        <v/>
      </c>
      <c r="T77" s="133">
        <f>IFERROR(R77*H77,"")</f>
        <v/>
      </c>
      <c r="U77" s="15" t="n"/>
    </row>
    <row r="78">
      <c r="A78" s="15" t="inlineStr">
        <is>
          <t>Mutton</t>
        </is>
      </c>
      <c r="B78" s="15" t="n"/>
      <c r="C78" s="15" t="n"/>
      <c r="D78" s="15" t="n"/>
      <c r="E78" s="15" t="n"/>
      <c r="F78" s="15" t="n"/>
      <c r="G78" s="15" t="n"/>
      <c r="H78" s="15" t="n"/>
      <c r="I78" s="15" t="n"/>
      <c r="J78" s="15" t="n"/>
      <c r="K78" s="15" t="n"/>
      <c r="L78" s="190">
        <f>B78+C78+D78+F78-G78-H78-I78-J78</f>
        <v/>
      </c>
      <c r="M78" s="133" t="n"/>
      <c r="N78" s="133" t="n"/>
      <c r="O78" s="15" t="n"/>
      <c r="P78" s="15" t="n"/>
      <c r="Q78" s="15" t="n"/>
      <c r="R78" s="133">
        <f>IFERROR((M78+O78)/(N78+P78),"")</f>
        <v/>
      </c>
      <c r="S78" s="133">
        <f>IFERROR(D78*R78,"")</f>
        <v/>
      </c>
      <c r="T78" s="133">
        <f>IFERROR(R78*H78,"")</f>
        <v/>
      </c>
      <c r="U78" s="15" t="n"/>
    </row>
    <row r="79">
      <c r="A79" s="15" t="inlineStr">
        <is>
          <t>Pork</t>
        </is>
      </c>
      <c r="B79" s="15" t="n"/>
      <c r="C79" s="15" t="n"/>
      <c r="D79" s="15" t="n"/>
      <c r="E79" s="15" t="n"/>
      <c r="F79" s="15" t="n"/>
      <c r="G79" s="15" t="n"/>
      <c r="H79" s="15" t="n"/>
      <c r="I79" s="15" t="n"/>
      <c r="J79" s="15" t="n"/>
      <c r="K79" s="15" t="n"/>
      <c r="L79" s="190">
        <f>B79+C79+D79+F79-G79-H79-I79-J79</f>
        <v/>
      </c>
      <c r="M79" s="133" t="n"/>
      <c r="N79" s="133" t="n"/>
      <c r="O79" s="15" t="n"/>
      <c r="P79" s="15" t="n"/>
      <c r="Q79" s="15" t="n"/>
      <c r="R79" s="133">
        <f>IFERROR((M79+O79)/(N79+P79),"")</f>
        <v/>
      </c>
      <c r="S79" s="133">
        <f>IFERROR(D79*R79,"")</f>
        <v/>
      </c>
      <c r="T79" s="133">
        <f>IFERROR(R79*H79,"")</f>
        <v/>
      </c>
      <c r="U79" s="15" t="n"/>
    </row>
    <row r="80">
      <c r="A80" s="15" t="n"/>
      <c r="B80" s="15" t="n"/>
      <c r="C80" s="15" t="n"/>
      <c r="D80" s="15" t="n"/>
      <c r="E80" s="15" t="n"/>
      <c r="F80" s="15" t="n"/>
      <c r="G80" s="15" t="n"/>
      <c r="H80" s="15" t="n"/>
      <c r="I80" s="15" t="n"/>
      <c r="J80" s="15" t="n"/>
      <c r="K80" s="15" t="n"/>
      <c r="L80" s="190" t="n"/>
      <c r="M80" s="133" t="n"/>
      <c r="N80" s="133" t="n"/>
      <c r="O80" s="15" t="n"/>
      <c r="P80" s="15" t="n"/>
      <c r="Q80" s="15" t="n"/>
      <c r="R80" s="133" t="n"/>
      <c r="S80" s="133" t="n"/>
      <c r="T80" s="133" t="n"/>
      <c r="U80" s="15" t="n"/>
    </row>
    <row r="81">
      <c r="A81" s="15" t="n"/>
      <c r="B81" s="15" t="n"/>
      <c r="C81" s="15" t="n"/>
      <c r="D81" s="15" t="n"/>
      <c r="E81" s="15" t="n"/>
      <c r="F81" s="15" t="n"/>
      <c r="G81" s="15" t="n"/>
      <c r="H81" s="15" t="n"/>
      <c r="I81" s="15" t="n"/>
      <c r="J81" s="15" t="n"/>
      <c r="K81" s="15" t="n"/>
      <c r="L81" s="190" t="n"/>
      <c r="M81" s="133" t="n"/>
      <c r="N81" s="133" t="n"/>
      <c r="O81" s="15" t="n"/>
      <c r="P81" s="15" t="n"/>
      <c r="Q81" s="15" t="n"/>
      <c r="R81" s="133" t="n"/>
      <c r="S81" s="133" t="n"/>
      <c r="T81" s="133" t="n"/>
      <c r="U81" s="15" t="n"/>
    </row>
    <row r="82">
      <c r="A82" s="8" t="inlineStr">
        <is>
          <t>Cheese</t>
        </is>
      </c>
      <c r="B82" s="198" t="n"/>
      <c r="C82" s="198" t="n"/>
      <c r="D82" s="15" t="n"/>
      <c r="E82" s="15" t="n"/>
      <c r="F82" s="15" t="n"/>
      <c r="G82" s="15" t="n"/>
      <c r="H82" s="15" t="n"/>
      <c r="I82" s="15" t="n"/>
      <c r="J82" s="15" t="n"/>
      <c r="K82" s="15" t="n"/>
      <c r="L82" s="190">
        <f>B82+C82+D82+F82-G82-H82-I82-J82</f>
        <v/>
      </c>
      <c r="M82" s="133" t="n"/>
      <c r="N82" s="133" t="n"/>
      <c r="O82" s="15" t="n"/>
      <c r="P82" s="15" t="n"/>
      <c r="Q82" s="15" t="n"/>
      <c r="R82" s="133">
        <f>IFERROR((M82+O82)/(N82+P82),"")</f>
        <v/>
      </c>
      <c r="S82" s="133">
        <f>IFERROR(D82*R82,"")</f>
        <v/>
      </c>
      <c r="T82" s="133">
        <f>IFERROR(R82*H82,"")</f>
        <v/>
      </c>
      <c r="U82" s="15" t="n"/>
    </row>
    <row r="83">
      <c r="A83" s="15" t="inlineStr">
        <is>
          <t>Winter cheese</t>
        </is>
      </c>
      <c r="C83" s="15" t="n"/>
      <c r="D83" s="15">
        <f>25+6</f>
        <v/>
      </c>
      <c r="E83" s="15" t="n"/>
      <c r="F83" s="15" t="n"/>
      <c r="G83" s="15" t="n"/>
      <c r="H83" s="15" t="n">
        <v>31</v>
      </c>
      <c r="I83" s="15" t="n"/>
      <c r="J83" s="15" t="n"/>
      <c r="K83" s="15" t="n">
        <v>0</v>
      </c>
      <c r="L83" s="190">
        <f>B83+C83+D83+F83-G83-H83-I83-J83</f>
        <v/>
      </c>
      <c r="M83" s="133" t="n"/>
      <c r="N83" s="133" t="n"/>
      <c r="O83" s="15" t="n"/>
      <c r="P83" s="15" t="n"/>
      <c r="Q83" s="15">
        <f>1+6/25</f>
        <v/>
      </c>
      <c r="R83" s="133">
        <f>IFERROR((M83+O83)/(N83+P83),"")</f>
        <v/>
      </c>
      <c r="S83" s="133" t="n"/>
      <c r="T83" s="133">
        <f>'Highclere Receipts'!F82</f>
        <v/>
      </c>
      <c r="U83" s="15" t="inlineStr">
        <is>
          <t>sale is for all dairy except Burghclere, unit prices not determined because of measurement, wey = 25 cloves as noted in assumptions</t>
        </is>
      </c>
    </row>
    <row r="84">
      <c r="A84" s="15" t="inlineStr">
        <is>
          <t>Summer cheese</t>
        </is>
      </c>
      <c r="B84" s="15" t="n"/>
      <c r="C84" s="15" t="n"/>
      <c r="D84" s="15" t="n">
        <v>162</v>
      </c>
      <c r="E84" s="15" t="n"/>
      <c r="F84" s="15" t="n"/>
      <c r="G84" s="15" t="n"/>
      <c r="H84" s="15" t="n">
        <v>141</v>
      </c>
      <c r="I84" s="15" t="n"/>
      <c r="J84" s="15">
        <f>16+1+3+1</f>
        <v/>
      </c>
      <c r="K84" s="15" t="n">
        <v>0</v>
      </c>
      <c r="L84" s="190">
        <f>B84+C84+D84+F84-G84-H84-I84-J84</f>
        <v/>
      </c>
      <c r="M84" s="133" t="n"/>
      <c r="N84" s="133" t="n"/>
      <c r="O84" s="15" t="n"/>
      <c r="P84" s="15" t="n"/>
      <c r="Q84" s="15" t="n"/>
      <c r="R84" s="133">
        <f>IFERROR((M84+O84)/(N84+P84),"")</f>
        <v/>
      </c>
      <c r="S84" s="133">
        <f>IFERROR(D84*R84,"")</f>
        <v/>
      </c>
      <c r="T84" s="133">
        <f>IFERROR(R84*H84,"")</f>
        <v/>
      </c>
      <c r="U84" s="15" t="n"/>
    </row>
    <row r="85">
      <c r="A85" s="15" t="inlineStr">
        <is>
          <t>Burghclere cheese</t>
        </is>
      </c>
      <c r="B85" s="15" t="n"/>
      <c r="C85" s="15" t="n"/>
      <c r="D85" s="15" t="n">
        <v>169</v>
      </c>
      <c r="E85" s="15" t="n"/>
      <c r="F85" s="15" t="n"/>
      <c r="G85" s="15" t="n"/>
      <c r="H85" s="15" t="n">
        <v>148</v>
      </c>
      <c r="I85" s="15" t="n"/>
      <c r="J85" s="15">
        <f>17+3+1</f>
        <v/>
      </c>
      <c r="K85" s="15" t="n">
        <v>0</v>
      </c>
      <c r="L85" s="190">
        <f>B85+C85+D85+F85-G85-H85-I85-J85</f>
        <v/>
      </c>
      <c r="M85" s="133" t="n"/>
      <c r="N85" s="133" t="n"/>
      <c r="O85" s="15" t="n"/>
      <c r="P85" s="15" t="n"/>
      <c r="Q85" s="15" t="n"/>
      <c r="R85" s="133">
        <f>T85/H85</f>
        <v/>
      </c>
      <c r="S85" s="26">
        <f>R85*D85</f>
        <v/>
      </c>
      <c r="T85" s="133">
        <f>'Highclere Receipts'!F83</f>
        <v/>
      </c>
      <c r="U85" s="15" t="n"/>
    </row>
    <row r="86">
      <c r="A86" s="195" t="inlineStr">
        <is>
          <t>Total</t>
        </is>
      </c>
      <c r="B86" s="195" t="n"/>
      <c r="C86" s="195" t="n"/>
      <c r="D86" s="195" t="n"/>
      <c r="E86" s="195" t="n"/>
      <c r="F86" s="195" t="n"/>
      <c r="G86" s="195" t="n"/>
      <c r="H86" s="195" t="n"/>
      <c r="I86" s="195" t="n"/>
      <c r="J86" s="195" t="n"/>
      <c r="K86" s="195" t="n"/>
      <c r="L86" s="196" t="n"/>
      <c r="M86" s="197" t="n"/>
      <c r="N86" s="197" t="n"/>
      <c r="O86" s="195" t="n"/>
      <c r="P86" s="195" t="n"/>
      <c r="Q86" s="195" t="n"/>
      <c r="R86" s="197" t="n"/>
      <c r="S86" s="200">
        <f>S85+T83</f>
        <v/>
      </c>
      <c r="T86" s="197">
        <f>SUM(T83:T85)</f>
        <v/>
      </c>
      <c r="U86" s="195" t="n"/>
    </row>
    <row r="87">
      <c r="A87" s="15" t="n"/>
      <c r="B87" s="15" t="n"/>
      <c r="C87" s="15" t="n"/>
      <c r="D87" s="15" t="n"/>
      <c r="E87" s="15" t="n"/>
      <c r="F87" s="15" t="n"/>
      <c r="G87" s="15" t="n"/>
      <c r="H87" s="15" t="n"/>
      <c r="I87" s="15" t="n"/>
      <c r="J87" s="15" t="n"/>
      <c r="K87" s="15" t="n"/>
      <c r="L87" s="190" t="n"/>
      <c r="M87" s="133" t="n"/>
      <c r="N87" s="133" t="n"/>
      <c r="O87" s="15" t="n"/>
      <c r="P87" s="15" t="n"/>
      <c r="Q87" s="15" t="n"/>
      <c r="R87" s="133" t="n"/>
      <c r="S87" s="133" t="n"/>
      <c r="T87" s="133" t="n"/>
      <c r="U87" s="15" t="n"/>
    </row>
    <row r="88">
      <c r="A88" s="8" t="inlineStr">
        <is>
          <t>Butter</t>
        </is>
      </c>
      <c r="B88" s="198" t="n"/>
      <c r="C88" s="198" t="n"/>
      <c r="D88" s="15" t="n"/>
      <c r="E88" s="15" t="n"/>
      <c r="F88" s="15" t="n"/>
      <c r="G88" s="15" t="n"/>
      <c r="H88" s="15" t="n"/>
      <c r="I88" s="15" t="n"/>
      <c r="J88" s="15" t="n"/>
      <c r="K88" s="15" t="n"/>
      <c r="L88" s="190">
        <f>B88+C88+D88+F88-G88-H88-I88-J88</f>
        <v/>
      </c>
      <c r="M88" s="133" t="n"/>
      <c r="N88" s="15" t="n"/>
      <c r="O88" s="15" t="n"/>
      <c r="Q88" s="15" t="n"/>
      <c r="R88" s="133">
        <f>IFERROR((M88+O88)/(N88+P88),"")</f>
        <v/>
      </c>
      <c r="S88" s="133">
        <f>IFERROR(D88*R88,"")</f>
        <v/>
      </c>
      <c r="T88" s="133">
        <f>IFERROR(R88*H88,"")</f>
        <v/>
      </c>
      <c r="U88" s="15" t="n"/>
    </row>
    <row r="89">
      <c r="A89" s="15" t="inlineStr">
        <is>
          <t>Butter</t>
        </is>
      </c>
      <c r="B89" s="15" t="n"/>
      <c r="C89" s="15" t="n"/>
      <c r="D89" s="15">
        <f>25+25/2+7</f>
        <v/>
      </c>
      <c r="E89" s="15" t="n"/>
      <c r="F89" s="15" t="n"/>
      <c r="G89" s="15" t="n"/>
      <c r="H89" s="15" t="n">
        <v>44.5</v>
      </c>
      <c r="I89" s="15" t="n"/>
      <c r="J89" s="15" t="n"/>
      <c r="K89" s="15" t="n"/>
      <c r="L89" s="190">
        <f>B89+C89+D89+F89-G89-H89-I89-J89</f>
        <v/>
      </c>
      <c r="M89" s="133" t="n"/>
      <c r="N89" s="133" t="n"/>
      <c r="O89" s="15" t="n"/>
      <c r="P89" s="15" t="n"/>
      <c r="Q89" s="15" t="n"/>
      <c r="R89" s="133">
        <f>IFERROR((M89+O89)/(N89+P89),"")</f>
        <v/>
      </c>
      <c r="S89" s="133">
        <f>IFERROR(D89*R89,"")</f>
        <v/>
      </c>
      <c r="T89" s="133">
        <f>IFERROR(R89*H89,"")</f>
        <v/>
      </c>
      <c r="U89" s="15" t="n"/>
    </row>
    <row r="90">
      <c r="A90" s="15" t="n"/>
      <c r="B90" s="15" t="n"/>
      <c r="C90" s="15" t="n"/>
      <c r="D90" s="15" t="n"/>
      <c r="E90" s="15" t="n"/>
      <c r="F90" s="15" t="n"/>
      <c r="G90" s="15" t="n"/>
      <c r="H90" s="15" t="n"/>
      <c r="I90" s="15" t="n"/>
      <c r="J90" s="15" t="n"/>
      <c r="K90" s="15" t="n"/>
      <c r="L90" s="190" t="n"/>
      <c r="M90" s="133" t="n"/>
      <c r="N90" s="133" t="n"/>
      <c r="O90" s="15" t="n"/>
      <c r="P90" s="15" t="n"/>
      <c r="Q90" s="15" t="n"/>
      <c r="R90" s="133" t="n"/>
      <c r="S90" s="133" t="n"/>
      <c r="T90" s="133" t="n"/>
      <c r="U90" s="15" t="n"/>
    </row>
    <row r="91">
      <c r="A91" s="8" t="inlineStr">
        <is>
          <t>Cider</t>
        </is>
      </c>
      <c r="B91" s="15" t="n"/>
      <c r="C91" s="15" t="n"/>
      <c r="D91" s="15" t="n"/>
      <c r="E91" s="15" t="n"/>
      <c r="F91" s="15" t="n"/>
      <c r="G91" s="15" t="n"/>
      <c r="H91" s="15" t="n"/>
      <c r="I91" s="15" t="n"/>
      <c r="J91" s="15" t="n"/>
      <c r="K91" s="15" t="n"/>
      <c r="L91" s="190">
        <f>B91+C91+D91+F91-G91-H91-I91-J91</f>
        <v/>
      </c>
      <c r="M91" s="133" t="n"/>
      <c r="N91" s="133" t="n"/>
      <c r="O91" s="15" t="n"/>
      <c r="P91" s="15" t="n"/>
      <c r="Q91" s="15" t="n"/>
      <c r="R91" s="133">
        <f>IFERROR((M91+O91)/(N91+P91),"")</f>
        <v/>
      </c>
      <c r="S91" s="133">
        <f>IFERROR(D91*R91,"")</f>
        <v/>
      </c>
      <c r="T91" s="133">
        <f>IFERROR(R91*H91,"")</f>
        <v/>
      </c>
      <c r="U91" s="15" t="n"/>
    </row>
    <row r="92">
      <c r="A92" s="15" t="inlineStr">
        <is>
          <t>Casks</t>
        </is>
      </c>
      <c r="B92" s="15" t="n"/>
      <c r="C92" s="15" t="n"/>
      <c r="D92" s="15" t="n">
        <v>2</v>
      </c>
      <c r="E92" s="15" t="n"/>
      <c r="F92" s="15" t="n"/>
      <c r="G92" s="15" t="n"/>
      <c r="H92" s="15" t="n"/>
      <c r="I92" s="15" t="n"/>
      <c r="J92" s="15" t="n"/>
      <c r="K92" s="15" t="n">
        <v>2</v>
      </c>
      <c r="L92" s="190">
        <f>B92+C92+D92+F92-G92-H92-I92-J92</f>
        <v/>
      </c>
      <c r="M92" s="133" t="n"/>
      <c r="N92" s="133" t="n"/>
      <c r="O92" s="15" t="n"/>
      <c r="P92" s="15" t="n"/>
      <c r="Q92" s="15" t="n"/>
      <c r="R92" s="133">
        <f>IFERROR((M92+O92)/(N92+P92),"")</f>
        <v/>
      </c>
      <c r="S92" s="133">
        <f>IFERROR(D92*R92,"")</f>
        <v/>
      </c>
      <c r="T92" s="133" t="n"/>
      <c r="U92" s="15" t="n"/>
    </row>
    <row r="93">
      <c r="A93" s="195" t="n"/>
      <c r="B93" s="195" t="n"/>
      <c r="C93" s="195" t="n"/>
      <c r="D93" s="195" t="n"/>
      <c r="E93" s="195" t="n"/>
      <c r="F93" s="195" t="n"/>
      <c r="G93" s="195" t="n"/>
      <c r="H93" s="195" t="n"/>
      <c r="I93" s="195" t="n"/>
      <c r="J93" s="195" t="n"/>
      <c r="K93" s="195" t="n"/>
      <c r="L93" s="196">
        <f>B93+C93+D93+F93-G93-H93-I93-J93</f>
        <v/>
      </c>
      <c r="M93" s="197" t="n"/>
      <c r="N93" s="197" t="n"/>
      <c r="O93" s="195" t="n"/>
      <c r="P93" s="195" t="n"/>
      <c r="Q93" s="195" t="n"/>
      <c r="R93" s="197">
        <f>IFERROR((M93+O93)/(N93+P93),"")</f>
        <v/>
      </c>
      <c r="S93" s="197">
        <f>IFERROR(D93*R93,"")</f>
        <v/>
      </c>
      <c r="T93" s="197">
        <f>IFERROR(R93*H93,"")</f>
        <v/>
      </c>
      <c r="U93" s="195" t="n"/>
    </row>
    <row r="94">
      <c r="A94" s="15" t="n"/>
      <c r="B94" s="15" t="n"/>
      <c r="C94" s="15" t="n"/>
      <c r="D94" s="15" t="n"/>
      <c r="E94" s="15" t="n"/>
      <c r="F94" s="15" t="n"/>
      <c r="G94" s="15" t="n"/>
      <c r="H94" s="15" t="n"/>
      <c r="I94" s="15" t="n"/>
      <c r="J94" s="15" t="n"/>
      <c r="K94" s="15" t="n"/>
      <c r="L94" s="190" t="n"/>
      <c r="M94" s="133" t="n"/>
      <c r="N94" s="133" t="n"/>
      <c r="O94" s="15" t="n"/>
      <c r="P94" s="15" t="n"/>
      <c r="Q94" s="15" t="n"/>
      <c r="R94" s="133">
        <f>IFERROR((M94+O94)/(N94+P94),"")</f>
        <v/>
      </c>
      <c r="S94" s="133">
        <f>IFERROR(D94*R94,"")</f>
        <v/>
      </c>
      <c r="T94" s="133">
        <f>IFERROR(R94*H94,"")</f>
        <v/>
      </c>
      <c r="U94" s="15" t="n"/>
    </row>
    <row r="95">
      <c r="B95" s="198" t="n"/>
      <c r="C95" s="198" t="n"/>
      <c r="D95" s="15" t="n"/>
      <c r="E95" s="15" t="n"/>
      <c r="F95" s="15" t="n"/>
      <c r="G95" s="15" t="n"/>
      <c r="H95" s="15" t="n"/>
      <c r="I95" s="15" t="n"/>
      <c r="J95" s="15" t="n"/>
      <c r="K95" s="15" t="n"/>
      <c r="L95" s="190" t="n"/>
      <c r="M95" s="133" t="n"/>
      <c r="N95" s="133" t="n"/>
      <c r="O95" s="15" t="n"/>
      <c r="P95" s="15" t="n"/>
      <c r="Q95" s="15" t="n"/>
      <c r="R95" s="133">
        <f>IFERROR((M95+O95)/(N95+P95),"")</f>
        <v/>
      </c>
      <c r="S95" s="133">
        <f>IFERROR(D95*R95,"")</f>
        <v/>
      </c>
      <c r="T95" s="133">
        <f>IFERROR(R95*H95,"")</f>
        <v/>
      </c>
      <c r="U95" s="15" t="n"/>
    </row>
    <row r="96">
      <c r="R96" s="133">
        <f>IFERROR((M96+O96)/(N96+P96),"")</f>
        <v/>
      </c>
      <c r="S96" s="133">
        <f>IFERROR(D96*R96,"")</f>
        <v/>
      </c>
      <c r="T96" s="133">
        <f>IFERROR(R96*H96,"")</f>
        <v/>
      </c>
    </row>
    <row r="97">
      <c r="A97" s="12" t="n"/>
    </row>
  </sheetData>
  <pageMargins left="0.7" right="0.7" top="0.75" bottom="0.75" header="0.3" footer="0.3"/>
  <legacyDrawing xmlns:r="http://schemas.openxmlformats.org/officeDocument/2006/relationships" r:id="anysvml"/>
</worksheet>
</file>

<file path=xl/worksheets/sheet11.xml><?xml version="1.0" encoding="utf-8"?>
<worksheet xmlns="http://schemas.openxmlformats.org/spreadsheetml/2006/main">
  <sheetPr>
    <outlinePr summaryBelow="1" summaryRight="1"/>
    <pageSetUpPr/>
  </sheetPr>
  <dimension ref="A1:F7"/>
  <sheetViews>
    <sheetView topLeftCell="A1" workbookViewId="0">
      <selection activeCell="A1" sqref="A1"/>
    </sheetView>
  </sheetViews>
  <sheetFormatPr baseColWidth="8" defaultRowHeight="15"/>
  <cols>
    <col width="12" customWidth="1" min="3" max="3"/>
    <col width="14.875" customWidth="1" min="4" max="4"/>
    <col width="14" customWidth="1" min="5" max="5"/>
    <col width="14.125" customWidth="1" min="6" max="6"/>
  </cols>
  <sheetData>
    <row r="1">
      <c r="A1" t="inlineStr">
        <is>
          <t>ASSUMPTIONS</t>
        </is>
      </c>
    </row>
    <row r="2"/>
    <row r="3">
      <c r="B3" s="12" t="inlineStr">
        <is>
          <t>Weights</t>
        </is>
      </c>
      <c r="C3" s="12" t="inlineStr">
        <is>
          <t>Value (in lbs)</t>
        </is>
      </c>
      <c r="D3" s="12" t="inlineStr">
        <is>
          <t>Value (in cloves)</t>
        </is>
      </c>
      <c r="E3" s="12" t="inlineStr">
        <is>
          <t>Value (in weys)</t>
        </is>
      </c>
      <c r="F3" s="12" t="inlineStr">
        <is>
          <t>Value (in stone)</t>
        </is>
      </c>
    </row>
    <row r="4">
      <c r="B4" s="12" t="inlineStr">
        <is>
          <t>Lbs</t>
        </is>
      </c>
      <c r="C4" t="n">
        <v>1</v>
      </c>
      <c r="D4">
        <f>C4/C5</f>
        <v/>
      </c>
      <c r="E4">
        <f>C4/C6</f>
        <v/>
      </c>
      <c r="F4">
        <f>C4/C7</f>
        <v/>
      </c>
    </row>
    <row r="5">
      <c r="B5" s="12" t="inlineStr">
        <is>
          <t>Cloves</t>
        </is>
      </c>
      <c r="C5" t="n">
        <v>7</v>
      </c>
      <c r="D5" t="n">
        <v>1</v>
      </c>
      <c r="E5">
        <f>C5/C6</f>
        <v/>
      </c>
      <c r="F5">
        <f>C7/C5</f>
        <v/>
      </c>
    </row>
    <row r="6">
      <c r="B6" s="12" t="inlineStr">
        <is>
          <t>Wey</t>
        </is>
      </c>
      <c r="C6" t="n">
        <v>175</v>
      </c>
      <c r="D6">
        <f>C6/C5</f>
        <v/>
      </c>
      <c r="E6">
        <f>C6/C6</f>
        <v/>
      </c>
      <c r="F6">
        <f>C7/C6</f>
        <v/>
      </c>
    </row>
    <row r="7">
      <c r="B7" s="12" t="inlineStr">
        <is>
          <t>Stone</t>
        </is>
      </c>
      <c r="C7">
        <f>175/14</f>
        <v/>
      </c>
      <c r="D7">
        <f>C5/C7</f>
        <v/>
      </c>
      <c r="E7">
        <f>C7/C6</f>
        <v/>
      </c>
      <c r="F7" t="n">
        <v>1</v>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2024-09-06T15:22:17Z</dcterms:created>
  <dcterms:modified xmlns:dcterms="http://purl.org/dc/terms/" xmlns:xsi="http://www.w3.org/2001/XMLSchema-instance" xsi:type="dcterms:W3CDTF">2025-12-18T10:17:08Z</dcterms:modified>
  <cp:lastModifiedBy>Kowalski, Kuba</cp:lastModifiedBy>
</cp:coreProperties>
</file>
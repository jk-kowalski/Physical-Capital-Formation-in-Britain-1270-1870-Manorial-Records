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Culham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  <font>
      <name val="Calibri (Body)"/>
      <color rgb="FFFF0000"/>
      <sz val="11"/>
    </font>
    <font>
      <name val="Calibri"/>
      <family val="2"/>
      <sz val="11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2" fontId="28" fillId="0" borderId="0" pivotButton="0" quotePrefix="0" xfId="0"/>
    <xf numFmtId="2" fontId="9" fillId="0" borderId="0" pivotButton="0" quotePrefix="0" xfId="0"/>
    <xf numFmtId="0" fontId="28" fillId="5" borderId="0" pivotButton="0" quotePrefix="0" xfId="0"/>
    <xf numFmtId="2" fontId="0" fillId="5" borderId="0" pivotButton="0" quotePrefix="0" xfId="0"/>
    <xf numFmtId="0" fontId="20" fillId="5" borderId="0" pivotButton="0" quotePrefix="0" xfId="0"/>
    <xf numFmtId="0" fontId="0" fillId="0" borderId="17" pivotButton="0" quotePrefix="0" xfId="0"/>
    <xf numFmtId="2" fontId="0" fillId="0" borderId="18" pivotButton="0" quotePrefix="0" xfId="0"/>
    <xf numFmtId="0" fontId="0" fillId="0" borderId="18" pivotButton="0" quotePrefix="0" xfId="0"/>
    <xf numFmtId="10" fontId="0" fillId="0" borderId="18" pivotButton="0" quotePrefix="0" xfId="0"/>
    <xf numFmtId="0" fontId="0" fillId="0" borderId="19" pivotButton="0" quotePrefix="0" xfId="0"/>
    <xf numFmtId="2" fontId="9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top"/>
    </xf>
    <xf numFmtId="2" fontId="29" fillId="0" borderId="0" pivotButton="0" quotePrefix="0" xfId="0"/>
    <xf numFmtId="2" fontId="6" fillId="0" borderId="0" applyAlignment="1" pivotButton="0" quotePrefix="0" xfId="0">
      <alignment horizontal="center" vertical="center"/>
    </xf>
    <xf numFmtId="2" fontId="19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2" fontId="29" fillId="0" borderId="0" applyAlignment="1" pivotButton="0" quotePrefix="0" xfId="0">
      <alignment horizontal="right" vertical="top"/>
    </xf>
    <xf numFmtId="2" fontId="30" fillId="0" borderId="0" applyAlignment="1" pivotButton="0" quotePrefix="0" xfId="0">
      <alignment horizontal="center" vertical="top"/>
    </xf>
    <xf numFmtId="2" fontId="29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20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wrapText="1"/>
    </xf>
    <xf numFmtId="0" fontId="31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0" fontId="0" fillId="0" borderId="3" pivotButton="0" quotePrefix="0" xfId="0"/>
    <xf numFmtId="2" fontId="9" fillId="0" borderId="0" applyAlignment="1" pivotButton="0" quotePrefix="0" xfId="0">
      <alignment horizontal="right" wrapText="1"/>
    </xf>
    <xf numFmtId="2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3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CULHAM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/>
      <c r="D4" s="13" t="n"/>
      <c r="E4" s="13" t="n"/>
    </row>
    <row r="5">
      <c r="A5" s="15" t="inlineStr">
        <is>
          <t>Rents of assize total</t>
        </is>
      </c>
      <c r="B5" s="76" t="n">
        <v>4.1</v>
      </c>
    </row>
    <row r="6">
      <c r="A6" s="15" t="inlineStr">
        <is>
          <t>Quittances total</t>
        </is>
      </c>
      <c r="B6" s="76" t="n">
        <v>0.135</v>
      </c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>
        <v>0.03</v>
      </c>
    </row>
    <row r="15">
      <c r="A15" s="15" t="inlineStr">
        <is>
          <t>Issues of the Manor total</t>
        </is>
      </c>
      <c r="B15" s="76" t="n">
        <v>10.75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6.889999999999999</v>
      </c>
    </row>
    <row r="19">
      <c r="A19" s="15" t="inlineStr">
        <is>
          <t>Entry and marriage fines total</t>
        </is>
      </c>
      <c r="B19" s="76" t="n">
        <v>1.32</v>
      </c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>
        <v>24.95</v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>
        <v>0.1541666666666667</v>
      </c>
    </row>
    <row r="37">
      <c r="A37" s="15" t="inlineStr">
        <is>
          <t>Threshing total</t>
        </is>
      </c>
      <c r="B37" t="n">
        <v>0.27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7.86</v>
      </c>
    </row>
    <row r="45">
      <c r="A45" s="82" t="inlineStr">
        <is>
          <t>Total of all expenses (calculated here)</t>
        </is>
      </c>
      <c r="B45" s="84" t="n">
        <v>7.796666666666667</v>
      </c>
    </row>
    <row r="46">
      <c r="A46" s="82" t="inlineStr">
        <is>
          <t>Total fixed investment</t>
        </is>
      </c>
      <c r="B46" s="84" t="n">
        <v>2.536666666666668</v>
      </c>
    </row>
    <row r="47">
      <c r="A47" s="82" t="inlineStr">
        <is>
          <t>Total Demesne fixed investment</t>
        </is>
      </c>
      <c r="B47" s="84" t="n">
        <v>2.536666666666668</v>
      </c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7.86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/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9.75</v>
      </c>
      <c r="E62" t="n">
        <v>1.381249999999999</v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B66" t="n">
        <v>19</v>
      </c>
      <c r="E66" t="n">
        <v>1.453125</v>
      </c>
      <c r="F66" s="13" t="n"/>
    </row>
    <row r="67">
      <c r="A67" s="76" t="inlineStr">
        <is>
          <t>Oats</t>
        </is>
      </c>
      <c r="B67" t="n">
        <v>20</v>
      </c>
      <c r="E67" t="n">
        <v>0</v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/>
      <c r="C87" s="76" t="n"/>
      <c r="D87" s="76">
        <f>C87-B87</f>
        <v/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7</v>
      </c>
      <c r="C89" s="76" t="n">
        <v>7</v>
      </c>
      <c r="D89" s="76" t="n">
        <v>0</v>
      </c>
      <c r="F89" s="84">
        <f>'Stock'!K7*'Stock'!O7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3</v>
      </c>
      <c r="C94" s="76" t="n">
        <v>2</v>
      </c>
      <c r="D94" s="76" t="n">
        <v>-1</v>
      </c>
      <c r="F94" s="84" t="n">
        <v>0.6866666666666666</v>
      </c>
      <c r="G94" s="84" t="n">
        <v>-0.3433333333333333</v>
      </c>
    </row>
    <row r="95">
      <c r="A95" s="15" t="inlineStr">
        <is>
          <t>Bulls</t>
        </is>
      </c>
      <c r="B95" s="76" t="n">
        <v>1</v>
      </c>
      <c r="C95" s="76" t="n">
        <v>1</v>
      </c>
      <c r="D95" s="76" t="n">
        <v>0</v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23</v>
      </c>
      <c r="C96" s="76" t="n">
        <v>25</v>
      </c>
      <c r="D96" s="76" t="n">
        <v>2</v>
      </c>
      <c r="F96" s="84" t="n">
        <v>10</v>
      </c>
      <c r="G96" s="84" t="n">
        <v>0.8</v>
      </c>
    </row>
    <row r="97">
      <c r="A97" s="15" t="inlineStr">
        <is>
          <t>Steers</t>
        </is>
      </c>
      <c r="B97" s="76" t="n">
        <v>4</v>
      </c>
      <c r="C97" s="76" t="n">
        <v>0</v>
      </c>
      <c r="D97" s="76" t="n">
        <v>-4</v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9</v>
      </c>
      <c r="C98" s="76" t="n">
        <v>6</v>
      </c>
      <c r="D98" s="76" t="n">
        <v>-3</v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6</v>
      </c>
      <c r="C99" s="76" t="n">
        <v>3</v>
      </c>
      <c r="D99" s="76" t="n">
        <v>-3</v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22</v>
      </c>
      <c r="C100" s="76" t="n">
        <v>5</v>
      </c>
      <c r="D100" s="76" t="n">
        <v>-17</v>
      </c>
      <c r="F100" s="84" t="n">
        <v>0.2964285714285714</v>
      </c>
      <c r="G100" s="84" t="n">
        <v>-1.007857142857143</v>
      </c>
    </row>
    <row r="101">
      <c r="A101" s="15" t="inlineStr">
        <is>
          <t>Wethers</t>
        </is>
      </c>
      <c r="B101" s="76" t="n">
        <v>112</v>
      </c>
      <c r="C101" s="76" t="n">
        <v>80</v>
      </c>
      <c r="D101" s="76" t="n">
        <v>-32</v>
      </c>
      <c r="F101" s="84" t="n">
        <v>4.08</v>
      </c>
      <c r="G101" s="84" t="n">
        <v>-1.632</v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/>
      <c r="C108" s="76" t="n"/>
      <c r="D108" s="76">
        <f>C108-B108</f>
        <v/>
      </c>
      <c r="F108" s="84">
        <f>'Stock'!K26*'Stock'!O26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/>
      <c r="C109" s="76" t="n"/>
      <c r="D109" s="76">
        <f>C109-B109</f>
        <v/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/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C118" t="n">
        <v>0</v>
      </c>
      <c r="D118" t="n">
        <v>87</v>
      </c>
      <c r="F118" t="n">
        <v>0</v>
      </c>
      <c r="G118" s="96" t="n"/>
    </row>
    <row r="119">
      <c r="A119" s="15" t="inlineStr">
        <is>
          <t>Coarse wool</t>
        </is>
      </c>
      <c r="F119">
        <f>C119*'Stock'!O36</f>
        <v/>
      </c>
    </row>
    <row r="120">
      <c r="A120" s="15" t="inlineStr">
        <is>
          <t>Lamb's wool</t>
        </is>
      </c>
      <c r="F120">
        <f>C120*'Stock'!O37</f>
        <v/>
      </c>
    </row>
    <row r="121">
      <c r="A121" s="15" t="inlineStr">
        <is>
          <t>Wool locks</t>
        </is>
      </c>
      <c r="F121">
        <f>C121*'Stock'!O38</f>
        <v/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>
        <f>C151*'Stock'!O68</f>
        <v/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>
        <f>C152*'Stock'!O69</f>
        <v/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>
        <f>C153*'Stock'!O70</f>
        <v/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>
        <f>C154*'Stock'!O71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>
        <f>C159*'Stock'!O76</f>
        <v/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>
        <f>C166*'Stock'!O93</f>
        <v/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8"/>
  <sheetViews>
    <sheetView topLeftCell="A1" workbookViewId="0">
      <selection activeCell="A1" sqref="A1"/>
    </sheetView>
  </sheetViews>
  <sheetFormatPr baseColWidth="8" defaultRowHeight="15"/>
  <cols>
    <col width="80" customWidth="1" min="1" max="1"/>
    <col width="29.1640625" customWidth="1" min="2" max="2"/>
    <col width="8.83203125" customWidth="1" min="3" max="3"/>
    <col width="30.83203125" customWidth="1" min="5" max="5"/>
    <col width="29.33203125" customWidth="1" min="6" max="6"/>
  </cols>
  <sheetData>
    <row r="1">
      <c r="A1" s="8" t="inlineStr">
        <is>
          <t>CULHAM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  <c r="B23" s="72">
        <f>Receipts!F103</f>
        <v/>
      </c>
    </row>
    <row r="24">
      <c r="A24" s="82" t="inlineStr">
        <is>
          <t>Total of all receipts (calculated here) incl arrears</t>
        </is>
      </c>
      <c r="B24" s="72">
        <f>Receipts!F104</f>
        <v/>
      </c>
    </row>
    <row r="25">
      <c r="A25" s="83" t="inlineStr">
        <is>
          <t>Total recorded in the accounts excl. arrears</t>
        </is>
      </c>
      <c r="B25" s="72">
        <f>Receipts!F101</f>
        <v/>
      </c>
      <c r="C25" s="127">
        <f>B25-B23</f>
        <v/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  <c r="B44" s="72">
        <f>Expenses!F63</f>
        <v/>
      </c>
    </row>
    <row r="45">
      <c r="A45" s="82" t="inlineStr">
        <is>
          <t>Total of all expenses (calculated here)</t>
        </is>
      </c>
      <c r="B45" s="72">
        <f>Expenses!F64</f>
        <v/>
      </c>
    </row>
    <row r="46">
      <c r="A46" s="82" t="inlineStr">
        <is>
          <t>Total fixed investment</t>
        </is>
      </c>
      <c r="B46" s="72">
        <f>Expenses!F65</f>
        <v/>
      </c>
    </row>
    <row r="47">
      <c r="A47" s="82" t="inlineStr">
        <is>
          <t>Total Demesne fixed investment</t>
        </is>
      </c>
      <c r="B47" s="72">
        <f>Expenses!F66</f>
        <v/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54" t="n"/>
      <c r="E60" s="54" t="n"/>
      <c r="F60" s="55" t="n"/>
    </row>
    <row r="61">
      <c r="A61" s="8" t="inlineStr">
        <is>
          <t>Grange</t>
        </is>
      </c>
      <c r="B61" s="89" t="inlineStr">
        <is>
          <t>qrs</t>
        </is>
      </c>
      <c r="C61" s="90" t="n"/>
      <c r="D61" s="9" t="n"/>
      <c r="E61" s="128" t="inlineStr">
        <is>
          <t>Value of total gross production in £</t>
        </is>
      </c>
      <c r="F61" s="128" t="inlineStr">
        <is>
          <t>Value of total net production in £</t>
        </is>
      </c>
    </row>
    <row r="62" ht="15" customHeight="1">
      <c r="A62" t="inlineStr">
        <is>
          <t>wheat</t>
        </is>
      </c>
      <c r="B62">
        <f>'Issues of the Grange'!B2</f>
        <v/>
      </c>
      <c r="E62" s="72">
        <f>'Issues of the Grange'!I2</f>
        <v/>
      </c>
      <c r="F62" s="72">
        <f>'Issues of the Grange'!O14</f>
        <v/>
      </c>
    </row>
    <row r="63" ht="15" customHeight="1">
      <c r="A63" t="inlineStr">
        <is>
          <t>mancorn</t>
        </is>
      </c>
      <c r="B63">
        <f>'Issues of the Grange'!B3</f>
        <v/>
      </c>
      <c r="E63" s="72">
        <f>'Issues of the Grange'!I3</f>
        <v/>
      </c>
      <c r="F63" s="72">
        <f>'Issues of the Grange'!O15</f>
        <v/>
      </c>
    </row>
    <row r="64" ht="15" customHeight="1">
      <c r="A64" t="inlineStr">
        <is>
          <t>barley</t>
        </is>
      </c>
      <c r="B64">
        <f>'Issues of the Grange'!B4</f>
        <v/>
      </c>
      <c r="E64" s="72">
        <f>'Issues of the Grange'!I4</f>
        <v/>
      </c>
      <c r="F64" s="72">
        <f>'Issues of the Grange'!O16</f>
        <v/>
      </c>
    </row>
    <row r="65" ht="15" customHeight="1">
      <c r="A65" t="inlineStr">
        <is>
          <t>oats</t>
        </is>
      </c>
      <c r="B65">
        <f>'Issues of the Grange'!B5</f>
        <v/>
      </c>
      <c r="E65" s="72">
        <f>'Issues of the Grange'!I5</f>
        <v/>
      </c>
      <c r="F65" s="72">
        <f>'Issues of the Grange'!O17</f>
        <v/>
      </c>
    </row>
    <row r="66">
      <c r="A66" s="17" t="inlineStr">
        <is>
          <t>Total value of gross production (sum of the above)</t>
        </is>
      </c>
      <c r="B66" s="70" t="n"/>
      <c r="C66" s="129" t="n"/>
      <c r="D66" s="70" t="n"/>
      <c r="E66" s="130">
        <f>SUM(E62:E65)</f>
        <v/>
      </c>
      <c r="F66" s="70" t="n"/>
    </row>
    <row r="67">
      <c r="A67" s="17" t="inlineStr">
        <is>
          <t>Total value of net production</t>
        </is>
      </c>
      <c r="B67" s="70" t="n"/>
      <c r="C67" s="129" t="n"/>
      <c r="D67" s="70" t="n"/>
      <c r="E67" s="130">
        <f>SUM(F62:F65)</f>
        <v/>
      </c>
      <c r="F67" s="70" t="n"/>
    </row>
    <row r="68">
      <c r="A68" s="17" t="inlineStr">
        <is>
          <t>Value of sales</t>
        </is>
      </c>
      <c r="B68" s="70" t="n"/>
      <c r="C68" s="129" t="n"/>
      <c r="D68" s="70" t="n"/>
      <c r="E68" s="130">
        <f>Receipts!F58</f>
        <v/>
      </c>
      <c r="F68" s="70" t="n"/>
    </row>
    <row r="69">
      <c r="A69" s="15" t="n"/>
    </row>
    <row r="70">
      <c r="A70" s="16" t="inlineStr">
        <is>
          <t>MILL ACCOUNT</t>
        </is>
      </c>
      <c r="B70" s="70" t="n"/>
      <c r="C70" s="129" t="n"/>
      <c r="D70" s="70" t="n"/>
      <c r="E70" s="70" t="n"/>
      <c r="F70" s="70" t="n"/>
    </row>
    <row r="71">
      <c r="A71" s="8" t="inlineStr">
        <is>
          <t>Issues of the mill</t>
        </is>
      </c>
    </row>
    <row r="72">
      <c r="A72" s="15" t="inlineStr">
        <is>
          <t>Wheat</t>
        </is>
      </c>
    </row>
    <row r="73">
      <c r="A73" s="15" t="inlineStr">
        <is>
          <t>Oatmeal</t>
        </is>
      </c>
    </row>
    <row r="74">
      <c r="A74" s="15" t="inlineStr">
        <is>
          <t>1st grade malt</t>
        </is>
      </c>
    </row>
    <row r="75">
      <c r="A75" s="15" t="inlineStr">
        <is>
          <t>2nd grade malt</t>
        </is>
      </c>
    </row>
    <row r="76">
      <c r="A76" s="15" t="inlineStr">
        <is>
          <t>Maslin</t>
        </is>
      </c>
    </row>
    <row r="77">
      <c r="A77" s="17" t="inlineStr">
        <is>
          <t>Total value of production (sum of the above)</t>
        </is>
      </c>
      <c r="B77" s="70" t="n"/>
      <c r="C77" s="129" t="n"/>
      <c r="D77" s="70" t="n"/>
      <c r="E77" s="70" t="n"/>
      <c r="F77" s="70" t="n"/>
    </row>
    <row r="78">
      <c r="A78" s="17" t="inlineStr">
        <is>
          <t>Value of sales</t>
        </is>
      </c>
      <c r="B78" s="70" t="n"/>
      <c r="C78" s="129" t="n"/>
      <c r="D78" s="70" t="n"/>
      <c r="E78" s="70" t="n"/>
      <c r="F78" s="70" t="n"/>
    </row>
    <row r="79">
      <c r="A79" s="15" t="n"/>
    </row>
    <row r="80">
      <c r="A80" s="92" t="inlineStr">
        <is>
          <t>STOCK ACCOUNT</t>
        </is>
      </c>
      <c r="B80" s="70" t="n"/>
    </row>
    <row r="81">
      <c r="A81" s="21" t="inlineStr">
        <is>
          <t>Livestock</t>
        </is>
      </c>
      <c r="B81" s="131" t="inlineStr">
        <is>
          <t>Sales value in £</t>
        </is>
      </c>
    </row>
    <row r="82" ht="17" customHeight="1">
      <c r="A82" s="22" t="inlineStr">
        <is>
          <t>Cart-horses</t>
        </is>
      </c>
      <c r="B82">
        <f>Stock!R5</f>
        <v/>
      </c>
    </row>
    <row r="83" ht="17" customHeight="1">
      <c r="A83" s="22" t="inlineStr">
        <is>
          <t>Mares</t>
        </is>
      </c>
      <c r="B83">
        <f>Stock!R6</f>
        <v/>
      </c>
    </row>
    <row r="84">
      <c r="A84" s="15" t="inlineStr">
        <is>
          <t>Plough horses</t>
        </is>
      </c>
      <c r="B84">
        <f>Stock!R7</f>
        <v/>
      </c>
    </row>
    <row r="85">
      <c r="A85" s="15" t="inlineStr">
        <is>
          <t>Colts (2 years)</t>
        </is>
      </c>
      <c r="B85">
        <f>Stock!R8</f>
        <v/>
      </c>
    </row>
    <row r="86">
      <c r="A86" s="15" t="inlineStr">
        <is>
          <t>Colts (2 years)</t>
        </is>
      </c>
      <c r="B86">
        <f>Stock!R9</f>
        <v/>
      </c>
    </row>
    <row r="87">
      <c r="A87" s="15" t="inlineStr">
        <is>
          <t>Colts (1 year)</t>
        </is>
      </c>
      <c r="B87">
        <f>Stock!R10</f>
        <v/>
      </c>
    </row>
    <row r="88">
      <c r="A88" s="15" t="inlineStr">
        <is>
          <t>Foals</t>
        </is>
      </c>
      <c r="B88">
        <f>Stock!R11</f>
        <v/>
      </c>
    </row>
    <row r="89">
      <c r="A89" s="15" t="inlineStr">
        <is>
          <t>Oxen</t>
        </is>
      </c>
      <c r="B89">
        <f>Stock!R12</f>
        <v/>
      </c>
    </row>
    <row r="90">
      <c r="A90" s="15" t="inlineStr">
        <is>
          <t>Bulls</t>
        </is>
      </c>
      <c r="B90">
        <f>Stock!R13</f>
        <v/>
      </c>
    </row>
    <row r="91">
      <c r="A91" s="15" t="inlineStr">
        <is>
          <t>Cows</t>
        </is>
      </c>
      <c r="B91">
        <f>Stock!R14</f>
        <v/>
      </c>
    </row>
    <row r="92">
      <c r="A92" s="15" t="inlineStr">
        <is>
          <t>Steers</t>
        </is>
      </c>
      <c r="B92">
        <f>Stock!R15</f>
        <v/>
      </c>
    </row>
    <row r="93">
      <c r="A93" s="15" t="inlineStr">
        <is>
          <t>Bullocks</t>
        </is>
      </c>
      <c r="B93">
        <f>Stock!R16</f>
        <v/>
      </c>
    </row>
    <row r="94">
      <c r="A94" s="15" t="inlineStr">
        <is>
          <t>Yearlings</t>
        </is>
      </c>
      <c r="B94">
        <f>Stock!R17</f>
        <v/>
      </c>
    </row>
    <row r="95">
      <c r="A95" s="15" t="inlineStr">
        <is>
          <t>Calves</t>
        </is>
      </c>
      <c r="B95">
        <f>Stock!R18</f>
        <v/>
      </c>
    </row>
    <row r="96">
      <c r="A96" s="15" t="inlineStr">
        <is>
          <t>Wethers</t>
        </is>
      </c>
      <c r="B96">
        <f>Stock!R19</f>
        <v/>
      </c>
    </row>
    <row r="97">
      <c r="A97" s="15" t="inlineStr">
        <is>
          <t>Rams</t>
        </is>
      </c>
      <c r="B97">
        <f>Stock!R20</f>
        <v/>
      </c>
    </row>
    <row r="98">
      <c r="A98" s="15" t="inlineStr">
        <is>
          <t>Ewes</t>
        </is>
      </c>
      <c r="B98">
        <f>Stock!R21</f>
        <v/>
      </c>
    </row>
    <row r="99">
      <c r="A99" s="15" t="inlineStr">
        <is>
          <t>Hoggs</t>
        </is>
      </c>
      <c r="B99">
        <f>Stock!R22</f>
        <v/>
      </c>
    </row>
    <row r="100">
      <c r="A100" s="15" t="inlineStr">
        <is>
          <t>Lambs</t>
        </is>
      </c>
      <c r="B100">
        <f>Stock!R23</f>
        <v/>
      </c>
    </row>
    <row r="101">
      <c r="A101" s="15" t="inlineStr">
        <is>
          <t>Boars</t>
        </is>
      </c>
      <c r="B101">
        <f>Stock!R24</f>
        <v/>
      </c>
    </row>
    <row r="102">
      <c r="A102" s="15" t="inlineStr">
        <is>
          <t>Sows</t>
        </is>
      </c>
      <c r="B102">
        <f>Stock!R25</f>
        <v/>
      </c>
    </row>
    <row r="103">
      <c r="A103" s="15" t="inlineStr">
        <is>
          <t>Pigs</t>
        </is>
      </c>
      <c r="B103">
        <f>Stock!R26</f>
        <v/>
      </c>
    </row>
    <row r="104">
      <c r="A104" s="15" t="inlineStr">
        <is>
          <t>Hoggets</t>
        </is>
      </c>
      <c r="B104">
        <f>Stock!R27</f>
        <v/>
      </c>
    </row>
    <row r="105">
      <c r="A105" s="15" t="inlineStr">
        <is>
          <t>Piglets</t>
        </is>
      </c>
      <c r="B105">
        <f>Stock!R28</f>
        <v/>
      </c>
    </row>
    <row r="106">
      <c r="A106" s="15" t="inlineStr">
        <is>
          <t>Swans</t>
        </is>
      </c>
      <c r="B106">
        <f>Stock!R29</f>
        <v/>
      </c>
    </row>
    <row r="107">
      <c r="A107" s="15" t="inlineStr">
        <is>
          <t>Peacocks</t>
        </is>
      </c>
      <c r="B107">
        <f>Stock!R30</f>
        <v/>
      </c>
    </row>
    <row r="108">
      <c r="A108" s="17" t="inlineStr">
        <is>
          <t>Total value of stock (sum of the above)</t>
        </is>
      </c>
      <c r="B108" s="70" t="n"/>
    </row>
    <row r="109">
      <c r="A109" s="17" t="inlineStr">
        <is>
          <t>Total value of production</t>
        </is>
      </c>
      <c r="B109" s="70" t="n"/>
    </row>
    <row r="110">
      <c r="A110" s="17" t="inlineStr">
        <is>
          <t>Value of sales</t>
        </is>
      </c>
      <c r="B110" s="70">
        <f>Stock!R31</f>
        <v/>
      </c>
    </row>
    <row r="111">
      <c r="A111" s="15" t="n"/>
    </row>
    <row r="112">
      <c r="A112" s="16" t="inlineStr">
        <is>
          <t>Wool</t>
        </is>
      </c>
      <c r="B112" s="131" t="inlineStr">
        <is>
          <t>Value of production at sales prices £</t>
        </is>
      </c>
    </row>
    <row r="113" ht="17" customHeight="1">
      <c r="A113" s="22" t="inlineStr">
        <is>
          <t>Fleeces</t>
        </is>
      </c>
      <c r="B113">
        <f>Stock!T35</f>
        <v/>
      </c>
    </row>
    <row r="114">
      <c r="A114" s="15" t="inlineStr">
        <is>
          <t>Coarse wool</t>
        </is>
      </c>
      <c r="B114">
        <f>Stock!T36</f>
        <v/>
      </c>
    </row>
    <row r="115">
      <c r="A115" s="15" t="inlineStr">
        <is>
          <t>Lamb's wool</t>
        </is>
      </c>
      <c r="B115">
        <f>Stock!T37</f>
        <v/>
      </c>
    </row>
    <row r="116">
      <c r="A116" s="15" t="inlineStr">
        <is>
          <t>Wool locks</t>
        </is>
      </c>
      <c r="B116">
        <f>Stock!T38</f>
        <v/>
      </c>
    </row>
    <row r="117">
      <c r="A117" s="15" t="inlineStr">
        <is>
          <t>Wool sold at shearing</t>
        </is>
      </c>
      <c r="B117">
        <f>Stock!T39</f>
        <v/>
      </c>
    </row>
    <row r="118">
      <c r="A118" s="119" t="inlineStr">
        <is>
          <t>Total value of production (sum of the above)</t>
        </is>
      </c>
      <c r="B118" s="70">
        <f>Stock!T40</f>
        <v/>
      </c>
    </row>
    <row r="119">
      <c r="A119" s="119" t="inlineStr">
        <is>
          <t>Value of sales</t>
        </is>
      </c>
      <c r="B119" s="70" t="n"/>
    </row>
    <row r="120">
      <c r="A120" s="8" t="n"/>
    </row>
    <row r="121">
      <c r="A121" s="16" t="inlineStr">
        <is>
          <t>Hides</t>
        </is>
      </c>
      <c r="B121" s="131" t="inlineStr">
        <is>
          <t>Value of production at sales prices £</t>
        </is>
      </c>
    </row>
    <row r="122">
      <c r="A122" s="15" t="inlineStr">
        <is>
          <t>Ox hides</t>
        </is>
      </c>
      <c r="B122">
        <f>Stock!T44</f>
        <v/>
      </c>
    </row>
    <row r="123">
      <c r="A123" s="15" t="inlineStr">
        <is>
          <t>Cow hides</t>
        </is>
      </c>
      <c r="B123">
        <f>Stock!T45</f>
        <v/>
      </c>
    </row>
    <row r="124">
      <c r="A124" s="15" t="inlineStr">
        <is>
          <t>Mare hides</t>
        </is>
      </c>
      <c r="B124">
        <f>Stock!T46</f>
        <v/>
      </c>
    </row>
    <row r="125">
      <c r="A125" s="15" t="inlineStr">
        <is>
          <t>Steer hides</t>
        </is>
      </c>
      <c r="B125">
        <f>Stock!T47</f>
        <v/>
      </c>
    </row>
    <row r="126">
      <c r="A126" s="15" t="inlineStr">
        <is>
          <t>Yearling Calf hides</t>
        </is>
      </c>
      <c r="B126">
        <f>Stock!T48</f>
        <v/>
      </c>
    </row>
    <row r="127">
      <c r="A127" s="15" t="inlineStr">
        <is>
          <t>Calf hides</t>
        </is>
      </c>
      <c r="B127">
        <f>Stock!T49</f>
        <v/>
      </c>
    </row>
    <row r="128">
      <c r="A128" s="23" t="inlineStr">
        <is>
          <t>Pig hides</t>
        </is>
      </c>
      <c r="B128">
        <f>Stock!T50</f>
        <v/>
      </c>
    </row>
    <row r="129">
      <c r="A129" s="24" t="inlineStr">
        <is>
          <t>Wether woolskins</t>
        </is>
      </c>
      <c r="B129">
        <f>Stock!T51</f>
        <v/>
      </c>
    </row>
    <row r="130">
      <c r="A130" s="24" t="inlineStr">
        <is>
          <t>Ram woolskins</t>
        </is>
      </c>
      <c r="B130">
        <f>Stock!T52</f>
        <v/>
      </c>
    </row>
    <row r="131">
      <c r="A131" s="24" t="inlineStr">
        <is>
          <t>Ewe woolskins</t>
        </is>
      </c>
      <c r="B131">
        <f>Stock!T53</f>
        <v/>
      </c>
    </row>
    <row r="132">
      <c r="A132" s="24" t="inlineStr">
        <is>
          <t>Hogg woolskins</t>
        </is>
      </c>
      <c r="B132">
        <f>Stock!T54</f>
        <v/>
      </c>
    </row>
    <row r="133">
      <c r="A133" s="25" t="inlineStr">
        <is>
          <t>Woolskins (total)</t>
        </is>
      </c>
      <c r="B133">
        <f>Stock!T55</f>
        <v/>
      </c>
    </row>
    <row r="134">
      <c r="A134" s="24" t="inlineStr">
        <is>
          <t>Wether bareskins</t>
        </is>
      </c>
      <c r="B134">
        <f>Stock!T56</f>
        <v/>
      </c>
    </row>
    <row r="135">
      <c r="A135" s="24" t="inlineStr">
        <is>
          <t>Ram bareskins</t>
        </is>
      </c>
      <c r="B135">
        <f>Stock!T57</f>
        <v/>
      </c>
    </row>
    <row r="136">
      <c r="A136" s="24" t="inlineStr">
        <is>
          <t>Ewe bareskins</t>
        </is>
      </c>
      <c r="B136">
        <f>Stock!T58</f>
        <v/>
      </c>
    </row>
    <row r="137">
      <c r="A137" s="24" t="inlineStr">
        <is>
          <t>Hogg bareskins</t>
        </is>
      </c>
      <c r="B137">
        <f>Stock!T59</f>
        <v/>
      </c>
    </row>
    <row r="138">
      <c r="A138" s="25" t="inlineStr">
        <is>
          <t>Bareskins (total)</t>
        </is>
      </c>
      <c r="B138">
        <f>Stock!T60</f>
        <v/>
      </c>
    </row>
    <row r="139">
      <c r="A139" s="15" t="inlineStr">
        <is>
          <t>Lambskins</t>
        </is>
      </c>
      <c r="B139">
        <f>Stock!T61</f>
        <v/>
      </c>
    </row>
    <row r="140">
      <c r="A140" s="15" t="inlineStr">
        <is>
          <t>Rotted skins</t>
        </is>
      </c>
      <c r="B140">
        <f>Stock!T62</f>
        <v/>
      </c>
    </row>
    <row r="141">
      <c r="A141" s="15" t="inlineStr">
        <is>
          <t>Shorn skins</t>
        </is>
      </c>
      <c r="B141">
        <f>Stock!T63</f>
        <v/>
      </c>
    </row>
    <row r="142">
      <c r="A142" s="17" t="inlineStr">
        <is>
          <t>Total value of production (sum of the above)</t>
        </is>
      </c>
      <c r="B142" s="70" t="n"/>
    </row>
    <row r="143">
      <c r="A143" s="17" t="inlineStr">
        <is>
          <t>Value of sales</t>
        </is>
      </c>
      <c r="B143" s="70" t="n"/>
    </row>
    <row r="144">
      <c r="A144" s="15" t="n"/>
    </row>
    <row r="145">
      <c r="A145" s="16" t="inlineStr">
        <is>
          <t>Poultry stock</t>
        </is>
      </c>
      <c r="B145" s="131" t="inlineStr">
        <is>
          <t>Value of production at sales prices £</t>
        </is>
      </c>
    </row>
    <row r="146" ht="17" customHeight="1">
      <c r="A146" s="22" t="inlineStr">
        <is>
          <t>Hens</t>
        </is>
      </c>
      <c r="B146">
        <f>Stock!T68</f>
        <v/>
      </c>
    </row>
    <row r="147">
      <c r="A147" s="15" t="inlineStr">
        <is>
          <t>Geese</t>
        </is>
      </c>
      <c r="B147">
        <f>Stock!T69</f>
        <v/>
      </c>
    </row>
    <row r="148">
      <c r="A148" s="15" t="inlineStr">
        <is>
          <t>Capons (from chickens)</t>
        </is>
      </c>
      <c r="B148">
        <f>Stock!T70</f>
        <v/>
      </c>
    </row>
    <row r="149">
      <c r="A149" s="15" t="inlineStr">
        <is>
          <t>Cocks &amp; hens</t>
        </is>
      </c>
      <c r="B149">
        <f>Stock!T71</f>
        <v/>
      </c>
    </row>
    <row r="150">
      <c r="A150" s="119" t="inlineStr">
        <is>
          <t>Total value of production (sum of the above)</t>
        </is>
      </c>
      <c r="B150" s="70" t="n"/>
    </row>
    <row r="151">
      <c r="A151" s="119" t="inlineStr">
        <is>
          <t>Value of sales</t>
        </is>
      </c>
      <c r="B151" s="70" t="n"/>
    </row>
    <row r="152">
      <c r="A152" s="15" t="n"/>
    </row>
    <row r="153">
      <c r="A153" s="16" t="inlineStr">
        <is>
          <t>Poultry production</t>
        </is>
      </c>
      <c r="B153" s="131" t="inlineStr">
        <is>
          <t>Value of production at sales prices £</t>
        </is>
      </c>
    </row>
    <row r="154">
      <c r="A154" s="15" t="inlineStr">
        <is>
          <t>Eggs</t>
        </is>
      </c>
      <c r="B154">
        <f>Stock!T76</f>
        <v/>
      </c>
    </row>
    <row r="155">
      <c r="A155" s="15" t="inlineStr">
        <is>
          <t>Cocks &amp; hens from churchscot of customary tenants</t>
        </is>
      </c>
      <c r="B155">
        <f>Stock!T77</f>
        <v/>
      </c>
    </row>
    <row r="156">
      <c r="A156" s="15" t="inlineStr">
        <is>
          <t>Sum of above</t>
        </is>
      </c>
      <c r="B156">
        <f>Stock!T78</f>
        <v/>
      </c>
    </row>
    <row r="157">
      <c r="A157" s="17" t="inlineStr">
        <is>
          <t>Total value of stock</t>
        </is>
      </c>
      <c r="B157" s="70">
        <f>B155</f>
        <v/>
      </c>
    </row>
    <row r="158">
      <c r="A158" s="17" t="inlineStr">
        <is>
          <t>Value of sales</t>
        </is>
      </c>
      <c r="B158" s="70" t="n"/>
    </row>
    <row r="159">
      <c r="A159" s="15" t="n"/>
    </row>
    <row r="160">
      <c r="A160" s="16" t="inlineStr">
        <is>
          <t>Dairy Production</t>
        </is>
      </c>
      <c r="B160" s="131" t="inlineStr">
        <is>
          <t>Value of production at sales prices £</t>
        </is>
      </c>
    </row>
    <row r="161">
      <c r="A161" s="15" t="inlineStr">
        <is>
          <t>Butter</t>
        </is>
      </c>
      <c r="B161" s="72">
        <f>Stock!T94</f>
        <v/>
      </c>
    </row>
    <row r="162">
      <c r="A162" s="15" t="inlineStr">
        <is>
          <t>Winter Cheese</t>
        </is>
      </c>
      <c r="B162" s="72">
        <f>Stock!T89</f>
        <v/>
      </c>
    </row>
    <row r="163">
      <c r="A163" s="15" t="inlineStr">
        <is>
          <t>Summer Cheese</t>
        </is>
      </c>
      <c r="B163" s="72">
        <f>Stock!T90</f>
        <v/>
      </c>
    </row>
    <row r="164">
      <c r="A164" s="17" t="inlineStr">
        <is>
          <t>Total value of production (sum of the above)</t>
        </is>
      </c>
      <c r="B164" s="130">
        <f>SUM(B161:B163)</f>
        <v/>
      </c>
    </row>
    <row r="165">
      <c r="A165" s="17" t="inlineStr">
        <is>
          <t>Value of sales</t>
        </is>
      </c>
      <c r="B165" s="130">
        <f>Stock!R95+Stock!R91</f>
        <v/>
      </c>
    </row>
    <row r="166">
      <c r="A166" s="15" t="n"/>
    </row>
    <row r="167">
      <c r="A167" s="15" t="n"/>
    </row>
    <row r="168" ht="17" customHeight="1"/>
    <row r="169" ht="17" customHeight="1">
      <c r="A169" s="103" t="n"/>
      <c r="B169" s="132" t="n"/>
    </row>
    <row r="170">
      <c r="A170" s="97" t="inlineStr">
        <is>
          <t>Total Production Value of all Output (Grange, Dairy, Livestock Sales, Wools, Skins - NO Mill)</t>
        </is>
      </c>
      <c r="B170" s="133">
        <f>B164+B157+B150+B142+B118+B110+E67</f>
        <v/>
      </c>
    </row>
    <row r="171">
      <c r="A171" s="98" t="inlineStr">
        <is>
          <t>Total Sales Value of all Output as defined above</t>
        </is>
      </c>
      <c r="B171" s="133">
        <f>B165+B158+B151+B143+B119+B110+E68</f>
        <v/>
      </c>
    </row>
    <row r="172">
      <c r="A172" s="98" t="inlineStr">
        <is>
          <t>Total Sales of Corn + Issues of the Manor as recorded in account</t>
        </is>
      </c>
      <c r="B172" s="133">
        <f>Receipts!F51+Receipts!F58</f>
        <v/>
      </c>
    </row>
    <row r="173">
      <c r="A173" s="98" t="inlineStr">
        <is>
          <t>Production Value + Cash Receipts (excl. Arrears, Issues, Corn and Mill)</t>
        </is>
      </c>
      <c r="B173" s="133">
        <f>B170+Receipts!F19+Receipts!F24+Receipts!F28+Receipts!F67+Receipts!F96+Receipts!F99</f>
        <v/>
      </c>
    </row>
    <row r="174">
      <c r="A174" s="99" t="n"/>
      <c r="B174" s="134" t="n"/>
    </row>
    <row r="175">
      <c r="A175" s="100" t="inlineStr">
        <is>
          <t>% of capital expenses in terms of total production</t>
        </is>
      </c>
      <c r="B175" s="135">
        <f>B47/B170</f>
        <v/>
      </c>
    </row>
    <row r="176">
      <c r="A176" s="98" t="inlineStr">
        <is>
          <t>% of capital expenses in terms of total production + cash receipts</t>
        </is>
      </c>
      <c r="B176" s="135">
        <f>B47/B173</f>
        <v/>
      </c>
    </row>
    <row r="177">
      <c r="A177" s="99" t="n"/>
      <c r="B177" s="134" t="n"/>
    </row>
    <row r="178" ht="17" customHeight="1">
      <c r="A178" s="101" t="inlineStr">
        <is>
          <t>% of capital expenses as calculated previously</t>
        </is>
      </c>
      <c r="B178" s="136" t="n"/>
    </row>
  </sheetData>
  <mergeCells count="1">
    <mergeCell ref="B60:C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topLeftCell="A1" workbookViewId="0">
      <selection activeCell="A1" sqref="A1"/>
    </sheetView>
  </sheetViews>
  <sheetFormatPr baseColWidth="8" defaultRowHeight="15"/>
  <cols>
    <col width="32.83203125" customWidth="1" min="1" max="1"/>
    <col width="8.83203125" customWidth="1" min="6" max="6"/>
    <col width="8.83203125" customWidth="1" min="7" max="7"/>
  </cols>
  <sheetData>
    <row r="1" ht="16" customHeight="1">
      <c r="A1" s="2" t="inlineStr">
        <is>
          <t>CULHAM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37" t="inlineStr">
        <is>
          <t>Total in £</t>
        </is>
      </c>
      <c r="G2" s="138" t="inlineStr">
        <is>
          <t>Error</t>
        </is>
      </c>
      <c r="H2" s="7" t="inlineStr">
        <is>
          <t>Notes</t>
        </is>
      </c>
    </row>
    <row r="3">
      <c r="A3" t="inlineStr">
        <is>
          <t>Rents of assize</t>
        </is>
      </c>
      <c r="B3" t="n">
        <v>2</v>
      </c>
      <c r="C3" t="n">
        <v>1</v>
      </c>
      <c r="D3" t="n">
        <v>0</v>
      </c>
      <c r="F3" s="72" t="n">
        <v>2.05</v>
      </c>
      <c r="H3" t="inlineStr">
        <is>
          <t>James de North', bailiff, and William Kepe, reeve, render account for £2 1 shilling.5pence for all rents of assize at Easter (22 April).</t>
        </is>
      </c>
    </row>
    <row r="4">
      <c r="A4" t="inlineStr">
        <is>
          <t>Rents of assize</t>
        </is>
      </c>
      <c r="B4" t="n">
        <v>2</v>
      </c>
      <c r="C4" t="n">
        <v>1</v>
      </c>
      <c r="D4" t="n">
        <v>0</v>
      </c>
      <c r="F4" s="72" t="n">
        <v>2.05</v>
      </c>
      <c r="H4" t="inlineStr">
        <is>
          <t>£2 1 shilling .5pence at Michaelmas (29 September).</t>
        </is>
      </c>
    </row>
    <row r="5">
      <c r="A5" t="inlineStr">
        <is>
          <t>Rents of assize</t>
        </is>
      </c>
      <c r="B5" t="n">
        <v>4</v>
      </c>
      <c r="C5" t="n">
        <v>2</v>
      </c>
      <c r="D5" t="n">
        <v>1</v>
      </c>
      <c r="F5" s="72" t="n">
        <v>4.1</v>
      </c>
      <c r="H5" t="inlineStr">
        <is>
          <t>Total, £4 2 shilling 1pence</t>
        </is>
      </c>
    </row>
    <row r="6">
      <c r="A6" t="inlineStr">
        <is>
          <t>Rents of assize</t>
        </is>
      </c>
      <c r="F6" s="72" t="n">
        <v>4.1</v>
      </c>
      <c r="G6" s="139" t="n">
        <v>0</v>
      </c>
      <c r="H6" t="inlineStr">
        <is>
          <t>Total</t>
        </is>
      </c>
    </row>
    <row r="7"/>
    <row r="8">
      <c r="A8" t="inlineStr">
        <is>
          <t>Increment</t>
        </is>
      </c>
      <c r="B8" t="n">
        <v>0</v>
      </c>
      <c r="C8" t="n">
        <v>0</v>
      </c>
      <c r="D8" t="n">
        <v>0</v>
      </c>
      <c r="F8" s="72" t="n">
        <v>0</v>
      </c>
      <c r="H8" t="inlineStr">
        <is>
          <t>Nothing this year from increment of rent.</t>
        </is>
      </c>
    </row>
    <row r="9">
      <c r="A9" t="inlineStr">
        <is>
          <t>Increment</t>
        </is>
      </c>
      <c r="F9" s="72" t="n">
        <v>0</v>
      </c>
      <c r="G9" s="139" t="n">
        <v>0</v>
      </c>
      <c r="H9" t="inlineStr">
        <is>
          <t>Total</t>
        </is>
      </c>
    </row>
    <row r="10"/>
    <row r="11">
      <c r="A11" t="inlineStr">
        <is>
          <t>Quittances</t>
        </is>
      </c>
      <c r="B11" t="n">
        <v>0</v>
      </c>
      <c r="C11" t="n">
        <v>1</v>
      </c>
      <c r="D11" t="n">
        <v>0</v>
      </c>
      <c r="F11" s="72" t="n">
        <v>0.05</v>
      </c>
      <c r="H11" t="inlineStr">
        <is>
          <t>In quittance of 1 reeve for the year 1 shilling.</t>
        </is>
      </c>
    </row>
    <row r="12">
      <c r="A12" t="inlineStr">
        <is>
          <t>Quittances</t>
        </is>
      </c>
      <c r="B12" t="n">
        <v>0</v>
      </c>
      <c r="C12" t="n">
        <v>0</v>
      </c>
      <c r="D12" t="n">
        <v>6</v>
      </c>
      <c r="F12" s="72" t="n">
        <v>0.03</v>
      </c>
      <c r="H12" t="inlineStr">
        <is>
          <t>1 carter for the year 6pence.</t>
        </is>
      </c>
    </row>
    <row r="13">
      <c r="A13" t="inlineStr">
        <is>
          <t>Quittances</t>
        </is>
      </c>
      <c r="B13" t="n">
        <v>0</v>
      </c>
      <c r="C13" t="n">
        <v>0</v>
      </c>
      <c r="D13" t="n">
        <v>6</v>
      </c>
      <c r="F13" s="72" t="n">
        <v>0.03</v>
      </c>
      <c r="H13" t="inlineStr">
        <is>
          <t>1 shepherd for the year 6pence.</t>
        </is>
      </c>
    </row>
    <row r="14">
      <c r="A14" t="inlineStr">
        <is>
          <t>Quittances</t>
        </is>
      </c>
      <c r="B14" t="n">
        <v>0</v>
      </c>
      <c r="C14" t="n">
        <v>0</v>
      </c>
      <c r="D14" t="n">
        <v>6</v>
      </c>
      <c r="F14" s="72">
        <f>B14+C14/20+D14/240</f>
        <v/>
      </c>
      <c r="H14" t="inlineStr">
        <is>
          <t xml:space="preserve">1 hayward for the year 6pence </t>
        </is>
      </c>
    </row>
    <row r="15">
      <c r="A15" t="inlineStr">
        <is>
          <t>Quittances</t>
        </is>
      </c>
      <c r="B15" t="n">
        <v>0</v>
      </c>
      <c r="C15" t="n">
        <v>2</v>
      </c>
      <c r="D15" t="n">
        <v>6</v>
      </c>
      <c r="F15" s="72">
        <f>B15+C15/20+D15/240</f>
        <v/>
      </c>
      <c r="H15" t="inlineStr">
        <is>
          <t>Total, 2 shilling 6pence</t>
        </is>
      </c>
    </row>
    <row r="16">
      <c r="A16" t="inlineStr">
        <is>
          <t>Quittances</t>
        </is>
      </c>
      <c r="F16" s="72">
        <f>SUM(F11:F14)</f>
        <v/>
      </c>
      <c r="G16" s="139">
        <f>F16-F15</f>
        <v/>
      </c>
      <c r="H16" t="inlineStr">
        <is>
          <t>Total</t>
        </is>
      </c>
    </row>
    <row r="17"/>
    <row r="18">
      <c r="A18" t="inlineStr">
        <is>
          <t>Total of rents remaining</t>
        </is>
      </c>
      <c r="B18" t="n">
        <v>3</v>
      </c>
      <c r="C18" t="n">
        <v>19</v>
      </c>
      <c r="D18" t="n">
        <v>7</v>
      </c>
      <c r="F18" s="72" t="n">
        <v>3.98</v>
      </c>
      <c r="H18" t="inlineStr">
        <is>
          <t>Total of rents remaining, £3 19 shilling 7pence</t>
        </is>
      </c>
    </row>
    <row r="19">
      <c r="A19" t="inlineStr">
        <is>
          <t>Total of rents remaining</t>
        </is>
      </c>
      <c r="F19" s="72" t="n">
        <v>3.98</v>
      </c>
      <c r="G19" s="139">
        <f>F19-F18</f>
        <v/>
      </c>
      <c r="H19" t="inlineStr">
        <is>
          <t>Total</t>
        </is>
      </c>
    </row>
    <row r="20"/>
    <row r="21">
      <c r="A21" t="inlineStr">
        <is>
          <t>Annual gifts</t>
        </is>
      </c>
      <c r="B21" t="n">
        <v>0</v>
      </c>
      <c r="C21" t="n">
        <v>9</v>
      </c>
      <c r="D21" t="n">
        <v>0.5</v>
      </c>
      <c r="F21" s="72" t="n">
        <v>0.45</v>
      </c>
      <c r="H21" t="inlineStr">
        <is>
          <t>The same render account for 9 shilling 0.5pence from annual gifts at Easter.</t>
        </is>
      </c>
    </row>
    <row r="22">
      <c r="A22" t="inlineStr">
        <is>
          <t>Annual gifts</t>
        </is>
      </c>
      <c r="B22" t="n">
        <v>0</v>
      </c>
      <c r="C22" t="n">
        <v>9</v>
      </c>
      <c r="D22" t="n">
        <v>0.5</v>
      </c>
      <c r="F22" s="72" t="n">
        <v>0.45</v>
      </c>
      <c r="H22" t="inlineStr">
        <is>
          <t>9 shilling 0.5pence at Michaelmas.</t>
        </is>
      </c>
    </row>
    <row r="23">
      <c r="A23" t="inlineStr">
        <is>
          <t>Annual gifts</t>
        </is>
      </c>
      <c r="B23" t="n">
        <v>0</v>
      </c>
      <c r="C23" t="n">
        <v>18</v>
      </c>
      <c r="D23" t="n">
        <v>1</v>
      </c>
      <c r="F23" s="72" t="n">
        <v>0.9</v>
      </c>
      <c r="H23" t="inlineStr">
        <is>
          <t>Total, 18 shilling 1pence</t>
        </is>
      </c>
    </row>
    <row r="24">
      <c r="A24" t="inlineStr">
        <is>
          <t>Annual gifts</t>
        </is>
      </c>
      <c r="F24" s="72" t="n">
        <v>0.9</v>
      </c>
      <c r="G24" s="139" t="n">
        <v>0</v>
      </c>
      <c r="H24" t="inlineStr">
        <is>
          <t>Total</t>
        </is>
      </c>
    </row>
    <row r="25"/>
    <row r="26">
      <c r="A26" t="inlineStr">
        <is>
          <t>Annual recognizance</t>
        </is>
      </c>
      <c r="B26" t="n">
        <v>0</v>
      </c>
      <c r="C26" t="n">
        <v>0</v>
      </c>
      <c r="D26" t="n">
        <v>6</v>
      </c>
      <c r="F26" s="72" t="n">
        <v>0.03</v>
      </c>
      <c r="H26" t="inlineStr">
        <is>
          <t>The same render account for 6pence from the annual recognizance of William Piscator' of Culham so that he may remain outside the manor and pay suit to the tithing.</t>
        </is>
      </c>
    </row>
    <row r="27">
      <c r="A27" t="inlineStr">
        <is>
          <t>Annual recognizance</t>
        </is>
      </c>
      <c r="B27" t="n">
        <v>0</v>
      </c>
      <c r="C27" t="n">
        <v>0</v>
      </c>
      <c r="D27" t="n">
        <v>6</v>
      </c>
      <c r="F27" s="72" t="n">
        <v>0.03</v>
      </c>
      <c r="H27" t="inlineStr">
        <is>
          <t>Total, 6pence</t>
        </is>
      </c>
    </row>
    <row r="28">
      <c r="A28" t="inlineStr">
        <is>
          <t>Annual recognizance</t>
        </is>
      </c>
      <c r="F28" s="72" t="n">
        <v>0.03</v>
      </c>
      <c r="G28" s="139" t="n">
        <v>0</v>
      </c>
      <c r="H28" t="inlineStr">
        <is>
          <t>Total</t>
        </is>
      </c>
    </row>
    <row r="29"/>
    <row r="30">
      <c r="A30" t="inlineStr">
        <is>
          <t>Issues of the manor</t>
        </is>
      </c>
      <c r="B30" t="n">
        <v>0</v>
      </c>
      <c r="C30" t="n">
        <v>3</v>
      </c>
      <c r="D30" t="n">
        <v>0.5</v>
      </c>
      <c r="F30" s="72" t="n">
        <v>0.15</v>
      </c>
      <c r="H30" t="inlineStr">
        <is>
          <t>The same render account for 3 shilling 0.5pence from common pannage of pigs, that is, from 27 pigs, 19 piglets, at 1pence a pig over a year old, and .5pence a piglet.</t>
        </is>
      </c>
    </row>
    <row r="31">
      <c r="A31" t="inlineStr">
        <is>
          <t>Issues of the manor</t>
        </is>
      </c>
      <c r="B31" t="n">
        <v>0</v>
      </c>
      <c r="C31" t="n">
        <v>9</v>
      </c>
      <c r="D31" t="n">
        <v>6</v>
      </c>
      <c r="F31" s="72" t="n">
        <v>0.48</v>
      </c>
      <c r="H31" t="inlineStr">
        <is>
          <t>9 shilling 6pence from pannage of Kylhamfryth', from 42 pigs and 30 piglets agisted in the wood of Kylhamfryth', at 2pence a pig, 1pence a piglet.</t>
        </is>
      </c>
    </row>
    <row r="32">
      <c r="A32" t="inlineStr">
        <is>
          <t>Issues of the manor</t>
        </is>
      </c>
      <c r="B32" t="n">
        <v>1</v>
      </c>
      <c r="C32" t="n">
        <v>0</v>
      </c>
      <c r="D32" t="n">
        <v>8</v>
      </c>
      <c r="F32" s="72" t="n">
        <v>1.03</v>
      </c>
      <c r="H32" t="inlineStr">
        <is>
          <t>£1 8pence from 3 oxen sold, at 7 shilling each for 2, and 6 shilling 8pence for 1.</t>
        </is>
      </c>
    </row>
    <row r="33">
      <c r="A33" t="inlineStr">
        <is>
          <t>Issues of the manor</t>
        </is>
      </c>
      <c r="B33" t="n">
        <v>0</v>
      </c>
      <c r="C33" t="n">
        <v>16</v>
      </c>
      <c r="D33" t="n">
        <v>0</v>
      </c>
      <c r="F33" s="72" t="n">
        <v>0.8</v>
      </c>
      <c r="H33" t="inlineStr">
        <is>
          <t>16 shilling from 2 cows sold together.</t>
        </is>
      </c>
    </row>
    <row r="34">
      <c r="A34" t="inlineStr">
        <is>
          <t>Issues of the manor</t>
        </is>
      </c>
      <c r="B34" t="n">
        <v>0</v>
      </c>
      <c r="C34" t="n">
        <v>16</v>
      </c>
      <c r="D34" t="n">
        <v>8</v>
      </c>
      <c r="F34" s="72" t="n">
        <v>0.83</v>
      </c>
      <c r="H34" t="inlineStr">
        <is>
          <t>16 shilling 8pence from 14 calves sold together.</t>
        </is>
      </c>
    </row>
    <row r="35">
      <c r="A35" t="inlineStr">
        <is>
          <t>Issues of the manor</t>
        </is>
      </c>
      <c r="B35" t="n">
        <v>1</v>
      </c>
      <c r="C35" t="n">
        <v>0</v>
      </c>
      <c r="D35" t="n">
        <v>6</v>
      </c>
      <c r="F35" s="72" t="n">
        <v>1.02</v>
      </c>
      <c r="H35" t="inlineStr">
        <is>
          <t>£1 6pence from 20 old kebb wethers sold at Martinmas.</t>
        </is>
      </c>
    </row>
    <row r="36">
      <c r="A36" t="inlineStr">
        <is>
          <t>Issues of the manor</t>
        </is>
      </c>
      <c r="B36" t="n">
        <v>0</v>
      </c>
      <c r="C36" t="n">
        <v>1</v>
      </c>
      <c r="D36" t="n">
        <v>7</v>
      </c>
      <c r="F36" s="72" t="n">
        <v>0.08</v>
      </c>
      <c r="H36" t="inlineStr">
        <is>
          <t>1 shilling 7pence from the hide sold of 1 cow in murrain.</t>
        </is>
      </c>
    </row>
    <row r="37">
      <c r="A37" t="inlineStr">
        <is>
          <t>Issues of the manor</t>
        </is>
      </c>
      <c r="B37" t="n">
        <v>0</v>
      </c>
      <c r="C37" t="n">
        <v>2</v>
      </c>
      <c r="D37" t="n">
        <v>3</v>
      </c>
      <c r="F37" s="72" t="n">
        <v>0.11</v>
      </c>
      <c r="H37" t="inlineStr">
        <is>
          <t>2 shilling 3pence from the hides sold of 3 bullocks and 3 yearlings in murrain.</t>
        </is>
      </c>
    </row>
    <row r="38">
      <c r="A38" t="inlineStr">
        <is>
          <t>Issues of the manor</t>
        </is>
      </c>
      <c r="B38" t="n">
        <v>0</v>
      </c>
      <c r="C38" t="n">
        <v>0</v>
      </c>
      <c r="D38" t="n">
        <v>1</v>
      </c>
      <c r="F38" s="72" t="n">
        <v>0</v>
      </c>
      <c r="H38" t="inlineStr">
        <is>
          <t>1pence from the hide sold of 1 calf in murrain.</t>
        </is>
      </c>
    </row>
    <row r="39">
      <c r="A39" t="inlineStr">
        <is>
          <t>Issues of the manor</t>
        </is>
      </c>
      <c r="B39" t="n">
        <v>0</v>
      </c>
      <c r="C39" t="n">
        <v>1</v>
      </c>
      <c r="D39" t="n">
        <v>5.5</v>
      </c>
      <c r="F39" s="72" t="n">
        <v>0.07000000000000001</v>
      </c>
      <c r="H39" t="inlineStr">
        <is>
          <t>1 shilling 5.5pence from the skins of 5 wethers in murrain before shearing.</t>
        </is>
      </c>
    </row>
    <row r="40">
      <c r="A40" t="inlineStr">
        <is>
          <t>Issues of the manor</t>
        </is>
      </c>
      <c r="B40" t="n">
        <v>0</v>
      </c>
      <c r="C40" t="n">
        <v>0</v>
      </c>
      <c r="D40" t="n">
        <v>9</v>
      </c>
      <c r="F40" s="72" t="n">
        <v>0.04</v>
      </c>
      <c r="H40" t="inlineStr">
        <is>
          <t>9pence from the skins sold of 6 wethers in murrain after shearing.</t>
        </is>
      </c>
    </row>
    <row r="41">
      <c r="A41" t="inlineStr">
        <is>
          <t>Issues of the manor</t>
        </is>
      </c>
      <c r="B41" t="n">
        <v>0</v>
      </c>
      <c r="C41" t="n">
        <v>3</v>
      </c>
      <c r="D41" t="n">
        <v>11</v>
      </c>
      <c r="F41" s="72" t="n">
        <v>0.2</v>
      </c>
      <c r="H41" t="inlineStr">
        <is>
          <t>3 shilling 11pence from 12 cloves of winter cheese sold.</t>
        </is>
      </c>
    </row>
    <row r="42">
      <c r="A42" t="inlineStr">
        <is>
          <t>Issues of the manor</t>
        </is>
      </c>
      <c r="B42" t="n">
        <v>3</v>
      </c>
      <c r="C42" t="n">
        <v>3</v>
      </c>
      <c r="D42" t="n">
        <v>0</v>
      </c>
      <c r="F42" s="72" t="n">
        <v>3.15</v>
      </c>
      <c r="H42" t="inlineStr">
        <is>
          <t>£3 3 shilling from 7 weys of summer cheese sold, at 9 shilling a wey.</t>
        </is>
      </c>
    </row>
    <row r="43">
      <c r="A43" t="inlineStr">
        <is>
          <t>Issues of the manor</t>
        </is>
      </c>
      <c r="B43" t="n">
        <v>0</v>
      </c>
      <c r="C43" t="n">
        <v>10</v>
      </c>
      <c r="D43" t="n">
        <v>0</v>
      </c>
      <c r="F43" s="72" t="n">
        <v>0.5</v>
      </c>
      <c r="H43" t="inlineStr">
        <is>
          <t>10 shilling from 20 cloves of butter sold.</t>
        </is>
      </c>
    </row>
    <row r="44">
      <c r="A44" t="inlineStr">
        <is>
          <t>Issues of the manor</t>
        </is>
      </c>
      <c r="B44" t="n">
        <v>0</v>
      </c>
      <c r="C44" t="n">
        <v>1</v>
      </c>
      <c r="D44" t="n">
        <v>4</v>
      </c>
      <c r="F44" s="72" t="n">
        <v>0.07000000000000001</v>
      </c>
      <c r="H44" t="inlineStr">
        <is>
          <t>1 shilling 4pence from 16 hens from churchscot sold.</t>
        </is>
      </c>
    </row>
    <row r="45">
      <c r="A45" t="inlineStr">
        <is>
          <t>Issues of the manor</t>
        </is>
      </c>
      <c r="B45" t="n">
        <v>0</v>
      </c>
      <c r="C45" t="n">
        <v>7</v>
      </c>
      <c r="D45" t="n">
        <v>6</v>
      </c>
      <c r="F45" s="72" t="n">
        <v>0.38</v>
      </c>
      <c r="H45" t="inlineStr">
        <is>
          <t>7 shilling 6pence for release from labour service.</t>
        </is>
      </c>
    </row>
    <row r="46">
      <c r="A46" t="inlineStr">
        <is>
          <t>Issues of the manor</t>
        </is>
      </c>
      <c r="B46" t="n">
        <v>0</v>
      </c>
      <c r="C46" t="n">
        <v>2</v>
      </c>
      <c r="D46" t="n">
        <v>8</v>
      </c>
      <c r="F46" s="72" t="n">
        <v>0.13</v>
      </c>
      <c r="H46" t="inlineStr">
        <is>
          <t>2 shilling 8pence from the pasturage upon la Hethe sold 2 shilling from the heriot of Walter ate Mull'.</t>
        </is>
      </c>
    </row>
    <row r="47">
      <c r="A47" t="inlineStr">
        <is>
          <t>Issues of the manor</t>
        </is>
      </c>
      <c r="B47" t="n">
        <v>0</v>
      </c>
      <c r="C47" t="n">
        <v>0</v>
      </c>
      <c r="D47" t="n">
        <v>6</v>
      </c>
      <c r="F47" s="72" t="n">
        <v>0.03</v>
      </c>
      <c r="H47" t="inlineStr">
        <is>
          <t>6pence from the heriot of Nicholas Nel because' he did not have one animal.</t>
        </is>
      </c>
    </row>
    <row r="48">
      <c r="A48" t="inlineStr">
        <is>
          <t>Issues of the manor</t>
        </is>
      </c>
      <c r="B48" t="n">
        <v>0</v>
      </c>
      <c r="C48" t="n">
        <v>1</v>
      </c>
      <c r="D48" t="n">
        <v>4</v>
      </c>
      <c r="F48" s="72" t="n">
        <v>0.07000000000000001</v>
      </c>
      <c r="H48" t="inlineStr">
        <is>
          <t>1 shilling 4pence from the pasturage of Westgarston sold.</t>
        </is>
      </c>
    </row>
    <row r="49">
      <c r="A49" t="inlineStr">
        <is>
          <t>Issues of the manor</t>
        </is>
      </c>
      <c r="B49" t="n">
        <v>1</v>
      </c>
      <c r="C49" t="n">
        <v>12</v>
      </c>
      <c r="D49" t="n">
        <v>3</v>
      </c>
      <c r="F49" s="72" t="n">
        <v>1.61</v>
      </c>
      <c r="H49" t="inlineStr">
        <is>
          <t>£1 12 shilling 3pence from the dairy produce of cows sold at the audit.</t>
        </is>
      </c>
    </row>
    <row r="50">
      <c r="A50" t="inlineStr">
        <is>
          <t>Issues of the manor</t>
        </is>
      </c>
      <c r="B50" t="n">
        <v>10</v>
      </c>
      <c r="C50" t="n">
        <v>17</v>
      </c>
      <c r="D50" t="n">
        <v>0</v>
      </c>
      <c r="F50" s="72" t="n">
        <v>10.85</v>
      </c>
      <c r="H50" t="inlineStr">
        <is>
          <t>Total, £10 17 shilling</t>
        </is>
      </c>
    </row>
    <row r="51">
      <c r="A51" t="inlineStr">
        <is>
          <t>Issues of the manor</t>
        </is>
      </c>
      <c r="F51" s="72" t="n">
        <v>10.75</v>
      </c>
      <c r="G51" s="139" t="n">
        <v>-0.09999999999999964</v>
      </c>
      <c r="H51" t="inlineStr">
        <is>
          <t>Total</t>
        </is>
      </c>
    </row>
    <row r="52"/>
    <row r="53">
      <c r="A53" t="inlineStr">
        <is>
          <t>Sale of corn</t>
        </is>
      </c>
      <c r="B53" t="n">
        <v>1</v>
      </c>
      <c r="C53" t="n">
        <v>7</v>
      </c>
      <c r="D53" t="n">
        <v>7.5</v>
      </c>
      <c r="F53" s="72" t="n">
        <v>1.38</v>
      </c>
      <c r="H53" t="inlineStr">
        <is>
          <t>The same render account for £1 7 shilling 7.5pence from 6 quarters 3 bushels of wheat sold, at 4 shilling 4pence a qr.</t>
        </is>
      </c>
    </row>
    <row r="54">
      <c r="A54" t="inlineStr">
        <is>
          <t>Sale of corn</t>
        </is>
      </c>
      <c r="B54" t="n">
        <v>3</v>
      </c>
      <c r="C54" t="n">
        <v>10</v>
      </c>
      <c r="D54" t="n">
        <v>11.25</v>
      </c>
      <c r="F54" s="72" t="n">
        <v>3.55</v>
      </c>
      <c r="H54" t="inlineStr">
        <is>
          <t>£3 10 shilling 11.25pence from 28 quarters 3 bushels of mancorn sold, at 2 shilling 6pence a qr.</t>
        </is>
      </c>
    </row>
    <row r="55">
      <c r="A55" t="inlineStr">
        <is>
          <t>Sale of corn</t>
        </is>
      </c>
      <c r="B55" t="n">
        <v>0</v>
      </c>
      <c r="C55" t="n">
        <v>0</v>
      </c>
      <c r="D55" t="n">
        <v>3.75</v>
      </c>
      <c r="F55" s="72" t="n">
        <v>0.02</v>
      </c>
      <c r="H55" t="inlineStr">
        <is>
          <t>3.75pence from 1 bushels sold at the audit.</t>
        </is>
      </c>
    </row>
    <row r="56">
      <c r="A56" t="inlineStr">
        <is>
          <t>Sale of corn</t>
        </is>
      </c>
      <c r="B56" t="n">
        <v>1</v>
      </c>
      <c r="C56" t="n">
        <v>18</v>
      </c>
      <c r="D56" t="n">
        <v>9</v>
      </c>
      <c r="F56" s="72" t="n">
        <v>1.94</v>
      </c>
      <c r="H56" t="inlineStr">
        <is>
          <t>£1 18 shilling 9pence from 11.5 quarters 1 bushels of barley sold, at 3 shilling 4pence a qr.</t>
        </is>
      </c>
    </row>
    <row r="57">
      <c r="A57" t="inlineStr">
        <is>
          <t>Sale of corn</t>
        </is>
      </c>
      <c r="B57" t="n">
        <v>6</v>
      </c>
      <c r="C57" t="n">
        <v>17</v>
      </c>
      <c r="D57" t="n">
        <v>7.5</v>
      </c>
      <c r="F57" s="72" t="n">
        <v>6.88</v>
      </c>
      <c r="H57" t="inlineStr">
        <is>
          <t>Total, £6 17 shilling 7.5pence</t>
        </is>
      </c>
    </row>
    <row r="58">
      <c r="A58" t="inlineStr">
        <is>
          <t>Sale of corn</t>
        </is>
      </c>
      <c r="F58" s="72" t="n">
        <v>6.889999999999999</v>
      </c>
      <c r="G58" s="139" t="n">
        <v>0.009999999999998899</v>
      </c>
      <c r="H58" t="inlineStr">
        <is>
          <t>Total</t>
        </is>
      </c>
    </row>
    <row r="59"/>
    <row r="60">
      <c r="A60" t="inlineStr">
        <is>
          <t>Entry and marriage fines</t>
        </is>
      </c>
      <c r="B60" t="n">
        <v>0</v>
      </c>
      <c r="C60" t="n">
        <v>3</v>
      </c>
      <c r="D60" t="n">
        <v>0.5</v>
      </c>
      <c r="F60" s="72" t="n">
        <v>0.15</v>
      </c>
      <c r="H60" t="inlineStr">
        <is>
          <t>The same render account for 3 shilling 0.5pence for tithingpenny at the hundred-court of Martinmas.</t>
        </is>
      </c>
    </row>
    <row r="61">
      <c r="A61" t="inlineStr">
        <is>
          <t>Entry and marriage fines</t>
        </is>
      </c>
      <c r="B61" t="n">
        <v>0</v>
      </c>
      <c r="C61" t="n">
        <v>3</v>
      </c>
      <c r="D61" t="n">
        <v>0.5</v>
      </c>
      <c r="F61" s="72" t="n">
        <v>0.15</v>
      </c>
      <c r="H61" t="inlineStr">
        <is>
          <t>3 shilling 0.5pence at the hundred-court of Hockday.</t>
        </is>
      </c>
    </row>
    <row r="62">
      <c r="A62" t="inlineStr">
        <is>
          <t>Entry and marriage fines</t>
        </is>
      </c>
      <c r="B62" t="n">
        <v>0</v>
      </c>
      <c r="C62" t="n">
        <v>13</v>
      </c>
      <c r="D62" t="n">
        <v>4</v>
      </c>
      <c r="F62" s="72" t="n">
        <v>0.67</v>
      </c>
      <c r="H62" t="inlineStr">
        <is>
          <t>13 shilling 4pence from William, son of Walter Molendinarius, to have 4.5 acres of land which belonged to Walter his father.</t>
        </is>
      </c>
    </row>
    <row r="63">
      <c r="A63" t="inlineStr">
        <is>
          <t>Entry and marriage fines</t>
        </is>
      </c>
      <c r="B63" t="n">
        <v>0</v>
      </c>
      <c r="C63" t="n">
        <v>2</v>
      </c>
      <c r="D63" t="n">
        <v>0</v>
      </c>
      <c r="F63" s="72" t="n">
        <v>0.1</v>
      </c>
      <c r="H63" t="inlineStr">
        <is>
          <t>2 shilling from Alice, who was wife of Nicholas Nel, to have 1 messuage .5 virgate of land which belonged to Nicholas her husband.</t>
        </is>
      </c>
    </row>
    <row r="64">
      <c r="A64" t="inlineStr">
        <is>
          <t>Entry and marriage fines</t>
        </is>
      </c>
      <c r="B64" t="n">
        <v>0</v>
      </c>
      <c r="C64" t="n">
        <v>3</v>
      </c>
      <c r="D64" t="n">
        <v>0</v>
      </c>
      <c r="F64" s="72" t="n">
        <v>0.15</v>
      </c>
      <c r="H64" t="inlineStr">
        <is>
          <t>3 shilling from John, son of John Boul', to have 1 acre of purpresture by surrender of the said John his father.</t>
        </is>
      </c>
    </row>
    <row r="65">
      <c r="A65" t="inlineStr">
        <is>
          <t>Entry and marriage fines</t>
        </is>
      </c>
      <c r="B65" t="n">
        <v>0</v>
      </c>
      <c r="C65" t="n">
        <v>2</v>
      </c>
      <c r="D65" t="n">
        <v>0</v>
      </c>
      <c r="F65" s="72" t="n">
        <v>0.1</v>
      </c>
      <c r="H65" t="inlineStr">
        <is>
          <t>2 shilling from William le Walays for marrying Matilda his daughter outside the demesne.</t>
        </is>
      </c>
    </row>
    <row r="66">
      <c r="A66" t="inlineStr">
        <is>
          <t>Entry and marriage fines</t>
        </is>
      </c>
      <c r="B66" t="n">
        <v>1</v>
      </c>
      <c r="C66" t="n">
        <v>6</v>
      </c>
      <c r="D66" t="n">
        <v>5</v>
      </c>
      <c r="F66" s="72" t="n">
        <v>1.32</v>
      </c>
      <c r="H66" t="inlineStr">
        <is>
          <t>Total, £1 6 shilling 5pence</t>
        </is>
      </c>
    </row>
    <row r="67">
      <c r="A67" t="inlineStr">
        <is>
          <t>Entry and marriage fines</t>
        </is>
      </c>
      <c r="F67" s="72" t="n">
        <v>1.32</v>
      </c>
      <c r="G67" s="139" t="n">
        <v>0</v>
      </c>
      <c r="H67" t="inlineStr">
        <is>
          <t>Total</t>
        </is>
      </c>
    </row>
    <row r="68"/>
    <row r="69">
      <c r="A69" t="inlineStr">
        <is>
          <t>Perquisites</t>
        </is>
      </c>
      <c r="B69" t="n">
        <v>0</v>
      </c>
      <c r="C69" t="n">
        <v>1</v>
      </c>
      <c r="D69" t="n">
        <v>0</v>
      </c>
      <c r="F69" s="72" t="n">
        <v>0.05</v>
      </c>
      <c r="H69" t="inlineStr">
        <is>
          <t>The same render account for 1 shilling from Alice Croyll', Walter Ryd', John Gay, Agnes ate Strod' for breaking the assize of ale.</t>
        </is>
      </c>
    </row>
    <row r="70">
      <c r="A70" t="inlineStr">
        <is>
          <t>Perquisites</t>
        </is>
      </c>
      <c r="B70" t="n">
        <v>0</v>
      </c>
      <c r="C70" t="n">
        <v>0</v>
      </c>
      <c r="D70" t="n">
        <v>3</v>
      </c>
      <c r="F70" s="72" t="n">
        <v>0.01</v>
      </c>
      <c r="H70" t="inlineStr">
        <is>
          <t>3pence from Thomas Buthory for trespass.</t>
        </is>
      </c>
    </row>
    <row r="71">
      <c r="A71" t="inlineStr">
        <is>
          <t>Perquisites</t>
        </is>
      </c>
      <c r="B71" t="n">
        <v>0</v>
      </c>
      <c r="C71" t="n">
        <v>0</v>
      </c>
      <c r="D71" t="n">
        <v>3</v>
      </c>
      <c r="F71" s="72" t="n">
        <v>0.01</v>
      </c>
      <c r="H71" t="inlineStr">
        <is>
          <t>3pence from Thomas ate Wod' for trespass.</t>
        </is>
      </c>
    </row>
    <row r="72">
      <c r="A72" t="inlineStr">
        <is>
          <t>Perquisites</t>
        </is>
      </c>
      <c r="B72" t="n">
        <v>0</v>
      </c>
      <c r="C72" t="n">
        <v>0</v>
      </c>
      <c r="D72" t="n">
        <v>3</v>
      </c>
      <c r="F72" s="72" t="n">
        <v>0.01</v>
      </c>
      <c r="H72" t="inlineStr">
        <is>
          <t>3pence from Justina Juveni for the same.</t>
        </is>
      </c>
    </row>
    <row r="73">
      <c r="A73" t="inlineStr">
        <is>
          <t>Perquisites</t>
        </is>
      </c>
      <c r="B73" t="n">
        <v>0</v>
      </c>
      <c r="C73" t="n">
        <v>0</v>
      </c>
      <c r="D73" t="n">
        <v>3</v>
      </c>
      <c r="F73" s="72" t="n">
        <v>0.01</v>
      </c>
      <c r="H73" t="inlineStr">
        <is>
          <t>3pence from John Crys for the same.</t>
        </is>
      </c>
    </row>
    <row r="74">
      <c r="A74" t="inlineStr">
        <is>
          <t>Perquisites</t>
        </is>
      </c>
      <c r="B74" t="n">
        <v>0</v>
      </c>
      <c r="C74" t="n">
        <v>0</v>
      </c>
      <c r="D74" t="n">
        <v>6</v>
      </c>
      <c r="F74" s="72" t="n">
        <v>0.03</v>
      </c>
      <c r="H74" t="inlineStr">
        <is>
          <t>6pence from William Wallnon for trespass.</t>
        </is>
      </c>
    </row>
    <row r="75">
      <c r="A75" t="inlineStr">
        <is>
          <t>Perquisites</t>
        </is>
      </c>
      <c r="B75" t="n">
        <v>0</v>
      </c>
      <c r="C75" t="n">
        <v>0</v>
      </c>
      <c r="D75" t="n">
        <v>3</v>
      </c>
      <c r="F75" s="72" t="n">
        <v>0.01</v>
      </c>
      <c r="H75" t="inlineStr">
        <is>
          <t>3pence from the same for trespass.</t>
        </is>
      </c>
    </row>
    <row r="76">
      <c r="A76" t="inlineStr">
        <is>
          <t>Perquisites</t>
        </is>
      </c>
      <c r="B76" t="n">
        <v>0</v>
      </c>
      <c r="C76" t="n">
        <v>1</v>
      </c>
      <c r="D76" t="n">
        <v>0</v>
      </c>
      <c r="F76" s="72" t="n">
        <v>0.05</v>
      </c>
      <c r="H76" t="inlineStr">
        <is>
          <t>1 shilling from William Kepe for trespass.</t>
        </is>
      </c>
    </row>
    <row r="77">
      <c r="A77" t="inlineStr">
        <is>
          <t>Perquisites</t>
        </is>
      </c>
      <c r="B77" t="n">
        <v>0</v>
      </c>
      <c r="C77" t="n">
        <v>1</v>
      </c>
      <c r="D77" t="n">
        <v>0</v>
      </c>
      <c r="F77" s="72" t="n">
        <v>0.05</v>
      </c>
      <c r="H77" t="inlineStr">
        <is>
          <t>1 shilling from John Baldewyn' for trespass.</t>
        </is>
      </c>
    </row>
    <row r="78">
      <c r="A78" t="inlineStr">
        <is>
          <t>Perquisites</t>
        </is>
      </c>
      <c r="B78" t="n">
        <v>0</v>
      </c>
      <c r="C78" t="n">
        <v>0</v>
      </c>
      <c r="D78" t="n">
        <v>3</v>
      </c>
      <c r="F78" s="72" t="n">
        <v>0.01</v>
      </c>
      <c r="H78" t="inlineStr">
        <is>
          <t>3pence from John Crys for trespass.</t>
        </is>
      </c>
    </row>
    <row r="79">
      <c r="A79" t="inlineStr">
        <is>
          <t>Perquisites</t>
        </is>
      </c>
      <c r="B79" t="n">
        <v>0</v>
      </c>
      <c r="C79" t="n">
        <v>0</v>
      </c>
      <c r="D79" t="n">
        <v>9</v>
      </c>
      <c r="F79" s="72" t="n">
        <v>0.04</v>
      </c>
      <c r="H79" t="inlineStr">
        <is>
          <t>9pence from John Baldeweyn', Cecilia Boul', Christina Profinal for assize.</t>
        </is>
      </c>
    </row>
    <row r="80">
      <c r="A80" t="inlineStr">
        <is>
          <t>Perquisites</t>
        </is>
      </c>
      <c r="B80" t="n">
        <v>0</v>
      </c>
      <c r="C80" t="n">
        <v>0</v>
      </c>
      <c r="D80" t="n">
        <v>6</v>
      </c>
      <c r="F80" s="72" t="n">
        <v>0.03</v>
      </c>
      <c r="H80" t="inlineStr">
        <is>
          <t>6pence from William Wallyno for trespass.</t>
        </is>
      </c>
    </row>
    <row r="81">
      <c r="A81" t="inlineStr">
        <is>
          <t>Perquisites</t>
        </is>
      </c>
      <c r="B81" t="n">
        <v>0</v>
      </c>
      <c r="C81" t="n">
        <v>0</v>
      </c>
      <c r="D81" t="n">
        <v>3</v>
      </c>
      <c r="F81" s="72" t="n">
        <v>0.01</v>
      </c>
      <c r="H81" t="inlineStr">
        <is>
          <t>3pence from the same because he married his daughter without licence.</t>
        </is>
      </c>
    </row>
    <row r="82">
      <c r="A82" t="inlineStr">
        <is>
          <t>Perquisites</t>
        </is>
      </c>
      <c r="B82" t="n">
        <v>0</v>
      </c>
      <c r="C82" t="n">
        <v>1</v>
      </c>
      <c r="D82" t="n">
        <v>0</v>
      </c>
      <c r="F82" s="72" t="n">
        <v>0.05</v>
      </c>
      <c r="H82" t="inlineStr">
        <is>
          <t>1 shilling from Agnes ate Strod', Christina Profinal, John Baldewyn' for assize.</t>
        </is>
      </c>
    </row>
    <row r="83">
      <c r="A83" t="inlineStr">
        <is>
          <t>Perquisites</t>
        </is>
      </c>
      <c r="B83" t="n">
        <v>0</v>
      </c>
      <c r="C83" t="n">
        <v>0</v>
      </c>
      <c r="D83" t="n">
        <v>3</v>
      </c>
      <c r="F83" s="72" t="n">
        <v>0.01</v>
      </c>
      <c r="H83" t="inlineStr">
        <is>
          <t>3pence from Agnes atte Strod' for assize.</t>
        </is>
      </c>
    </row>
    <row r="84">
      <c r="A84" t="inlineStr">
        <is>
          <t>Perquisites</t>
        </is>
      </c>
      <c r="B84" t="n">
        <v>0</v>
      </c>
      <c r="C84" t="n">
        <v>6</v>
      </c>
      <c r="D84" t="n">
        <v>8</v>
      </c>
      <c r="F84" s="72" t="n">
        <v>0.33</v>
      </c>
      <c r="H84" t="inlineStr">
        <is>
          <t>6 shilling 8pence from John Parsona of Remenham for trespass made in the lord's wood of Culhamfryth'.</t>
        </is>
      </c>
    </row>
    <row r="85">
      <c r="A85" t="inlineStr">
        <is>
          <t>Perquisites</t>
        </is>
      </c>
      <c r="B85" t="n">
        <v>0</v>
      </c>
      <c r="C85" t="n">
        <v>1</v>
      </c>
      <c r="D85" t="n">
        <v>0</v>
      </c>
      <c r="F85" s="72" t="n">
        <v>0.05</v>
      </c>
      <c r="H85" t="inlineStr">
        <is>
          <t>1 shilling from the same for unjustly taking the chattels of Amice Heryng'.</t>
        </is>
      </c>
    </row>
    <row r="86">
      <c r="A86" t="inlineStr">
        <is>
          <t>Perquisites</t>
        </is>
      </c>
      <c r="B86" t="n">
        <v>0</v>
      </c>
      <c r="C86" t="n">
        <v>1</v>
      </c>
      <c r="D86" t="n">
        <v>0</v>
      </c>
      <c r="F86" s="72" t="n">
        <v>0.05</v>
      </c>
      <c r="H86" t="inlineStr">
        <is>
          <t>1 shilling from William Ke for trespass.</t>
        </is>
      </c>
    </row>
    <row r="87">
      <c r="A87" t="inlineStr">
        <is>
          <t>Perquisites</t>
        </is>
      </c>
      <c r="B87" t="n">
        <v>0</v>
      </c>
      <c r="C87" t="n">
        <v>0</v>
      </c>
      <c r="D87" t="n">
        <v>6</v>
      </c>
      <c r="F87" s="72" t="n">
        <v>0.03</v>
      </c>
      <c r="H87" t="inlineStr">
        <is>
          <t>6pence from Walter ate Fryth' for the same.</t>
        </is>
      </c>
    </row>
    <row r="88">
      <c r="A88" t="inlineStr">
        <is>
          <t>Perquisites</t>
        </is>
      </c>
      <c r="B88" t="n">
        <v>0</v>
      </c>
      <c r="C88" t="n">
        <v>1</v>
      </c>
      <c r="D88" t="n">
        <v>0</v>
      </c>
      <c r="F88" s="72" t="n">
        <v>0.05</v>
      </c>
      <c r="H88" t="inlineStr">
        <is>
          <t>1 shilling from Adam Cocus for the same.</t>
        </is>
      </c>
    </row>
    <row r="89">
      <c r="A89" t="inlineStr">
        <is>
          <t>Perquisites</t>
        </is>
      </c>
      <c r="B89" t="n">
        <v>0</v>
      </c>
      <c r="C89" t="n">
        <v>0</v>
      </c>
      <c r="D89" t="n">
        <v>6</v>
      </c>
      <c r="F89" s="72" t="n">
        <v>0.03</v>
      </c>
      <c r="H89" t="inlineStr">
        <is>
          <t>6pence from Geoffrey Coleby.</t>
        </is>
      </c>
    </row>
    <row r="90">
      <c r="A90" t="inlineStr">
        <is>
          <t>Perquisites</t>
        </is>
      </c>
      <c r="B90" t="n">
        <v>0</v>
      </c>
      <c r="C90" t="n">
        <v>0</v>
      </c>
      <c r="D90" t="n">
        <v>3</v>
      </c>
      <c r="F90" s="72" t="n">
        <v>0.01</v>
      </c>
      <c r="H90" t="inlineStr">
        <is>
          <t>3pence from John Baldewyn' for the same.</t>
        </is>
      </c>
    </row>
    <row r="91">
      <c r="A91" t="inlineStr">
        <is>
          <t>Perquisites</t>
        </is>
      </c>
      <c r="B91" t="n">
        <v>0</v>
      </c>
      <c r="C91" t="n">
        <v>0</v>
      </c>
      <c r="D91" t="n">
        <v>6</v>
      </c>
      <c r="F91" s="72" t="n">
        <v>0.03</v>
      </c>
      <c r="H91" t="inlineStr">
        <is>
          <t>6pence from G. de Cruce that he may be removed from his office.</t>
        </is>
      </c>
    </row>
    <row r="92">
      <c r="A92" t="inlineStr">
        <is>
          <t>Perquisites</t>
        </is>
      </c>
      <c r="B92" t="n">
        <v>0</v>
      </c>
      <c r="C92" t="n">
        <v>0</v>
      </c>
      <c r="D92" t="n">
        <v>3</v>
      </c>
      <c r="F92" s="72" t="n">
        <v>0.01</v>
      </c>
      <c r="H92" t="inlineStr">
        <is>
          <t>3pence from John Crys for trespass.</t>
        </is>
      </c>
    </row>
    <row r="93">
      <c r="A93" t="inlineStr">
        <is>
          <t>Perquisites</t>
        </is>
      </c>
      <c r="B93" t="n">
        <v>0</v>
      </c>
      <c r="C93" t="n">
        <v>0</v>
      </c>
      <c r="D93" t="n">
        <v>2</v>
      </c>
      <c r="F93" s="72" t="n">
        <v>0.01</v>
      </c>
      <c r="H93" t="inlineStr">
        <is>
          <t>2pence from Richard Gosemayn for trespass.</t>
        </is>
      </c>
    </row>
    <row r="94">
      <c r="A94" t="inlineStr">
        <is>
          <t>Perquisites</t>
        </is>
      </c>
      <c r="B94" t="n">
        <v>0</v>
      </c>
      <c r="C94" t="n">
        <v>0</v>
      </c>
      <c r="D94" t="n">
        <v>2</v>
      </c>
      <c r="F94" s="72" t="n">
        <v>0.01</v>
      </c>
      <c r="H94" t="inlineStr">
        <is>
          <t>2pence from G. de Cruce for trespass.</t>
        </is>
      </c>
    </row>
    <row r="95">
      <c r="A95" t="inlineStr">
        <is>
          <t>Perquisites</t>
        </is>
      </c>
      <c r="B95" t="n">
        <v>0</v>
      </c>
      <c r="C95" t="n">
        <v>19</v>
      </c>
      <c r="D95" t="n">
        <v>9</v>
      </c>
      <c r="F95" s="72" t="n">
        <v>0.99</v>
      </c>
      <c r="H95" t="inlineStr">
        <is>
          <t>Total, 19 shilling 9pence</t>
        </is>
      </c>
    </row>
    <row r="96">
      <c r="A96" t="inlineStr">
        <is>
          <t>Perquisites</t>
        </is>
      </c>
      <c r="F96" s="72" t="n">
        <v>0.9900000000000002</v>
      </c>
      <c r="G96" s="139" t="n">
        <v>2.220446049250313e-16</v>
      </c>
      <c r="H96" t="inlineStr">
        <is>
          <t>Total</t>
        </is>
      </c>
    </row>
    <row r="97"/>
    <row r="98">
      <c r="A98" t="inlineStr">
        <is>
          <t>Entry to purprestures</t>
        </is>
      </c>
      <c r="B98" t="n">
        <v>0</v>
      </c>
      <c r="C98" t="n">
        <v>0</v>
      </c>
      <c r="D98" t="n">
        <v>0</v>
      </c>
      <c r="F98" s="72" t="n">
        <v>0</v>
      </c>
      <c r="H98" t="inlineStr">
        <is>
          <t>Nothing this year from entry to purprestures.</t>
        </is>
      </c>
    </row>
    <row r="99">
      <c r="A99" t="inlineStr">
        <is>
          <t>Entry to purprestures</t>
        </is>
      </c>
      <c r="F99" s="72" t="n">
        <v>0</v>
      </c>
      <c r="G99" s="139" t="n">
        <v>0</v>
      </c>
      <c r="H99" t="inlineStr">
        <is>
          <t>Total</t>
        </is>
      </c>
    </row>
    <row r="100"/>
    <row r="101">
      <c r="A101" t="inlineStr">
        <is>
          <t>Total of all receipts</t>
        </is>
      </c>
      <c r="B101" t="n">
        <v>24</v>
      </c>
      <c r="C101" t="n">
        <v>18</v>
      </c>
      <c r="D101" t="n">
        <v>11.5</v>
      </c>
      <c r="F101" s="72" t="n">
        <v>24.95</v>
      </c>
      <c r="H101" t="inlineStr">
        <is>
          <t>Total of all receipts, £24 18 shilling 11.5pence</t>
        </is>
      </c>
    </row>
    <row r="102">
      <c r="A102" s="38" t="inlineStr">
        <is>
          <t>Total of all receipts recorded in accounts</t>
        </is>
      </c>
      <c r="F102" s="72" t="n">
        <v>24.95</v>
      </c>
      <c r="G102" s="139">
        <f>F102-F101</f>
        <v/>
      </c>
      <c r="H102" t="inlineStr">
        <is>
          <t>Total</t>
        </is>
      </c>
    </row>
    <row r="103" ht="16" customHeight="1">
      <c r="A103" s="9" t="inlineStr">
        <is>
          <t>Total cross-check without arrears</t>
        </is>
      </c>
      <c r="F103" s="72">
        <f>F99+F96+F67+F58+F51+F28+F24+F19</f>
        <v/>
      </c>
      <c r="G103" s="139">
        <f>F103-F102</f>
        <v/>
      </c>
    </row>
    <row r="104" ht="16" customHeight="1">
      <c r="A104" s="9" t="inlineStr">
        <is>
          <t>Total cross-check with arrears</t>
        </is>
      </c>
      <c r="F104" s="72">
        <f>F103</f>
        <v/>
      </c>
      <c r="H104" t="inlineStr">
        <is>
          <t>no arrears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topLeftCell="A1" workbookViewId="0">
      <selection activeCell="A1" sqref="A1"/>
    </sheetView>
  </sheetViews>
  <sheetFormatPr baseColWidth="8" defaultRowHeight="15"/>
  <cols>
    <col width="33.1640625" customWidth="1" min="1" max="1"/>
    <col width="8.83203125" customWidth="1" min="6" max="6"/>
    <col width="8.83203125" customWidth="1" min="7" max="7"/>
    <col width="38" customWidth="1" min="8" max="8"/>
    <col width="15.1640625" customWidth="1" min="10" max="10"/>
    <col width="20.1640625" customWidth="1" min="11" max="11"/>
  </cols>
  <sheetData>
    <row r="1">
      <c r="A1" s="38" t="inlineStr">
        <is>
          <t>CULHAM EXPENSES</t>
        </is>
      </c>
    </row>
    <row r="2" ht="34" customHeight="1">
      <c r="A2" s="30" t="inlineStr">
        <is>
          <t>Heading</t>
        </is>
      </c>
      <c r="B2" s="33" t="inlineStr">
        <is>
          <t>£</t>
        </is>
      </c>
      <c r="C2" s="34" t="inlineStr">
        <is>
          <t xml:space="preserve">s </t>
        </is>
      </c>
      <c r="D2" s="34" t="inlineStr">
        <is>
          <t>d</t>
        </is>
      </c>
      <c r="E2" s="34" t="n"/>
      <c r="F2" s="140" t="inlineStr">
        <is>
          <t>Total in £</t>
        </is>
      </c>
      <c r="G2" s="141" t="inlineStr">
        <is>
          <t>Error</t>
        </is>
      </c>
      <c r="H2" s="30" t="inlineStr">
        <is>
          <t>Notes</t>
        </is>
      </c>
      <c r="I2" s="142" t="n"/>
      <c r="J2" s="52" t="inlineStr">
        <is>
          <t>Fixed investment</t>
        </is>
      </c>
      <c r="K2" s="52" t="inlineStr">
        <is>
          <t>Demesne fixed investment</t>
        </is>
      </c>
    </row>
    <row r="3">
      <c r="A3" t="inlineStr">
        <is>
          <t>Expenses for ploughs</t>
        </is>
      </c>
      <c r="B3" t="n">
        <v>0</v>
      </c>
      <c r="C3" t="n">
        <v>7</v>
      </c>
      <c r="D3" t="n">
        <v>5</v>
      </c>
      <c r="E3" s="37" t="n"/>
      <c r="F3" s="72" t="n">
        <v>0.37</v>
      </c>
      <c r="G3" s="143" t="n"/>
      <c r="H3" t="inlineStr">
        <is>
          <t>In steel for ploughs 7 shilling 5pence.</t>
        </is>
      </c>
      <c r="J3" s="72">
        <f>F3</f>
        <v/>
      </c>
      <c r="K3" s="72">
        <f>J3</f>
        <v/>
      </c>
    </row>
    <row r="4">
      <c r="A4" t="inlineStr">
        <is>
          <t>Expenses for ploughs</t>
        </is>
      </c>
      <c r="B4" t="n">
        <v>0</v>
      </c>
      <c r="C4" t="n">
        <v>3</v>
      </c>
      <c r="D4" t="n">
        <v>0</v>
      </c>
      <c r="E4" s="37" t="n"/>
      <c r="F4" s="72" t="n">
        <v>0.15</v>
      </c>
      <c r="G4" s="143" t="n"/>
      <c r="H4" t="inlineStr">
        <is>
          <t>stipend of the smith repairing ironwork 3 shilling.</t>
        </is>
      </c>
      <c r="J4" s="72">
        <f>F4</f>
        <v/>
      </c>
      <c r="K4" s="72">
        <f>J4</f>
        <v/>
      </c>
    </row>
    <row r="5">
      <c r="A5" t="inlineStr">
        <is>
          <t>Expenses for ploughs</t>
        </is>
      </c>
      <c r="B5" t="n">
        <v>0</v>
      </c>
      <c r="C5" t="n">
        <v>9</v>
      </c>
      <c r="D5" t="n">
        <v>8</v>
      </c>
      <c r="E5" s="37" t="n"/>
      <c r="F5" s="72" t="n">
        <v>0.48</v>
      </c>
      <c r="G5" s="143" t="n"/>
      <c r="H5" t="inlineStr">
        <is>
          <t>shoeing 7 horses for the year 9 shilling 8pence.</t>
        </is>
      </c>
      <c r="J5" s="72">
        <f>F5</f>
        <v/>
      </c>
      <c r="K5" s="72">
        <f>J5</f>
        <v/>
      </c>
    </row>
    <row r="6">
      <c r="A6" t="inlineStr">
        <is>
          <t>Expenses for ploughs</t>
        </is>
      </c>
      <c r="B6" t="n">
        <v>0</v>
      </c>
      <c r="C6" t="n">
        <v>1</v>
      </c>
      <c r="D6" t="n">
        <v>5</v>
      </c>
      <c r="E6" s="37" t="n"/>
      <c r="F6" s="72" t="n">
        <v>0.07000000000000001</v>
      </c>
      <c r="G6" s="143" t="n"/>
      <c r="H6" t="inlineStr">
        <is>
          <t>2 ploughshares bought 1 shilling 5pence.</t>
        </is>
      </c>
      <c r="J6" s="72">
        <f>F6</f>
        <v/>
      </c>
      <c r="K6" s="72">
        <f>J6</f>
        <v/>
      </c>
    </row>
    <row r="7">
      <c r="A7" t="inlineStr">
        <is>
          <t>Expenses for ploughs</t>
        </is>
      </c>
      <c r="B7" t="n">
        <v>0</v>
      </c>
      <c r="C7" t="n">
        <v>1</v>
      </c>
      <c r="D7" t="n">
        <v>0</v>
      </c>
      <c r="E7" s="37" t="n"/>
      <c r="F7" s="72" t="n">
        <v>0.05</v>
      </c>
      <c r="G7" s="143" t="n"/>
      <c r="H7" t="inlineStr">
        <is>
          <t>4 plough-irons bought 1 shilling.</t>
        </is>
      </c>
      <c r="J7" s="72">
        <f>F7</f>
        <v/>
      </c>
      <c r="K7" s="72">
        <f>J7</f>
        <v/>
      </c>
    </row>
    <row r="8">
      <c r="A8" t="inlineStr">
        <is>
          <t>Expenses for ploughs</t>
        </is>
      </c>
      <c r="B8" t="n">
        <v>0</v>
      </c>
      <c r="C8" t="n">
        <v>0</v>
      </c>
      <c r="D8" t="n">
        <v>6</v>
      </c>
      <c r="E8" s="37" t="n"/>
      <c r="F8" s="72" t="n">
        <v>0.03</v>
      </c>
      <c r="G8" s="143" t="n"/>
      <c r="H8" t="inlineStr">
        <is>
          <t>2 pairs of wheels bought 6pence.</t>
        </is>
      </c>
      <c r="J8" s="72">
        <f>F8</f>
        <v/>
      </c>
      <c r="K8" s="72">
        <f>J8</f>
        <v/>
      </c>
    </row>
    <row r="9">
      <c r="A9" t="inlineStr">
        <is>
          <t>Expenses for ploughs</t>
        </is>
      </c>
      <c r="B9" t="n">
        <v>0</v>
      </c>
      <c r="C9" t="n">
        <v>0</v>
      </c>
      <c r="D9" t="n">
        <v>2.5</v>
      </c>
      <c r="E9" s="37" t="n"/>
      <c r="F9" s="72" t="n">
        <v>0.01</v>
      </c>
      <c r="G9" s="143" t="n"/>
      <c r="H9" t="inlineStr">
        <is>
          <t>7 halters and 1 rope made from hair 2.5pence.</t>
        </is>
      </c>
      <c r="J9" s="72">
        <f>F9</f>
        <v/>
      </c>
      <c r="K9" s="72">
        <f>J9</f>
        <v/>
      </c>
    </row>
    <row r="10">
      <c r="A10" t="inlineStr">
        <is>
          <t>Expenses for ploughs</t>
        </is>
      </c>
      <c r="B10" t="n">
        <v>0</v>
      </c>
      <c r="C10" t="n">
        <v>4</v>
      </c>
      <c r="D10" t="n">
        <v>6</v>
      </c>
      <c r="E10" s="37" t="n"/>
      <c r="F10" s="72" t="n">
        <v>0.23</v>
      </c>
      <c r="G10" s="143" t="n"/>
      <c r="H10" t="inlineStr">
        <is>
          <t>stipend of 1 drover for the year 4 shilling 6pence.</t>
        </is>
      </c>
      <c r="K10" s="72" t="n"/>
    </row>
    <row r="11">
      <c r="A11" t="inlineStr">
        <is>
          <t>Expenses for ploughs</t>
        </is>
      </c>
      <c r="B11" t="n">
        <v>0</v>
      </c>
      <c r="C11" t="n">
        <v>0</v>
      </c>
      <c r="D11" t="n">
        <v>9</v>
      </c>
      <c r="F11" s="72">
        <f>B11+C11/20+D11/240</f>
        <v/>
      </c>
      <c r="G11" s="143" t="n"/>
      <c r="H11" t="inlineStr">
        <is>
          <t xml:space="preserve">1 sack bought 9pence </t>
        </is>
      </c>
      <c r="J11" s="72">
        <f>F11</f>
        <v/>
      </c>
      <c r="K11" s="72">
        <f>J11</f>
        <v/>
      </c>
    </row>
    <row r="12">
      <c r="A12" t="inlineStr">
        <is>
          <t>Expenses for ploughs</t>
        </is>
      </c>
      <c r="B12" t="n">
        <v>1</v>
      </c>
      <c r="C12" t="n">
        <v>8</v>
      </c>
      <c r="D12" t="n">
        <v>5.5</v>
      </c>
      <c r="E12" s="37" t="n"/>
      <c r="F12" s="72">
        <f>B12+C12/20+D12/240</f>
        <v/>
      </c>
      <c r="G12" s="143" t="n"/>
      <c r="H12" t="inlineStr">
        <is>
          <t>Total, £1 8 shilling 5.5pence</t>
        </is>
      </c>
    </row>
    <row r="13">
      <c r="A13" t="inlineStr">
        <is>
          <t>Expenses for ploughs</t>
        </is>
      </c>
      <c r="E13" s="37" t="n"/>
      <c r="F13" s="72">
        <f>SUM(F3:F11)</f>
        <v/>
      </c>
      <c r="G13" s="143">
        <f>F13-F12</f>
        <v/>
      </c>
      <c r="H13" t="inlineStr">
        <is>
          <t>Total</t>
        </is>
      </c>
    </row>
    <row r="14">
      <c r="A14" s="37" t="n"/>
      <c r="B14" s="37" t="n"/>
      <c r="C14" s="37" t="n"/>
      <c r="D14" s="37" t="n"/>
      <c r="E14" s="37" t="n"/>
      <c r="F14" s="144" t="n"/>
      <c r="G14" s="143" t="n"/>
      <c r="H14" s="37" t="n"/>
    </row>
    <row r="15">
      <c r="A15" t="inlineStr">
        <is>
          <t>Carts</t>
        </is>
      </c>
      <c r="B15" t="n">
        <v>0</v>
      </c>
      <c r="C15" t="n">
        <v>2</v>
      </c>
      <c r="D15" t="n">
        <v>2</v>
      </c>
      <c r="F15" s="72" t="n">
        <v>0.11</v>
      </c>
      <c r="H15" t="inlineStr">
        <is>
          <t>in 1 pair of wheels bought for the cart 2 shilling 2pence.</t>
        </is>
      </c>
      <c r="J15" s="72">
        <f>F15</f>
        <v/>
      </c>
      <c r="K15" s="72">
        <f>J15</f>
        <v/>
      </c>
    </row>
    <row r="16">
      <c r="A16" t="inlineStr">
        <is>
          <t>Carts</t>
        </is>
      </c>
      <c r="B16" t="n">
        <v>0</v>
      </c>
      <c r="C16" t="n">
        <v>0</v>
      </c>
      <c r="D16" t="n">
        <v>10.5</v>
      </c>
      <c r="F16" s="72" t="n">
        <v>0.04</v>
      </c>
      <c r="H16" t="inlineStr">
        <is>
          <t>clouts with nails bought 10.5pence, and so much because it was at Farnham in order to collect timber and talwood at the water (quesivit taluerud' ad aq').</t>
        </is>
      </c>
      <c r="J16" s="72">
        <f>F16</f>
        <v/>
      </c>
      <c r="K16" s="72">
        <f>J16</f>
        <v/>
      </c>
    </row>
    <row r="17">
      <c r="A17" t="inlineStr">
        <is>
          <t>Carts</t>
        </is>
      </c>
      <c r="B17" t="n">
        <v>0</v>
      </c>
      <c r="C17" t="n">
        <v>0</v>
      </c>
      <c r="D17" t="n">
        <v>5</v>
      </c>
      <c r="F17" s="72" t="n">
        <v>0.02</v>
      </c>
      <c r="H17" t="inlineStr">
        <is>
          <t>grease for the cart 5pence.</t>
        </is>
      </c>
      <c r="J17" s="72">
        <f>F17</f>
        <v/>
      </c>
      <c r="K17" s="72">
        <f>J17</f>
        <v/>
      </c>
    </row>
    <row r="18">
      <c r="A18" t="inlineStr">
        <is>
          <t>Carts</t>
        </is>
      </c>
      <c r="B18" t="n">
        <v>0</v>
      </c>
      <c r="C18" t="n">
        <v>0</v>
      </c>
      <c r="D18" t="n">
        <v>3</v>
      </c>
      <c r="F18" s="72" t="n">
        <v>0.01</v>
      </c>
      <c r="H18" t="inlineStr">
        <is>
          <t>fitting the cart with axles 3pence.</t>
        </is>
      </c>
      <c r="J18" s="72">
        <f>F18</f>
        <v/>
      </c>
      <c r="K18" s="72">
        <f>J18</f>
        <v/>
      </c>
    </row>
    <row r="19">
      <c r="A19" t="inlineStr">
        <is>
          <t>Carts</t>
        </is>
      </c>
      <c r="B19" t="n">
        <v>0</v>
      </c>
      <c r="C19" t="n">
        <v>0</v>
      </c>
      <c r="D19" t="n">
        <v>4.5</v>
      </c>
      <c r="F19" s="72" t="n">
        <v>0.02</v>
      </c>
      <c r="H19" t="inlineStr">
        <is>
          <t>1 pair of cart-shafts made from their own timber 4.5pence.</t>
        </is>
      </c>
      <c r="J19" s="72">
        <f>F19</f>
        <v/>
      </c>
      <c r="K19" s="72">
        <f>J19</f>
        <v/>
      </c>
    </row>
    <row r="20">
      <c r="A20" t="inlineStr">
        <is>
          <t>Carts</t>
        </is>
      </c>
      <c r="B20" t="n">
        <v>0</v>
      </c>
      <c r="C20" t="n">
        <v>0</v>
      </c>
      <c r="D20" t="n">
        <v>6</v>
      </c>
      <c r="F20" s="72">
        <f>B20+C20/20+D20/240</f>
        <v/>
      </c>
      <c r="H20" t="inlineStr">
        <is>
          <t xml:space="preserve">1 pair of saddle-pads bought 6pence </t>
        </is>
      </c>
      <c r="J20" s="72">
        <f>F20</f>
        <v/>
      </c>
      <c r="K20" s="72">
        <f>J20</f>
        <v/>
      </c>
    </row>
    <row r="21">
      <c r="A21" t="inlineStr">
        <is>
          <t>Carts</t>
        </is>
      </c>
      <c r="B21" t="n">
        <v>0</v>
      </c>
      <c r="C21" t="n">
        <v>4</v>
      </c>
      <c r="D21" t="n">
        <v>7</v>
      </c>
      <c r="F21" s="72">
        <f>B21+C21/20+D21/240</f>
        <v/>
      </c>
      <c r="H21" t="inlineStr">
        <is>
          <t>Total, 4 shilling 7pence</t>
        </is>
      </c>
    </row>
    <row r="22">
      <c r="A22" t="inlineStr">
        <is>
          <t>Carts</t>
        </is>
      </c>
      <c r="F22" s="72">
        <f>SUM(F15:F20)</f>
        <v/>
      </c>
      <c r="G22" s="145">
        <f>F22-F21</f>
        <v/>
      </c>
      <c r="H22" t="inlineStr">
        <is>
          <t>Total</t>
        </is>
      </c>
    </row>
    <row r="23"/>
    <row r="24">
      <c r="A24" t="inlineStr">
        <is>
          <t>Cost of buildings</t>
        </is>
      </c>
      <c r="B24" t="n">
        <v>0</v>
      </c>
      <c r="C24" t="n">
        <v>1</v>
      </c>
      <c r="D24" t="n">
        <v>4</v>
      </c>
      <c r="F24" s="72" t="n">
        <v>0.07000000000000001</v>
      </c>
      <c r="H24" t="inlineStr">
        <is>
          <t>In roofing the byre at various times 1 shilling 4pence.</t>
        </is>
      </c>
      <c r="J24" s="72">
        <f>F24</f>
        <v/>
      </c>
      <c r="K24" s="72">
        <f>J24</f>
        <v/>
      </c>
    </row>
    <row r="25">
      <c r="A25" t="inlineStr">
        <is>
          <t>Cost of buildings</t>
        </is>
      </c>
      <c r="B25" t="n">
        <v>0</v>
      </c>
      <c r="C25" t="n">
        <v>0</v>
      </c>
      <c r="D25" t="n">
        <v>7</v>
      </c>
      <c r="F25" s="72" t="n">
        <v>0.03</v>
      </c>
      <c r="H25" t="inlineStr">
        <is>
          <t>roofing the barn in places 7pence.</t>
        </is>
      </c>
      <c r="J25" s="72">
        <f>F25</f>
        <v/>
      </c>
      <c r="K25" s="72">
        <f>J25</f>
        <v/>
      </c>
    </row>
    <row r="26">
      <c r="A26" t="inlineStr">
        <is>
          <t>Cost of buildings</t>
        </is>
      </c>
      <c r="B26" t="n">
        <v>0</v>
      </c>
      <c r="C26" t="n">
        <v>0</v>
      </c>
      <c r="D26" t="n">
        <v>9.5</v>
      </c>
      <c r="F26" s="72" t="n">
        <v>0.04</v>
      </c>
      <c r="H26" t="inlineStr">
        <is>
          <t>mending the walls of the byre at various times 9.5pence.</t>
        </is>
      </c>
      <c r="J26" s="72">
        <f>F26</f>
        <v/>
      </c>
      <c r="K26" s="72">
        <f>J26</f>
        <v/>
      </c>
    </row>
    <row r="27">
      <c r="A27" t="inlineStr">
        <is>
          <t>Cost of buildings</t>
        </is>
      </c>
      <c r="B27" t="n">
        <v>0</v>
      </c>
      <c r="C27" t="n">
        <v>0</v>
      </c>
      <c r="D27" t="n">
        <v>2</v>
      </c>
      <c r="F27" s="72" t="n">
        <v>0.01</v>
      </c>
      <c r="H27" t="inlineStr">
        <is>
          <t>mending 1 barrow 2pence.</t>
        </is>
      </c>
      <c r="J27" s="72">
        <f>F27</f>
        <v/>
      </c>
      <c r="K27" s="72">
        <f>J27</f>
        <v/>
      </c>
    </row>
    <row r="28">
      <c r="A28" t="inlineStr">
        <is>
          <t>Cost of buildings</t>
        </is>
      </c>
      <c r="D28" t="n">
        <v>1</v>
      </c>
      <c r="F28" s="72">
        <f>B28+C28/20+D28/240</f>
        <v/>
      </c>
      <c r="H28" t="inlineStr">
        <is>
          <t xml:space="preserve">1 shovel bought 1pence </t>
        </is>
      </c>
      <c r="J28" s="72">
        <f>F28</f>
        <v/>
      </c>
      <c r="K28" s="72">
        <f>J28</f>
        <v/>
      </c>
    </row>
    <row r="29">
      <c r="A29" t="inlineStr">
        <is>
          <t>Cost of buildings</t>
        </is>
      </c>
      <c r="B29" t="n">
        <v>0</v>
      </c>
      <c r="C29" t="n">
        <v>2</v>
      </c>
      <c r="D29" t="n">
        <v>11.5</v>
      </c>
      <c r="F29" s="72">
        <f>B29+C29/20+D29/240</f>
        <v/>
      </c>
      <c r="H29" t="inlineStr">
        <is>
          <t>Total, 2 shilling 11.5pence</t>
        </is>
      </c>
    </row>
    <row r="30">
      <c r="A30" t="inlineStr">
        <is>
          <t>Cost of buildings</t>
        </is>
      </c>
      <c r="F30" s="72">
        <f>SUM(F24:F28)</f>
        <v/>
      </c>
      <c r="G30" s="145">
        <f>F30-F29</f>
        <v/>
      </c>
      <c r="H30" t="inlineStr">
        <is>
          <t>Total</t>
        </is>
      </c>
    </row>
    <row r="31"/>
    <row r="32">
      <c r="A32" t="inlineStr">
        <is>
          <t>Dairy</t>
        </is>
      </c>
      <c r="B32" t="n">
        <v>0</v>
      </c>
      <c r="C32" t="n">
        <v>0</v>
      </c>
      <c r="D32" t="n">
        <v>4</v>
      </c>
      <c r="F32" s="72" t="n">
        <v>0.02</v>
      </c>
      <c r="H32" t="inlineStr">
        <is>
          <t>In small cloths bought for the dairy 4pence.</t>
        </is>
      </c>
      <c r="J32" s="72">
        <f>F32</f>
        <v/>
      </c>
      <c r="K32" s="72">
        <f>J32</f>
        <v/>
      </c>
    </row>
    <row r="33">
      <c r="A33" t="inlineStr">
        <is>
          <t>Dairy</t>
        </is>
      </c>
      <c r="B33" t="n">
        <v>0</v>
      </c>
      <c r="C33" t="n">
        <v>1</v>
      </c>
      <c r="D33" t="n">
        <v>8</v>
      </c>
      <c r="F33" s="72" t="n">
        <v>0.08</v>
      </c>
      <c r="H33" t="inlineStr">
        <is>
          <t>5 bushels of salt bought 1 shilling 8pence.</t>
        </is>
      </c>
      <c r="J33" s="72">
        <f>F33</f>
        <v/>
      </c>
      <c r="K33" s="72">
        <f>J33</f>
        <v/>
      </c>
    </row>
    <row r="34">
      <c r="A34" t="inlineStr">
        <is>
          <t>Dairy</t>
        </is>
      </c>
      <c r="B34" t="n">
        <v>0</v>
      </c>
      <c r="C34" t="n">
        <v>0</v>
      </c>
      <c r="D34" t="n">
        <v>4</v>
      </c>
      <c r="F34" s="72" t="n">
        <v>0.02</v>
      </c>
      <c r="H34" t="inlineStr">
        <is>
          <t>earthenware pots and pans bought 4pence.</t>
        </is>
      </c>
      <c r="J34" s="72">
        <f>F34</f>
        <v/>
      </c>
      <c r="K34" s="72">
        <f>J34</f>
        <v/>
      </c>
    </row>
    <row r="35">
      <c r="A35" t="inlineStr">
        <is>
          <t>Dairy</t>
        </is>
      </c>
      <c r="B35" t="n">
        <v>0</v>
      </c>
      <c r="C35" t="n">
        <v>1</v>
      </c>
      <c r="D35" t="n">
        <v>4</v>
      </c>
      <c r="F35" s="72" t="n">
        <v>0.07000000000000001</v>
      </c>
      <c r="H35" t="inlineStr">
        <is>
          <t>a press bought 1 shilling 4pence.</t>
        </is>
      </c>
      <c r="J35" s="72">
        <f>F35</f>
        <v/>
      </c>
      <c r="K35" s="72">
        <f>J35</f>
        <v/>
      </c>
    </row>
    <row r="36">
      <c r="A36" t="inlineStr">
        <is>
          <t>Dairy</t>
        </is>
      </c>
      <c r="B36" t="n">
        <v>0</v>
      </c>
      <c r="C36" t="n">
        <v>0</v>
      </c>
      <c r="D36" t="n">
        <v>4</v>
      </c>
      <c r="F36" s="72" t="n">
        <v>0.02</v>
      </c>
      <c r="H36" t="inlineStr">
        <is>
          <t>2 buckets bought 4pence.</t>
        </is>
      </c>
      <c r="J36" s="72">
        <f>F36</f>
        <v/>
      </c>
      <c r="K36" s="72">
        <f>J36</f>
        <v/>
      </c>
    </row>
    <row r="37">
      <c r="A37" t="inlineStr">
        <is>
          <t>Dairy</t>
        </is>
      </c>
      <c r="B37" t="n">
        <v>0</v>
      </c>
      <c r="C37" t="n">
        <v>6</v>
      </c>
      <c r="D37" t="n">
        <v>0.5</v>
      </c>
      <c r="F37" s="72" t="n">
        <v>0.3</v>
      </c>
      <c r="H37" t="inlineStr">
        <is>
          <t>grease, copperas and verdigris bought 6 shilling 0.5pence.</t>
        </is>
      </c>
      <c r="J37" s="72">
        <f>F37</f>
        <v/>
      </c>
      <c r="K37" s="72">
        <f>J37</f>
        <v/>
      </c>
    </row>
    <row r="38">
      <c r="A38" t="inlineStr">
        <is>
          <t>Dairy</t>
        </is>
      </c>
      <c r="B38" t="n">
        <v>0</v>
      </c>
      <c r="C38" t="n">
        <v>4</v>
      </c>
      <c r="D38" t="n">
        <v>4</v>
      </c>
      <c r="F38" s="72" t="n">
        <v>0.22</v>
      </c>
      <c r="H38" t="inlineStr">
        <is>
          <t>forage bought to support the livestock and cows 4 shilling 4pence.</t>
        </is>
      </c>
      <c r="J38" s="72" t="n"/>
      <c r="K38" s="72" t="n"/>
    </row>
    <row r="39">
      <c r="A39" t="inlineStr">
        <is>
          <t>Dairy</t>
        </is>
      </c>
      <c r="B39" t="n">
        <v>1</v>
      </c>
      <c r="C39" t="n">
        <v>0</v>
      </c>
      <c r="D39" t="n">
        <v>2.5</v>
      </c>
      <c r="F39" s="72" t="n">
        <v>1.01</v>
      </c>
      <c r="H39" t="inlineStr">
        <is>
          <t>2 cows bought before calving £1 2.5pence, at 9 shilling 1.5pence for 1..</t>
        </is>
      </c>
      <c r="J39" s="72" t="n"/>
      <c r="K39" s="72" t="n"/>
    </row>
    <row r="40">
      <c r="A40" t="inlineStr">
        <is>
          <t>Dairy</t>
        </is>
      </c>
      <c r="B40" t="n">
        <v>0</v>
      </c>
      <c r="C40" t="n">
        <v>9</v>
      </c>
      <c r="D40" t="n">
        <v>0</v>
      </c>
      <c r="F40" s="72" t="n">
        <v>0.45</v>
      </c>
      <c r="H40" t="inlineStr">
        <is>
          <t>a cow bought after calving 9 shilling.</t>
        </is>
      </c>
      <c r="J40" s="72">
        <f>F40</f>
        <v/>
      </c>
      <c r="K40" s="72">
        <f>J40</f>
        <v/>
      </c>
    </row>
    <row r="41">
      <c r="A41" t="inlineStr">
        <is>
          <t>Dairy</t>
        </is>
      </c>
      <c r="B41" t="n">
        <v>0</v>
      </c>
      <c r="C41" t="n">
        <v>3</v>
      </c>
      <c r="D41" t="n">
        <v>0</v>
      </c>
      <c r="F41">
        <f>B41+C41/20+D41/240</f>
        <v/>
      </c>
      <c r="H41" t="inlineStr">
        <is>
          <t xml:space="preserve">stipend of 1 dairymaid for the year 3 shilling </t>
        </is>
      </c>
    </row>
    <row r="42">
      <c r="A42" t="inlineStr">
        <is>
          <t>Dairy</t>
        </is>
      </c>
      <c r="B42" t="n">
        <v>2</v>
      </c>
      <c r="C42" t="n">
        <v>6</v>
      </c>
      <c r="D42" t="n">
        <v>7</v>
      </c>
      <c r="F42" s="72" t="n">
        <v>2.33</v>
      </c>
      <c r="H42" t="inlineStr">
        <is>
          <t>Total, £2 6 shilling 7pence</t>
        </is>
      </c>
    </row>
    <row r="43">
      <c r="A43" t="inlineStr">
        <is>
          <t>Dairy</t>
        </is>
      </c>
      <c r="F43" s="72">
        <f>SUM(F32:F41)</f>
        <v/>
      </c>
      <c r="G43" s="145">
        <f>F43-F42</f>
        <v/>
      </c>
      <c r="H43" t="inlineStr">
        <is>
          <t>Total</t>
        </is>
      </c>
    </row>
    <row r="44"/>
    <row r="45">
      <c r="A45" t="inlineStr">
        <is>
          <t>Threshing and winnowing</t>
        </is>
      </c>
      <c r="B45" t="n">
        <v>0</v>
      </c>
      <c r="C45" t="n">
        <v>5</v>
      </c>
      <c r="D45" t="n">
        <v>5.5</v>
      </c>
      <c r="F45" s="72" t="n">
        <v>0.27</v>
      </c>
      <c r="H45" t="inlineStr">
        <is>
          <t>In threshing and winnowing 8.5 quarters 2 bushels of wheat by piece-work, with 20 quarters of mancorn and 10 quarters of oats, 5 shilling 5.5pence, at 2pence a qr of wheat and mancorn threshed and 1pence per 5 quarters winnowed, and 0.75pence a qr of oats threshed and 1pence per 8 quarters winnowepence Total, 5 shilling 5.5pence</t>
        </is>
      </c>
    </row>
    <row r="46">
      <c r="A46" t="inlineStr">
        <is>
          <t>Threshing and winnowing</t>
        </is>
      </c>
      <c r="F46" s="72" t="n">
        <v>0.27</v>
      </c>
      <c r="G46" s="145" t="n">
        <v>0</v>
      </c>
      <c r="H46" t="inlineStr">
        <is>
          <t>Total</t>
        </is>
      </c>
    </row>
    <row r="47"/>
    <row r="48">
      <c r="A48" t="inlineStr">
        <is>
          <t>Harvest-time</t>
        </is>
      </c>
      <c r="B48" t="n">
        <v>0</v>
      </c>
      <c r="C48" t="n">
        <v>6</v>
      </c>
      <c r="D48" t="n">
        <v>4.5</v>
      </c>
      <c r="F48" s="72" t="n">
        <v>0.32</v>
      </c>
      <c r="H48" t="inlineStr">
        <is>
          <t>In corn reaped and bound by piece-work 6 shilling 4.5pence.</t>
        </is>
      </c>
    </row>
    <row r="49">
      <c r="A49" t="inlineStr">
        <is>
          <t>Harvest-time</t>
        </is>
      </c>
      <c r="B49" t="n">
        <v>0</v>
      </c>
      <c r="C49" t="n">
        <v>3</v>
      </c>
      <c r="D49" t="n">
        <v>10.5</v>
      </c>
      <c r="F49" s="72" t="n">
        <v>0.19</v>
      </c>
      <c r="H49" t="inlineStr">
        <is>
          <t>expenses of 1 boon-work for reaping corn 3 shilling 10.5pence</t>
        </is>
      </c>
    </row>
    <row r="50">
      <c r="A50" t="inlineStr">
        <is>
          <t>Harvest-time</t>
        </is>
      </c>
      <c r="C50" t="n">
        <v>10</v>
      </c>
      <c r="D50" t="n">
        <v>3</v>
      </c>
      <c r="F50" s="72">
        <f>B50+C50/20+D50/240</f>
        <v/>
      </c>
      <c r="H50" t="inlineStr">
        <is>
          <t xml:space="preserve"> Total, 10 shilling 3pence</t>
        </is>
      </c>
    </row>
    <row r="51">
      <c r="A51" t="inlineStr">
        <is>
          <t>Harvest-time</t>
        </is>
      </c>
      <c r="F51" s="72" t="n">
        <v>0.51</v>
      </c>
      <c r="G51" s="145">
        <f>F51-F50</f>
        <v/>
      </c>
      <c r="H51" t="inlineStr">
        <is>
          <t>Total</t>
        </is>
      </c>
    </row>
    <row r="52"/>
    <row r="53">
      <c r="A53" t="inlineStr">
        <is>
          <t>Expenses for sowing and liveries</t>
        </is>
      </c>
      <c r="B53" t="n">
        <v>0</v>
      </c>
      <c r="C53" t="n">
        <v>4</v>
      </c>
      <c r="D53" t="n">
        <v>4</v>
      </c>
      <c r="F53" s="72" t="n">
        <v>0.22</v>
      </c>
      <c r="H53" t="inlineStr">
        <is>
          <t>In 1 qr of wheat bought 4 shilling 4pence.</t>
        </is>
      </c>
    </row>
    <row r="54">
      <c r="A54" t="inlineStr">
        <is>
          <t>Expenses for sowing and liveries</t>
        </is>
      </c>
      <c r="B54" t="n">
        <v>2</v>
      </c>
      <c r="C54" t="n">
        <v>13</v>
      </c>
      <c r="D54" t="n">
        <v>0</v>
      </c>
      <c r="F54" s="72" t="n">
        <v>2.65</v>
      </c>
      <c r="H54" t="inlineStr">
        <is>
          <t>19 quarters of mancorn bought for sowing £2 13 shilling, at 2 shilling 6pence a qr for 8 quarters, and 3 shilling a qr for 11 quarters.</t>
        </is>
      </c>
    </row>
    <row r="55">
      <c r="A55" t="inlineStr">
        <is>
          <t>Expenses for sowing and liveries</t>
        </is>
      </c>
      <c r="B55" t="n">
        <v>2</v>
      </c>
      <c r="C55" t="n">
        <v>17</v>
      </c>
      <c r="D55" t="n">
        <v>4</v>
      </c>
      <c r="F55" s="72" t="n">
        <v>2.87</v>
      </c>
      <c r="H55" t="inlineStr">
        <is>
          <t>Total, £2 17 shilling 4pence</t>
        </is>
      </c>
    </row>
    <row r="56">
      <c r="F56" s="72">
        <f>SUM(F53:F54)</f>
        <v/>
      </c>
      <c r="G56" s="145">
        <f>F56-F55</f>
        <v/>
      </c>
      <c r="H56" t="inlineStr">
        <is>
          <t>Total</t>
        </is>
      </c>
    </row>
    <row r="57"/>
    <row r="58">
      <c r="A58" t="inlineStr">
        <is>
          <t>Total of all expenses</t>
        </is>
      </c>
      <c r="B58" t="n">
        <v>7</v>
      </c>
      <c r="C58" t="n">
        <v>17</v>
      </c>
      <c r="D58" t="n">
        <v>1.5</v>
      </c>
      <c r="F58" s="72" t="n">
        <v>7.86</v>
      </c>
      <c r="H58" t="inlineStr">
        <is>
          <t>Total of all expenses, £7 17 shilling 1.5pence</t>
        </is>
      </c>
    </row>
    <row r="59">
      <c r="A59" t="inlineStr">
        <is>
          <t>Total of all expenses</t>
        </is>
      </c>
      <c r="F59" s="72" t="n">
        <v>7.86</v>
      </c>
      <c r="G59" s="145">
        <f>F59-F58</f>
        <v/>
      </c>
      <c r="H59" t="inlineStr">
        <is>
          <t>Total</t>
        </is>
      </c>
    </row>
    <row r="60"/>
    <row r="61">
      <c r="A61" t="inlineStr">
        <is>
          <t>Reeve</t>
        </is>
      </c>
      <c r="B61" t="n">
        <v>17</v>
      </c>
      <c r="C61" t="n">
        <v>1</v>
      </c>
      <c r="D61" t="n">
        <v>10</v>
      </c>
      <c r="F61" s="72" t="n">
        <v>17.09</v>
      </c>
      <c r="H61" t="inlineStr">
        <is>
          <t>In William de Wordly, reeve of Wargrave, £17 1 shilling 10pence</t>
        </is>
      </c>
    </row>
    <row r="62"/>
    <row r="63" ht="16" customHeight="1">
      <c r="A63" s="12" t="inlineStr">
        <is>
          <t>Total of all expenses per account</t>
        </is>
      </c>
      <c r="F63" s="72">
        <f>F59</f>
        <v/>
      </c>
    </row>
    <row r="64" ht="16" customHeight="1">
      <c r="A64" s="12" t="inlineStr">
        <is>
          <t>Total of all expenses (calculated here)</t>
        </is>
      </c>
      <c r="F64" s="72">
        <f>F55+F51+F46+F43+F30+F22+F13</f>
        <v/>
      </c>
      <c r="G64" s="145">
        <f>F64-F63</f>
        <v/>
      </c>
    </row>
    <row r="65" ht="16" customHeight="1">
      <c r="A65" s="12" t="inlineStr">
        <is>
          <t>Total fixed investment</t>
        </is>
      </c>
      <c r="F65" s="72">
        <f>SUM(J3:J41)</f>
        <v/>
      </c>
    </row>
    <row r="66" ht="16" customHeight="1">
      <c r="A66" s="12" t="inlineStr">
        <is>
          <t>Total Demesne fixed investment</t>
        </is>
      </c>
      <c r="F66" s="72">
        <f>SUM(K3:K41)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19.6640625" customWidth="1" min="2" max="2"/>
    <col width="23.1640625" customWidth="1" min="10" max="10"/>
    <col width="13" customWidth="1" min="13" max="13"/>
    <col width="8.1640625" customWidth="1" min="14" max="14"/>
    <col width="14.5" customWidth="1" min="15" max="15"/>
    <col width="23.1640625" customWidth="1" min="16" max="16"/>
  </cols>
  <sheetData>
    <row r="1" ht="32" customHeight="1">
      <c r="A1" s="37" t="inlineStr">
        <is>
          <t>Gross Output</t>
        </is>
      </c>
      <c r="B1" s="37" t="inlineStr">
        <is>
          <t>Total Quantity</t>
        </is>
      </c>
      <c r="C1" s="37" t="inlineStr">
        <is>
          <t>Account Total Quarters</t>
        </is>
      </c>
      <c r="D1" s="37" t="inlineStr">
        <is>
          <t>Bought in Total Quarters</t>
        </is>
      </c>
      <c r="E1" s="146" t="inlineStr">
        <is>
          <t>Received from churchscot</t>
        </is>
      </c>
      <c r="F1" s="37" t="inlineStr">
        <is>
          <t>Sold Total Quarters</t>
        </is>
      </c>
      <c r="G1" s="146" t="inlineStr">
        <is>
          <t>Difference Produced+Bought-Sold</t>
        </is>
      </c>
      <c r="H1" s="146" t="inlineStr">
        <is>
          <t>Weighted Average Price per Quarter</t>
        </is>
      </c>
      <c r="I1" s="147" t="inlineStr">
        <is>
          <t>Value of Total Production weighted</t>
        </is>
      </c>
    </row>
    <row r="2">
      <c r="A2" t="inlineStr">
        <is>
          <t>wheat</t>
        </is>
      </c>
      <c r="B2" t="n">
        <v>9.75</v>
      </c>
      <c r="C2" t="n">
        <v>8.75</v>
      </c>
      <c r="D2" t="n">
        <v>1</v>
      </c>
      <c r="F2" t="n">
        <v>6.375</v>
      </c>
      <c r="G2">
        <f>B2-F2</f>
        <v/>
      </c>
      <c r="H2" s="72" t="n">
        <v>0.2166666666666666</v>
      </c>
      <c r="I2" s="72">
        <f>H2*C2</f>
        <v/>
      </c>
    </row>
    <row r="3">
      <c r="A3" t="inlineStr">
        <is>
          <t>mancorn</t>
        </is>
      </c>
      <c r="B3" t="n">
        <v>58.875</v>
      </c>
      <c r="C3" t="n">
        <v>39.5</v>
      </c>
      <c r="D3" t="n">
        <v>19</v>
      </c>
      <c r="F3" t="n">
        <v>28.375</v>
      </c>
      <c r="G3">
        <f>B3-F3</f>
        <v/>
      </c>
      <c r="H3" s="72" t="n">
        <v>0.125</v>
      </c>
      <c r="I3" s="72">
        <f>H3*C3</f>
        <v/>
      </c>
    </row>
    <row r="4">
      <c r="A4" t="inlineStr">
        <is>
          <t>barley</t>
        </is>
      </c>
      <c r="B4" t="n">
        <v>19</v>
      </c>
      <c r="C4" t="n">
        <v>19</v>
      </c>
      <c r="D4" t="n">
        <v>0</v>
      </c>
      <c r="F4" t="n">
        <v>0.125</v>
      </c>
      <c r="G4">
        <f>B4-F4</f>
        <v/>
      </c>
      <c r="H4" s="72" t="n">
        <v>0.125</v>
      </c>
      <c r="I4" s="72">
        <f>H4*C4</f>
        <v/>
      </c>
    </row>
    <row r="5">
      <c r="A5" t="inlineStr">
        <is>
          <t>oats</t>
        </is>
      </c>
      <c r="B5" t="n">
        <v>20</v>
      </c>
      <c r="C5" t="n">
        <v>20</v>
      </c>
      <c r="D5" t="n">
        <v>0</v>
      </c>
      <c r="F5" t="n">
        <v>11.625</v>
      </c>
      <c r="G5">
        <f>B5-F5</f>
        <v/>
      </c>
      <c r="H5" s="72" t="n">
        <v>0.1666666666666667</v>
      </c>
      <c r="I5" s="72">
        <f>H5*C5</f>
        <v/>
      </c>
    </row>
    <row r="6"/>
    <row r="7"/>
    <row r="8"/>
    <row r="9">
      <c r="A9" s="148" t="inlineStr">
        <is>
          <t>Total Production</t>
        </is>
      </c>
    </row>
    <row r="10">
      <c r="A10" s="148" t="inlineStr">
        <is>
          <t>Sales of corn (as recorded in accounts)</t>
        </is>
      </c>
    </row>
    <row r="11"/>
    <row r="12"/>
    <row r="13" ht="32" customHeight="1">
      <c r="A13" s="38" t="inlineStr">
        <is>
          <t>Net output</t>
        </is>
      </c>
      <c r="B13" s="149" t="inlineStr">
        <is>
          <t>Gross output</t>
        </is>
      </c>
      <c r="C13" s="150" t="inlineStr">
        <is>
          <t>Seed quarters</t>
        </is>
      </c>
      <c r="D13" s="150" t="inlineStr">
        <is>
          <t>Seed bushels</t>
        </is>
      </c>
      <c r="E13" s="150" t="inlineStr">
        <is>
          <t>Seed total quarters</t>
        </is>
      </c>
      <c r="F13" s="38" t="inlineStr">
        <is>
          <t>tithe quarters</t>
        </is>
      </c>
      <c r="G13" s="150" t="inlineStr">
        <is>
          <t>tithe bushels</t>
        </is>
      </c>
      <c r="H13" s="150" t="inlineStr">
        <is>
          <t>tithe total</t>
        </is>
      </c>
      <c r="I13" s="150" t="inlineStr">
        <is>
          <t>manorial servants quarters</t>
        </is>
      </c>
      <c r="J13" s="150" t="inlineStr">
        <is>
          <t>manorial servants bushels</t>
        </is>
      </c>
      <c r="K13" s="151" t="inlineStr">
        <is>
          <t>manorial servants total quarters</t>
        </is>
      </c>
      <c r="L13" s="150" t="inlineStr">
        <is>
          <t>output net of tithe, seed, liveries</t>
        </is>
      </c>
      <c r="M13" s="150" t="inlineStr">
        <is>
          <t>in stock from last year</t>
        </is>
      </c>
      <c r="N13" s="152" t="inlineStr">
        <is>
          <t>Price in £</t>
        </is>
      </c>
      <c r="O13" s="152" t="inlineStr">
        <is>
          <t>Value of net output in £</t>
        </is>
      </c>
      <c r="P13" s="149" t="inlineStr">
        <is>
          <t>Value of sales (in "Sale of Corn") in £</t>
        </is>
      </c>
    </row>
    <row r="14">
      <c r="A14" t="inlineStr">
        <is>
          <t>wheat</t>
        </is>
      </c>
      <c r="B14">
        <f>B2</f>
        <v/>
      </c>
      <c r="C14" t="n">
        <v>3</v>
      </c>
      <c r="D14" t="n">
        <v>3</v>
      </c>
      <c r="E14">
        <f>C14+D14/8</f>
        <v/>
      </c>
      <c r="K14" s="153">
        <f>I14+J14/8</f>
        <v/>
      </c>
      <c r="L14">
        <f>B14-E14-H14-K14</f>
        <v/>
      </c>
      <c r="N14" s="72">
        <f>H2</f>
        <v/>
      </c>
      <c r="O14" s="72">
        <f>N14*L14</f>
        <v/>
      </c>
    </row>
    <row r="15">
      <c r="A15" t="inlineStr">
        <is>
          <t>mancorn</t>
        </is>
      </c>
      <c r="B15">
        <f>B3</f>
        <v/>
      </c>
      <c r="C15" t="n">
        <v>19</v>
      </c>
      <c r="E15">
        <f>C15+D15/8</f>
        <v/>
      </c>
      <c r="I15">
        <f>10</f>
        <v/>
      </c>
      <c r="J15">
        <f>3+5</f>
        <v/>
      </c>
      <c r="K15" s="153">
        <f>I15+J15/8</f>
        <v/>
      </c>
      <c r="L15">
        <f>B15-E15-H15-K15</f>
        <v/>
      </c>
      <c r="N15" s="72">
        <f>H3</f>
        <v/>
      </c>
      <c r="O15" s="72">
        <f>N15*L15</f>
        <v/>
      </c>
    </row>
    <row r="16">
      <c r="A16" t="inlineStr">
        <is>
          <t>barley</t>
        </is>
      </c>
      <c r="B16">
        <f>B4</f>
        <v/>
      </c>
      <c r="C16" t="n">
        <v>7</v>
      </c>
      <c r="D16" t="n">
        <v>3</v>
      </c>
      <c r="E16">
        <f>C16+D16/8</f>
        <v/>
      </c>
      <c r="K16" s="153">
        <f>I16+J16/8</f>
        <v/>
      </c>
      <c r="L16">
        <f>B16-E16-H16-K16</f>
        <v/>
      </c>
      <c r="N16" s="72">
        <f>H4</f>
        <v/>
      </c>
      <c r="O16" s="72">
        <f>N16*L16</f>
        <v/>
      </c>
    </row>
    <row r="17">
      <c r="A17" t="inlineStr">
        <is>
          <t>oats</t>
        </is>
      </c>
      <c r="B17">
        <f>B5</f>
        <v/>
      </c>
      <c r="C17" t="n">
        <v>15.5</v>
      </c>
      <c r="D17" t="n">
        <v>3</v>
      </c>
      <c r="E17">
        <f>C17+D17/8</f>
        <v/>
      </c>
      <c r="I17" t="n">
        <v>4</v>
      </c>
      <c r="J17" t="n">
        <v>1</v>
      </c>
      <c r="K17" s="153">
        <f>I17+J17/8</f>
        <v/>
      </c>
      <c r="L17">
        <f>B17-E17-H17-K17</f>
        <v/>
      </c>
      <c r="N17" s="72">
        <f>H5</f>
        <v/>
      </c>
      <c r="O17" s="72">
        <f>N17*L17</f>
        <v/>
      </c>
    </row>
    <row r="18"/>
    <row r="19">
      <c r="A19" s="42" t="inlineStr">
        <is>
          <t>Total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9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10.83203125" customWidth="1" min="6" max="6"/>
    <col width="16.6640625" customWidth="1" min="10" max="10"/>
    <col width="14.83203125" customWidth="1" min="11" max="11"/>
    <col width="12.83203125" customWidth="1" min="14" max="14"/>
    <col width="8.83203125" customWidth="1" min="15" max="15"/>
    <col width="15.6640625" customWidth="1" min="16" max="16"/>
    <col width="16.33203125" customWidth="1" min="17" max="17"/>
    <col width="18.83203125" customWidth="1" min="19" max="19"/>
    <col width="19" customWidth="1" min="20" max="20"/>
  </cols>
  <sheetData>
    <row r="1" ht="16" customHeight="1">
      <c r="A1" s="12" t="inlineStr">
        <is>
          <t>CULHAM STOCK ACCOUNT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73" t="n"/>
      <c r="P3" s="73" t="n"/>
      <c r="Q3" s="44" t="n"/>
      <c r="R3" s="44" t="n"/>
      <c r="S3" s="44" t="n"/>
      <c r="T3" s="44" t="n"/>
    </row>
    <row r="4" ht="34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66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154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 ht="16" customHeight="1">
      <c r="A5" s="44" t="inlineStr">
        <is>
          <t>Cart-horses</t>
        </is>
      </c>
    </row>
    <row r="6" ht="16" customHeight="1">
      <c r="A6" s="44" t="inlineStr">
        <is>
          <t>Mares</t>
        </is>
      </c>
    </row>
    <row r="7">
      <c r="A7" t="inlineStr">
        <is>
          <t>Plough horses</t>
        </is>
      </c>
      <c r="B7" t="n">
        <v>7</v>
      </c>
      <c r="K7" t="n">
        <v>7</v>
      </c>
    </row>
    <row r="8">
      <c r="A8" t="inlineStr">
        <is>
          <t>Colts (unspecified years)</t>
        </is>
      </c>
    </row>
    <row r="9">
      <c r="A9" t="inlineStr">
        <is>
          <t>Colts (2 years)</t>
        </is>
      </c>
    </row>
    <row r="10">
      <c r="A10" t="inlineStr">
        <is>
          <t>Colts (1 year)</t>
        </is>
      </c>
    </row>
    <row r="11">
      <c r="A11" t="inlineStr">
        <is>
          <t>Foals</t>
        </is>
      </c>
    </row>
    <row r="12">
      <c r="A12" t="inlineStr">
        <is>
          <t>Oxen</t>
        </is>
      </c>
      <c r="B12" t="n">
        <v>3</v>
      </c>
      <c r="C12" t="n">
        <v>2</v>
      </c>
      <c r="H12" t="n">
        <v>3</v>
      </c>
      <c r="K12" t="n">
        <v>2</v>
      </c>
      <c r="O12" s="72">
        <f>R12/H12</f>
        <v/>
      </c>
      <c r="R12" s="72">
        <f>Receipts!F32</f>
        <v/>
      </c>
    </row>
    <row r="13">
      <c r="A13" t="inlineStr">
        <is>
          <t>Bulls</t>
        </is>
      </c>
      <c r="B13" t="n">
        <v>1</v>
      </c>
      <c r="K13" t="n">
        <v>1</v>
      </c>
    </row>
    <row r="14">
      <c r="A14" t="inlineStr">
        <is>
          <t>Cows</t>
        </is>
      </c>
      <c r="B14" t="n">
        <v>23</v>
      </c>
      <c r="C14">
        <f>2+3</f>
        <v/>
      </c>
      <c r="H14" t="n">
        <v>2</v>
      </c>
      <c r="I14">
        <f>1</f>
        <v/>
      </c>
      <c r="K14" t="n">
        <v>25</v>
      </c>
      <c r="O14" s="72">
        <f>R14/H14</f>
        <v/>
      </c>
      <c r="R14" s="72">
        <f>Receipts!F33</f>
        <v/>
      </c>
    </row>
    <row r="15">
      <c r="A15" t="inlineStr">
        <is>
          <t>Steers</t>
        </is>
      </c>
      <c r="B15" t="n">
        <v>4</v>
      </c>
      <c r="J15" t="n">
        <v>4</v>
      </c>
      <c r="K15" t="n">
        <v>0</v>
      </c>
    </row>
    <row r="16">
      <c r="A16" t="inlineStr">
        <is>
          <t>Bullocks</t>
        </is>
      </c>
      <c r="B16" t="n">
        <v>9</v>
      </c>
      <c r="I16" t="n">
        <v>3</v>
      </c>
      <c r="K16" t="n">
        <v>6</v>
      </c>
    </row>
    <row r="17">
      <c r="A17" t="inlineStr">
        <is>
          <t>Yearlings</t>
        </is>
      </c>
      <c r="B17" t="n">
        <v>6</v>
      </c>
      <c r="I17" t="n">
        <v>3</v>
      </c>
      <c r="K17" t="n">
        <v>3</v>
      </c>
    </row>
    <row r="18">
      <c r="A18" t="inlineStr">
        <is>
          <t>Calves</t>
        </is>
      </c>
      <c r="B18" t="n">
        <v>22</v>
      </c>
      <c r="H18" t="n">
        <v>14</v>
      </c>
      <c r="I18" t="n">
        <v>1</v>
      </c>
      <c r="J18">
        <f>2</f>
        <v/>
      </c>
      <c r="K18" t="n">
        <v>5</v>
      </c>
      <c r="O18" s="72">
        <f>R18/H18</f>
        <v/>
      </c>
      <c r="R18" s="72">
        <f>Receipts!F34</f>
        <v/>
      </c>
    </row>
    <row r="19">
      <c r="A19" t="inlineStr">
        <is>
          <t>Wethers</t>
        </is>
      </c>
      <c r="B19" t="n">
        <v>112</v>
      </c>
      <c r="H19" t="n">
        <v>20</v>
      </c>
      <c r="I19">
        <f>5+6+1</f>
        <v/>
      </c>
      <c r="K19" t="n">
        <v>80</v>
      </c>
      <c r="O19" s="72">
        <f>R19/H19</f>
        <v/>
      </c>
      <c r="R19" s="72">
        <f>Receipts!F35</f>
        <v/>
      </c>
    </row>
    <row r="20">
      <c r="A20" t="inlineStr">
        <is>
          <t>Rams</t>
        </is>
      </c>
    </row>
    <row r="21">
      <c r="A21" t="inlineStr">
        <is>
          <t>Ewes</t>
        </is>
      </c>
    </row>
    <row r="22">
      <c r="A22" t="inlineStr">
        <is>
          <t>Hoggs</t>
        </is>
      </c>
    </row>
    <row r="23">
      <c r="A23" t="inlineStr">
        <is>
          <t>Lambs</t>
        </is>
      </c>
    </row>
    <row r="24">
      <c r="A24" t="inlineStr">
        <is>
          <t>Boars</t>
        </is>
      </c>
    </row>
    <row r="25">
      <c r="A25" t="inlineStr">
        <is>
          <t>Sows</t>
        </is>
      </c>
    </row>
    <row r="26">
      <c r="A26" t="inlineStr">
        <is>
          <t>Pigs</t>
        </is>
      </c>
    </row>
    <row r="27">
      <c r="A27" t="inlineStr">
        <is>
          <t>Hoggets</t>
        </is>
      </c>
    </row>
    <row r="28">
      <c r="A28" t="inlineStr">
        <is>
          <t>Piglets</t>
        </is>
      </c>
    </row>
    <row r="29">
      <c r="A29" t="inlineStr">
        <is>
          <t>Swans</t>
        </is>
      </c>
    </row>
    <row r="30">
      <c r="A30" t="inlineStr">
        <is>
          <t>Peacocks</t>
        </is>
      </c>
    </row>
    <row r="31" ht="16" customHeight="1">
      <c r="A31" s="67" t="inlineStr">
        <is>
          <t>Total Value</t>
        </is>
      </c>
      <c r="O31" s="155" t="n"/>
      <c r="R31" s="39">
        <f>SUM(R5:R29)</f>
        <v/>
      </c>
    </row>
    <row r="32"/>
    <row r="33"/>
    <row r="34" ht="17" customHeight="1">
      <c r="A34" s="66" t="inlineStr">
        <is>
          <t>Wool</t>
        </is>
      </c>
    </row>
    <row r="35">
      <c r="A35" t="inlineStr">
        <is>
          <t>fleeces</t>
        </is>
      </c>
      <c r="C35" t="n">
        <v>87</v>
      </c>
      <c r="J35">
        <f>8+79</f>
        <v/>
      </c>
      <c r="K35" t="n">
        <v>0</v>
      </c>
      <c r="O35" s="72" t="n">
        <v>0.02</v>
      </c>
      <c r="T35">
        <f>O35*J35</f>
        <v/>
      </c>
    </row>
    <row r="36">
      <c r="A36" t="inlineStr">
        <is>
          <t>Coarse wool</t>
        </is>
      </c>
    </row>
    <row r="37">
      <c r="A37" t="inlineStr">
        <is>
          <t>Lamb's wool</t>
        </is>
      </c>
    </row>
    <row r="38">
      <c r="A38" t="inlineStr">
        <is>
          <t>Wool locks</t>
        </is>
      </c>
    </row>
    <row r="39">
      <c r="A39" t="inlineStr">
        <is>
          <t>Wool sold at shearing</t>
        </is>
      </c>
    </row>
    <row r="40" ht="16" customHeight="1">
      <c r="A40" s="67" t="inlineStr">
        <is>
          <t>Total wool</t>
        </is>
      </c>
      <c r="O40" s="155" t="n"/>
      <c r="T40" s="39">
        <f>SUM(T35:T39)</f>
        <v/>
      </c>
    </row>
    <row r="41"/>
    <row r="42"/>
    <row r="43" ht="17" customHeight="1">
      <c r="A43" s="66" t="inlineStr">
        <is>
          <t>Hides</t>
        </is>
      </c>
    </row>
    <row r="44">
      <c r="A44" t="inlineStr">
        <is>
          <t>Ox hides</t>
        </is>
      </c>
    </row>
    <row r="45">
      <c r="A45" t="inlineStr">
        <is>
          <t>Mare</t>
        </is>
      </c>
    </row>
    <row r="46">
      <c r="A46" t="inlineStr">
        <is>
          <t>Steer</t>
        </is>
      </c>
    </row>
    <row r="47">
      <c r="A47" t="inlineStr">
        <is>
          <t>calves</t>
        </is>
      </c>
    </row>
    <row r="48">
      <c r="A48" s="68" t="inlineStr">
        <is>
          <t>pigs</t>
        </is>
      </c>
    </row>
    <row r="49">
      <c r="A49" t="inlineStr">
        <is>
          <t>Woolskins (incl. 10 in tithe)</t>
        </is>
      </c>
    </row>
    <row r="50">
      <c r="A50" s="28" t="inlineStr">
        <is>
          <t>wethers</t>
        </is>
      </c>
    </row>
    <row r="51">
      <c r="A51" s="28" t="inlineStr">
        <is>
          <t>rams</t>
        </is>
      </c>
    </row>
    <row r="52">
      <c r="A52" s="28" t="inlineStr">
        <is>
          <t>ewes</t>
        </is>
      </c>
    </row>
    <row r="53">
      <c r="A53" s="28" t="inlineStr">
        <is>
          <t>hoggs</t>
        </is>
      </c>
    </row>
    <row r="54">
      <c r="A54" s="69" t="inlineStr">
        <is>
          <t>Woolskins (excl. 10 in tithe)</t>
        </is>
      </c>
    </row>
    <row r="55">
      <c r="A55" s="43" t="inlineStr">
        <is>
          <t>Bareskins</t>
        </is>
      </c>
    </row>
    <row r="56">
      <c r="A56" s="28" t="inlineStr">
        <is>
          <t>wethers</t>
        </is>
      </c>
    </row>
    <row r="57">
      <c r="A57" s="28" t="inlineStr">
        <is>
          <t>rams</t>
        </is>
      </c>
    </row>
    <row r="58">
      <c r="A58" s="28" t="inlineStr">
        <is>
          <t>ewes</t>
        </is>
      </c>
    </row>
    <row r="59">
      <c r="A59" s="28" t="inlineStr">
        <is>
          <t>hoggs</t>
        </is>
      </c>
    </row>
    <row r="60">
      <c r="A60" s="69" t="inlineStr">
        <is>
          <t>Bareskins (total)</t>
        </is>
      </c>
    </row>
    <row r="61">
      <c r="A61" t="inlineStr">
        <is>
          <t>Lambskins (excl. 8 in tithe)</t>
        </is>
      </c>
    </row>
    <row r="62">
      <c r="A62" t="inlineStr">
        <is>
          <t>Rotted skins</t>
        </is>
      </c>
    </row>
    <row r="63">
      <c r="A63" t="inlineStr">
        <is>
          <t>Shorn skins</t>
        </is>
      </c>
    </row>
    <row r="64">
      <c r="A64" s="39" t="inlineStr">
        <is>
          <t xml:space="preserve">Total </t>
        </is>
      </c>
      <c r="O64" s="155" t="n"/>
    </row>
    <row r="65"/>
    <row r="66"/>
    <row r="67" ht="17" customHeight="1">
      <c r="A67" s="66" t="inlineStr">
        <is>
          <t>Poultry stock</t>
        </is>
      </c>
    </row>
    <row r="68" ht="16" customHeight="1">
      <c r="A68" s="44" t="inlineStr">
        <is>
          <t>Hens</t>
        </is>
      </c>
    </row>
    <row r="69">
      <c r="A69" t="inlineStr">
        <is>
          <t>Geese</t>
        </is>
      </c>
    </row>
    <row r="70">
      <c r="A70" t="inlineStr">
        <is>
          <t>Capons (from chickens)</t>
        </is>
      </c>
    </row>
    <row r="71">
      <c r="A71" t="inlineStr">
        <is>
          <t>Cocks &amp; hens</t>
        </is>
      </c>
    </row>
    <row r="72">
      <c r="A72" s="70" t="inlineStr">
        <is>
          <t>Total poultry stock</t>
        </is>
      </c>
    </row>
    <row r="73">
      <c r="A73" s="71" t="inlineStr">
        <is>
          <t>Total poultry excluding churchscot</t>
        </is>
      </c>
    </row>
    <row r="74"/>
    <row r="75" ht="16" customHeight="1">
      <c r="A75" s="12" t="inlineStr">
        <is>
          <t>Poultry production</t>
        </is>
      </c>
    </row>
    <row r="76">
      <c r="A76" t="inlineStr">
        <is>
          <t>Eggs</t>
        </is>
      </c>
    </row>
    <row r="77">
      <c r="A77" t="inlineStr">
        <is>
          <t>Cocks &amp; hens from churchscot of customary tenants</t>
        </is>
      </c>
      <c r="F77" t="n">
        <v>20</v>
      </c>
      <c r="G77" t="n">
        <v>4</v>
      </c>
      <c r="H77" t="n">
        <v>16</v>
      </c>
      <c r="K77" t="n">
        <v>0</v>
      </c>
      <c r="O77" s="72">
        <f>R77/H77</f>
        <v/>
      </c>
      <c r="R77" s="72">
        <f>Receipts!F44</f>
        <v/>
      </c>
      <c r="T77">
        <f>O77*H77</f>
        <v/>
      </c>
    </row>
    <row r="78">
      <c r="A78" t="inlineStr">
        <is>
          <t>Sum of above</t>
        </is>
      </c>
    </row>
    <row r="79">
      <c r="A79" s="39" t="inlineStr">
        <is>
          <t>Total</t>
        </is>
      </c>
      <c r="O79" s="155" t="n"/>
      <c r="R79" s="39">
        <f>SUM(R76:R78)</f>
        <v/>
      </c>
      <c r="T79" s="39">
        <f>T77</f>
        <v/>
      </c>
    </row>
    <row r="80"/>
    <row r="81"/>
    <row r="82" ht="16" customHeight="1">
      <c r="A82" s="12" t="inlineStr">
        <is>
          <t>Meat</t>
        </is>
      </c>
    </row>
    <row r="83">
      <c r="A83" t="inlineStr">
        <is>
          <t>Beef</t>
        </is>
      </c>
    </row>
    <row r="84">
      <c r="A84" t="inlineStr">
        <is>
          <t>Mutton</t>
        </is>
      </c>
    </row>
    <row r="85">
      <c r="A85" t="inlineStr">
        <is>
          <t>Pork</t>
        </is>
      </c>
    </row>
    <row r="86" ht="16" customHeight="1">
      <c r="A86" s="57" t="inlineStr">
        <is>
          <t xml:space="preserve">Total </t>
        </is>
      </c>
    </row>
    <row r="87"/>
    <row r="88" ht="16" customHeight="1">
      <c r="A88" s="12" t="inlineStr">
        <is>
          <t>Cheese</t>
        </is>
      </c>
    </row>
    <row r="89">
      <c r="A89" t="inlineStr">
        <is>
          <t>Winter cheese</t>
        </is>
      </c>
      <c r="C89" t="n">
        <v>37</v>
      </c>
      <c r="H89" t="n">
        <v>34</v>
      </c>
      <c r="J89">
        <f>3</f>
        <v/>
      </c>
      <c r="K89" t="n">
        <v>0</v>
      </c>
      <c r="O89" s="72">
        <f>R89/H89</f>
        <v/>
      </c>
      <c r="R89" s="72">
        <f>Receipts!F41</f>
        <v/>
      </c>
      <c r="T89" s="72">
        <f>O89*C89</f>
        <v/>
      </c>
    </row>
    <row r="90">
      <c r="A90" t="inlineStr">
        <is>
          <t>Summer cheese</t>
        </is>
      </c>
      <c r="C90" t="n">
        <v>159</v>
      </c>
      <c r="H90" t="n">
        <v>143</v>
      </c>
      <c r="J90">
        <f>15+1</f>
        <v/>
      </c>
      <c r="K90" t="n">
        <v>0</v>
      </c>
      <c r="O90" s="72">
        <f>R90/H90</f>
        <v/>
      </c>
      <c r="R90" s="72">
        <f>Receipts!F42</f>
        <v/>
      </c>
      <c r="T90" s="72">
        <f>O90*C90</f>
        <v/>
      </c>
    </row>
    <row r="91" ht="16" customHeight="1">
      <c r="A91" s="67" t="inlineStr">
        <is>
          <t>Total</t>
        </is>
      </c>
      <c r="O91" s="155" t="n"/>
      <c r="R91" s="155">
        <f>SUM(R89:R90)</f>
        <v/>
      </c>
      <c r="T91" s="155">
        <f>SUM(T89:T90)</f>
        <v/>
      </c>
    </row>
    <row r="92"/>
    <row r="93" ht="16" customHeight="1">
      <c r="A93" s="12" t="inlineStr">
        <is>
          <t>Butter</t>
        </is>
      </c>
    </row>
    <row r="94">
      <c r="A94" t="inlineStr">
        <is>
          <t>Butter</t>
        </is>
      </c>
      <c r="C94" t="n">
        <v>20</v>
      </c>
      <c r="H94" t="n">
        <v>20</v>
      </c>
      <c r="K94" t="n">
        <v>0</v>
      </c>
      <c r="O94" s="72">
        <f>R94/H94</f>
        <v/>
      </c>
      <c r="R94" s="72">
        <f>Receipts!F43</f>
        <v/>
      </c>
      <c r="T94" s="72">
        <f>R94</f>
        <v/>
      </c>
      <c r="U94" t="inlineStr">
        <is>
          <t>measured in cloves</t>
        </is>
      </c>
    </row>
    <row r="95" ht="16" customHeight="1">
      <c r="A95" s="67" t="inlineStr">
        <is>
          <t>Total</t>
        </is>
      </c>
      <c r="O95" s="155" t="n"/>
      <c r="R95" s="155">
        <f>SUM(R94)</f>
        <v/>
      </c>
      <c r="T95" s="155">
        <f>R95</f>
        <v/>
      </c>
    </row>
    <row r="96" ht="16" customHeight="1">
      <c r="A96" s="13" t="n"/>
    </row>
    <row r="97" ht="16" customHeight="1">
      <c r="A97" s="57" t="inlineStr">
        <is>
          <t>Total Dairy Sales</t>
        </is>
      </c>
    </row>
    <row r="98"/>
    <row r="99"/>
    <row r="100" ht="16" customHeight="1">
      <c r="A100" s="12" t="inlineStr">
        <is>
          <t>Cider</t>
        </is>
      </c>
    </row>
    <row r="101"/>
    <row r="102"/>
    <row r="103" ht="16" customHeight="1">
      <c r="A103" s="13" t="inlineStr">
        <is>
          <t>Additional Information (not necessarily useful)</t>
        </is>
      </c>
    </row>
    <row r="104" ht="16" customHeight="1">
      <c r="A104" s="12" t="inlineStr">
        <is>
          <t>Utensils</t>
        </is>
      </c>
    </row>
    <row r="105">
      <c r="A105" t="inlineStr">
        <is>
          <t>ploughs</t>
        </is>
      </c>
    </row>
    <row r="106">
      <c r="A106" t="inlineStr">
        <is>
          <t>carts</t>
        </is>
      </c>
    </row>
    <row r="107">
      <c r="A107" t="inlineStr">
        <is>
          <t>cart-ropes</t>
        </is>
      </c>
    </row>
    <row r="108">
      <c r="A108" t="inlineStr">
        <is>
          <t>corn baskets</t>
        </is>
      </c>
    </row>
    <row r="109">
      <c r="A109" t="inlineStr">
        <is>
          <t>seed-sacks</t>
        </is>
      </c>
    </row>
    <row r="110">
      <c r="A110" t="inlineStr">
        <is>
          <t>seed basket</t>
        </is>
      </c>
    </row>
    <row r="111">
      <c r="A111" t="inlineStr">
        <is>
          <t>locks for the doors</t>
        </is>
      </c>
    </row>
    <row r="112">
      <c r="A112" t="inlineStr">
        <is>
          <t>lead vessel</t>
        </is>
      </c>
    </row>
    <row r="113">
      <c r="A113" t="inlineStr">
        <is>
          <t>brass pots</t>
        </is>
      </c>
    </row>
    <row r="114">
      <c r="A114" t="inlineStr">
        <is>
          <t>pans</t>
        </is>
      </c>
    </row>
    <row r="115">
      <c r="A115" t="inlineStr">
        <is>
          <t>tripods</t>
        </is>
      </c>
    </row>
    <row r="116">
      <c r="A116" t="inlineStr">
        <is>
          <t>mortar</t>
        </is>
      </c>
    </row>
    <row r="117">
      <c r="A117" t="inlineStr">
        <is>
          <t>axe</t>
        </is>
      </c>
    </row>
    <row r="118">
      <c r="A118" t="inlineStr">
        <is>
          <t>casks</t>
        </is>
      </c>
    </row>
    <row r="119">
      <c r="A119" t="inlineStr">
        <is>
          <t>tubs</t>
        </is>
      </c>
    </row>
    <row r="120">
      <c r="A120" t="inlineStr">
        <is>
          <t>troughs</t>
        </is>
      </c>
    </row>
    <row r="121">
      <c r="A121" t="inlineStr">
        <is>
          <t>bucket</t>
        </is>
      </c>
    </row>
    <row r="122">
      <c r="A122" t="inlineStr">
        <is>
          <t>cheese basket</t>
        </is>
      </c>
    </row>
    <row r="123">
      <c r="A123" t="inlineStr">
        <is>
          <t>tables</t>
        </is>
      </c>
    </row>
    <row r="124">
      <c r="A124" t="inlineStr">
        <is>
          <t>table with trestles</t>
        </is>
      </c>
    </row>
    <row r="125">
      <c r="A125" t="inlineStr">
        <is>
          <t>benches</t>
        </is>
      </c>
    </row>
    <row r="126">
      <c r="A126" t="inlineStr">
        <is>
          <t>ewer with a basin</t>
        </is>
      </c>
    </row>
    <row r="127">
      <c r="A127" t="inlineStr">
        <is>
          <t>ladders</t>
        </is>
      </c>
    </row>
    <row r="128">
      <c r="A128" t="inlineStr">
        <is>
          <t>cloth</t>
        </is>
      </c>
    </row>
    <row r="129">
      <c r="A129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99"/>
  <sheetViews>
    <sheetView topLeftCell="A1" workbookViewId="0">
      <selection activeCell="A1" sqref="A1"/>
    </sheetView>
  </sheetViews>
  <sheetFormatPr baseColWidth="8" defaultRowHeight="15"/>
  <cols>
    <col width="31.33203125" customWidth="1" min="1" max="1"/>
  </cols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Quarters 4</t>
        </is>
      </c>
      <c r="T1" s="1" t="inlineStr">
        <is>
          <t>Bushels 4</t>
        </is>
      </c>
      <c r="U1" s="1" t="inlineStr">
        <is>
          <t>Quarters 5</t>
        </is>
      </c>
      <c r="V1" s="1" t="inlineStr">
        <is>
          <t>Bushels 5</t>
        </is>
      </c>
      <c r="W1" s="1" t="inlineStr">
        <is>
          <t>shilling a quarter 1</t>
        </is>
      </c>
      <c r="X1" s="1" t="inlineStr">
        <is>
          <t>pence a quarter 1</t>
        </is>
      </c>
      <c r="Y1" s="1" t="inlineStr">
        <is>
          <t>shilling a quarter 2</t>
        </is>
      </c>
      <c r="Z1" s="1" t="inlineStr">
        <is>
          <t>pence a quarter 2</t>
        </is>
      </c>
      <c r="AA1" s="1" t="inlineStr">
        <is>
          <t>shilling a quarter 3</t>
        </is>
      </c>
      <c r="AB1" s="1" t="inlineStr">
        <is>
          <t>pence a quarter 3</t>
        </is>
      </c>
      <c r="AC1" s="1" t="inlineStr">
        <is>
          <t>shilling a quarter 4</t>
        </is>
      </c>
      <c r="AD1" s="1" t="inlineStr">
        <is>
          <t>pence a quarter 4</t>
        </is>
      </c>
      <c r="AE1" s="1" t="inlineStr">
        <is>
          <t>shilling a bushel 1</t>
        </is>
      </c>
      <c r="AF1" s="1" t="inlineStr">
        <is>
          <t>pence a bushel 1</t>
        </is>
      </c>
      <c r="AG1" s="1" t="inlineStr">
        <is>
          <t>shilling a bushel 2</t>
        </is>
      </c>
      <c r="AH1" s="1" t="inlineStr">
        <is>
          <t>pence a bushel 2</t>
        </is>
      </c>
      <c r="AI1" s="1" t="inlineStr">
        <is>
          <t>shilling a bushel 3</t>
        </is>
      </c>
      <c r="AJ1" s="1" t="inlineStr">
        <is>
          <t>pence a bushel 3</t>
        </is>
      </c>
      <c r="AK1" s="1" t="inlineStr">
        <is>
          <t>shilling a bushel 4</t>
        </is>
      </c>
      <c r="AL1" s="1" t="inlineStr">
        <is>
          <t>pence a bushel 4</t>
        </is>
      </c>
    </row>
    <row r="2">
      <c r="A2" t="inlineStr">
        <is>
          <t>Rents of assize</t>
        </is>
      </c>
      <c r="B2" t="inlineStr">
        <is>
          <t>James de North', bailiff, and William Kepe, reeve, render account for £2 1 shilling.5pence for all rents of assize at Easter (22 April).</t>
        </is>
      </c>
      <c r="C2" t="n">
        <v>2.05</v>
      </c>
      <c r="D2" t="n">
        <v>2</v>
      </c>
      <c r="E2" t="n">
        <v>1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Rents of assize</t>
        </is>
      </c>
      <c r="B3" t="inlineStr">
        <is>
          <t>£2 1 shilling .5pence at Michaelmas (29 September).</t>
        </is>
      </c>
      <c r="C3" t="n">
        <v>2.05</v>
      </c>
      <c r="D3" t="n">
        <v>2</v>
      </c>
      <c r="E3" t="n">
        <v>1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 of assize</t>
        </is>
      </c>
      <c r="B4" t="inlineStr">
        <is>
          <t>Total, £4 2 shilling 1pence</t>
        </is>
      </c>
      <c r="C4" t="n">
        <v>4.1</v>
      </c>
      <c r="D4" t="n">
        <v>4</v>
      </c>
      <c r="E4" t="n">
        <v>2</v>
      </c>
      <c r="F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Increment</t>
        </is>
      </c>
      <c r="B5" t="inlineStr">
        <is>
          <t>Nothing this year from increment of rent.</t>
        </is>
      </c>
      <c r="C5" t="n">
        <v>0</v>
      </c>
      <c r="D5" t="n">
        <v>0</v>
      </c>
      <c r="E5" t="n">
        <v>0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Quittances</t>
        </is>
      </c>
      <c r="B6" t="inlineStr">
        <is>
          <t>In quittance of 1 reeve for the year 1 shilling.</t>
        </is>
      </c>
      <c r="C6" t="n">
        <v>0.05</v>
      </c>
      <c r="D6" t="n">
        <v>0</v>
      </c>
      <c r="E6" t="n">
        <v>1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</t>
        </is>
      </c>
      <c r="B7" t="inlineStr">
        <is>
          <t>1 carter for the year 6pence.</t>
        </is>
      </c>
      <c r="C7" t="n">
        <v>0.03</v>
      </c>
      <c r="D7" t="n">
        <v>0</v>
      </c>
      <c r="E7" t="n">
        <v>0</v>
      </c>
      <c r="F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</t>
        </is>
      </c>
      <c r="B8" t="inlineStr">
        <is>
          <t>1 shepherd for the year 6pence.</t>
        </is>
      </c>
      <c r="C8" t="n">
        <v>0.03</v>
      </c>
      <c r="D8" t="n">
        <v>0</v>
      </c>
      <c r="E8" t="n">
        <v>0</v>
      </c>
      <c r="F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</t>
        </is>
      </c>
      <c r="B9" t="inlineStr">
        <is>
          <t>1 hayward for the year 6pence Total, 2 shilling 6pence</t>
        </is>
      </c>
      <c r="C9" t="n">
        <v>0.12</v>
      </c>
      <c r="D9" t="n">
        <v>0</v>
      </c>
      <c r="E9" t="n">
        <v>2</v>
      </c>
      <c r="F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Total of rents remaining</t>
        </is>
      </c>
      <c r="B10" t="inlineStr">
        <is>
          <t>Total of rents remaining, £3 19 shilling 7pence</t>
        </is>
      </c>
      <c r="C10" t="n">
        <v>3.98</v>
      </c>
      <c r="D10" t="n">
        <v>3</v>
      </c>
      <c r="E10" t="n">
        <v>19</v>
      </c>
      <c r="F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Annual gifts</t>
        </is>
      </c>
      <c r="B11" t="inlineStr">
        <is>
          <t>The same render account for 9 shilling 0.5pence from annual gifts at Easter.</t>
        </is>
      </c>
      <c r="C11" t="n">
        <v>0.45</v>
      </c>
      <c r="D11" t="n">
        <v>0</v>
      </c>
      <c r="E11" t="n">
        <v>9</v>
      </c>
      <c r="F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Annual gifts</t>
        </is>
      </c>
      <c r="B12" t="inlineStr">
        <is>
          <t>9 shilling 0.5pence at Michaelmas.</t>
        </is>
      </c>
      <c r="C12" t="n">
        <v>0.45</v>
      </c>
      <c r="D12" t="n">
        <v>0</v>
      </c>
      <c r="E12" t="n">
        <v>9</v>
      </c>
      <c r="F12" t="n">
        <v>0.5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Annual gifts</t>
        </is>
      </c>
      <c r="B13" t="inlineStr">
        <is>
          <t>Total, 18 shilling 1pence</t>
        </is>
      </c>
      <c r="C13" t="n">
        <v>0.9</v>
      </c>
      <c r="D13" t="n">
        <v>0</v>
      </c>
      <c r="E13" t="n">
        <v>18</v>
      </c>
      <c r="F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Annual recognizance</t>
        </is>
      </c>
      <c r="B14" t="inlineStr">
        <is>
          <t>The same render account for 6pence from the annual recognizance of William Piscator' of Culham so that he may remain outside the manor and pay suit to the tithing.</t>
        </is>
      </c>
      <c r="C14" t="n">
        <v>0.03</v>
      </c>
      <c r="D14" t="n">
        <v>0</v>
      </c>
      <c r="E14" t="n">
        <v>0</v>
      </c>
      <c r="F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Annual recognizance</t>
        </is>
      </c>
      <c r="B15" t="inlineStr">
        <is>
          <t>Total, 6pence</t>
        </is>
      </c>
      <c r="C15" t="n">
        <v>0.03</v>
      </c>
      <c r="D15" t="n">
        <v>0</v>
      </c>
      <c r="E15" t="n">
        <v>0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Issues of the manor</t>
        </is>
      </c>
      <c r="B16" t="inlineStr">
        <is>
          <t>The same render account for 3 shilling 0.5pence from common pannage of pigs, that is, from 27 pigs, 19 piglets, at 1pence a pig over a year old, and .5pence a piglet.</t>
        </is>
      </c>
      <c r="C16" t="n">
        <v>0.15</v>
      </c>
      <c r="D16" t="n">
        <v>0</v>
      </c>
      <c r="E16" t="n">
        <v>3</v>
      </c>
      <c r="F16" t="n">
        <v>0.5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Issues of the manor</t>
        </is>
      </c>
      <c r="B17" t="inlineStr">
        <is>
          <t>9 shilling 6pence from pannage of Kylhamfryth', from 42 pigs and 30 piglets agisted in the wood of Kylhamfryth', at 2pence a pig, 1pence a piglet.</t>
        </is>
      </c>
      <c r="C17" t="n">
        <v>0.48</v>
      </c>
      <c r="D17" t="n">
        <v>0</v>
      </c>
      <c r="E17" t="n">
        <v>9</v>
      </c>
      <c r="F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Issues of the manor</t>
        </is>
      </c>
      <c r="B18" t="inlineStr">
        <is>
          <t>£1 8pence from 3 oxen sold, at 7 shilling each for 2, and 6 shilling 8pence for 1.</t>
        </is>
      </c>
      <c r="C18" t="n">
        <v>1.03</v>
      </c>
      <c r="D18" t="n">
        <v>1</v>
      </c>
      <c r="E18" t="n">
        <v>0</v>
      </c>
      <c r="F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Issues of the manor</t>
        </is>
      </c>
      <c r="B19" t="inlineStr">
        <is>
          <t>16 shilling from 2 cows sold together.</t>
        </is>
      </c>
      <c r="C19" t="n">
        <v>0.8</v>
      </c>
      <c r="D19" t="n">
        <v>0</v>
      </c>
      <c r="E19" t="n">
        <v>16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Issues of the manor</t>
        </is>
      </c>
      <c r="B20" t="inlineStr">
        <is>
          <t>16 shilling 8pence from 14 calves sold together.</t>
        </is>
      </c>
      <c r="C20" t="n">
        <v>0.83</v>
      </c>
      <c r="D20" t="n">
        <v>0</v>
      </c>
      <c r="E20" t="n">
        <v>16</v>
      </c>
      <c r="F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Issues of the manor</t>
        </is>
      </c>
      <c r="B21" t="inlineStr">
        <is>
          <t>£1 6pence from 20 old kebb wethers sold at Martinmas.</t>
        </is>
      </c>
      <c r="C21" t="n">
        <v>1.02</v>
      </c>
      <c r="D21" t="n">
        <v>1</v>
      </c>
      <c r="E21" t="n">
        <v>0</v>
      </c>
      <c r="F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1 shilling 7pence from the hide sold of 1 cow in murrain.</t>
        </is>
      </c>
      <c r="C22" t="n">
        <v>0.08</v>
      </c>
      <c r="D22" t="n">
        <v>0</v>
      </c>
      <c r="E22" t="n">
        <v>1</v>
      </c>
      <c r="F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2 shilling 3pence from the hides sold of 3 bullocks and 3 yearlings in murrain.</t>
        </is>
      </c>
      <c r="C23" t="n">
        <v>0.11</v>
      </c>
      <c r="D23" t="n">
        <v>0</v>
      </c>
      <c r="E23" t="n">
        <v>2</v>
      </c>
      <c r="F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1pence from the hide sold of 1 calf in murrain.</t>
        </is>
      </c>
      <c r="C24" t="n">
        <v>0</v>
      </c>
      <c r="D24" t="n">
        <v>0</v>
      </c>
      <c r="E24" t="n">
        <v>0</v>
      </c>
      <c r="F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1 shilling 5.5pence from the skins of 5 wethers in murrain before shearing.</t>
        </is>
      </c>
      <c r="C25" t="n">
        <v>0.07000000000000001</v>
      </c>
      <c r="D25" t="n">
        <v>0</v>
      </c>
      <c r="E25" t="n">
        <v>1</v>
      </c>
      <c r="F25" t="n">
        <v>5.5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9pence from the skins sold of 6 wethers in murrain after shearing.</t>
        </is>
      </c>
      <c r="C26" t="n">
        <v>0.04</v>
      </c>
      <c r="D26" t="n">
        <v>0</v>
      </c>
      <c r="E26" t="n">
        <v>0</v>
      </c>
      <c r="F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3 shilling 11pence from 12 cloves of winter cheese sold.</t>
        </is>
      </c>
      <c r="C27" t="n">
        <v>0.2</v>
      </c>
      <c r="D27" t="n">
        <v>0</v>
      </c>
      <c r="E27" t="n">
        <v>3</v>
      </c>
      <c r="F27" t="n">
        <v>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£3 3 shilling from 7 weys of summer cheese sold, at 9 shilling a wey.</t>
        </is>
      </c>
      <c r="C28" t="n">
        <v>3.15</v>
      </c>
      <c r="D28" t="n">
        <v>3</v>
      </c>
      <c r="E28" t="n">
        <v>3</v>
      </c>
      <c r="F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10 shilling from 20 cloves of butter sold.</t>
        </is>
      </c>
      <c r="C29" t="n">
        <v>0.5</v>
      </c>
      <c r="D29" t="n">
        <v>0</v>
      </c>
      <c r="E29" t="n">
        <v>10</v>
      </c>
      <c r="F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1 shilling 4pence from 16 hens from churchscot sold.</t>
        </is>
      </c>
      <c r="C30" t="n">
        <v>0.07000000000000001</v>
      </c>
      <c r="D30" t="n">
        <v>0</v>
      </c>
      <c r="E30" t="n">
        <v>1</v>
      </c>
      <c r="F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7 shilling 6pence for release from labour service.</t>
        </is>
      </c>
      <c r="C31" t="n">
        <v>0.38</v>
      </c>
      <c r="D31" t="n">
        <v>0</v>
      </c>
      <c r="E31" t="n">
        <v>7</v>
      </c>
      <c r="F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2 shilling 8pence from the pasturage upon la Hethe sold 2 shilling from the heriot of Walter ate Mull'.</t>
        </is>
      </c>
      <c r="C32" t="n">
        <v>0.13</v>
      </c>
      <c r="D32" t="n">
        <v>0</v>
      </c>
      <c r="E32" t="n">
        <v>2</v>
      </c>
      <c r="F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the manor</t>
        </is>
      </c>
      <c r="B33" t="inlineStr">
        <is>
          <t>6pence from the heriot of Nicholas Nel because' he did not have one animal.</t>
        </is>
      </c>
      <c r="C33" t="n">
        <v>0.03</v>
      </c>
      <c r="D33" t="n">
        <v>0</v>
      </c>
      <c r="E33" t="n">
        <v>0</v>
      </c>
      <c r="F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the manor</t>
        </is>
      </c>
      <c r="B34" t="inlineStr">
        <is>
          <t>1 shilling 4pence from the pasturage of Westgarston sold.</t>
        </is>
      </c>
      <c r="C34" t="n">
        <v>0.07000000000000001</v>
      </c>
      <c r="D34" t="n">
        <v>0</v>
      </c>
      <c r="E34" t="n">
        <v>1</v>
      </c>
      <c r="F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the manor</t>
        </is>
      </c>
      <c r="B35" t="inlineStr">
        <is>
          <t>£1 12 shilling 3pence from the dairy produce of cows sold at the audit.</t>
        </is>
      </c>
      <c r="C35" t="n">
        <v>1.61</v>
      </c>
      <c r="D35" t="n">
        <v>1</v>
      </c>
      <c r="E35" t="n">
        <v>12</v>
      </c>
      <c r="F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the manor</t>
        </is>
      </c>
      <c r="B36" t="inlineStr">
        <is>
          <t>Total, £10 17 shilling</t>
        </is>
      </c>
      <c r="C36" t="n">
        <v>10.85</v>
      </c>
      <c r="D36" t="n">
        <v>10</v>
      </c>
      <c r="E36" t="n">
        <v>17</v>
      </c>
      <c r="F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Sale of corn</t>
        </is>
      </c>
      <c r="B37" t="inlineStr">
        <is>
          <t>The same render account for £1 7 shilling 7.5pence from 6 quarters 3 bushels of wheat sold, at 4 shilling 4pence a quarters.</t>
        </is>
      </c>
      <c r="C37" t="n">
        <v>1.38</v>
      </c>
      <c r="D37" t="n">
        <v>1</v>
      </c>
      <c r="E37" t="n">
        <v>7</v>
      </c>
      <c r="F37" t="n">
        <v>7.5</v>
      </c>
      <c r="G37" t="inlineStr">
        <is>
          <t>wheat</t>
        </is>
      </c>
      <c r="H37" t="n">
        <v>6</v>
      </c>
      <c r="I37" t="n">
        <v>3</v>
      </c>
      <c r="J37" t="n">
        <v>6.375</v>
      </c>
      <c r="K37" t="n">
        <v>6.375</v>
      </c>
      <c r="L37" t="n">
        <v>0</v>
      </c>
      <c r="M37" t="n">
        <v>6</v>
      </c>
      <c r="N37" t="n">
        <v>3</v>
      </c>
      <c r="W37" t="n">
        <v>4</v>
      </c>
      <c r="X37" t="n">
        <v>4</v>
      </c>
    </row>
    <row r="38">
      <c r="A38" t="inlineStr">
        <is>
          <t>Sale of corn</t>
        </is>
      </c>
      <c r="B38" t="inlineStr">
        <is>
          <t>£3 10 shilling 11.25pence from 28 quarters 3 bushels of mancorn sold, at 2 shilling 6pence a quarters.</t>
        </is>
      </c>
      <c r="C38" t="n">
        <v>3.55</v>
      </c>
      <c r="D38" t="n">
        <v>3</v>
      </c>
      <c r="E38" t="n">
        <v>10</v>
      </c>
      <c r="F38" t="n">
        <v>11.25</v>
      </c>
      <c r="G38" t="inlineStr">
        <is>
          <t>mancorn</t>
        </is>
      </c>
      <c r="H38" t="n">
        <v>28</v>
      </c>
      <c r="I38" t="n">
        <v>3</v>
      </c>
      <c r="J38" t="n">
        <v>28.375</v>
      </c>
      <c r="K38" t="n">
        <v>28.375</v>
      </c>
      <c r="L38" t="n">
        <v>0</v>
      </c>
      <c r="M38" t="n">
        <v>28</v>
      </c>
      <c r="N38" t="n">
        <v>3</v>
      </c>
      <c r="W38" t="n">
        <v>2</v>
      </c>
      <c r="X38" t="n">
        <v>6</v>
      </c>
    </row>
    <row r="39">
      <c r="A39" t="inlineStr">
        <is>
          <t>Sale of corn</t>
        </is>
      </c>
      <c r="B39" t="inlineStr">
        <is>
          <t>3.75pence from 1 bushels sold at the audit.</t>
        </is>
      </c>
      <c r="C39" t="n">
        <v>0.02</v>
      </c>
      <c r="D39" t="n">
        <v>0</v>
      </c>
      <c r="E39" t="n">
        <v>0</v>
      </c>
      <c r="F39" t="n">
        <v>3.75</v>
      </c>
      <c r="H39" t="n">
        <v>0</v>
      </c>
      <c r="I39" t="n">
        <v>1</v>
      </c>
      <c r="J39" t="n">
        <v>0.125</v>
      </c>
      <c r="K39" t="n">
        <v>0.125</v>
      </c>
      <c r="L39" t="n">
        <v>0</v>
      </c>
      <c r="M39" t="n">
        <v>0</v>
      </c>
      <c r="N39" t="n">
        <v>1</v>
      </c>
    </row>
    <row r="40">
      <c r="A40" t="inlineStr">
        <is>
          <t>Sale of corn</t>
        </is>
      </c>
      <c r="B40" t="inlineStr">
        <is>
          <t>£1 18 shilling 9pence from 11.5 quarters 1 bushels of barley sold, at 3 shilling 4pence a quarters.</t>
        </is>
      </c>
      <c r="C40" t="n">
        <v>1.94</v>
      </c>
      <c r="D40" t="n">
        <v>1</v>
      </c>
      <c r="E40" t="n">
        <v>18</v>
      </c>
      <c r="F40" t="n">
        <v>9</v>
      </c>
      <c r="G40" t="inlineStr">
        <is>
          <t>barley</t>
        </is>
      </c>
      <c r="H40" t="n">
        <v>11.5</v>
      </c>
      <c r="I40" t="n">
        <v>1</v>
      </c>
      <c r="J40" t="n">
        <v>11.625</v>
      </c>
      <c r="K40" t="n">
        <v>11.625</v>
      </c>
      <c r="L40" t="n">
        <v>0</v>
      </c>
      <c r="M40" t="n">
        <v>11.5</v>
      </c>
      <c r="N40" t="n">
        <v>1</v>
      </c>
      <c r="W40" t="n">
        <v>3</v>
      </c>
      <c r="X40" t="n">
        <v>4</v>
      </c>
    </row>
    <row r="41">
      <c r="A41" t="inlineStr">
        <is>
          <t>Sale of corn</t>
        </is>
      </c>
      <c r="B41" t="inlineStr">
        <is>
          <t>Total, £6 17 shilling 7.5pence</t>
        </is>
      </c>
      <c r="C41" t="n">
        <v>6.88</v>
      </c>
      <c r="D41" t="n">
        <v>6</v>
      </c>
      <c r="E41" t="n">
        <v>17</v>
      </c>
      <c r="F41" t="n">
        <v>7.5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Entry and marriage fines</t>
        </is>
      </c>
      <c r="B42" t="inlineStr">
        <is>
          <t>The same render account for 3 shilling 0.5pence for tithingpenny at the hundred-court of Martinmas.</t>
        </is>
      </c>
      <c r="C42" t="n">
        <v>0.15</v>
      </c>
      <c r="D42" t="n">
        <v>0</v>
      </c>
      <c r="E42" t="n">
        <v>3</v>
      </c>
      <c r="F42" t="n">
        <v>0.5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Entry and marriage fines</t>
        </is>
      </c>
      <c r="B43" t="inlineStr">
        <is>
          <t>3 shilling 0.5pence at the hundred-court of Hockday.</t>
        </is>
      </c>
      <c r="C43" t="n">
        <v>0.15</v>
      </c>
      <c r="D43" t="n">
        <v>0</v>
      </c>
      <c r="E43" t="n">
        <v>3</v>
      </c>
      <c r="F43" t="n">
        <v>0.5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Entry and marriage fines</t>
        </is>
      </c>
      <c r="B44" t="inlineStr">
        <is>
          <t>13 shilling 4pence from William, son of Walter Molendinarius, to have 4.5 acres of land which belonged to Walter his father.</t>
        </is>
      </c>
      <c r="C44" t="n">
        <v>0.67</v>
      </c>
      <c r="D44" t="n">
        <v>0</v>
      </c>
      <c r="E44" t="n">
        <v>13</v>
      </c>
      <c r="F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Entry and marriage fines</t>
        </is>
      </c>
      <c r="B45" t="inlineStr">
        <is>
          <t>2 shilling from Alice, who was wife of Nicholas Nel, to have 1 messuage .5 virgate of land which belonged to Nicholas her husband.</t>
        </is>
      </c>
      <c r="C45" t="n">
        <v>0.1</v>
      </c>
      <c r="D45" t="n">
        <v>0</v>
      </c>
      <c r="E45" t="n">
        <v>2</v>
      </c>
      <c r="F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Entry and marriage fines</t>
        </is>
      </c>
      <c r="B46" t="inlineStr">
        <is>
          <t>3 shilling from John, son of John Boul', to have 1 acre of purpresture by surrender of the said John his father.</t>
        </is>
      </c>
      <c r="C46" t="n">
        <v>0.15</v>
      </c>
      <c r="D46" t="n">
        <v>0</v>
      </c>
      <c r="E46" t="n">
        <v>3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Entry and marriage fines</t>
        </is>
      </c>
      <c r="B47" t="inlineStr">
        <is>
          <t>2 shilling from William le Walays for marrying Matilda his daughter outside the demesne.</t>
        </is>
      </c>
      <c r="C47" t="n">
        <v>0.1</v>
      </c>
      <c r="D47" t="n">
        <v>0</v>
      </c>
      <c r="E47" t="n">
        <v>2</v>
      </c>
      <c r="F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Entry and marriage fines</t>
        </is>
      </c>
      <c r="B48" t="inlineStr">
        <is>
          <t>Total, £1 6 shilling 5pence</t>
        </is>
      </c>
      <c r="C48" t="n">
        <v>1.32</v>
      </c>
      <c r="D48" t="n">
        <v>1</v>
      </c>
      <c r="E48" t="n">
        <v>6</v>
      </c>
      <c r="F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Perquisites</t>
        </is>
      </c>
      <c r="B49" t="inlineStr">
        <is>
          <t>The same render account for 1 shilling from Alice Croyll', Walter Ryd', John Gay, Agnes ate Strod' for breaking the assize of ale.</t>
        </is>
      </c>
      <c r="C49" t="n">
        <v>0.05</v>
      </c>
      <c r="D49" t="n">
        <v>0</v>
      </c>
      <c r="E49" t="n">
        <v>1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Perquisites</t>
        </is>
      </c>
      <c r="B50" t="inlineStr">
        <is>
          <t>3pence from Thomas Buthory for trespass.</t>
        </is>
      </c>
      <c r="C50" t="n">
        <v>0.01</v>
      </c>
      <c r="D50" t="n">
        <v>0</v>
      </c>
      <c r="E50" t="n">
        <v>0</v>
      </c>
      <c r="F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Perquisites</t>
        </is>
      </c>
      <c r="B51" t="inlineStr">
        <is>
          <t>3pence from Thomas ate Wod' for trespass.</t>
        </is>
      </c>
      <c r="C51" t="n">
        <v>0.01</v>
      </c>
      <c r="D51" t="n">
        <v>0</v>
      </c>
      <c r="E51" t="n">
        <v>0</v>
      </c>
      <c r="F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Perquisites</t>
        </is>
      </c>
      <c r="B52" t="inlineStr">
        <is>
          <t>3pence from Justina Juveni for the same.</t>
        </is>
      </c>
      <c r="C52" t="n">
        <v>0.01</v>
      </c>
      <c r="D52" t="n">
        <v>0</v>
      </c>
      <c r="E52" t="n">
        <v>0</v>
      </c>
      <c r="F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Perquisites</t>
        </is>
      </c>
      <c r="B53" t="inlineStr">
        <is>
          <t>3pence from John Crys for the same.</t>
        </is>
      </c>
      <c r="C53" t="n">
        <v>0.01</v>
      </c>
      <c r="D53" t="n">
        <v>0</v>
      </c>
      <c r="E53" t="n">
        <v>0</v>
      </c>
      <c r="F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Perquisites</t>
        </is>
      </c>
      <c r="B54" t="inlineStr">
        <is>
          <t>6pence from William Wallnon for trespass.</t>
        </is>
      </c>
      <c r="C54" t="n">
        <v>0.03</v>
      </c>
      <c r="D54" t="n">
        <v>0</v>
      </c>
      <c r="E54" t="n">
        <v>0</v>
      </c>
      <c r="F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Perquisites</t>
        </is>
      </c>
      <c r="B55" t="inlineStr">
        <is>
          <t>3pence from the same for trespass.</t>
        </is>
      </c>
      <c r="C55" t="n">
        <v>0.01</v>
      </c>
      <c r="D55" t="n">
        <v>0</v>
      </c>
      <c r="E55" t="n">
        <v>0</v>
      </c>
      <c r="F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Perquisites</t>
        </is>
      </c>
      <c r="B56" t="inlineStr">
        <is>
          <t>1 shilling from William Kepe for trespass.</t>
        </is>
      </c>
      <c r="C56" t="n">
        <v>0.05</v>
      </c>
      <c r="D56" t="n">
        <v>0</v>
      </c>
      <c r="E56" t="n">
        <v>1</v>
      </c>
      <c r="F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Perquisites</t>
        </is>
      </c>
      <c r="B57" t="inlineStr">
        <is>
          <t>1 shilling from John Baldewyn' for trespass.</t>
        </is>
      </c>
      <c r="C57" t="n">
        <v>0.05</v>
      </c>
      <c r="D57" t="n">
        <v>0</v>
      </c>
      <c r="E57" t="n">
        <v>1</v>
      </c>
      <c r="F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Perquisites</t>
        </is>
      </c>
      <c r="B58" t="inlineStr">
        <is>
          <t>3pence from John Crys for trespass.</t>
        </is>
      </c>
      <c r="C58" t="n">
        <v>0.01</v>
      </c>
      <c r="D58" t="n">
        <v>0</v>
      </c>
      <c r="E58" t="n">
        <v>0</v>
      </c>
      <c r="F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Perquisites</t>
        </is>
      </c>
      <c r="B59" t="inlineStr">
        <is>
          <t>9pence from John Baldeweyn', Cecilia Boul', Christina Profinal for assize.</t>
        </is>
      </c>
      <c r="C59" t="n">
        <v>0.04</v>
      </c>
      <c r="D59" t="n">
        <v>0</v>
      </c>
      <c r="E59" t="n">
        <v>0</v>
      </c>
      <c r="F59" t="n">
        <v>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Perquisites</t>
        </is>
      </c>
      <c r="B60" t="inlineStr">
        <is>
          <t>6pence from William Wallyno for trespass.</t>
        </is>
      </c>
      <c r="C60" t="n">
        <v>0.03</v>
      </c>
      <c r="D60" t="n">
        <v>0</v>
      </c>
      <c r="E60" t="n">
        <v>0</v>
      </c>
      <c r="F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Perquisites</t>
        </is>
      </c>
      <c r="B61" t="inlineStr">
        <is>
          <t>3pence from the same because he married his daughter without licence.</t>
        </is>
      </c>
      <c r="C61" t="n">
        <v>0.01</v>
      </c>
      <c r="D61" t="n">
        <v>0</v>
      </c>
      <c r="E61" t="n">
        <v>0</v>
      </c>
      <c r="F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Perquisites</t>
        </is>
      </c>
      <c r="B62" t="inlineStr">
        <is>
          <t>1 shilling from Agnes ate Strod', Christina Profinal, John Baldewyn' for assize.</t>
        </is>
      </c>
      <c r="C62" t="n">
        <v>0.05</v>
      </c>
      <c r="D62" t="n">
        <v>0</v>
      </c>
      <c r="E62" t="n">
        <v>1</v>
      </c>
      <c r="F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Perquisites</t>
        </is>
      </c>
      <c r="B63" t="inlineStr">
        <is>
          <t>3pence from Agnes atte Strod' for assize.</t>
        </is>
      </c>
      <c r="C63" t="n">
        <v>0.01</v>
      </c>
      <c r="D63" t="n">
        <v>0</v>
      </c>
      <c r="E63" t="n">
        <v>0</v>
      </c>
      <c r="F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Perquisites</t>
        </is>
      </c>
      <c r="B64" t="inlineStr">
        <is>
          <t>6 shilling 8pence from John Parsona of Remenham for trespass made in the lord's wood of Culhamfryth'.</t>
        </is>
      </c>
      <c r="C64" t="n">
        <v>0.33</v>
      </c>
      <c r="D64" t="n">
        <v>0</v>
      </c>
      <c r="E64" t="n">
        <v>6</v>
      </c>
      <c r="F64" t="n">
        <v>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Perquisites</t>
        </is>
      </c>
      <c r="B65" t="inlineStr">
        <is>
          <t>1 shilling from the same for unjustly taking the chattels of Amice Heryng'.</t>
        </is>
      </c>
      <c r="C65" t="n">
        <v>0.05</v>
      </c>
      <c r="D65" t="n">
        <v>0</v>
      </c>
      <c r="E65" t="n">
        <v>1</v>
      </c>
      <c r="F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Perquisites</t>
        </is>
      </c>
      <c r="B66" t="inlineStr">
        <is>
          <t>1 shilling from William Ke for trespass.</t>
        </is>
      </c>
      <c r="C66" t="n">
        <v>0.05</v>
      </c>
      <c r="D66" t="n">
        <v>0</v>
      </c>
      <c r="E66" t="n">
        <v>1</v>
      </c>
      <c r="F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Perquisites</t>
        </is>
      </c>
      <c r="B67" t="inlineStr">
        <is>
          <t>6pence from Walter ate Fryth' for the same.</t>
        </is>
      </c>
      <c r="C67" t="n">
        <v>0.03</v>
      </c>
      <c r="D67" t="n">
        <v>0</v>
      </c>
      <c r="E67" t="n">
        <v>0</v>
      </c>
      <c r="F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Perquisites</t>
        </is>
      </c>
      <c r="B68" t="inlineStr">
        <is>
          <t>1 shilling from Adam Cocus for the same.</t>
        </is>
      </c>
      <c r="C68" t="n">
        <v>0.05</v>
      </c>
      <c r="D68" t="n">
        <v>0</v>
      </c>
      <c r="E68" t="n">
        <v>1</v>
      </c>
      <c r="F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Perquisites</t>
        </is>
      </c>
      <c r="B69" t="inlineStr">
        <is>
          <t>6pence from Geoffrey Coleby.</t>
        </is>
      </c>
      <c r="C69" t="n">
        <v>0.03</v>
      </c>
      <c r="D69" t="n">
        <v>0</v>
      </c>
      <c r="E69" t="n">
        <v>0</v>
      </c>
      <c r="F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Perquisites</t>
        </is>
      </c>
      <c r="B70" t="inlineStr">
        <is>
          <t>3pence from John Baldewyn' for the same.</t>
        </is>
      </c>
      <c r="C70" t="n">
        <v>0.01</v>
      </c>
      <c r="D70" t="n">
        <v>0</v>
      </c>
      <c r="E70" t="n">
        <v>0</v>
      </c>
      <c r="F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Perquisites</t>
        </is>
      </c>
      <c r="B71" t="inlineStr">
        <is>
          <t>6pence from G. de Cruce that he may be removed from his office.</t>
        </is>
      </c>
      <c r="C71" t="n">
        <v>0.03</v>
      </c>
      <c r="D71" t="n">
        <v>0</v>
      </c>
      <c r="E71" t="n">
        <v>0</v>
      </c>
      <c r="F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Perquisites</t>
        </is>
      </c>
      <c r="B72" t="inlineStr">
        <is>
          <t>3pence from John Crys for trespass.</t>
        </is>
      </c>
      <c r="C72" t="n">
        <v>0.01</v>
      </c>
      <c r="D72" t="n">
        <v>0</v>
      </c>
      <c r="E72" t="n">
        <v>0</v>
      </c>
      <c r="F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Perquisites</t>
        </is>
      </c>
      <c r="B73" t="inlineStr">
        <is>
          <t>2pence from Richard Gosemayn for trespass.</t>
        </is>
      </c>
      <c r="C73" t="n">
        <v>0.01</v>
      </c>
      <c r="D73" t="n">
        <v>0</v>
      </c>
      <c r="E73" t="n">
        <v>0</v>
      </c>
      <c r="F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Perquisites</t>
        </is>
      </c>
      <c r="B74" t="inlineStr">
        <is>
          <t>2pence from G. de Cruce for trespass.</t>
        </is>
      </c>
      <c r="C74" t="n">
        <v>0.01</v>
      </c>
      <c r="D74" t="n">
        <v>0</v>
      </c>
      <c r="E74" t="n">
        <v>0</v>
      </c>
      <c r="F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Perquisites</t>
        </is>
      </c>
      <c r="B75" t="inlineStr">
        <is>
          <t>Total, 19 shilling 9pence</t>
        </is>
      </c>
      <c r="C75" t="n">
        <v>0.99</v>
      </c>
      <c r="D75" t="n">
        <v>0</v>
      </c>
      <c r="E75" t="n">
        <v>19</v>
      </c>
      <c r="F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Total of both</t>
        </is>
      </c>
      <c r="B76" t="inlineStr">
        <is>
          <t>Total of both, £2 6 shilling 2pence</t>
        </is>
      </c>
      <c r="C76" t="n">
        <v>2.31</v>
      </c>
      <c r="D76" t="n">
        <v>2</v>
      </c>
      <c r="E76" t="n">
        <v>6</v>
      </c>
      <c r="F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Entry to purprestures</t>
        </is>
      </c>
      <c r="B77" t="inlineStr">
        <is>
          <t>Nothing this year from entry to purprestures.</t>
        </is>
      </c>
      <c r="C77" t="n">
        <v>0</v>
      </c>
      <c r="D77" t="n">
        <v>0</v>
      </c>
      <c r="E77" t="n">
        <v>0</v>
      </c>
      <c r="F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Total of all receipts</t>
        </is>
      </c>
      <c r="B78" t="inlineStr">
        <is>
          <t>Total of all receipts, £24 18 shilling 11.5pence</t>
        </is>
      </c>
      <c r="C78" t="n">
        <v>24.95</v>
      </c>
      <c r="D78" t="n">
        <v>24</v>
      </c>
      <c r="E78" t="n">
        <v>18</v>
      </c>
      <c r="F78" t="n">
        <v>11.5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Expenses for ploughs</t>
        </is>
      </c>
      <c r="B79" t="inlineStr">
        <is>
          <t>In steel for ploughs 7 shilling 5pence.</t>
        </is>
      </c>
      <c r="C79" t="n">
        <v>0.37</v>
      </c>
      <c r="D79" t="n">
        <v>0</v>
      </c>
      <c r="E79" t="n">
        <v>7</v>
      </c>
      <c r="F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Expenses for ploughs</t>
        </is>
      </c>
      <c r="B80" t="inlineStr">
        <is>
          <t>stipend of the smith repairing ironwork 3 shilling.</t>
        </is>
      </c>
      <c r="C80" t="n">
        <v>0.15</v>
      </c>
      <c r="D80" t="n">
        <v>0</v>
      </c>
      <c r="E80" t="n">
        <v>3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Expenses for ploughs</t>
        </is>
      </c>
      <c r="B81" t="inlineStr">
        <is>
          <t>shoeing 7 horses for the year 9 shilling 8pence.</t>
        </is>
      </c>
      <c r="C81" t="n">
        <v>0.48</v>
      </c>
      <c r="D81" t="n">
        <v>0</v>
      </c>
      <c r="E81" t="n">
        <v>9</v>
      </c>
      <c r="F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Expenses for ploughs</t>
        </is>
      </c>
      <c r="B82" t="inlineStr">
        <is>
          <t>2 ploughshares bought 1 shilling 5pence.</t>
        </is>
      </c>
      <c r="C82" t="n">
        <v>0.07000000000000001</v>
      </c>
      <c r="D82" t="n">
        <v>0</v>
      </c>
      <c r="E82" t="n">
        <v>1</v>
      </c>
      <c r="F82" t="n">
        <v>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Expenses for ploughs</t>
        </is>
      </c>
      <c r="B83" t="inlineStr">
        <is>
          <t>4 plough-irons bought 1 shilling.</t>
        </is>
      </c>
      <c r="C83" t="n">
        <v>0.05</v>
      </c>
      <c r="D83" t="n">
        <v>0</v>
      </c>
      <c r="E83" t="n">
        <v>1</v>
      </c>
      <c r="F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Expenses for ploughs</t>
        </is>
      </c>
      <c r="B84" t="inlineStr">
        <is>
          <t>2 pairs of wheels bought 6pence.</t>
        </is>
      </c>
      <c r="C84" t="n">
        <v>0.03</v>
      </c>
      <c r="D84" t="n">
        <v>0</v>
      </c>
      <c r="E84" t="n">
        <v>0</v>
      </c>
      <c r="F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Expenses for ploughs</t>
        </is>
      </c>
      <c r="B85" t="inlineStr">
        <is>
          <t>7 halters and 1 rope made from hair 2.5pence.</t>
        </is>
      </c>
      <c r="C85" t="n">
        <v>0.01</v>
      </c>
      <c r="D85" t="n">
        <v>0</v>
      </c>
      <c r="E85" t="n">
        <v>0</v>
      </c>
      <c r="F85" t="n">
        <v>2.5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Expenses for ploughs</t>
        </is>
      </c>
      <c r="B86" t="inlineStr">
        <is>
          <t>stipend of 1 drover for the year 4 shilling 6pence.</t>
        </is>
      </c>
      <c r="C86" t="n">
        <v>0.23</v>
      </c>
      <c r="D86" t="n">
        <v>0</v>
      </c>
      <c r="E86" t="n">
        <v>4</v>
      </c>
      <c r="F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Expenses for ploughs</t>
        </is>
      </c>
      <c r="B87" t="inlineStr">
        <is>
          <t>1 sack bought 9pence Total, £1 8 shilling 5.5pence</t>
        </is>
      </c>
      <c r="C87" t="n">
        <v>1.42</v>
      </c>
      <c r="D87" t="n">
        <v>1</v>
      </c>
      <c r="E87" t="n">
        <v>8</v>
      </c>
      <c r="F87" t="n">
        <v>5.5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Expenses for sowing and liveries</t>
        </is>
      </c>
      <c r="B88" t="inlineStr">
        <is>
          <t>In 1 quarters of wheat bought 4 shilling 4pence.</t>
        </is>
      </c>
      <c r="C88" t="n">
        <v>0.22</v>
      </c>
      <c r="D88" t="n">
        <v>0</v>
      </c>
      <c r="E88" t="n">
        <v>4</v>
      </c>
      <c r="F88" t="n">
        <v>4</v>
      </c>
      <c r="G88" t="inlineStr">
        <is>
          <t>wheat</t>
        </is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</row>
    <row r="89">
      <c r="A89" t="inlineStr">
        <is>
          <t>Expenses for sowing and liveries</t>
        </is>
      </c>
      <c r="B89" t="inlineStr">
        <is>
          <t>19 quarters of mancorn bought for sowing £2 13 shilling, at 2 shilling 6pence a quarters for 8 quarters, and 3 shilling a quarters for 11 quarters.</t>
        </is>
      </c>
      <c r="C89" t="n">
        <v>2.65</v>
      </c>
      <c r="D89" t="n">
        <v>2</v>
      </c>
      <c r="E89" t="n">
        <v>13</v>
      </c>
      <c r="F89" t="n">
        <v>0</v>
      </c>
      <c r="G89" t="inlineStr">
        <is>
          <t>mancorn</t>
        </is>
      </c>
      <c r="H89" t="n">
        <v>19</v>
      </c>
      <c r="I89" t="n">
        <v>0</v>
      </c>
      <c r="J89" t="n">
        <v>19</v>
      </c>
      <c r="K89" t="n">
        <v>19</v>
      </c>
      <c r="L89" t="n">
        <v>0</v>
      </c>
      <c r="M89" t="n">
        <v>19</v>
      </c>
      <c r="N89" t="n">
        <v>0</v>
      </c>
      <c r="O89" t="n">
        <v>8</v>
      </c>
      <c r="P89" t="n">
        <v>0</v>
      </c>
      <c r="Q89" t="n">
        <v>11</v>
      </c>
      <c r="R89" t="n">
        <v>0</v>
      </c>
      <c r="W89" t="n">
        <v>2</v>
      </c>
      <c r="X89" t="n">
        <v>6</v>
      </c>
      <c r="Y89" t="n">
        <v>3</v>
      </c>
      <c r="Z89" t="n">
        <v>0</v>
      </c>
    </row>
    <row r="90">
      <c r="A90" t="inlineStr">
        <is>
          <t>Expenses for sowing and liveries</t>
        </is>
      </c>
      <c r="B90" t="inlineStr">
        <is>
          <t>Total, £2 17 shilling 4pence</t>
        </is>
      </c>
      <c r="C90" t="n">
        <v>2.87</v>
      </c>
      <c r="D90" t="n">
        <v>2</v>
      </c>
      <c r="E90" t="n">
        <v>17</v>
      </c>
      <c r="F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Carts</t>
        </is>
      </c>
      <c r="B91" t="inlineStr">
        <is>
          <t>in 1 pair of wheels bought for the cart 2 shilling 2pence.</t>
        </is>
      </c>
      <c r="C91" t="n">
        <v>0.11</v>
      </c>
      <c r="D91" t="n">
        <v>0</v>
      </c>
      <c r="E91" t="n">
        <v>2</v>
      </c>
      <c r="F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Carts</t>
        </is>
      </c>
      <c r="B92" t="inlineStr">
        <is>
          <t>clouts with nails bought 10.5pence, and so much because it was at Farnham in order to collect timber and talwood at the water (quesivit taluerud' ad aq').</t>
        </is>
      </c>
      <c r="C92" t="n">
        <v>0.04</v>
      </c>
      <c r="D92" t="n">
        <v>0</v>
      </c>
      <c r="E92" t="n">
        <v>0</v>
      </c>
      <c r="F92" t="n">
        <v>10.5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Carts</t>
        </is>
      </c>
      <c r="B93" t="inlineStr">
        <is>
          <t>.</t>
        </is>
      </c>
      <c r="C93" t="n">
        <v>0</v>
      </c>
      <c r="D93" t="n">
        <v>0</v>
      </c>
      <c r="E93" t="n">
        <v>0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Carts</t>
        </is>
      </c>
      <c r="B94" t="inlineStr">
        <is>
          <t>grease for the cart 5pence.</t>
        </is>
      </c>
      <c r="C94" t="n">
        <v>0.02</v>
      </c>
      <c r="D94" t="n">
        <v>0</v>
      </c>
      <c r="E94" t="n">
        <v>0</v>
      </c>
      <c r="F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Carts</t>
        </is>
      </c>
      <c r="B95" t="inlineStr">
        <is>
          <t>fitting the cart with axles 3pence.</t>
        </is>
      </c>
      <c r="C95" t="n">
        <v>0.01</v>
      </c>
      <c r="D95" t="n">
        <v>0</v>
      </c>
      <c r="E95" t="n">
        <v>0</v>
      </c>
      <c r="F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Carts</t>
        </is>
      </c>
      <c r="B96" t="inlineStr">
        <is>
          <t>1 pair of cart-shafts made from their own timber 4.5pence.</t>
        </is>
      </c>
      <c r="C96" t="n">
        <v>0.02</v>
      </c>
      <c r="D96" t="n">
        <v>0</v>
      </c>
      <c r="E96" t="n">
        <v>0</v>
      </c>
      <c r="F96" t="n">
        <v>4.5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Carts</t>
        </is>
      </c>
      <c r="B97" t="inlineStr">
        <is>
          <t>1 pair of saddle-pads bought 6pence Total, 4 shilling 7pence</t>
        </is>
      </c>
      <c r="C97" t="n">
        <v>0.23</v>
      </c>
      <c r="D97" t="n">
        <v>0</v>
      </c>
      <c r="E97" t="n">
        <v>4</v>
      </c>
      <c r="F97" t="n">
        <v>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Cost of buildings</t>
        </is>
      </c>
      <c r="B98" t="inlineStr">
        <is>
          <t>In roofing the byre at various times 1 shilling 4pence.</t>
        </is>
      </c>
      <c r="C98" t="n">
        <v>0.07000000000000001</v>
      </c>
      <c r="D98" t="n">
        <v>0</v>
      </c>
      <c r="E98" t="n">
        <v>1</v>
      </c>
      <c r="F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buildings</t>
        </is>
      </c>
      <c r="B99" t="inlineStr">
        <is>
          <t>roofing the barn in places 7pence.</t>
        </is>
      </c>
      <c r="C99" t="n">
        <v>0.03</v>
      </c>
      <c r="D99" t="n">
        <v>0</v>
      </c>
      <c r="E99" t="n">
        <v>0</v>
      </c>
      <c r="F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buildings</t>
        </is>
      </c>
      <c r="B100" t="inlineStr">
        <is>
          <t>mending the walls of the byre at various times 9.5pence.</t>
        </is>
      </c>
      <c r="C100" t="n">
        <v>0.04</v>
      </c>
      <c r="D100" t="n">
        <v>0</v>
      </c>
      <c r="E100" t="n">
        <v>0</v>
      </c>
      <c r="F100" t="n">
        <v>9.5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Cost of buildings</t>
        </is>
      </c>
      <c r="B101" t="inlineStr">
        <is>
          <t>mending 1 barrow 2pence.</t>
        </is>
      </c>
      <c r="C101" t="n">
        <v>0.01</v>
      </c>
      <c r="D101" t="n">
        <v>0</v>
      </c>
      <c r="E101" t="n">
        <v>0</v>
      </c>
      <c r="F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Cost of buildings</t>
        </is>
      </c>
      <c r="B102" t="inlineStr">
        <is>
          <t>1 shovel bought 1pence Total, 2 shilling 11.5pence</t>
        </is>
      </c>
      <c r="C102" t="n">
        <v>0.1</v>
      </c>
      <c r="D102" t="n">
        <v>0</v>
      </c>
      <c r="E102" t="n">
        <v>2</v>
      </c>
      <c r="F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Dairy</t>
        </is>
      </c>
      <c r="B103" t="inlineStr">
        <is>
          <t>In small cloths bought for the dairy 4pence.</t>
        </is>
      </c>
      <c r="C103" t="n">
        <v>0.02</v>
      </c>
      <c r="D103" t="n">
        <v>0</v>
      </c>
      <c r="E103" t="n">
        <v>0</v>
      </c>
      <c r="F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Dairy</t>
        </is>
      </c>
      <c r="B104" t="inlineStr">
        <is>
          <t>5 bushels of salt bought 1 shilling 8pence.</t>
        </is>
      </c>
      <c r="C104" t="n">
        <v>0.08</v>
      </c>
      <c r="D104" t="n">
        <v>0</v>
      </c>
      <c r="E104" t="n">
        <v>1</v>
      </c>
      <c r="F104" t="n">
        <v>8</v>
      </c>
      <c r="H104" t="n">
        <v>0</v>
      </c>
      <c r="I104" t="n">
        <v>5</v>
      </c>
      <c r="J104" t="n">
        <v>0.625</v>
      </c>
      <c r="K104" t="n">
        <v>0.625</v>
      </c>
      <c r="L104" t="n">
        <v>0</v>
      </c>
      <c r="M104" t="n">
        <v>0</v>
      </c>
      <c r="N104" t="n">
        <v>5</v>
      </c>
    </row>
    <row r="105">
      <c r="A105" t="inlineStr">
        <is>
          <t>Dairy</t>
        </is>
      </c>
      <c r="B105" t="inlineStr">
        <is>
          <t>earthenware pots and pans bought 4pence.</t>
        </is>
      </c>
      <c r="C105" t="n">
        <v>0.02</v>
      </c>
      <c r="D105" t="n">
        <v>0</v>
      </c>
      <c r="E105" t="n">
        <v>0</v>
      </c>
      <c r="F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Dairy</t>
        </is>
      </c>
      <c r="B106" t="inlineStr">
        <is>
          <t>a press bought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Dairy</t>
        </is>
      </c>
      <c r="B107" t="inlineStr">
        <is>
          <t>2 buckets bought 4pence.</t>
        </is>
      </c>
      <c r="C107" t="n">
        <v>0.02</v>
      </c>
      <c r="D107" t="n">
        <v>0</v>
      </c>
      <c r="E107" t="n">
        <v>0</v>
      </c>
      <c r="F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Dairy</t>
        </is>
      </c>
      <c r="B108" t="inlineStr">
        <is>
          <t>grease, copperas and verdigris bought 6 shilling 0.5pence.</t>
        </is>
      </c>
      <c r="C108" t="n">
        <v>0.3</v>
      </c>
      <c r="D108" t="n">
        <v>0</v>
      </c>
      <c r="E108" t="n">
        <v>6</v>
      </c>
      <c r="F108" t="n">
        <v>0.5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Dairy</t>
        </is>
      </c>
      <c r="B109" t="inlineStr">
        <is>
          <t>forage bought to support the livestock and cows 4 shilling 4pence.</t>
        </is>
      </c>
      <c r="C109" t="n">
        <v>0.22</v>
      </c>
      <c r="D109" t="n">
        <v>0</v>
      </c>
      <c r="E109" t="n">
        <v>4</v>
      </c>
      <c r="F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Dairy</t>
        </is>
      </c>
      <c r="B110" t="inlineStr">
        <is>
          <t>2 cows bought before calving £1 2.5pence, at 9 shilling 1.5pence for 1..</t>
        </is>
      </c>
      <c r="C110" t="n">
        <v>1.01</v>
      </c>
      <c r="D110" t="n">
        <v>1</v>
      </c>
      <c r="E110" t="n">
        <v>0</v>
      </c>
      <c r="F110" t="n">
        <v>2.5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Dairy</t>
        </is>
      </c>
      <c r="B111" t="inlineStr">
        <is>
          <t>a cow bought after calving 9 shilling.</t>
        </is>
      </c>
      <c r="C111" t="n">
        <v>0.45</v>
      </c>
      <c r="D111" t="n">
        <v>0</v>
      </c>
      <c r="E111" t="n">
        <v>9</v>
      </c>
      <c r="F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Dairy</t>
        </is>
      </c>
      <c r="B112" t="inlineStr">
        <is>
          <t>stipend of 1 dairymaid for the year 3 shilling Total, £2 6 shilling 7pence</t>
        </is>
      </c>
      <c r="C112" t="n">
        <v>2.33</v>
      </c>
      <c r="D112" t="n">
        <v>2</v>
      </c>
      <c r="E112" t="n">
        <v>6</v>
      </c>
      <c r="F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Threshing and winnowing</t>
        </is>
      </c>
      <c r="B113" t="inlineStr">
        <is>
          <t>In threshing and winnowing 8.5 quarters 2 bushels of wheat by piece-work, with 20 quarters of mancorn and 10 quarters of oats, 5 shilling 5.5pence, at 2pence a quarters of wheat and mancorn threshed and 1pence per 5 quarters winnowed, and 0.75pence a quarters of oats threshed and 1pence per 8 quarters winnowepence Total, 5 shilling 5.5pence</t>
        </is>
      </c>
      <c r="C113" t="n">
        <v>0.27</v>
      </c>
      <c r="D113" t="n">
        <v>0</v>
      </c>
      <c r="E113" t="n">
        <v>5</v>
      </c>
      <c r="F113" t="n">
        <v>5.5</v>
      </c>
      <c r="G113" t="inlineStr">
        <is>
          <t>oats, mancorn, wheat</t>
        </is>
      </c>
      <c r="H113" t="n">
        <v>43</v>
      </c>
      <c r="I113" t="n">
        <v>2</v>
      </c>
      <c r="J113" t="n">
        <v>43.25</v>
      </c>
      <c r="K113" t="n">
        <v>8.75</v>
      </c>
      <c r="L113" t="n">
        <v>34.5</v>
      </c>
      <c r="M113" t="n">
        <v>8.5</v>
      </c>
      <c r="N113" t="n">
        <v>2</v>
      </c>
      <c r="O113" t="n">
        <v>20</v>
      </c>
      <c r="P113" t="n">
        <v>0</v>
      </c>
      <c r="Q113" t="n">
        <v>10</v>
      </c>
      <c r="R113" t="n">
        <v>0</v>
      </c>
      <c r="S113" t="n">
        <v>5</v>
      </c>
      <c r="T113" t="n">
        <v>0</v>
      </c>
      <c r="U113" t="n">
        <v>8</v>
      </c>
      <c r="V113" t="n">
        <v>0</v>
      </c>
    </row>
    <row r="114">
      <c r="A114" t="inlineStr">
        <is>
          <t xml:space="preserve">Expenses for dung </t>
        </is>
      </c>
      <c r="B114" t="inlineStr">
        <is>
          <t>{henceforth dung should be carried by the lord's plough- horses}.</t>
        </is>
      </c>
      <c r="C114" t="n">
        <v>0</v>
      </c>
      <c r="D114" t="n">
        <v>0</v>
      </c>
      <c r="E114" t="n">
        <v>0</v>
      </c>
      <c r="F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 xml:space="preserve">Expenses for dung </t>
        </is>
      </c>
      <c r="B115" t="inlineStr">
        <is>
          <t>clearing dung in winter from the curia to the fields 1 shilling 6pence Total, 1 shilling 6pence</t>
        </is>
      </c>
      <c r="C115" t="n">
        <v>0.08</v>
      </c>
      <c r="D115" t="n">
        <v>0</v>
      </c>
      <c r="E115" t="n">
        <v>1</v>
      </c>
      <c r="F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Harvest-time</t>
        </is>
      </c>
      <c r="B116" t="inlineStr">
        <is>
          <t>In corn reaped and bound by piece-work 6 shilling 4.5pence.</t>
        </is>
      </c>
      <c r="C116" t="n">
        <v>0.32</v>
      </c>
      <c r="D116" t="n">
        <v>0</v>
      </c>
      <c r="E116" t="n">
        <v>6</v>
      </c>
      <c r="F116" t="n">
        <v>4.5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Harvest-time</t>
        </is>
      </c>
      <c r="B117" t="inlineStr">
        <is>
          <t>expenses of 1 boon-work for reaping corn 3 shilling 10.5pence Total, 10 shilling 3pence</t>
        </is>
      </c>
      <c r="C117" t="n">
        <v>0.19</v>
      </c>
      <c r="D117" t="n">
        <v>0</v>
      </c>
      <c r="E117" t="n">
        <v>3</v>
      </c>
      <c r="F117" t="n">
        <v>10.5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Total of all expenses</t>
        </is>
      </c>
      <c r="B118" t="inlineStr">
        <is>
          <t>Total of all expenses, £7 17 shilling 1.5pence</t>
        </is>
      </c>
      <c r="C118" t="n">
        <v>7.86</v>
      </c>
      <c r="D118" t="n">
        <v>7</v>
      </c>
      <c r="E118" t="n">
        <v>17</v>
      </c>
      <c r="F118" t="n">
        <v>1.5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Reeve</t>
        </is>
      </c>
      <c r="B119" t="inlineStr">
        <is>
          <t>In William de Wordly, reeve of Wargrave, £17 1 shilling 10pence</t>
        </is>
      </c>
      <c r="C119" t="n">
        <v>17.09</v>
      </c>
      <c r="D119" t="n">
        <v>17</v>
      </c>
      <c r="E119" t="n">
        <v>1</v>
      </c>
      <c r="F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Wheat</t>
        </is>
      </c>
      <c r="B120" t="inlineStr">
        <is>
          <t>(yield: two-fold less 6 bushels}</t>
        </is>
      </c>
      <c r="C120" t="n">
        <v>0</v>
      </c>
      <c r="D120" t="n">
        <v>0</v>
      </c>
      <c r="E120" t="n">
        <v>0</v>
      </c>
      <c r="F120" t="n">
        <v>0</v>
      </c>
      <c r="H120" t="n">
        <v>0</v>
      </c>
      <c r="I120" t="n">
        <v>6</v>
      </c>
      <c r="J120" t="n">
        <v>0.75</v>
      </c>
      <c r="K120" t="n">
        <v>0.75</v>
      </c>
      <c r="L120" t="n">
        <v>0</v>
      </c>
      <c r="M120" t="n">
        <v>0</v>
      </c>
      <c r="N120" t="n">
        <v>6</v>
      </c>
    </row>
    <row r="121">
      <c r="A121" t="inlineStr">
        <is>
          <t>Wheat</t>
        </is>
      </c>
      <c r="B121" t="inlineStr">
        <is>
          <t>The same render account for 8.5 quarters 2 bushels from the whole issue of wheat from the grange with the increment of the granary.</t>
        </is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wheat</t>
        </is>
      </c>
      <c r="H121" t="n">
        <v>8.5</v>
      </c>
      <c r="I121" t="n">
        <v>2</v>
      </c>
      <c r="J121" t="n">
        <v>8.75</v>
      </c>
      <c r="K121" t="n">
        <v>8.75</v>
      </c>
      <c r="L121" t="n">
        <v>0</v>
      </c>
      <c r="M121" t="n">
        <v>8.5</v>
      </c>
      <c r="N121" t="n">
        <v>2</v>
      </c>
    </row>
    <row r="122">
      <c r="A122" t="inlineStr">
        <is>
          <t>Wheat</t>
        </is>
      </c>
      <c r="B122" t="inlineStr">
        <is>
          <t>1 quarters bought.</t>
        </is>
      </c>
      <c r="C122" t="n">
        <v>0</v>
      </c>
      <c r="D122" t="n">
        <v>0</v>
      </c>
      <c r="E122" t="n">
        <v>0</v>
      </c>
      <c r="F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inlineStr">
        <is>
          <t>Wheat</t>
        </is>
      </c>
      <c r="B123" t="inlineStr">
        <is>
          <t>Total, 9.5 quarters 2 bushels</t>
        </is>
      </c>
      <c r="C123" t="n">
        <v>0</v>
      </c>
      <c r="D123" t="n">
        <v>0</v>
      </c>
      <c r="E123" t="n">
        <v>0</v>
      </c>
      <c r="F123" t="n">
        <v>0</v>
      </c>
      <c r="H123" t="n">
        <v>9.5</v>
      </c>
      <c r="I123" t="n">
        <v>2</v>
      </c>
      <c r="J123" t="n">
        <v>9.75</v>
      </c>
      <c r="K123" t="n">
        <v>9.75</v>
      </c>
      <c r="L123" t="n">
        <v>0</v>
      </c>
      <c r="M123" t="n">
        <v>9.5</v>
      </c>
      <c r="N123" t="n">
        <v>2</v>
      </c>
    </row>
    <row r="124">
      <c r="A124" t="inlineStr">
        <is>
          <t>Wheat</t>
        </is>
      </c>
      <c r="B124" t="inlineStr">
        <is>
          <t>Sown over 9 acres measured by the perch which lie in the field upon the heath, 3 quarters  3 bushels Sold as noted above, 6 quarters 3 bushels</t>
        </is>
      </c>
      <c r="C124" t="n">
        <v>0</v>
      </c>
      <c r="D124" t="n">
        <v>0</v>
      </c>
      <c r="E124" t="n">
        <v>0</v>
      </c>
      <c r="F124" t="n">
        <v>0</v>
      </c>
      <c r="H124" t="n">
        <v>6</v>
      </c>
      <c r="I124" t="n">
        <v>6</v>
      </c>
      <c r="J124" t="n">
        <v>6.75</v>
      </c>
      <c r="K124" t="n">
        <v>3</v>
      </c>
      <c r="L124" t="n">
        <v>3.75</v>
      </c>
      <c r="M124" t="n">
        <v>3</v>
      </c>
      <c r="N124" t="n">
        <v>0</v>
      </c>
      <c r="O124" t="n">
        <v>0</v>
      </c>
      <c r="P124" t="n">
        <v>3</v>
      </c>
      <c r="Q124" t="n">
        <v>6</v>
      </c>
      <c r="R124" t="n">
        <v>3</v>
      </c>
    </row>
    <row r="125">
      <c r="A125" t="inlineStr">
        <is>
          <t>Mancorn</t>
        </is>
      </c>
      <c r="B125" t="inlineStr">
        <is>
          <t>{yield: two-and-a-half-fold plus 2 quarters} The same render account for 39.5 quarters from the whole issue of mancom from the grange with the increment of the granary.</t>
        </is>
      </c>
      <c r="C125" t="n">
        <v>0</v>
      </c>
      <c r="D125" t="n">
        <v>0</v>
      </c>
      <c r="E125" t="n">
        <v>0</v>
      </c>
      <c r="F125" t="n">
        <v>0</v>
      </c>
      <c r="H125" t="n">
        <v>39.5</v>
      </c>
      <c r="I125" t="n">
        <v>0</v>
      </c>
      <c r="J125" t="n">
        <v>39.5</v>
      </c>
      <c r="K125" t="n">
        <v>2</v>
      </c>
      <c r="L125" t="n">
        <v>37.5</v>
      </c>
      <c r="M125" t="n">
        <v>2</v>
      </c>
      <c r="N125" t="n">
        <v>0</v>
      </c>
      <c r="O125" t="n">
        <v>39.5</v>
      </c>
      <c r="P125" t="n">
        <v>0</v>
      </c>
    </row>
    <row r="126">
      <c r="A126" t="inlineStr">
        <is>
          <t>Mancorn</t>
        </is>
      </c>
      <c r="B126" t="inlineStr">
        <is>
          <t>19 quarters bought.</t>
        </is>
      </c>
      <c r="C126" t="n">
        <v>0</v>
      </c>
      <c r="D126" t="n">
        <v>0</v>
      </c>
      <c r="E126" t="n">
        <v>0</v>
      </c>
      <c r="F126" t="n">
        <v>0</v>
      </c>
      <c r="H126" t="n">
        <v>19</v>
      </c>
      <c r="I126" t="n">
        <v>0</v>
      </c>
      <c r="J126" t="n">
        <v>19</v>
      </c>
      <c r="K126" t="n">
        <v>19</v>
      </c>
      <c r="L126" t="n">
        <v>0</v>
      </c>
      <c r="M126" t="n">
        <v>19</v>
      </c>
      <c r="N126" t="n">
        <v>0</v>
      </c>
    </row>
    <row r="127">
      <c r="A127" t="inlineStr">
        <is>
          <t>Mancorn</t>
        </is>
      </c>
      <c r="B127" t="inlineStr">
        <is>
          <t>Total, 58.5 quarters.</t>
        </is>
      </c>
      <c r="C127" t="n">
        <v>0</v>
      </c>
      <c r="D127" t="n">
        <v>0</v>
      </c>
      <c r="E127" t="n">
        <v>0</v>
      </c>
      <c r="F127" t="n">
        <v>0</v>
      </c>
      <c r="H127" t="n">
        <v>58.5</v>
      </c>
      <c r="I127" t="n">
        <v>0</v>
      </c>
      <c r="J127" t="n">
        <v>58.5</v>
      </c>
      <c r="K127" t="n">
        <v>58.5</v>
      </c>
      <c r="L127" t="n">
        <v>0</v>
      </c>
      <c r="M127" t="n">
        <v>58.5</v>
      </c>
      <c r="N127" t="n">
        <v>0</v>
      </c>
    </row>
    <row r="128">
      <c r="A128" t="inlineStr">
        <is>
          <t>Mancorn</t>
        </is>
      </c>
      <c r="B128" t="inlineStr">
        <is>
          <t>Sown over 51 acres measured by the perch as they lief in the field upon the heath, 19 quarters.</t>
        </is>
      </c>
      <c r="C128" t="n">
        <v>0</v>
      </c>
      <c r="D128" t="n">
        <v>0</v>
      </c>
      <c r="E128" t="n">
        <v>0</v>
      </c>
      <c r="F128" t="n">
        <v>0</v>
      </c>
      <c r="H128" t="n">
        <v>19</v>
      </c>
      <c r="I128" t="n">
        <v>0</v>
      </c>
      <c r="J128" t="n">
        <v>19</v>
      </c>
      <c r="K128" t="n">
        <v>19</v>
      </c>
      <c r="L128" t="n">
        <v>0</v>
      </c>
      <c r="M128" t="n">
        <v>19</v>
      </c>
      <c r="N128" t="n">
        <v>0</v>
      </c>
    </row>
    <row r="129">
      <c r="A129" t="inlineStr">
        <is>
          <t>Mancorn</t>
        </is>
      </c>
      <c r="B129" t="inlineStr">
        <is>
          <t>that is, 3 bushels an acre, less 1 bushels in all.</t>
        </is>
      </c>
      <c r="C129" t="n">
        <v>0</v>
      </c>
      <c r="D129" t="n">
        <v>0</v>
      </c>
      <c r="E129" t="n">
        <v>0</v>
      </c>
      <c r="F129" t="n">
        <v>0</v>
      </c>
      <c r="H129" t="n">
        <v>0</v>
      </c>
      <c r="I129" t="n">
        <v>1</v>
      </c>
      <c r="J129" t="n">
        <v>0.125</v>
      </c>
      <c r="K129" t="n">
        <v>0.375</v>
      </c>
      <c r="L129" t="n">
        <v>-0.25</v>
      </c>
      <c r="M129" t="n">
        <v>0</v>
      </c>
      <c r="N129" t="n">
        <v>3</v>
      </c>
      <c r="O129" t="n">
        <v>0</v>
      </c>
      <c r="P129" t="n">
        <v>1</v>
      </c>
    </row>
    <row r="130">
      <c r="A130" t="inlineStr">
        <is>
          <t>Mancorn</t>
        </is>
      </c>
      <c r="B130" t="inlineStr">
        <is>
          <t>Delivered to 1 drover and 1 dairymaid for the year, 10 quarters 3 bushels, because they take a quarter every 10 weeks.</t>
        </is>
      </c>
      <c r="C130" t="n">
        <v>0</v>
      </c>
      <c r="D130" t="n">
        <v>0</v>
      </c>
      <c r="E130" t="n">
        <v>0</v>
      </c>
      <c r="F130" t="n">
        <v>0</v>
      </c>
      <c r="H130" t="n">
        <v>10</v>
      </c>
      <c r="I130" t="n">
        <v>3</v>
      </c>
      <c r="J130" t="n">
        <v>10.375</v>
      </c>
      <c r="K130" t="n">
        <v>10.375</v>
      </c>
      <c r="L130" t="n">
        <v>0</v>
      </c>
      <c r="M130" t="n">
        <v>10</v>
      </c>
      <c r="N130" t="n">
        <v>3</v>
      </c>
    </row>
    <row r="131">
      <c r="A131" t="inlineStr">
        <is>
          <t>Mancorn</t>
        </is>
      </c>
      <c r="B131" t="inlineStr">
        <is>
          <t>.</t>
        </is>
      </c>
      <c r="C131" t="n">
        <v>0</v>
      </c>
      <c r="D131" t="n">
        <v>0</v>
      </c>
      <c r="E131" t="n">
        <v>0</v>
      </c>
      <c r="F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Mancorn</t>
        </is>
      </c>
      <c r="B132" t="inlineStr">
        <is>
          <t>customary payment for the mowing of the meadows, 5 bushels Sold, 28 quarters 3 bushels Sold at the audit, 1 bushels</t>
        </is>
      </c>
      <c r="C132" t="n">
        <v>0</v>
      </c>
      <c r="D132" t="n">
        <v>0</v>
      </c>
      <c r="E132" t="n">
        <v>0</v>
      </c>
      <c r="F132" t="n">
        <v>0</v>
      </c>
      <c r="H132" t="n">
        <v>28</v>
      </c>
      <c r="I132" t="n">
        <v>4</v>
      </c>
      <c r="J132" t="n">
        <v>28.5</v>
      </c>
      <c r="K132" t="n">
        <v>0.625</v>
      </c>
      <c r="L132" t="n">
        <v>27.875</v>
      </c>
      <c r="M132" t="n">
        <v>0</v>
      </c>
      <c r="N132" t="n">
        <v>5</v>
      </c>
      <c r="O132" t="n">
        <v>28</v>
      </c>
      <c r="P132" t="n">
        <v>3</v>
      </c>
      <c r="Q132" t="n">
        <v>0</v>
      </c>
      <c r="R132" t="n">
        <v>1</v>
      </c>
    </row>
    <row r="133">
      <c r="A133" t="inlineStr">
        <is>
          <t>Barley</t>
        </is>
      </c>
      <c r="B133" t="inlineStr">
        <is>
          <t>{yield: three-fold less 1 bushels}</t>
        </is>
      </c>
      <c r="C133" t="n">
        <v>0</v>
      </c>
      <c r="D133" t="n">
        <v>0</v>
      </c>
      <c r="E133" t="n">
        <v>0</v>
      </c>
      <c r="F133" t="n">
        <v>0</v>
      </c>
      <c r="H133" t="n">
        <v>0</v>
      </c>
      <c r="I133" t="n">
        <v>1</v>
      </c>
      <c r="J133" t="n">
        <v>0.125</v>
      </c>
      <c r="K133" t="n">
        <v>0.125</v>
      </c>
      <c r="L133" t="n">
        <v>0</v>
      </c>
      <c r="M133" t="n">
        <v>0</v>
      </c>
      <c r="N133" t="n">
        <v>1</v>
      </c>
    </row>
    <row r="134">
      <c r="A134" t="inlineStr">
        <is>
          <t>Barley</t>
        </is>
      </c>
      <c r="B134" t="inlineStr">
        <is>
          <t>The same render account for 19 quarters from the whole issue of the grange with the increment of the granary.</t>
        </is>
      </c>
      <c r="C134" t="n">
        <v>0</v>
      </c>
      <c r="D134" t="n">
        <v>0</v>
      </c>
      <c r="E134" t="n">
        <v>0</v>
      </c>
      <c r="F134" t="n">
        <v>0</v>
      </c>
      <c r="H134" t="n">
        <v>19</v>
      </c>
      <c r="I134" t="n">
        <v>0</v>
      </c>
      <c r="J134" t="n">
        <v>19</v>
      </c>
      <c r="K134" t="n">
        <v>19</v>
      </c>
      <c r="L134" t="n">
        <v>0</v>
      </c>
      <c r="M134" t="n">
        <v>19</v>
      </c>
      <c r="N134" t="n">
        <v>0</v>
      </c>
    </row>
    <row r="135">
      <c r="A135" t="inlineStr">
        <is>
          <t>Barley</t>
        </is>
      </c>
      <c r="B135" t="inlineStr">
        <is>
          <t>Sown over 15 acres which lie in the field of la Doun', 7 quarters 3 bushels.</t>
        </is>
      </c>
      <c r="C135" t="n">
        <v>0</v>
      </c>
      <c r="D135" t="n">
        <v>0</v>
      </c>
      <c r="E135" t="n">
        <v>0</v>
      </c>
      <c r="F135" t="n">
        <v>0</v>
      </c>
      <c r="H135" t="n">
        <v>7</v>
      </c>
      <c r="I135" t="n">
        <v>3</v>
      </c>
      <c r="J135" t="n">
        <v>7.375</v>
      </c>
      <c r="K135" t="n">
        <v>7.375</v>
      </c>
      <c r="L135" t="n">
        <v>0</v>
      </c>
      <c r="M135" t="n">
        <v>7</v>
      </c>
      <c r="N135" t="n">
        <v>3</v>
      </c>
    </row>
    <row r="136">
      <c r="A136" t="inlineStr">
        <is>
          <t>Barley</t>
        </is>
      </c>
      <c r="B136" t="inlineStr">
        <is>
          <t>that is, 4 bushels an acre, less 1 bushels in all.</t>
        </is>
      </c>
      <c r="C136" t="n">
        <v>0</v>
      </c>
      <c r="D136" t="n">
        <v>0</v>
      </c>
      <c r="E136" t="n">
        <v>0</v>
      </c>
      <c r="F136" t="n">
        <v>0</v>
      </c>
      <c r="H136" t="n">
        <v>0</v>
      </c>
      <c r="I136" t="n">
        <v>1</v>
      </c>
      <c r="J136" t="n">
        <v>0.125</v>
      </c>
      <c r="K136" t="n">
        <v>0.5</v>
      </c>
      <c r="L136" t="n">
        <v>-0.375</v>
      </c>
      <c r="M136" t="n">
        <v>0</v>
      </c>
      <c r="N136" t="n">
        <v>4</v>
      </c>
      <c r="O136" t="n">
        <v>0</v>
      </c>
      <c r="P136" t="n">
        <v>1</v>
      </c>
    </row>
    <row r="137">
      <c r="A137" t="inlineStr">
        <is>
          <t>Barley</t>
        </is>
      </c>
      <c r="B137" t="inlineStr">
        <is>
          <t>Sold, 11.5 quarters 1 bushels</t>
        </is>
      </c>
      <c r="C137" t="n">
        <v>0</v>
      </c>
      <c r="D137" t="n">
        <v>0</v>
      </c>
      <c r="E137" t="n">
        <v>0</v>
      </c>
      <c r="F137" t="n">
        <v>0</v>
      </c>
      <c r="H137" t="n">
        <v>11.5</v>
      </c>
      <c r="I137" t="n">
        <v>1</v>
      </c>
      <c r="J137" t="n">
        <v>11.625</v>
      </c>
      <c r="K137" t="n">
        <v>11.625</v>
      </c>
      <c r="L137" t="n">
        <v>0</v>
      </c>
      <c r="M137" t="n">
        <v>11.5</v>
      </c>
      <c r="N137" t="n">
        <v>1</v>
      </c>
    </row>
    <row r="138">
      <c r="A138" t="inlineStr">
        <is>
          <t>Oats</t>
        </is>
      </c>
      <c r="B138" t="inlineStr">
        <is>
          <t>{yield: 2 bushels more than sown}</t>
        </is>
      </c>
      <c r="C138" t="n">
        <v>0</v>
      </c>
      <c r="D138" t="n">
        <v>0</v>
      </c>
      <c r="E138" t="n">
        <v>0</v>
      </c>
      <c r="F138" t="n">
        <v>0</v>
      </c>
      <c r="H138" t="n">
        <v>0</v>
      </c>
      <c r="I138" t="n">
        <v>2</v>
      </c>
      <c r="J138" t="n">
        <v>0.25</v>
      </c>
      <c r="K138" t="n">
        <v>0.25</v>
      </c>
      <c r="L138" t="n">
        <v>0</v>
      </c>
      <c r="M138" t="n">
        <v>0</v>
      </c>
      <c r="N138" t="n">
        <v>2</v>
      </c>
    </row>
    <row r="139">
      <c r="A139" t="inlineStr">
        <is>
          <t>Oats</t>
        </is>
      </c>
      <c r="B139" t="inlineStr">
        <is>
          <t>The same render account for 20 quarters from the whole issue of oats from the grange with the increment of the granary.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oats</t>
        </is>
      </c>
      <c r="H139" t="n">
        <v>20</v>
      </c>
      <c r="I139" t="n">
        <v>0</v>
      </c>
      <c r="J139" t="n">
        <v>20</v>
      </c>
      <c r="K139" t="n">
        <v>20</v>
      </c>
      <c r="L139" t="n">
        <v>0</v>
      </c>
      <c r="M139" t="n">
        <v>20</v>
      </c>
      <c r="N139" t="n">
        <v>0</v>
      </c>
    </row>
    <row r="140">
      <c r="A140" t="inlineStr">
        <is>
          <t>Oats</t>
        </is>
      </c>
      <c r="B140" t="inlineStr">
        <is>
          <t>Sown over 26 acres measured by the perch as they lie in the fields of la Doun' and Stanlych', 15.5 quarters 3 bushels.</t>
        </is>
      </c>
      <c r="C140" t="n">
        <v>0</v>
      </c>
      <c r="D140" t="n">
        <v>0</v>
      </c>
      <c r="E140" t="n">
        <v>0</v>
      </c>
      <c r="F140" t="n">
        <v>0</v>
      </c>
      <c r="H140" t="n">
        <v>15.5</v>
      </c>
      <c r="I140" t="n">
        <v>3</v>
      </c>
      <c r="J140" t="n">
        <v>15.875</v>
      </c>
      <c r="K140" t="n">
        <v>15.875</v>
      </c>
      <c r="L140" t="n">
        <v>0</v>
      </c>
      <c r="M140" t="n">
        <v>15.5</v>
      </c>
      <c r="N140" t="n">
        <v>3</v>
      </c>
    </row>
    <row r="141">
      <c r="A141" t="inlineStr">
        <is>
          <t>Oats</t>
        </is>
      </c>
      <c r="B141" t="inlineStr">
        <is>
          <t>that is, 5 bushels an acre, plus 2 bushels in all.</t>
        </is>
      </c>
      <c r="C141" t="n">
        <v>0</v>
      </c>
      <c r="D141" t="n">
        <v>0</v>
      </c>
      <c r="E141" t="n">
        <v>0</v>
      </c>
      <c r="F141" t="n">
        <v>0</v>
      </c>
      <c r="H141" t="n">
        <v>0</v>
      </c>
      <c r="I141" t="n">
        <v>2</v>
      </c>
      <c r="J141" t="n">
        <v>0.25</v>
      </c>
      <c r="K141" t="n">
        <v>0.625</v>
      </c>
      <c r="L141" t="n">
        <v>-0.375</v>
      </c>
      <c r="M141" t="n">
        <v>0</v>
      </c>
      <c r="N141" t="n">
        <v>5</v>
      </c>
      <c r="O141" t="n">
        <v>0</v>
      </c>
      <c r="P141" t="n">
        <v>2</v>
      </c>
    </row>
    <row r="142">
      <c r="A142" t="inlineStr">
        <is>
          <t>Oats</t>
        </is>
      </c>
      <c r="B142" t="inlineStr">
        <is>
          <t>.</t>
        </is>
      </c>
      <c r="C142" t="n">
        <v>0</v>
      </c>
      <c r="D142" t="n">
        <v>0</v>
      </c>
      <c r="E142" t="n">
        <v>0</v>
      </c>
      <c r="F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Oats</t>
        </is>
      </c>
      <c r="B143" t="inlineStr">
        <is>
          <t>fodder of 7 plough-horses, 4 quarters 1 bushels</t>
        </is>
      </c>
      <c r="C143" t="n">
        <v>0</v>
      </c>
      <c r="D143" t="n">
        <v>0</v>
      </c>
      <c r="E143" t="n">
        <v>0</v>
      </c>
      <c r="F143" t="n">
        <v>0</v>
      </c>
      <c r="H143" t="n">
        <v>4</v>
      </c>
      <c r="I143" t="n">
        <v>1</v>
      </c>
      <c r="J143" t="n">
        <v>4.125</v>
      </c>
      <c r="K143" t="n">
        <v>4.125</v>
      </c>
      <c r="L143" t="n">
        <v>0</v>
      </c>
      <c r="M143" t="n">
        <v>4</v>
      </c>
      <c r="N143" t="n">
        <v>1</v>
      </c>
    </row>
    <row r="144">
      <c r="A144" t="inlineStr">
        <is>
          <t>Stock</t>
        </is>
      </c>
      <c r="B144" t="inlineStr">
        <is>
          <t>Plough-horses: 7 males remain from the previous year.</t>
        </is>
      </c>
      <c r="C144" t="n">
        <v>0</v>
      </c>
      <c r="D144" t="n">
        <v>0</v>
      </c>
      <c r="E144" t="n">
        <v>0</v>
      </c>
      <c r="F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Stock</t>
        </is>
      </c>
      <c r="B145" t="inlineStr">
        <is>
          <t>they remain.</t>
        </is>
      </c>
      <c r="C145" t="n">
        <v>0</v>
      </c>
      <c r="D145" t="n">
        <v>0</v>
      </c>
      <c r="E145" t="n">
        <v>0</v>
      </c>
      <c r="F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Stock</t>
        </is>
      </c>
      <c r="B146" t="inlineStr">
        <is>
          <t>Oxen: 3 remain from the previous year.</t>
        </is>
      </c>
      <c r="C146" t="n">
        <v>0</v>
      </c>
      <c r="D146" t="n">
        <v>0</v>
      </c>
      <c r="E146" t="n">
        <v>0</v>
      </c>
      <c r="F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Stock</t>
        </is>
      </c>
      <c r="B147" t="inlineStr">
        <is>
          <t>2 added from stock.</t>
        </is>
      </c>
      <c r="C147" t="n">
        <v>0</v>
      </c>
      <c r="D147" t="n">
        <v>0</v>
      </c>
      <c r="E147" t="n">
        <v>0</v>
      </c>
      <c r="F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Stock</t>
        </is>
      </c>
      <c r="B148" t="inlineStr">
        <is>
          <t>Total, 5. 3 sold.</t>
        </is>
      </c>
      <c r="C148" t="n">
        <v>0</v>
      </c>
      <c r="D148" t="n">
        <v>0</v>
      </c>
      <c r="E148" t="n">
        <v>0</v>
      </c>
      <c r="F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Stock</t>
        </is>
      </c>
      <c r="B149" t="inlineStr">
        <is>
          <t>2 remain.</t>
        </is>
      </c>
      <c r="C149" t="n">
        <v>0</v>
      </c>
      <c r="D149" t="n">
        <v>0</v>
      </c>
      <c r="E149" t="n">
        <v>0</v>
      </c>
      <c r="F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Stock</t>
        </is>
      </c>
      <c r="B150" t="inlineStr">
        <is>
          <t>Bulls: 1 remains from the previous year.</t>
        </is>
      </c>
      <c r="C150" t="n">
        <v>0</v>
      </c>
      <c r="D150" t="n">
        <v>0</v>
      </c>
      <c r="E150" t="n">
        <v>0</v>
      </c>
      <c r="F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Stock</t>
        </is>
      </c>
      <c r="B151" t="inlineStr">
        <is>
          <t>it remains.</t>
        </is>
      </c>
      <c r="C151" t="n">
        <v>0</v>
      </c>
      <c r="D151" t="n">
        <v>0</v>
      </c>
      <c r="E151" t="n">
        <v>0</v>
      </c>
      <c r="F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Stock</t>
        </is>
      </c>
      <c r="B152" t="inlineStr">
        <is>
          <t>Cows: 23 remain from the previous year.</t>
        </is>
      </c>
      <c r="C152" t="n">
        <v>0</v>
      </c>
      <c r="D152" t="n">
        <v>0</v>
      </c>
      <c r="E152" t="n">
        <v>0</v>
      </c>
      <c r="F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Stock</t>
        </is>
      </c>
      <c r="B153" t="inlineStr">
        <is>
          <t>2 added from stock.</t>
        </is>
      </c>
      <c r="C153" t="n">
        <v>0</v>
      </c>
      <c r="D153" t="n">
        <v>0</v>
      </c>
      <c r="E153" t="n">
        <v>0</v>
      </c>
      <c r="F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Stock</t>
        </is>
      </c>
      <c r="B154" t="inlineStr">
        <is>
          <t>3 bought, 1 after calving.</t>
        </is>
      </c>
      <c r="C154" t="n">
        <v>0</v>
      </c>
      <c r="D154" t="n">
        <v>0</v>
      </c>
      <c r="E154" t="n">
        <v>0</v>
      </c>
      <c r="F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Stock</t>
        </is>
      </c>
      <c r="B155" t="inlineStr">
        <is>
          <t>Total, 28. 1 in murrain before calving.</t>
        </is>
      </c>
      <c r="C155" t="n">
        <v>0</v>
      </c>
      <c r="D155" t="n">
        <v>0</v>
      </c>
      <c r="E155" t="n">
        <v>0</v>
      </c>
      <c r="F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Stock</t>
        </is>
      </c>
      <c r="B156" t="inlineStr">
        <is>
          <t>2 sold at Martinmas.</t>
        </is>
      </c>
      <c r="C156" t="n">
        <v>0</v>
      </c>
      <c r="D156" t="n">
        <v>0</v>
      </c>
      <c r="E156" t="n">
        <v>0</v>
      </c>
      <c r="F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Stock</t>
        </is>
      </c>
      <c r="B157" t="inlineStr">
        <is>
          <t>Total, 3. 25 remain.</t>
        </is>
      </c>
      <c r="C157" t="n">
        <v>0</v>
      </c>
      <c r="D157" t="n">
        <v>0</v>
      </c>
      <c r="E157" t="n">
        <v>0</v>
      </c>
      <c r="F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Stock</t>
        </is>
      </c>
      <c r="B158" t="inlineStr">
        <is>
          <t>Steers: 4 remain from the previous year's bullocks. 2 added to oxen, 2 to cows.</t>
        </is>
      </c>
      <c r="C158" t="n">
        <v>0</v>
      </c>
      <c r="D158" t="n">
        <v>0</v>
      </c>
      <c r="E158" t="n">
        <v>0</v>
      </c>
      <c r="F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Stock</t>
        </is>
      </c>
      <c r="B159" t="inlineStr">
        <is>
          <t>Total, 4. None remain.</t>
        </is>
      </c>
      <c r="C159" t="n">
        <v>0</v>
      </c>
      <c r="D159" t="n">
        <v>0</v>
      </c>
      <c r="E159" t="n">
        <v>0</v>
      </c>
      <c r="F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Stock</t>
        </is>
      </c>
      <c r="B160" t="inlineStr">
        <is>
          <t>Bullocks: 9 remain from the previous year's yearlings.</t>
        </is>
      </c>
      <c r="C160" t="n">
        <v>0</v>
      </c>
      <c r="D160" t="n">
        <v>0</v>
      </c>
      <c r="E160" t="n">
        <v>0</v>
      </c>
      <c r="F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Stock</t>
        </is>
      </c>
      <c r="B161" t="inlineStr">
        <is>
          <t>3 in murrain.</t>
        </is>
      </c>
      <c r="C161" t="n">
        <v>0</v>
      </c>
      <c r="D161" t="n">
        <v>0</v>
      </c>
      <c r="E161" t="n">
        <v>0</v>
      </c>
      <c r="F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Stock</t>
        </is>
      </c>
      <c r="B162" t="inlineStr">
        <is>
          <t>6 remain, of which...</t>
        </is>
      </c>
      <c r="C162" t="n">
        <v>0</v>
      </c>
      <c r="D162" t="n">
        <v>0</v>
      </c>
      <c r="E162" t="n">
        <v>0</v>
      </c>
      <c r="F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Stock</t>
        </is>
      </c>
      <c r="B163" t="inlineStr">
        <is>
          <t>Yearlings: 6 remain from the previous year's calves.</t>
        </is>
      </c>
      <c r="C163" t="n">
        <v>0</v>
      </c>
      <c r="D163" t="n">
        <v>0</v>
      </c>
      <c r="E163" t="n">
        <v>0</v>
      </c>
      <c r="F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Stock</t>
        </is>
      </c>
      <c r="B164" t="inlineStr">
        <is>
          <t>3 in murrain.</t>
        </is>
      </c>
      <c r="C164" t="n">
        <v>0</v>
      </c>
      <c r="D164" t="n">
        <v>0</v>
      </c>
      <c r="E164" t="n">
        <v>0</v>
      </c>
      <c r="F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Stock</t>
        </is>
      </c>
      <c r="B165" t="inlineStr">
        <is>
          <t>3 remain.</t>
        </is>
      </c>
      <c r="C165" t="n">
        <v>0</v>
      </c>
      <c r="D165" t="n">
        <v>0</v>
      </c>
      <c r="E165" t="n">
        <v>0</v>
      </c>
      <c r="F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Stock</t>
        </is>
      </c>
      <c r="B166" t="inlineStr">
        <is>
          <t>Calves: 22 from this year's offspring because 2 cows sterile. 2 in tithe.</t>
        </is>
      </c>
      <c r="C166" t="n">
        <v>0</v>
      </c>
      <c r="D166" t="n">
        <v>0</v>
      </c>
      <c r="E166" t="n">
        <v>0</v>
      </c>
      <c r="F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Stock</t>
        </is>
      </c>
      <c r="B167" t="inlineStr">
        <is>
          <t>14 sold.</t>
        </is>
      </c>
      <c r="C167" t="n">
        <v>0</v>
      </c>
      <c r="D167" t="n">
        <v>0</v>
      </c>
      <c r="E167" t="n">
        <v>0</v>
      </c>
      <c r="F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Stock</t>
        </is>
      </c>
      <c r="B168" t="inlineStr">
        <is>
          <t>1 in murrain after weaning.</t>
        </is>
      </c>
      <c r="C168" t="n">
        <v>0</v>
      </c>
      <c r="D168" t="n">
        <v>0</v>
      </c>
      <c r="E168" t="n">
        <v>0</v>
      </c>
      <c r="F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Stock</t>
        </is>
      </c>
      <c r="B169" t="inlineStr">
        <is>
          <t>Total, 15.3 5 remain.</t>
        </is>
      </c>
      <c r="C169" t="n">
        <v>0</v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Stock</t>
        </is>
      </c>
      <c r="B170" t="inlineStr">
        <is>
          <t>Wethers: 112 remain from the previous year. 5 in murrain before shearing, 6 after shearing.</t>
        </is>
      </c>
      <c r="C170" t="n">
        <v>0</v>
      </c>
      <c r="D170" t="n">
        <v>0</v>
      </c>
      <c r="E170" t="n">
        <v>0</v>
      </c>
      <c r="F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Stock</t>
        </is>
      </c>
      <c r="B171" t="inlineStr">
        <is>
          <t>1 in customary payment for the mowing of the meadows.</t>
        </is>
      </c>
      <c r="C171" t="n">
        <v>0</v>
      </c>
      <c r="D171" t="n">
        <v>0</v>
      </c>
      <c r="E171" t="n">
        <v>0</v>
      </c>
      <c r="F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Stock</t>
        </is>
      </c>
      <c r="B172" t="inlineStr">
        <is>
          <t>20 solpence Total, 32. 80 remain.</t>
        </is>
      </c>
      <c r="C172" t="n">
        <v>0</v>
      </c>
      <c r="D172" t="n">
        <v>0</v>
      </c>
      <c r="E172" t="n">
        <v>0</v>
      </c>
      <c r="F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Stock</t>
        </is>
      </c>
      <c r="B173" t="inlineStr">
        <is>
          <t>Fleeces: 87 produced at the shearing this year.</t>
        </is>
      </c>
      <c r="C173" t="n">
        <v>0</v>
      </c>
      <c r="D173" t="n">
        <v>0</v>
      </c>
      <c r="E173" t="n">
        <v>0</v>
      </c>
      <c r="F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Stock</t>
        </is>
      </c>
      <c r="B174" t="inlineStr">
        <is>
          <t>8 in tithe.</t>
        </is>
      </c>
      <c r="C174" t="n">
        <v>0</v>
      </c>
      <c r="D174" t="n">
        <v>0</v>
      </c>
      <c r="E174" t="n">
        <v>0</v>
      </c>
      <c r="F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Stock</t>
        </is>
      </c>
      <c r="B175" t="inlineStr">
        <is>
          <t>79 sent to Wargrave.</t>
        </is>
      </c>
      <c r="C175" t="n">
        <v>0</v>
      </c>
      <c r="D175" t="n">
        <v>0</v>
      </c>
      <c r="E175" t="n">
        <v>0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Stock</t>
        </is>
      </c>
      <c r="B176" t="inlineStr">
        <is>
          <t>Winter cheese: 37 made.</t>
        </is>
      </c>
      <c r="C176" t="n">
        <v>0</v>
      </c>
      <c r="D176" t="n">
        <v>0</v>
      </c>
      <c r="E176" t="n">
        <v>0</v>
      </c>
      <c r="F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Stock</t>
        </is>
      </c>
      <c r="B177" t="inlineStr">
        <is>
          <t>3 in tithe.</t>
        </is>
      </c>
      <c r="C177" t="n">
        <v>0</v>
      </c>
      <c r="D177" t="n">
        <v>0</v>
      </c>
      <c r="E177" t="n">
        <v>0</v>
      </c>
      <c r="F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Stock</t>
        </is>
      </c>
      <c r="B178" t="inlineStr">
        <is>
          <t>34 sold, which made 12 cloves.</t>
        </is>
      </c>
      <c r="C178" t="n">
        <v>0</v>
      </c>
      <c r="D178" t="n">
        <v>0</v>
      </c>
      <c r="E178" t="n">
        <v>0</v>
      </c>
      <c r="F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Stock</t>
        </is>
      </c>
      <c r="B179" t="inlineStr">
        <is>
          <t>Summer cheese: {yield of cow 5 shilling with 1 cheese in customary payment valued at 10pence this year and not more on account of the cleaning of the temses}: 159 cheeses made between the eve of St Mark the Evangelist (24 April) and Michaelmas (29 September), both days included.</t>
        </is>
      </c>
      <c r="C179" t="n">
        <v>0.29</v>
      </c>
      <c r="D179" t="n">
        <v>0</v>
      </c>
      <c r="E179" t="n">
        <v>5</v>
      </c>
      <c r="F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Stock</t>
        </is>
      </c>
      <c r="B180" t="inlineStr">
        <is>
          <t>15 in tithe.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Stock</t>
        </is>
      </c>
      <c r="B181" t="inlineStr">
        <is>
          <t>1 in customary payment for the mowing of the meadows.</t>
        </is>
      </c>
      <c r="C181" t="n">
        <v>0</v>
      </c>
      <c r="D181" t="n">
        <v>0</v>
      </c>
      <c r="E181" t="n">
        <v>0</v>
      </c>
      <c r="F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Stock</t>
        </is>
      </c>
      <c r="B182" t="inlineStr">
        <is>
          <t>143 sold, which made 7 weys.</t>
        </is>
      </c>
      <c r="C182" t="n">
        <v>0</v>
      </c>
      <c r="D182" t="n">
        <v>0</v>
      </c>
      <c r="E182" t="n">
        <v>0</v>
      </c>
      <c r="F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Stock</t>
        </is>
      </c>
      <c r="B183" t="inlineStr">
        <is>
          <t>Butter: 20 cloves from the issue of the dairy this year.</t>
        </is>
      </c>
      <c r="C183" t="n">
        <v>0</v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Stock</t>
        </is>
      </c>
      <c r="B184" t="inlineStr">
        <is>
          <t>all solpence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Stock</t>
        </is>
      </c>
      <c r="B185" t="inlineStr">
        <is>
          <t>Hens: 20 from churchscot this year.</t>
        </is>
      </c>
      <c r="C185" t="n">
        <v>0</v>
      </c>
      <c r="D185" t="n">
        <v>0</v>
      </c>
      <c r="E185" t="n">
        <v>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Stock</t>
        </is>
      </c>
      <c r="B186" t="inlineStr">
        <is>
          <t>4 in default through the death of husbands.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Stock</t>
        </is>
      </c>
      <c r="B187" t="inlineStr">
        <is>
          <t>16 sold.</t>
        </is>
      </c>
      <c r="C187" t="n">
        <v>0</v>
      </c>
      <c r="D187" t="n">
        <v>0</v>
      </c>
      <c r="E187" t="n">
        <v>0</v>
      </c>
      <c r="F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Stock</t>
        </is>
      </c>
      <c r="B188" t="inlineStr">
        <is>
          <t>none remain.</t>
        </is>
      </c>
      <c r="C188" t="n">
        <v>0</v>
      </c>
      <c r="D188" t="n">
        <v>0</v>
      </c>
      <c r="E188" t="n">
        <v>0</v>
      </c>
      <c r="F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Stock</t>
        </is>
      </c>
      <c r="B189" t="inlineStr">
        <is>
          <t>Utensils: 1 wooden cart remains from the previous year.</t>
        </is>
      </c>
      <c r="C189" t="n">
        <v>0</v>
      </c>
      <c r="D189" t="n">
        <v>0</v>
      </c>
      <c r="E189" t="n">
        <v>0</v>
      </c>
      <c r="F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Stock</t>
        </is>
      </c>
      <c r="B190" t="inlineStr">
        <is>
          <t>1 bought.</t>
        </is>
      </c>
      <c r="C190" t="n">
        <v>0</v>
      </c>
      <c r="D190" t="n">
        <v>0</v>
      </c>
      <c r="E190" t="n">
        <v>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Stock</t>
        </is>
      </c>
      <c r="B191" t="inlineStr">
        <is>
          <t>Total, 2. 1 used in the manor.</t>
        </is>
      </c>
      <c r="C191" t="n">
        <v>0</v>
      </c>
      <c r="D191" t="n">
        <v>0</v>
      </c>
      <c r="E191" t="n">
        <v>0</v>
      </c>
      <c r="F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Stock</t>
        </is>
      </c>
      <c r="B192" t="inlineStr">
        <is>
          <t>1 remains. 1 cart-rope, 1 pair of traces, 1 collar, 1 cart-saddle with saddle-pads, 3 old swingletrees for the horses.</t>
        </is>
      </c>
      <c r="C192" t="n">
        <v>0</v>
      </c>
      <c r="D192" t="n">
        <v>0</v>
      </c>
      <c r="E192" t="n">
        <v>0</v>
      </c>
      <c r="F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Stock</t>
        </is>
      </c>
      <c r="B193" t="inlineStr">
        <is>
          <t>all remain.</t>
        </is>
      </c>
      <c r="C193" t="n">
        <v>0</v>
      </c>
      <c r="D193" t="n">
        <v>0</v>
      </c>
      <c r="E193" t="n">
        <v>0</v>
      </c>
      <c r="F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Stock</t>
        </is>
      </c>
      <c r="B194" t="inlineStr">
        <is>
          <t>Sacks: 1 remains from the previous year.</t>
        </is>
      </c>
      <c r="C194" t="n">
        <v>0</v>
      </c>
      <c r="D194" t="n">
        <v>0</v>
      </c>
      <c r="E194" t="n">
        <v>0</v>
      </c>
      <c r="F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Stock</t>
        </is>
      </c>
      <c r="B195" t="inlineStr">
        <is>
          <t>1 bought.</t>
        </is>
      </c>
      <c r="C195" t="n">
        <v>0</v>
      </c>
      <c r="D195" t="n">
        <v>0</v>
      </c>
      <c r="E195" t="n">
        <v>0</v>
      </c>
      <c r="F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Stock</t>
        </is>
      </c>
      <c r="B196" t="inlineStr">
        <is>
          <t>Total, 2. 1 used in the manor.</t>
        </is>
      </c>
      <c r="C196" t="n">
        <v>0</v>
      </c>
      <c r="D196" t="n">
        <v>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Stock</t>
        </is>
      </c>
      <c r="B197" t="inlineStr">
        <is>
          <t>1 remains.</t>
        </is>
      </c>
      <c r="C197" t="n">
        <v>0</v>
      </c>
      <c r="D197" t="n">
        <v>0</v>
      </c>
      <c r="E197" t="n">
        <v>0</v>
      </c>
      <c r="F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Stock</t>
        </is>
      </c>
      <c r="B198" t="inlineStr">
        <is>
          <t>Pans: 1 remains from the previous year.</t>
        </is>
      </c>
      <c r="C198" t="n">
        <v>0</v>
      </c>
      <c r="D198" t="n">
        <v>0</v>
      </c>
      <c r="E198" t="n">
        <v>0</v>
      </c>
      <c r="F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Stock</t>
        </is>
      </c>
      <c r="B199" t="inlineStr">
        <is>
          <t>1 remains.</t>
        </is>
      </c>
      <c r="C199" t="n">
        <v>0</v>
      </c>
      <c r="D199" t="n">
        <v>0</v>
      </c>
      <c r="E199" t="n">
        <v>0</v>
      </c>
      <c r="F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29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Quarters 4</t>
        </is>
      </c>
      <c r="AJ1" s="1" t="inlineStr">
        <is>
          <t>Bushels 4</t>
        </is>
      </c>
      <c r="AK1" s="1" t="inlineStr">
        <is>
          <t>Quarters 5</t>
        </is>
      </c>
      <c r="AL1" s="1" t="inlineStr">
        <is>
          <t>Bushels 5</t>
        </is>
      </c>
    </row>
    <row r="2">
      <c r="A2" t="inlineStr">
        <is>
          <t>Reeve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(yield: two-fold less 6 bushels}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</v>
      </c>
      <c r="Z3" t="n">
        <v>0.75</v>
      </c>
      <c r="AA3" t="n">
        <v>0.75</v>
      </c>
      <c r="AB3" t="n">
        <v>0</v>
      </c>
      <c r="AC3" t="n">
        <v>0</v>
      </c>
      <c r="AD3" t="n">
        <v>6</v>
      </c>
    </row>
    <row r="4">
      <c r="A4" t="inlineStr">
        <is>
          <t>Wheat</t>
        </is>
      </c>
      <c r="B4" t="inlineStr">
        <is>
          <t>The same render account for 8.5 quarters 2 bushels from the whole issue of wheat from the grange with the increment of the granary.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8.5</v>
      </c>
      <c r="U4" t="n">
        <v>2</v>
      </c>
      <c r="V4" t="n">
        <v>8.75</v>
      </c>
      <c r="W4" t="n">
        <v>0</v>
      </c>
      <c r="X4" t="n">
        <v>8.5</v>
      </c>
      <c r="Y4" t="n">
        <v>2</v>
      </c>
      <c r="Z4" t="n">
        <v>8.75</v>
      </c>
      <c r="AA4" t="n">
        <v>8.75</v>
      </c>
      <c r="AB4" t="n">
        <v>0</v>
      </c>
      <c r="AC4" t="n">
        <v>8.5</v>
      </c>
      <c r="AD4" t="n">
        <v>2</v>
      </c>
    </row>
    <row r="5">
      <c r="A5" t="inlineStr">
        <is>
          <t>Wheat</t>
        </is>
      </c>
      <c r="B5" t="inlineStr">
        <is>
          <t>1 qr bought.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Wheat</t>
        </is>
      </c>
      <c r="B6" t="inlineStr">
        <is>
          <t>Total, 9.5 quarters 2 bushels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9.5</v>
      </c>
      <c r="Y6" t="n">
        <v>2</v>
      </c>
      <c r="Z6" t="n">
        <v>9.75</v>
      </c>
      <c r="AA6" t="n">
        <v>9.75</v>
      </c>
      <c r="AB6" t="n">
        <v>0</v>
      </c>
      <c r="AC6" t="n">
        <v>9.5</v>
      </c>
      <c r="AD6" t="n">
        <v>2</v>
      </c>
    </row>
    <row r="7">
      <c r="A7" t="inlineStr">
        <is>
          <t>Wheat</t>
        </is>
      </c>
      <c r="B7" t="inlineStr">
        <is>
          <t>Sown over 9 acres measured by the perch which lie in the field upon the heath, 3 quarters  3 bushels Sold as noted above, 6 quarters 3 bushels</t>
        </is>
      </c>
      <c r="C7" t="n">
        <v>0</v>
      </c>
      <c r="D7" t="n">
        <v>0</v>
      </c>
      <c r="E7" t="n">
        <v>9</v>
      </c>
      <c r="F7" t="n">
        <v>6</v>
      </c>
      <c r="G7" t="n">
        <v>9.75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</v>
      </c>
      <c r="R7" t="n">
        <v>6</v>
      </c>
      <c r="S7" t="n">
        <v>9.75</v>
      </c>
      <c r="T7" t="n">
        <v>0</v>
      </c>
      <c r="U7" t="n">
        <v>0</v>
      </c>
      <c r="V7" t="n">
        <v>0</v>
      </c>
      <c r="W7" t="n">
        <v>0</v>
      </c>
      <c r="X7" t="n">
        <v>6</v>
      </c>
      <c r="Y7" t="n">
        <v>6</v>
      </c>
      <c r="Z7" t="n">
        <v>6.75</v>
      </c>
      <c r="AA7" t="n">
        <v>3</v>
      </c>
      <c r="AB7" t="n">
        <v>3.75</v>
      </c>
      <c r="AC7" t="n">
        <v>3</v>
      </c>
      <c r="AD7" t="n">
        <v>0</v>
      </c>
      <c r="AE7" t="n">
        <v>0</v>
      </c>
      <c r="AF7" t="n">
        <v>3</v>
      </c>
      <c r="AG7" t="n">
        <v>6</v>
      </c>
      <c r="AH7" t="n">
        <v>3</v>
      </c>
    </row>
    <row r="8">
      <c r="A8" t="inlineStr">
        <is>
          <t>Wheat</t>
        </is>
      </c>
      <c r="B8" t="inlineStr">
        <is>
          <t>Total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Mancorn</t>
        </is>
      </c>
      <c r="B9" t="inlineStr">
        <is>
          <t>{yield: two-and-a-half-fold plus 2 quarters} The same render account for 39.5 quarters from the whole issue of mancom from the grange with the increment of the granary.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41.5</v>
      </c>
      <c r="U9" t="n">
        <v>0</v>
      </c>
      <c r="V9" t="n">
        <v>41.5</v>
      </c>
      <c r="W9" t="n">
        <v>0</v>
      </c>
      <c r="X9" t="n">
        <v>39.5</v>
      </c>
      <c r="Y9" t="n">
        <v>0</v>
      </c>
      <c r="Z9" t="n">
        <v>39.5</v>
      </c>
      <c r="AA9" t="n">
        <v>2</v>
      </c>
      <c r="AB9" t="n">
        <v>37.5</v>
      </c>
      <c r="AC9" t="n">
        <v>2</v>
      </c>
      <c r="AD9" t="n">
        <v>0</v>
      </c>
      <c r="AE9" t="n">
        <v>39.5</v>
      </c>
      <c r="AF9" t="n">
        <v>0</v>
      </c>
    </row>
    <row r="10">
      <c r="A10" t="inlineStr">
        <is>
          <t>Mancorn</t>
        </is>
      </c>
      <c r="B10" t="inlineStr">
        <is>
          <t>19 quarters bought.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0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</v>
      </c>
      <c r="Y10" t="n">
        <v>0</v>
      </c>
      <c r="Z10" t="n">
        <v>19</v>
      </c>
      <c r="AA10" t="n">
        <v>19</v>
      </c>
      <c r="AB10" t="n">
        <v>0</v>
      </c>
      <c r="AC10" t="n">
        <v>19</v>
      </c>
      <c r="AD10" t="n">
        <v>0</v>
      </c>
    </row>
    <row r="11">
      <c r="A11" t="inlineStr">
        <is>
          <t>Mancorn</t>
        </is>
      </c>
      <c r="B11" t="inlineStr">
        <is>
          <t>Total, 58.5 quarters.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58.5</v>
      </c>
      <c r="Y11" t="n">
        <v>0</v>
      </c>
      <c r="Z11" t="n">
        <v>58.5</v>
      </c>
      <c r="AA11" t="n">
        <v>58.5</v>
      </c>
      <c r="AB11" t="n">
        <v>0</v>
      </c>
      <c r="AC11" t="n">
        <v>58.5</v>
      </c>
      <c r="AD11" t="n">
        <v>0</v>
      </c>
    </row>
    <row r="12">
      <c r="A12" t="inlineStr">
        <is>
          <t>Mancorn</t>
        </is>
      </c>
      <c r="B12" t="inlineStr">
        <is>
          <t>Sown over 51 acres measured by the perch as they lief in the field upon the heath, 19 quarters.</t>
        </is>
      </c>
      <c r="C12" t="n">
        <v>0</v>
      </c>
      <c r="D12" t="n">
        <v>0</v>
      </c>
      <c r="E12" t="n">
        <v>19</v>
      </c>
      <c r="F12" t="n">
        <v>0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</v>
      </c>
      <c r="Y12" t="n">
        <v>0</v>
      </c>
      <c r="Z12" t="n">
        <v>19</v>
      </c>
      <c r="AA12" t="n">
        <v>19</v>
      </c>
      <c r="AB12" t="n">
        <v>0</v>
      </c>
      <c r="AC12" t="n">
        <v>19</v>
      </c>
      <c r="AD12" t="n">
        <v>0</v>
      </c>
    </row>
    <row r="13">
      <c r="A13" t="inlineStr">
        <is>
          <t>Mancorn</t>
        </is>
      </c>
      <c r="B13" t="inlineStr">
        <is>
          <t>that is, 3 bushels an acre, less 1 bushels in all.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0.125</v>
      </c>
      <c r="AA13" t="n">
        <v>0.375</v>
      </c>
      <c r="AB13" t="n">
        <v>-0.25</v>
      </c>
      <c r="AC13" t="n">
        <v>0</v>
      </c>
      <c r="AD13" t="n">
        <v>3</v>
      </c>
      <c r="AE13" t="n">
        <v>0</v>
      </c>
      <c r="AF13" t="n">
        <v>1</v>
      </c>
    </row>
    <row r="14">
      <c r="A14" t="inlineStr">
        <is>
          <t>Mancorn</t>
        </is>
      </c>
      <c r="B14" t="inlineStr">
        <is>
          <t>Delivered to 1 drover and 1 dairymaid for the year, 10 quarters 3 bushels, because they take a quarter every 10 weeks.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</v>
      </c>
      <c r="Y14" t="n">
        <v>3</v>
      </c>
      <c r="Z14" t="n">
        <v>10.375</v>
      </c>
      <c r="AA14" t="n">
        <v>10.375</v>
      </c>
      <c r="AB14" t="n">
        <v>0</v>
      </c>
      <c r="AC14" t="n">
        <v>10</v>
      </c>
      <c r="AD14" t="n">
        <v>3</v>
      </c>
    </row>
    <row r="15">
      <c r="A15" t="inlineStr">
        <is>
          <t>Mancorn</t>
        </is>
      </c>
      <c r="B15" t="inlineStr">
        <is>
          <t>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Mancorn</t>
        </is>
      </c>
      <c r="B16" t="inlineStr">
        <is>
          <t>customary payment for the mowing of the meadows, 5 bushels Sold, 28 quarters 3 bushels Sold at the audit, 1 bushels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3</v>
      </c>
      <c r="S16" t="n">
        <v>28.375</v>
      </c>
      <c r="T16" t="n">
        <v>0</v>
      </c>
      <c r="U16" t="n">
        <v>0</v>
      </c>
      <c r="V16" t="n">
        <v>0</v>
      </c>
      <c r="W16" t="n">
        <v>0</v>
      </c>
      <c r="X16" t="n">
        <v>28</v>
      </c>
      <c r="Y16" t="n">
        <v>4</v>
      </c>
      <c r="Z16" t="n">
        <v>28.5</v>
      </c>
      <c r="AA16" t="n">
        <v>0.625</v>
      </c>
      <c r="AB16" t="n">
        <v>27.875</v>
      </c>
      <c r="AC16" t="n">
        <v>0</v>
      </c>
      <c r="AD16" t="n">
        <v>5</v>
      </c>
      <c r="AE16" t="n">
        <v>28</v>
      </c>
      <c r="AF16" t="n">
        <v>3</v>
      </c>
      <c r="AG16" t="n">
        <v>0</v>
      </c>
      <c r="AH16" t="n">
        <v>1</v>
      </c>
    </row>
    <row r="17">
      <c r="A17" t="inlineStr">
        <is>
          <t>Mancorn</t>
        </is>
      </c>
      <c r="B17" t="inlineStr">
        <is>
          <t>Total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Barley</t>
        </is>
      </c>
      <c r="B18" t="inlineStr">
        <is>
          <t>{yield: three-fold less 1 bushels}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0.125</v>
      </c>
      <c r="AA18" t="n">
        <v>0.125</v>
      </c>
      <c r="AB18" t="n">
        <v>0</v>
      </c>
      <c r="AC18" t="n">
        <v>0</v>
      </c>
      <c r="AD18" t="n">
        <v>1</v>
      </c>
    </row>
    <row r="19">
      <c r="A19" t="inlineStr">
        <is>
          <t>Barley</t>
        </is>
      </c>
      <c r="B19" t="inlineStr">
        <is>
          <t>The same render account for 19 quarters from the whole issue of the grange with the increment of the granary.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</v>
      </c>
      <c r="U19" t="n">
        <v>0</v>
      </c>
      <c r="V19" t="n">
        <v>19</v>
      </c>
      <c r="W19" t="n">
        <v>0</v>
      </c>
      <c r="X19" t="n">
        <v>19</v>
      </c>
      <c r="Y19" t="n">
        <v>0</v>
      </c>
      <c r="Z19" t="n">
        <v>19</v>
      </c>
      <c r="AA19" t="n">
        <v>19</v>
      </c>
      <c r="AB19" t="n">
        <v>0</v>
      </c>
      <c r="AC19" t="n">
        <v>19</v>
      </c>
      <c r="AD19" t="n">
        <v>0</v>
      </c>
    </row>
    <row r="20">
      <c r="A20" t="inlineStr">
        <is>
          <t>Barley</t>
        </is>
      </c>
      <c r="B20" t="inlineStr">
        <is>
          <t>Sown over 15 acres which lie in the field of la Doun', 7 quarters 3 bushels.</t>
        </is>
      </c>
      <c r="C20" t="n">
        <v>0</v>
      </c>
      <c r="D20" t="n">
        <v>0</v>
      </c>
      <c r="E20" t="n">
        <v>7</v>
      </c>
      <c r="F20" t="n">
        <v>3</v>
      </c>
      <c r="G20" t="n">
        <v>7.375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</v>
      </c>
      <c r="Y20" t="n">
        <v>3</v>
      </c>
      <c r="Z20" t="n">
        <v>7.375</v>
      </c>
      <c r="AA20" t="n">
        <v>7.375</v>
      </c>
      <c r="AB20" t="n">
        <v>0</v>
      </c>
      <c r="AC20" t="n">
        <v>7</v>
      </c>
      <c r="AD20" t="n">
        <v>3</v>
      </c>
    </row>
    <row r="21">
      <c r="A21" t="inlineStr">
        <is>
          <t>Barley</t>
        </is>
      </c>
      <c r="B21" t="inlineStr">
        <is>
          <t>that is, 4 bushels an acre, less 1 bushels in all.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0.125</v>
      </c>
      <c r="AA21" t="n">
        <v>0.5</v>
      </c>
      <c r="AB21" t="n">
        <v>-0.375</v>
      </c>
      <c r="AC21" t="n">
        <v>0</v>
      </c>
      <c r="AD21" t="n">
        <v>4</v>
      </c>
      <c r="AE21" t="n">
        <v>0</v>
      </c>
      <c r="AF21" t="n">
        <v>1</v>
      </c>
    </row>
    <row r="22">
      <c r="A22" t="inlineStr">
        <is>
          <t>Barley</t>
        </is>
      </c>
      <c r="B22" t="inlineStr">
        <is>
          <t>Sold, 11.5 quarters 1 bushels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</v>
      </c>
      <c r="R22" t="n">
        <v>1</v>
      </c>
      <c r="S22" t="n">
        <v>11.625</v>
      </c>
      <c r="T22" t="n">
        <v>0</v>
      </c>
      <c r="U22" t="n">
        <v>0</v>
      </c>
      <c r="V22" t="n">
        <v>0</v>
      </c>
      <c r="W22" t="n">
        <v>0</v>
      </c>
      <c r="X22" t="n">
        <v>11.5</v>
      </c>
      <c r="Y22" t="n">
        <v>1</v>
      </c>
      <c r="Z22" t="n">
        <v>11.625</v>
      </c>
      <c r="AA22" t="n">
        <v>11.625</v>
      </c>
      <c r="AB22" t="n">
        <v>0</v>
      </c>
      <c r="AC22" t="n">
        <v>11.5</v>
      </c>
      <c r="AD22" t="n">
        <v>1</v>
      </c>
    </row>
    <row r="23">
      <c r="A23" t="inlineStr">
        <is>
          <t>Barley</t>
        </is>
      </c>
      <c r="B23" t="inlineStr">
        <is>
          <t>Total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Oats</t>
        </is>
      </c>
      <c r="B24" t="inlineStr">
        <is>
          <t>{yield: 2 bushels more than sown}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0.25</v>
      </c>
      <c r="AA24" t="n">
        <v>0.25</v>
      </c>
      <c r="AB24" t="n">
        <v>0</v>
      </c>
      <c r="AC24" t="n">
        <v>0</v>
      </c>
      <c r="AD24" t="n">
        <v>2</v>
      </c>
    </row>
    <row r="25">
      <c r="A25" t="inlineStr">
        <is>
          <t>Oats</t>
        </is>
      </c>
      <c r="B25" t="inlineStr">
        <is>
          <t>The same render account for 20 quarters from the whole issue of oats from the grange with the increment of the granary.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</v>
      </c>
      <c r="U25" t="n">
        <v>0</v>
      </c>
      <c r="V25" t="n">
        <v>20</v>
      </c>
      <c r="W25" t="n">
        <v>0</v>
      </c>
      <c r="X25" t="n">
        <v>20</v>
      </c>
      <c r="Y25" t="n">
        <v>0</v>
      </c>
      <c r="Z25" t="n">
        <v>20</v>
      </c>
      <c r="AA25" t="n">
        <v>20</v>
      </c>
      <c r="AB25" t="n">
        <v>0</v>
      </c>
      <c r="AC25" t="n">
        <v>20</v>
      </c>
      <c r="AD25" t="n">
        <v>0</v>
      </c>
    </row>
    <row r="26">
      <c r="A26" t="inlineStr">
        <is>
          <t>Oats</t>
        </is>
      </c>
      <c r="B26" t="inlineStr">
        <is>
          <t>Sown over 26 acres measured by the perch as they lie in the fields of la Doun' and Stanlych', 15.5 quarters 3 bushels.</t>
        </is>
      </c>
      <c r="C26" t="n">
        <v>0</v>
      </c>
      <c r="D26" t="n">
        <v>0</v>
      </c>
      <c r="E26" t="n">
        <v>15.5</v>
      </c>
      <c r="F26" t="n">
        <v>3</v>
      </c>
      <c r="G26" t="n">
        <v>15.875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15.5</v>
      </c>
      <c r="Y26" t="n">
        <v>3</v>
      </c>
      <c r="Z26" t="n">
        <v>15.875</v>
      </c>
      <c r="AA26" t="n">
        <v>15.875</v>
      </c>
      <c r="AB26" t="n">
        <v>0</v>
      </c>
      <c r="AC26" t="n">
        <v>15.5</v>
      </c>
      <c r="AD26" t="n">
        <v>3</v>
      </c>
    </row>
    <row r="27">
      <c r="A27" t="inlineStr">
        <is>
          <t>Oats</t>
        </is>
      </c>
      <c r="B27" t="inlineStr">
        <is>
          <t>that is, 5 bushels an acre, plus 2 bushels in all.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0.25</v>
      </c>
      <c r="AA27" t="n">
        <v>0.625</v>
      </c>
      <c r="AB27" t="n">
        <v>-0.375</v>
      </c>
      <c r="AC27" t="n">
        <v>0</v>
      </c>
      <c r="AD27" t="n">
        <v>5</v>
      </c>
      <c r="AE27" t="n">
        <v>0</v>
      </c>
      <c r="AF27" t="n">
        <v>2</v>
      </c>
    </row>
    <row r="28">
      <c r="A28" t="inlineStr">
        <is>
          <t>Oats</t>
        </is>
      </c>
      <c r="B28" t="inlineStr">
        <is>
          <t>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Oats</t>
        </is>
      </c>
      <c r="B29" t="inlineStr">
        <is>
          <t>fodder of 7 plough-horses, 4 quarters 1 bushels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1</v>
      </c>
      <c r="P29" t="n">
        <v>4.125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1</v>
      </c>
      <c r="Z29" t="n">
        <v>4.125</v>
      </c>
      <c r="AA29" t="n">
        <v>4.125</v>
      </c>
      <c r="AB29" t="n">
        <v>0</v>
      </c>
      <c r="AC29" t="n">
        <v>4</v>
      </c>
      <c r="AD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6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Quarters 3</t>
        </is>
      </c>
      <c r="Z1" s="1" t="inlineStr">
        <is>
          <t>Bushels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Quarters 4</t>
        </is>
      </c>
      <c r="AD1" s="1" t="inlineStr">
        <is>
          <t>Bushels 4</t>
        </is>
      </c>
      <c r="AE1" s="1" t="inlineStr">
        <is>
          <t>£ a quarter 1</t>
        </is>
      </c>
      <c r="AF1" s="1" t="inlineStr">
        <is>
          <t>£ a quarter 2</t>
        </is>
      </c>
      <c r="AG1" s="1" t="inlineStr">
        <is>
          <t>£ a quarter 3</t>
        </is>
      </c>
      <c r="AH1" s="1" t="inlineStr">
        <is>
          <t>£ a quarter 4</t>
        </is>
      </c>
      <c r="AI1" s="1" t="inlineStr">
        <is>
          <t>Quarters Sold</t>
        </is>
      </c>
      <c r="AJ1" s="1" t="inlineStr">
        <is>
          <t>Weighted Average Price per Quarter</t>
        </is>
      </c>
      <c r="AK1" s="1" t="inlineStr">
        <is>
          <t>Non-Weighted Average Price per Quarter</t>
        </is>
      </c>
      <c r="AL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£1 7 shilling 7.5pence from 6 quarters 3 bushels of wheat sold, at 4 shilling 4pence a quarters.</t>
        </is>
      </c>
      <c r="C2" t="n">
        <v>1.38</v>
      </c>
      <c r="D2" t="n">
        <v>1</v>
      </c>
      <c r="E2" t="n">
        <v>7</v>
      </c>
      <c r="F2" t="n">
        <v>7.5</v>
      </c>
      <c r="G2" t="inlineStr">
        <is>
          <t>wheat</t>
        </is>
      </c>
      <c r="H2" t="n">
        <v>6</v>
      </c>
      <c r="I2" t="n">
        <v>3</v>
      </c>
      <c r="J2" t="n">
        <v>6.375</v>
      </c>
      <c r="K2" t="n">
        <v>6.375</v>
      </c>
      <c r="L2" t="n">
        <v>0</v>
      </c>
      <c r="M2" t="n">
        <v>6</v>
      </c>
      <c r="N2" t="n">
        <v>3</v>
      </c>
      <c r="O2" t="n">
        <v>4</v>
      </c>
      <c r="P2" t="n">
        <v>4</v>
      </c>
      <c r="AE2" t="n">
        <v>0.2166666666666667</v>
      </c>
      <c r="AI2" t="n">
        <v>6.375</v>
      </c>
      <c r="AJ2" t="n">
        <v>0.2166666666666667</v>
      </c>
      <c r="AK2" t="n">
        <v>0.2166666666666667</v>
      </c>
      <c r="AL2" t="inlineStr">
        <is>
          <t>wheat</t>
        </is>
      </c>
    </row>
    <row r="3">
      <c r="A3" t="inlineStr">
        <is>
          <t>Sale of corn</t>
        </is>
      </c>
      <c r="B3" t="inlineStr">
        <is>
          <t>£3 10 shilling 11.25pence from 28 quarters 3 bushels of mancorn sold, at 2 shilling 6pence a quarters.</t>
        </is>
      </c>
      <c r="C3" t="n">
        <v>3.55</v>
      </c>
      <c r="D3" t="n">
        <v>3</v>
      </c>
      <c r="E3" t="n">
        <v>10</v>
      </c>
      <c r="F3" t="n">
        <v>11.25</v>
      </c>
      <c r="G3" t="inlineStr">
        <is>
          <t>mancorn</t>
        </is>
      </c>
      <c r="H3" t="n">
        <v>28</v>
      </c>
      <c r="I3" t="n">
        <v>3</v>
      </c>
      <c r="J3" t="n">
        <v>28.375</v>
      </c>
      <c r="K3" t="n">
        <v>28.375</v>
      </c>
      <c r="L3" t="n">
        <v>0</v>
      </c>
      <c r="M3" t="n">
        <v>28</v>
      </c>
      <c r="N3" t="n">
        <v>3</v>
      </c>
      <c r="O3" t="n">
        <v>2</v>
      </c>
      <c r="P3" t="n">
        <v>6</v>
      </c>
      <c r="AE3" t="n">
        <v>0.125</v>
      </c>
      <c r="AI3" t="n">
        <v>28.375</v>
      </c>
      <c r="AJ3" t="n">
        <v>0.125</v>
      </c>
      <c r="AK3" t="n">
        <v>0.125</v>
      </c>
      <c r="AL3" t="inlineStr">
        <is>
          <t>mancorn</t>
        </is>
      </c>
    </row>
    <row r="4">
      <c r="A4" t="inlineStr">
        <is>
          <t>Sale of corn</t>
        </is>
      </c>
      <c r="B4" t="inlineStr">
        <is>
          <t>3.75pence from 1 bushels sold at the audit.</t>
        </is>
      </c>
      <c r="C4" t="n">
        <v>0.02</v>
      </c>
      <c r="D4" t="n">
        <v>0</v>
      </c>
      <c r="E4" t="n">
        <v>0</v>
      </c>
      <c r="F4" t="n">
        <v>3.75</v>
      </c>
      <c r="H4" t="n">
        <v>0</v>
      </c>
      <c r="I4" t="n">
        <v>1</v>
      </c>
      <c r="J4" t="n">
        <v>0.125</v>
      </c>
      <c r="K4" t="n">
        <v>0.125</v>
      </c>
      <c r="L4" t="n">
        <v>0</v>
      </c>
      <c r="M4" t="n">
        <v>0</v>
      </c>
      <c r="N4" t="n">
        <v>1</v>
      </c>
      <c r="AE4" t="n">
        <v>0.16</v>
      </c>
      <c r="AI4" t="n">
        <v>0.125</v>
      </c>
      <c r="AJ4" t="n">
        <v>0.16</v>
      </c>
      <c r="AK4" t="n">
        <v>0.16</v>
      </c>
    </row>
    <row r="5">
      <c r="A5" t="inlineStr">
        <is>
          <t>Sale of corn</t>
        </is>
      </c>
      <c r="B5" t="inlineStr">
        <is>
          <t>£1 18 shilling 9pence from 11.5 quarters 1 bushels of barley sold, at 3 shilling 4pence a quarters.</t>
        </is>
      </c>
      <c r="C5" t="n">
        <v>1.94</v>
      </c>
      <c r="D5" t="n">
        <v>1</v>
      </c>
      <c r="E5" t="n">
        <v>18</v>
      </c>
      <c r="F5" t="n">
        <v>9</v>
      </c>
      <c r="G5" t="inlineStr">
        <is>
          <t>barley</t>
        </is>
      </c>
      <c r="H5" t="n">
        <v>11.5</v>
      </c>
      <c r="I5" t="n">
        <v>1</v>
      </c>
      <c r="J5" t="n">
        <v>11.625</v>
      </c>
      <c r="K5" t="n">
        <v>11.625</v>
      </c>
      <c r="L5" t="n">
        <v>0</v>
      </c>
      <c r="M5" t="n">
        <v>11.5</v>
      </c>
      <c r="N5" t="n">
        <v>1</v>
      </c>
      <c r="O5" t="n">
        <v>3</v>
      </c>
      <c r="P5" t="n">
        <v>4</v>
      </c>
      <c r="AE5" t="n">
        <v>0.1666666666666667</v>
      </c>
      <c r="AI5" t="n">
        <v>11.625</v>
      </c>
      <c r="AJ5" t="n">
        <v>0.1666666666666667</v>
      </c>
      <c r="AK5" t="n">
        <v>0.1666666666666667</v>
      </c>
      <c r="AL5" t="inlineStr">
        <is>
          <t>barley</t>
        </is>
      </c>
    </row>
    <row r="6">
      <c r="A6" t="inlineStr">
        <is>
          <t>Sale of corn</t>
        </is>
      </c>
      <c r="B6" t="inlineStr">
        <is>
          <t>Total, £6 17 shilling 7.5pence</t>
        </is>
      </c>
      <c r="C6" t="n">
        <v>6.88</v>
      </c>
      <c r="D6" t="n">
        <v>6</v>
      </c>
      <c r="E6" t="n">
        <v>17</v>
      </c>
      <c r="F6" t="n">
        <v>7.5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AE6" t="inlineStr">
        <is>
          <t>inf</t>
        </is>
      </c>
      <c r="AI6" t="n">
        <v>0</v>
      </c>
      <c r="AJ6" t="inlineStr">
        <is>
          <t>inf</t>
        </is>
      </c>
      <c r="AK6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2025-12-18T10:16:59Z</dcterms:modified>
  <cp:lastModifiedBy>Kowalski, Kuba</cp:lastModifiedBy>
</cp:coreProperties>
</file>
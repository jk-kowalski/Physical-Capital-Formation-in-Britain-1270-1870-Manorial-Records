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Marshalsea Overview - Completed" sheetId="1" state="visible" r:id="rId1"/>
    <sheet xmlns:r="http://schemas.openxmlformats.org/officeDocument/2006/relationships" name="Prices" sheetId="2" state="visible" r:id="rId2"/>
    <sheet xmlns:r="http://schemas.openxmlformats.org/officeDocument/2006/relationships" name="Labour Rents" sheetId="3" state="visible" r:id="rId3"/>
    <sheet xmlns:r="http://schemas.openxmlformats.org/officeDocument/2006/relationships" name="Overview" sheetId="4" state="visible" r:id="rId4"/>
    <sheet xmlns:r="http://schemas.openxmlformats.org/officeDocument/2006/relationships" name="Receipts" sheetId="5" state="visible" r:id="rId5"/>
    <sheet xmlns:r="http://schemas.openxmlformats.org/officeDocument/2006/relationships" name="Expenses" sheetId="6" state="visible" r:id="rId6"/>
    <sheet xmlns:r="http://schemas.openxmlformats.org/officeDocument/2006/relationships" name="Issues of the Grange" sheetId="7" state="visible" r:id="rId7"/>
    <sheet xmlns:r="http://schemas.openxmlformats.org/officeDocument/2006/relationships" name="Issues of the Mills" sheetId="8" state="visible" r:id="rId8"/>
    <sheet xmlns:r="http://schemas.openxmlformats.org/officeDocument/2006/relationships" name="Stock" sheetId="9" state="visible" r:id="rId9"/>
    <sheet xmlns:r="http://schemas.openxmlformats.org/officeDocument/2006/relationships" name="raw data" sheetId="10" state="visible" r:id="rId10"/>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9">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
      <name val="Calibri (Body)"/>
      <color rgb="FFFF0000"/>
      <sz val="11"/>
    </font>
  </fonts>
  <fills count="11">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s>
  <borders count="17">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30">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2" fontId="9" fillId="0" borderId="0" applyAlignment="1" pivotButton="0" quotePrefix="0" xfId="0">
      <alignment horizontal="center"/>
    </xf>
    <xf numFmtId="2" fontId="11" fillId="0" borderId="0" applyAlignment="1" pivotButton="0" quotePrefix="0" xfId="0">
      <alignment horizontal="center" vertical="top"/>
    </xf>
    <xf numFmtId="2" fontId="28"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MARSHALSEA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26.32</v>
      </c>
      <c r="D4" s="13" t="n"/>
      <c r="E4" s="13" t="n"/>
    </row>
    <row r="5">
      <c r="A5" s="15" t="inlineStr">
        <is>
          <t>Rents of assize total</t>
        </is>
      </c>
      <c r="B5" s="76" t="n">
        <v>0.33</v>
      </c>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row>
    <row r="15">
      <c r="A15" s="15" t="inlineStr">
        <is>
          <t>Issues of the Manor total</t>
        </is>
      </c>
      <c r="B15" s="76" t="n"/>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SUM(B5:B22)</f>
        <v/>
      </c>
      <c r="C23" s="80" t="n"/>
    </row>
    <row r="24">
      <c r="A24" s="82" t="inlineStr">
        <is>
          <t>Total of all receipts (calculated here) incl arrears</t>
        </is>
      </c>
      <c r="B24">
        <f>SUM(B4:B22)</f>
        <v/>
      </c>
      <c r="D24" s="13" t="n"/>
      <c r="E24" s="13" t="n"/>
    </row>
    <row r="25">
      <c r="A25" s="83" t="inlineStr">
        <is>
          <t>Total recorded in the accounts excl. arrears</t>
        </is>
      </c>
      <c r="B25" s="76" t="n"/>
      <c r="C25" s="10">
        <f>B23-B25</f>
        <v/>
      </c>
    </row>
    <row r="26">
      <c r="A26" s="83" t="inlineStr">
        <is>
          <t>Total recorded in the accounts incl. arrears</t>
        </is>
      </c>
      <c r="B26">
        <f>B25+B4</f>
        <v/>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row>
    <row r="51">
      <c r="A51" s="15" t="n"/>
    </row>
    <row r="52">
      <c r="A52" s="18" t="inlineStr">
        <is>
          <t>Allowances</t>
        </is>
      </c>
      <c r="B52" s="84" t="n"/>
    </row>
    <row r="53">
      <c r="A53" s="18" t="inlineStr">
        <is>
          <t>Cash deliveries</t>
        </is>
      </c>
      <c r="B53" s="84" t="n"/>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t="n"/>
      <c r="C71" s="94" t="n"/>
      <c r="D71" s="93" t="n"/>
      <c r="E71" s="93" t="n"/>
    </row>
    <row r="72">
      <c r="A72" s="17" t="inlineStr">
        <is>
          <t>Total value of net production</t>
        </is>
      </c>
      <c r="B72" s="93" t="n"/>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c r="C87" s="76" t="n"/>
      <c r="D87" s="76">
        <f>C87-B87</f>
        <v/>
      </c>
      <c r="F87" s="84">
        <f>'Stock'!K5*'Stock'!O5</f>
        <v/>
      </c>
      <c r="G87" s="84">
        <f>D87*'Stock'!O5</f>
        <v/>
      </c>
    </row>
    <row r="88">
      <c r="A88" s="22" t="inlineStr">
        <is>
          <t>Mares</t>
        </is>
      </c>
      <c r="B88" s="76" t="n"/>
      <c r="C88" s="76" t="n"/>
      <c r="D88" s="76">
        <f>C88-B88</f>
        <v/>
      </c>
      <c r="F88" s="84">
        <f>'Stock'!K6*'Stock'!O6</f>
        <v/>
      </c>
      <c r="G88" s="84">
        <f>D88*'Stock'!O6</f>
        <v/>
      </c>
    </row>
    <row r="89">
      <c r="A89" s="15" t="inlineStr">
        <is>
          <t>Plough horses</t>
        </is>
      </c>
      <c r="B89" s="76" t="n"/>
      <c r="C89" s="76" t="n"/>
      <c r="D89" s="76">
        <f>C89-B89</f>
        <v/>
      </c>
      <c r="F89" s="84">
        <f>'Stock'!K7*'Stock'!O7</f>
        <v/>
      </c>
      <c r="G89" s="84">
        <f>D89*'Stock'!O7</f>
        <v/>
      </c>
    </row>
    <row r="90">
      <c r="A90" s="15" t="inlineStr">
        <is>
          <t>Colts (2 years)</t>
        </is>
      </c>
      <c r="B90" s="76" t="n"/>
      <c r="C90" s="76" t="n"/>
      <c r="D90" s="76">
        <f>C90-B90</f>
        <v/>
      </c>
      <c r="F90" s="84">
        <f>'Stock'!K8*'Stock'!O8</f>
        <v/>
      </c>
      <c r="G90" s="84">
        <f>D90*'Stock'!O8</f>
        <v/>
      </c>
    </row>
    <row r="91">
      <c r="A91" s="15" t="inlineStr">
        <is>
          <t>Colts (2 years)</t>
        </is>
      </c>
      <c r="B91" s="76" t="n"/>
      <c r="C91" s="76" t="n"/>
      <c r="D91" s="76">
        <f>C91-B91</f>
        <v/>
      </c>
      <c r="F91" s="84">
        <f>'Stock'!K9*'Stock'!O9</f>
        <v/>
      </c>
      <c r="G91" s="84">
        <f>D91*'Stock'!O9</f>
        <v/>
      </c>
    </row>
    <row r="92">
      <c r="A92" s="15" t="inlineStr">
        <is>
          <t>Colts (1 year)</t>
        </is>
      </c>
      <c r="B92" s="76" t="n"/>
      <c r="C92" s="76" t="n"/>
      <c r="D92" s="76">
        <f>C92-B92</f>
        <v/>
      </c>
      <c r="F92" s="84">
        <f>'Stock'!K10*'Stock'!O10</f>
        <v/>
      </c>
      <c r="G92" s="84">
        <f>D92*'Stock'!O10</f>
        <v/>
      </c>
    </row>
    <row r="93">
      <c r="A93" s="15" t="inlineStr">
        <is>
          <t>Foals</t>
        </is>
      </c>
      <c r="B93" s="76" t="n"/>
      <c r="C93" s="76" t="n"/>
      <c r="D93" s="76">
        <f>C93-B93</f>
        <v/>
      </c>
      <c r="F93" s="84">
        <f>'Stock'!K11*'Stock'!O11</f>
        <v/>
      </c>
      <c r="G93" s="84">
        <f>D93*'Stock'!O11</f>
        <v/>
      </c>
    </row>
    <row r="94">
      <c r="A94" s="15" t="inlineStr">
        <is>
          <t>Oxen</t>
        </is>
      </c>
      <c r="B94" s="76" t="n"/>
      <c r="C94" s="76" t="n"/>
      <c r="D94" s="76">
        <f>C94-B94</f>
        <v/>
      </c>
      <c r="F94" s="84">
        <f>'Stock'!K12*'Stock'!O12</f>
        <v/>
      </c>
      <c r="G94" s="84">
        <f>D94*'Stock'!O12</f>
        <v/>
      </c>
    </row>
    <row r="95">
      <c r="A95" s="15" t="inlineStr">
        <is>
          <t>Bulls</t>
        </is>
      </c>
      <c r="B95" s="76" t="n"/>
      <c r="C95" s="76" t="n"/>
      <c r="D95" s="76">
        <f>C95-B95</f>
        <v/>
      </c>
      <c r="F95" s="84">
        <f>'Stock'!K13*'Stock'!O13</f>
        <v/>
      </c>
      <c r="G95" s="84">
        <f>D95*'Stock'!O13</f>
        <v/>
      </c>
    </row>
    <row r="96">
      <c r="A96" s="15" t="inlineStr">
        <is>
          <t>Cows</t>
        </is>
      </c>
      <c r="B96" s="76" t="n"/>
      <c r="C96" s="76" t="n"/>
      <c r="D96" s="76">
        <f>C96-B96</f>
        <v/>
      </c>
      <c r="F96" s="84">
        <f>'Stock'!K14*'Stock'!O14</f>
        <v/>
      </c>
      <c r="G96" s="84">
        <f>D96*'Stock'!O14</f>
        <v/>
      </c>
    </row>
    <row r="97">
      <c r="A97" s="15" t="inlineStr">
        <is>
          <t>Steers</t>
        </is>
      </c>
      <c r="B97" s="76" t="n"/>
      <c r="C97" s="76" t="n"/>
      <c r="D97" s="76">
        <f>C97-B97</f>
        <v/>
      </c>
      <c r="F97" s="84">
        <f>'Stock'!K15*'Stock'!O15</f>
        <v/>
      </c>
      <c r="G97" s="84">
        <f>D97*'Stock'!O15</f>
        <v/>
      </c>
    </row>
    <row r="98">
      <c r="A98" s="15" t="inlineStr">
        <is>
          <t>Bullocks</t>
        </is>
      </c>
      <c r="B98" s="76" t="n"/>
      <c r="C98" s="76" t="n"/>
      <c r="D98" s="76">
        <f>C98-B98</f>
        <v/>
      </c>
      <c r="F98" s="84">
        <f>'Stock'!K16*'Stock'!O16</f>
        <v/>
      </c>
      <c r="G98" s="84">
        <f>D98*'Stock'!O16</f>
        <v/>
      </c>
    </row>
    <row r="99">
      <c r="A99" s="15" t="inlineStr">
        <is>
          <t>Yearlings</t>
        </is>
      </c>
      <c r="B99" s="76" t="n"/>
      <c r="C99" s="76" t="n"/>
      <c r="D99" s="76">
        <f>C99-B99</f>
        <v/>
      </c>
      <c r="F99" s="84">
        <f>'Stock'!K17*'Stock'!O17</f>
        <v/>
      </c>
      <c r="G99" s="84">
        <f>D99*'Stock'!O17</f>
        <v/>
      </c>
    </row>
    <row r="100">
      <c r="A100" s="15" t="inlineStr">
        <is>
          <t>Calves</t>
        </is>
      </c>
      <c r="B100" s="76" t="n"/>
      <c r="C100" s="76" t="n"/>
      <c r="D100" s="76">
        <f>C100-B100</f>
        <v/>
      </c>
      <c r="F100" s="84">
        <f>'Stock'!K18*'Stock'!O18</f>
        <v/>
      </c>
      <c r="G100" s="84">
        <f>D100*'Stock'!O18</f>
        <v/>
      </c>
    </row>
    <row r="101">
      <c r="A101" s="15" t="inlineStr">
        <is>
          <t>Wethers</t>
        </is>
      </c>
      <c r="B101" s="76" t="n"/>
      <c r="C101" s="76" t="n"/>
      <c r="D101" s="76">
        <f>C101-B101</f>
        <v/>
      </c>
      <c r="F101" s="84">
        <f>'Stock'!K19*'Stock'!O19</f>
        <v/>
      </c>
      <c r="G101" s="84">
        <f>D101*'Stock'!O19</f>
        <v/>
      </c>
    </row>
    <row r="102">
      <c r="A102" s="15" t="inlineStr">
        <is>
          <t>Rams</t>
        </is>
      </c>
      <c r="B102" s="76" t="n"/>
      <c r="C102" s="76" t="n"/>
      <c r="D102" s="76">
        <f>C102-B102</f>
        <v/>
      </c>
      <c r="F102" s="84">
        <f>'Stock'!K20*'Stock'!O20</f>
        <v/>
      </c>
      <c r="G102" s="84">
        <f>D102*'Stock'!O20</f>
        <v/>
      </c>
    </row>
    <row r="103">
      <c r="A103" s="15" t="inlineStr">
        <is>
          <t>Ewes</t>
        </is>
      </c>
      <c r="B103" s="76" t="n"/>
      <c r="C103" s="76" t="n"/>
      <c r="D103" s="76">
        <f>C103-B103</f>
        <v/>
      </c>
      <c r="F103" s="84">
        <f>'Stock'!K21*'Stock'!O21</f>
        <v/>
      </c>
      <c r="G103" s="84">
        <f>D103*'Stock'!O21</f>
        <v/>
      </c>
    </row>
    <row r="104">
      <c r="A104" s="15" t="inlineStr">
        <is>
          <t>Hoggs</t>
        </is>
      </c>
      <c r="B104" s="76" t="n"/>
      <c r="C104" s="76" t="n"/>
      <c r="D104" s="76">
        <f>C104-B104</f>
        <v/>
      </c>
      <c r="F104" s="84">
        <f>'Stock'!K22*'Stock'!O22</f>
        <v/>
      </c>
      <c r="G104" s="84">
        <f>D104*'Stock'!O22</f>
        <v/>
      </c>
    </row>
    <row r="105">
      <c r="A105" s="15" t="inlineStr">
        <is>
          <t>Lambs</t>
        </is>
      </c>
      <c r="B105" s="76" t="n"/>
      <c r="C105" s="76" t="n"/>
      <c r="D105" s="76">
        <f>C105-B105</f>
        <v/>
      </c>
      <c r="F105" s="84">
        <f>'Stock'!K23*'Stock'!O23</f>
        <v/>
      </c>
      <c r="G105" s="84">
        <f>D105*'Stock'!O23</f>
        <v/>
      </c>
    </row>
    <row r="106">
      <c r="A106" s="15" t="inlineStr">
        <is>
          <t>Boars</t>
        </is>
      </c>
      <c r="B106" s="76" t="n"/>
      <c r="C106" s="76" t="n"/>
      <c r="D106" s="76">
        <f>C106-B106</f>
        <v/>
      </c>
      <c r="F106" s="84">
        <f>'Stock'!K24*'Stock'!O24</f>
        <v/>
      </c>
      <c r="G106" s="84">
        <f>D106*'Stock'!O24</f>
        <v/>
      </c>
    </row>
    <row r="107">
      <c r="A107" s="15" t="inlineStr">
        <is>
          <t>Sows</t>
        </is>
      </c>
      <c r="B107" s="76" t="n"/>
      <c r="C107" s="76" t="n"/>
      <c r="D107" s="76">
        <f>C107-B107</f>
        <v/>
      </c>
      <c r="F107" s="84">
        <f>'Stock'!K25*'Stock'!O25</f>
        <v/>
      </c>
      <c r="G107" s="84">
        <f>D107*'Stock'!O25</f>
        <v/>
      </c>
    </row>
    <row r="108">
      <c r="A108" s="15" t="inlineStr">
        <is>
          <t>Pigs</t>
        </is>
      </c>
      <c r="B108" s="76" t="n"/>
      <c r="C108" s="76" t="n"/>
      <c r="D108" s="76">
        <f>C108-B108</f>
        <v/>
      </c>
      <c r="F108" s="84">
        <f>'Stock'!K26*'Stock'!O26</f>
        <v/>
      </c>
      <c r="G108" s="84">
        <f>D108*'Stock'!O26</f>
        <v/>
      </c>
    </row>
    <row r="109">
      <c r="A109" s="15" t="inlineStr">
        <is>
          <t>Hoggets</t>
        </is>
      </c>
      <c r="B109" s="76" t="n"/>
      <c r="C109" s="76" t="n"/>
      <c r="D109" s="76">
        <f>C109-B109</f>
        <v/>
      </c>
      <c r="F109" s="84">
        <f>'Stock'!K27*'Stock'!O27</f>
        <v/>
      </c>
      <c r="G109" s="84">
        <f>D109*'Stock'!O27</f>
        <v/>
      </c>
    </row>
    <row r="110">
      <c r="A110" s="15" t="inlineStr">
        <is>
          <t>Piglets</t>
        </is>
      </c>
      <c r="B110" s="76" t="n"/>
      <c r="C110" s="76" t="n"/>
      <c r="D110" s="76">
        <f>C110-B110</f>
        <v/>
      </c>
      <c r="F110" s="84">
        <f>'Stock'!K28*'Stock'!O28</f>
        <v/>
      </c>
      <c r="G110" s="84">
        <f>D110*'Stock'!O28</f>
        <v/>
      </c>
    </row>
    <row r="111">
      <c r="A111" s="15" t="inlineStr">
        <is>
          <t>Swans</t>
        </is>
      </c>
      <c r="B111" s="76" t="n"/>
      <c r="C111" s="76" t="n"/>
      <c r="D111" s="76">
        <f>C111-B111</f>
        <v/>
      </c>
      <c r="F111" s="84">
        <f>'Stock'!K29*'Stock'!O29</f>
        <v/>
      </c>
      <c r="G111" s="84">
        <f>D111*'Stock'!O29</f>
        <v/>
      </c>
    </row>
    <row r="112">
      <c r="A112" s="15" t="inlineStr">
        <is>
          <t>Peacocks</t>
        </is>
      </c>
      <c r="B112" s="76" t="n"/>
      <c r="C112" s="76" t="n"/>
      <c r="D112" s="76">
        <f>C112-B112</f>
        <v/>
      </c>
      <c r="F112" s="84">
        <f>'Stock'!K30*'Stock'!O30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t="n">
        <v>0</v>
      </c>
      <c r="C151" s="76" t="n">
        <v>0</v>
      </c>
      <c r="D151" s="76" t="n">
        <v>0</v>
      </c>
      <c r="F151" s="76" t="n">
        <v>0</v>
      </c>
      <c r="G151" s="96" t="n"/>
    </row>
    <row r="152">
      <c r="A152" s="15" t="inlineStr">
        <is>
          <t>Geese</t>
        </is>
      </c>
      <c r="B152" s="76" t="n">
        <v>0</v>
      </c>
      <c r="C152" s="76" t="n">
        <v>0</v>
      </c>
      <c r="D152" s="76" t="n">
        <v>0</v>
      </c>
      <c r="F152" s="76" t="n">
        <v>0</v>
      </c>
    </row>
    <row r="153">
      <c r="A153" s="15" t="inlineStr">
        <is>
          <t>Capons (from chickens)</t>
        </is>
      </c>
      <c r="B153" s="76" t="n">
        <v>0</v>
      </c>
      <c r="C153" s="76" t="n">
        <v>0</v>
      </c>
      <c r="D153" s="76" t="n">
        <v>0</v>
      </c>
      <c r="F153" s="76" t="n">
        <v>0</v>
      </c>
    </row>
    <row r="154">
      <c r="A154" s="15" t="inlineStr">
        <is>
          <t>Cocks &amp; hens</t>
        </is>
      </c>
      <c r="B154" s="76" t="n">
        <v>0</v>
      </c>
      <c r="C154" s="76" t="n">
        <v>0</v>
      </c>
      <c r="D154" s="76" t="n">
        <v>0</v>
      </c>
      <c r="F154" s="76" t="n">
        <v>0</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F159" t="n">
        <v>0</v>
      </c>
      <c r="G159" s="116" t="n"/>
    </row>
    <row r="160">
      <c r="A160" s="15" t="inlineStr">
        <is>
          <t>Cocks &amp; hens from churchscot of customary tenants</t>
        </is>
      </c>
      <c r="B160" t="n">
        <v>0</v>
      </c>
      <c r="C160" t="n">
        <v>0</v>
      </c>
      <c r="D160" t="n">
        <v>0</v>
      </c>
      <c r="F160" t="n">
        <v>0</v>
      </c>
    </row>
    <row r="161">
      <c r="A161" s="15" t="inlineStr">
        <is>
          <t>Sum of above</t>
        </is>
      </c>
    </row>
    <row r="162">
      <c r="A162" s="17" t="inlineStr">
        <is>
          <t>Total value of stock</t>
        </is>
      </c>
      <c r="B162" s="93" t="n"/>
      <c r="C162" s="94" t="n"/>
      <c r="D162" s="93" t="n"/>
      <c r="E162" s="93" t="n"/>
      <c r="F162" s="93" t="n"/>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F166" t="n">
        <v>0</v>
      </c>
      <c r="G166" s="116" t="n"/>
    </row>
    <row r="167">
      <c r="A167" s="15" t="inlineStr">
        <is>
          <t>Winter Cheese</t>
        </is>
      </c>
      <c r="B167" t="n">
        <v>0</v>
      </c>
      <c r="C167" t="n">
        <v>0</v>
      </c>
      <c r="D167" t="n">
        <v>0</v>
      </c>
      <c r="F167" t="n">
        <v>0</v>
      </c>
    </row>
    <row r="168">
      <c r="A168" s="15" t="inlineStr">
        <is>
          <t>Summer Cheese</t>
        </is>
      </c>
      <c r="B168" t="n">
        <v>0</v>
      </c>
      <c r="C168" t="n">
        <v>0</v>
      </c>
      <c r="D168" t="n">
        <v>0</v>
      </c>
      <c r="F168" t="n">
        <v>0</v>
      </c>
    </row>
    <row r="169">
      <c r="A169" s="17" t="inlineStr">
        <is>
          <t>Total value of production (sum of the above)</t>
        </is>
      </c>
      <c r="B169" s="93" t="n"/>
      <c r="C169" s="94" t="n"/>
      <c r="D169" s="93" t="n"/>
      <c r="E169" s="93" t="n"/>
      <c r="F169" s="93" t="n"/>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F169+F162+F156+F147+F123+F115+D71</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E8"/>
  <sheetViews>
    <sheetView topLeftCell="A1" workbookViewId="0">
      <selection activeCell="A1" sqref="A1"/>
    </sheetView>
  </sheetViews>
  <sheetFormatPr baseColWidth="8" defaultColWidth="12.6328125" defaultRowHeight="14.5"/>
  <sheetData>
    <row r="1" ht="15.5" customHeight="1">
      <c r="A1" s="12" t="inlineStr">
        <is>
          <t>Meat &amp; Dairy Prices</t>
        </is>
      </c>
    </row>
    <row r="2">
      <c r="C2" t="n">
        <v>1301</v>
      </c>
      <c r="D2" t="n">
        <v>1302</v>
      </c>
      <c r="E2" s="28" t="inlineStr">
        <is>
          <t>Average</t>
        </is>
      </c>
    </row>
    <row r="3" ht="15.5" customHeight="1">
      <c r="A3" t="inlineStr">
        <is>
          <t>Beef</t>
        </is>
      </c>
      <c r="B3" t="inlineStr">
        <is>
          <t>£ per lb</t>
        </is>
      </c>
      <c r="C3" s="62" t="n">
        <v>0.003335185413087333</v>
      </c>
      <c r="D3" s="62" t="n">
        <v>0.003260853786849182</v>
      </c>
      <c r="E3" s="63">
        <f>AVERAGE(C3:D3)</f>
        <v/>
      </c>
    </row>
    <row r="4">
      <c r="A4" t="inlineStr">
        <is>
          <t>Mutton</t>
        </is>
      </c>
      <c r="B4" t="inlineStr">
        <is>
          <t>£ per lb</t>
        </is>
      </c>
      <c r="C4" s="63" t="n">
        <v>0.003659397726835158</v>
      </c>
      <c r="D4" s="63" t="n">
        <v>0.003712551295250783</v>
      </c>
      <c r="E4" s="63">
        <f>AVERAGE(C4:D4)</f>
        <v/>
      </c>
    </row>
    <row r="5">
      <c r="A5" t="inlineStr">
        <is>
          <t>Pork</t>
        </is>
      </c>
      <c r="B5" t="inlineStr">
        <is>
          <t>£ per lb</t>
        </is>
      </c>
      <c r="C5" s="63" t="n">
        <v>0.003843132608634785</v>
      </c>
      <c r="D5" s="63" t="n">
        <v>0.003757480310106574</v>
      </c>
      <c r="E5" s="63">
        <f>AVERAGE(C5:D5)</f>
        <v/>
      </c>
    </row>
    <row r="6">
      <c r="A6" t="inlineStr">
        <is>
          <t>Cheese</t>
        </is>
      </c>
      <c r="B6" t="inlineStr">
        <is>
          <t>£ per lb</t>
        </is>
      </c>
      <c r="C6" s="64" t="n">
        <v>0.005576875401355813</v>
      </c>
      <c r="D6" s="63" t="n">
        <v>0.005665489823647453</v>
      </c>
      <c r="E6" s="63">
        <f>AVERAGE(C6:D6)</f>
        <v/>
      </c>
    </row>
    <row r="7">
      <c r="A7" t="inlineStr">
        <is>
          <t>Butter</t>
        </is>
      </c>
      <c r="B7" t="inlineStr">
        <is>
          <t>£ per lb</t>
        </is>
      </c>
      <c r="C7" s="63" t="n">
        <v>0.00366262210285494</v>
      </c>
      <c r="D7" s="63" t="n">
        <v>0.003593507742292381</v>
      </c>
      <c r="E7" s="63">
        <f>AVERAGE(C7:D7)</f>
        <v/>
      </c>
    </row>
    <row r="8">
      <c r="A8" t="inlineStr">
        <is>
          <t>Milk</t>
        </is>
      </c>
      <c r="B8" t="inlineStr">
        <is>
          <t>£ per gallon</t>
        </is>
      </c>
      <c r="C8" s="65" t="n">
        <v>0.005576875401355813</v>
      </c>
      <c r="D8" s="63" t="n">
        <v>0.005665489823647453</v>
      </c>
      <c r="E8" s="63">
        <f>AVERAGE(C8:D8)</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ColWidth="8.81640625" defaultRowHeight="14.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83"/>
  <sheetViews>
    <sheetView topLeftCell="A1" workbookViewId="0">
      <selection activeCell="A1" sqref="A1"/>
    </sheetView>
  </sheetViews>
  <sheetFormatPr baseColWidth="8" defaultRowHeight="15"/>
  <cols>
    <col width="80" customWidth="1" min="1" max="1"/>
  </cols>
  <sheetData>
    <row r="1">
      <c r="A1" s="8" t="inlineStr">
        <is>
          <t>MARSHALSEA</t>
        </is>
      </c>
      <c r="B1" s="77" t="inlineStr">
        <is>
          <t>Total in £</t>
        </is>
      </c>
      <c r="C1" s="78" t="inlineStr">
        <is>
          <t>Error</t>
        </is>
      </c>
      <c r="D1" s="12" t="inlineStr">
        <is>
          <t>Note</t>
        </is>
      </c>
      <c r="E1" s="12" t="n"/>
    </row>
    <row r="2">
      <c r="A2" s="8" t="inlineStr">
        <is>
          <t>CASH ACCOUNT</t>
        </is>
      </c>
      <c r="C2" s="10" t="n"/>
    </row>
    <row r="3">
      <c r="A3" s="16" t="inlineStr">
        <is>
          <t>RECEIPTS</t>
        </is>
      </c>
    </row>
    <row r="4">
      <c r="A4" s="15" t="inlineStr">
        <is>
          <t>Arrears total</t>
        </is>
      </c>
    </row>
    <row r="5">
      <c r="A5" s="15" t="inlineStr">
        <is>
          <t>Rents of assize total</t>
        </is>
      </c>
    </row>
    <row r="6">
      <c r="A6" s="15" t="inlineStr">
        <is>
          <t>Quittances total</t>
        </is>
      </c>
    </row>
    <row r="7">
      <c r="A7" s="15" t="inlineStr">
        <is>
          <t>Defaults of rent total</t>
        </is>
      </c>
    </row>
    <row r="8">
      <c r="A8" s="9" t="inlineStr">
        <is>
          <t>Defaults of rent through the pestilence total</t>
        </is>
      </c>
    </row>
    <row r="9">
      <c r="A9" s="9" t="inlineStr">
        <is>
          <t>Cotlands defaults total</t>
        </is>
      </c>
    </row>
    <row r="10">
      <c r="A10" s="9" t="inlineStr">
        <is>
          <t>Cotlands total</t>
        </is>
      </c>
    </row>
    <row r="11">
      <c r="A11" s="9" t="inlineStr">
        <is>
          <t>Total of quittances and defaults of rent total</t>
        </is>
      </c>
    </row>
    <row r="12">
      <c r="A12" s="9" t="inlineStr">
        <is>
          <t>Total of rents remaining clear total</t>
        </is>
      </c>
    </row>
    <row r="13">
      <c r="A13" s="9" t="inlineStr">
        <is>
          <t>Farms total</t>
        </is>
      </c>
    </row>
    <row r="14">
      <c r="A14" s="15" t="inlineStr">
        <is>
          <t>Annual recognizances total</t>
        </is>
      </c>
    </row>
    <row r="15">
      <c r="A15" s="15" t="inlineStr">
        <is>
          <t>Issues of the Manor total</t>
        </is>
      </c>
    </row>
    <row r="16">
      <c r="A16" s="9" t="inlineStr">
        <is>
          <t>Issues of the tenements in the lord's hands total</t>
        </is>
      </c>
    </row>
    <row r="17">
      <c r="A17" s="9" t="inlineStr">
        <is>
          <t>Sale of labour services total</t>
        </is>
      </c>
    </row>
    <row r="18">
      <c r="A18" s="15" t="inlineStr">
        <is>
          <t>Sale of corn total</t>
        </is>
      </c>
    </row>
    <row r="19">
      <c r="A19" s="15" t="inlineStr">
        <is>
          <t>Entry and marriage fines total</t>
        </is>
      </c>
    </row>
    <row r="20">
      <c r="A20" s="15" t="inlineStr">
        <is>
          <t>Pleas &amp; perquisites total</t>
        </is>
      </c>
    </row>
    <row r="21">
      <c r="A21" s="9" t="inlineStr">
        <is>
          <t>Forfeited chattels total</t>
        </is>
      </c>
    </row>
    <row r="22">
      <c r="A22" s="9" t="inlineStr">
        <is>
          <t>Farm of the demesne land total</t>
        </is>
      </c>
    </row>
    <row r="23">
      <c r="A23" s="81" t="inlineStr">
        <is>
          <t>Total of all receipts (calculated here)</t>
        </is>
      </c>
    </row>
    <row r="24">
      <c r="A24" s="82" t="inlineStr">
        <is>
          <t>Total of all receipts (calculated here) incl arrears</t>
        </is>
      </c>
    </row>
    <row r="25">
      <c r="A25" s="83" t="inlineStr">
        <is>
          <t>Total recorded in the accounts excl. arrears</t>
        </is>
      </c>
    </row>
    <row r="26">
      <c r="A26" s="83" t="inlineStr">
        <is>
          <t>Total recorded in the accounts incl. arrears</t>
        </is>
      </c>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row>
    <row r="42">
      <c r="A42" s="15" t="inlineStr">
        <is>
          <t>Steward's expenses total</t>
        </is>
      </c>
    </row>
    <row r="43">
      <c r="A43" s="85" t="inlineStr">
        <is>
          <t>Annual fees</t>
        </is>
      </c>
    </row>
    <row r="44">
      <c r="A44" s="82" t="inlineStr">
        <is>
          <t>Total of all expenses per account</t>
        </is>
      </c>
    </row>
    <row r="45">
      <c r="A45" s="82" t="inlineStr">
        <is>
          <t>Total of all expenses (calculated here)</t>
        </is>
      </c>
    </row>
    <row r="46">
      <c r="A46" s="82" t="inlineStr">
        <is>
          <t>Total fixed investment</t>
        </is>
      </c>
    </row>
    <row r="47">
      <c r="A47" s="82" t="inlineStr">
        <is>
          <t>Total Demesne fixed investment</t>
        </is>
      </c>
    </row>
    <row r="48">
      <c r="A48" s="12" t="n"/>
    </row>
    <row r="49">
      <c r="A49" s="18" t="inlineStr">
        <is>
          <t>Owed by the reeve</t>
        </is>
      </c>
    </row>
    <row r="50">
      <c r="A50" s="18" t="inlineStr">
        <is>
          <t>From accounts</t>
        </is>
      </c>
    </row>
    <row r="51">
      <c r="A51" s="15" t="n"/>
    </row>
    <row r="52">
      <c r="A52" s="18" t="inlineStr">
        <is>
          <t>Allowances</t>
        </is>
      </c>
    </row>
    <row r="53">
      <c r="A53" s="18" t="inlineStr">
        <is>
          <t>Cash deliveries</t>
        </is>
      </c>
    </row>
    <row r="54">
      <c r="A54" s="19" t="inlineStr">
        <is>
          <t>Sum of the above</t>
        </is>
      </c>
    </row>
    <row r="55">
      <c r="A55" s="20" t="inlineStr">
        <is>
          <t>Total of all allowances and cash deliveries in accounts</t>
        </is>
      </c>
    </row>
    <row r="56">
      <c r="A56" s="15" t="n"/>
    </row>
    <row r="57">
      <c r="A57" s="18" t="inlineStr">
        <is>
          <t>Net amount owed</t>
        </is>
      </c>
    </row>
    <row r="58">
      <c r="A58" s="18" t="inlineStr">
        <is>
          <t>Net amount owed in accounts</t>
        </is>
      </c>
    </row>
    <row r="59">
      <c r="A59" s="15" t="n"/>
    </row>
    <row r="60">
      <c r="A60" s="16" t="inlineStr">
        <is>
          <t xml:space="preserve">GRANGE ACCOUNT </t>
        </is>
      </c>
    </row>
    <row r="61">
      <c r="A61" s="8" t="inlineStr">
        <is>
          <t>Grange</t>
        </is>
      </c>
    </row>
    <row r="62">
      <c r="A62" s="9" t="inlineStr">
        <is>
          <t>Wheat</t>
        </is>
      </c>
    </row>
    <row r="63">
      <c r="A63" s="9" t="inlineStr">
        <is>
          <t>Rye</t>
        </is>
      </c>
    </row>
    <row r="64">
      <c r="A64" s="9" t="inlineStr">
        <is>
          <t>Dredge</t>
        </is>
      </c>
    </row>
    <row r="65">
      <c r="A65" s="9" t="inlineStr">
        <is>
          <t>Curall</t>
        </is>
      </c>
    </row>
    <row r="66">
      <c r="A66" s="9" t="inlineStr">
        <is>
          <t>Barley</t>
        </is>
      </c>
    </row>
    <row r="67">
      <c r="A67" s="9" t="inlineStr">
        <is>
          <t>Oats</t>
        </is>
      </c>
    </row>
    <row r="68">
      <c r="A68" s="9" t="inlineStr">
        <is>
          <t>Beans</t>
        </is>
      </c>
    </row>
    <row r="69">
      <c r="A69" s="9" t="inlineStr">
        <is>
          <t>Peas</t>
        </is>
      </c>
    </row>
    <row r="70">
      <c r="A70" s="9" t="inlineStr">
        <is>
          <t>Vetches</t>
        </is>
      </c>
    </row>
    <row r="71">
      <c r="A71" s="17" t="inlineStr">
        <is>
          <t>Total value of gross production (sum of the above)</t>
        </is>
      </c>
    </row>
    <row r="72">
      <c r="A72" s="17" t="inlineStr">
        <is>
          <t>Total value of net production</t>
        </is>
      </c>
    </row>
    <row r="73">
      <c r="A73" s="17" t="inlineStr">
        <is>
          <t>Value of sales</t>
        </is>
      </c>
    </row>
    <row r="74">
      <c r="A74" s="15" t="n"/>
    </row>
    <row r="75">
      <c r="A75" s="16" t="inlineStr">
        <is>
          <t>MILL ACCOUNT</t>
        </is>
      </c>
    </row>
    <row r="76">
      <c r="A76" s="8" t="inlineStr">
        <is>
          <t>Issues of the mill</t>
        </is>
      </c>
    </row>
    <row r="77">
      <c r="A77" s="15" t="inlineStr">
        <is>
          <t>Wheat</t>
        </is>
      </c>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row>
    <row r="83">
      <c r="A83" s="17" t="inlineStr">
        <is>
          <t>Value of sales</t>
        </is>
      </c>
    </row>
    <row r="84">
      <c r="A84" s="15" t="n"/>
    </row>
    <row r="85">
      <c r="A85" s="92" t="inlineStr">
        <is>
          <t>STOCK ACCOUNT</t>
        </is>
      </c>
    </row>
    <row r="86">
      <c r="A86" s="21" t="inlineStr">
        <is>
          <t>Livestock</t>
        </is>
      </c>
    </row>
    <row r="87" ht="17" customHeight="1">
      <c r="A87" s="22" t="inlineStr">
        <is>
          <t>Cart-horses</t>
        </is>
      </c>
    </row>
    <row r="88" ht="17" customHeight="1">
      <c r="A88" s="22" t="inlineStr">
        <is>
          <t>Mares</t>
        </is>
      </c>
    </row>
    <row r="89">
      <c r="A89" s="15" t="inlineStr">
        <is>
          <t>Plough horses</t>
        </is>
      </c>
    </row>
    <row r="90">
      <c r="A90" s="15" t="inlineStr">
        <is>
          <t>Colts (2 years)</t>
        </is>
      </c>
    </row>
    <row r="91">
      <c r="A91" s="15" t="inlineStr">
        <is>
          <t>Colts (2 years)</t>
        </is>
      </c>
    </row>
    <row r="92">
      <c r="A92" s="15" t="inlineStr">
        <is>
          <t>Colts (1 year)</t>
        </is>
      </c>
    </row>
    <row r="93">
      <c r="A93" s="15" t="inlineStr">
        <is>
          <t>Foals</t>
        </is>
      </c>
    </row>
    <row r="94">
      <c r="A94" s="15" t="inlineStr">
        <is>
          <t>Oxen</t>
        </is>
      </c>
    </row>
    <row r="95">
      <c r="A95" s="15" t="inlineStr">
        <is>
          <t>Bulls</t>
        </is>
      </c>
    </row>
    <row r="96">
      <c r="A96" s="15" t="inlineStr">
        <is>
          <t>Cows</t>
        </is>
      </c>
    </row>
    <row r="97">
      <c r="A97" s="15" t="inlineStr">
        <is>
          <t>Steers</t>
        </is>
      </c>
    </row>
    <row r="98">
      <c r="A98" s="15" t="inlineStr">
        <is>
          <t>Bullocks</t>
        </is>
      </c>
    </row>
    <row r="99">
      <c r="A99" s="15" t="inlineStr">
        <is>
          <t>Yearlings</t>
        </is>
      </c>
    </row>
    <row r="100">
      <c r="A100" s="15" t="inlineStr">
        <is>
          <t>Calves</t>
        </is>
      </c>
    </row>
    <row r="101">
      <c r="A101" s="15" t="inlineStr">
        <is>
          <t>Wethers</t>
        </is>
      </c>
    </row>
    <row r="102">
      <c r="A102" s="15" t="inlineStr">
        <is>
          <t>Rams</t>
        </is>
      </c>
    </row>
    <row r="103">
      <c r="A103" s="15" t="inlineStr">
        <is>
          <t>Ewes</t>
        </is>
      </c>
    </row>
    <row r="104">
      <c r="A104" s="15" t="inlineStr">
        <is>
          <t>Hoggs</t>
        </is>
      </c>
    </row>
    <row r="105">
      <c r="A105" s="15" t="inlineStr">
        <is>
          <t>Lambs</t>
        </is>
      </c>
    </row>
    <row r="106">
      <c r="A106" s="15" t="inlineStr">
        <is>
          <t>Boars</t>
        </is>
      </c>
    </row>
    <row r="107">
      <c r="A107" s="15" t="inlineStr">
        <is>
          <t>Sows</t>
        </is>
      </c>
    </row>
    <row r="108">
      <c r="A108" s="15" t="inlineStr">
        <is>
          <t>Pigs</t>
        </is>
      </c>
    </row>
    <row r="109">
      <c r="A109" s="15" t="inlineStr">
        <is>
          <t>Hoggets</t>
        </is>
      </c>
    </row>
    <row r="110">
      <c r="A110" s="15" t="inlineStr">
        <is>
          <t>Piglets</t>
        </is>
      </c>
    </row>
    <row r="111">
      <c r="A111" s="15" t="inlineStr">
        <is>
          <t>Swans</t>
        </is>
      </c>
    </row>
    <row r="112">
      <c r="A112" s="15" t="inlineStr">
        <is>
          <t>Peacocks</t>
        </is>
      </c>
    </row>
    <row r="113">
      <c r="A113" s="17" t="inlineStr">
        <is>
          <t>Total value of stock (sum of the above)</t>
        </is>
      </c>
    </row>
    <row r="114">
      <c r="A114" s="17" t="inlineStr">
        <is>
          <t>Total value of production</t>
        </is>
      </c>
    </row>
    <row r="115">
      <c r="A115" s="17" t="inlineStr">
        <is>
          <t>Value of sales</t>
        </is>
      </c>
    </row>
    <row r="116">
      <c r="A116" s="15" t="n"/>
    </row>
    <row r="117">
      <c r="A117" s="16" t="inlineStr">
        <is>
          <t>Wool</t>
        </is>
      </c>
    </row>
    <row r="118" ht="17" customHeight="1">
      <c r="A118" s="22" t="inlineStr">
        <is>
          <t>Fleeces</t>
        </is>
      </c>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row>
    <row r="124">
      <c r="A124" s="119" t="inlineStr">
        <is>
          <t>Value of sales</t>
        </is>
      </c>
    </row>
    <row r="125">
      <c r="A125" s="8" t="n"/>
    </row>
    <row r="126">
      <c r="A126" s="16" t="inlineStr">
        <is>
          <t>Hides</t>
        </is>
      </c>
    </row>
    <row r="127">
      <c r="A127" s="15" t="inlineStr">
        <is>
          <t>Ox hides</t>
        </is>
      </c>
    </row>
    <row r="128">
      <c r="A128" s="15" t="inlineStr">
        <is>
          <t>Cow hides</t>
        </is>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row>
    <row r="148">
      <c r="A148" s="17" t="inlineStr">
        <is>
          <t>Value of sales</t>
        </is>
      </c>
    </row>
    <row r="149">
      <c r="A149" s="15" t="n"/>
    </row>
    <row r="150">
      <c r="A150" s="16" t="inlineStr">
        <is>
          <t>Poultry stock</t>
        </is>
      </c>
    </row>
    <row r="151" ht="17" customHeight="1">
      <c r="A151" s="22" t="inlineStr">
        <is>
          <t>Hens</t>
        </is>
      </c>
    </row>
    <row r="152">
      <c r="A152" s="15" t="inlineStr">
        <is>
          <t>Geese</t>
        </is>
      </c>
    </row>
    <row r="153">
      <c r="A153" s="15" t="inlineStr">
        <is>
          <t>Capons (from chickens)</t>
        </is>
      </c>
    </row>
    <row r="154">
      <c r="A154" s="15" t="inlineStr">
        <is>
          <t>Cocks &amp; hens</t>
        </is>
      </c>
    </row>
    <row r="155">
      <c r="A155" s="119" t="inlineStr">
        <is>
          <t>Total value of production (sum of the above)</t>
        </is>
      </c>
    </row>
    <row r="156">
      <c r="A156" s="119" t="inlineStr">
        <is>
          <t>Value of sales</t>
        </is>
      </c>
    </row>
    <row r="157">
      <c r="A157" s="15" t="n"/>
    </row>
    <row r="158">
      <c r="A158" s="16" t="inlineStr">
        <is>
          <t>Poultry production</t>
        </is>
      </c>
    </row>
    <row r="159">
      <c r="A159" s="15" t="inlineStr">
        <is>
          <t>Eggs</t>
        </is>
      </c>
    </row>
    <row r="160">
      <c r="A160" s="15" t="inlineStr">
        <is>
          <t>Cocks &amp; hens from churchscot of customary tenants</t>
        </is>
      </c>
    </row>
    <row r="161">
      <c r="A161" s="15" t="inlineStr">
        <is>
          <t>Sum of above</t>
        </is>
      </c>
    </row>
    <row r="162">
      <c r="A162" s="17" t="inlineStr">
        <is>
          <t>Total value of stock</t>
        </is>
      </c>
    </row>
    <row r="163">
      <c r="A163" s="17" t="inlineStr">
        <is>
          <t>Value of sales</t>
        </is>
      </c>
    </row>
    <row r="164">
      <c r="A164" s="15" t="n"/>
    </row>
    <row r="165">
      <c r="A165" s="16" t="inlineStr">
        <is>
          <t>Dairy Production</t>
        </is>
      </c>
    </row>
    <row r="166">
      <c r="A166" s="15" t="inlineStr">
        <is>
          <t>Butter</t>
        </is>
      </c>
    </row>
    <row r="167">
      <c r="A167" s="15" t="inlineStr">
        <is>
          <t>Winter Cheese</t>
        </is>
      </c>
    </row>
    <row r="168">
      <c r="A168" s="15" t="inlineStr">
        <is>
          <t>Summer Cheese</t>
        </is>
      </c>
    </row>
    <row r="169">
      <c r="A169" s="17" t="inlineStr">
        <is>
          <t>Total value of production (sum of the above)</t>
        </is>
      </c>
    </row>
    <row r="170">
      <c r="A170" s="17" t="inlineStr">
        <is>
          <t>Value of sales</t>
        </is>
      </c>
    </row>
    <row r="171">
      <c r="A171" s="15" t="n"/>
    </row>
    <row r="172">
      <c r="A172" s="15" t="n"/>
    </row>
    <row r="173" ht="17" customHeight="1"/>
    <row r="174" ht="17" customHeight="1">
      <c r="A174" s="103" t="n"/>
    </row>
    <row r="175">
      <c r="A175" s="97" t="inlineStr">
        <is>
          <t>Total Production Value of all Output (Grange, Dairy, Livestock Sales, Wools, Skins - NO Mill)</t>
        </is>
      </c>
    </row>
    <row r="176">
      <c r="A176" s="98" t="inlineStr">
        <is>
          <t>Total Sales Value of all Output as defined above</t>
        </is>
      </c>
    </row>
    <row r="177">
      <c r="A177" s="98" t="inlineStr">
        <is>
          <t>Total Sales of Corn + Issues of the Manor as recorded in account</t>
        </is>
      </c>
    </row>
    <row r="178">
      <c r="A178" s="98" t="inlineStr">
        <is>
          <t>Production Value + Cash Receipts (excl. Arrears, Issues, Corn and Mill)</t>
        </is>
      </c>
    </row>
    <row r="179">
      <c r="A179" s="99" t="n"/>
    </row>
    <row r="180">
      <c r="A180" s="100" t="inlineStr">
        <is>
          <t>% of capital expenses in terms of total production</t>
        </is>
      </c>
    </row>
    <row r="181">
      <c r="A181" s="98" t="inlineStr">
        <is>
          <t>% of capital expenses in terms of total production + cash receipts</t>
        </is>
      </c>
    </row>
    <row r="182">
      <c r="A182" s="99" t="n"/>
    </row>
    <row r="183" ht="17" customHeight="1">
      <c r="A183" s="101" t="inlineStr">
        <is>
          <t>% of capital expenses as calculated previously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59"/>
  <sheetViews>
    <sheetView topLeftCell="A1" workbookViewId="0">
      <selection activeCell="A1" sqref="A1"/>
    </sheetView>
  </sheetViews>
  <sheetFormatPr baseColWidth="8" defaultRowHeight="15"/>
  <cols>
    <col width="86.1640625" customWidth="1" min="1" max="1"/>
    <col width="8.83203125" customWidth="1" min="2" max="2"/>
    <col width="8.83203125" customWidth="1" min="6" max="6"/>
    <col width="8.83203125" customWidth="1" min="7" max="7"/>
    <col width="8.83203125" customWidth="1" min="8" max="8"/>
  </cols>
  <sheetData>
    <row r="1" ht="16" customHeight="1">
      <c r="A1" s="2" t="inlineStr">
        <is>
          <t>MARSHALSEA RECEIPTS</t>
        </is>
      </c>
    </row>
    <row r="2" ht="16" customHeight="1">
      <c r="A2" s="11" t="inlineStr">
        <is>
          <t>Heading</t>
        </is>
      </c>
      <c r="B2" s="3" t="inlineStr">
        <is>
          <t>£</t>
        </is>
      </c>
      <c r="C2" s="4" t="inlineStr">
        <is>
          <t xml:space="preserve">s </t>
        </is>
      </c>
      <c r="D2" s="4" t="inlineStr">
        <is>
          <t>d</t>
        </is>
      </c>
      <c r="E2" s="4" t="n"/>
      <c r="F2" s="127" t="inlineStr">
        <is>
          <t>Total in £</t>
        </is>
      </c>
      <c r="G2" s="128" t="inlineStr">
        <is>
          <t>Error</t>
        </is>
      </c>
      <c r="H2" s="7" t="inlineStr">
        <is>
          <t>Notes</t>
        </is>
      </c>
    </row>
    <row r="3">
      <c r="A3" t="inlineStr">
        <is>
          <t>Arrears</t>
        </is>
      </c>
      <c r="B3" t="n">
        <v>26</v>
      </c>
      <c r="C3" t="n">
        <v>6</v>
      </c>
      <c r="D3" t="n">
        <v>4</v>
      </c>
      <c r="F3" s="72" t="n">
        <v>26.32</v>
      </c>
      <c r="H3" t="inlineStr">
        <is>
          <t>Gilbert Marescallus renders account for £26 6 shilling 4pence of arrears from the previous year.</t>
        </is>
      </c>
    </row>
    <row r="4">
      <c r="A4" t="inlineStr">
        <is>
          <t>Arrears</t>
        </is>
      </c>
      <c r="F4" s="72" t="n">
        <v>26.32</v>
      </c>
      <c r="G4" s="129" t="n">
        <v>0</v>
      </c>
      <c r="H4" t="inlineStr">
        <is>
          <t>Total</t>
        </is>
      </c>
    </row>
    <row r="5"/>
    <row r="6">
      <c r="A6" t="inlineStr">
        <is>
          <t>Rents of assize</t>
        </is>
      </c>
      <c r="B6" t="n">
        <v>0</v>
      </c>
      <c r="C6" t="n">
        <v>3</v>
      </c>
      <c r="D6" t="n">
        <v>4</v>
      </c>
      <c r="F6" s="72" t="n">
        <v>0.17</v>
      </c>
      <c r="H6" t="inlineStr">
        <is>
          <t>The same renders account for 3 shilling 4pence for the rent of assize at Michaelmas of Thomas Schudd' for 1 messuage 20 acres of land and .5 acre of wood in West Pitt.</t>
        </is>
      </c>
    </row>
    <row r="7">
      <c r="A7" t="inlineStr">
        <is>
          <t>Rents of assize</t>
        </is>
      </c>
      <c r="B7" t="n">
        <v>0</v>
      </c>
      <c r="C7" t="n">
        <v>3</v>
      </c>
      <c r="D7" t="n">
        <v>4</v>
      </c>
      <c r="F7" s="72" t="n">
        <v>0.17</v>
      </c>
      <c r="H7" t="inlineStr">
        <is>
          <t>3 shilling 4pence for the rent of assize at the same term of the heir of John de Brafeld' for 1 messuage 20 acres of land and' acre of wood in the same vill.</t>
        </is>
      </c>
    </row>
    <row r="8">
      <c r="A8" t="inlineStr">
        <is>
          <t>Rents of assize</t>
        </is>
      </c>
      <c r="B8" t="n">
        <v>0</v>
      </c>
      <c r="C8" t="n">
        <v>3</v>
      </c>
      <c r="D8" t="n">
        <v>4</v>
      </c>
      <c r="F8" s="72" t="n">
        <v>0.17</v>
      </c>
      <c r="H8" t="inlineStr">
        <is>
          <t>3 shilling 4pence for the rent of assize at the same term of William Bygh' for 1 messuage 201 acres of land and' acre of wood in the same vill.</t>
        </is>
      </c>
    </row>
    <row r="9">
      <c r="A9" t="inlineStr">
        <is>
          <t>Rents of assize</t>
        </is>
      </c>
      <c r="B9" t="n">
        <v>0</v>
      </c>
      <c r="C9" t="n">
        <v>6</v>
      </c>
      <c r="D9" t="n">
        <v>8</v>
      </c>
      <c r="F9" s="72" t="n">
        <v>0.33</v>
      </c>
      <c r="H9" t="inlineStr">
        <is>
          <t>6 shilling 8pence for the rent of assize at the same term of William Alysanndr' for 2 messuages 40 acres of land and 1 acre of wood in the same vill.</t>
        </is>
      </c>
    </row>
    <row r="10">
      <c r="A10" t="inlineStr">
        <is>
          <t>Rents of assize</t>
        </is>
      </c>
      <c r="B10" t="n">
        <v>0</v>
      </c>
      <c r="C10" t="n">
        <v>3</v>
      </c>
      <c r="D10" t="n">
        <v>4</v>
      </c>
      <c r="F10" s="72" t="n">
        <v>0.17</v>
      </c>
      <c r="H10" t="inlineStr">
        <is>
          <t>3 shilling 4pence for the rent of assize at the same term of Aunger le Drivere and Agnes his wife for 1 messuage 20 acres of land and' acre of wood in the same vill.</t>
        </is>
      </c>
    </row>
    <row r="11">
      <c r="A11" t="inlineStr">
        <is>
          <t>Rents of assize</t>
        </is>
      </c>
      <c r="B11" t="n">
        <v>0</v>
      </c>
      <c r="C11" t="n">
        <v>0</v>
      </c>
      <c r="D11" t="n">
        <v>6</v>
      </c>
      <c r="F11" s="72" t="n">
        <v>0.03</v>
      </c>
      <c r="H11" t="inlineStr">
        <is>
          <t>6pence for the rent of assize at the same term of the heir of John de Brayfeld' for 1 cottage in the same vill.</t>
        </is>
      </c>
    </row>
    <row r="12">
      <c r="A12" t="inlineStr">
        <is>
          <t>Rents of assize</t>
        </is>
      </c>
      <c r="B12" t="n">
        <v>0</v>
      </c>
      <c r="C12" t="n">
        <v>3</v>
      </c>
      <c r="D12" t="n">
        <v>0</v>
      </c>
      <c r="F12" s="72" t="n">
        <v>0.15</v>
      </c>
      <c r="H12" t="inlineStr">
        <is>
          <t>3 shilling for the rent of assize at the same term of Drogo de Celar' and Amice his wife for a certain messuage in ICingsgate Street beside the Carmelite Friars.</t>
        </is>
      </c>
    </row>
    <row r="13">
      <c r="A13" t="inlineStr">
        <is>
          <t>Rents of assize</t>
        </is>
      </c>
      <c r="B13" t="n">
        <v>0</v>
      </c>
      <c r="C13" t="n">
        <v>2</v>
      </c>
      <c r="D13" t="n">
        <v>0</v>
      </c>
      <c r="F13" s="72" t="n">
        <v>0.1</v>
      </c>
      <c r="H13" t="inlineStr">
        <is>
          <t>2 shilling for the rent of assize at the same term of Robert de la Fermerie for a certain messuage opposite the house of John de Houlond' in the same place which is of the fee of West Pitt.</t>
        </is>
      </c>
    </row>
    <row r="14">
      <c r="A14" t="inlineStr">
        <is>
          <t>Rents of assize</t>
        </is>
      </c>
      <c r="B14" t="n">
        <v>1</v>
      </c>
      <c r="C14" t="n">
        <v>5</v>
      </c>
      <c r="D14" t="n">
        <v>6</v>
      </c>
      <c r="F14" s="72" t="n">
        <v>1.27</v>
      </c>
      <c r="H14" t="inlineStr">
        <is>
          <t>Total, £1 5 shilling 6pence</t>
        </is>
      </c>
    </row>
    <row r="15">
      <c r="A15" t="inlineStr">
        <is>
          <t>Rents of assize</t>
        </is>
      </c>
      <c r="F15" s="72">
        <f>SUM(F6:F13)</f>
        <v/>
      </c>
      <c r="G15" s="129">
        <f>F15-F14</f>
        <v/>
      </c>
      <c r="H15" t="inlineStr">
        <is>
          <t>Total</t>
        </is>
      </c>
    </row>
    <row r="16"/>
    <row r="17">
      <c r="A17" t="inlineStr">
        <is>
          <t>Rents of assize</t>
        </is>
      </c>
      <c r="B17" t="n">
        <v>0</v>
      </c>
      <c r="C17" t="n">
        <v>6</v>
      </c>
      <c r="D17" t="n">
        <v>0</v>
      </c>
      <c r="F17" s="72" t="n">
        <v>0.3</v>
      </c>
      <c r="H17" t="inlineStr">
        <is>
          <t>The same renders account for 6 shilling for the rent of assize at Michaelmas of the heir of Ralph de Gorhunte in Pendeworth'.</t>
        </is>
      </c>
    </row>
    <row r="18">
      <c r="A18" t="inlineStr">
        <is>
          <t>Rents of assize</t>
        </is>
      </c>
      <c r="B18" t="n">
        <v>0</v>
      </c>
      <c r="C18" t="n">
        <v>6</v>
      </c>
      <c r="D18" t="n">
        <v>0</v>
      </c>
      <c r="F18" s="72" t="n">
        <v>0.3</v>
      </c>
      <c r="H18" t="inlineStr">
        <is>
          <t>Total, 6 shilling</t>
        </is>
      </c>
    </row>
    <row r="19">
      <c r="A19" t="inlineStr">
        <is>
          <t>Rents of assize</t>
        </is>
      </c>
      <c r="F19" s="72">
        <f>SUM(F17)</f>
        <v/>
      </c>
      <c r="G19" s="129">
        <f>F19-F18</f>
        <v/>
      </c>
      <c r="H19" t="inlineStr">
        <is>
          <t>Total</t>
        </is>
      </c>
    </row>
    <row r="20"/>
    <row r="21">
      <c r="A21" t="inlineStr">
        <is>
          <t>Rents of assize</t>
        </is>
      </c>
      <c r="B21" t="n">
        <v>0</v>
      </c>
      <c r="C21" t="n">
        <v>13</v>
      </c>
      <c r="D21" t="n">
        <v>8</v>
      </c>
      <c r="F21" s="72" t="n">
        <v>0.68</v>
      </c>
      <c r="H21" t="inlineStr">
        <is>
          <t>The same renders account for 13 shilling 8pence for the rent of assize at Michaelmas of Andrew Payn for the tenement which he holds in Sparsholt.</t>
        </is>
      </c>
    </row>
    <row r="22">
      <c r="A22" t="inlineStr">
        <is>
          <t>Rents of assize</t>
        </is>
      </c>
      <c r="B22" t="n">
        <v>0</v>
      </c>
      <c r="C22" t="n">
        <v>3</v>
      </c>
      <c r="D22" t="n">
        <v>0</v>
      </c>
      <c r="F22" s="72" t="n">
        <v>0.15</v>
      </c>
      <c r="H22" t="inlineStr">
        <is>
          <t>3 shilling for the rent of assize at the same term of William Russel for a certain cottage in the same vill.</t>
        </is>
      </c>
    </row>
    <row r="23">
      <c r="A23" t="inlineStr">
        <is>
          <t>Rents of assize</t>
        </is>
      </c>
      <c r="B23" t="n">
        <v>0</v>
      </c>
      <c r="C23" t="n">
        <v>5</v>
      </c>
      <c r="D23" t="n">
        <v>0</v>
      </c>
      <c r="F23" s="72" t="n">
        <v>0.25</v>
      </c>
      <c r="H23" t="inlineStr">
        <is>
          <t>5 shilling for the rent of assize at the same term of Richard Fromund for his tenement which he holds in the same vill.</t>
        </is>
      </c>
    </row>
    <row r="24">
      <c r="A24" t="inlineStr">
        <is>
          <t>Rents of assize</t>
        </is>
      </c>
      <c r="B24" t="n">
        <v>1</v>
      </c>
      <c r="C24" t="n">
        <v>1</v>
      </c>
      <c r="D24" t="n">
        <v>8</v>
      </c>
      <c r="F24" s="72" t="n">
        <v>1.08</v>
      </c>
      <c r="H24" t="inlineStr">
        <is>
          <t>Total, £1 1 shilling 8pence</t>
        </is>
      </c>
    </row>
    <row r="25">
      <c r="A25" t="inlineStr">
        <is>
          <t>Rents of assize</t>
        </is>
      </c>
      <c r="F25" s="72">
        <f>SUM(F21:F23)</f>
        <v/>
      </c>
      <c r="G25" s="129">
        <f>F25-F24</f>
        <v/>
      </c>
      <c r="H25" t="inlineStr">
        <is>
          <t>Total</t>
        </is>
      </c>
    </row>
    <row r="26"/>
    <row r="27">
      <c r="A27" t="inlineStr">
        <is>
          <t>Rents of assize</t>
        </is>
      </c>
      <c r="B27" t="n">
        <v>0</v>
      </c>
      <c r="C27" t="n">
        <v>6</v>
      </c>
      <c r="D27" t="n">
        <v>8</v>
      </c>
      <c r="F27" s="72" t="n">
        <v>0.33</v>
      </c>
      <c r="H27" t="inlineStr">
        <is>
          <t>The same renders account for 6 shilling 8pence for the rent of assize at Michaelmas of Nicholas de Ychen' for 3 virgates of land in Martyr Worthy.</t>
        </is>
      </c>
    </row>
    <row r="28">
      <c r="A28" t="inlineStr">
        <is>
          <t>Rents of assize</t>
        </is>
      </c>
      <c r="B28" t="n">
        <v>0</v>
      </c>
      <c r="C28" t="n">
        <v>6</v>
      </c>
      <c r="D28" t="n">
        <v>8</v>
      </c>
      <c r="F28" s="72" t="n">
        <v>0.33</v>
      </c>
      <c r="H28" t="inlineStr">
        <is>
          <t>Total, 6 shilling 8pence</t>
        </is>
      </c>
    </row>
    <row r="29">
      <c r="A29" t="inlineStr">
        <is>
          <t>Rents of assize</t>
        </is>
      </c>
      <c r="F29" s="72">
        <f>SUM(F27)</f>
        <v/>
      </c>
      <c r="G29" s="129">
        <f>F29-F28</f>
        <v/>
      </c>
      <c r="H29" t="inlineStr">
        <is>
          <t>Total</t>
        </is>
      </c>
    </row>
    <row r="30"/>
    <row r="31">
      <c r="A31" t="inlineStr">
        <is>
          <t>Estreat of the Bench beginning at Michaelmas in the year 26, and Hilary, Easter and Trinity in the year 27 (1298-9)</t>
        </is>
      </c>
      <c r="B31" t="n">
        <v>0</v>
      </c>
      <c r="C31" t="n">
        <v>1</v>
      </c>
      <c r="D31" t="n">
        <v>8</v>
      </c>
      <c r="F31" s="72" t="n">
        <v>0.08</v>
      </c>
      <c r="H31" t="inlineStr">
        <is>
          <t>The same renders account for 1 shilling 8pence from Martin Molendinarius of South Stoneham and Roger of the same because they did not produce in court Guy de Stonham.</t>
        </is>
      </c>
    </row>
    <row r="32">
      <c r="A32" t="inlineStr">
        <is>
          <t>Estreat of the Bench beginning at Michaelmas in the year 26, and Hilary, Easter and Trinity in the year 27 (1298-9)</t>
        </is>
      </c>
      <c r="B32" t="n">
        <v>0</v>
      </c>
      <c r="C32" t="n">
        <v>1</v>
      </c>
      <c r="D32" t="n">
        <v>8</v>
      </c>
      <c r="F32" s="72" t="n">
        <v>0.08</v>
      </c>
      <c r="H32" t="inlineStr">
        <is>
          <t>1 shilling 8pence from William Raynold de Fal' and John Soudener of the same because they did not produce in court John de la Sale.</t>
        </is>
      </c>
    </row>
    <row r="33">
      <c r="A33" t="inlineStr">
        <is>
          <t>Estreat of the Bench beginning at Michaelmas in the year 26, and Hilary, Easter and Trinity in the year 27 (1298-9)</t>
        </is>
      </c>
      <c r="B33" t="n">
        <v>0</v>
      </c>
      <c r="C33" t="n">
        <v>1</v>
      </c>
      <c r="D33" t="n">
        <v>8</v>
      </c>
      <c r="F33" s="72" t="n">
        <v>0.08</v>
      </c>
      <c r="H33" t="inlineStr">
        <is>
          <t>1 shilling 8pence from William Cuppyng of Droxford and William le Taymyr of the same because they did not produce in court Richard de Midlington' whom they had bailed.</t>
        </is>
      </c>
    </row>
    <row r="34">
      <c r="A34" t="inlineStr">
        <is>
          <t>Estreat of the Bench beginning at Michaelmas in the year 26, and Hilary, Easter and Trinity in the year 27 (1298-9)</t>
        </is>
      </c>
      <c r="B34" t="n">
        <v>0</v>
      </c>
      <c r="C34" t="n">
        <v>1</v>
      </c>
      <c r="D34" t="n">
        <v>8</v>
      </c>
      <c r="F34" s="72" t="n">
        <v>0.08</v>
      </c>
      <c r="H34" t="inlineStr">
        <is>
          <t>1 shilling 8pence from Gerard le Commongar' of Durley and Thomas Everard of the same because they did not produce in court John Everard'.</t>
        </is>
      </c>
    </row>
    <row r="35">
      <c r="A35" t="inlineStr">
        <is>
          <t>Estreat of the Bench beginning at Michaelmas in the year 26, and Hilary, Easter and Trinity in the year 27 (1298-9)</t>
        </is>
      </c>
      <c r="B35" t="n">
        <v>0</v>
      </c>
      <c r="C35" t="n">
        <v>1</v>
      </c>
      <c r="D35" t="n">
        <v>8</v>
      </c>
      <c r="F35" s="72" t="n">
        <v>0.08</v>
      </c>
      <c r="H35" t="inlineStr">
        <is>
          <t>1 shilling 8pence from John Crispyn of Bighton and John Faber because they did not produce in court Walter Tymb'.</t>
        </is>
      </c>
    </row>
    <row r="36">
      <c r="A36" t="inlineStr">
        <is>
          <t>Estreat of the Bench beginning at Michaelmas in the year 26, and Hilary, Easter and Trinity in the year 27 (1298-9)</t>
        </is>
      </c>
      <c r="B36" t="n">
        <v>0</v>
      </c>
      <c r="C36" t="n">
        <v>1</v>
      </c>
      <c r="D36" t="n">
        <v>8</v>
      </c>
      <c r="F36" s="72" t="n">
        <v>0.08</v>
      </c>
      <c r="H36" t="inlineStr">
        <is>
          <t>1 shilling 8pence from William Martin of West Tisted and Adam ate Mere because they did not produce in court Richard de Tysted'.</t>
        </is>
      </c>
    </row>
    <row r="37">
      <c r="A37" t="inlineStr">
        <is>
          <t>Estreat of the Bench beginning at Michaelmas in the year 26, and Hilary, Easter and Trinity in the year 27 (1298-9)</t>
        </is>
      </c>
      <c r="B37" t="n">
        <v>0</v>
      </c>
      <c r="C37" t="n">
        <v>1</v>
      </c>
      <c r="D37" t="n">
        <v>0</v>
      </c>
      <c r="F37" s="72" t="n">
        <v>0.05</v>
      </c>
      <c r="H37" t="inlineStr">
        <is>
          <t>1 shilling from Richard de Overton' and Geoffrey Horn because they did not produce in court John Pilesel the younger whom they had bailed.</t>
        </is>
      </c>
    </row>
    <row r="38">
      <c r="A38" t="inlineStr">
        <is>
          <t>Estreat of the Bench beginning at Michaelmas in the year 26, and Hilary, Easter and Trinity in the year 27 (1298-9)</t>
        </is>
      </c>
      <c r="B38" t="n">
        <v>0</v>
      </c>
      <c r="C38" t="n">
        <v>1</v>
      </c>
      <c r="D38" t="n">
        <v>0</v>
      </c>
      <c r="F38" s="72" t="n">
        <v>0.05</v>
      </c>
      <c r="H38" t="inlineStr">
        <is>
          <t>1 shilling from Ralph de Sydemanton' and John de Nywenton' because they did not produce in court Roger le Lunt whom they had pledged.</t>
        </is>
      </c>
    </row>
    <row r="39">
      <c r="A39" t="inlineStr">
        <is>
          <t>Estreat of the Bench beginning at Michaelmas in the year 26, and Hilary, Easter and Trinity in the year 27 (1298-9)</t>
        </is>
      </c>
      <c r="B39" t="n">
        <v>0</v>
      </c>
      <c r="C39" t="n">
        <v>1</v>
      </c>
      <c r="D39" t="n">
        <v>0</v>
      </c>
      <c r="F39" s="72" t="n">
        <v>0.05</v>
      </c>
      <c r="H39" t="inlineStr">
        <is>
          <t>1 shilling from Adam le Mar' and Walter Mercator because they did not produce in court Roger le Lunt whom they had pledged.</t>
        </is>
      </c>
    </row>
    <row r="40">
      <c r="A40" t="inlineStr">
        <is>
          <t>Estreat of the Bench beginning at Michaelmas in the year 26, and Hilary, Easter and Trinity in the year 27 (1298-9)</t>
        </is>
      </c>
      <c r="B40" t="n">
        <v>0</v>
      </c>
      <c r="C40" t="n">
        <v>2</v>
      </c>
      <c r="D40" t="n">
        <v>0</v>
      </c>
      <c r="F40" s="72" t="n">
        <v>0.1</v>
      </c>
      <c r="H40" t="inlineStr">
        <is>
          <t>2 shilling from William Martin, Walter de Cove, Richard de Murifeld' and John Faber of West Tisted because they did not produce in court Richard de Tisted' whom they had bailed.</t>
        </is>
      </c>
    </row>
    <row r="41">
      <c r="A41" t="inlineStr">
        <is>
          <t>Estreat of the Bench beginning at Michaelmas in the year 26, and Hilary, Easter and Trinity in the year 27 (1298-9)</t>
        </is>
      </c>
      <c r="B41" t="n">
        <v>0</v>
      </c>
      <c r="C41" t="n">
        <v>1</v>
      </c>
      <c r="D41" t="n">
        <v>8</v>
      </c>
      <c r="F41" s="72" t="n">
        <v>0.08</v>
      </c>
      <c r="H41" t="inlineStr">
        <is>
          <t>1 shilling 8pence from John Cuppyng of Bighton, William Clericus of Drayton, John de Solrigg' and John de la Greyn' because they did not produce in court Robert de Weston'.</t>
        </is>
      </c>
    </row>
    <row r="42">
      <c r="A42" t="inlineStr">
        <is>
          <t>Estreat of the Bench beginning at Michaelmas in the year 26, and Hilary, Easter and Trinity in the year 27 (1298-9)</t>
        </is>
      </c>
      <c r="B42" t="n">
        <v>0</v>
      </c>
      <c r="C42" t="n">
        <v>1</v>
      </c>
      <c r="D42" t="n">
        <v>8</v>
      </c>
      <c r="F42" s="72" t="n">
        <v>0.08</v>
      </c>
      <c r="H42" t="inlineStr">
        <is>
          <t>1 shilling 8pence from John Faber of Bighton, Richard le Schepurde, John Sum' and Robert le Bule because they did not produce in court Walter Tymb' whom they had bailed.</t>
        </is>
      </c>
    </row>
    <row r="43">
      <c r="A43" t="inlineStr">
        <is>
          <t>Estreat of the Bench beginning at Michaelmas in the year 26, and Hilary, Easter and Trinity in the year 27 (1298-9)</t>
        </is>
      </c>
      <c r="B43" t="n">
        <v>0</v>
      </c>
      <c r="C43" t="n">
        <v>2</v>
      </c>
      <c r="D43" t="n">
        <v>0</v>
      </c>
      <c r="F43" s="72" t="n">
        <v>0.1</v>
      </c>
      <c r="H43" t="inlineStr">
        <is>
          <t>2 shilling from Walter ate Forth' of Overton, John Pilesel the elder, John Osebern and John ate Toneshend' because they did not produce in court John Pilesel the younger whom they had bailed.</t>
        </is>
      </c>
    </row>
    <row r="44">
      <c r="A44" t="inlineStr">
        <is>
          <t>Estreat of the Bench beginning at Michaelmas in the year 26, and Hilary, Easter and Trinity in the year 27 (1298-9)</t>
        </is>
      </c>
      <c r="B44" t="n">
        <v>0</v>
      </c>
      <c r="C44" t="n">
        <v>1</v>
      </c>
      <c r="D44" t="n">
        <v>0</v>
      </c>
      <c r="F44" s="72" t="n">
        <v>0.05</v>
      </c>
      <c r="H44" t="inlineStr">
        <is>
          <t>1 shilling from Richard le Berch' of Overton, Robert le Hore, John Oseburn and Ralph ate Toneshend' because they did not produce in court Roger le Lunt whom they had bailed in Overton at Easter.</t>
        </is>
      </c>
    </row>
    <row r="45">
      <c r="A45" t="inlineStr">
        <is>
          <t>Estreat of the Bench beginning at Michaelmas in the year 26, and Hilary, Easter and Trinity in the year 27 (1298-9)</t>
        </is>
      </c>
      <c r="B45" t="n">
        <v>0</v>
      </c>
      <c r="C45" t="n">
        <v>1</v>
      </c>
      <c r="D45" t="n">
        <v>8</v>
      </c>
      <c r="F45" s="72" t="n">
        <v>0.08</v>
      </c>
      <c r="H45" t="inlineStr">
        <is>
          <t>1 shilling 8pence from William Fynamur for himself and his pledges because he is not proceeding against Geoffrey le Keu in a plea of land.</t>
        </is>
      </c>
    </row>
    <row r="46">
      <c r="A46" t="inlineStr">
        <is>
          <t>Estreat of the Bench beginning at Michaelmas in the year 26, and Hilary, Easter and Trinity in the year 27 (1298-9)</t>
        </is>
      </c>
      <c r="B46" t="n">
        <v>0</v>
      </c>
      <c r="C46" t="n">
        <v>1</v>
      </c>
      <c r="D46" t="n">
        <v>8</v>
      </c>
      <c r="F46" s="72" t="n">
        <v>0.08</v>
      </c>
      <c r="H46" t="inlineStr">
        <is>
          <t>1 shilling 8pence from William Godrich of Upham and John Goudrich of the same because they did not produce in court Robert ate Bech.</t>
        </is>
      </c>
    </row>
    <row r="47">
      <c r="A47" t="inlineStr">
        <is>
          <t>Estreat of the Bench beginning at Michaelmas in the year 26, and Hilary, Easter and Trinity in the year 27 (1298-9)</t>
        </is>
      </c>
      <c r="B47" t="n">
        <v>0</v>
      </c>
      <c r="C47" t="n">
        <v>1</v>
      </c>
      <c r="D47" t="n">
        <v>0</v>
      </c>
      <c r="F47" s="72" t="n">
        <v>0.05</v>
      </c>
      <c r="H47" t="inlineStr">
        <is>
          <t>1 shilling from Adam Cissore of Overton and Adam Pukecherl because they did not produce in court John Pilesel.</t>
        </is>
      </c>
    </row>
    <row r="48">
      <c r="A48" t="inlineStr">
        <is>
          <t>Estreat of the Bench beginning at Michaelmas in the year 26, and Hilary, Easter and Trinity in the year 27 (1298-9)</t>
        </is>
      </c>
      <c r="B48" t="n">
        <v>0</v>
      </c>
      <c r="C48" t="n">
        <v>2</v>
      </c>
      <c r="D48" t="n">
        <v>0</v>
      </c>
      <c r="F48" s="72" t="n">
        <v>0.1</v>
      </c>
      <c r="H48" t="inlineStr">
        <is>
          <t>From the amercements of merchants in the county of Southampton in the sixth year (1278): 2 shilling from Henry de Arblaster for false measure.</t>
        </is>
      </c>
    </row>
    <row r="49">
      <c r="A49" t="inlineStr">
        <is>
          <t>Estreat of the Bench beginning at Michaelmas in the year 26, and Hilary, Easter and Trinity in the year 27 (1298-9)</t>
        </is>
      </c>
      <c r="B49" t="n">
        <v>1</v>
      </c>
      <c r="C49" t="n">
        <v>7</v>
      </c>
      <c r="D49" t="n">
        <v>8</v>
      </c>
      <c r="F49" s="72" t="n">
        <v>1.38</v>
      </c>
      <c r="H49" t="inlineStr">
        <is>
          <t>Total, £1 7 shilling 8pence</t>
        </is>
      </c>
    </row>
    <row r="50">
      <c r="F50" s="72">
        <f>SUM(F31:F48)</f>
        <v/>
      </c>
      <c r="G50" s="129">
        <f>F50-F49</f>
        <v/>
      </c>
      <c r="H50" t="inlineStr">
        <is>
          <t>Total</t>
        </is>
      </c>
    </row>
    <row r="51">
      <c r="F51" s="72" t="n"/>
    </row>
    <row r="52">
      <c r="A52" t="inlineStr">
        <is>
          <t>Amercements of the court of J. de Metingham and his fellows of the Bench at Michaelmas in the year 28 (1299-1300) and the following terms</t>
        </is>
      </c>
      <c r="B52" t="n">
        <v>0</v>
      </c>
      <c r="C52" t="n">
        <v>3</v>
      </c>
      <c r="D52" t="n">
        <v>4</v>
      </c>
      <c r="F52" s="72" t="n">
        <v>0.17</v>
      </c>
      <c r="H52" t="inlineStr">
        <is>
          <t>The same renders account for 3 shilling 4pence from Jordan le Yunge and his fellows because they did not produce in court Joan de Colrych' whom they had bailed.</t>
        </is>
      </c>
    </row>
    <row r="53">
      <c r="A53" t="inlineStr">
        <is>
          <t>Amercements of the court of J. de Metingham and his fellows of the Bench at Michaelmas in the year 28 (1299-1300) and the following terms</t>
        </is>
      </c>
      <c r="B53" t="n">
        <v>0</v>
      </c>
      <c r="C53" t="n">
        <v>3</v>
      </c>
      <c r="D53" t="n">
        <v>4</v>
      </c>
      <c r="F53" s="72" t="n">
        <v>0.17</v>
      </c>
      <c r="H53" t="inlineStr">
        <is>
          <t>3 shilling 4pence from Bartholomew Laurence and his fellows because they did not produce in court William, son of Laurence de London, whom they had bailed.</t>
        </is>
      </c>
    </row>
    <row r="54">
      <c r="A54" t="inlineStr">
        <is>
          <t>Amercements of the court of J. de Metingham and his fellows of the Bench at Michaelmas in the year 28 (1299-1300) and the following terms</t>
        </is>
      </c>
      <c r="B54" t="n">
        <v>0</v>
      </c>
      <c r="C54" t="n">
        <v>1</v>
      </c>
      <c r="D54" t="n">
        <v>8</v>
      </c>
      <c r="F54" s="72" t="n">
        <v>0.08</v>
      </c>
      <c r="H54" t="inlineStr">
        <is>
          <t>1 shilling 8pence from William Joye and his fellows because they did not produce in court Walter de Derneford' whom they had bailed.</t>
        </is>
      </c>
    </row>
    <row r="55">
      <c r="A55" t="inlineStr">
        <is>
          <t>Amercements of the court of J. de Metingham and his fellows of the Bench at Michaelmas in the year 28 (1299-1300) and the following terms</t>
        </is>
      </c>
      <c r="B55" t="n">
        <v>0</v>
      </c>
      <c r="C55" t="n">
        <v>3</v>
      </c>
      <c r="D55" t="n">
        <v>4</v>
      </c>
      <c r="F55" s="72" t="n">
        <v>0.17</v>
      </c>
      <c r="H55" t="inlineStr">
        <is>
          <t>3 shilling 4pence from Robert Wyncent and his fellows because they did not produce in court John de Lynch' whom they had bailed.</t>
        </is>
      </c>
    </row>
    <row r="56">
      <c r="A56" t="inlineStr">
        <is>
          <t>Amercements of the court of J. de Metingham and his fellows of the Bench at Michaelmas in the year 28 (1299-1300) and the following terms</t>
        </is>
      </c>
      <c r="B56" t="n">
        <v>0</v>
      </c>
      <c r="C56" t="n">
        <v>3</v>
      </c>
      <c r="D56" t="n">
        <v>4</v>
      </c>
      <c r="F56" s="72" t="n">
        <v>0.17</v>
      </c>
      <c r="H56" t="inlineStr">
        <is>
          <t>3 shilling 4pence from Jordan le Yunge and his fellows because they did not produce in court Joan de Colrich' whom they had bailed.</t>
        </is>
      </c>
    </row>
    <row r="57">
      <c r="A57" t="inlineStr">
        <is>
          <t>Amercements of the court of J. de Metingham and his fellows of the Bench at Michaelmas in the year 28 (1299-1300) and the following terms</t>
        </is>
      </c>
      <c r="B57" t="n">
        <v>0</v>
      </c>
      <c r="C57" t="n">
        <v>1</v>
      </c>
      <c r="D57" t="n">
        <v>8</v>
      </c>
      <c r="F57" s="72" t="n">
        <v>0.08</v>
      </c>
      <c r="H57" t="inlineStr">
        <is>
          <t>1 shilling 8pence from Thomas Laurence and his fellows because they did not produce in court William, son of Laurence de London, whom they had bailed.</t>
        </is>
      </c>
    </row>
    <row r="58">
      <c r="A58" t="inlineStr">
        <is>
          <t>Amercements of the court of J. de Metingham and his fellows of the Bench at Michaelmas in the year 28 (1299-1300) and the following terms</t>
        </is>
      </c>
      <c r="B58" t="n">
        <v>0</v>
      </c>
      <c r="C58" t="n">
        <v>1</v>
      </c>
      <c r="D58" t="n">
        <v>8</v>
      </c>
      <c r="F58" s="72" t="n">
        <v>0.08</v>
      </c>
      <c r="H58" t="inlineStr">
        <is>
          <t>1 shilling 8pence from Laurence Skyreboth' and his fellows because they did not produce in court Walter de Derneford' whom they had bailed.</t>
        </is>
      </c>
    </row>
    <row r="59">
      <c r="A59" t="inlineStr">
        <is>
          <t>Amercements of the court of J. de Metingham and his fellows of the Bench at Michaelmas in the year 28 (1299-1300) and the following terms</t>
        </is>
      </c>
      <c r="B59" t="n">
        <v>0</v>
      </c>
      <c r="C59" t="n">
        <v>1</v>
      </c>
      <c r="D59" t="n">
        <v>8</v>
      </c>
      <c r="F59" s="72" t="n">
        <v>0.08</v>
      </c>
      <c r="H59" t="inlineStr">
        <is>
          <t>1 shilling 8pence from William le Duk and his fellows because they did not produce in court John de Lynch' whom they had bailed.</t>
        </is>
      </c>
    </row>
    <row r="60">
      <c r="A60" t="inlineStr">
        <is>
          <t>Amercements of the court of J. de Metingham and his fellows of the Bench at Michaelmas in the year 28 (1299-1300) and the following terms</t>
        </is>
      </c>
      <c r="B60" t="n">
        <v>0</v>
      </c>
      <c r="C60" t="n">
        <v>3</v>
      </c>
      <c r="D60" t="n">
        <v>4</v>
      </c>
      <c r="F60" s="72" t="n">
        <v>0.17</v>
      </c>
      <c r="H60" t="inlineStr">
        <is>
          <t>3 shilling 4pence from John Wyncent and his fellows because they did not produce in court John de Lynch' whom they had bailed.</t>
        </is>
      </c>
    </row>
    <row r="61">
      <c r="A61" t="inlineStr">
        <is>
          <t>Amercements of the court of J. de Metingham and his fellows of the Bench at Michaelmas in the year 28 (1299-1300) and the following terms</t>
        </is>
      </c>
      <c r="B61" t="n">
        <v>0</v>
      </c>
      <c r="C61" t="n">
        <v>1</v>
      </c>
      <c r="D61" t="n">
        <v>8</v>
      </c>
      <c r="F61" s="72" t="n">
        <v>0.08</v>
      </c>
      <c r="H61" t="inlineStr">
        <is>
          <t>1 shilling 8pence from William Chauberlain, juror, because he did not come to the afforcement.</t>
        </is>
      </c>
    </row>
    <row r="62">
      <c r="A62" t="inlineStr">
        <is>
          <t>Amercements of the court of J. de Metingham and his fellows of the Bench at Michaelmas in the year 28 (1299-1300) and the following terms</t>
        </is>
      </c>
      <c r="B62" t="n">
        <v>1</v>
      </c>
      <c r="C62" t="n">
        <v>5</v>
      </c>
      <c r="D62" t="n">
        <v>0</v>
      </c>
      <c r="F62" s="72" t="n">
        <v>1.25</v>
      </c>
      <c r="H62" t="inlineStr">
        <is>
          <t>Total, £1 5 shilling</t>
        </is>
      </c>
    </row>
    <row r="63">
      <c r="F63" s="72">
        <f>SUM(F52:F61)</f>
        <v/>
      </c>
      <c r="G63" s="129">
        <f>F63-F62</f>
        <v/>
      </c>
      <c r="H63" t="inlineStr">
        <is>
          <t>Total</t>
        </is>
      </c>
    </row>
    <row r="64">
      <c r="F64" s="72" t="n"/>
    </row>
    <row r="65">
      <c r="A65" t="inlineStr">
        <is>
          <t>Court of the Barons of the Exchequer for the pleas of Hilary term in the year 28 (1300)</t>
        </is>
      </c>
      <c r="B65" t="n">
        <v>0</v>
      </c>
      <c r="C65" t="n">
        <v>6</v>
      </c>
      <c r="D65" t="n">
        <v>8</v>
      </c>
      <c r="F65" s="72" t="n">
        <v>0.33</v>
      </c>
      <c r="H65" t="inlineStr">
        <is>
          <t>The same renders account for 6 shilling 8pence from Alan Plukenet, son and heir of Alan Plukenet, because he did not come.</t>
        </is>
      </c>
    </row>
    <row r="66">
      <c r="A66" t="inlineStr">
        <is>
          <t>Court of the Barons of the Exchequer for the pleas of Hilary term in the year 28 (1300)</t>
        </is>
      </c>
      <c r="B66" t="n">
        <v>0</v>
      </c>
      <c r="C66" t="n">
        <v>6</v>
      </c>
      <c r="D66" t="n">
        <v>8</v>
      </c>
      <c r="F66" s="72" t="n">
        <v>0.33</v>
      </c>
      <c r="H66" t="inlineStr">
        <is>
          <t>6 shilling 8pence from William, reeve of Kilmeston, and Stephen le Rede of the same because they did not produce in court Alan, son and heir of Alan Plukenet, at Easter.</t>
        </is>
      </c>
    </row>
    <row r="67">
      <c r="A67" t="inlineStr">
        <is>
          <t>Court of the Barons of the Exchequer for the pleas of Hilary term in the year 28 (1300)</t>
        </is>
      </c>
      <c r="B67" t="n">
        <v>0</v>
      </c>
      <c r="C67" t="n">
        <v>6</v>
      </c>
      <c r="D67" t="n">
        <v>8</v>
      </c>
      <c r="F67" s="72" t="n">
        <v>0.33</v>
      </c>
      <c r="H67" t="inlineStr">
        <is>
          <t>6 shilling 8pence from Alan, son and heir of Alan Plukenet, because he did not come.</t>
        </is>
      </c>
    </row>
    <row r="68">
      <c r="A68" t="inlineStr">
        <is>
          <t>Court of the Barons of the Exchequer for the pleas of Hilary term in the year 28 (1300)</t>
        </is>
      </c>
      <c r="B68" t="n">
        <v>0</v>
      </c>
      <c r="C68" t="n">
        <v>3</v>
      </c>
      <c r="D68" t="n">
        <v>4</v>
      </c>
      <c r="F68" s="72" t="n">
        <v>0.17</v>
      </c>
      <c r="H68" t="inlineStr">
        <is>
          <t>3 shilling 4pence from Stephen le Ryde of Kilmeston and his fellows because they did not produce in court the said Alan.</t>
        </is>
      </c>
    </row>
    <row r="69">
      <c r="A69" t="inlineStr">
        <is>
          <t>Court of the Barons of the Exchequer for the pleas of Hilary term in the year 28 (1300)</t>
        </is>
      </c>
      <c r="B69" t="n">
        <v>0</v>
      </c>
      <c r="C69" t="n">
        <v>3</v>
      </c>
      <c r="D69" t="n">
        <v>4</v>
      </c>
      <c r="F69" s="72" t="n">
        <v>0.17</v>
      </c>
      <c r="H69" t="inlineStr">
        <is>
          <t>From Trinity term: 3 shilling 4pence from Alan Plukenet, son and heir of Alan Plukenet, because he did not come.</t>
        </is>
      </c>
    </row>
    <row r="70">
      <c r="A70" t="inlineStr">
        <is>
          <t>Court of the Barons of the Exchequer for the pleas of Hilary term in the year 28 (1300)</t>
        </is>
      </c>
      <c r="B70" t="n">
        <v>0</v>
      </c>
      <c r="C70" t="n">
        <v>1</v>
      </c>
      <c r="D70" t="n">
        <v>8</v>
      </c>
      <c r="F70" s="72" t="n">
        <v>0.08</v>
      </c>
      <c r="H70" t="inlineStr">
        <is>
          <t>1 shilling 8pence from Stephen ate Cleye of Kilmeston and his fellows because they did not produce in court Alan, son and heir of Alan Plukenet.</t>
        </is>
      </c>
    </row>
    <row r="71">
      <c r="A71" t="inlineStr">
        <is>
          <t>Court of the Barons of the Exchequer for the pleas of Hilary term in the year 28 (1300)</t>
        </is>
      </c>
      <c r="B71" t="n">
        <v>0</v>
      </c>
      <c r="C71" t="n">
        <v>6</v>
      </c>
      <c r="D71" t="n">
        <v>8</v>
      </c>
      <c r="F71" s="72" t="n">
        <v>0.33</v>
      </c>
      <c r="H71" t="inlineStr">
        <is>
          <t>6 shilling 8pence from Philip, archdeacon of Winchester, because he did not come.</t>
        </is>
      </c>
    </row>
    <row r="72">
      <c r="A72" t="inlineStr">
        <is>
          <t>Court of the Barons of the Exchequer for the pleas of Hilary term in the year 28 (1300)</t>
        </is>
      </c>
      <c r="B72" t="n">
        <v>1</v>
      </c>
      <c r="C72" t="n">
        <v>15</v>
      </c>
      <c r="D72" t="n">
        <v>0</v>
      </c>
      <c r="F72" s="72">
        <f>B72+C72/20+D72/240</f>
        <v/>
      </c>
      <c r="H72" t="inlineStr">
        <is>
          <t>Total, £1 15 shilling</t>
        </is>
      </c>
    </row>
    <row r="73">
      <c r="A73" t="inlineStr">
        <is>
          <t>Court of the Barons of the Exchequer for the pleas of Hilary term in the year 28 (1300)</t>
        </is>
      </c>
      <c r="F73" s="72">
        <f>SUM(F65:F71)</f>
        <v/>
      </c>
      <c r="G73" s="129">
        <f>F73-F72</f>
        <v/>
      </c>
      <c r="H73" t="inlineStr">
        <is>
          <t>Total</t>
        </is>
      </c>
    </row>
    <row r="74">
      <c r="F74" s="72" t="n"/>
    </row>
    <row r="75">
      <c r="A75" t="inlineStr">
        <is>
          <t>Court of the Barons of the Exchequer for the pleas of Hilary term in the year 28 (1300)</t>
        </is>
      </c>
      <c r="B75" t="n">
        <v>0</v>
      </c>
      <c r="C75" t="n">
        <v>1</v>
      </c>
      <c r="D75" t="n">
        <v>8</v>
      </c>
      <c r="F75" s="72" t="n">
        <v>0.08</v>
      </c>
      <c r="H75" t="inlineStr">
        <is>
          <t>And 1 shilling 8pence from Gerard de Tigehal' and his fellows because they did not produce in court William de Tigehal'.</t>
        </is>
      </c>
    </row>
    <row r="76">
      <c r="A76" t="inlineStr">
        <is>
          <t>Court of Roger Brabazon and his fellow justices holding the pleas of the king's court for Hilary term in the year 27 Edward I (1299)</t>
        </is>
      </c>
      <c r="B76" t="n">
        <v>0</v>
      </c>
      <c r="C76" t="n">
        <v>1</v>
      </c>
      <c r="D76" t="n">
        <v>8</v>
      </c>
      <c r="F76" s="72" t="n">
        <v>0.08</v>
      </c>
      <c r="H76" t="inlineStr">
        <is>
          <t>The same renders account for 1 shilling 8pence from Thomas Tupleyn and his fellows because they did not produce in court Nicholas de Langrissch'.</t>
        </is>
      </c>
    </row>
    <row r="77">
      <c r="F77" s="72" t="n"/>
    </row>
    <row r="78">
      <c r="A78" t="inlineStr">
        <is>
          <t>Court of the same justices in Michaelmas term of the year ending 26 and beginning 27 (1298-9)</t>
        </is>
      </c>
      <c r="B78" t="n">
        <v>0</v>
      </c>
      <c r="C78" t="n">
        <v>1</v>
      </c>
      <c r="D78" t="n">
        <v>8</v>
      </c>
      <c r="F78" s="72" t="n">
        <v>0.08</v>
      </c>
      <c r="H78" t="inlineStr">
        <is>
          <t>The same renders account for 1 shilling 8pence from Nicholas de Borden' and his fellows because they did not produce in court Nicholas de Langrissch' whom they had bailed</t>
        </is>
      </c>
    </row>
    <row r="79">
      <c r="A79" t="inlineStr">
        <is>
          <t>Court of the same justices in Michaelmas term of the year ending 26 and beginning 27 (1298-9)</t>
        </is>
      </c>
      <c r="B79" t="n">
        <v>0</v>
      </c>
      <c r="C79" t="n">
        <v>5</v>
      </c>
      <c r="D79" t="n">
        <v>0</v>
      </c>
      <c r="F79" s="72">
        <f>B79+C79/20+D79/240</f>
        <v/>
      </c>
      <c r="H79" t="inlineStr">
        <is>
          <t>Total, 5 shilling</t>
        </is>
      </c>
    </row>
    <row r="80">
      <c r="F80" s="72" t="n"/>
    </row>
    <row r="81">
      <c r="A81" t="inlineStr">
        <is>
          <t>Both</t>
        </is>
      </c>
      <c r="F81" s="72">
        <f>F78+F75+F76</f>
        <v/>
      </c>
      <c r="G81" s="129">
        <f>F81-F79</f>
        <v/>
      </c>
      <c r="H81" t="inlineStr">
        <is>
          <t>Total</t>
        </is>
      </c>
    </row>
    <row r="82">
      <c r="F82" s="72" t="n"/>
    </row>
    <row r="83">
      <c r="A83" t="inlineStr">
        <is>
          <t>King's court for Michaelmas term of the year ending 25 and beginning 26, and for the following Hilary, Easter and Trinity terms (1297-8)</t>
        </is>
      </c>
      <c r="B83" t="n">
        <v>0</v>
      </c>
      <c r="C83" t="n">
        <v>1</v>
      </c>
      <c r="D83" t="n">
        <v>8</v>
      </c>
      <c r="F83" s="72" t="n">
        <v>0.08</v>
      </c>
      <c r="H83" t="inlineStr">
        <is>
          <t>The same renders account for 1 shilling 8pence from Nicholas Wyncent and John Wyncent because they did not produce in court William de Lynch'.</t>
        </is>
      </c>
    </row>
    <row r="84">
      <c r="A84" t="inlineStr">
        <is>
          <t>King's court for Michaelmas term of the year ending 25 and beginning 26, and for the following Hilary, Easter and Trinity terms (1297-8)</t>
        </is>
      </c>
      <c r="B84" t="n">
        <v>0</v>
      </c>
      <c r="C84" t="n">
        <v>1</v>
      </c>
      <c r="D84" t="n">
        <v>0</v>
      </c>
      <c r="F84" s="72" t="n">
        <v>0.05</v>
      </c>
      <c r="H84" t="inlineStr">
        <is>
          <t>1 shilling from John Wyncent, William Wyncent, Nicholas Wyncent and William Pakel because they did not produce in court John de Lynch'.</t>
        </is>
      </c>
    </row>
    <row r="85">
      <c r="A85" t="inlineStr">
        <is>
          <t>King's court for Michaelmas term of the year ending 25 and beginning 26, and for the following Hilary, Easter and Trinity terms (1297-8)</t>
        </is>
      </c>
      <c r="B85" t="n">
        <v>0</v>
      </c>
      <c r="C85" t="n">
        <v>1</v>
      </c>
      <c r="D85" t="n">
        <v>8</v>
      </c>
      <c r="F85" s="72" t="n">
        <v>0.08</v>
      </c>
      <c r="H85" t="inlineStr">
        <is>
          <t>1 shilling 8pence from John de Wyntenesheye of Bradley and Simon Wuwyn' of Wield because they did not produce in court John Bouie.</t>
        </is>
      </c>
    </row>
    <row r="86">
      <c r="A86" t="inlineStr">
        <is>
          <t>King's court for Michaelmas term of the year ending 25 and beginning 26, and for the following Hilary, Easter and Trinity terms (1297-8)</t>
        </is>
      </c>
      <c r="B86" t="n">
        <v>0</v>
      </c>
      <c r="C86" t="n">
        <v>1</v>
      </c>
      <c r="D86" t="n">
        <v>8</v>
      </c>
      <c r="F86" s="72" t="n">
        <v>0.08</v>
      </c>
      <c r="H86" t="inlineStr">
        <is>
          <t>1 shilling 8pence from Hugh son of Elewys and Robert, son of Andrew de Essefeld', because they did not produce in court Thomas Call'.</t>
        </is>
      </c>
    </row>
    <row r="87">
      <c r="A87" t="inlineStr">
        <is>
          <t>King's court for Michaelmas term of the year ending 25 and beginning 26, and for the following Hilary, Easter and Trinity terms (1297-8)</t>
        </is>
      </c>
      <c r="B87" t="n">
        <v>0</v>
      </c>
      <c r="C87" t="n">
        <v>1</v>
      </c>
      <c r="D87" t="n">
        <v>8</v>
      </c>
      <c r="F87" s="72" t="n">
        <v>0.08</v>
      </c>
      <c r="H87" t="inlineStr">
        <is>
          <t>1 shilling 8pence from John Langurend' and John de la Hecch' because they did not produce in court Simon Wuwyn' whom they had pledged.</t>
        </is>
      </c>
    </row>
    <row r="88">
      <c r="A88" t="inlineStr">
        <is>
          <t>King's court for Michaelmas term of the year ending 25 and beginning 26, and for the following Hilary, Easter and Trinity terms (1297-8)</t>
        </is>
      </c>
      <c r="B88" t="n">
        <v>0</v>
      </c>
      <c r="C88" t="n">
        <v>1</v>
      </c>
      <c r="D88" t="n">
        <v>8</v>
      </c>
      <c r="F88" s="72" t="n">
        <v>0.08</v>
      </c>
      <c r="H88" t="inlineStr">
        <is>
          <t>1 shilling 8pence from William le Carpentyr de Herlefeld' and Thomas Call' of Wield because they did not produce in court Robert de la Doun'.</t>
        </is>
      </c>
    </row>
    <row r="89">
      <c r="A89" t="inlineStr">
        <is>
          <t>King's court for Michaelmas term of the year ending 25 and beginning 26, and for the following Hilary, Easter and Trinity terms (1297-8)</t>
        </is>
      </c>
      <c r="B89" t="n">
        <v>0</v>
      </c>
      <c r="C89" t="n">
        <v>1</v>
      </c>
      <c r="D89" t="n">
        <v>8</v>
      </c>
      <c r="F89" s="72" t="n">
        <v>0.08</v>
      </c>
      <c r="H89" t="inlineStr">
        <is>
          <t>1 shilling 8pence from Simon de la Lye and Benedict le Parmenter because they did not produce in court Gilbert Horsemayn.</t>
        </is>
      </c>
    </row>
    <row r="90">
      <c r="A90" t="inlineStr">
        <is>
          <t>King's court for Michaelmas term of the year ending 25 and beginning 26, and for the following Hilary, Easter and Trinity terms (1297-8)</t>
        </is>
      </c>
      <c r="B90" t="n">
        <v>0</v>
      </c>
      <c r="C90" t="n">
        <v>1</v>
      </c>
      <c r="D90" t="n">
        <v>8</v>
      </c>
      <c r="F90" s="72" t="n">
        <v>0.08</v>
      </c>
      <c r="H90" t="inlineStr">
        <is>
          <t xml:space="preserve">1 shilling 8pence from John le Fughelar', John Clericus of Long Sutton, William Paghel, William Vincent of Long Sutton because they did not produce in court John de Lynch' whom they had bailepence </t>
        </is>
      </c>
    </row>
    <row r="91">
      <c r="A91" t="inlineStr">
        <is>
          <t>King's court for Michaelmas term of the year ending 25 and beginning 26, and for the following Hilary, Easter and Trinity terms (1297-8)</t>
        </is>
      </c>
      <c r="B91" t="n">
        <v>0</v>
      </c>
      <c r="C91" t="n">
        <v>12</v>
      </c>
      <c r="D91" t="n">
        <v>8</v>
      </c>
      <c r="F91" s="72">
        <f>B91+C91/20+D887243</f>
        <v/>
      </c>
      <c r="H91" t="inlineStr">
        <is>
          <t>Total, 12 shilling 8pence</t>
        </is>
      </c>
    </row>
    <row r="92">
      <c r="F92" s="72">
        <f>SUM(F83:F90)</f>
        <v/>
      </c>
      <c r="G92" s="129">
        <f>F92-F91</f>
        <v/>
      </c>
      <c r="H92" t="inlineStr">
        <is>
          <t>Total</t>
        </is>
      </c>
    </row>
    <row r="93">
      <c r="F93" s="72" t="n"/>
    </row>
    <row r="94">
      <c r="A94" t="inlineStr">
        <is>
          <t>From Chancery in the year 28 (1300), from the charge of Robert de Herierd'</t>
        </is>
      </c>
      <c r="B94" t="n">
        <v>0</v>
      </c>
      <c r="C94" t="n">
        <v>6</v>
      </c>
      <c r="D94" t="n">
        <v>8</v>
      </c>
      <c r="F94" s="72" t="n">
        <v>0.33</v>
      </c>
      <c r="H94" t="inlineStr">
        <is>
          <t>6 shilling 8pence from Robert Burnel to have the writ `pone'.</t>
        </is>
      </c>
    </row>
    <row r="95">
      <c r="A95" t="inlineStr">
        <is>
          <t>Also from chancery in the year 29 (1301), from the charge of Robert de Herierd'</t>
        </is>
      </c>
      <c r="B95" t="n">
        <v>0</v>
      </c>
      <c r="C95" t="n">
        <v>6</v>
      </c>
      <c r="D95" t="n">
        <v>8</v>
      </c>
      <c r="F95" s="72" t="n">
        <v>0.33</v>
      </c>
      <c r="H95" t="inlineStr">
        <is>
          <t>6 shilling 8pence from Richard de Sutton' of Overton to have a writ.</t>
        </is>
      </c>
    </row>
    <row r="96">
      <c r="A96" t="inlineStr">
        <is>
          <t>Also from chancery in the year 29 (1301), from the charge of Robert de Herierd'</t>
        </is>
      </c>
      <c r="B96" t="n">
        <v>0</v>
      </c>
      <c r="C96" t="n">
        <v>0</v>
      </c>
      <c r="D96" t="n">
        <v>0</v>
      </c>
      <c r="F96" s="72" t="n">
        <v>0</v>
      </c>
      <c r="H96" t="inlineStr">
        <is>
          <t>0.5 mark from Richard le Porter to have a writ.</t>
        </is>
      </c>
    </row>
    <row r="97">
      <c r="A97" t="inlineStr">
        <is>
          <t>Also from chancery in the year 29 (1301), from the charge of Robert de Herierd'</t>
        </is>
      </c>
      <c r="B97" t="n">
        <v>1</v>
      </c>
      <c r="C97" t="n">
        <v>0</v>
      </c>
      <c r="D97" t="n">
        <v>0</v>
      </c>
      <c r="F97" s="72" t="n">
        <v>1</v>
      </c>
      <c r="H97" t="inlineStr">
        <is>
          <t>Total, £1.</t>
        </is>
      </c>
    </row>
    <row r="98">
      <c r="F98" s="72">
        <f>SUM(F94:F96)</f>
        <v/>
      </c>
      <c r="G98" s="129">
        <f>F98-F97</f>
        <v/>
      </c>
      <c r="H98" t="inlineStr">
        <is>
          <t>Total</t>
        </is>
      </c>
    </row>
    <row r="99">
      <c r="F99" s="72" t="n"/>
    </row>
    <row r="100">
      <c r="A100" t="inlineStr">
        <is>
          <t>From the eyre of R. de Roff' in the year 8 and the beginning of the year 9 (1280-1)</t>
        </is>
      </c>
      <c r="B100" t="n">
        <v>0</v>
      </c>
      <c r="C100" t="n">
        <v>3</v>
      </c>
      <c r="D100" t="n">
        <v>4</v>
      </c>
      <c r="F100" s="72" t="n">
        <v>0.17</v>
      </c>
      <c r="H100" t="inlineStr">
        <is>
          <t>3 shilling 4pence from Adam de Aldewyk' for contempt.</t>
        </is>
      </c>
    </row>
    <row r="101">
      <c r="A101" t="inlineStr">
        <is>
          <t>From the eyre of R. de Roff' in the year 8 and the beginning of the year 9 (1280-1)</t>
        </is>
      </c>
      <c r="B101" t="n">
        <v>0</v>
      </c>
      <c r="C101" t="n">
        <v>3</v>
      </c>
      <c r="D101" t="n">
        <v>4</v>
      </c>
      <c r="F101" s="72" t="n">
        <v>0.17</v>
      </c>
      <c r="H101" t="inlineStr">
        <is>
          <t>Total, 3 shilling 4pence</t>
        </is>
      </c>
    </row>
    <row r="102">
      <c r="F102" s="72">
        <f>SUM(F100)</f>
        <v/>
      </c>
      <c r="G102" s="129">
        <f>F102-F101</f>
        <v/>
      </c>
      <c r="H102" t="inlineStr">
        <is>
          <t>Total</t>
        </is>
      </c>
    </row>
    <row r="103">
      <c r="F103" s="72" t="n"/>
    </row>
    <row r="104">
      <c r="A104" t="inlineStr">
        <is>
          <t>From the fines and amercements of Newgate gaol at the court of R. de Sandwyk' and his fellow justices in the years 24, 25, 26 and 27 (1296-9)</t>
        </is>
      </c>
      <c r="B104" t="n">
        <v>0</v>
      </c>
      <c r="C104" t="n">
        <v>0</v>
      </c>
      <c r="D104" t="n">
        <v>0</v>
      </c>
      <c r="F104" s="72" t="n">
        <v>0</v>
      </c>
      <c r="H104" t="inlineStr">
        <is>
          <t>The same renders account for' Richard de Frilend' because he did not come.</t>
        </is>
      </c>
    </row>
    <row r="105">
      <c r="A105" t="inlineStr">
        <is>
          <t>From the fines and amercements of Newgate gaol at the court of R. de Sandwyk' and his fellow justices in the years 24, 25, 26 and 27 (1296-9)</t>
        </is>
      </c>
      <c r="B105" t="n">
        <v>0</v>
      </c>
      <c r="C105" t="n">
        <v>3</v>
      </c>
      <c r="D105" t="n">
        <v>4</v>
      </c>
      <c r="F105" s="72" t="n">
        <v>0.17</v>
      </c>
      <c r="H105" t="inlineStr">
        <is>
          <t>3 shilling 4pence from John Bulluk and Nicholas Cocus because they did not produce in court the said Richard.</t>
        </is>
      </c>
    </row>
    <row r="106">
      <c r="A106" t="inlineStr">
        <is>
          <t>From the fines and amercements of Newgate gaol at the court of R. de Sandwyk' and his fellow justices in the years 24, 25, 26 and 27 (1296-9)</t>
        </is>
      </c>
      <c r="B106" t="n">
        <v>0</v>
      </c>
      <c r="C106" t="n">
        <v>1</v>
      </c>
      <c r="D106" t="n">
        <v>8</v>
      </c>
      <c r="F106" s="72" t="n">
        <v>0.08</v>
      </c>
      <c r="H106" t="inlineStr">
        <is>
          <t>1 shilling 8pence from John de Lynch' because he did not come.</t>
        </is>
      </c>
    </row>
    <row r="107">
      <c r="A107" t="inlineStr">
        <is>
          <t>From the fines and amercements of Newgate gaol at the court of R. de Sandwyk' and his fellow justices in the years 24, 25, 26 and 27 (1296-9)</t>
        </is>
      </c>
      <c r="B107" t="n">
        <v>0</v>
      </c>
      <c r="C107" t="n">
        <v>3</v>
      </c>
      <c r="D107" t="n">
        <v>4</v>
      </c>
      <c r="F107" s="72" t="n">
        <v>0.17</v>
      </c>
      <c r="H107" t="inlineStr">
        <is>
          <t>3 shilling 4pence from John Germayn and John ate Gate because they did not produce in court the said John whom they had bailed.</t>
        </is>
      </c>
    </row>
    <row r="108">
      <c r="A108" t="inlineStr">
        <is>
          <t>From the fines and amercements of Newgate gaol at the court of R. de Sandwyk' and his fellow justices in the years 24, 25, 26 and 27 (1296-9)</t>
        </is>
      </c>
      <c r="B108" t="n">
        <v>0</v>
      </c>
      <c r="C108" t="n">
        <v>1</v>
      </c>
      <c r="D108" t="n">
        <v>8</v>
      </c>
      <c r="F108" s="72" t="n">
        <v>0.08</v>
      </c>
      <c r="H108" t="inlineStr">
        <is>
          <t>1 shilling 8pence from Richard de Midlinigiton' because he did not come.</t>
        </is>
      </c>
    </row>
    <row r="109">
      <c r="A109" t="inlineStr">
        <is>
          <t>From the fines and amercements of Newgate gaol at the court of R. de Sandwyk' and his fellow justices in the years 24, 25, 26 and 27 (1296-9)</t>
        </is>
      </c>
      <c r="B109" t="n">
        <v>0</v>
      </c>
      <c r="C109" t="n">
        <v>2</v>
      </c>
      <c r="D109" t="n">
        <v>0</v>
      </c>
      <c r="F109" s="72" t="n">
        <v>0.1</v>
      </c>
      <c r="H109" t="inlineStr">
        <is>
          <t>2 shilling from Peter le Ryd' and William Herberd because they did not produce in court the said Richard.</t>
        </is>
      </c>
    </row>
    <row r="110">
      <c r="A110" t="inlineStr">
        <is>
          <t>From the fines and amercements of Newgate gaol at the court of R. de Sandwyk' and his fellow justices in the years 24, 25, 26 and 27 (1296-9)</t>
        </is>
      </c>
      <c r="B110" t="n">
        <v>0</v>
      </c>
      <c r="C110" t="n">
        <v>1</v>
      </c>
      <c r="D110" t="n">
        <v>8</v>
      </c>
      <c r="F110" s="72" t="n">
        <v>0.08</v>
      </c>
      <c r="H110" t="inlineStr">
        <is>
          <t>1 shilling 8pence from William de la Den' because he did not come.</t>
        </is>
      </c>
    </row>
    <row r="111">
      <c r="A111" t="inlineStr">
        <is>
          <t>From the fines and amercements of Newgate gaol at the court of R. de Sandwyk' and his fellow justices in the years 24, 25, 26 and 27 (1296-9)</t>
        </is>
      </c>
      <c r="B111" t="n">
        <v>0</v>
      </c>
      <c r="C111" t="n">
        <v>2</v>
      </c>
      <c r="D111" t="n">
        <v>0</v>
      </c>
      <c r="F111" s="72" t="n">
        <v>0.1</v>
      </c>
      <c r="H111" t="inlineStr">
        <is>
          <t>2 shilling from Henry Wormere and Thomas Cachefrench because they did not produce in court the said William.</t>
        </is>
      </c>
    </row>
    <row r="112">
      <c r="A112" t="inlineStr">
        <is>
          <t>From the fines and amercements of Newgate gaol at the court of R. de Sandwyk' and his fellow justices in the years 24, 25, 26 and 27 (1296-9)</t>
        </is>
      </c>
      <c r="B112" t="n">
        <v>0</v>
      </c>
      <c r="C112" t="n">
        <v>2</v>
      </c>
      <c r="D112" t="n">
        <v>0</v>
      </c>
      <c r="F112" s="72" t="n">
        <v>0.1</v>
      </c>
      <c r="H112" t="inlineStr">
        <is>
          <t>2 shilling from William Houdy and Robert ate Mere because they did not produce in court.</t>
        </is>
      </c>
    </row>
    <row r="113">
      <c r="A113" t="inlineStr">
        <is>
          <t>From the fines and amercements of Newgate gaol at the court of R. de Sandwyk' and his fellow justices in the years 24, 25, 26 and 27 (1296-9)</t>
        </is>
      </c>
      <c r="B113" t="n">
        <v>0</v>
      </c>
      <c r="C113" t="n">
        <v>1</v>
      </c>
      <c r="D113" t="n">
        <v>8</v>
      </c>
      <c r="F113" s="72" t="n">
        <v>0.08</v>
      </c>
      <c r="H113" t="inlineStr">
        <is>
          <t>1 shilling 8pence from Robert la Beche because he did not come.</t>
        </is>
      </c>
    </row>
    <row r="114">
      <c r="A114" t="inlineStr">
        <is>
          <t>From the fines and amercements of Newgate gaol at the court of R. de Sandwyk' and his fellow justices in the years 24, 25, 26 and 27 (1296-9)</t>
        </is>
      </c>
      <c r="B114" t="n">
        <v>1</v>
      </c>
      <c r="C114" t="n">
        <v>1</v>
      </c>
      <c r="D114" t="n">
        <v>0</v>
      </c>
      <c r="F114" s="72" t="n">
        <v>1.05</v>
      </c>
      <c r="H114" t="inlineStr">
        <is>
          <t>Total, £1 1 shilling</t>
        </is>
      </c>
    </row>
    <row r="115">
      <c r="F115" s="72">
        <f>SUM(F104:F113)</f>
        <v/>
      </c>
      <c r="G115" s="129">
        <f>F115-F114</f>
        <v/>
      </c>
      <c r="H115" t="inlineStr">
        <is>
          <t>Total</t>
        </is>
      </c>
    </row>
    <row r="116">
      <c r="F116" s="72" t="n"/>
    </row>
    <row r="117">
      <c r="A117" t="inlineStr">
        <is>
          <t>Money of the king from Chancery in the year 29 Edward I (1301)</t>
        </is>
      </c>
      <c r="B117" t="n">
        <v>0</v>
      </c>
      <c r="C117" t="n">
        <v>6</v>
      </c>
      <c r="D117" t="n">
        <v>8</v>
      </c>
      <c r="F117" s="72" t="n">
        <v>0.33</v>
      </c>
      <c r="H117" t="inlineStr">
        <is>
          <t>The same renders account for 6 shilling 8pence from Joan, who was wife of William de Castr', Ralph William, and Richard, son of the same Joan, to have the writ `pone'.</t>
        </is>
      </c>
    </row>
    <row r="118">
      <c r="A118" t="inlineStr">
        <is>
          <t>Court of J. de Metingham and his fellow justices of the Bench at Michaelmas term in the year 28, and the fines and issues from the Bench at Hilary term in the year 29 (1300-1)</t>
        </is>
      </c>
      <c r="B118" t="n">
        <v>0</v>
      </c>
      <c r="C118" t="n">
        <v>3</v>
      </c>
      <c r="D118" t="n">
        <v>4</v>
      </c>
      <c r="F118" s="72" t="n">
        <v>0.17</v>
      </c>
      <c r="H118" t="inlineStr">
        <is>
          <t>The same renders account for 3 shilling 4pence from the issue of the land of Joan de Colrych' outside the manor (for').</t>
        </is>
      </c>
    </row>
    <row r="119">
      <c r="A119" t="inlineStr">
        <is>
          <t>Court of J. de Metingham and his fellow justices of the Bench at Michaelmas term in the year 28, and the fines and issues from the Bench at Hilary term in the year 29 (1300-1)</t>
        </is>
      </c>
      <c r="B119" t="n">
        <v>0</v>
      </c>
      <c r="C119" t="n">
        <v>1</v>
      </c>
      <c r="D119" t="n">
        <v>8</v>
      </c>
      <c r="F119" s="72" t="n">
        <v>0.08</v>
      </c>
      <c r="H119" t="inlineStr">
        <is>
          <t>1 shilling 8pence from the issue of the land of William, son of Laurence de London.</t>
        </is>
      </c>
    </row>
    <row r="120">
      <c r="A120" t="inlineStr">
        <is>
          <t>Court of J. de Metingham and his fellow justices of the Bench at Michaelmas term in the year 28, and the fines and issues from the Bench at Hilary term in the year 29 (1300-1)</t>
        </is>
      </c>
      <c r="B120" t="n">
        <v>0</v>
      </c>
      <c r="C120" t="n">
        <v>1</v>
      </c>
      <c r="D120" t="n">
        <v>8</v>
      </c>
      <c r="F120" s="72" t="n">
        <v>0.08</v>
      </c>
      <c r="H120" t="inlineStr">
        <is>
          <t>1 shilling 8pence from the issue of the land of Walter de Durneford'.</t>
        </is>
      </c>
    </row>
    <row r="121">
      <c r="A121" t="inlineStr">
        <is>
          <t>Court of J. de Metingham and his fellow justices of the Bench at Michaelmas term in the year 28, and the fines and issues from the Bench at Hilary term in the year 29 (1300-1)</t>
        </is>
      </c>
      <c r="B121" t="n">
        <v>0</v>
      </c>
      <c r="C121" t="n">
        <v>3</v>
      </c>
      <c r="D121" t="n">
        <v>4</v>
      </c>
      <c r="F121" s="72" t="n">
        <v>0.17</v>
      </c>
      <c r="H121" t="inlineStr">
        <is>
          <t>3 shilling 4pence from the issue of the land of John de Lynch'.</t>
        </is>
      </c>
    </row>
    <row r="122">
      <c r="A122" t="inlineStr">
        <is>
          <t>Court of J. de Metingham and his fellow justices of the Bench at Michaelmas term in the year 28, and the fines and issues from the Bench at Hilary term in the year 29 (1300-1)</t>
        </is>
      </c>
      <c r="B122" t="n">
        <v>0</v>
      </c>
      <c r="C122" t="n">
        <v>6</v>
      </c>
      <c r="D122" t="n">
        <v>8</v>
      </c>
      <c r="F122" s="72" t="n">
        <v>0.33</v>
      </c>
      <c r="H122" t="inlineStr">
        <is>
          <t>6 shilling 8pence from the issue of the land of Walter de Demeford'.</t>
        </is>
      </c>
    </row>
    <row r="123">
      <c r="A123" t="inlineStr">
        <is>
          <t>Court of J. de Metingham and his fellow justices of the Bench at Michaelmas term in the year 28, and the fines and issues from the Bench at Hilary term in the year 29 (1300-1)</t>
        </is>
      </c>
      <c r="B123" t="n">
        <v>1</v>
      </c>
      <c r="C123" t="n">
        <v>3</v>
      </c>
      <c r="D123" t="n">
        <v>4</v>
      </c>
      <c r="F123" s="72" t="n">
        <v>1.17</v>
      </c>
      <c r="H123" t="inlineStr">
        <is>
          <t>Total, £1 3 shilling 4pence</t>
        </is>
      </c>
    </row>
    <row r="124">
      <c r="F124" s="72">
        <f>SUM(F117:F122)</f>
        <v/>
      </c>
      <c r="G124" s="129">
        <f>F124-F123</f>
        <v/>
      </c>
      <c r="H124" t="inlineStr">
        <is>
          <t>Total</t>
        </is>
      </c>
    </row>
    <row r="125">
      <c r="F125" s="72" t="n"/>
    </row>
    <row r="126">
      <c r="A126" t="inlineStr">
        <is>
          <t>Court of the Barons of the Exchequer for the execution of writs for the king in the year 29 (1301)</t>
        </is>
      </c>
      <c r="B126" t="n">
        <v>0</v>
      </c>
      <c r="C126" t="n">
        <v>1</v>
      </c>
      <c r="D126" t="n">
        <v>0</v>
      </c>
      <c r="F126" s="72" t="n">
        <v>0.05</v>
      </c>
      <c r="H126" t="inlineStr">
        <is>
          <t>The same renders account for 1 shilling from the issue of the land of John Pelrym outside the manor.</t>
        </is>
      </c>
    </row>
    <row r="127">
      <c r="A127" t="inlineStr">
        <is>
          <t>Court of the Barons of the Exchequer for the execution of writs for the king in the year 29 (1301)</t>
        </is>
      </c>
      <c r="B127" t="n">
        <v>0</v>
      </c>
      <c r="C127" t="n">
        <v>1</v>
      </c>
      <c r="D127" t="n">
        <v>0</v>
      </c>
      <c r="F127" s="72" t="n">
        <v>0.05</v>
      </c>
      <c r="H127" t="inlineStr">
        <is>
          <t>1 shilling from the issue of the land of Thomas Laurence.</t>
        </is>
      </c>
    </row>
    <row r="128">
      <c r="A128" t="inlineStr">
        <is>
          <t>Court of the Barons of the Exchequer for the execution of writs for the king in the year 29 (1301)</t>
        </is>
      </c>
      <c r="B128" t="n">
        <v>0</v>
      </c>
      <c r="C128" t="n">
        <v>1</v>
      </c>
      <c r="D128" t="n">
        <v>0</v>
      </c>
      <c r="F128" s="72" t="n">
        <v>0.05</v>
      </c>
      <c r="H128" t="inlineStr">
        <is>
          <t>1 shilling from the issue of the land of William Laurence.</t>
        </is>
      </c>
    </row>
    <row r="129">
      <c r="A129" t="inlineStr">
        <is>
          <t>Court of the Barons of the Exchequer for the execution of writs for the king in the year 29 (1301)</t>
        </is>
      </c>
      <c r="B129" t="n">
        <v>0</v>
      </c>
      <c r="C129" t="n">
        <v>1</v>
      </c>
      <c r="D129" t="n">
        <v>8</v>
      </c>
      <c r="F129" s="72" t="n">
        <v>0.08</v>
      </c>
      <c r="H129" t="inlineStr">
        <is>
          <t>1 shilling 8pence from the issue of the land of Thomas Laurence at Hilary term.</t>
        </is>
      </c>
    </row>
    <row r="130">
      <c r="A130" t="inlineStr">
        <is>
          <t>Court of the Barons of the Exchequer for the execution of writs for the king in the year 29 (1301)</t>
        </is>
      </c>
      <c r="B130" t="n">
        <v>0</v>
      </c>
      <c r="C130" t="n">
        <v>6</v>
      </c>
      <c r="D130" t="n">
        <v>8</v>
      </c>
      <c r="F130" s="72" t="n">
        <v>0.33</v>
      </c>
      <c r="H130" t="inlineStr">
        <is>
          <t>6 shilling 8pence from the issue of the land of Alan, son and heir of Alan Plukenet.</t>
        </is>
      </c>
    </row>
    <row r="131">
      <c r="A131" t="inlineStr">
        <is>
          <t>From the Bench in the year 26 and the beginning of the. year 27 (1298-9)</t>
        </is>
      </c>
      <c r="B131" t="n">
        <v>0</v>
      </c>
      <c r="C131" t="n">
        <v>1</v>
      </c>
      <c r="D131" t="n">
        <v>0</v>
      </c>
      <c r="F131" s="72" t="n">
        <v>0.05</v>
      </c>
      <c r="H131" t="inlineStr">
        <is>
          <t>1 shilling from the issue of the land of John atte Lynch'.</t>
        </is>
      </c>
    </row>
    <row r="132">
      <c r="A132" t="inlineStr">
        <is>
          <t>From the Bench in the year 26 and the beginning of the. year 27 (1298-9)</t>
        </is>
      </c>
      <c r="B132" t="n">
        <v>1</v>
      </c>
      <c r="C132" t="n">
        <v>17</v>
      </c>
      <c r="D132" t="n">
        <v>8</v>
      </c>
      <c r="F132" s="72" t="n">
        <v>1.88</v>
      </c>
      <c r="H132" t="inlineStr">
        <is>
          <t>Total, £1 17 shilling 8pence</t>
        </is>
      </c>
    </row>
    <row r="133">
      <c r="F133" s="72">
        <f>SUM(F126:F131)</f>
        <v/>
      </c>
      <c r="G133" s="129">
        <f>F133-F132</f>
        <v/>
      </c>
      <c r="H133" t="inlineStr">
        <is>
          <t>Total</t>
        </is>
      </c>
    </row>
    <row r="134">
      <c r="F134" s="72" t="n"/>
    </row>
    <row r="135">
      <c r="A135" t="inlineStr">
        <is>
          <t>Court of Roger de Brabazun and his fellow justices holding the pleas of the court of king's pleas at Michaelmas term in the year ending 27 and beginning 28, and the following terms (1299-1300)</t>
        </is>
      </c>
      <c r="B135" t="n">
        <v>0</v>
      </c>
      <c r="C135" t="n">
        <v>3</v>
      </c>
      <c r="D135" t="n">
        <v>4</v>
      </c>
      <c r="F135" s="72" t="n">
        <v>0.17</v>
      </c>
      <c r="H135" t="inlineStr">
        <is>
          <t>The same renders account for 3 shilling 4pence from the issue of the land of Nicholas de Langrissch' outside the manor.</t>
        </is>
      </c>
    </row>
    <row r="136">
      <c r="A136" t="inlineStr">
        <is>
          <t>Court of Roger de Brabazun and his fellow justices holding the pleas of the court of king's pleas at Michaelmas term in the year ending 27 and beginning 28, and the following terms (1299-1300)</t>
        </is>
      </c>
      <c r="B136" t="n">
        <v>0</v>
      </c>
      <c r="C136" t="n">
        <v>1</v>
      </c>
      <c r="D136" t="n">
        <v>8</v>
      </c>
      <c r="F136" s="72" t="n">
        <v>0.08</v>
      </c>
      <c r="H136" t="inlineStr">
        <is>
          <t>1 shilling 8pence from the issue of the land of Nicholas de Langrissch'.</t>
        </is>
      </c>
    </row>
    <row r="137">
      <c r="A137" t="inlineStr">
        <is>
          <t>Court of Roger de Brabazun and his fellow justices holding the pleas of the court of king's pleas at Michaelmas term in the year ending 27 and beginning 28, and the following terms (1299-1300)</t>
        </is>
      </c>
      <c r="B137" t="n">
        <v>0</v>
      </c>
      <c r="C137" t="n">
        <v>1</v>
      </c>
      <c r="D137" t="n">
        <v>8</v>
      </c>
      <c r="F137" s="72" t="n">
        <v>0.08</v>
      </c>
      <c r="H137" t="inlineStr">
        <is>
          <t>1 shilling 8pence from the issue of the land of Philip de Denemed' outside the manor.</t>
        </is>
      </c>
    </row>
    <row r="138">
      <c r="A138" t="inlineStr">
        <is>
          <t>Court of Roger de Brabazun and his fellow justices holding the pleas of the court of king's pleas at Michaelmas term in the year ending 27 and beginning 28, and the following terms (1299-1300)</t>
        </is>
      </c>
      <c r="B138" t="n">
        <v>0</v>
      </c>
      <c r="C138" t="n">
        <v>6</v>
      </c>
      <c r="D138" t="n">
        <v>8</v>
      </c>
      <c r="F138" s="72" t="n">
        <v>0.33</v>
      </c>
      <c r="H138" t="inlineStr">
        <is>
          <t>Total, 6 shilling 8pence</t>
        </is>
      </c>
    </row>
    <row r="139">
      <c r="F139" s="72">
        <f>SUM(F135:F137)</f>
        <v/>
      </c>
      <c r="G139" s="129">
        <f>F139-F138</f>
        <v/>
      </c>
      <c r="H139" t="inlineStr">
        <is>
          <t>Total</t>
        </is>
      </c>
    </row>
    <row r="140">
      <c r="F140" s="72" t="n"/>
    </row>
    <row r="141">
      <c r="A141" t="inlineStr">
        <is>
          <t xml:space="preserve">Court of the same justices in the year ending 28 and beginning 29 (1300-1) </t>
        </is>
      </c>
      <c r="B141" t="n">
        <v>0</v>
      </c>
      <c r="C141" t="n">
        <v>1</v>
      </c>
      <c r="D141" t="n">
        <v>0</v>
      </c>
      <c r="F141" s="72" t="n">
        <v>0.05</v>
      </c>
      <c r="H141" t="inlineStr">
        <is>
          <t>The same renders account for 1 shilling from the issue of the land of Philip de Denemed' outside the manor.</t>
        </is>
      </c>
    </row>
    <row r="142">
      <c r="A142" t="inlineStr">
        <is>
          <t xml:space="preserve">Court of the same justices in the year ending 28 and beginning 29 (1300-1) </t>
        </is>
      </c>
      <c r="B142" t="n">
        <v>0</v>
      </c>
      <c r="C142" t="n">
        <v>1</v>
      </c>
      <c r="D142" t="n">
        <v>8</v>
      </c>
      <c r="F142" s="72" t="n">
        <v>0.08</v>
      </c>
      <c r="H142" t="inlineStr">
        <is>
          <t>1 shilling 8pence from the issue of the land of Nicholas de Langrissch' outside the manor.</t>
        </is>
      </c>
    </row>
    <row r="143">
      <c r="A143" t="inlineStr">
        <is>
          <t xml:space="preserve">Court of the same justices in the year ending 28 and beginning 29 (1300-1) </t>
        </is>
      </c>
      <c r="B143" t="n">
        <v>0</v>
      </c>
      <c r="C143" t="n">
        <v>1</v>
      </c>
      <c r="D143" t="n">
        <v>8</v>
      </c>
      <c r="F143" s="72" t="n">
        <v>0.08</v>
      </c>
      <c r="H143" t="inlineStr">
        <is>
          <t>1 shilling 8pence from the issue of the land of Philip de Denemed' outside the manor.</t>
        </is>
      </c>
    </row>
    <row r="144">
      <c r="A144" t="inlineStr">
        <is>
          <t xml:space="preserve">Court of the same justices in the year ending 28 and beginning 29 (1300-1) </t>
        </is>
      </c>
      <c r="B144" t="n">
        <v>0</v>
      </c>
      <c r="C144" t="n">
        <v>1</v>
      </c>
      <c r="D144" t="n">
        <v>0</v>
      </c>
      <c r="F144" s="72" t="n">
        <v>0.05</v>
      </c>
      <c r="H144" t="inlineStr">
        <is>
          <t>1 shilling from the issue of Richard de Frilend'.</t>
        </is>
      </c>
    </row>
    <row r="145">
      <c r="A145" t="inlineStr">
        <is>
          <t xml:space="preserve">Court of the same justices in the year ending 28 and beginning 29 (1300-1) </t>
        </is>
      </c>
      <c r="B145" t="n">
        <v>0</v>
      </c>
      <c r="C145" t="n">
        <v>1</v>
      </c>
      <c r="D145" t="n">
        <v>0</v>
      </c>
      <c r="F145" s="72" t="n">
        <v>0.05</v>
      </c>
      <c r="H145" t="inlineStr">
        <is>
          <t>1 shilling from the issue of John de Hurselye.</t>
        </is>
      </c>
    </row>
    <row r="146">
      <c r="A146" t="inlineStr">
        <is>
          <t xml:space="preserve">Court of the same justices in the year ending 28 and beginning 29 (1300-1) </t>
        </is>
      </c>
      <c r="B146" t="n">
        <v>0</v>
      </c>
      <c r="C146" t="n">
        <v>1</v>
      </c>
      <c r="D146" t="n">
        <v>0</v>
      </c>
      <c r="F146" s="72" t="n">
        <v>0.05</v>
      </c>
      <c r="H146" t="inlineStr">
        <is>
          <t>1 shilling from the issue of the land of John de Lynch'.</t>
        </is>
      </c>
    </row>
    <row r="147">
      <c r="A147" t="inlineStr">
        <is>
          <t xml:space="preserve">Court of the same justices in the year ending 28 and beginning 29 (1300-1) </t>
        </is>
      </c>
      <c r="B147" t="n">
        <v>0</v>
      </c>
      <c r="C147" t="n">
        <v>1</v>
      </c>
      <c r="D147" t="n">
        <v>0</v>
      </c>
      <c r="F147" s="72" t="n">
        <v>0.05</v>
      </c>
      <c r="H147" t="inlineStr">
        <is>
          <t>1 shilling from the issue of the land of Nicholas de Langrissch'.</t>
        </is>
      </c>
    </row>
    <row r="148">
      <c r="F148" s="72" t="n"/>
    </row>
    <row r="149">
      <c r="A149" t="inlineStr">
        <is>
          <t>King's court at Hilary term in the year 27 and the following terms (1299)</t>
        </is>
      </c>
      <c r="B149" t="n">
        <v>1</v>
      </c>
      <c r="C149" t="n">
        <v>2</v>
      </c>
      <c r="D149" t="n">
        <v>8</v>
      </c>
      <c r="F149" s="72" t="n">
        <v>1.13</v>
      </c>
      <c r="H149" t="inlineStr">
        <is>
          <t>The same renders account for £1 2 shilling 8pence from the tithing of Ropley and the men of the same vill for the corn of William Gerveys.</t>
        </is>
      </c>
    </row>
    <row r="150">
      <c r="A150" t="inlineStr">
        <is>
          <t>King's court at Hilary term in the year 27 and the following terms (1299)</t>
        </is>
      </c>
      <c r="B150" t="n">
        <v>1</v>
      </c>
      <c r="C150" t="n">
        <v>11</v>
      </c>
      <c r="D150" t="n">
        <v>0</v>
      </c>
      <c r="F150" s="72">
        <f>B150+C150/20+D150/240</f>
        <v/>
      </c>
      <c r="H150" t="inlineStr">
        <is>
          <t>Total, £1 11shilling</t>
        </is>
      </c>
    </row>
    <row r="151">
      <c r="A151" t="inlineStr">
        <is>
          <t>King's court at Hilary term in the year 27 and the following terms (1299)</t>
        </is>
      </c>
      <c r="F151" s="72">
        <f>SUM(F141:F149)</f>
        <v/>
      </c>
      <c r="G151" s="129">
        <f>F151-F150</f>
        <v/>
      </c>
      <c r="H151" t="inlineStr">
        <is>
          <t>Total</t>
        </is>
      </c>
    </row>
    <row r="152">
      <c r="F152" s="72" t="n"/>
    </row>
    <row r="153">
      <c r="A153" t="inlineStr">
        <is>
          <t>From the pipe rolls</t>
        </is>
      </c>
      <c r="B153" t="n">
        <v>10</v>
      </c>
      <c r="C153" t="n">
        <v>0</v>
      </c>
      <c r="D153" t="n">
        <v>0</v>
      </c>
      <c r="F153" s="72" t="n">
        <v>10</v>
      </c>
      <c r="H153" t="inlineStr">
        <is>
          <t>The same renders account for £10 from John Giffard for relief of 2 knights' fees which belonged to Godfrey Giffard his uncle.</t>
        </is>
      </c>
    </row>
    <row r="154">
      <c r="A154" t="inlineStr">
        <is>
          <t>From the pipe rolls</t>
        </is>
      </c>
      <c r="B154" t="n">
        <v>0</v>
      </c>
      <c r="C154" t="n">
        <v>3</v>
      </c>
      <c r="D154" t="n">
        <v>4</v>
      </c>
      <c r="F154" s="72" t="n">
        <v>0.17</v>
      </c>
      <c r="H154" t="inlineStr">
        <is>
          <t>3 shilling 4pence from the heir of Braifeud' for relief of a certain tenement in West Pitt.</t>
        </is>
      </c>
    </row>
    <row r="155">
      <c r="A155" t="inlineStr">
        <is>
          <t>From the pipe rolls</t>
        </is>
      </c>
      <c r="B155" t="n">
        <v>0</v>
      </c>
      <c r="C155" t="n">
        <v>0</v>
      </c>
      <c r="D155" t="n">
        <v>6</v>
      </c>
      <c r="F155" s="72" t="n">
        <v>0.03</v>
      </c>
      <c r="H155" t="inlineStr">
        <is>
          <t>6pence from the same for relief of a certain other tenement in West Pitt.</t>
        </is>
      </c>
    </row>
    <row r="156">
      <c r="A156" t="inlineStr">
        <is>
          <t>From the pipe rolls</t>
        </is>
      </c>
      <c r="B156" t="n">
        <v>10</v>
      </c>
      <c r="C156" t="n">
        <v>3</v>
      </c>
      <c r="D156" t="n">
        <v>10</v>
      </c>
      <c r="F156" s="72" t="n">
        <v>10.19</v>
      </c>
      <c r="H156" t="inlineStr">
        <is>
          <t>Total, £10 3 shilling 10pence</t>
        </is>
      </c>
    </row>
    <row r="157">
      <c r="A157" t="inlineStr">
        <is>
          <t>From the pipe rolls</t>
        </is>
      </c>
      <c r="F157" s="72">
        <f>SUM(F153:F155)</f>
        <v/>
      </c>
      <c r="G157" s="129">
        <f>F157-F156</f>
        <v/>
      </c>
      <c r="H157" t="inlineStr">
        <is>
          <t>Total</t>
        </is>
      </c>
    </row>
    <row r="158">
      <c r="F158" s="72" t="n"/>
    </row>
    <row r="159">
      <c r="A159" t="inlineStr">
        <is>
          <t>Total of all receipts</t>
        </is>
      </c>
      <c r="B159" t="n">
        <v>25</v>
      </c>
      <c r="C159" t="n">
        <v>12</v>
      </c>
      <c r="D159" t="n">
        <v>0</v>
      </c>
      <c r="F159" s="72" t="n">
        <v>25.6</v>
      </c>
      <c r="H159" t="inlineStr">
        <is>
          <t>Total of all receipts, £25 12 shilling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3"/>
  <sheetViews>
    <sheetView topLeftCell="A1" workbookViewId="0">
      <selection activeCell="A1" sqref="A1"/>
    </sheetView>
  </sheetViews>
  <sheetFormatPr baseColWidth="8" defaultRowHeight="15"/>
  <cols>
    <col width="22" customWidth="1" min="1" max="1"/>
    <col width="8.83203125" customWidth="1" min="6" max="6"/>
    <col width="8.83203125" customWidth="1" min="7" max="7"/>
  </cols>
  <sheetData>
    <row r="1" ht="16" customHeight="1">
      <c r="A1" s="2" t="inlineStr">
        <is>
          <t>MARSHALSEA EXPENSES</t>
        </is>
      </c>
    </row>
    <row r="2" ht="16" customHeight="1">
      <c r="A2" s="30" t="inlineStr">
        <is>
          <t>Heading</t>
        </is>
      </c>
      <c r="B2" s="33" t="inlineStr">
        <is>
          <t>£</t>
        </is>
      </c>
      <c r="C2" s="34" t="inlineStr">
        <is>
          <t xml:space="preserve">s </t>
        </is>
      </c>
      <c r="D2" s="34" t="inlineStr">
        <is>
          <t>d</t>
        </is>
      </c>
      <c r="E2" s="32" t="n"/>
      <c r="F2" s="35" t="inlineStr">
        <is>
          <t>Total in £</t>
        </is>
      </c>
      <c r="G2" s="51" t="inlineStr">
        <is>
          <t>Error</t>
        </is>
      </c>
      <c r="H2" s="30" t="inlineStr">
        <is>
          <t>Notes</t>
        </is>
      </c>
    </row>
    <row r="3">
      <c r="A3" t="inlineStr">
        <is>
          <t>Expenses</t>
        </is>
      </c>
      <c r="B3" t="n">
        <v>3</v>
      </c>
      <c r="C3" t="n">
        <v>10</v>
      </c>
      <c r="D3" t="n">
        <v>0</v>
      </c>
      <c r="F3" s="72" t="n">
        <v>3.5</v>
      </c>
      <c r="H3" t="inlineStr">
        <is>
          <t>In wages of the marshal for the year £3 10 shilling</t>
        </is>
      </c>
    </row>
    <row r="4">
      <c r="A4" t="inlineStr">
        <is>
          <t>Expenses</t>
        </is>
      </c>
      <c r="B4" t="n">
        <v>0</v>
      </c>
      <c r="C4" t="n">
        <v>10</v>
      </c>
      <c r="D4" t="n">
        <v>0</v>
      </c>
      <c r="F4" s="72" t="n">
        <v>0.5</v>
      </c>
      <c r="H4" t="inlineStr">
        <is>
          <t>In allowance of the same for a 10 shilling amercement of William le Blesscede which he was being charged for from the previous year, because it was found in the pipe rolls that he paid it before for trespass of wool in the court of J. de Luvetot and G. de Nebaud.</t>
        </is>
      </c>
    </row>
    <row r="5">
      <c r="A5" t="inlineStr">
        <is>
          <t>Expenses</t>
        </is>
      </c>
      <c r="B5" t="n">
        <v>0</v>
      </c>
      <c r="C5" t="n">
        <v>0</v>
      </c>
      <c r="D5" t="n">
        <v>6</v>
      </c>
      <c r="F5" s="72" t="n">
        <v>0.03</v>
      </c>
      <c r="H5" t="inlineStr">
        <is>
          <t>Also in allowance of the same for a 6pence amercement of Henry Watsond which he was being charged for from the previous year for a plea of the Pavilion, of which he had the estreat and which he was not able to levy.</t>
        </is>
      </c>
    </row>
    <row r="6">
      <c r="A6" t="inlineStr">
        <is>
          <t>Expenses</t>
        </is>
      </c>
      <c r="B6" t="n">
        <v>0</v>
      </c>
      <c r="C6" t="n">
        <v>1</v>
      </c>
      <c r="D6" t="n">
        <v>0</v>
      </c>
      <c r="F6" s="72" t="n">
        <v>0.05</v>
      </c>
      <c r="H6" t="inlineStr">
        <is>
          <t>1 shilling for John de Northwych.</t>
        </is>
      </c>
    </row>
    <row r="7">
      <c r="A7" t="inlineStr">
        <is>
          <t>Expenses</t>
        </is>
      </c>
      <c r="B7" t="n">
        <v>0</v>
      </c>
      <c r="C7" t="n">
        <v>0</v>
      </c>
      <c r="D7" t="n">
        <v>6</v>
      </c>
      <c r="F7" s="72" t="n">
        <v>0.03</v>
      </c>
      <c r="H7" t="inlineStr">
        <is>
          <t>6pence for Nicholas le Keu of Chilbolton.</t>
        </is>
      </c>
    </row>
    <row r="8">
      <c r="A8" t="inlineStr">
        <is>
          <t>Expenses</t>
        </is>
      </c>
      <c r="B8" t="n">
        <v>0</v>
      </c>
      <c r="C8" t="n">
        <v>2</v>
      </c>
      <c r="D8" t="n">
        <v>0</v>
      </c>
      <c r="F8" s="72" t="n">
        <v>0.1</v>
      </c>
      <c r="H8" t="inlineStr">
        <is>
          <t>Also in allowance of the same for his fur 2 shilling</t>
        </is>
      </c>
    </row>
    <row r="9"/>
    <row r="10">
      <c r="A10" t="inlineStr">
        <is>
          <t>Expenses</t>
        </is>
      </c>
      <c r="B10" t="n">
        <v>3</v>
      </c>
      <c r="C10" t="n">
        <v>14</v>
      </c>
      <c r="D10" t="n">
        <v>10</v>
      </c>
      <c r="F10" s="72">
        <f>B10+C10/20+D10/240</f>
        <v/>
      </c>
      <c r="H10" t="inlineStr">
        <is>
          <t>Total of all expenses and allowances, £3 14shilling 10 pence.</t>
        </is>
      </c>
    </row>
    <row r="11">
      <c r="A11" t="inlineStr">
        <is>
          <t>Expenses</t>
        </is>
      </c>
      <c r="F11" s="72">
        <f>SUM(F3:F8)</f>
        <v/>
      </c>
      <c r="G11" s="129">
        <f>F11-F10</f>
        <v/>
      </c>
      <c r="H11" t="inlineStr">
        <is>
          <t>Total</t>
        </is>
      </c>
    </row>
    <row r="12"/>
    <row r="13">
      <c r="A13" t="inlineStr">
        <is>
          <t>And he owes</t>
        </is>
      </c>
      <c r="B13" t="n">
        <v>21</v>
      </c>
      <c r="C13" t="n">
        <v>17</v>
      </c>
      <c r="D13" t="n">
        <v>2</v>
      </c>
      <c r="F13" s="72">
        <f>B13+C13/20+D13/240</f>
        <v/>
      </c>
      <c r="H13" t="inlineStr">
        <is>
          <t>And hew owes it all clear.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row r="1">
      <c r="A1" t="inlineStr">
        <is>
          <t>no grange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row r="1">
      <c r="A1" t="inlineStr">
        <is>
          <t>no mills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row r="1">
      <c r="A1" t="inlineStr">
        <is>
          <t>no stock</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D127"/>
  <sheetViews>
    <sheetView topLeftCell="A1" workbookViewId="0">
      <selection activeCell="A1" sqref="A1"/>
    </sheetView>
  </sheetViews>
  <sheetFormatPr baseColWidth="8" defaultRowHeight="15"/>
  <cols>
    <col width="148.33203125" customWidth="1" min="1" max="1"/>
  </cols>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shilling a bushel 1</t>
        </is>
      </c>
      <c r="X1" s="1" t="inlineStr">
        <is>
          <t>pence a bushel 1</t>
        </is>
      </c>
      <c r="Y1" s="1" t="inlineStr">
        <is>
          <t>shilling a bushel 2</t>
        </is>
      </c>
      <c r="Z1" s="1" t="inlineStr">
        <is>
          <t>pence a bushel 2</t>
        </is>
      </c>
      <c r="AA1" s="1" t="inlineStr">
        <is>
          <t>shilling a bushel 3</t>
        </is>
      </c>
      <c r="AB1" s="1" t="inlineStr">
        <is>
          <t>pence a bushel 3</t>
        </is>
      </c>
      <c r="AC1" s="1" t="inlineStr">
        <is>
          <t>shilling a bushel 4</t>
        </is>
      </c>
      <c r="AD1" s="1" t="inlineStr">
        <is>
          <t>pence a bushel 4</t>
        </is>
      </c>
    </row>
    <row r="2">
      <c r="A2" t="inlineStr">
        <is>
          <t>Arrears</t>
        </is>
      </c>
      <c r="B2" t="inlineStr">
        <is>
          <t>Gilbert Marescallus renders account for £26 6 shilling 4pence of arrears from the previous year.</t>
        </is>
      </c>
      <c r="C2" t="n">
        <v>26.32</v>
      </c>
      <c r="D2" t="n">
        <v>26</v>
      </c>
      <c r="E2" t="n">
        <v>6</v>
      </c>
      <c r="F2" t="n">
        <v>4</v>
      </c>
      <c r="H2" t="n">
        <v>0</v>
      </c>
      <c r="I2" t="n">
        <v>0</v>
      </c>
      <c r="J2" t="n">
        <v>0</v>
      </c>
      <c r="K2" t="n">
        <v>0</v>
      </c>
      <c r="L2" t="n">
        <v>0</v>
      </c>
      <c r="M2" t="n">
        <v>0</v>
      </c>
      <c r="N2" t="n">
        <v>0</v>
      </c>
    </row>
    <row r="3">
      <c r="A3" t="inlineStr">
        <is>
          <t>Rents of assize</t>
        </is>
      </c>
      <c r="B3" t="inlineStr">
        <is>
          <t>The same renders account for 3 shilling 4pence for the rent of assize at Michaelmas of Thomas Schudd' for 1 messuage 20 acres of land and .5 acre of wood in West Pitt.</t>
        </is>
      </c>
      <c r="C3" t="n">
        <v>0.17</v>
      </c>
      <c r="D3" t="n">
        <v>0</v>
      </c>
      <c r="E3" t="n">
        <v>3</v>
      </c>
      <c r="F3" t="n">
        <v>4</v>
      </c>
      <c r="H3" t="n">
        <v>0</v>
      </c>
      <c r="I3" t="n">
        <v>0</v>
      </c>
      <c r="J3" t="n">
        <v>0</v>
      </c>
      <c r="K3" t="n">
        <v>0</v>
      </c>
      <c r="L3" t="n">
        <v>0</v>
      </c>
      <c r="M3" t="n">
        <v>0</v>
      </c>
      <c r="N3" t="n">
        <v>0</v>
      </c>
    </row>
    <row r="4">
      <c r="A4" t="inlineStr">
        <is>
          <t>Rents of assize</t>
        </is>
      </c>
      <c r="B4" t="inlineStr">
        <is>
          <t>3 shilling 4pence for the rent of assize at the same term of the heir of John de Brafeld' for 1 messuage 20 acres of land and' acre of wood in the same vill.</t>
        </is>
      </c>
      <c r="C4" t="n">
        <v>0.17</v>
      </c>
      <c r="D4" t="n">
        <v>0</v>
      </c>
      <c r="E4" t="n">
        <v>3</v>
      </c>
      <c r="F4" t="n">
        <v>4</v>
      </c>
      <c r="H4" t="n">
        <v>0</v>
      </c>
      <c r="I4" t="n">
        <v>0</v>
      </c>
      <c r="J4" t="n">
        <v>0</v>
      </c>
      <c r="K4" t="n">
        <v>0</v>
      </c>
      <c r="L4" t="n">
        <v>0</v>
      </c>
      <c r="M4" t="n">
        <v>0</v>
      </c>
      <c r="N4" t="n">
        <v>0</v>
      </c>
    </row>
    <row r="5">
      <c r="A5" t="inlineStr">
        <is>
          <t>Rents of assize</t>
        </is>
      </c>
      <c r="B5" t="inlineStr">
        <is>
          <t>3 shilling 4pence for the rent of assize at the same term of William Bygh' for 1 messuage 201 acres of land and' acre of wood in the same vill.</t>
        </is>
      </c>
      <c r="C5" t="n">
        <v>0.17</v>
      </c>
      <c r="D5" t="n">
        <v>0</v>
      </c>
      <c r="E5" t="n">
        <v>3</v>
      </c>
      <c r="F5" t="n">
        <v>4</v>
      </c>
      <c r="H5" t="n">
        <v>0</v>
      </c>
      <c r="I5" t="n">
        <v>0</v>
      </c>
      <c r="J5" t="n">
        <v>0</v>
      </c>
      <c r="K5" t="n">
        <v>0</v>
      </c>
      <c r="L5" t="n">
        <v>0</v>
      </c>
      <c r="M5" t="n">
        <v>0</v>
      </c>
      <c r="N5" t="n">
        <v>0</v>
      </c>
    </row>
    <row r="6">
      <c r="A6" t="inlineStr">
        <is>
          <t>Rents of assize</t>
        </is>
      </c>
      <c r="B6" t="inlineStr">
        <is>
          <t>6 shilling 8pence for the rent of assize at the same term of William Alysanndr' for 2 messuages 40 acres of land and 1 acre of wood in the same vill.</t>
        </is>
      </c>
      <c r="C6" t="n">
        <v>0.33</v>
      </c>
      <c r="D6" t="n">
        <v>0</v>
      </c>
      <c r="E6" t="n">
        <v>6</v>
      </c>
      <c r="F6" t="n">
        <v>8</v>
      </c>
      <c r="H6" t="n">
        <v>0</v>
      </c>
      <c r="I6" t="n">
        <v>0</v>
      </c>
      <c r="J6" t="n">
        <v>0</v>
      </c>
      <c r="K6" t="n">
        <v>0</v>
      </c>
      <c r="L6" t="n">
        <v>0</v>
      </c>
      <c r="M6" t="n">
        <v>0</v>
      </c>
      <c r="N6" t="n">
        <v>0</v>
      </c>
    </row>
    <row r="7">
      <c r="A7" t="inlineStr">
        <is>
          <t>Rents of assize</t>
        </is>
      </c>
      <c r="B7" t="inlineStr">
        <is>
          <t>3 shilling 4pence for the rent of assize at the same term of Aunger le Drivere and Agnes his wife for 1 messuage 20 acres of land and' acre of wood in the same vill.</t>
        </is>
      </c>
      <c r="C7" t="n">
        <v>0.17</v>
      </c>
      <c r="D7" t="n">
        <v>0</v>
      </c>
      <c r="E7" t="n">
        <v>3</v>
      </c>
      <c r="F7" t="n">
        <v>4</v>
      </c>
      <c r="H7" t="n">
        <v>0</v>
      </c>
      <c r="I7" t="n">
        <v>0</v>
      </c>
      <c r="J7" t="n">
        <v>0</v>
      </c>
      <c r="K7" t="n">
        <v>0</v>
      </c>
      <c r="L7" t="n">
        <v>0</v>
      </c>
      <c r="M7" t="n">
        <v>0</v>
      </c>
      <c r="N7" t="n">
        <v>0</v>
      </c>
    </row>
    <row r="8">
      <c r="A8" t="inlineStr">
        <is>
          <t>Rents of assize</t>
        </is>
      </c>
      <c r="B8" t="inlineStr">
        <is>
          <t>6pence for the rent of assize at the same term of the heir of John de Brayfeld' for 1 cottage in the same vill.</t>
        </is>
      </c>
      <c r="C8" t="n">
        <v>0.03</v>
      </c>
      <c r="D8" t="n">
        <v>0</v>
      </c>
      <c r="E8" t="n">
        <v>0</v>
      </c>
      <c r="F8" t="n">
        <v>6</v>
      </c>
      <c r="H8" t="n">
        <v>0</v>
      </c>
      <c r="I8" t="n">
        <v>0</v>
      </c>
      <c r="J8" t="n">
        <v>0</v>
      </c>
      <c r="K8" t="n">
        <v>0</v>
      </c>
      <c r="L8" t="n">
        <v>0</v>
      </c>
      <c r="M8" t="n">
        <v>0</v>
      </c>
      <c r="N8" t="n">
        <v>0</v>
      </c>
    </row>
    <row r="9">
      <c r="A9" t="inlineStr">
        <is>
          <t>Rents of assize</t>
        </is>
      </c>
      <c r="B9" t="inlineStr">
        <is>
          <t>3 shilling for the rent of assize at the same term of Drogo de Celar' and Amice his wife for a certain messuage in ICingsgate Street beside the Carmelite Friars.</t>
        </is>
      </c>
      <c r="C9" t="n">
        <v>0.15</v>
      </c>
      <c r="D9" t="n">
        <v>0</v>
      </c>
      <c r="E9" t="n">
        <v>3</v>
      </c>
      <c r="F9" t="n">
        <v>0</v>
      </c>
      <c r="H9" t="n">
        <v>0</v>
      </c>
      <c r="I9" t="n">
        <v>0</v>
      </c>
      <c r="J9" t="n">
        <v>0</v>
      </c>
      <c r="K9" t="n">
        <v>0</v>
      </c>
      <c r="L9" t="n">
        <v>0</v>
      </c>
      <c r="M9" t="n">
        <v>0</v>
      </c>
      <c r="N9" t="n">
        <v>0</v>
      </c>
    </row>
    <row r="10">
      <c r="A10" t="inlineStr">
        <is>
          <t>Rents of assize</t>
        </is>
      </c>
      <c r="B10" t="inlineStr">
        <is>
          <t>2 shilling for the rent of assize at the same term of Robert de la Fermerie for a certain messuage opposite the house of John de Houlond' in the same place which is of the fee of West Pitt.</t>
        </is>
      </c>
      <c r="C10" t="n">
        <v>0.1</v>
      </c>
      <c r="D10" t="n">
        <v>0</v>
      </c>
      <c r="E10" t="n">
        <v>2</v>
      </c>
      <c r="F10" t="n">
        <v>0</v>
      </c>
      <c r="H10" t="n">
        <v>0</v>
      </c>
      <c r="I10" t="n">
        <v>0</v>
      </c>
      <c r="J10" t="n">
        <v>0</v>
      </c>
      <c r="K10" t="n">
        <v>0</v>
      </c>
      <c r="L10" t="n">
        <v>0</v>
      </c>
      <c r="M10" t="n">
        <v>0</v>
      </c>
      <c r="N10" t="n">
        <v>0</v>
      </c>
    </row>
    <row r="11">
      <c r="A11" t="inlineStr">
        <is>
          <t>Rents of assize</t>
        </is>
      </c>
      <c r="B11" t="inlineStr">
        <is>
          <t>Total, £1 5 shilling 6pence</t>
        </is>
      </c>
      <c r="C11" t="n">
        <v>1.27</v>
      </c>
      <c r="D11" t="n">
        <v>1</v>
      </c>
      <c r="E11" t="n">
        <v>5</v>
      </c>
      <c r="F11" t="n">
        <v>6</v>
      </c>
      <c r="H11" t="n">
        <v>0</v>
      </c>
      <c r="I11" t="n">
        <v>0</v>
      </c>
      <c r="J11" t="n">
        <v>0</v>
      </c>
      <c r="K11" t="n">
        <v>0</v>
      </c>
      <c r="L11" t="n">
        <v>0</v>
      </c>
      <c r="M11" t="n">
        <v>0</v>
      </c>
      <c r="N11" t="n">
        <v>0</v>
      </c>
    </row>
    <row r="12">
      <c r="A12" t="inlineStr">
        <is>
          <t>Rents of assize</t>
        </is>
      </c>
      <c r="B12" t="inlineStr">
        <is>
          <t>The same renders account for 6 shilling for the rent of assize at Michaelmas of the heir of Ralph de Gorhunte in Pendeworth'.</t>
        </is>
      </c>
      <c r="C12" t="n">
        <v>0.3</v>
      </c>
      <c r="D12" t="n">
        <v>0</v>
      </c>
      <c r="E12" t="n">
        <v>6</v>
      </c>
      <c r="F12" t="n">
        <v>0</v>
      </c>
      <c r="H12" t="n">
        <v>0</v>
      </c>
      <c r="I12" t="n">
        <v>0</v>
      </c>
      <c r="J12" t="n">
        <v>0</v>
      </c>
      <c r="K12" t="n">
        <v>0</v>
      </c>
      <c r="L12" t="n">
        <v>0</v>
      </c>
      <c r="M12" t="n">
        <v>0</v>
      </c>
      <c r="N12" t="n">
        <v>0</v>
      </c>
    </row>
    <row r="13">
      <c r="A13" t="inlineStr">
        <is>
          <t>Rents of assize</t>
        </is>
      </c>
      <c r="B13" t="inlineStr">
        <is>
          <t>Total, 6 shilling</t>
        </is>
      </c>
      <c r="C13" t="n">
        <v>0.3</v>
      </c>
      <c r="D13" t="n">
        <v>0</v>
      </c>
      <c r="E13" t="n">
        <v>6</v>
      </c>
      <c r="F13" t="n">
        <v>0</v>
      </c>
      <c r="H13" t="n">
        <v>0</v>
      </c>
      <c r="I13" t="n">
        <v>0</v>
      </c>
      <c r="J13" t="n">
        <v>0</v>
      </c>
      <c r="K13" t="n">
        <v>0</v>
      </c>
      <c r="L13" t="n">
        <v>0</v>
      </c>
      <c r="M13" t="n">
        <v>0</v>
      </c>
      <c r="N13" t="n">
        <v>0</v>
      </c>
    </row>
    <row r="14">
      <c r="A14" t="inlineStr">
        <is>
          <t>Rents of assize</t>
        </is>
      </c>
      <c r="B14" t="inlineStr">
        <is>
          <t>The same renders account for 13 shilling 8pence for the rent of assize at Michaelmas of Andrew Payn for the tenement which he holds in Sparsholt.</t>
        </is>
      </c>
      <c r="C14" t="n">
        <v>0.68</v>
      </c>
      <c r="D14" t="n">
        <v>0</v>
      </c>
      <c r="E14" t="n">
        <v>13</v>
      </c>
      <c r="F14" t="n">
        <v>8</v>
      </c>
      <c r="H14" t="n">
        <v>0</v>
      </c>
      <c r="I14" t="n">
        <v>0</v>
      </c>
      <c r="J14" t="n">
        <v>0</v>
      </c>
      <c r="K14" t="n">
        <v>0</v>
      </c>
      <c r="L14" t="n">
        <v>0</v>
      </c>
      <c r="M14" t="n">
        <v>0</v>
      </c>
      <c r="N14" t="n">
        <v>0</v>
      </c>
    </row>
    <row r="15">
      <c r="A15" t="inlineStr">
        <is>
          <t>Rents of assize</t>
        </is>
      </c>
      <c r="B15" t="inlineStr">
        <is>
          <t>3 shilling for the rent of assize at the same term of William Russel for a certain cottage in the same vill.</t>
        </is>
      </c>
      <c r="C15" t="n">
        <v>0.15</v>
      </c>
      <c r="D15" t="n">
        <v>0</v>
      </c>
      <c r="E15" t="n">
        <v>3</v>
      </c>
      <c r="F15" t="n">
        <v>0</v>
      </c>
      <c r="H15" t="n">
        <v>0</v>
      </c>
      <c r="I15" t="n">
        <v>0</v>
      </c>
      <c r="J15" t="n">
        <v>0</v>
      </c>
      <c r="K15" t="n">
        <v>0</v>
      </c>
      <c r="L15" t="n">
        <v>0</v>
      </c>
      <c r="M15" t="n">
        <v>0</v>
      </c>
      <c r="N15" t="n">
        <v>0</v>
      </c>
    </row>
    <row r="16">
      <c r="A16" t="inlineStr">
        <is>
          <t>Rents of assize</t>
        </is>
      </c>
      <c r="B16" t="inlineStr">
        <is>
          <t>5 shilling for the rent of assize at the same term of Richard Fromund for his tenement which he holds in the same vill.</t>
        </is>
      </c>
      <c r="C16" t="n">
        <v>0.25</v>
      </c>
      <c r="D16" t="n">
        <v>0</v>
      </c>
      <c r="E16" t="n">
        <v>5</v>
      </c>
      <c r="F16" t="n">
        <v>0</v>
      </c>
      <c r="H16" t="n">
        <v>0</v>
      </c>
      <c r="I16" t="n">
        <v>0</v>
      </c>
      <c r="J16" t="n">
        <v>0</v>
      </c>
      <c r="K16" t="n">
        <v>0</v>
      </c>
      <c r="L16" t="n">
        <v>0</v>
      </c>
      <c r="M16" t="n">
        <v>0</v>
      </c>
      <c r="N16" t="n">
        <v>0</v>
      </c>
    </row>
    <row r="17">
      <c r="A17" t="inlineStr">
        <is>
          <t>Rents of assize</t>
        </is>
      </c>
      <c r="B17" t="inlineStr">
        <is>
          <t>Total, £1 1 shilling 8pence</t>
        </is>
      </c>
      <c r="C17" t="n">
        <v>1.08</v>
      </c>
      <c r="D17" t="n">
        <v>1</v>
      </c>
      <c r="E17" t="n">
        <v>1</v>
      </c>
      <c r="F17" t="n">
        <v>8</v>
      </c>
      <c r="H17" t="n">
        <v>0</v>
      </c>
      <c r="I17" t="n">
        <v>0</v>
      </c>
      <c r="J17" t="n">
        <v>0</v>
      </c>
      <c r="K17" t="n">
        <v>0</v>
      </c>
      <c r="L17" t="n">
        <v>0</v>
      </c>
      <c r="M17" t="n">
        <v>0</v>
      </c>
      <c r="N17" t="n">
        <v>0</v>
      </c>
    </row>
    <row r="18">
      <c r="A18" t="inlineStr">
        <is>
          <t>Rents of assize</t>
        </is>
      </c>
      <c r="B18" t="inlineStr">
        <is>
          <t>The same renders account for 6 shilling 8pence for the rent of assize at Michaelmas of Nicholas de Ychen' for 3 virgates of land in Martyr Worthy.</t>
        </is>
      </c>
      <c r="C18" t="n">
        <v>0.33</v>
      </c>
      <c r="D18" t="n">
        <v>0</v>
      </c>
      <c r="E18" t="n">
        <v>6</v>
      </c>
      <c r="F18" t="n">
        <v>8</v>
      </c>
      <c r="H18" t="n">
        <v>0</v>
      </c>
      <c r="I18" t="n">
        <v>0</v>
      </c>
      <c r="J18" t="n">
        <v>0</v>
      </c>
      <c r="K18" t="n">
        <v>0</v>
      </c>
      <c r="L18" t="n">
        <v>0</v>
      </c>
      <c r="M18" t="n">
        <v>0</v>
      </c>
      <c r="N18" t="n">
        <v>0</v>
      </c>
    </row>
    <row r="19">
      <c r="A19" t="inlineStr">
        <is>
          <t>Rents of assize</t>
        </is>
      </c>
      <c r="B19" t="inlineStr">
        <is>
          <t>Total, 6 shilling 8pence</t>
        </is>
      </c>
      <c r="C19" t="n">
        <v>0.33</v>
      </c>
      <c r="D19" t="n">
        <v>0</v>
      </c>
      <c r="E19" t="n">
        <v>6</v>
      </c>
      <c r="F19" t="n">
        <v>8</v>
      </c>
      <c r="H19" t="n">
        <v>0</v>
      </c>
      <c r="I19" t="n">
        <v>0</v>
      </c>
      <c r="J19" t="n">
        <v>0</v>
      </c>
      <c r="K19" t="n">
        <v>0</v>
      </c>
      <c r="L19" t="n">
        <v>0</v>
      </c>
      <c r="M19" t="n">
        <v>0</v>
      </c>
      <c r="N19" t="n">
        <v>0</v>
      </c>
    </row>
    <row r="20">
      <c r="A20" t="inlineStr">
        <is>
          <t>Total of all rents</t>
        </is>
      </c>
      <c r="B20" t="inlineStr">
        <is>
          <t>Total of all rents, £2 19 shilling 10pence</t>
        </is>
      </c>
      <c r="C20" t="n">
        <v>2.99</v>
      </c>
      <c r="D20" t="n">
        <v>2</v>
      </c>
      <c r="E20" t="n">
        <v>19</v>
      </c>
      <c r="F20" t="n">
        <v>10</v>
      </c>
      <c r="H20" t="n">
        <v>0</v>
      </c>
      <c r="I20" t="n">
        <v>0</v>
      </c>
      <c r="J20" t="n">
        <v>0</v>
      </c>
      <c r="K20" t="n">
        <v>0</v>
      </c>
      <c r="L20" t="n">
        <v>0</v>
      </c>
      <c r="M20" t="n">
        <v>0</v>
      </c>
      <c r="N20" t="n">
        <v>0</v>
      </c>
    </row>
    <row r="21">
      <c r="A21" t="inlineStr">
        <is>
          <t>Estreat of the Bench beginning at Michaelmas in the year 26, and Hilary, Easter and Trinity in the year 27 (1298-9)</t>
        </is>
      </c>
      <c r="B21" t="inlineStr">
        <is>
          <t>The same renders account for 1 shilling 8pence from Martin Molendinarius of South Stoneham and Roger of the same because they did not produce in court Guy de Stonham.</t>
        </is>
      </c>
      <c r="C21" t="n">
        <v>0.08</v>
      </c>
      <c r="D21" t="n">
        <v>0</v>
      </c>
      <c r="E21" t="n">
        <v>1</v>
      </c>
      <c r="F21" t="n">
        <v>8</v>
      </c>
      <c r="H21" t="n">
        <v>0</v>
      </c>
      <c r="I21" t="n">
        <v>0</v>
      </c>
      <c r="J21" t="n">
        <v>0</v>
      </c>
      <c r="K21" t="n">
        <v>0</v>
      </c>
      <c r="L21" t="n">
        <v>0</v>
      </c>
      <c r="M21" t="n">
        <v>0</v>
      </c>
      <c r="N21" t="n">
        <v>0</v>
      </c>
    </row>
    <row r="22">
      <c r="A22" t="inlineStr">
        <is>
          <t>Estreat of the Bench beginning at Michaelmas in the year 26, and Hilary, Easter and Trinity in the year 27 (1298-9)</t>
        </is>
      </c>
      <c r="B22" t="inlineStr">
        <is>
          <t>1 shilling 8pence from William Raynold de Fal' and John Soudener of the same because they did not produce in court John de la Sale.</t>
        </is>
      </c>
      <c r="C22" t="n">
        <v>0.08</v>
      </c>
      <c r="D22" t="n">
        <v>0</v>
      </c>
      <c r="E22" t="n">
        <v>1</v>
      </c>
      <c r="F22" t="n">
        <v>8</v>
      </c>
      <c r="H22" t="n">
        <v>0</v>
      </c>
      <c r="I22" t="n">
        <v>0</v>
      </c>
      <c r="J22" t="n">
        <v>0</v>
      </c>
      <c r="K22" t="n">
        <v>0</v>
      </c>
      <c r="L22" t="n">
        <v>0</v>
      </c>
      <c r="M22" t="n">
        <v>0</v>
      </c>
      <c r="N22" t="n">
        <v>0</v>
      </c>
    </row>
    <row r="23">
      <c r="A23" t="inlineStr">
        <is>
          <t>Estreat of the Bench beginning at Michaelmas in the year 26, and Hilary, Easter and Trinity in the year 27 (1298-9)</t>
        </is>
      </c>
      <c r="B23" t="inlineStr">
        <is>
          <t>1 shilling 8pence from William Cuppyng of Droxford and William le Taymyr of the same because they did not produce in court Richard de Midlington' whom they had bailed.</t>
        </is>
      </c>
      <c r="C23" t="n">
        <v>0.08</v>
      </c>
      <c r="D23" t="n">
        <v>0</v>
      </c>
      <c r="E23" t="n">
        <v>1</v>
      </c>
      <c r="F23" t="n">
        <v>8</v>
      </c>
      <c r="H23" t="n">
        <v>0</v>
      </c>
      <c r="I23" t="n">
        <v>0</v>
      </c>
      <c r="J23" t="n">
        <v>0</v>
      </c>
      <c r="K23" t="n">
        <v>0</v>
      </c>
      <c r="L23" t="n">
        <v>0</v>
      </c>
      <c r="M23" t="n">
        <v>0</v>
      </c>
      <c r="N23" t="n">
        <v>0</v>
      </c>
    </row>
    <row r="24">
      <c r="A24" t="inlineStr">
        <is>
          <t>Estreat of the Bench beginning at Michaelmas in the year 26, and Hilary, Easter and Trinity in the year 27 (1298-9)</t>
        </is>
      </c>
      <c r="B24" t="inlineStr">
        <is>
          <t>1 shilling 8pence from Gerard le Commongar' of Durley and Thomas Everard of the same because they did not produce in court John Everard'.</t>
        </is>
      </c>
      <c r="C24" t="n">
        <v>0.08</v>
      </c>
      <c r="D24" t="n">
        <v>0</v>
      </c>
      <c r="E24" t="n">
        <v>1</v>
      </c>
      <c r="F24" t="n">
        <v>8</v>
      </c>
      <c r="H24" t="n">
        <v>0</v>
      </c>
      <c r="I24" t="n">
        <v>0</v>
      </c>
      <c r="J24" t="n">
        <v>0</v>
      </c>
      <c r="K24" t="n">
        <v>0</v>
      </c>
      <c r="L24" t="n">
        <v>0</v>
      </c>
      <c r="M24" t="n">
        <v>0</v>
      </c>
      <c r="N24" t="n">
        <v>0</v>
      </c>
    </row>
    <row r="25">
      <c r="A25" t="inlineStr">
        <is>
          <t>Estreat of the Bench beginning at Michaelmas in the year 26, and Hilary, Easter and Trinity in the year 27 (1298-9)</t>
        </is>
      </c>
      <c r="B25" t="inlineStr">
        <is>
          <t>1 shilling 8pence from John Crispyn of Bighton and John Faber because they did not produce in court Walter Tymb'.</t>
        </is>
      </c>
      <c r="C25" t="n">
        <v>0.08</v>
      </c>
      <c r="D25" t="n">
        <v>0</v>
      </c>
      <c r="E25" t="n">
        <v>1</v>
      </c>
      <c r="F25" t="n">
        <v>8</v>
      </c>
      <c r="H25" t="n">
        <v>0</v>
      </c>
      <c r="I25" t="n">
        <v>0</v>
      </c>
      <c r="J25" t="n">
        <v>0</v>
      </c>
      <c r="K25" t="n">
        <v>0</v>
      </c>
      <c r="L25" t="n">
        <v>0</v>
      </c>
      <c r="M25" t="n">
        <v>0</v>
      </c>
      <c r="N25" t="n">
        <v>0</v>
      </c>
    </row>
    <row r="26">
      <c r="A26" t="inlineStr">
        <is>
          <t>Estreat of the Bench beginning at Michaelmas in the year 26, and Hilary, Easter and Trinity in the year 27 (1298-9)</t>
        </is>
      </c>
      <c r="B26" t="inlineStr">
        <is>
          <t>1 shilling 8pence from William Martin of West Tisted and Adam ate Mere because they did not produce in court Richard de Tysted'.</t>
        </is>
      </c>
      <c r="C26" t="n">
        <v>0.08</v>
      </c>
      <c r="D26" t="n">
        <v>0</v>
      </c>
      <c r="E26" t="n">
        <v>1</v>
      </c>
      <c r="F26" t="n">
        <v>8</v>
      </c>
      <c r="H26" t="n">
        <v>0</v>
      </c>
      <c r="I26" t="n">
        <v>0</v>
      </c>
      <c r="J26" t="n">
        <v>0</v>
      </c>
      <c r="K26" t="n">
        <v>0</v>
      </c>
      <c r="L26" t="n">
        <v>0</v>
      </c>
      <c r="M26" t="n">
        <v>0</v>
      </c>
      <c r="N26" t="n">
        <v>0</v>
      </c>
    </row>
    <row r="27">
      <c r="A27" t="inlineStr">
        <is>
          <t>Estreat of the Bench beginning at Michaelmas in the year 26, and Hilary, Easter and Trinity in the year 27 (1298-9)</t>
        </is>
      </c>
      <c r="B27" t="inlineStr">
        <is>
          <t>1 shilling from Richard de Overton' and Geoffrey Horn because they did not produce in court John Pilesel the younger whom they had bailed.</t>
        </is>
      </c>
      <c r="C27" t="n">
        <v>0.05</v>
      </c>
      <c r="D27" t="n">
        <v>0</v>
      </c>
      <c r="E27" t="n">
        <v>1</v>
      </c>
      <c r="F27" t="n">
        <v>0</v>
      </c>
      <c r="H27" t="n">
        <v>0</v>
      </c>
      <c r="I27" t="n">
        <v>0</v>
      </c>
      <c r="J27" t="n">
        <v>0</v>
      </c>
      <c r="K27" t="n">
        <v>0</v>
      </c>
      <c r="L27" t="n">
        <v>0</v>
      </c>
      <c r="M27" t="n">
        <v>0</v>
      </c>
      <c r="N27" t="n">
        <v>0</v>
      </c>
    </row>
    <row r="28">
      <c r="A28" t="inlineStr">
        <is>
          <t>Estreat of the Bench beginning at Michaelmas in the year 26, and Hilary, Easter and Trinity in the year 27 (1298-9)</t>
        </is>
      </c>
      <c r="B28" t="inlineStr">
        <is>
          <t>1 shilling from Ralph de Sydemanton' and John de Nywenton' because they did not produce in court Roger le Lunt whom they had pledged.</t>
        </is>
      </c>
      <c r="C28" t="n">
        <v>0.05</v>
      </c>
      <c r="D28" t="n">
        <v>0</v>
      </c>
      <c r="E28" t="n">
        <v>1</v>
      </c>
      <c r="F28" t="n">
        <v>0</v>
      </c>
      <c r="H28" t="n">
        <v>0</v>
      </c>
      <c r="I28" t="n">
        <v>0</v>
      </c>
      <c r="J28" t="n">
        <v>0</v>
      </c>
      <c r="K28" t="n">
        <v>0</v>
      </c>
      <c r="L28" t="n">
        <v>0</v>
      </c>
      <c r="M28" t="n">
        <v>0</v>
      </c>
      <c r="N28" t="n">
        <v>0</v>
      </c>
    </row>
    <row r="29">
      <c r="A29" t="inlineStr">
        <is>
          <t>Estreat of the Bench beginning at Michaelmas in the year 26, and Hilary, Easter and Trinity in the year 27 (1298-9)</t>
        </is>
      </c>
      <c r="B29" t="inlineStr">
        <is>
          <t>1 shilling from Adam le Mar' and Walter Mercator because they did not produce in court Roger le Lunt whom they had pledged.</t>
        </is>
      </c>
      <c r="C29" t="n">
        <v>0.05</v>
      </c>
      <c r="D29" t="n">
        <v>0</v>
      </c>
      <c r="E29" t="n">
        <v>1</v>
      </c>
      <c r="F29" t="n">
        <v>0</v>
      </c>
      <c r="H29" t="n">
        <v>0</v>
      </c>
      <c r="I29" t="n">
        <v>0</v>
      </c>
      <c r="J29" t="n">
        <v>0</v>
      </c>
      <c r="K29" t="n">
        <v>0</v>
      </c>
      <c r="L29" t="n">
        <v>0</v>
      </c>
      <c r="M29" t="n">
        <v>0</v>
      </c>
      <c r="N29" t="n">
        <v>0</v>
      </c>
    </row>
    <row r="30">
      <c r="A30" t="inlineStr">
        <is>
          <t>Estreat of the Bench beginning at Michaelmas in the year 26, and Hilary, Easter and Trinity in the year 27 (1298-9)</t>
        </is>
      </c>
      <c r="B30" t="inlineStr">
        <is>
          <t>2 shilling from William Martin, Walter de Cove, Richard de Murifeld' and John Faber of West Tisted because they did not produce in court Richard de Tisted' whom they had bailed.</t>
        </is>
      </c>
      <c r="C30" t="n">
        <v>0.1</v>
      </c>
      <c r="D30" t="n">
        <v>0</v>
      </c>
      <c r="E30" t="n">
        <v>2</v>
      </c>
      <c r="F30" t="n">
        <v>0</v>
      </c>
      <c r="H30" t="n">
        <v>0</v>
      </c>
      <c r="I30" t="n">
        <v>0</v>
      </c>
      <c r="J30" t="n">
        <v>0</v>
      </c>
      <c r="K30" t="n">
        <v>0</v>
      </c>
      <c r="L30" t="n">
        <v>0</v>
      </c>
      <c r="M30" t="n">
        <v>0</v>
      </c>
      <c r="N30" t="n">
        <v>0</v>
      </c>
    </row>
    <row r="31">
      <c r="A31" t="inlineStr">
        <is>
          <t>Estreat of the Bench beginning at Michaelmas in the year 26, and Hilary, Easter and Trinity in the year 27 (1298-9)</t>
        </is>
      </c>
      <c r="B31" t="inlineStr">
        <is>
          <t>1 shilling 8pence from John Cuppyng of Bighton, William Clericus of Drayton, John de Solrigg' and John de la Greyn' because they did not produce in court Robert de Weston'.</t>
        </is>
      </c>
      <c r="C31" t="n">
        <v>0.08</v>
      </c>
      <c r="D31" t="n">
        <v>0</v>
      </c>
      <c r="E31" t="n">
        <v>1</v>
      </c>
      <c r="F31" t="n">
        <v>8</v>
      </c>
      <c r="H31" t="n">
        <v>0</v>
      </c>
      <c r="I31" t="n">
        <v>0</v>
      </c>
      <c r="J31" t="n">
        <v>0</v>
      </c>
      <c r="K31" t="n">
        <v>0</v>
      </c>
      <c r="L31" t="n">
        <v>0</v>
      </c>
      <c r="M31" t="n">
        <v>0</v>
      </c>
      <c r="N31" t="n">
        <v>0</v>
      </c>
    </row>
    <row r="32">
      <c r="A32" t="inlineStr">
        <is>
          <t>Estreat of the Bench beginning at Michaelmas in the year 26, and Hilary, Easter and Trinity in the year 27 (1298-9)</t>
        </is>
      </c>
      <c r="B32" t="inlineStr">
        <is>
          <t>1 shilling 8pence from John Faber of Bighton, Richard le Schepurde, John Sum' and Robert le Bule because they did not produce in court Walter Tymb' whom they had bailed.</t>
        </is>
      </c>
      <c r="C32" t="n">
        <v>0.08</v>
      </c>
      <c r="D32" t="n">
        <v>0</v>
      </c>
      <c r="E32" t="n">
        <v>1</v>
      </c>
      <c r="F32" t="n">
        <v>8</v>
      </c>
      <c r="H32" t="n">
        <v>0</v>
      </c>
      <c r="I32" t="n">
        <v>0</v>
      </c>
      <c r="J32" t="n">
        <v>0</v>
      </c>
      <c r="K32" t="n">
        <v>0</v>
      </c>
      <c r="L32" t="n">
        <v>0</v>
      </c>
      <c r="M32" t="n">
        <v>0</v>
      </c>
      <c r="N32" t="n">
        <v>0</v>
      </c>
    </row>
    <row r="33">
      <c r="A33" t="inlineStr">
        <is>
          <t>Estreat of the Bench beginning at Michaelmas in the year 26, and Hilary, Easter and Trinity in the year 27 (1298-9)</t>
        </is>
      </c>
      <c r="B33" t="inlineStr">
        <is>
          <t>2 shilling from Walter ate Forth' of Overton, John Pilesel the elder, John Osebern and John ate Toneshend' because they did not produce in court John Pilesel the younger whom they had bailed.</t>
        </is>
      </c>
      <c r="C33" t="n">
        <v>0.1</v>
      </c>
      <c r="D33" t="n">
        <v>0</v>
      </c>
      <c r="E33" t="n">
        <v>2</v>
      </c>
      <c r="F33" t="n">
        <v>0</v>
      </c>
      <c r="H33" t="n">
        <v>0</v>
      </c>
      <c r="I33" t="n">
        <v>0</v>
      </c>
      <c r="J33" t="n">
        <v>0</v>
      </c>
      <c r="K33" t="n">
        <v>0</v>
      </c>
      <c r="L33" t="n">
        <v>0</v>
      </c>
      <c r="M33" t="n">
        <v>0</v>
      </c>
      <c r="N33" t="n">
        <v>0</v>
      </c>
    </row>
    <row r="34">
      <c r="A34" t="inlineStr">
        <is>
          <t>Estreat of the Bench beginning at Michaelmas in the year 26, and Hilary, Easter and Trinity in the year 27 (1298-9)</t>
        </is>
      </c>
      <c r="B34" t="inlineStr">
        <is>
          <t>1 shilling from Richard le Berch' of Overton, Robert le Hore, John Oseburn and Ralph ate Toneshend' because they did not produce in court Roger le Lunt whom they had bailed in Overton at Easter.</t>
        </is>
      </c>
      <c r="C34" t="n">
        <v>0.05</v>
      </c>
      <c r="D34" t="n">
        <v>0</v>
      </c>
      <c r="E34" t="n">
        <v>1</v>
      </c>
      <c r="F34" t="n">
        <v>0</v>
      </c>
      <c r="H34" t="n">
        <v>0</v>
      </c>
      <c r="I34" t="n">
        <v>0</v>
      </c>
      <c r="J34" t="n">
        <v>0</v>
      </c>
      <c r="K34" t="n">
        <v>0</v>
      </c>
      <c r="L34" t="n">
        <v>0</v>
      </c>
      <c r="M34" t="n">
        <v>0</v>
      </c>
      <c r="N34" t="n">
        <v>0</v>
      </c>
    </row>
    <row r="35">
      <c r="A35" t="inlineStr">
        <is>
          <t>Estreat of the Bench beginning at Michaelmas in the year 26, and Hilary, Easter and Trinity in the year 27 (1298-9)</t>
        </is>
      </c>
      <c r="B35" t="inlineStr">
        <is>
          <t>1 shilling 8pence from William Fynamur for himself and his pledges because he is not proceeding against Geoffrey le Keu in a plea of land.</t>
        </is>
      </c>
      <c r="C35" t="n">
        <v>0.08</v>
      </c>
      <c r="D35" t="n">
        <v>0</v>
      </c>
      <c r="E35" t="n">
        <v>1</v>
      </c>
      <c r="F35" t="n">
        <v>8</v>
      </c>
      <c r="H35" t="n">
        <v>0</v>
      </c>
      <c r="I35" t="n">
        <v>0</v>
      </c>
      <c r="J35" t="n">
        <v>0</v>
      </c>
      <c r="K35" t="n">
        <v>0</v>
      </c>
      <c r="L35" t="n">
        <v>0</v>
      </c>
      <c r="M35" t="n">
        <v>0</v>
      </c>
      <c r="N35" t="n">
        <v>0</v>
      </c>
    </row>
    <row r="36">
      <c r="A36" t="inlineStr">
        <is>
          <t>Estreat of the Bench beginning at Michaelmas in the year 26, and Hilary, Easter and Trinity in the year 27 (1298-9)</t>
        </is>
      </c>
      <c r="B36" t="inlineStr">
        <is>
          <t>1 shilling 8pence from William Godrich of Upham and John Goudrich of the same because they did not produce in court Robert ate Bech.</t>
        </is>
      </c>
      <c r="C36" t="n">
        <v>0.08</v>
      </c>
      <c r="D36" t="n">
        <v>0</v>
      </c>
      <c r="E36" t="n">
        <v>1</v>
      </c>
      <c r="F36" t="n">
        <v>8</v>
      </c>
      <c r="H36" t="n">
        <v>0</v>
      </c>
      <c r="I36" t="n">
        <v>0</v>
      </c>
      <c r="J36" t="n">
        <v>0</v>
      </c>
      <c r="K36" t="n">
        <v>0</v>
      </c>
      <c r="L36" t="n">
        <v>0</v>
      </c>
      <c r="M36" t="n">
        <v>0</v>
      </c>
      <c r="N36" t="n">
        <v>0</v>
      </c>
    </row>
    <row r="37">
      <c r="A37" t="inlineStr">
        <is>
          <t>Estreat of the Bench beginning at Michaelmas in the year 26, and Hilary, Easter and Trinity in the year 27 (1298-9)</t>
        </is>
      </c>
      <c r="B37" t="inlineStr">
        <is>
          <t>1 shilling from Adam Cissore of Overton and Adam Pukecherl because they did not produce in court John Pilesel.</t>
        </is>
      </c>
      <c r="C37" t="n">
        <v>0.05</v>
      </c>
      <c r="D37" t="n">
        <v>0</v>
      </c>
      <c r="E37" t="n">
        <v>1</v>
      </c>
      <c r="F37" t="n">
        <v>0</v>
      </c>
      <c r="H37" t="n">
        <v>0</v>
      </c>
      <c r="I37" t="n">
        <v>0</v>
      </c>
      <c r="J37" t="n">
        <v>0</v>
      </c>
      <c r="K37" t="n">
        <v>0</v>
      </c>
      <c r="L37" t="n">
        <v>0</v>
      </c>
      <c r="M37" t="n">
        <v>0</v>
      </c>
      <c r="N37" t="n">
        <v>0</v>
      </c>
    </row>
    <row r="38">
      <c r="A38" t="inlineStr">
        <is>
          <t>Estreat of the Bench beginning at Michaelmas in the year 26, and Hilary, Easter and Trinity in the year 27 (1298-9)</t>
        </is>
      </c>
      <c r="B38" t="inlineStr">
        <is>
          <t>From the amercements of merchants in the county of Southampton in the sixth year (1278): 2 shilling from Henry de Arblaster for false measure.</t>
        </is>
      </c>
      <c r="C38" t="n">
        <v>0.1</v>
      </c>
      <c r="D38" t="n">
        <v>0</v>
      </c>
      <c r="E38" t="n">
        <v>2</v>
      </c>
      <c r="F38" t="n">
        <v>0</v>
      </c>
      <c r="H38" t="n">
        <v>0</v>
      </c>
      <c r="I38" t="n">
        <v>0</v>
      </c>
      <c r="J38" t="n">
        <v>0</v>
      </c>
      <c r="K38" t="n">
        <v>0</v>
      </c>
      <c r="L38" t="n">
        <v>0</v>
      </c>
      <c r="M38" t="n">
        <v>0</v>
      </c>
      <c r="N38" t="n">
        <v>0</v>
      </c>
    </row>
    <row r="39">
      <c r="A39" t="inlineStr">
        <is>
          <t>Estreat of the Bench beginning at Michaelmas in the year 26, and Hilary, Easter and Trinity in the year 27 (1298-9)</t>
        </is>
      </c>
      <c r="B39" t="inlineStr">
        <is>
          <t>Total, £1 7 shilling 8pence</t>
        </is>
      </c>
      <c r="C39" t="n">
        <v>1.38</v>
      </c>
      <c r="D39" t="n">
        <v>1</v>
      </c>
      <c r="E39" t="n">
        <v>7</v>
      </c>
      <c r="F39" t="n">
        <v>8</v>
      </c>
      <c r="H39" t="n">
        <v>0</v>
      </c>
      <c r="I39" t="n">
        <v>0</v>
      </c>
      <c r="J39" t="n">
        <v>0</v>
      </c>
      <c r="K39" t="n">
        <v>0</v>
      </c>
      <c r="L39" t="n">
        <v>0</v>
      </c>
      <c r="M39" t="n">
        <v>0</v>
      </c>
      <c r="N39" t="n">
        <v>0</v>
      </c>
    </row>
    <row r="40">
      <c r="A40" t="inlineStr">
        <is>
          <t>Amercements of the court of J. de Metingham and his fellows of the Bench at Michaelmas in the year 28 (1299-1300) and the following terms</t>
        </is>
      </c>
      <c r="B40" t="inlineStr">
        <is>
          <t>The same renders account for 3 shilling 4pence from Jordan le Yunge and his fellows because they did not produce in court Joan de Colrych' whom they had bailed.</t>
        </is>
      </c>
      <c r="C40" t="n">
        <v>0.17</v>
      </c>
      <c r="D40" t="n">
        <v>0</v>
      </c>
      <c r="E40" t="n">
        <v>3</v>
      </c>
      <c r="F40" t="n">
        <v>4</v>
      </c>
      <c r="H40" t="n">
        <v>0</v>
      </c>
      <c r="I40" t="n">
        <v>0</v>
      </c>
      <c r="J40" t="n">
        <v>0</v>
      </c>
      <c r="K40" t="n">
        <v>0</v>
      </c>
      <c r="L40" t="n">
        <v>0</v>
      </c>
      <c r="M40" t="n">
        <v>0</v>
      </c>
      <c r="N40" t="n">
        <v>0</v>
      </c>
    </row>
    <row r="41">
      <c r="A41" t="inlineStr">
        <is>
          <t>Amercements of the court of J. de Metingham and his fellows of the Bench at Michaelmas in the year 28 (1299-1300) and the following terms</t>
        </is>
      </c>
      <c r="B41" t="inlineStr">
        <is>
          <t>3 shilling 4pence from Bartholomew Laurence and his fellows because they did not produce in court William, son of Laurence de London, whom they had bailed.</t>
        </is>
      </c>
      <c r="C41" t="n">
        <v>0.17</v>
      </c>
      <c r="D41" t="n">
        <v>0</v>
      </c>
      <c r="E41" t="n">
        <v>3</v>
      </c>
      <c r="F41" t="n">
        <v>4</v>
      </c>
      <c r="H41" t="n">
        <v>0</v>
      </c>
      <c r="I41" t="n">
        <v>0</v>
      </c>
      <c r="J41" t="n">
        <v>0</v>
      </c>
      <c r="K41" t="n">
        <v>0</v>
      </c>
      <c r="L41" t="n">
        <v>0</v>
      </c>
      <c r="M41" t="n">
        <v>0</v>
      </c>
      <c r="N41" t="n">
        <v>0</v>
      </c>
    </row>
    <row r="42">
      <c r="A42" t="inlineStr">
        <is>
          <t>Amercements of the court of J. de Metingham and his fellows of the Bench at Michaelmas in the year 28 (1299-1300) and the following terms</t>
        </is>
      </c>
      <c r="B42" t="inlineStr">
        <is>
          <t>1 shilling 8pence from William Joye and his fellows because they did not produce in court Walter de Derneford' whom they had bailed.</t>
        </is>
      </c>
      <c r="C42" t="n">
        <v>0.08</v>
      </c>
      <c r="D42" t="n">
        <v>0</v>
      </c>
      <c r="E42" t="n">
        <v>1</v>
      </c>
      <c r="F42" t="n">
        <v>8</v>
      </c>
      <c r="H42" t="n">
        <v>0</v>
      </c>
      <c r="I42" t="n">
        <v>0</v>
      </c>
      <c r="J42" t="n">
        <v>0</v>
      </c>
      <c r="K42" t="n">
        <v>0</v>
      </c>
      <c r="L42" t="n">
        <v>0</v>
      </c>
      <c r="M42" t="n">
        <v>0</v>
      </c>
      <c r="N42" t="n">
        <v>0</v>
      </c>
    </row>
    <row r="43">
      <c r="A43" t="inlineStr">
        <is>
          <t>Amercements of the court of J. de Metingham and his fellows of the Bench at Michaelmas in the year 28 (1299-1300) and the following terms</t>
        </is>
      </c>
      <c r="B43" t="inlineStr">
        <is>
          <t>3 shilling 4pence from Robert Wyncent and his fellows because they did not produce in court John de Lynch' whom they had bailed.</t>
        </is>
      </c>
      <c r="C43" t="n">
        <v>0.17</v>
      </c>
      <c r="D43" t="n">
        <v>0</v>
      </c>
      <c r="E43" t="n">
        <v>3</v>
      </c>
      <c r="F43" t="n">
        <v>4</v>
      </c>
      <c r="H43" t="n">
        <v>0</v>
      </c>
      <c r="I43" t="n">
        <v>0</v>
      </c>
      <c r="J43" t="n">
        <v>0</v>
      </c>
      <c r="K43" t="n">
        <v>0</v>
      </c>
      <c r="L43" t="n">
        <v>0</v>
      </c>
      <c r="M43" t="n">
        <v>0</v>
      </c>
      <c r="N43" t="n">
        <v>0</v>
      </c>
    </row>
    <row r="44">
      <c r="A44" t="inlineStr">
        <is>
          <t>Amercements of the court of J. de Metingham and his fellows of the Bench at Michaelmas in the year 28 (1299-1300) and the following terms</t>
        </is>
      </c>
      <c r="B44" t="inlineStr">
        <is>
          <t>3 shilling 4pence from Jordan le Yunge and his fellows because they did not produce in court Joan de Colrich' whom they had bailed.</t>
        </is>
      </c>
      <c r="C44" t="n">
        <v>0.17</v>
      </c>
      <c r="D44" t="n">
        <v>0</v>
      </c>
      <c r="E44" t="n">
        <v>3</v>
      </c>
      <c r="F44" t="n">
        <v>4</v>
      </c>
      <c r="H44" t="n">
        <v>0</v>
      </c>
      <c r="I44" t="n">
        <v>0</v>
      </c>
      <c r="J44" t="n">
        <v>0</v>
      </c>
      <c r="K44" t="n">
        <v>0</v>
      </c>
      <c r="L44" t="n">
        <v>0</v>
      </c>
      <c r="M44" t="n">
        <v>0</v>
      </c>
      <c r="N44" t="n">
        <v>0</v>
      </c>
    </row>
    <row r="45">
      <c r="A45" t="inlineStr">
        <is>
          <t>Amercements of the court of J. de Metingham and his fellows of the Bench at Michaelmas in the year 28 (1299-1300) and the following terms</t>
        </is>
      </c>
      <c r="B45" t="inlineStr">
        <is>
          <t>1 shilling 8pence from Thomas Laurence and his fellows because they did not produce in court William, son of Laurence de London, whom they had bailed.</t>
        </is>
      </c>
      <c r="C45" t="n">
        <v>0.08</v>
      </c>
      <c r="D45" t="n">
        <v>0</v>
      </c>
      <c r="E45" t="n">
        <v>1</v>
      </c>
      <c r="F45" t="n">
        <v>8</v>
      </c>
      <c r="H45" t="n">
        <v>0</v>
      </c>
      <c r="I45" t="n">
        <v>0</v>
      </c>
      <c r="J45" t="n">
        <v>0</v>
      </c>
      <c r="K45" t="n">
        <v>0</v>
      </c>
      <c r="L45" t="n">
        <v>0</v>
      </c>
      <c r="M45" t="n">
        <v>0</v>
      </c>
      <c r="N45" t="n">
        <v>0</v>
      </c>
    </row>
    <row r="46">
      <c r="A46" t="inlineStr">
        <is>
          <t>Amercements of the court of J. de Metingham and his fellows of the Bench at Michaelmas in the year 28 (1299-1300) and the following terms</t>
        </is>
      </c>
      <c r="B46" t="inlineStr">
        <is>
          <t>1 shilling 8pence from Laurence Skyreboth' and his fellows because they did not produce in court Walter de Derneford' whom they had bailed.</t>
        </is>
      </c>
      <c r="C46" t="n">
        <v>0.08</v>
      </c>
      <c r="D46" t="n">
        <v>0</v>
      </c>
      <c r="E46" t="n">
        <v>1</v>
      </c>
      <c r="F46" t="n">
        <v>8</v>
      </c>
      <c r="H46" t="n">
        <v>0</v>
      </c>
      <c r="I46" t="n">
        <v>0</v>
      </c>
      <c r="J46" t="n">
        <v>0</v>
      </c>
      <c r="K46" t="n">
        <v>0</v>
      </c>
      <c r="L46" t="n">
        <v>0</v>
      </c>
      <c r="M46" t="n">
        <v>0</v>
      </c>
      <c r="N46" t="n">
        <v>0</v>
      </c>
    </row>
    <row r="47">
      <c r="A47" t="inlineStr">
        <is>
          <t>Amercements of the court of J. de Metingham and his fellows of the Bench at Michaelmas in the year 28 (1299-1300) and the following terms</t>
        </is>
      </c>
      <c r="B47" t="inlineStr">
        <is>
          <t>1 shilling 8pence from William le Duk and his fellows because they did not produce in court John de Lynch' whom they had bailed.</t>
        </is>
      </c>
      <c r="C47" t="n">
        <v>0.08</v>
      </c>
      <c r="D47" t="n">
        <v>0</v>
      </c>
      <c r="E47" t="n">
        <v>1</v>
      </c>
      <c r="F47" t="n">
        <v>8</v>
      </c>
      <c r="H47" t="n">
        <v>0</v>
      </c>
      <c r="I47" t="n">
        <v>0</v>
      </c>
      <c r="J47" t="n">
        <v>0</v>
      </c>
      <c r="K47" t="n">
        <v>0</v>
      </c>
      <c r="L47" t="n">
        <v>0</v>
      </c>
      <c r="M47" t="n">
        <v>0</v>
      </c>
      <c r="N47" t="n">
        <v>0</v>
      </c>
    </row>
    <row r="48">
      <c r="A48" t="inlineStr">
        <is>
          <t>Amercements of the court of J. de Metingham and his fellows of the Bench at Michaelmas in the year 28 (1299-1300) and the following terms</t>
        </is>
      </c>
      <c r="B48" t="inlineStr">
        <is>
          <t>3 shilling 4pence from John Wyncent and his fellows because they did not produce in court John de Lynch' whom they had bailed.</t>
        </is>
      </c>
      <c r="C48" t="n">
        <v>0.17</v>
      </c>
      <c r="D48" t="n">
        <v>0</v>
      </c>
      <c r="E48" t="n">
        <v>3</v>
      </c>
      <c r="F48" t="n">
        <v>4</v>
      </c>
      <c r="H48" t="n">
        <v>0</v>
      </c>
      <c r="I48" t="n">
        <v>0</v>
      </c>
      <c r="J48" t="n">
        <v>0</v>
      </c>
      <c r="K48" t="n">
        <v>0</v>
      </c>
      <c r="L48" t="n">
        <v>0</v>
      </c>
      <c r="M48" t="n">
        <v>0</v>
      </c>
      <c r="N48" t="n">
        <v>0</v>
      </c>
    </row>
    <row r="49">
      <c r="A49" t="inlineStr">
        <is>
          <t>Amercements of the court of J. de Metingham and his fellows of the Bench at Michaelmas in the year 28 (1299-1300) and the following terms</t>
        </is>
      </c>
      <c r="B49" t="inlineStr">
        <is>
          <t>1 shilling 8pence from William Chauberlain, juror, because he did not come to the afforcement.</t>
        </is>
      </c>
      <c r="C49" t="n">
        <v>0.08</v>
      </c>
      <c r="D49" t="n">
        <v>0</v>
      </c>
      <c r="E49" t="n">
        <v>1</v>
      </c>
      <c r="F49" t="n">
        <v>8</v>
      </c>
      <c r="H49" t="n">
        <v>0</v>
      </c>
      <c r="I49" t="n">
        <v>0</v>
      </c>
      <c r="J49" t="n">
        <v>0</v>
      </c>
      <c r="K49" t="n">
        <v>0</v>
      </c>
      <c r="L49" t="n">
        <v>0</v>
      </c>
      <c r="M49" t="n">
        <v>0</v>
      </c>
      <c r="N49" t="n">
        <v>0</v>
      </c>
    </row>
    <row r="50">
      <c r="A50" t="inlineStr">
        <is>
          <t>Amercements of the court of J. de Metingham and his fellows of the Bench at Michaelmas in the year 28 (1299-1300) and the following terms</t>
        </is>
      </c>
      <c r="B50" t="inlineStr">
        <is>
          <t>Total, £1 5 shilling</t>
        </is>
      </c>
      <c r="C50" t="n">
        <v>1.25</v>
      </c>
      <c r="D50" t="n">
        <v>1</v>
      </c>
      <c r="E50" t="n">
        <v>5</v>
      </c>
      <c r="F50" t="n">
        <v>0</v>
      </c>
      <c r="H50" t="n">
        <v>0</v>
      </c>
      <c r="I50" t="n">
        <v>0</v>
      </c>
      <c r="J50" t="n">
        <v>0</v>
      </c>
      <c r="K50" t="n">
        <v>0</v>
      </c>
      <c r="L50" t="n">
        <v>0</v>
      </c>
      <c r="M50" t="n">
        <v>0</v>
      </c>
      <c r="N50" t="n">
        <v>0</v>
      </c>
    </row>
    <row r="51">
      <c r="A51" t="inlineStr">
        <is>
          <t>Court of the Barons of the Exchequer for the pleas of Hilary term in the year 28 (1300)</t>
        </is>
      </c>
      <c r="B51" t="inlineStr">
        <is>
          <t>The same renders account for 6 shilling 8pence from Alan Plukenet, son and heir of Alan Plukenet, because he did not come.</t>
        </is>
      </c>
      <c r="C51" t="n">
        <v>0.33</v>
      </c>
      <c r="D51" t="n">
        <v>0</v>
      </c>
      <c r="E51" t="n">
        <v>6</v>
      </c>
      <c r="F51" t="n">
        <v>8</v>
      </c>
      <c r="H51" t="n">
        <v>0</v>
      </c>
      <c r="I51" t="n">
        <v>0</v>
      </c>
      <c r="J51" t="n">
        <v>0</v>
      </c>
      <c r="K51" t="n">
        <v>0</v>
      </c>
      <c r="L51" t="n">
        <v>0</v>
      </c>
      <c r="M51" t="n">
        <v>0</v>
      </c>
      <c r="N51" t="n">
        <v>0</v>
      </c>
    </row>
    <row r="52">
      <c r="A52" t="inlineStr">
        <is>
          <t>Court of the Barons of the Exchequer for the pleas of Hilary term in the year 28 (1300)</t>
        </is>
      </c>
      <c r="B52" t="inlineStr">
        <is>
          <t>6 shilling 8pence from William, reeve of Kilmeston, and Stephen le Rede of the same because they did not produce in court Alan, son and heir of Alan Plukenet, at Easter.</t>
        </is>
      </c>
      <c r="C52" t="n">
        <v>0.33</v>
      </c>
      <c r="D52" t="n">
        <v>0</v>
      </c>
      <c r="E52" t="n">
        <v>6</v>
      </c>
      <c r="F52" t="n">
        <v>8</v>
      </c>
      <c r="H52" t="n">
        <v>0</v>
      </c>
      <c r="I52" t="n">
        <v>0</v>
      </c>
      <c r="J52" t="n">
        <v>0</v>
      </c>
      <c r="K52" t="n">
        <v>0</v>
      </c>
      <c r="L52" t="n">
        <v>0</v>
      </c>
      <c r="M52" t="n">
        <v>0</v>
      </c>
      <c r="N52" t="n">
        <v>0</v>
      </c>
    </row>
    <row r="53">
      <c r="A53" t="inlineStr">
        <is>
          <t>Court of the Barons of the Exchequer for the pleas of Hilary term in the year 28 (1300)</t>
        </is>
      </c>
      <c r="B53" t="inlineStr">
        <is>
          <t>6 shilling 8pence from Alan, son and heir of Alan Plukenet, because he did not come.</t>
        </is>
      </c>
      <c r="C53" t="n">
        <v>0.33</v>
      </c>
      <c r="D53" t="n">
        <v>0</v>
      </c>
      <c r="E53" t="n">
        <v>6</v>
      </c>
      <c r="F53" t="n">
        <v>8</v>
      </c>
      <c r="H53" t="n">
        <v>0</v>
      </c>
      <c r="I53" t="n">
        <v>0</v>
      </c>
      <c r="J53" t="n">
        <v>0</v>
      </c>
      <c r="K53" t="n">
        <v>0</v>
      </c>
      <c r="L53" t="n">
        <v>0</v>
      </c>
      <c r="M53" t="n">
        <v>0</v>
      </c>
      <c r="N53" t="n">
        <v>0</v>
      </c>
    </row>
    <row r="54">
      <c r="A54" t="inlineStr">
        <is>
          <t>Court of the Barons of the Exchequer for the pleas of Hilary term in the year 28 (1300)</t>
        </is>
      </c>
      <c r="B54" t="inlineStr">
        <is>
          <t>3 shilling 4pence from Stephen le Ryde of Kilmeston and his fellows because they did not produce in court the said Alan.</t>
        </is>
      </c>
      <c r="C54" t="n">
        <v>0.17</v>
      </c>
      <c r="D54" t="n">
        <v>0</v>
      </c>
      <c r="E54" t="n">
        <v>3</v>
      </c>
      <c r="F54" t="n">
        <v>4</v>
      </c>
      <c r="H54" t="n">
        <v>0</v>
      </c>
      <c r="I54" t="n">
        <v>0</v>
      </c>
      <c r="J54" t="n">
        <v>0</v>
      </c>
      <c r="K54" t="n">
        <v>0</v>
      </c>
      <c r="L54" t="n">
        <v>0</v>
      </c>
      <c r="M54" t="n">
        <v>0</v>
      </c>
      <c r="N54" t="n">
        <v>0</v>
      </c>
    </row>
    <row r="55">
      <c r="A55" t="inlineStr">
        <is>
          <t>Court of the Barons of the Exchequer for the pleas of Hilary term in the year 28 (1300)</t>
        </is>
      </c>
      <c r="B55" t="inlineStr">
        <is>
          <t>From Trinity term: 3 shilling 4pence from Alan Plukenet, son and heir of Alan Plukenet, because he did not come.</t>
        </is>
      </c>
      <c r="C55" t="n">
        <v>0.17</v>
      </c>
      <c r="D55" t="n">
        <v>0</v>
      </c>
      <c r="E55" t="n">
        <v>3</v>
      </c>
      <c r="F55" t="n">
        <v>4</v>
      </c>
      <c r="H55" t="n">
        <v>0</v>
      </c>
      <c r="I55" t="n">
        <v>0</v>
      </c>
      <c r="J55" t="n">
        <v>0</v>
      </c>
      <c r="K55" t="n">
        <v>0</v>
      </c>
      <c r="L55" t="n">
        <v>0</v>
      </c>
      <c r="M55" t="n">
        <v>0</v>
      </c>
      <c r="N55" t="n">
        <v>0</v>
      </c>
    </row>
    <row r="56">
      <c r="A56" t="inlineStr">
        <is>
          <t>Court of the Barons of the Exchequer for the pleas of Hilary term in the year 28 (1300)</t>
        </is>
      </c>
      <c r="B56" t="inlineStr">
        <is>
          <t>1 shilling 8pence from Stephen ate Cleye of Kilmeston and his fellows because they did not produce in court Alan, son and heir of Alan Plukenet.</t>
        </is>
      </c>
      <c r="C56" t="n">
        <v>0.08</v>
      </c>
      <c r="D56" t="n">
        <v>0</v>
      </c>
      <c r="E56" t="n">
        <v>1</v>
      </c>
      <c r="F56" t="n">
        <v>8</v>
      </c>
      <c r="H56" t="n">
        <v>0</v>
      </c>
      <c r="I56" t="n">
        <v>0</v>
      </c>
      <c r="J56" t="n">
        <v>0</v>
      </c>
      <c r="K56" t="n">
        <v>0</v>
      </c>
      <c r="L56" t="n">
        <v>0</v>
      </c>
      <c r="M56" t="n">
        <v>0</v>
      </c>
      <c r="N56" t="n">
        <v>0</v>
      </c>
    </row>
    <row r="57">
      <c r="A57" t="inlineStr">
        <is>
          <t>Court of the Barons of the Exchequer for the pleas of Hilary term in the year 28 (1300)</t>
        </is>
      </c>
      <c r="B57" t="inlineStr">
        <is>
          <t>6 shilling 8pence from Philip, archdeacon of Winchester, because he did not come.</t>
        </is>
      </c>
      <c r="C57" t="n">
        <v>0.33</v>
      </c>
      <c r="D57" t="n">
        <v>0</v>
      </c>
      <c r="E57" t="n">
        <v>6</v>
      </c>
      <c r="F57" t="n">
        <v>8</v>
      </c>
      <c r="H57" t="n">
        <v>0</v>
      </c>
      <c r="I57" t="n">
        <v>0</v>
      </c>
      <c r="J57" t="n">
        <v>0</v>
      </c>
      <c r="K57" t="n">
        <v>0</v>
      </c>
      <c r="L57" t="n">
        <v>0</v>
      </c>
      <c r="M57" t="n">
        <v>0</v>
      </c>
      <c r="N57" t="n">
        <v>0</v>
      </c>
    </row>
    <row r="58">
      <c r="A58" t="inlineStr">
        <is>
          <t>Court of the Barons of the Exchequer for the pleas of Hilary term in the year 28 (1300)</t>
        </is>
      </c>
      <c r="B58" t="inlineStr">
        <is>
          <t>Total, £5 shilling</t>
        </is>
      </c>
      <c r="C58" t="n">
        <v>5</v>
      </c>
      <c r="D58" t="n">
        <v>5</v>
      </c>
      <c r="E58" t="n">
        <v>0</v>
      </c>
      <c r="F58" t="n">
        <v>0</v>
      </c>
      <c r="H58" t="n">
        <v>0</v>
      </c>
      <c r="I58" t="n">
        <v>0</v>
      </c>
      <c r="J58" t="n">
        <v>0</v>
      </c>
      <c r="K58" t="n">
        <v>0</v>
      </c>
      <c r="L58" t="n">
        <v>0</v>
      </c>
      <c r="M58" t="n">
        <v>0</v>
      </c>
      <c r="N58" t="n">
        <v>0</v>
      </c>
    </row>
    <row r="59">
      <c r="A59" t="inlineStr">
        <is>
          <t>Court of the Barons of the Exchequer for the pleas of Hilary term in the year 28 (1300)</t>
        </is>
      </c>
      <c r="B59" t="inlineStr">
        <is>
          <t>And 1 shilling 8pence from Gerard de Tigehal' and his fellows because they did not produce in court William de Tigehal'.</t>
        </is>
      </c>
      <c r="C59" t="n">
        <v>0.08</v>
      </c>
      <c r="D59" t="n">
        <v>0</v>
      </c>
      <c r="E59" t="n">
        <v>1</v>
      </c>
      <c r="F59" t="n">
        <v>8</v>
      </c>
      <c r="H59" t="n">
        <v>0</v>
      </c>
      <c r="I59" t="n">
        <v>0</v>
      </c>
      <c r="J59" t="n">
        <v>0</v>
      </c>
      <c r="K59" t="n">
        <v>0</v>
      </c>
      <c r="L59" t="n">
        <v>0</v>
      </c>
      <c r="M59" t="n">
        <v>0</v>
      </c>
      <c r="N59" t="n">
        <v>0</v>
      </c>
    </row>
    <row r="60">
      <c r="A60" t="inlineStr">
        <is>
          <t>Court of Roger Brabazon and his fellow justices holding the pleas of the king's court for Hilary term in the year 27 Edward I (1299)</t>
        </is>
      </c>
      <c r="B60" t="inlineStr">
        <is>
          <t>The same renders account for 1 shilling 8pence from Thomas Tupleyn and his fellows because they did not produce in court Nicholas de Langrissch'.</t>
        </is>
      </c>
      <c r="C60" t="n">
        <v>0.08</v>
      </c>
      <c r="D60" t="n">
        <v>0</v>
      </c>
      <c r="E60" t="n">
        <v>1</v>
      </c>
      <c r="F60" t="n">
        <v>8</v>
      </c>
      <c r="H60" t="n">
        <v>0</v>
      </c>
      <c r="I60" t="n">
        <v>0</v>
      </c>
      <c r="J60" t="n">
        <v>0</v>
      </c>
      <c r="K60" t="n">
        <v>0</v>
      </c>
      <c r="L60" t="n">
        <v>0</v>
      </c>
      <c r="M60" t="n">
        <v>0</v>
      </c>
      <c r="N60" t="n">
        <v>0</v>
      </c>
    </row>
    <row r="61">
      <c r="A61" t="inlineStr">
        <is>
          <t>Court of the same justices in Michaelmas term of the year ending 26 and beginning 27 (1298-9)</t>
        </is>
      </c>
      <c r="B61" t="inlineStr">
        <is>
          <t>The same renders account for 1 shilling 8pence from Nicholas de Borden' and his fellows because they did not produce in court Nicholas de Langrissch' whom they had bailepence Total, 5 shilling</t>
        </is>
      </c>
      <c r="C61" t="n">
        <v>0.08</v>
      </c>
      <c r="D61" t="n">
        <v>0</v>
      </c>
      <c r="E61" t="n">
        <v>1</v>
      </c>
      <c r="F61" t="n">
        <v>8</v>
      </c>
      <c r="H61" t="n">
        <v>0</v>
      </c>
      <c r="I61" t="n">
        <v>0</v>
      </c>
      <c r="J61" t="n">
        <v>0</v>
      </c>
      <c r="K61" t="n">
        <v>0</v>
      </c>
      <c r="L61" t="n">
        <v>0</v>
      </c>
      <c r="M61" t="n">
        <v>0</v>
      </c>
      <c r="N61" t="n">
        <v>0</v>
      </c>
    </row>
    <row r="62">
      <c r="A62" t="inlineStr">
        <is>
          <t>King's court for Michaelmas term of the year ending 25 and beginning 26, and for the following Hilary, Easter and Trinity terms (1297-8)</t>
        </is>
      </c>
      <c r="B62" t="inlineStr">
        <is>
          <t>The same renders account for 1 shilling 8pence from Nicholas Wyncent and John Wyncent because they did not produce in court William de Lynch'.</t>
        </is>
      </c>
      <c r="C62" t="n">
        <v>0.08</v>
      </c>
      <c r="D62" t="n">
        <v>0</v>
      </c>
      <c r="E62" t="n">
        <v>1</v>
      </c>
      <c r="F62" t="n">
        <v>8</v>
      </c>
      <c r="H62" t="n">
        <v>0</v>
      </c>
      <c r="I62" t="n">
        <v>0</v>
      </c>
      <c r="J62" t="n">
        <v>0</v>
      </c>
      <c r="K62" t="n">
        <v>0</v>
      </c>
      <c r="L62" t="n">
        <v>0</v>
      </c>
      <c r="M62" t="n">
        <v>0</v>
      </c>
      <c r="N62" t="n">
        <v>0</v>
      </c>
    </row>
    <row r="63">
      <c r="A63" t="inlineStr">
        <is>
          <t>King's court for Michaelmas term of the year ending 25 and beginning 26, and for the following Hilary, Easter and Trinity terms (1297-8)</t>
        </is>
      </c>
      <c r="B63" t="inlineStr">
        <is>
          <t>1 shilling from John Wyncent, William Wyncent, Nicholas Wyncent and William Pakel because they did not produce in court John de Lynch'.</t>
        </is>
      </c>
      <c r="C63" t="n">
        <v>0.05</v>
      </c>
      <c r="D63" t="n">
        <v>0</v>
      </c>
      <c r="E63" t="n">
        <v>1</v>
      </c>
      <c r="F63" t="n">
        <v>0</v>
      </c>
      <c r="H63" t="n">
        <v>0</v>
      </c>
      <c r="I63" t="n">
        <v>0</v>
      </c>
      <c r="J63" t="n">
        <v>0</v>
      </c>
      <c r="K63" t="n">
        <v>0</v>
      </c>
      <c r="L63" t="n">
        <v>0</v>
      </c>
      <c r="M63" t="n">
        <v>0</v>
      </c>
      <c r="N63" t="n">
        <v>0</v>
      </c>
    </row>
    <row r="64">
      <c r="A64" t="inlineStr">
        <is>
          <t>King's court for Michaelmas term of the year ending 25 and beginning 26, and for the following Hilary, Easter and Trinity terms (1297-8)</t>
        </is>
      </c>
      <c r="B64" t="inlineStr">
        <is>
          <t>1 shilling 8pence from John de Wyntenesheye of Bradley and Simon Wuwyn' of Wield because they did not produce in court John Bouie.</t>
        </is>
      </c>
      <c r="C64" t="n">
        <v>0.08</v>
      </c>
      <c r="D64" t="n">
        <v>0</v>
      </c>
      <c r="E64" t="n">
        <v>1</v>
      </c>
      <c r="F64" t="n">
        <v>8</v>
      </c>
      <c r="H64" t="n">
        <v>0</v>
      </c>
      <c r="I64" t="n">
        <v>0</v>
      </c>
      <c r="J64" t="n">
        <v>0</v>
      </c>
      <c r="K64" t="n">
        <v>0</v>
      </c>
      <c r="L64" t="n">
        <v>0</v>
      </c>
      <c r="M64" t="n">
        <v>0</v>
      </c>
      <c r="N64" t="n">
        <v>0</v>
      </c>
    </row>
    <row r="65">
      <c r="A65" t="inlineStr">
        <is>
          <t>King's court for Michaelmas term of the year ending 25 and beginning 26, and for the following Hilary, Easter and Trinity terms (1297-8)</t>
        </is>
      </c>
      <c r="B65" t="inlineStr">
        <is>
          <t>1 shilling 8pence from Hugh son of Elewys and Robert, son of Andrew de Essefeld', because they did not produce in court Thomas Call'.</t>
        </is>
      </c>
      <c r="C65" t="n">
        <v>0.08</v>
      </c>
      <c r="D65" t="n">
        <v>0</v>
      </c>
      <c r="E65" t="n">
        <v>1</v>
      </c>
      <c r="F65" t="n">
        <v>8</v>
      </c>
      <c r="H65" t="n">
        <v>0</v>
      </c>
      <c r="I65" t="n">
        <v>0</v>
      </c>
      <c r="J65" t="n">
        <v>0</v>
      </c>
      <c r="K65" t="n">
        <v>0</v>
      </c>
      <c r="L65" t="n">
        <v>0</v>
      </c>
      <c r="M65" t="n">
        <v>0</v>
      </c>
      <c r="N65" t="n">
        <v>0</v>
      </c>
    </row>
    <row r="66">
      <c r="A66" t="inlineStr">
        <is>
          <t>King's court for Michaelmas term of the year ending 25 and beginning 26, and for the following Hilary, Easter and Trinity terms (1297-8)</t>
        </is>
      </c>
      <c r="B66" t="inlineStr">
        <is>
          <t>1 shilling 8pence from John Langurend' and John de la Hecch' because they did not produce in court Simon Wuwyn' whom they had pledged.</t>
        </is>
      </c>
      <c r="C66" t="n">
        <v>0.08</v>
      </c>
      <c r="D66" t="n">
        <v>0</v>
      </c>
      <c r="E66" t="n">
        <v>1</v>
      </c>
      <c r="F66" t="n">
        <v>8</v>
      </c>
      <c r="H66" t="n">
        <v>0</v>
      </c>
      <c r="I66" t="n">
        <v>0</v>
      </c>
      <c r="J66" t="n">
        <v>0</v>
      </c>
      <c r="K66" t="n">
        <v>0</v>
      </c>
      <c r="L66" t="n">
        <v>0</v>
      </c>
      <c r="M66" t="n">
        <v>0</v>
      </c>
      <c r="N66" t="n">
        <v>0</v>
      </c>
    </row>
    <row r="67">
      <c r="A67" t="inlineStr">
        <is>
          <t>King's court for Michaelmas term of the year ending 25 and beginning 26, and for the following Hilary, Easter and Trinity terms (1297-8)</t>
        </is>
      </c>
      <c r="B67" t="inlineStr">
        <is>
          <t>1 shilling 8pence from William le Carpentyr de Herlefeld' and Thomas Call' of Wield because they did not produce in court Robert de la Doun'.</t>
        </is>
      </c>
      <c r="C67" t="n">
        <v>0.08</v>
      </c>
      <c r="D67" t="n">
        <v>0</v>
      </c>
      <c r="E67" t="n">
        <v>1</v>
      </c>
      <c r="F67" t="n">
        <v>8</v>
      </c>
      <c r="H67" t="n">
        <v>0</v>
      </c>
      <c r="I67" t="n">
        <v>0</v>
      </c>
      <c r="J67" t="n">
        <v>0</v>
      </c>
      <c r="K67" t="n">
        <v>0</v>
      </c>
      <c r="L67" t="n">
        <v>0</v>
      </c>
      <c r="M67" t="n">
        <v>0</v>
      </c>
      <c r="N67" t="n">
        <v>0</v>
      </c>
    </row>
    <row r="68">
      <c r="A68" t="inlineStr">
        <is>
          <t>King's court for Michaelmas term of the year ending 25 and beginning 26, and for the following Hilary, Easter and Trinity terms (1297-8)</t>
        </is>
      </c>
      <c r="B68" t="inlineStr">
        <is>
          <t>1 shilling 8pence from Simon de la Lye and Benedict le Parmenter because they did not produce in court Gilbert Horsemayn.</t>
        </is>
      </c>
      <c r="C68" t="n">
        <v>0.08</v>
      </c>
      <c r="D68" t="n">
        <v>0</v>
      </c>
      <c r="E68" t="n">
        <v>1</v>
      </c>
      <c r="F68" t="n">
        <v>8</v>
      </c>
      <c r="H68" t="n">
        <v>0</v>
      </c>
      <c r="I68" t="n">
        <v>0</v>
      </c>
      <c r="J68" t="n">
        <v>0</v>
      </c>
      <c r="K68" t="n">
        <v>0</v>
      </c>
      <c r="L68" t="n">
        <v>0</v>
      </c>
      <c r="M68" t="n">
        <v>0</v>
      </c>
      <c r="N68" t="n">
        <v>0</v>
      </c>
    </row>
    <row r="69">
      <c r="A69" t="inlineStr">
        <is>
          <t>King's court for Michaelmas term of the year ending 25 and beginning 26, and for the following Hilary, Easter and Trinity terms (1297-8)</t>
        </is>
      </c>
      <c r="B69" t="inlineStr">
        <is>
          <t>1 shilling 8pence from John le Fughelar', John Clericus of Long Sutton, William Paghel, William Vincent of Long Sutton because they did not produce in court John de Lynch' whom they had bailepence Total, 12 shilling 8pence</t>
        </is>
      </c>
      <c r="C69" t="n">
        <v>0.08</v>
      </c>
      <c r="D69" t="n">
        <v>0</v>
      </c>
      <c r="E69" t="n">
        <v>1</v>
      </c>
      <c r="F69" t="n">
        <v>8</v>
      </c>
      <c r="H69" t="n">
        <v>0</v>
      </c>
      <c r="I69" t="n">
        <v>0</v>
      </c>
      <c r="J69" t="n">
        <v>0</v>
      </c>
      <c r="K69" t="n">
        <v>0</v>
      </c>
      <c r="L69" t="n">
        <v>0</v>
      </c>
      <c r="M69" t="n">
        <v>0</v>
      </c>
      <c r="N69" t="n">
        <v>0</v>
      </c>
    </row>
    <row r="70">
      <c r="A70" t="inlineStr">
        <is>
          <t>From Chancery in the year 28 (1300), from the charge of Robert de Herierd'</t>
        </is>
      </c>
      <c r="B70" t="inlineStr">
        <is>
          <t>6 shilling 8pence from Robert Burnel to have the writ `pone'.</t>
        </is>
      </c>
      <c r="C70" t="n">
        <v>0.33</v>
      </c>
      <c r="D70" t="n">
        <v>0</v>
      </c>
      <c r="E70" t="n">
        <v>6</v>
      </c>
      <c r="F70" t="n">
        <v>8</v>
      </c>
      <c r="H70" t="n">
        <v>0</v>
      </c>
      <c r="I70" t="n">
        <v>0</v>
      </c>
      <c r="J70" t="n">
        <v>0</v>
      </c>
      <c r="K70" t="n">
        <v>0</v>
      </c>
      <c r="L70" t="n">
        <v>0</v>
      </c>
      <c r="M70" t="n">
        <v>0</v>
      </c>
      <c r="N70" t="n">
        <v>0</v>
      </c>
    </row>
    <row r="71">
      <c r="A71" t="inlineStr">
        <is>
          <t>Also from chancery in the year 29 (1301), from the charge of Robert de Herierd'</t>
        </is>
      </c>
      <c r="B71" t="inlineStr">
        <is>
          <t>6 shilling 8pence from Richard de Sutton' of Overton to have a writ.</t>
        </is>
      </c>
      <c r="C71" t="n">
        <v>0.33</v>
      </c>
      <c r="D71" t="n">
        <v>0</v>
      </c>
      <c r="E71" t="n">
        <v>6</v>
      </c>
      <c r="F71" t="n">
        <v>8</v>
      </c>
      <c r="H71" t="n">
        <v>0</v>
      </c>
      <c r="I71" t="n">
        <v>0</v>
      </c>
      <c r="J71" t="n">
        <v>0</v>
      </c>
      <c r="K71" t="n">
        <v>0</v>
      </c>
      <c r="L71" t="n">
        <v>0</v>
      </c>
      <c r="M71" t="n">
        <v>0</v>
      </c>
      <c r="N71" t="n">
        <v>0</v>
      </c>
    </row>
    <row r="72">
      <c r="A72" t="inlineStr">
        <is>
          <t>Also from chancery in the year 29 (1301), from the charge of Robert de Herierd'</t>
        </is>
      </c>
      <c r="B72" t="inlineStr">
        <is>
          <t>0.5 mark from Richard le Porter to have a writ.</t>
        </is>
      </c>
      <c r="C72" t="n">
        <v>0</v>
      </c>
      <c r="D72" t="n">
        <v>0</v>
      </c>
      <c r="E72" t="n">
        <v>0</v>
      </c>
      <c r="F72" t="n">
        <v>0</v>
      </c>
      <c r="H72" t="n">
        <v>0</v>
      </c>
      <c r="I72" t="n">
        <v>0</v>
      </c>
      <c r="J72" t="n">
        <v>0</v>
      </c>
      <c r="K72" t="n">
        <v>0</v>
      </c>
      <c r="L72" t="n">
        <v>0</v>
      </c>
      <c r="M72" t="n">
        <v>0</v>
      </c>
      <c r="N72" t="n">
        <v>0</v>
      </c>
    </row>
    <row r="73">
      <c r="A73" t="inlineStr">
        <is>
          <t>Also from chancery in the year 29 (1301), from the charge of Robert de Herierd'</t>
        </is>
      </c>
      <c r="B73" t="inlineStr">
        <is>
          <t>Total, £1.</t>
        </is>
      </c>
      <c r="C73" t="n">
        <v>1</v>
      </c>
      <c r="D73" t="n">
        <v>1</v>
      </c>
      <c r="E73" t="n">
        <v>0</v>
      </c>
      <c r="F73" t="n">
        <v>0</v>
      </c>
      <c r="H73" t="n">
        <v>0</v>
      </c>
      <c r="I73" t="n">
        <v>0</v>
      </c>
      <c r="J73" t="n">
        <v>0</v>
      </c>
      <c r="K73" t="n">
        <v>0</v>
      </c>
      <c r="L73" t="n">
        <v>0</v>
      </c>
      <c r="M73" t="n">
        <v>0</v>
      </c>
      <c r="N73" t="n">
        <v>0</v>
      </c>
    </row>
    <row r="74">
      <c r="A74" t="inlineStr">
        <is>
          <t>From the eyre of R. de Roff' in the year 8 and the beginning of the year 9 (1280-1)</t>
        </is>
      </c>
      <c r="B74" t="inlineStr">
        <is>
          <t>3 shilling 4pence from Adam de Aldewyk' for contempt.</t>
        </is>
      </c>
      <c r="C74" t="n">
        <v>0.17</v>
      </c>
      <c r="D74" t="n">
        <v>0</v>
      </c>
      <c r="E74" t="n">
        <v>3</v>
      </c>
      <c r="F74" t="n">
        <v>4</v>
      </c>
      <c r="H74" t="n">
        <v>0</v>
      </c>
      <c r="I74" t="n">
        <v>0</v>
      </c>
      <c r="J74" t="n">
        <v>0</v>
      </c>
      <c r="K74" t="n">
        <v>0</v>
      </c>
      <c r="L74" t="n">
        <v>0</v>
      </c>
      <c r="M74" t="n">
        <v>0</v>
      </c>
      <c r="N74" t="n">
        <v>0</v>
      </c>
    </row>
    <row r="75">
      <c r="A75" t="inlineStr">
        <is>
          <t>From the eyre of R. de Roff' in the year 8 and the beginning of the year 9 (1280-1)</t>
        </is>
      </c>
      <c r="B75" t="inlineStr">
        <is>
          <t>Total, 3 shilling 4pence</t>
        </is>
      </c>
      <c r="C75" t="n">
        <v>0.17</v>
      </c>
      <c r="D75" t="n">
        <v>0</v>
      </c>
      <c r="E75" t="n">
        <v>3</v>
      </c>
      <c r="F75" t="n">
        <v>4</v>
      </c>
      <c r="H75" t="n">
        <v>0</v>
      </c>
      <c r="I75" t="n">
        <v>0</v>
      </c>
      <c r="J75" t="n">
        <v>0</v>
      </c>
      <c r="K75" t="n">
        <v>0</v>
      </c>
      <c r="L75" t="n">
        <v>0</v>
      </c>
      <c r="M75" t="n">
        <v>0</v>
      </c>
      <c r="N75" t="n">
        <v>0</v>
      </c>
    </row>
    <row r="76">
      <c r="A76" t="inlineStr">
        <is>
          <t>From the fines and amercements of Newgate gaol at the court of R. de Sandwyk' and his fellow justices in the years 24, 25, 26 and 27 (1296-9)</t>
        </is>
      </c>
      <c r="B76" t="inlineStr">
        <is>
          <t>The same renders account for' Richard de Frilend' because he did not come.</t>
        </is>
      </c>
      <c r="C76" t="n">
        <v>0</v>
      </c>
      <c r="D76" t="n">
        <v>0</v>
      </c>
      <c r="E76" t="n">
        <v>0</v>
      </c>
      <c r="F76" t="n">
        <v>0</v>
      </c>
      <c r="H76" t="n">
        <v>0</v>
      </c>
      <c r="I76" t="n">
        <v>0</v>
      </c>
      <c r="J76" t="n">
        <v>0</v>
      </c>
      <c r="K76" t="n">
        <v>0</v>
      </c>
      <c r="L76" t="n">
        <v>0</v>
      </c>
      <c r="M76" t="n">
        <v>0</v>
      </c>
      <c r="N76" t="n">
        <v>0</v>
      </c>
    </row>
    <row r="77">
      <c r="A77" t="inlineStr">
        <is>
          <t>From the fines and amercements of Newgate gaol at the court of R. de Sandwyk' and his fellow justices in the years 24, 25, 26 and 27 (1296-9)</t>
        </is>
      </c>
      <c r="B77" t="inlineStr">
        <is>
          <t>3 shilling 4pence from John Bulluk and Nicholas Cocus because they did not produce in court the said Richard.</t>
        </is>
      </c>
      <c r="C77" t="n">
        <v>0.17</v>
      </c>
      <c r="D77" t="n">
        <v>0</v>
      </c>
      <c r="E77" t="n">
        <v>3</v>
      </c>
      <c r="F77" t="n">
        <v>4</v>
      </c>
      <c r="H77" t="n">
        <v>0</v>
      </c>
      <c r="I77" t="n">
        <v>0</v>
      </c>
      <c r="J77" t="n">
        <v>0</v>
      </c>
      <c r="K77" t="n">
        <v>0</v>
      </c>
      <c r="L77" t="n">
        <v>0</v>
      </c>
      <c r="M77" t="n">
        <v>0</v>
      </c>
      <c r="N77" t="n">
        <v>0</v>
      </c>
    </row>
    <row r="78">
      <c r="A78" t="inlineStr">
        <is>
          <t>From the fines and amercements of Newgate gaol at the court of R. de Sandwyk' and his fellow justices in the years 24, 25, 26 and 27 (1296-9)</t>
        </is>
      </c>
      <c r="B78" t="inlineStr">
        <is>
          <t>1 shilling 8pence from John de Lynch' because he did not come.</t>
        </is>
      </c>
      <c r="C78" t="n">
        <v>0.08</v>
      </c>
      <c r="D78" t="n">
        <v>0</v>
      </c>
      <c r="E78" t="n">
        <v>1</v>
      </c>
      <c r="F78" t="n">
        <v>8</v>
      </c>
      <c r="H78" t="n">
        <v>0</v>
      </c>
      <c r="I78" t="n">
        <v>0</v>
      </c>
      <c r="J78" t="n">
        <v>0</v>
      </c>
      <c r="K78" t="n">
        <v>0</v>
      </c>
      <c r="L78" t="n">
        <v>0</v>
      </c>
      <c r="M78" t="n">
        <v>0</v>
      </c>
      <c r="N78" t="n">
        <v>0</v>
      </c>
    </row>
    <row r="79">
      <c r="A79" t="inlineStr">
        <is>
          <t>From the fines and amercements of Newgate gaol at the court of R. de Sandwyk' and his fellow justices in the years 24, 25, 26 and 27 (1296-9)</t>
        </is>
      </c>
      <c r="B79" t="inlineStr">
        <is>
          <t>3 shilling 4pence from John Germayn and John ate Gate because they did not produce in court the said John whom they had bailed.</t>
        </is>
      </c>
      <c r="C79" t="n">
        <v>0.17</v>
      </c>
      <c r="D79" t="n">
        <v>0</v>
      </c>
      <c r="E79" t="n">
        <v>3</v>
      </c>
      <c r="F79" t="n">
        <v>4</v>
      </c>
      <c r="H79" t="n">
        <v>0</v>
      </c>
      <c r="I79" t="n">
        <v>0</v>
      </c>
      <c r="J79" t="n">
        <v>0</v>
      </c>
      <c r="K79" t="n">
        <v>0</v>
      </c>
      <c r="L79" t="n">
        <v>0</v>
      </c>
      <c r="M79" t="n">
        <v>0</v>
      </c>
      <c r="N79" t="n">
        <v>0</v>
      </c>
    </row>
    <row r="80">
      <c r="A80" t="inlineStr">
        <is>
          <t>From the fines and amercements of Newgate gaol at the court of R. de Sandwyk' and his fellow justices in the years 24, 25, 26 and 27 (1296-9)</t>
        </is>
      </c>
      <c r="B80" t="inlineStr">
        <is>
          <t>1 shilling 8pence from Richard de Midlinigiton' because he did not come.</t>
        </is>
      </c>
      <c r="C80" t="n">
        <v>0.08</v>
      </c>
      <c r="D80" t="n">
        <v>0</v>
      </c>
      <c r="E80" t="n">
        <v>1</v>
      </c>
      <c r="F80" t="n">
        <v>8</v>
      </c>
      <c r="H80" t="n">
        <v>0</v>
      </c>
      <c r="I80" t="n">
        <v>0</v>
      </c>
      <c r="J80" t="n">
        <v>0</v>
      </c>
      <c r="K80" t="n">
        <v>0</v>
      </c>
      <c r="L80" t="n">
        <v>0</v>
      </c>
      <c r="M80" t="n">
        <v>0</v>
      </c>
      <c r="N80" t="n">
        <v>0</v>
      </c>
    </row>
    <row r="81">
      <c r="A81" t="inlineStr">
        <is>
          <t>From the fines and amercements of Newgate gaol at the court of R. de Sandwyk' and his fellow justices in the years 24, 25, 26 and 27 (1296-9)</t>
        </is>
      </c>
      <c r="B81" t="inlineStr">
        <is>
          <t>2 shilling from Peter le Ryd' and William Herberd because they did not produce in court the said Richard.</t>
        </is>
      </c>
      <c r="C81" t="n">
        <v>0.1</v>
      </c>
      <c r="D81" t="n">
        <v>0</v>
      </c>
      <c r="E81" t="n">
        <v>2</v>
      </c>
      <c r="F81" t="n">
        <v>0</v>
      </c>
      <c r="H81" t="n">
        <v>0</v>
      </c>
      <c r="I81" t="n">
        <v>0</v>
      </c>
      <c r="J81" t="n">
        <v>0</v>
      </c>
      <c r="K81" t="n">
        <v>0</v>
      </c>
      <c r="L81" t="n">
        <v>0</v>
      </c>
      <c r="M81" t="n">
        <v>0</v>
      </c>
      <c r="N81" t="n">
        <v>0</v>
      </c>
    </row>
    <row r="82">
      <c r="A82" t="inlineStr">
        <is>
          <t>From the fines and amercements of Newgate gaol at the court of R. de Sandwyk' and his fellow justices in the years 24, 25, 26 and 27 (1296-9)</t>
        </is>
      </c>
      <c r="B82" t="inlineStr">
        <is>
          <t>1 shilling 8pence from William de la Den' because he did not come.</t>
        </is>
      </c>
      <c r="C82" t="n">
        <v>0.08</v>
      </c>
      <c r="D82" t="n">
        <v>0</v>
      </c>
      <c r="E82" t="n">
        <v>1</v>
      </c>
      <c r="F82" t="n">
        <v>8</v>
      </c>
      <c r="H82" t="n">
        <v>0</v>
      </c>
      <c r="I82" t="n">
        <v>0</v>
      </c>
      <c r="J82" t="n">
        <v>0</v>
      </c>
      <c r="K82" t="n">
        <v>0</v>
      </c>
      <c r="L82" t="n">
        <v>0</v>
      </c>
      <c r="M82" t="n">
        <v>0</v>
      </c>
      <c r="N82" t="n">
        <v>0</v>
      </c>
    </row>
    <row r="83">
      <c r="A83" t="inlineStr">
        <is>
          <t>From the fines and amercements of Newgate gaol at the court of R. de Sandwyk' and his fellow justices in the years 24, 25, 26 and 27 (1296-9)</t>
        </is>
      </c>
      <c r="B83" t="inlineStr">
        <is>
          <t>2 shilling from Henry Wormere and Thomas Cachefrench because they did not produce in court the said William.</t>
        </is>
      </c>
      <c r="C83" t="n">
        <v>0.1</v>
      </c>
      <c r="D83" t="n">
        <v>0</v>
      </c>
      <c r="E83" t="n">
        <v>2</v>
      </c>
      <c r="F83" t="n">
        <v>0</v>
      </c>
      <c r="H83" t="n">
        <v>0</v>
      </c>
      <c r="I83" t="n">
        <v>0</v>
      </c>
      <c r="J83" t="n">
        <v>0</v>
      </c>
      <c r="K83" t="n">
        <v>0</v>
      </c>
      <c r="L83" t="n">
        <v>0</v>
      </c>
      <c r="M83" t="n">
        <v>0</v>
      </c>
      <c r="N83" t="n">
        <v>0</v>
      </c>
    </row>
    <row r="84">
      <c r="A84" t="inlineStr">
        <is>
          <t>From the fines and amercements of Newgate gaol at the court of R. de Sandwyk' and his fellow justices in the years 24, 25, 26 and 27 (1296-9)</t>
        </is>
      </c>
      <c r="B84" t="inlineStr">
        <is>
          <t>2 shilling from William Houdy and Robert ate Mere because they did not produce in court.</t>
        </is>
      </c>
      <c r="C84" t="n">
        <v>0.1</v>
      </c>
      <c r="D84" t="n">
        <v>0</v>
      </c>
      <c r="E84" t="n">
        <v>2</v>
      </c>
      <c r="F84" t="n">
        <v>0</v>
      </c>
      <c r="H84" t="n">
        <v>0</v>
      </c>
      <c r="I84" t="n">
        <v>0</v>
      </c>
      <c r="J84" t="n">
        <v>0</v>
      </c>
      <c r="K84" t="n">
        <v>0</v>
      </c>
      <c r="L84" t="n">
        <v>0</v>
      </c>
      <c r="M84" t="n">
        <v>0</v>
      </c>
      <c r="N84" t="n">
        <v>0</v>
      </c>
    </row>
    <row r="85">
      <c r="A85" t="inlineStr">
        <is>
          <t>From the fines and amercements of Newgate gaol at the court of R. de Sandwyk' and his fellow justices in the years 24, 25, 26 and 27 (1296-9)</t>
        </is>
      </c>
      <c r="B85" t="inlineStr">
        <is>
          <t>1 shilling 8pence from Robert la Beche because he did not come.</t>
        </is>
      </c>
      <c r="C85" t="n">
        <v>0.08</v>
      </c>
      <c r="D85" t="n">
        <v>0</v>
      </c>
      <c r="E85" t="n">
        <v>1</v>
      </c>
      <c r="F85" t="n">
        <v>8</v>
      </c>
      <c r="H85" t="n">
        <v>0</v>
      </c>
      <c r="I85" t="n">
        <v>0</v>
      </c>
      <c r="J85" t="n">
        <v>0</v>
      </c>
      <c r="K85" t="n">
        <v>0</v>
      </c>
      <c r="L85" t="n">
        <v>0</v>
      </c>
      <c r="M85" t="n">
        <v>0</v>
      </c>
      <c r="N85" t="n">
        <v>0</v>
      </c>
    </row>
    <row r="86">
      <c r="A86" t="inlineStr">
        <is>
          <t>From the fines and amercements of Newgate gaol at the court of R. de Sandwyk' and his fellow justices in the years 24, 25, 26 and 27 (1296-9)</t>
        </is>
      </c>
      <c r="B86" t="inlineStr">
        <is>
          <t>Total, £1 1 shilling</t>
        </is>
      </c>
      <c r="C86" t="n">
        <v>1.05</v>
      </c>
      <c r="D86" t="n">
        <v>1</v>
      </c>
      <c r="E86" t="n">
        <v>1</v>
      </c>
      <c r="F86" t="n">
        <v>0</v>
      </c>
      <c r="H86" t="n">
        <v>0</v>
      </c>
      <c r="I86" t="n">
        <v>0</v>
      </c>
      <c r="J86" t="n">
        <v>0</v>
      </c>
      <c r="K86" t="n">
        <v>0</v>
      </c>
      <c r="L86" t="n">
        <v>0</v>
      </c>
      <c r="M86" t="n">
        <v>0</v>
      </c>
      <c r="N86" t="n">
        <v>0</v>
      </c>
    </row>
    <row r="87">
      <c r="A87" t="inlineStr">
        <is>
          <t>Money of the king from Chancery in the year 29 Edward I (1301)</t>
        </is>
      </c>
      <c r="B87" t="inlineStr">
        <is>
          <t>The same renders account for 6 shilling 8pence from Joan, who was wife of William de Castr', Ralph William, and Richard, son of the same Joan, to have the writ `pone'.</t>
        </is>
      </c>
      <c r="C87" t="n">
        <v>0.33</v>
      </c>
      <c r="D87" t="n">
        <v>0</v>
      </c>
      <c r="E87" t="n">
        <v>6</v>
      </c>
      <c r="F87" t="n">
        <v>8</v>
      </c>
      <c r="H87" t="n">
        <v>0</v>
      </c>
      <c r="I87" t="n">
        <v>0</v>
      </c>
      <c r="J87" t="n">
        <v>0</v>
      </c>
      <c r="K87" t="n">
        <v>0</v>
      </c>
      <c r="L87" t="n">
        <v>0</v>
      </c>
      <c r="M87" t="n">
        <v>0</v>
      </c>
      <c r="N87" t="n">
        <v>0</v>
      </c>
    </row>
    <row r="88">
      <c r="A88" t="inlineStr">
        <is>
          <t>Court of J. de Metingham and his fellow justices of the Bench at Michaelmas term in the year 28, and the fines and issues from the Bench at Hilary term in the year 29 (1300-1)</t>
        </is>
      </c>
      <c r="B88" t="inlineStr">
        <is>
          <t>The same renders account for 3 shilling 4pence from the issue of the land of Joan de Colrych' outside the manor (for').</t>
        </is>
      </c>
      <c r="C88" t="n">
        <v>0.17</v>
      </c>
      <c r="D88" t="n">
        <v>0</v>
      </c>
      <c r="E88" t="n">
        <v>3</v>
      </c>
      <c r="F88" t="n">
        <v>4</v>
      </c>
      <c r="H88" t="n">
        <v>0</v>
      </c>
      <c r="I88" t="n">
        <v>0</v>
      </c>
      <c r="J88" t="n">
        <v>0</v>
      </c>
      <c r="K88" t="n">
        <v>0</v>
      </c>
      <c r="L88" t="n">
        <v>0</v>
      </c>
      <c r="M88" t="n">
        <v>0</v>
      </c>
      <c r="N88" t="n">
        <v>0</v>
      </c>
    </row>
    <row r="89">
      <c r="A89" t="inlineStr">
        <is>
          <t>Court of J. de Metingham and his fellow justices of the Bench at Michaelmas term in the year 28, and the fines and issues from the Bench at Hilary term in the year 29 (1300-1)</t>
        </is>
      </c>
      <c r="B89" t="inlineStr">
        <is>
          <t>1 shilling 8pence from the issue of the land of William, son of Laurence de London.</t>
        </is>
      </c>
      <c r="C89" t="n">
        <v>0.08</v>
      </c>
      <c r="D89" t="n">
        <v>0</v>
      </c>
      <c r="E89" t="n">
        <v>1</v>
      </c>
      <c r="F89" t="n">
        <v>8</v>
      </c>
      <c r="H89" t="n">
        <v>0</v>
      </c>
      <c r="I89" t="n">
        <v>0</v>
      </c>
      <c r="J89" t="n">
        <v>0</v>
      </c>
      <c r="K89" t="n">
        <v>0</v>
      </c>
      <c r="L89" t="n">
        <v>0</v>
      </c>
      <c r="M89" t="n">
        <v>0</v>
      </c>
      <c r="N89" t="n">
        <v>0</v>
      </c>
    </row>
    <row r="90">
      <c r="A90" t="inlineStr">
        <is>
          <t>Court of J. de Metingham and his fellow justices of the Bench at Michaelmas term in the year 28, and the fines and issues from the Bench at Hilary term in the year 29 (1300-1)</t>
        </is>
      </c>
      <c r="B90" t="inlineStr">
        <is>
          <t>1 shilling 8pence from the issue of the land of Walter de Durneford'.</t>
        </is>
      </c>
      <c r="C90" t="n">
        <v>0.08</v>
      </c>
      <c r="D90" t="n">
        <v>0</v>
      </c>
      <c r="E90" t="n">
        <v>1</v>
      </c>
      <c r="F90" t="n">
        <v>8</v>
      </c>
      <c r="H90" t="n">
        <v>0</v>
      </c>
      <c r="I90" t="n">
        <v>0</v>
      </c>
      <c r="J90" t="n">
        <v>0</v>
      </c>
      <c r="K90" t="n">
        <v>0</v>
      </c>
      <c r="L90" t="n">
        <v>0</v>
      </c>
      <c r="M90" t="n">
        <v>0</v>
      </c>
      <c r="N90" t="n">
        <v>0</v>
      </c>
    </row>
    <row r="91">
      <c r="A91" t="inlineStr">
        <is>
          <t>Court of J. de Metingham and his fellow justices of the Bench at Michaelmas term in the year 28, and the fines and issues from the Bench at Hilary term in the year 29 (1300-1)</t>
        </is>
      </c>
      <c r="B91" t="inlineStr">
        <is>
          <t>3 shilling 4pence from the issue of the land of John de Lynch'.</t>
        </is>
      </c>
      <c r="C91" t="n">
        <v>0.17</v>
      </c>
      <c r="D91" t="n">
        <v>0</v>
      </c>
      <c r="E91" t="n">
        <v>3</v>
      </c>
      <c r="F91" t="n">
        <v>4</v>
      </c>
      <c r="H91" t="n">
        <v>0</v>
      </c>
      <c r="I91" t="n">
        <v>0</v>
      </c>
      <c r="J91" t="n">
        <v>0</v>
      </c>
      <c r="K91" t="n">
        <v>0</v>
      </c>
      <c r="L91" t="n">
        <v>0</v>
      </c>
      <c r="M91" t="n">
        <v>0</v>
      </c>
      <c r="N91" t="n">
        <v>0</v>
      </c>
    </row>
    <row r="92">
      <c r="A92" t="inlineStr">
        <is>
          <t>Court of J. de Metingham and his fellow justices of the Bench at Michaelmas term in the year 28, and the fines and issues from the Bench at Hilary term in the year 29 (1300-1)</t>
        </is>
      </c>
      <c r="B92" t="inlineStr">
        <is>
          <t>6 shilling 8pence from the issue of the land of Walter de Demeford'.</t>
        </is>
      </c>
      <c r="C92" t="n">
        <v>0.33</v>
      </c>
      <c r="D92" t="n">
        <v>0</v>
      </c>
      <c r="E92" t="n">
        <v>6</v>
      </c>
      <c r="F92" t="n">
        <v>8</v>
      </c>
      <c r="H92" t="n">
        <v>0</v>
      </c>
      <c r="I92" t="n">
        <v>0</v>
      </c>
      <c r="J92" t="n">
        <v>0</v>
      </c>
      <c r="K92" t="n">
        <v>0</v>
      </c>
      <c r="L92" t="n">
        <v>0</v>
      </c>
      <c r="M92" t="n">
        <v>0</v>
      </c>
      <c r="N92" t="n">
        <v>0</v>
      </c>
    </row>
    <row r="93">
      <c r="A93" t="inlineStr">
        <is>
          <t>Court of J. de Metingham and his fellow justices of the Bench at Michaelmas term in the year 28, and the fines and issues from the Bench at Hilary term in the year 29 (1300-1)</t>
        </is>
      </c>
      <c r="B93" t="inlineStr">
        <is>
          <t>Total, £1 3 shilling 4pence</t>
        </is>
      </c>
      <c r="C93" t="n">
        <v>1.17</v>
      </c>
      <c r="D93" t="n">
        <v>1</v>
      </c>
      <c r="E93" t="n">
        <v>3</v>
      </c>
      <c r="F93" t="n">
        <v>4</v>
      </c>
      <c r="H93" t="n">
        <v>0</v>
      </c>
      <c r="I93" t="n">
        <v>0</v>
      </c>
      <c r="J93" t="n">
        <v>0</v>
      </c>
      <c r="K93" t="n">
        <v>0</v>
      </c>
      <c r="L93" t="n">
        <v>0</v>
      </c>
      <c r="M93" t="n">
        <v>0</v>
      </c>
      <c r="N93" t="n">
        <v>0</v>
      </c>
    </row>
    <row r="94">
      <c r="A94" t="inlineStr">
        <is>
          <t>Court of the Barons of the Exchequer for the execution of writs for the king in the year 29 (1301)</t>
        </is>
      </c>
      <c r="B94" t="inlineStr">
        <is>
          <t>The same renders account for 1 shilling from the issue of the land of John Pelrym outside the manor.</t>
        </is>
      </c>
      <c r="C94" t="n">
        <v>0.05</v>
      </c>
      <c r="D94" t="n">
        <v>0</v>
      </c>
      <c r="E94" t="n">
        <v>1</v>
      </c>
      <c r="F94" t="n">
        <v>0</v>
      </c>
      <c r="H94" t="n">
        <v>0</v>
      </c>
      <c r="I94" t="n">
        <v>0</v>
      </c>
      <c r="J94" t="n">
        <v>0</v>
      </c>
      <c r="K94" t="n">
        <v>0</v>
      </c>
      <c r="L94" t="n">
        <v>0</v>
      </c>
      <c r="M94" t="n">
        <v>0</v>
      </c>
      <c r="N94" t="n">
        <v>0</v>
      </c>
    </row>
    <row r="95">
      <c r="A95" t="inlineStr">
        <is>
          <t>Court of the Barons of the Exchequer for the execution of writs for the king in the year 29 (1301)</t>
        </is>
      </c>
      <c r="B95" t="inlineStr">
        <is>
          <t>1 shilling from the issue of the land of Thomas Laurence.</t>
        </is>
      </c>
      <c r="C95" t="n">
        <v>0.05</v>
      </c>
      <c r="D95" t="n">
        <v>0</v>
      </c>
      <c r="E95" t="n">
        <v>1</v>
      </c>
      <c r="F95" t="n">
        <v>0</v>
      </c>
      <c r="H95" t="n">
        <v>0</v>
      </c>
      <c r="I95" t="n">
        <v>0</v>
      </c>
      <c r="J95" t="n">
        <v>0</v>
      </c>
      <c r="K95" t="n">
        <v>0</v>
      </c>
      <c r="L95" t="n">
        <v>0</v>
      </c>
      <c r="M95" t="n">
        <v>0</v>
      </c>
      <c r="N95" t="n">
        <v>0</v>
      </c>
    </row>
    <row r="96">
      <c r="A96" t="inlineStr">
        <is>
          <t>Court of the Barons of the Exchequer for the execution of writs for the king in the year 29 (1301)</t>
        </is>
      </c>
      <c r="B96" t="inlineStr">
        <is>
          <t>1 shilling from the issue of the land of William Laurence.</t>
        </is>
      </c>
      <c r="C96" t="n">
        <v>0.05</v>
      </c>
      <c r="D96" t="n">
        <v>0</v>
      </c>
      <c r="E96" t="n">
        <v>1</v>
      </c>
      <c r="F96" t="n">
        <v>0</v>
      </c>
      <c r="H96" t="n">
        <v>0</v>
      </c>
      <c r="I96" t="n">
        <v>0</v>
      </c>
      <c r="J96" t="n">
        <v>0</v>
      </c>
      <c r="K96" t="n">
        <v>0</v>
      </c>
      <c r="L96" t="n">
        <v>0</v>
      </c>
      <c r="M96" t="n">
        <v>0</v>
      </c>
      <c r="N96" t="n">
        <v>0</v>
      </c>
    </row>
    <row r="97">
      <c r="A97" t="inlineStr">
        <is>
          <t>Court of the Barons of the Exchequer for the execution of writs for the king in the year 29 (1301)</t>
        </is>
      </c>
      <c r="B97" t="inlineStr">
        <is>
          <t>1 shilling 8pence from the issue of the land of Thomas Laurence at Hilary term.</t>
        </is>
      </c>
      <c r="C97" t="n">
        <v>0.08</v>
      </c>
      <c r="D97" t="n">
        <v>0</v>
      </c>
      <c r="E97" t="n">
        <v>1</v>
      </c>
      <c r="F97" t="n">
        <v>8</v>
      </c>
      <c r="H97" t="n">
        <v>0</v>
      </c>
      <c r="I97" t="n">
        <v>0</v>
      </c>
      <c r="J97" t="n">
        <v>0</v>
      </c>
      <c r="K97" t="n">
        <v>0</v>
      </c>
      <c r="L97" t="n">
        <v>0</v>
      </c>
      <c r="M97" t="n">
        <v>0</v>
      </c>
      <c r="N97" t="n">
        <v>0</v>
      </c>
    </row>
    <row r="98">
      <c r="A98" t="inlineStr">
        <is>
          <t>Court of the Barons of the Exchequer for the execution of writs for the king in the year 29 (1301)</t>
        </is>
      </c>
      <c r="B98" t="inlineStr">
        <is>
          <t>6 shilling 8pence from the issue of the land of Alan, son and heir of Alan Plukenet.</t>
        </is>
      </c>
      <c r="C98" t="n">
        <v>0.33</v>
      </c>
      <c r="D98" t="n">
        <v>0</v>
      </c>
      <c r="E98" t="n">
        <v>6</v>
      </c>
      <c r="F98" t="n">
        <v>8</v>
      </c>
      <c r="H98" t="n">
        <v>0</v>
      </c>
      <c r="I98" t="n">
        <v>0</v>
      </c>
      <c r="J98" t="n">
        <v>0</v>
      </c>
      <c r="K98" t="n">
        <v>0</v>
      </c>
      <c r="L98" t="n">
        <v>0</v>
      </c>
      <c r="M98" t="n">
        <v>0</v>
      </c>
      <c r="N98" t="n">
        <v>0</v>
      </c>
    </row>
    <row r="99">
      <c r="A99" t="inlineStr">
        <is>
          <t>From the Bench in the year 26 and the beginning of the. year 27 (1298-9)</t>
        </is>
      </c>
      <c r="B99" t="inlineStr">
        <is>
          <t>1 shilling from the issue of the land of John atte Lynch'.</t>
        </is>
      </c>
      <c r="C99" t="n">
        <v>0.05</v>
      </c>
      <c r="D99" t="n">
        <v>0</v>
      </c>
      <c r="E99" t="n">
        <v>1</v>
      </c>
      <c r="F99" t="n">
        <v>0</v>
      </c>
      <c r="H99" t="n">
        <v>0</v>
      </c>
      <c r="I99" t="n">
        <v>0</v>
      </c>
      <c r="J99" t="n">
        <v>0</v>
      </c>
      <c r="K99" t="n">
        <v>0</v>
      </c>
      <c r="L99" t="n">
        <v>0</v>
      </c>
      <c r="M99" t="n">
        <v>0</v>
      </c>
      <c r="N99" t="n">
        <v>0</v>
      </c>
    </row>
    <row r="100">
      <c r="A100" t="inlineStr">
        <is>
          <t>From the Bench in the year 26 and the beginning of the. year 27 (1298-9)</t>
        </is>
      </c>
      <c r="B100" t="inlineStr">
        <is>
          <t>Total, £1 17 shilling 8pence</t>
        </is>
      </c>
      <c r="C100" t="n">
        <v>1.88</v>
      </c>
      <c r="D100" t="n">
        <v>1</v>
      </c>
      <c r="E100" t="n">
        <v>17</v>
      </c>
      <c r="F100" t="n">
        <v>8</v>
      </c>
      <c r="H100" t="n">
        <v>0</v>
      </c>
      <c r="I100" t="n">
        <v>0</v>
      </c>
      <c r="J100" t="n">
        <v>0</v>
      </c>
      <c r="K100" t="n">
        <v>0</v>
      </c>
      <c r="L100" t="n">
        <v>0</v>
      </c>
      <c r="M100" t="n">
        <v>0</v>
      </c>
      <c r="N100" t="n">
        <v>0</v>
      </c>
    </row>
    <row r="101">
      <c r="A101" t="inlineStr">
        <is>
          <t>Court of Roger de Brabazun and his fellow justices holding the pleas of the court of king's pleas at Michaelmas term in the year ending 27 and beginning 28, and the following terms (1299-1300)</t>
        </is>
      </c>
      <c r="B101" t="inlineStr">
        <is>
          <t>The same renders account for 3 shilling 4pence from the issue of the land of Nicholas de Langrissch' outside the manor.</t>
        </is>
      </c>
      <c r="C101" t="n">
        <v>0.17</v>
      </c>
      <c r="D101" t="n">
        <v>0</v>
      </c>
      <c r="E101" t="n">
        <v>3</v>
      </c>
      <c r="F101" t="n">
        <v>4</v>
      </c>
      <c r="H101" t="n">
        <v>0</v>
      </c>
      <c r="I101" t="n">
        <v>0</v>
      </c>
      <c r="J101" t="n">
        <v>0</v>
      </c>
      <c r="K101" t="n">
        <v>0</v>
      </c>
      <c r="L101" t="n">
        <v>0</v>
      </c>
      <c r="M101" t="n">
        <v>0</v>
      </c>
      <c r="N101" t="n">
        <v>0</v>
      </c>
    </row>
    <row r="102">
      <c r="A102" t="inlineStr">
        <is>
          <t>Court of Roger de Brabazun and his fellow justices holding the pleas of the court of king's pleas at Michaelmas term in the year ending 27 and beginning 28, and the following terms (1299-1300)</t>
        </is>
      </c>
      <c r="B102" t="inlineStr">
        <is>
          <t>1 shilling 8pence from the issue of the land of Nicholas de Langrissch'.</t>
        </is>
      </c>
      <c r="C102" t="n">
        <v>0.08</v>
      </c>
      <c r="D102" t="n">
        <v>0</v>
      </c>
      <c r="E102" t="n">
        <v>1</v>
      </c>
      <c r="F102" t="n">
        <v>8</v>
      </c>
      <c r="H102" t="n">
        <v>0</v>
      </c>
      <c r="I102" t="n">
        <v>0</v>
      </c>
      <c r="J102" t="n">
        <v>0</v>
      </c>
      <c r="K102" t="n">
        <v>0</v>
      </c>
      <c r="L102" t="n">
        <v>0</v>
      </c>
      <c r="M102" t="n">
        <v>0</v>
      </c>
      <c r="N102" t="n">
        <v>0</v>
      </c>
    </row>
    <row r="103">
      <c r="A103" t="inlineStr">
        <is>
          <t>Court of Roger de Brabazun and his fellow justices holding the pleas of the court of king's pleas at Michaelmas term in the year ending 27 and beginning 28, and the following terms (1299-1300)</t>
        </is>
      </c>
      <c r="B103" t="inlineStr">
        <is>
          <t>1 shilling 8pence from the issue of the land of Philip de Denemed' outside the manor.</t>
        </is>
      </c>
      <c r="C103" t="n">
        <v>0.08</v>
      </c>
      <c r="D103" t="n">
        <v>0</v>
      </c>
      <c r="E103" t="n">
        <v>1</v>
      </c>
      <c r="F103" t="n">
        <v>8</v>
      </c>
      <c r="H103" t="n">
        <v>0</v>
      </c>
      <c r="I103" t="n">
        <v>0</v>
      </c>
      <c r="J103" t="n">
        <v>0</v>
      </c>
      <c r="K103" t="n">
        <v>0</v>
      </c>
      <c r="L103" t="n">
        <v>0</v>
      </c>
      <c r="M103" t="n">
        <v>0</v>
      </c>
      <c r="N103" t="n">
        <v>0</v>
      </c>
    </row>
    <row r="104">
      <c r="A104" t="inlineStr">
        <is>
          <t>Court of Roger de Brabazun and his fellow justices holding the pleas of the court of king's pleas at Michaelmas term in the year ending 27 and beginning 28, and the following terms (1299-1300)</t>
        </is>
      </c>
      <c r="B104" t="inlineStr">
        <is>
          <t>Total, 6 shilling 8pence</t>
        </is>
      </c>
      <c r="C104" t="n">
        <v>0.33</v>
      </c>
      <c r="D104" t="n">
        <v>0</v>
      </c>
      <c r="E104" t="n">
        <v>6</v>
      </c>
      <c r="F104" t="n">
        <v>8</v>
      </c>
      <c r="H104" t="n">
        <v>0</v>
      </c>
      <c r="I104" t="n">
        <v>0</v>
      </c>
      <c r="J104" t="n">
        <v>0</v>
      </c>
      <c r="K104" t="n">
        <v>0</v>
      </c>
      <c r="L104" t="n">
        <v>0</v>
      </c>
      <c r="M104" t="n">
        <v>0</v>
      </c>
      <c r="N104" t="n">
        <v>0</v>
      </c>
    </row>
    <row r="105">
      <c r="A105" t="inlineStr">
        <is>
          <t xml:space="preserve">Court of the same justices in the year ending 28 and beginning 29 (1300-1) </t>
        </is>
      </c>
      <c r="B105" t="inlineStr">
        <is>
          <t>The same renders account for 1 shilling from the issue of the land of Philip de Denemed' outside the manor.</t>
        </is>
      </c>
      <c r="C105" t="n">
        <v>0.05</v>
      </c>
      <c r="D105" t="n">
        <v>0</v>
      </c>
      <c r="E105" t="n">
        <v>1</v>
      </c>
      <c r="F105" t="n">
        <v>0</v>
      </c>
      <c r="H105" t="n">
        <v>0</v>
      </c>
      <c r="I105" t="n">
        <v>0</v>
      </c>
      <c r="J105" t="n">
        <v>0</v>
      </c>
      <c r="K105" t="n">
        <v>0</v>
      </c>
      <c r="L105" t="n">
        <v>0</v>
      </c>
      <c r="M105" t="n">
        <v>0</v>
      </c>
      <c r="N105" t="n">
        <v>0</v>
      </c>
    </row>
    <row r="106">
      <c r="A106" t="inlineStr">
        <is>
          <t xml:space="preserve">Court of the same justices in the year ending 28 and beginning 29 (1300-1) </t>
        </is>
      </c>
      <c r="B106" t="inlineStr">
        <is>
          <t>1 shilling 8pence from the issue of the land of Nicholas de Langrissch' outside the manor.</t>
        </is>
      </c>
      <c r="C106" t="n">
        <v>0.08</v>
      </c>
      <c r="D106" t="n">
        <v>0</v>
      </c>
      <c r="E106" t="n">
        <v>1</v>
      </c>
      <c r="F106" t="n">
        <v>8</v>
      </c>
      <c r="H106" t="n">
        <v>0</v>
      </c>
      <c r="I106" t="n">
        <v>0</v>
      </c>
      <c r="J106" t="n">
        <v>0</v>
      </c>
      <c r="K106" t="n">
        <v>0</v>
      </c>
      <c r="L106" t="n">
        <v>0</v>
      </c>
      <c r="M106" t="n">
        <v>0</v>
      </c>
      <c r="N106" t="n">
        <v>0</v>
      </c>
    </row>
    <row r="107">
      <c r="A107" t="inlineStr">
        <is>
          <t xml:space="preserve">Court of the same justices in the year ending 28 and beginning 29 (1300-1) </t>
        </is>
      </c>
      <c r="B107" t="inlineStr">
        <is>
          <t>1 shilling 8pence from the issue of the land of Philip de Denemed' outside the manor.</t>
        </is>
      </c>
      <c r="C107" t="n">
        <v>0.08</v>
      </c>
      <c r="D107" t="n">
        <v>0</v>
      </c>
      <c r="E107" t="n">
        <v>1</v>
      </c>
      <c r="F107" t="n">
        <v>8</v>
      </c>
      <c r="H107" t="n">
        <v>0</v>
      </c>
      <c r="I107" t="n">
        <v>0</v>
      </c>
      <c r="J107" t="n">
        <v>0</v>
      </c>
      <c r="K107" t="n">
        <v>0</v>
      </c>
      <c r="L107" t="n">
        <v>0</v>
      </c>
      <c r="M107" t="n">
        <v>0</v>
      </c>
      <c r="N107" t="n">
        <v>0</v>
      </c>
    </row>
    <row r="108">
      <c r="A108" t="inlineStr">
        <is>
          <t xml:space="preserve">Court of the same justices in the year ending 28 and beginning 29 (1300-1) </t>
        </is>
      </c>
      <c r="B108" t="inlineStr">
        <is>
          <t>1 shilling from the issue of Richard de Frilend'.</t>
        </is>
      </c>
      <c r="C108" t="n">
        <v>0.05</v>
      </c>
      <c r="D108" t="n">
        <v>0</v>
      </c>
      <c r="E108" t="n">
        <v>1</v>
      </c>
      <c r="F108" t="n">
        <v>0</v>
      </c>
      <c r="H108" t="n">
        <v>0</v>
      </c>
      <c r="I108" t="n">
        <v>0</v>
      </c>
      <c r="J108" t="n">
        <v>0</v>
      </c>
      <c r="K108" t="n">
        <v>0</v>
      </c>
      <c r="L108" t="n">
        <v>0</v>
      </c>
      <c r="M108" t="n">
        <v>0</v>
      </c>
      <c r="N108" t="n">
        <v>0</v>
      </c>
    </row>
    <row r="109">
      <c r="A109" t="inlineStr">
        <is>
          <t xml:space="preserve">Court of the same justices in the year ending 28 and beginning 29 (1300-1) </t>
        </is>
      </c>
      <c r="B109" t="inlineStr">
        <is>
          <t>1 shilling from the issue of John de Hurselye.</t>
        </is>
      </c>
      <c r="C109" t="n">
        <v>0.05</v>
      </c>
      <c r="D109" t="n">
        <v>0</v>
      </c>
      <c r="E109" t="n">
        <v>1</v>
      </c>
      <c r="F109" t="n">
        <v>0</v>
      </c>
      <c r="H109" t="n">
        <v>0</v>
      </c>
      <c r="I109" t="n">
        <v>0</v>
      </c>
      <c r="J109" t="n">
        <v>0</v>
      </c>
      <c r="K109" t="n">
        <v>0</v>
      </c>
      <c r="L109" t="n">
        <v>0</v>
      </c>
      <c r="M109" t="n">
        <v>0</v>
      </c>
      <c r="N109" t="n">
        <v>0</v>
      </c>
    </row>
    <row r="110">
      <c r="A110" t="inlineStr">
        <is>
          <t xml:space="preserve">Court of the same justices in the year ending 28 and beginning 29 (1300-1) </t>
        </is>
      </c>
      <c r="B110" t="inlineStr">
        <is>
          <t>1 shilling from the issue of the land of John de Lynch'.</t>
        </is>
      </c>
      <c r="C110" t="n">
        <v>0.05</v>
      </c>
      <c r="D110" t="n">
        <v>0</v>
      </c>
      <c r="E110" t="n">
        <v>1</v>
      </c>
      <c r="F110" t="n">
        <v>0</v>
      </c>
      <c r="H110" t="n">
        <v>0</v>
      </c>
      <c r="I110" t="n">
        <v>0</v>
      </c>
      <c r="J110" t="n">
        <v>0</v>
      </c>
      <c r="K110" t="n">
        <v>0</v>
      </c>
      <c r="L110" t="n">
        <v>0</v>
      </c>
      <c r="M110" t="n">
        <v>0</v>
      </c>
      <c r="N110" t="n">
        <v>0</v>
      </c>
    </row>
    <row r="111">
      <c r="A111" t="inlineStr">
        <is>
          <t xml:space="preserve">Court of the same justices in the year ending 28 and beginning 29 (1300-1) </t>
        </is>
      </c>
      <c r="B111" t="inlineStr">
        <is>
          <t>1 shilling from the issue of the land of Nicholas de Langrissch'.</t>
        </is>
      </c>
      <c r="C111" t="n">
        <v>0.05</v>
      </c>
      <c r="D111" t="n">
        <v>0</v>
      </c>
      <c r="E111" t="n">
        <v>1</v>
      </c>
      <c r="F111" t="n">
        <v>0</v>
      </c>
      <c r="H111" t="n">
        <v>0</v>
      </c>
      <c r="I111" t="n">
        <v>0</v>
      </c>
      <c r="J111" t="n">
        <v>0</v>
      </c>
      <c r="K111" t="n">
        <v>0</v>
      </c>
      <c r="L111" t="n">
        <v>0</v>
      </c>
      <c r="M111" t="n">
        <v>0</v>
      </c>
      <c r="N111" t="n">
        <v>0</v>
      </c>
    </row>
    <row r="112">
      <c r="A112" t="inlineStr">
        <is>
          <t>King's court at Hilary term in the year 27 and the following terms (1299)</t>
        </is>
      </c>
      <c r="B112" t="inlineStr">
        <is>
          <t>The same renders account for £1 2 shilling 8pence from the tithing of Ropley and the men of the same vill for the corn of William Gerveys.</t>
        </is>
      </c>
      <c r="C112" t="n">
        <v>1.13</v>
      </c>
      <c r="D112" t="n">
        <v>1</v>
      </c>
      <c r="E112" t="n">
        <v>2</v>
      </c>
      <c r="F112" t="n">
        <v>8</v>
      </c>
      <c r="H112" t="n">
        <v>0</v>
      </c>
      <c r="I112" t="n">
        <v>0</v>
      </c>
      <c r="J112" t="n">
        <v>0</v>
      </c>
      <c r="K112" t="n">
        <v>0</v>
      </c>
      <c r="L112" t="n">
        <v>0</v>
      </c>
      <c r="M112" t="n">
        <v>0</v>
      </c>
      <c r="N112" t="n">
        <v>0</v>
      </c>
    </row>
    <row r="113">
      <c r="A113" t="inlineStr">
        <is>
          <t>King's court at Hilary term in the year 27 and the following terms (1299)</t>
        </is>
      </c>
      <c r="B113" t="inlineStr">
        <is>
          <t>Total, £1 shilling</t>
        </is>
      </c>
      <c r="C113" t="n">
        <v>1</v>
      </c>
      <c r="D113" t="n">
        <v>1</v>
      </c>
      <c r="E113" t="n">
        <v>0</v>
      </c>
      <c r="F113" t="n">
        <v>0</v>
      </c>
      <c r="H113" t="n">
        <v>0</v>
      </c>
      <c r="I113" t="n">
        <v>0</v>
      </c>
      <c r="J113" t="n">
        <v>0</v>
      </c>
      <c r="K113" t="n">
        <v>0</v>
      </c>
      <c r="L113" t="n">
        <v>0</v>
      </c>
      <c r="M113" t="n">
        <v>0</v>
      </c>
      <c r="N113" t="n">
        <v>0</v>
      </c>
    </row>
    <row r="114">
      <c r="A114" t="inlineStr">
        <is>
          <t>From the pipe rolls</t>
        </is>
      </c>
      <c r="B114" t="inlineStr">
        <is>
          <t>The same renders account for £10 from John Giffard for relief of 2 knights' fees which belonged to Godfrey Giffard his uncle.</t>
        </is>
      </c>
      <c r="C114" t="n">
        <v>10</v>
      </c>
      <c r="D114" t="n">
        <v>10</v>
      </c>
      <c r="E114" t="n">
        <v>0</v>
      </c>
      <c r="F114" t="n">
        <v>0</v>
      </c>
      <c r="H114" t="n">
        <v>0</v>
      </c>
      <c r="I114" t="n">
        <v>0</v>
      </c>
      <c r="J114" t="n">
        <v>0</v>
      </c>
      <c r="K114" t="n">
        <v>0</v>
      </c>
      <c r="L114" t="n">
        <v>0</v>
      </c>
      <c r="M114" t="n">
        <v>0</v>
      </c>
      <c r="N114" t="n">
        <v>0</v>
      </c>
    </row>
    <row r="115">
      <c r="A115" t="inlineStr">
        <is>
          <t>From the pipe rolls</t>
        </is>
      </c>
      <c r="B115" t="inlineStr">
        <is>
          <t>3 shilling 4pence from the heir of Braifeud' for relief of a certain tenement in West Pitt.</t>
        </is>
      </c>
      <c r="C115" t="n">
        <v>0.17</v>
      </c>
      <c r="D115" t="n">
        <v>0</v>
      </c>
      <c r="E115" t="n">
        <v>3</v>
      </c>
      <c r="F115" t="n">
        <v>4</v>
      </c>
      <c r="H115" t="n">
        <v>0</v>
      </c>
      <c r="I115" t="n">
        <v>0</v>
      </c>
      <c r="J115" t="n">
        <v>0</v>
      </c>
      <c r="K115" t="n">
        <v>0</v>
      </c>
      <c r="L115" t="n">
        <v>0</v>
      </c>
      <c r="M115" t="n">
        <v>0</v>
      </c>
      <c r="N115" t="n">
        <v>0</v>
      </c>
    </row>
    <row r="116">
      <c r="A116" t="inlineStr">
        <is>
          <t>From the pipe rolls</t>
        </is>
      </c>
      <c r="B116" t="inlineStr">
        <is>
          <t>6pence from the same for relief of a certain other tenement in West Pitt.</t>
        </is>
      </c>
      <c r="C116" t="n">
        <v>0.03</v>
      </c>
      <c r="D116" t="n">
        <v>0</v>
      </c>
      <c r="E116" t="n">
        <v>0</v>
      </c>
      <c r="F116" t="n">
        <v>6</v>
      </c>
      <c r="H116" t="n">
        <v>0</v>
      </c>
      <c r="I116" t="n">
        <v>0</v>
      </c>
      <c r="J116" t="n">
        <v>0</v>
      </c>
      <c r="K116" t="n">
        <v>0</v>
      </c>
      <c r="L116" t="n">
        <v>0</v>
      </c>
      <c r="M116" t="n">
        <v>0</v>
      </c>
      <c r="N116" t="n">
        <v>0</v>
      </c>
    </row>
    <row r="117">
      <c r="A117" t="inlineStr">
        <is>
          <t>From the pipe rolls</t>
        </is>
      </c>
      <c r="B117" t="inlineStr">
        <is>
          <t>Total, £10 3 shilling 10pence</t>
        </is>
      </c>
      <c r="C117" t="n">
        <v>10.19</v>
      </c>
      <c r="D117" t="n">
        <v>10</v>
      </c>
      <c r="E117" t="n">
        <v>3</v>
      </c>
      <c r="F117" t="n">
        <v>10</v>
      </c>
      <c r="H117" t="n">
        <v>0</v>
      </c>
      <c r="I117" t="n">
        <v>0</v>
      </c>
      <c r="J117" t="n">
        <v>0</v>
      </c>
      <c r="K117" t="n">
        <v>0</v>
      </c>
      <c r="L117" t="n">
        <v>0</v>
      </c>
      <c r="M117" t="n">
        <v>0</v>
      </c>
      <c r="N117" t="n">
        <v>0</v>
      </c>
    </row>
    <row r="118">
      <c r="A118" t="inlineStr">
        <is>
          <t>Total of all receipts</t>
        </is>
      </c>
      <c r="B118" t="inlineStr">
        <is>
          <t>Total of all receipts, £25 12 shilling</t>
        </is>
      </c>
      <c r="C118" t="n">
        <v>25.6</v>
      </c>
      <c r="D118" t="n">
        <v>25</v>
      </c>
      <c r="E118" t="n">
        <v>12</v>
      </c>
      <c r="F118" t="n">
        <v>0</v>
      </c>
      <c r="H118" t="n">
        <v>0</v>
      </c>
      <c r="I118" t="n">
        <v>0</v>
      </c>
      <c r="J118" t="n">
        <v>0</v>
      </c>
      <c r="K118" t="n">
        <v>0</v>
      </c>
      <c r="L118" t="n">
        <v>0</v>
      </c>
      <c r="M118" t="n">
        <v>0</v>
      </c>
      <c r="N118" t="n">
        <v>0</v>
      </c>
    </row>
    <row r="119">
      <c r="A119" t="inlineStr">
        <is>
          <t>Expenses</t>
        </is>
      </c>
      <c r="B119" t="inlineStr">
        <is>
          <t>In wages of the marshal for the year £3 10 shilling</t>
        </is>
      </c>
      <c r="C119" t="n">
        <v>3.5</v>
      </c>
      <c r="D119" t="n">
        <v>3</v>
      </c>
      <c r="E119" t="n">
        <v>10</v>
      </c>
      <c r="F119" t="n">
        <v>0</v>
      </c>
      <c r="H119" t="n">
        <v>0</v>
      </c>
      <c r="I119" t="n">
        <v>0</v>
      </c>
      <c r="J119" t="n">
        <v>0</v>
      </c>
      <c r="K119" t="n">
        <v>0</v>
      </c>
      <c r="L119" t="n">
        <v>0</v>
      </c>
      <c r="M119" t="n">
        <v>0</v>
      </c>
      <c r="N119" t="n">
        <v>0</v>
      </c>
    </row>
    <row r="120">
      <c r="A120" t="inlineStr">
        <is>
          <t>Expenses</t>
        </is>
      </c>
      <c r="B120" t="inlineStr">
        <is>
          <t>In allowance of the same for a 10 shilling amercement of William le Blesscede which he was being charged for from the previous year, because it was found in the pipe rolls that he paid it before for trespass of wool in the court of J. de Luvetot and G. de Nebaupence</t>
        </is>
      </c>
      <c r="C120" t="n">
        <v>0.5</v>
      </c>
      <c r="D120" t="n">
        <v>0</v>
      </c>
      <c r="E120" t="n">
        <v>10</v>
      </c>
      <c r="F120" t="n">
        <v>0</v>
      </c>
      <c r="H120" t="n">
        <v>0</v>
      </c>
      <c r="I120" t="n">
        <v>0</v>
      </c>
      <c r="J120" t="n">
        <v>0</v>
      </c>
      <c r="K120" t="n">
        <v>0</v>
      </c>
      <c r="L120" t="n">
        <v>0</v>
      </c>
      <c r="M120" t="n">
        <v>0</v>
      </c>
      <c r="N120" t="n">
        <v>0</v>
      </c>
    </row>
    <row r="121">
      <c r="A121" t="inlineStr">
        <is>
          <t>Expenses</t>
        </is>
      </c>
      <c r="B121" t="inlineStr">
        <is>
          <t>Also in allowance of the same for a 6pence amercement of Henry Watsond which he was being charged for from the previous year for a plea of the Pavilion, of which he had the estreat and which he was not able to levy.</t>
        </is>
      </c>
      <c r="C121" t="n">
        <v>0.03</v>
      </c>
      <c r="D121" t="n">
        <v>0</v>
      </c>
      <c r="E121" t="n">
        <v>0</v>
      </c>
      <c r="F121" t="n">
        <v>6</v>
      </c>
      <c r="H121" t="n">
        <v>0</v>
      </c>
      <c r="I121" t="n">
        <v>0</v>
      </c>
      <c r="J121" t="n">
        <v>0</v>
      </c>
      <c r="K121" t="n">
        <v>0</v>
      </c>
      <c r="L121" t="n">
        <v>0</v>
      </c>
      <c r="M121" t="n">
        <v>0</v>
      </c>
      <c r="N121" t="n">
        <v>0</v>
      </c>
    </row>
    <row r="122">
      <c r="A122" t="inlineStr">
        <is>
          <t>Expenses</t>
        </is>
      </c>
      <c r="B122" t="inlineStr">
        <is>
          <t>1 shilling for John de Northwych.</t>
        </is>
      </c>
      <c r="C122" t="n">
        <v>0.05</v>
      </c>
      <c r="D122" t="n">
        <v>0</v>
      </c>
      <c r="E122" t="n">
        <v>1</v>
      </c>
      <c r="F122" t="n">
        <v>0</v>
      </c>
      <c r="H122" t="n">
        <v>0</v>
      </c>
      <c r="I122" t="n">
        <v>0</v>
      </c>
      <c r="J122" t="n">
        <v>0</v>
      </c>
      <c r="K122" t="n">
        <v>0</v>
      </c>
      <c r="L122" t="n">
        <v>0</v>
      </c>
      <c r="M122" t="n">
        <v>0</v>
      </c>
      <c r="N122" t="n">
        <v>0</v>
      </c>
    </row>
    <row r="123">
      <c r="A123" t="inlineStr">
        <is>
          <t>Expenses</t>
        </is>
      </c>
      <c r="B123" t="inlineStr">
        <is>
          <t>6pence for Nicholas le Keu of Chilbolton.</t>
        </is>
      </c>
      <c r="C123" t="n">
        <v>0.03</v>
      </c>
      <c r="D123" t="n">
        <v>0</v>
      </c>
      <c r="E123" t="n">
        <v>0</v>
      </c>
      <c r="F123" t="n">
        <v>6</v>
      </c>
      <c r="H123" t="n">
        <v>0</v>
      </c>
      <c r="I123" t="n">
        <v>0</v>
      </c>
      <c r="J123" t="n">
        <v>0</v>
      </c>
      <c r="K123" t="n">
        <v>0</v>
      </c>
      <c r="L123" t="n">
        <v>0</v>
      </c>
      <c r="M123" t="n">
        <v>0</v>
      </c>
      <c r="N123" t="n">
        <v>0</v>
      </c>
    </row>
    <row r="124">
      <c r="A124" t="inlineStr">
        <is>
          <t>Expenses</t>
        </is>
      </c>
      <c r="B124" t="inlineStr">
        <is>
          <t>Also in allowance of the same for his fur 2 shilling</t>
        </is>
      </c>
      <c r="C124" t="n">
        <v>0.1</v>
      </c>
      <c r="D124" t="n">
        <v>0</v>
      </c>
      <c r="E124" t="n">
        <v>2</v>
      </c>
      <c r="F124" t="n">
        <v>0</v>
      </c>
      <c r="H124" t="n">
        <v>0</v>
      </c>
      <c r="I124" t="n">
        <v>0</v>
      </c>
      <c r="J124" t="n">
        <v>0</v>
      </c>
      <c r="K124" t="n">
        <v>0</v>
      </c>
      <c r="L124" t="n">
        <v>0</v>
      </c>
      <c r="M124" t="n">
        <v>0</v>
      </c>
      <c r="N124" t="n">
        <v>0</v>
      </c>
    </row>
    <row r="125">
      <c r="A125" t="inlineStr">
        <is>
          <t>Total of all expenses and allowances</t>
        </is>
      </c>
      <c r="B125" t="inlineStr">
        <is>
          <t>Total of all expenses and allowances, £3 14 shilling 10pence</t>
        </is>
      </c>
      <c r="C125" t="n">
        <v>3.74</v>
      </c>
      <c r="D125" t="n">
        <v>3</v>
      </c>
      <c r="E125" t="n">
        <v>14</v>
      </c>
      <c r="F125" t="n">
        <v>10</v>
      </c>
      <c r="H125" t="n">
        <v>0</v>
      </c>
      <c r="I125" t="n">
        <v>0</v>
      </c>
      <c r="J125" t="n">
        <v>0</v>
      </c>
      <c r="K125" t="n">
        <v>0</v>
      </c>
      <c r="L125" t="n">
        <v>0</v>
      </c>
      <c r="M125" t="n">
        <v>0</v>
      </c>
      <c r="N125" t="n">
        <v>0</v>
      </c>
    </row>
    <row r="126">
      <c r="A126" t="inlineStr">
        <is>
          <t>Total of all expenses and allowances</t>
        </is>
      </c>
      <c r="B126" t="inlineStr">
        <is>
          <t>And he owes, £27 shilling 2pence</t>
        </is>
      </c>
      <c r="C126" t="n">
        <v>27</v>
      </c>
      <c r="D126" t="n">
        <v>27</v>
      </c>
      <c r="E126" t="n">
        <v>0</v>
      </c>
      <c r="F126" t="n">
        <v>0</v>
      </c>
      <c r="H126" t="n">
        <v>0</v>
      </c>
      <c r="I126" t="n">
        <v>0</v>
      </c>
      <c r="J126" t="n">
        <v>0</v>
      </c>
      <c r="K126" t="n">
        <v>0</v>
      </c>
      <c r="L126" t="n">
        <v>0</v>
      </c>
      <c r="M126" t="n">
        <v>0</v>
      </c>
      <c r="N126" t="n">
        <v>0</v>
      </c>
    </row>
    <row r="127">
      <c r="A127" t="inlineStr">
        <is>
          <t>Total of all expenses and allowances</t>
        </is>
      </c>
      <c r="B127" t="inlineStr">
        <is>
          <t>And he owes it all clear.</t>
        </is>
      </c>
      <c r="C127" t="n">
        <v>0</v>
      </c>
      <c r="D127" t="n">
        <v>0</v>
      </c>
      <c r="E127" t="n">
        <v>0</v>
      </c>
      <c r="F127" t="n">
        <v>0</v>
      </c>
      <c r="H127" t="n">
        <v>0</v>
      </c>
      <c r="I127" t="n">
        <v>0</v>
      </c>
      <c r="J127" t="n">
        <v>0</v>
      </c>
      <c r="K127" t="n">
        <v>0</v>
      </c>
      <c r="L127" t="n">
        <v>0</v>
      </c>
      <c r="M127" t="n">
        <v>0</v>
      </c>
      <c r="N12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2025-12-18T10:17:10Z</dcterms:modified>
  <cp:lastModifiedBy>Kowalski, Kuba</cp:lastModifiedBy>
</cp:coreProperties>
</file>
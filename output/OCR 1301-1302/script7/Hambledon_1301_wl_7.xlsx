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5790" windowWidth="38640" windowHeight="21120" tabRatio="600" firstSheet="0" activeTab="0" autoFilterDateGrouping="1"/>
  </bookViews>
  <sheets>
    <sheet xmlns:r="http://schemas.openxmlformats.org/officeDocument/2006/relationships" name="Hambledon Overview - Completed" sheetId="1" state="visible" r:id="rId1"/>
    <sheet xmlns:r="http://schemas.openxmlformats.org/officeDocument/2006/relationships" name="Prices" sheetId="2" state="visible" r:id="rId2"/>
    <sheet xmlns:r="http://schemas.openxmlformats.org/officeDocument/2006/relationships" name="Labour Rents" sheetId="3" state="visible" r:id="rId3"/>
    <sheet xmlns:r="http://schemas.openxmlformats.org/officeDocument/2006/relationships" name="Overview" sheetId="4" state="visible" r:id="rId4"/>
    <sheet xmlns:r="http://schemas.openxmlformats.org/officeDocument/2006/relationships" name="Receipts" sheetId="5" state="visible" r:id="rId5"/>
    <sheet xmlns:r="http://schemas.openxmlformats.org/officeDocument/2006/relationships" name="Expenses" sheetId="6" state="visible" r:id="rId6"/>
    <sheet xmlns:r="http://schemas.openxmlformats.org/officeDocument/2006/relationships" name="Issues of the Grange" sheetId="7" state="visible" r:id="rId7"/>
    <sheet xmlns:r="http://schemas.openxmlformats.org/officeDocument/2006/relationships" name="Issues of the Mills" sheetId="8" state="visible" r:id="rId8"/>
    <sheet xmlns:r="http://schemas.openxmlformats.org/officeDocument/2006/relationships" name="Stock" sheetId="9" state="visible" r:id="rId9"/>
    <sheet xmlns:r="http://schemas.openxmlformats.org/officeDocument/2006/relationships" name="raw data" sheetId="10" state="visible" r:id="rId10"/>
    <sheet xmlns:r="http://schemas.openxmlformats.org/officeDocument/2006/relationships" name="Issues of the Grange raw" sheetId="11" state="visible" r:id="rId11"/>
    <sheet xmlns:r="http://schemas.openxmlformats.org/officeDocument/2006/relationships" name="Sale of Corn Price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0000"/>
  </numFmts>
  <fonts count="32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1"/>
    </font>
    <font>
      <name val="Calibri"/>
      <family val="2"/>
      <color rgb="FFFF0000"/>
      <sz val="12"/>
      <scheme val="minor"/>
    </font>
    <font>
      <name val="Calibri"/>
      <family val="2"/>
      <b val="1"/>
      <color theme="1"/>
      <sz val="12"/>
      <scheme val="minor"/>
    </font>
    <font>
      <name val="Calibri (Body)"/>
      <b val="1"/>
      <color theme="1"/>
      <sz val="12"/>
    </font>
    <font>
      <name val="Calibri (Body)"/>
      <b val="1"/>
      <color rgb="FFFF0000"/>
      <sz val="12"/>
    </font>
    <font>
      <name val="Calibri"/>
      <family val="2"/>
      <b val="1"/>
      <sz val="12"/>
    </font>
    <font>
      <name val="Calibri"/>
      <family val="2"/>
      <b val="1"/>
      <color rgb="FF00000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i val="1"/>
      <color rgb="FF000000"/>
      <sz val="12"/>
      <scheme val="minor"/>
    </font>
    <font>
      <name val="Calibri"/>
      <family val="2"/>
      <b val="1"/>
      <i val="1"/>
      <color rgb="FF000000"/>
      <sz val="12"/>
      <scheme val="minor"/>
    </font>
    <font>
      <name val="Calibri (Body)"/>
      <color rgb="FFFF0000"/>
      <sz val="12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FF0000"/>
      <sz val="12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Calibri"/>
      <family val="2"/>
      <i val="1"/>
      <color theme="1"/>
      <sz val="11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sz val="12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color rgb="FFFF0000"/>
      <sz val="11"/>
      <scheme val="minor"/>
    </font>
    <font>
      <name val="Calibri (Body)"/>
      <i val="1"/>
      <color rgb="FFFF0000"/>
      <sz val="12"/>
    </font>
    <font>
      <name val="Calibri (Body)"/>
      <color rgb="FFFF0000"/>
      <sz val="11"/>
    </font>
    <font>
      <name val="Calibri"/>
      <family val="2"/>
      <b val="1"/>
      <color rgb="FF00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rgb="FF000000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0">
    <xf numFmtId="0" fontId="0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0" fillId="0" borderId="0" pivotButton="0" quotePrefix="0" xfId="0"/>
    <xf numFmtId="4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4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left" vertical="top"/>
    </xf>
    <xf numFmtId="0" fontId="13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2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2" borderId="0" pivotButton="0" quotePrefix="0" xfId="0"/>
    <xf numFmtId="0" fontId="17" fillId="2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7" fillId="4" borderId="0" pivotButton="0" quotePrefix="0" xfId="0"/>
    <xf numFmtId="0" fontId="13" fillId="5" borderId="0" pivotButton="0" quotePrefix="0" xfId="0"/>
    <xf numFmtId="0" fontId="16" fillId="0" borderId="0" applyAlignment="1" pivotButton="0" quotePrefix="0" xfId="0">
      <alignment wrapText="1"/>
    </xf>
    <xf numFmtId="0" fontId="16" fillId="0" borderId="2" pivotButton="0" quotePrefix="0" xfId="0"/>
    <xf numFmtId="0" fontId="16" fillId="0" borderId="0" applyAlignment="1" pivotButton="0" quotePrefix="0" xfId="0">
      <alignment horizontal="right"/>
    </xf>
    <xf numFmtId="0" fontId="16" fillId="0" borderId="2" applyAlignment="1" pivotButton="0" quotePrefix="0" xfId="0">
      <alignment horizontal="left"/>
    </xf>
    <xf numFmtId="2" fontId="6" fillId="0" borderId="0" pivotButton="0" quotePrefix="0" xfId="0"/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 vertical="top"/>
    </xf>
    <xf numFmtId="0" fontId="20" fillId="0" borderId="0" pivotButton="0" quotePrefix="0" xfId="0"/>
    <xf numFmtId="0" fontId="0" fillId="6" borderId="0" pivotButton="0" quotePrefix="0" xfId="0"/>
    <xf numFmtId="0" fontId="21" fillId="0" borderId="0" pivotButton="0" quotePrefix="0" xfId="0"/>
    <xf numFmtId="0" fontId="0" fillId="0" borderId="0" applyAlignment="1" pivotButton="0" quotePrefix="0" xfId="0">
      <alignment horizontal="center"/>
    </xf>
    <xf numFmtId="0" fontId="0" fillId="8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 wrapText="1"/>
    </xf>
    <xf numFmtId="0" fontId="0" fillId="0" borderId="3" applyAlignment="1" pivotButton="0" quotePrefix="0" xfId="0">
      <alignment horizontal="right"/>
    </xf>
    <xf numFmtId="0" fontId="0" fillId="0" borderId="4" applyAlignment="1" pivotButton="0" quotePrefix="0" xfId="0">
      <alignment horizontal="right"/>
    </xf>
    <xf numFmtId="0" fontId="0" fillId="0" borderId="5" applyAlignment="1" pivotButton="0" quotePrefix="0" xfId="0">
      <alignment horizontal="right"/>
    </xf>
    <xf numFmtId="0" fontId="0" fillId="0" borderId="4" applyAlignment="1" pivotButton="0" quotePrefix="0" xfId="0">
      <alignment horizontal="center"/>
    </xf>
    <xf numFmtId="2" fontId="19" fillId="0" borderId="0" pivotButton="0" quotePrefix="0" xfId="0"/>
    <xf numFmtId="2" fontId="11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 wrapText="1"/>
    </xf>
    <xf numFmtId="0" fontId="9" fillId="5" borderId="0" pivotButton="0" quotePrefix="0" xfId="0"/>
    <xf numFmtId="0" fontId="6" fillId="5" borderId="0" pivotButton="0" quotePrefix="0" xfId="0"/>
    <xf numFmtId="2" fontId="6" fillId="5" borderId="0" pivotButton="0" quotePrefix="0" xfId="0"/>
    <xf numFmtId="2" fontId="19" fillId="5" borderId="0" pivotButton="0" quotePrefix="0" xfId="0"/>
    <xf numFmtId="0" fontId="14" fillId="5" borderId="0" pivotButton="0" quotePrefix="0" xfId="0"/>
    <xf numFmtId="0" fontId="21" fillId="5" borderId="0" pivotButton="0" quotePrefix="0" xfId="0"/>
    <xf numFmtId="0" fontId="24" fillId="0" borderId="0" pivotButton="0" quotePrefix="0" xfId="0"/>
    <xf numFmtId="0" fontId="0" fillId="0" borderId="4" pivotButton="0" quotePrefix="0" xfId="0"/>
    <xf numFmtId="0" fontId="25" fillId="0" borderId="0" pivotButton="0" quotePrefix="0" xfId="0"/>
    <xf numFmtId="164" fontId="2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pivotButton="0" quotePrefix="0" xfId="0"/>
    <xf numFmtId="164" fontId="0" fillId="0" borderId="0" pivotButton="0" quotePrefix="0" xfId="0"/>
    <xf numFmtId="0" fontId="9" fillId="0" borderId="0" applyAlignment="1" pivotButton="0" quotePrefix="0" xfId="0">
      <alignment wrapText="1"/>
    </xf>
    <xf numFmtId="0" fontId="14" fillId="6" borderId="0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left"/>
    </xf>
    <xf numFmtId="0" fontId="0" fillId="5" borderId="0" pivotButton="0" quotePrefix="0" xfId="0"/>
    <xf numFmtId="0" fontId="0" fillId="9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wrapText="1"/>
    </xf>
    <xf numFmtId="2" fontId="9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/>
    </xf>
    <xf numFmtId="0" fontId="4" fillId="0" borderId="0" pivotButton="0" quotePrefix="0" xfId="0"/>
    <xf numFmtId="2" fontId="13" fillId="0" borderId="0" applyAlignment="1" pivotButton="0" quotePrefix="0" xfId="0">
      <alignment horizontal="right"/>
    </xf>
    <xf numFmtId="2" fontId="27" fillId="0" borderId="0" applyAlignment="1" pivotButton="0" quotePrefix="0" xfId="0">
      <alignment horizontal="right"/>
    </xf>
    <xf numFmtId="0" fontId="4" fillId="0" borderId="8" pivotButton="0" quotePrefix="0" xfId="0"/>
    <xf numFmtId="0" fontId="8" fillId="0" borderId="8" pivotButton="0" quotePrefix="0" xfId="0"/>
    <xf numFmtId="0" fontId="15" fillId="5" borderId="8" pivotButton="0" quotePrefix="0" xfId="0"/>
    <xf numFmtId="0" fontId="15" fillId="5" borderId="0" pivotButton="0" quotePrefix="0" xfId="0"/>
    <xf numFmtId="0" fontId="18" fillId="2" borderId="0" pivotButton="0" quotePrefix="0" xfId="0"/>
    <xf numFmtId="2" fontId="4" fillId="0" borderId="0" pivotButton="0" quotePrefix="0" xfId="0"/>
    <xf numFmtId="0" fontId="16" fillId="0" borderId="4" pivotButton="0" quotePrefix="0" xfId="0"/>
    <xf numFmtId="2" fontId="4" fillId="0" borderId="4" pivotButton="0" quotePrefix="0" xfId="0"/>
    <xf numFmtId="0" fontId="8" fillId="0" borderId="4" pivotButton="0" quotePrefix="0" xfId="0"/>
    <xf numFmtId="0" fontId="4" fillId="0" borderId="4" pivotButton="0" quotePrefix="0" xfId="0"/>
    <xf numFmtId="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2" fontId="13" fillId="5" borderId="0" applyAlignment="1" pivotButton="0" quotePrefix="0" xfId="0">
      <alignment horizontal="right"/>
    </xf>
    <xf numFmtId="0" fontId="13" fillId="10" borderId="0" pivotButton="0" quotePrefix="0" xfId="0"/>
    <xf numFmtId="0" fontId="4" fillId="5" borderId="0" pivotButton="0" quotePrefix="0" xfId="0"/>
    <xf numFmtId="0" fontId="8" fillId="5" borderId="0" pivotButton="0" quotePrefix="0" xfId="0"/>
    <xf numFmtId="0" fontId="9" fillId="5" borderId="0" applyAlignment="1" pivotButton="0" quotePrefix="0" xfId="0">
      <alignment horizontal="right"/>
    </xf>
    <xf numFmtId="0" fontId="3" fillId="0" borderId="0" pivotButton="0" quotePrefix="0" xfId="0"/>
    <xf numFmtId="0" fontId="17" fillId="2" borderId="9" pivotButton="0" quotePrefix="0" xfId="0"/>
    <xf numFmtId="0" fontId="17" fillId="4" borderId="9" pivotButton="0" quotePrefix="0" xfId="0"/>
    <xf numFmtId="0" fontId="16" fillId="0" borderId="9" pivotButton="0" quotePrefix="0" xfId="0"/>
    <xf numFmtId="10" fontId="17" fillId="2" borderId="9" pivotButton="0" quotePrefix="0" xfId="0"/>
    <xf numFmtId="10" fontId="17" fillId="4" borderId="11" pivotButton="0" quotePrefix="0" xfId="0"/>
    <xf numFmtId="0" fontId="8" fillId="0" borderId="12" pivotButton="0" quotePrefix="0" xfId="0"/>
    <xf numFmtId="0" fontId="16" fillId="5" borderId="14" pivotButton="0" quotePrefix="0" xfId="0"/>
    <xf numFmtId="2" fontId="13" fillId="5" borderId="15" applyAlignment="1" pivotButton="0" quotePrefix="0" xfId="0">
      <alignment horizontal="right"/>
    </xf>
    <xf numFmtId="0" fontId="8" fillId="5" borderId="15" pivotButton="0" quotePrefix="0" xfId="0"/>
    <xf numFmtId="0" fontId="3" fillId="0" borderId="12" pivotButton="0" quotePrefix="0" xfId="0"/>
    <xf numFmtId="2" fontId="4" fillId="5" borderId="0" pivotButton="0" quotePrefix="0" xfId="0"/>
    <xf numFmtId="0" fontId="2" fillId="5" borderId="15" pivotButton="0" quotePrefix="0" xfId="0"/>
    <xf numFmtId="0" fontId="2" fillId="5" borderId="16" pivotButton="0" quotePrefix="0" xfId="0"/>
    <xf numFmtId="2" fontId="2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10" fontId="2" fillId="0" borderId="0" pivotButton="0" quotePrefix="0" xfId="0"/>
    <xf numFmtId="0" fontId="2" fillId="0" borderId="12" pivotButton="0" quotePrefix="0" xfId="0"/>
    <xf numFmtId="0" fontId="2" fillId="0" borderId="13" pivotButton="0" quotePrefix="0" xfId="0"/>
    <xf numFmtId="0" fontId="1" fillId="0" borderId="0" pivotButton="0" quotePrefix="0" xfId="0"/>
    <xf numFmtId="2" fontId="9" fillId="5" borderId="0" pivotButton="0" quotePrefix="0" xfId="0"/>
    <xf numFmtId="2" fontId="13" fillId="0" borderId="0" applyAlignment="1" pivotButton="0" quotePrefix="0" xfId="0">
      <alignment horizontal="left" vertical="center" wrapText="1"/>
    </xf>
    <xf numFmtId="0" fontId="17" fillId="10" borderId="0" pivotButton="0" quotePrefix="0" xfId="0"/>
    <xf numFmtId="0" fontId="9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2" fontId="28" fillId="0" borderId="0" pivotButton="0" quotePrefix="0" xfId="0"/>
    <xf numFmtId="2" fontId="9" fillId="0" borderId="0" pivotButton="0" quotePrefix="0" xfId="0"/>
    <xf numFmtId="0" fontId="28" fillId="5" borderId="0" pivotButton="0" quotePrefix="0" xfId="0"/>
    <xf numFmtId="2" fontId="0" fillId="5" borderId="0" pivotButton="0" quotePrefix="0" xfId="0"/>
    <xf numFmtId="0" fontId="20" fillId="5" borderId="0" pivotButton="0" quotePrefix="0" xfId="0"/>
    <xf numFmtId="0" fontId="0" fillId="0" borderId="17" pivotButton="0" quotePrefix="0" xfId="0"/>
    <xf numFmtId="2" fontId="0" fillId="0" borderId="18" pivotButton="0" quotePrefix="0" xfId="0"/>
    <xf numFmtId="0" fontId="0" fillId="0" borderId="18" pivotButton="0" quotePrefix="0" xfId="0"/>
    <xf numFmtId="10" fontId="0" fillId="0" borderId="18" pivotButton="0" quotePrefix="0" xfId="0"/>
    <xf numFmtId="0" fontId="0" fillId="0" borderId="19" pivotButton="0" quotePrefix="0" xfId="0"/>
    <xf numFmtId="2" fontId="29" fillId="0" borderId="0" pivotButton="0" quotePrefix="0" xfId="0"/>
    <xf numFmtId="2" fontId="9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 vertical="top"/>
    </xf>
    <xf numFmtId="2" fontId="30" fillId="0" borderId="0" pivotButton="0" quotePrefix="0" xfId="0"/>
    <xf numFmtId="2" fontId="2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top" wrapText="1"/>
    </xf>
    <xf numFmtId="2" fontId="7" fillId="0" borderId="0" applyAlignment="1" pivotButton="0" quotePrefix="0" xfId="0">
      <alignment horizontal="center" vertical="top" wrapText="1"/>
    </xf>
    <xf numFmtId="0" fontId="0" fillId="11" borderId="0" applyAlignment="1" pivotButton="0" quotePrefix="0" xfId="0">
      <alignment wrapText="1"/>
    </xf>
    <xf numFmtId="0" fontId="20" fillId="0" borderId="0" applyAlignment="1" pivotButton="0" quotePrefix="0" xfId="0">
      <alignment wrapText="1"/>
    </xf>
    <xf numFmtId="0" fontId="20" fillId="0" borderId="0" applyAlignment="1" pivotButton="0" quotePrefix="0" xfId="0">
      <alignment horizontal="right" wrapText="1"/>
    </xf>
    <xf numFmtId="0" fontId="31" fillId="0" borderId="3" applyAlignment="1" pivotButton="0" quotePrefix="0" xfId="0">
      <alignment wrapText="1"/>
    </xf>
    <xf numFmtId="2" fontId="20" fillId="0" borderId="0" applyAlignment="1" pivotButton="0" quotePrefix="0" xfId="0">
      <alignment horizontal="right" wrapText="1"/>
    </xf>
    <xf numFmtId="2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Victoria Gierok</author>
  </authors>
  <commentList>
    <comment ref="F86" authorId="0" shapeId="0">
      <text>
        <t>Victoria Gierok:
valued at sales prices where available</t>
      </text>
    </comment>
    <comment ref="F117" authorId="0" shapeId="0">
      <text>
        <t>Victoria Gierok:
valued at sales prices where available</t>
      </text>
    </comment>
    <comment ref="F126" authorId="0" shapeId="0">
      <text>
        <t>Victoria Gierok:
valued at sales prices where available</t>
      </text>
    </comment>
    <comment ref="F150" authorId="0" shapeId="0">
      <text>
        <t>Victoria Gierok:
valued at sales prices where available</t>
      </text>
    </comment>
    <comment ref="F158" authorId="0" shapeId="0">
      <text>
        <t>Victoria Gierok:
valued at sales prices where available</t>
      </text>
    </comment>
    <comment ref="F165" authorId="0" shapeId="0">
      <text>
        <t>Victoria Gierok:
valued at sales prices where available</t>
      </text>
    </comment>
  </commentList>
</comments>
</file>

<file path=xl/comments/comment2.xml><?xml version="1.0" encoding="utf-8"?>
<comments xmlns="http://schemas.openxmlformats.org/spreadsheetml/2006/main">
  <authors>
    <author>Victoria Gierok</author>
  </authors>
  <commentList>
    <comment ref="C13" authorId="0" shapeId="0">
      <text>
        <t xml:space="preserve">Victoria Gierok:
from Issue of the grange </t>
      </text>
    </comment>
  </commentList>
</comments>
</file>

<file path=xl/comments/comment3.xml><?xml version="1.0" encoding="utf-8"?>
<comments xmlns="http://schemas.openxmlformats.org/spreadsheetml/2006/main">
  <authors>
    <author>Victoria Gierok</author>
  </authors>
  <commentList>
    <comment ref="D4" authorId="0" shapeId="0">
      <text>
        <t>Victoria Gierok:
strays that the seem to have added to their own stock?</t>
      </text>
    </comment>
    <comment ref="E4" authorId="0" shapeId="0">
      <text>
        <t>Victoria Gierok:
herbage = a type of customary payment to the lord; hence an addition to the stock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topLeftCell="A1" workbookViewId="0">
      <selection activeCell="A1" sqref="A1"/>
    </sheetView>
  </sheetViews>
  <sheetFormatPr baseColWidth="8" defaultColWidth="10.81640625" defaultRowHeight="15.5"/>
  <cols>
    <col width="80" bestFit="1" customWidth="1" style="76" min="1" max="1"/>
    <col width="10.81640625" customWidth="1" style="76" min="2" max="2"/>
    <col width="10.81640625" customWidth="1" style="10" min="3" max="3"/>
    <col width="30.81640625" bestFit="1" customWidth="1" style="76" min="4" max="4"/>
    <col width="29.36328125" bestFit="1" customWidth="1" style="76" min="5" max="5"/>
    <col width="35.453125" bestFit="1" customWidth="1" style="76" min="6" max="6"/>
    <col width="21.1796875" customWidth="1" style="76" min="7" max="7"/>
    <col width="10.81640625" customWidth="1" style="76" min="8" max="16384"/>
  </cols>
  <sheetData>
    <row r="1">
      <c r="A1" s="8" t="inlineStr">
        <is>
          <t>HAMBLEDON OVERVIEW - COMPLETED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  <c r="E1" s="12" t="n"/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  <c r="B4" s="76" t="n">
        <v>68.63</v>
      </c>
      <c r="D4" s="13" t="n"/>
      <c r="E4" s="13" t="n"/>
    </row>
    <row r="5">
      <c r="A5" s="15" t="inlineStr">
        <is>
          <t>Rents of assize total</t>
        </is>
      </c>
      <c r="B5" s="76" t="n">
        <v>32.39479166666667</v>
      </c>
    </row>
    <row r="6">
      <c r="A6" s="15" t="inlineStr">
        <is>
          <t>Quittances total</t>
        </is>
      </c>
      <c r="B6" s="76" t="n">
        <v>0.8999999999999999</v>
      </c>
    </row>
    <row r="7">
      <c r="A7" s="15" t="inlineStr">
        <is>
          <t>Defaults of rent total</t>
        </is>
      </c>
      <c r="B7" s="76" t="n">
        <v>0.44</v>
      </c>
    </row>
    <row r="8">
      <c r="A8" s="76" t="inlineStr">
        <is>
          <t>Defaults of rent through the pestilence total</t>
        </is>
      </c>
      <c r="B8" s="76" t="n"/>
    </row>
    <row r="9">
      <c r="A9" s="76" t="inlineStr">
        <is>
          <t>Cotlands defaults total</t>
        </is>
      </c>
      <c r="B9" s="76" t="n"/>
    </row>
    <row r="10">
      <c r="A10" s="76" t="inlineStr">
        <is>
          <t>Cotlands total</t>
        </is>
      </c>
      <c r="B10" s="76" t="n"/>
    </row>
    <row r="11">
      <c r="A11" s="76" t="inlineStr">
        <is>
          <t>Total of quittances and defaults of rent total</t>
        </is>
      </c>
      <c r="B11" s="76" t="n"/>
    </row>
    <row r="12">
      <c r="A12" s="76" t="inlineStr">
        <is>
          <t>Total of rents remaining clear total</t>
        </is>
      </c>
      <c r="B12" s="76" t="n"/>
    </row>
    <row r="13">
      <c r="A13" s="76" t="inlineStr">
        <is>
          <t>Farms total</t>
        </is>
      </c>
      <c r="B13" s="76" t="n"/>
    </row>
    <row r="14">
      <c r="A14" s="15" t="inlineStr">
        <is>
          <t>Annual recognizances total</t>
        </is>
      </c>
      <c r="B14" s="76" t="n">
        <v>0.16</v>
      </c>
    </row>
    <row r="15">
      <c r="A15" s="15" t="inlineStr">
        <is>
          <t>Issues of the Manor total</t>
        </is>
      </c>
      <c r="B15" s="76" t="n">
        <v>42.17</v>
      </c>
    </row>
    <row r="16">
      <c r="A16" s="76" t="inlineStr">
        <is>
          <t>Issues of the tenements in the lord's hands total</t>
        </is>
      </c>
      <c r="B16" s="76" t="n"/>
    </row>
    <row r="17">
      <c r="A17" s="76" t="inlineStr">
        <is>
          <t>Sale of labour services total</t>
        </is>
      </c>
      <c r="B17" s="76" t="n"/>
    </row>
    <row r="18">
      <c r="A18" s="15" t="inlineStr">
        <is>
          <t>Sale of corn total</t>
        </is>
      </c>
      <c r="B18" s="76" t="n">
        <v>24.16</v>
      </c>
    </row>
    <row r="19">
      <c r="A19" s="15" t="inlineStr">
        <is>
          <t>Entry and marriage fines total</t>
        </is>
      </c>
      <c r="B19" s="76" t="n">
        <v>3.7</v>
      </c>
    </row>
    <row r="20">
      <c r="A20" s="15" t="inlineStr">
        <is>
          <t>Pleas &amp; perquisites total</t>
        </is>
      </c>
      <c r="B20" s="76" t="n"/>
    </row>
    <row r="21">
      <c r="A21" s="76" t="inlineStr">
        <is>
          <t>Forfeited chattels total</t>
        </is>
      </c>
      <c r="B21" s="76" t="n"/>
    </row>
    <row r="22">
      <c r="A22" s="76" t="inlineStr">
        <is>
          <t>Farm of the demesne land total</t>
        </is>
      </c>
      <c r="B22" s="76" t="n"/>
      <c r="D22" s="88" t="n"/>
    </row>
    <row r="23">
      <c r="A23" s="81" t="inlineStr">
        <is>
          <t>Total of all receipts (calculated here)</t>
        </is>
      </c>
      <c r="B23" s="79">
        <f>SUM(B5:B22)</f>
        <v/>
      </c>
      <c r="C23" s="80" t="n"/>
    </row>
    <row r="24">
      <c r="A24" s="82" t="inlineStr">
        <is>
          <t>Total of all receipts (calculated here) incl arrears</t>
        </is>
      </c>
      <c r="B24">
        <f>SUM(B4:B22)</f>
        <v/>
      </c>
      <c r="D24" s="13" t="n"/>
      <c r="E24" s="13" t="n"/>
    </row>
    <row r="25">
      <c r="A25" s="83" t="inlineStr">
        <is>
          <t>Total recorded in the accounts excl. arrears</t>
        </is>
      </c>
      <c r="B25" s="76" t="n">
        <v>107.03</v>
      </c>
      <c r="C25" s="10">
        <f>B23-B25</f>
        <v/>
      </c>
    </row>
    <row r="26">
      <c r="A26" s="83" t="inlineStr">
        <is>
          <t>Total recorded in the accounts incl. arrears</t>
        </is>
      </c>
      <c r="B26">
        <f>B25+B4</f>
        <v/>
      </c>
      <c r="D26" s="13" t="n"/>
      <c r="E26" s="13" t="n"/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  <c r="B30" t="n">
        <v>3.1025</v>
      </c>
    </row>
    <row r="31">
      <c r="A31" s="15" t="inlineStr">
        <is>
          <t>Purchase of corn total</t>
        </is>
      </c>
      <c r="B31" t="n">
        <v>0.87</v>
      </c>
    </row>
    <row r="32">
      <c r="A32" s="15" t="inlineStr">
        <is>
          <t>Cost of carts and wagons total</t>
        </is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  <c r="B34" t="n">
        <v>13.73</v>
      </c>
    </row>
    <row r="35">
      <c r="A35" s="15" t="inlineStr">
        <is>
          <t>Sheepcote total</t>
        </is>
      </c>
      <c r="B35" t="n">
        <v>0.1275</v>
      </c>
    </row>
    <row r="36">
      <c r="A36" s="15" t="inlineStr">
        <is>
          <t>Cost of buildings total</t>
        </is>
      </c>
      <c r="B36" s="84" t="n"/>
    </row>
    <row r="37">
      <c r="A37" s="15" t="inlineStr">
        <is>
          <t>Threshing total</t>
        </is>
      </c>
      <c r="B37" t="n">
        <v>1.545</v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  <c r="B41" s="84" t="n"/>
    </row>
    <row r="42">
      <c r="A42" s="15" t="inlineStr">
        <is>
          <t>Steward's expenses total</t>
        </is>
      </c>
      <c r="B42" s="84" t="n">
        <v>0.48</v>
      </c>
    </row>
    <row r="43">
      <c r="A43" s="85" t="inlineStr">
        <is>
          <t>Annual fees</t>
        </is>
      </c>
      <c r="B43" s="86" t="n"/>
      <c r="C43" s="87" t="n"/>
      <c r="D43" s="88" t="n"/>
    </row>
    <row r="44">
      <c r="A44" s="82" t="inlineStr">
        <is>
          <t>Total of all expenses per account</t>
        </is>
      </c>
      <c r="B44" s="84" t="n">
        <v>34.98</v>
      </c>
    </row>
    <row r="45">
      <c r="A45" s="82" t="inlineStr">
        <is>
          <t>Total of all expenses (calculated here)</t>
        </is>
      </c>
      <c r="B45" s="84" t="n">
        <v>30.835</v>
      </c>
    </row>
    <row r="46">
      <c r="A46" s="82" t="inlineStr">
        <is>
          <t>Total fixed investment</t>
        </is>
      </c>
      <c r="B46" s="84" t="n">
        <v>6.449166666666663</v>
      </c>
    </row>
    <row r="47">
      <c r="A47" s="82" t="inlineStr">
        <is>
          <t>Total Demesne fixed investment</t>
        </is>
      </c>
      <c r="B47" s="84" t="n">
        <v>3.6575</v>
      </c>
    </row>
    <row r="48">
      <c r="A48" s="12" t="n"/>
    </row>
    <row r="49">
      <c r="A49" s="18" t="inlineStr">
        <is>
          <t>Owed by the reeve</t>
        </is>
      </c>
      <c r="B49" s="84">
        <f>B23-B45</f>
        <v/>
      </c>
    </row>
    <row r="50">
      <c r="A50" s="18" t="inlineStr">
        <is>
          <t>From accounts</t>
        </is>
      </c>
      <c r="B50" s="84" t="n">
        <v>34.98</v>
      </c>
    </row>
    <row r="51">
      <c r="A51" s="15" t="n"/>
    </row>
    <row r="52">
      <c r="A52" s="18" t="inlineStr">
        <is>
          <t>Allowances</t>
        </is>
      </c>
      <c r="B52" s="84" t="n"/>
    </row>
    <row r="53">
      <c r="A53" s="18" t="inlineStr">
        <is>
          <t>Cash deliveries</t>
        </is>
      </c>
      <c r="B53" s="84" t="n">
        <v>72</v>
      </c>
    </row>
    <row r="54">
      <c r="A54" s="19" t="inlineStr">
        <is>
          <t>Sum of the above</t>
        </is>
      </c>
      <c r="B54" s="84">
        <f>SUM(B52:B53)</f>
        <v/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  <c r="B57" s="84">
        <f>B50-B54</f>
        <v/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  <c r="B60" s="120" t="inlineStr">
        <is>
          <t>Total Production</t>
        </is>
      </c>
      <c r="D60" s="117" t="inlineStr">
        <is>
          <t>Value of total gross production in £</t>
        </is>
      </c>
      <c r="E60" s="117" t="inlineStr">
        <is>
          <t>Value of total net production in £</t>
        </is>
      </c>
    </row>
    <row r="61">
      <c r="A61" s="8" t="inlineStr">
        <is>
          <t>Grange</t>
        </is>
      </c>
      <c r="B61" s="89" t="inlineStr">
        <is>
          <t>qrs</t>
        </is>
      </c>
      <c r="C61" s="90" t="inlineStr">
        <is>
          <t>bus</t>
        </is>
      </c>
    </row>
    <row r="62">
      <c r="A62" s="76" t="inlineStr">
        <is>
          <t>Wheat</t>
        </is>
      </c>
      <c r="B62" t="n">
        <v>73.25</v>
      </c>
      <c r="E62" t="n">
        <v>13.43752530364372</v>
      </c>
      <c r="F62" s="13" t="n"/>
    </row>
    <row r="63">
      <c r="A63" s="76" t="inlineStr">
        <is>
          <t>Rye</t>
        </is>
      </c>
      <c r="F63" s="13" t="n"/>
    </row>
    <row r="64">
      <c r="A64" s="76" t="inlineStr">
        <is>
          <t>Dredge</t>
        </is>
      </c>
      <c r="F64" s="13" t="n"/>
    </row>
    <row r="65">
      <c r="A65" s="76" t="inlineStr">
        <is>
          <t>Curall</t>
        </is>
      </c>
      <c r="B65" t="n">
        <v>13.125</v>
      </c>
      <c r="E65" t="n">
        <v>1.75</v>
      </c>
      <c r="F65" s="13" t="n"/>
    </row>
    <row r="66">
      <c r="A66" s="76" t="inlineStr">
        <is>
          <t>Barley</t>
        </is>
      </c>
      <c r="B66" t="n">
        <v>76.5</v>
      </c>
      <c r="E66" t="n">
        <v>4.912500000000001</v>
      </c>
      <c r="F66" s="13" t="n"/>
    </row>
    <row r="67">
      <c r="A67" s="76" t="inlineStr">
        <is>
          <t>Oats</t>
        </is>
      </c>
      <c r="B67" t="n">
        <v>178.875</v>
      </c>
      <c r="E67" t="n">
        <v>3.302637235449735</v>
      </c>
      <c r="F67" s="13" t="n"/>
    </row>
    <row r="68">
      <c r="A68" s="76" t="inlineStr">
        <is>
          <t>Beans</t>
        </is>
      </c>
      <c r="F68" s="13" t="n"/>
    </row>
    <row r="69">
      <c r="A69" s="76" t="inlineStr">
        <is>
          <t>Peas</t>
        </is>
      </c>
      <c r="B69" t="n">
        <v>6.75</v>
      </c>
      <c r="E69" t="n">
        <v>0.625</v>
      </c>
      <c r="F69" s="13" t="n"/>
    </row>
    <row r="70">
      <c r="A70" s="76" t="inlineStr">
        <is>
          <t>Vetches</t>
        </is>
      </c>
      <c r="B70" t="n">
        <v>8.25</v>
      </c>
      <c r="E70" t="n">
        <v>0.8250000000000001</v>
      </c>
    </row>
    <row r="71">
      <c r="A71" s="17" t="inlineStr">
        <is>
          <t>Total value of gross production (sum of the above)</t>
        </is>
      </c>
      <c r="B71" s="93" t="n"/>
      <c r="C71" s="94" t="n"/>
      <c r="D71" s="93" t="n"/>
      <c r="E71" s="93" t="n"/>
    </row>
    <row r="72">
      <c r="A72" s="17" t="inlineStr">
        <is>
          <t>Total value of net production</t>
        </is>
      </c>
      <c r="B72" s="93" t="n"/>
      <c r="C72" s="94" t="n"/>
      <c r="D72" s="93" t="n"/>
      <c r="E72" s="93" t="n"/>
    </row>
    <row r="73">
      <c r="A73" s="17" t="inlineStr">
        <is>
          <t>Value of sales</t>
        </is>
      </c>
      <c r="B73" s="93" t="n"/>
      <c r="C73" s="94" t="n"/>
      <c r="D73" s="93" t="n"/>
      <c r="E73" s="93" t="n"/>
    </row>
    <row r="74">
      <c r="A74" s="15" t="n"/>
    </row>
    <row r="75">
      <c r="A75" s="16" t="inlineStr">
        <is>
          <t>MILL ACCOUNT</t>
        </is>
      </c>
      <c r="B75" s="120" t="inlineStr">
        <is>
          <t>Total Production</t>
        </is>
      </c>
      <c r="D75" s="91" t="inlineStr">
        <is>
          <t>Total in £</t>
        </is>
      </c>
      <c r="E75" s="91" t="n"/>
    </row>
    <row r="76">
      <c r="A76" s="8" t="inlineStr">
        <is>
          <t>Issues of the mill</t>
        </is>
      </c>
      <c r="B76" s="89" t="inlineStr">
        <is>
          <t>qrs</t>
        </is>
      </c>
      <c r="C76" s="90" t="inlineStr">
        <is>
          <t>bus</t>
        </is>
      </c>
    </row>
    <row r="77">
      <c r="A77" s="15" t="inlineStr">
        <is>
          <t>Wheat</t>
        </is>
      </c>
      <c r="F77" s="13" t="n"/>
    </row>
    <row r="78">
      <c r="A78" s="15" t="inlineStr">
        <is>
          <t>Oatmeal</t>
        </is>
      </c>
    </row>
    <row r="79">
      <c r="A79" s="15" t="inlineStr">
        <is>
          <t>1st grade malt</t>
        </is>
      </c>
    </row>
    <row r="80">
      <c r="A80" s="15" t="inlineStr">
        <is>
          <t>2nd grade malt</t>
        </is>
      </c>
    </row>
    <row r="81">
      <c r="A81" s="15" t="inlineStr">
        <is>
          <t>Maslin</t>
        </is>
      </c>
    </row>
    <row r="82">
      <c r="A82" s="17" t="inlineStr">
        <is>
          <t>Total value of production (sum of the above)</t>
        </is>
      </c>
      <c r="B82" s="93" t="n"/>
      <c r="C82" s="94" t="n"/>
      <c r="D82" s="93" t="n"/>
      <c r="E82" s="93" t="n"/>
    </row>
    <row r="83">
      <c r="A83" s="17" t="inlineStr">
        <is>
          <t>Value of sales</t>
        </is>
      </c>
      <c r="B83" s="93" t="n"/>
      <c r="C83" s="94" t="n"/>
      <c r="D83" s="93" t="n"/>
      <c r="E83" s="93" t="n"/>
    </row>
    <row r="84">
      <c r="A84" s="15" t="n"/>
    </row>
    <row r="85">
      <c r="A85" s="92" t="inlineStr">
        <is>
          <t>STOCK ACCOUNT</t>
        </is>
      </c>
      <c r="B85" s="93" t="n"/>
      <c r="C85" s="94" t="n"/>
      <c r="D85" s="93" t="n"/>
      <c r="E85" s="93" t="n"/>
      <c r="F85" s="93" t="n"/>
      <c r="G85" s="93" t="n"/>
    </row>
    <row r="86">
      <c r="A86" s="21" t="inlineStr">
        <is>
          <t>Livestock</t>
        </is>
      </c>
      <c r="B86" s="95" t="inlineStr">
        <is>
          <t>Begin stock</t>
        </is>
      </c>
      <c r="C86" s="95" t="inlineStr">
        <is>
          <t>End stock</t>
        </is>
      </c>
      <c r="D86" s="95" t="inlineStr">
        <is>
          <t>Stockbuilding</t>
        </is>
      </c>
      <c r="E86" s="95" t="n"/>
      <c r="F86" s="95" t="inlineStr">
        <is>
          <t>Value of stock in £</t>
        </is>
      </c>
      <c r="G86" s="53" t="inlineStr">
        <is>
          <t>Value of stockbuilding</t>
        </is>
      </c>
    </row>
    <row r="87">
      <c r="A87" s="22" t="inlineStr">
        <is>
          <t>Cart-horses</t>
        </is>
      </c>
      <c r="B87" s="76" t="n">
        <v>2</v>
      </c>
      <c r="C87" s="76" t="n">
        <v>2</v>
      </c>
      <c r="D87" s="76" t="n">
        <v>0</v>
      </c>
      <c r="F87" s="84">
        <f>'Stock'!K5*'Stock'!O5</f>
        <v/>
      </c>
      <c r="G87" s="84">
        <f>D87*'Stock'!O5</f>
        <v/>
      </c>
    </row>
    <row r="88">
      <c r="A88" s="22" t="inlineStr">
        <is>
          <t>Mares</t>
        </is>
      </c>
      <c r="B88" s="76" t="n"/>
      <c r="C88" s="76" t="n"/>
      <c r="D88" s="76">
        <f>C88-B88</f>
        <v/>
      </c>
      <c r="F88" s="84">
        <f>'Stock'!K6*'Stock'!O6</f>
        <v/>
      </c>
      <c r="G88" s="84">
        <f>D88*'Stock'!O6</f>
        <v/>
      </c>
    </row>
    <row r="89">
      <c r="A89" s="15" t="inlineStr">
        <is>
          <t>Plough horses</t>
        </is>
      </c>
      <c r="B89" s="76" t="n">
        <v>8</v>
      </c>
      <c r="C89" s="76" t="n">
        <v>7</v>
      </c>
      <c r="D89" s="76" t="n">
        <v>-1</v>
      </c>
      <c r="F89" s="84" t="n">
        <v>0.28</v>
      </c>
      <c r="G89" s="84" t="n">
        <v>-0.04</v>
      </c>
    </row>
    <row r="90">
      <c r="A90" s="15" t="inlineStr">
        <is>
          <t>Colts (2 years)</t>
        </is>
      </c>
      <c r="B90" s="76" t="n"/>
      <c r="C90" s="76" t="n"/>
      <c r="D90" s="76">
        <f>C90-B90</f>
        <v/>
      </c>
      <c r="F90" s="84">
        <f>'Stock'!K9*'Stock'!O9</f>
        <v/>
      </c>
      <c r="G90" s="84">
        <f>D90*'Stock'!O9</f>
        <v/>
      </c>
    </row>
    <row r="91">
      <c r="A91" s="15" t="inlineStr">
        <is>
          <t>Colts (2 years)</t>
        </is>
      </c>
      <c r="B91" s="76" t="n"/>
      <c r="C91" s="76" t="n"/>
      <c r="D91" s="76">
        <f>C91-B91</f>
        <v/>
      </c>
      <c r="F91" s="84">
        <f>'Stock'!K9*'Stock'!O9</f>
        <v/>
      </c>
      <c r="G91" s="84">
        <f>D91*'Stock'!O9</f>
        <v/>
      </c>
    </row>
    <row r="92">
      <c r="A92" s="15" t="inlineStr">
        <is>
          <t>Colts (1 year)</t>
        </is>
      </c>
      <c r="B92" s="76" t="n"/>
      <c r="C92" s="76" t="n"/>
      <c r="D92" s="76">
        <f>C92-B92</f>
        <v/>
      </c>
      <c r="F92" s="84">
        <f>'Stock'!K10*'Stock'!O10</f>
        <v/>
      </c>
      <c r="G92" s="84">
        <f>D92*'Stock'!O10</f>
        <v/>
      </c>
    </row>
    <row r="93">
      <c r="A93" s="15" t="inlineStr">
        <is>
          <t>Foals</t>
        </is>
      </c>
      <c r="B93" s="76" t="n"/>
      <c r="C93" s="76" t="n"/>
      <c r="D93" s="76">
        <f>C93-B93</f>
        <v/>
      </c>
      <c r="F93" s="84">
        <f>'Stock'!K11*'Stock'!O11</f>
        <v/>
      </c>
      <c r="G93" s="84">
        <f>D93*'Stock'!O11</f>
        <v/>
      </c>
    </row>
    <row r="94">
      <c r="A94" s="15" t="inlineStr">
        <is>
          <t>Oxen</t>
        </is>
      </c>
      <c r="B94" s="76" t="n">
        <v>26</v>
      </c>
      <c r="C94" s="76" t="n">
        <v>28</v>
      </c>
      <c r="D94" s="76" t="n">
        <v>2</v>
      </c>
      <c r="F94" s="84" t="n">
        <v>15.05</v>
      </c>
      <c r="G94" s="84" t="n">
        <v>1.075</v>
      </c>
    </row>
    <row r="95">
      <c r="A95" s="15" t="inlineStr">
        <is>
          <t>Bulls</t>
        </is>
      </c>
      <c r="B95" s="76" t="n">
        <v>2</v>
      </c>
      <c r="C95" s="76" t="n">
        <v>2</v>
      </c>
      <c r="D95" s="76" t="n">
        <v>0</v>
      </c>
      <c r="F95" s="84">
        <f>'Stock'!K13*'Stock'!O13</f>
        <v/>
      </c>
      <c r="G95" s="84">
        <f>D95*'Stock'!O13</f>
        <v/>
      </c>
    </row>
    <row r="96">
      <c r="A96" s="15" t="inlineStr">
        <is>
          <t>Cows</t>
        </is>
      </c>
      <c r="B96" s="76" t="n">
        <v>21</v>
      </c>
      <c r="C96" s="76" t="n">
        <v>19</v>
      </c>
      <c r="D96" s="76" t="n">
        <v>-2</v>
      </c>
      <c r="F96" s="84" t="n">
        <v>7.093333333333334</v>
      </c>
      <c r="G96" s="84" t="n">
        <v>-0.7466666666666667</v>
      </c>
    </row>
    <row r="97">
      <c r="A97" s="15" t="inlineStr">
        <is>
          <t>Steers</t>
        </is>
      </c>
      <c r="B97" s="76" t="n">
        <v>5</v>
      </c>
      <c r="C97" s="76" t="n">
        <v>0</v>
      </c>
      <c r="D97" s="76" t="n">
        <v>-5</v>
      </c>
      <c r="F97" s="84" t="n">
        <v>0</v>
      </c>
      <c r="G97" s="84" t="n">
        <v>-2.194871794871795</v>
      </c>
    </row>
    <row r="98">
      <c r="A98" s="15" t="inlineStr">
        <is>
          <t>Bullocks</t>
        </is>
      </c>
      <c r="B98" s="76" t="n">
        <v>5</v>
      </c>
      <c r="C98" s="76" t="n">
        <v>5</v>
      </c>
      <c r="D98" s="76" t="n">
        <v>0</v>
      </c>
      <c r="F98" s="84">
        <f>'Stock'!K16*'Stock'!O16</f>
        <v/>
      </c>
      <c r="G98" s="84">
        <f>D98*'Stock'!O16</f>
        <v/>
      </c>
    </row>
    <row r="99">
      <c r="A99" s="15" t="inlineStr">
        <is>
          <t>Yearlings</t>
        </is>
      </c>
      <c r="B99" s="76" t="n">
        <v>7</v>
      </c>
      <c r="C99" s="76" t="n">
        <v>6</v>
      </c>
      <c r="D99" s="76" t="n">
        <v>-1</v>
      </c>
      <c r="F99" s="84">
        <f>'Stock'!K17*'Stock'!O17</f>
        <v/>
      </c>
      <c r="G99" s="84">
        <f>D99*'Stock'!O17</f>
        <v/>
      </c>
    </row>
    <row r="100">
      <c r="A100" s="15" t="inlineStr">
        <is>
          <t>Calves</t>
        </is>
      </c>
      <c r="B100" s="76" t="n">
        <v>15</v>
      </c>
      <c r="C100" s="76" t="n">
        <v>6</v>
      </c>
      <c r="D100" s="76" t="n">
        <v>-9</v>
      </c>
      <c r="F100" s="84" t="n">
        <v>0.3</v>
      </c>
      <c r="G100" s="84" t="n">
        <v>-0.45</v>
      </c>
    </row>
    <row r="101">
      <c r="A101" s="15" t="inlineStr">
        <is>
          <t>Wethers</t>
        </is>
      </c>
      <c r="B101" s="76" t="n">
        <v>354</v>
      </c>
      <c r="C101" s="76" t="n">
        <v>382</v>
      </c>
      <c r="D101" s="76" t="n">
        <v>28</v>
      </c>
      <c r="F101" s="84" t="n">
        <v>23.875</v>
      </c>
      <c r="G101" s="84" t="n">
        <v>1.75</v>
      </c>
    </row>
    <row r="102">
      <c r="A102" s="15" t="inlineStr">
        <is>
          <t>Rams</t>
        </is>
      </c>
      <c r="B102" s="76" t="n">
        <v>13</v>
      </c>
      <c r="C102" s="76" t="n">
        <v>15</v>
      </c>
      <c r="D102" s="76" t="n">
        <v>2</v>
      </c>
      <c r="F102" s="84">
        <f>'Stock'!K20*'Stock'!O20</f>
        <v/>
      </c>
      <c r="G102" s="84">
        <f>D102*'Stock'!O20</f>
        <v/>
      </c>
    </row>
    <row r="103">
      <c r="A103" s="15" t="inlineStr">
        <is>
          <t>Ewes</t>
        </is>
      </c>
      <c r="B103" s="76" t="n">
        <v>339</v>
      </c>
      <c r="C103" s="76" t="n">
        <v>381</v>
      </c>
      <c r="D103" s="76" t="n">
        <v>42</v>
      </c>
      <c r="F103" s="84" t="n">
        <v>17.68928571428571</v>
      </c>
      <c r="G103" s="84" t="n">
        <v>1.95</v>
      </c>
    </row>
    <row r="104">
      <c r="A104" s="15" t="inlineStr">
        <is>
          <t>Hoggs</t>
        </is>
      </c>
      <c r="B104" s="76" t="n">
        <v>188</v>
      </c>
      <c r="C104" s="76" t="n">
        <v>0</v>
      </c>
      <c r="D104" s="76" t="n">
        <v>-188</v>
      </c>
      <c r="F104" s="84">
        <f>'Stock'!K22*'Stock'!O22</f>
        <v/>
      </c>
      <c r="G104" s="84">
        <f>D104*'Stock'!O22</f>
        <v/>
      </c>
    </row>
    <row r="105">
      <c r="A105" s="15" t="inlineStr">
        <is>
          <t>Lambs</t>
        </is>
      </c>
      <c r="B105" s="76" t="n"/>
      <c r="C105" s="76" t="n">
        <v>193</v>
      </c>
      <c r="D105" s="76">
        <f>C105-B105</f>
        <v/>
      </c>
      <c r="F105" s="84" t="n">
        <v>2.437894736842105</v>
      </c>
      <c r="G105" s="84">
        <f>D105*'Stock'!O23</f>
        <v/>
      </c>
    </row>
    <row r="106">
      <c r="A106" s="15" t="inlineStr">
        <is>
          <t>Boars</t>
        </is>
      </c>
      <c r="B106" s="76" t="n">
        <v>1</v>
      </c>
      <c r="C106" s="76" t="n">
        <v>1</v>
      </c>
      <c r="D106" s="76" t="n">
        <v>0</v>
      </c>
      <c r="F106" s="84">
        <f>'Stock'!K24*'Stock'!O24</f>
        <v/>
      </c>
      <c r="G106" s="84">
        <f>D106*'Stock'!O24</f>
        <v/>
      </c>
    </row>
    <row r="107">
      <c r="A107" s="15" t="inlineStr">
        <is>
          <t>Sows</t>
        </is>
      </c>
      <c r="B107" s="76" t="n">
        <v>2</v>
      </c>
      <c r="C107" s="76" t="n">
        <v>2</v>
      </c>
      <c r="D107" s="76" t="n">
        <v>0</v>
      </c>
      <c r="F107" s="84">
        <f>'Stock'!K25*'Stock'!O25</f>
        <v/>
      </c>
      <c r="G107" s="84">
        <f>D107*'Stock'!O25</f>
        <v/>
      </c>
    </row>
    <row r="108">
      <c r="A108" s="15" t="inlineStr">
        <is>
          <t>Pigs</t>
        </is>
      </c>
      <c r="B108" s="76" t="n">
        <v>43</v>
      </c>
      <c r="C108" s="76" t="n">
        <v>45</v>
      </c>
      <c r="D108" s="76" t="n">
        <v>2</v>
      </c>
      <c r="F108" s="84" t="n">
        <v>7.105263157894736</v>
      </c>
      <c r="G108" s="84" t="n">
        <v>0.3157894736842105</v>
      </c>
    </row>
    <row r="109">
      <c r="A109" s="15" t="inlineStr">
        <is>
          <t>Hoggets</t>
        </is>
      </c>
      <c r="B109" s="76" t="n">
        <v>27</v>
      </c>
      <c r="C109" s="76" t="n">
        <v>0</v>
      </c>
      <c r="D109" s="76" t="n">
        <v>-27</v>
      </c>
      <c r="F109" s="84" t="n">
        <v>0</v>
      </c>
      <c r="G109" s="84" t="n">
        <v>-0</v>
      </c>
    </row>
    <row r="110">
      <c r="A110" s="15" t="inlineStr">
        <is>
          <t>Piglets</t>
        </is>
      </c>
      <c r="B110" s="76" t="n"/>
      <c r="C110" s="76" t="n">
        <v>43</v>
      </c>
      <c r="D110" s="76">
        <f>C110-B110</f>
        <v/>
      </c>
      <c r="F110" s="84">
        <f>'Stock'!K28*'Stock'!O28</f>
        <v/>
      </c>
      <c r="G110" s="84">
        <f>D110*'Stock'!O28</f>
        <v/>
      </c>
    </row>
    <row r="111">
      <c r="A111" s="15" t="inlineStr">
        <is>
          <t>Swans</t>
        </is>
      </c>
      <c r="B111" s="76" t="n"/>
      <c r="C111" s="76" t="n"/>
      <c r="D111" s="76">
        <f>C111-B111</f>
        <v/>
      </c>
      <c r="F111" s="84">
        <f>'Stock'!K29*'Stock'!O29</f>
        <v/>
      </c>
      <c r="G111" s="84">
        <f>D111*'Stock'!O29</f>
        <v/>
      </c>
    </row>
    <row r="112">
      <c r="A112" s="15" t="inlineStr">
        <is>
          <t>Peacocks</t>
        </is>
      </c>
      <c r="B112" s="76" t="n"/>
      <c r="C112" s="76" t="n"/>
      <c r="D112" s="76">
        <f>C112-B112</f>
        <v/>
      </c>
      <c r="F112" s="84">
        <f>'Stock'!K30*'Stock'!O30</f>
        <v/>
      </c>
      <c r="G112" s="84">
        <f>D112*'Stock'!O30</f>
        <v/>
      </c>
    </row>
    <row r="113">
      <c r="A113" s="17" t="inlineStr">
        <is>
          <t>Total value of stock (sum of the above)</t>
        </is>
      </c>
      <c r="B113" s="93" t="n"/>
      <c r="C113" s="94" t="n"/>
      <c r="D113" s="93" t="n"/>
      <c r="E113" s="93" t="n"/>
      <c r="F113" s="107">
        <f>SUM(F87:F112)</f>
        <v/>
      </c>
      <c r="G113" s="107">
        <f>SUM(G87:G112)</f>
        <v/>
      </c>
    </row>
    <row r="114">
      <c r="A114" s="17" t="inlineStr">
        <is>
          <t>Total value of production</t>
        </is>
      </c>
      <c r="B114" s="93" t="n"/>
      <c r="C114" s="94" t="n"/>
      <c r="D114" s="93" t="n"/>
      <c r="E114" s="93" t="n"/>
      <c r="F114" s="107">
        <f>SUM('Stock'!T5:T30)</f>
        <v/>
      </c>
      <c r="G114" s="107" t="n"/>
    </row>
    <row r="115">
      <c r="A115" s="17" t="inlineStr">
        <is>
          <t>Value of sales</t>
        </is>
      </c>
      <c r="B115" s="93" t="n"/>
      <c r="C115" s="94" t="n"/>
      <c r="D115" s="93" t="n"/>
      <c r="E115" s="93" t="n"/>
      <c r="F115" s="107">
        <f>SUM('Stock'!R5:R30)</f>
        <v/>
      </c>
      <c r="G115" s="107" t="n"/>
    </row>
    <row r="116">
      <c r="A116" s="15" t="n"/>
    </row>
    <row r="117">
      <c r="A117" s="16" t="inlineStr">
        <is>
          <t>Wool</t>
        </is>
      </c>
      <c r="B117" s="95" t="inlineStr">
        <is>
          <t>Begin stock</t>
        </is>
      </c>
      <c r="C117" s="95" t="inlineStr">
        <is>
          <t>End stock</t>
        </is>
      </c>
      <c r="D117" s="95" t="inlineStr">
        <is>
          <t>Stockbuilding</t>
        </is>
      </c>
      <c r="E117" s="95" t="n"/>
      <c r="F117" s="95" t="inlineStr">
        <is>
          <t>Value of stock in £</t>
        </is>
      </c>
    </row>
    <row r="118">
      <c r="A118" s="22" t="inlineStr">
        <is>
          <t>Fleeces</t>
        </is>
      </c>
      <c r="G118" s="96" t="n"/>
    </row>
    <row r="119">
      <c r="A119" s="15" t="inlineStr">
        <is>
          <t>Coarse wool</t>
        </is>
      </c>
      <c r="C119" t="n">
        <v>0</v>
      </c>
      <c r="D119" t="n">
        <v>812</v>
      </c>
      <c r="F119" t="n">
        <v>0</v>
      </c>
    </row>
    <row r="120">
      <c r="A120" s="15" t="inlineStr">
        <is>
          <t>Lamb's wool</t>
        </is>
      </c>
      <c r="D120" t="n">
        <v>193</v>
      </c>
      <c r="F120">
        <f>C120*'Stock'!O36</f>
        <v/>
      </c>
    </row>
    <row r="121">
      <c r="A121" s="15" t="inlineStr">
        <is>
          <t>Wool locks</t>
        </is>
      </c>
      <c r="F121">
        <f>C121*'Stock'!O37</f>
        <v/>
      </c>
    </row>
    <row r="122">
      <c r="A122" s="15" t="inlineStr">
        <is>
          <t>Wool sold at shearing</t>
        </is>
      </c>
      <c r="F122">
        <f>C122*'Stock'!O38</f>
        <v/>
      </c>
    </row>
    <row r="123">
      <c r="A123" s="119" t="inlineStr">
        <is>
          <t>Total value of production (sum of the above)</t>
        </is>
      </c>
      <c r="B123" s="93" t="n"/>
      <c r="C123" s="94" t="n"/>
      <c r="D123" s="93" t="n"/>
      <c r="E123" s="93" t="n"/>
      <c r="F123" s="93" t="n"/>
    </row>
    <row r="124">
      <c r="A124" s="119" t="inlineStr">
        <is>
          <t>Value of sales</t>
        </is>
      </c>
      <c r="B124" s="93" t="n"/>
      <c r="C124" s="94" t="n"/>
      <c r="D124" s="93" t="n"/>
      <c r="E124" s="93" t="n"/>
      <c r="F124" s="93" t="n"/>
    </row>
    <row r="125">
      <c r="A125" s="8" t="n"/>
    </row>
    <row r="126">
      <c r="A126" s="16" t="inlineStr">
        <is>
          <t>Hides</t>
        </is>
      </c>
      <c r="B126" s="95" t="inlineStr">
        <is>
          <t>Begin stock</t>
        </is>
      </c>
      <c r="C126" s="95" t="inlineStr">
        <is>
          <t>End stock</t>
        </is>
      </c>
      <c r="D126" s="95" t="inlineStr">
        <is>
          <t>Stockbuilding</t>
        </is>
      </c>
      <c r="E126" s="95" t="n"/>
      <c r="F126" s="95" t="inlineStr">
        <is>
          <t>Value of stock in £</t>
        </is>
      </c>
    </row>
    <row r="127">
      <c r="A127" s="15" t="inlineStr">
        <is>
          <t>Ox hides</t>
        </is>
      </c>
      <c r="G127" s="96" t="n"/>
    </row>
    <row r="128">
      <c r="A128" s="15" t="inlineStr">
        <is>
          <t>Cow hides</t>
        </is>
      </c>
    </row>
    <row r="129">
      <c r="A129" s="15" t="inlineStr">
        <is>
          <t>Mare hides</t>
        </is>
      </c>
    </row>
    <row r="130">
      <c r="A130" s="15" t="inlineStr">
        <is>
          <t>Steer hides</t>
        </is>
      </c>
    </row>
    <row r="131">
      <c r="A131" s="15" t="inlineStr">
        <is>
          <t>Yearling Calf hides</t>
        </is>
      </c>
    </row>
    <row r="132">
      <c r="A132" s="15" t="inlineStr">
        <is>
          <t>Calf hides</t>
        </is>
      </c>
    </row>
    <row r="133">
      <c r="A133" s="23" t="inlineStr">
        <is>
          <t>Pig hides</t>
        </is>
      </c>
    </row>
    <row r="134">
      <c r="A134" s="24" t="inlineStr">
        <is>
          <t>Wether woolskins</t>
        </is>
      </c>
    </row>
    <row r="135">
      <c r="A135" s="24" t="inlineStr">
        <is>
          <t>Ram woolskins</t>
        </is>
      </c>
    </row>
    <row r="136">
      <c r="A136" s="24" t="inlineStr">
        <is>
          <t>Ewe woolskins</t>
        </is>
      </c>
    </row>
    <row r="137">
      <c r="A137" s="24" t="inlineStr">
        <is>
          <t>Hogg woolskins</t>
        </is>
      </c>
    </row>
    <row r="138">
      <c r="A138" s="25" t="inlineStr">
        <is>
          <t>Woolskins (total)</t>
        </is>
      </c>
    </row>
    <row r="139">
      <c r="A139" s="24" t="inlineStr">
        <is>
          <t>Wether bareskins</t>
        </is>
      </c>
    </row>
    <row r="140">
      <c r="A140" s="24" t="inlineStr">
        <is>
          <t>Ram bareskins</t>
        </is>
      </c>
    </row>
    <row r="141">
      <c r="A141" s="24" t="inlineStr">
        <is>
          <t>Ewe bareskins</t>
        </is>
      </c>
    </row>
    <row r="142">
      <c r="A142" s="24" t="inlineStr">
        <is>
          <t>Hogg bareskins</t>
        </is>
      </c>
    </row>
    <row r="143">
      <c r="A143" s="25" t="inlineStr">
        <is>
          <t>Bareskins (total)</t>
        </is>
      </c>
    </row>
    <row r="144">
      <c r="A144" s="15" t="inlineStr">
        <is>
          <t>Lambskins</t>
        </is>
      </c>
    </row>
    <row r="145">
      <c r="A145" s="15" t="inlineStr">
        <is>
          <t>Rotted skins</t>
        </is>
      </c>
    </row>
    <row r="146">
      <c r="A146" s="15" t="inlineStr">
        <is>
          <t>Shorn skins</t>
        </is>
      </c>
    </row>
    <row r="147">
      <c r="A147" s="17" t="inlineStr">
        <is>
          <t>Total value of production (sum of the above)</t>
        </is>
      </c>
      <c r="B147" s="93" t="n"/>
      <c r="C147" s="94" t="n"/>
      <c r="D147" s="93" t="n"/>
      <c r="E147" s="93" t="n"/>
      <c r="F147" s="93" t="n"/>
    </row>
    <row r="148">
      <c r="A148" s="17" t="inlineStr">
        <is>
          <t>Value of sales</t>
        </is>
      </c>
      <c r="B148" s="93" t="n"/>
      <c r="C148" s="94" t="n"/>
      <c r="D148" s="93" t="n"/>
      <c r="E148" s="93" t="n"/>
      <c r="F148" s="93" t="n"/>
    </row>
    <row r="149">
      <c r="A149" s="15" t="n"/>
    </row>
    <row r="150">
      <c r="A150" s="16" t="inlineStr">
        <is>
          <t>Poultry stock</t>
        </is>
      </c>
      <c r="B150" s="95" t="inlineStr">
        <is>
          <t>Begin stock</t>
        </is>
      </c>
      <c r="C150" s="95" t="inlineStr">
        <is>
          <t>End stock</t>
        </is>
      </c>
      <c r="D150" s="95" t="inlineStr">
        <is>
          <t>Stockbuilding</t>
        </is>
      </c>
      <c r="E150" s="95" t="n"/>
      <c r="F150" s="95" t="inlineStr">
        <is>
          <t>Value of stock in £</t>
        </is>
      </c>
    </row>
    <row r="151">
      <c r="A151" s="22" t="inlineStr">
        <is>
          <t>Hens</t>
        </is>
      </c>
      <c r="B151" s="76" t="n">
        <v>0</v>
      </c>
      <c r="C151" s="76" t="n">
        <v>0</v>
      </c>
      <c r="D151" s="76" t="n">
        <v>0</v>
      </c>
      <c r="F151" s="76">
        <f>C151*'Stock'!O69</f>
        <v/>
      </c>
      <c r="G151" s="96" t="n"/>
    </row>
    <row r="152">
      <c r="A152" s="15" t="inlineStr">
        <is>
          <t>Geese</t>
        </is>
      </c>
      <c r="B152" s="76" t="n">
        <v>0</v>
      </c>
      <c r="C152" s="76" t="n">
        <v>0</v>
      </c>
      <c r="D152" s="76" t="n">
        <v>0</v>
      </c>
      <c r="F152" s="76">
        <f>C152*'Stock'!O70</f>
        <v/>
      </c>
    </row>
    <row r="153">
      <c r="A153" s="15" t="inlineStr">
        <is>
          <t>Capons (from chickens)</t>
        </is>
      </c>
      <c r="B153" s="76" t="n">
        <v>0</v>
      </c>
      <c r="C153" s="76" t="n">
        <v>0</v>
      </c>
      <c r="D153" s="76" t="n">
        <v>0</v>
      </c>
      <c r="F153" s="76">
        <f>C153*'Stock'!O71</f>
        <v/>
      </c>
    </row>
    <row r="154">
      <c r="A154" s="15" t="inlineStr">
        <is>
          <t>Cocks &amp; hens</t>
        </is>
      </c>
      <c r="B154" s="76" t="n">
        <v>0</v>
      </c>
      <c r="C154" s="76" t="n">
        <v>0</v>
      </c>
      <c r="D154" s="76" t="n">
        <v>0</v>
      </c>
      <c r="F154" s="76" t="n">
        <v>0</v>
      </c>
    </row>
    <row r="155">
      <c r="A155" s="119" t="inlineStr">
        <is>
          <t>Total value of production (sum of the above)</t>
        </is>
      </c>
      <c r="B155" s="93" t="n"/>
      <c r="C155" s="93" t="n"/>
      <c r="D155" s="93" t="n"/>
      <c r="E155" s="93" t="n"/>
      <c r="F155" s="93">
        <f>SUM(F151:F154)</f>
        <v/>
      </c>
    </row>
    <row r="156">
      <c r="A156" s="119" t="inlineStr">
        <is>
          <t>Value of sales</t>
        </is>
      </c>
      <c r="B156" s="93" t="n"/>
      <c r="C156" s="94" t="n"/>
      <c r="D156" s="93" t="n"/>
      <c r="E156" s="93" t="n"/>
      <c r="F156" s="93">
        <f>SUM('Stock'!R67:R70)</f>
        <v/>
      </c>
    </row>
    <row r="157">
      <c r="A157" s="15" t="n"/>
    </row>
    <row r="158">
      <c r="A158" s="16" t="inlineStr">
        <is>
          <t>Poultry production</t>
        </is>
      </c>
      <c r="B158" s="95" t="inlineStr">
        <is>
          <t>Begin stock</t>
        </is>
      </c>
      <c r="C158" s="95" t="inlineStr">
        <is>
          <t>End stock</t>
        </is>
      </c>
      <c r="D158" s="95" t="inlineStr">
        <is>
          <t>Stockbuilding</t>
        </is>
      </c>
      <c r="E158" s="95" t="n"/>
      <c r="F158" s="95" t="inlineStr">
        <is>
          <t>Value of stock in £</t>
        </is>
      </c>
    </row>
    <row r="159">
      <c r="A159" s="15" t="inlineStr">
        <is>
          <t>Eggs</t>
        </is>
      </c>
      <c r="B159" t="n">
        <v>0</v>
      </c>
      <c r="C159" t="n">
        <v>0</v>
      </c>
      <c r="D159" t="n">
        <v>0</v>
      </c>
      <c r="F159">
        <f>C159*'Stock'!O77</f>
        <v/>
      </c>
      <c r="G159" s="116" t="n"/>
    </row>
    <row r="160">
      <c r="A160" s="15" t="inlineStr">
        <is>
          <t>Cocks &amp; hens from churchscot of customary tenants</t>
        </is>
      </c>
      <c r="B160" t="n">
        <v>0</v>
      </c>
      <c r="C160" t="n">
        <v>0</v>
      </c>
      <c r="D160" t="n">
        <v>0</v>
      </c>
      <c r="F160" t="n">
        <v>0</v>
      </c>
    </row>
    <row r="161">
      <c r="A161" s="15" t="inlineStr">
        <is>
          <t>Sum of above</t>
        </is>
      </c>
    </row>
    <row r="162">
      <c r="A162" s="17" t="inlineStr">
        <is>
          <t>Total value of stock</t>
        </is>
      </c>
      <c r="B162" s="93" t="n"/>
      <c r="C162" s="94" t="n"/>
      <c r="D162" s="93" t="n"/>
      <c r="E162" s="93" t="n"/>
      <c r="F162" s="93" t="n"/>
    </row>
    <row r="163">
      <c r="A163" s="17" t="inlineStr">
        <is>
          <t>Value of sales</t>
        </is>
      </c>
      <c r="B163" s="93" t="n"/>
      <c r="C163" s="94" t="n"/>
      <c r="D163" s="93" t="n"/>
      <c r="E163" s="93" t="n"/>
      <c r="F163" s="93" t="n"/>
    </row>
    <row r="164">
      <c r="A164" s="15" t="n"/>
    </row>
    <row r="165">
      <c r="A165" s="16" t="inlineStr">
        <is>
          <t>Dairy Production</t>
        </is>
      </c>
      <c r="B165" s="95" t="inlineStr">
        <is>
          <t>Begin stock</t>
        </is>
      </c>
      <c r="C165" s="95" t="inlineStr">
        <is>
          <t>End stock</t>
        </is>
      </c>
      <c r="D165" s="95" t="inlineStr">
        <is>
          <t>Stockbuilding</t>
        </is>
      </c>
      <c r="E165" s="95" t="n"/>
      <c r="F165" s="95" t="inlineStr">
        <is>
          <t>Value of stock in £</t>
        </is>
      </c>
    </row>
    <row r="166">
      <c r="A166" s="15" t="inlineStr">
        <is>
          <t>Butter</t>
        </is>
      </c>
      <c r="B166" t="n">
        <v>0</v>
      </c>
      <c r="C166" t="n">
        <v>0</v>
      </c>
      <c r="D166" t="n">
        <v>0</v>
      </c>
      <c r="F166" t="n">
        <v>0</v>
      </c>
      <c r="G166" s="116" t="n"/>
    </row>
    <row r="167">
      <c r="A167" s="15" t="inlineStr">
        <is>
          <t>Winter Cheese</t>
        </is>
      </c>
      <c r="B167" t="n">
        <v>0</v>
      </c>
      <c r="C167" t="n">
        <v>0</v>
      </c>
      <c r="D167" t="n">
        <v>0</v>
      </c>
      <c r="F167" t="n">
        <v>0</v>
      </c>
    </row>
    <row r="168">
      <c r="A168" s="15" t="inlineStr">
        <is>
          <t>Summer Cheese</t>
        </is>
      </c>
      <c r="B168" t="n">
        <v>0</v>
      </c>
      <c r="C168" t="n">
        <v>0</v>
      </c>
      <c r="D168" t="n">
        <v>0</v>
      </c>
      <c r="F168" t="n">
        <v>0</v>
      </c>
    </row>
    <row r="169">
      <c r="A169" s="17" t="inlineStr">
        <is>
          <t>Total value of production (sum of the above)</t>
        </is>
      </c>
      <c r="B169" s="93" t="n"/>
      <c r="C169" s="94" t="n"/>
      <c r="D169" s="93" t="n"/>
      <c r="E169" s="93" t="n"/>
      <c r="F169" s="93" t="n"/>
    </row>
    <row r="170">
      <c r="A170" s="17" t="inlineStr">
        <is>
          <t>Value of sales</t>
        </is>
      </c>
      <c r="B170" s="93" t="n"/>
      <c r="C170" s="94" t="n"/>
      <c r="D170" s="93" t="n"/>
      <c r="E170" s="93" t="n"/>
      <c r="F170" s="93" t="n"/>
    </row>
    <row r="171">
      <c r="A171" s="15" t="n"/>
    </row>
    <row r="172">
      <c r="A172" s="15" t="n"/>
    </row>
    <row r="173" ht="16" customHeight="1" thickBot="1"/>
    <row r="174" ht="16" customHeight="1" thickBot="1">
      <c r="A174" s="103" t="n"/>
      <c r="B174" s="104" t="inlineStr">
        <is>
          <t>Total in £</t>
        </is>
      </c>
      <c r="C174" s="105" t="n"/>
      <c r="D174" s="108" t="n"/>
      <c r="E174" s="108" t="n"/>
      <c r="F174" s="109" t="n"/>
    </row>
    <row r="175">
      <c r="A175" s="97" t="inlineStr">
        <is>
          <t>Total Production Value of all Output (Grange, Dairy, Livestock Sales, Wools, Skins - NO Mill)</t>
        </is>
      </c>
      <c r="B175" s="110">
        <f>F169+F162+F156+F147+F123+F115+D71</f>
        <v/>
      </c>
      <c r="D175" s="111" t="n"/>
      <c r="E175" s="111" t="n"/>
      <c r="F175" s="112" t="n"/>
    </row>
    <row r="176">
      <c r="A176" s="98" t="inlineStr">
        <is>
          <t>Total Sales Value of all Output as defined above</t>
        </is>
      </c>
      <c r="B176" s="110">
        <f>F170+F163+F156+F148+F124+F115+D73</f>
        <v/>
      </c>
      <c r="D176" s="111" t="n"/>
      <c r="E176" s="111" t="n"/>
      <c r="F176" s="112" t="n"/>
    </row>
    <row r="177">
      <c r="A177" s="98" t="inlineStr">
        <is>
          <t>Total Sales of Corn + Issues of the Manor as recorded in account</t>
        </is>
      </c>
      <c r="B177" s="110">
        <f>B15+B18</f>
        <v/>
      </c>
      <c r="D177" s="111" t="n"/>
      <c r="E177" s="111" t="n"/>
      <c r="F177" s="112" t="n"/>
    </row>
    <row r="178">
      <c r="A178" s="98" t="inlineStr">
        <is>
          <t>Production Value + Cash Receipts (excl. Arrears, Issues, Corn and Mill)</t>
        </is>
      </c>
      <c r="B178" s="110">
        <f>B175+B12+B13+B14+B16+B17+B19+B20+B21+B22</f>
        <v/>
      </c>
      <c r="D178" s="111" t="n"/>
      <c r="E178" s="111" t="n"/>
      <c r="F178" s="112" t="n"/>
    </row>
    <row r="179">
      <c r="A179" s="99" t="n"/>
      <c r="B179" s="111" t="n"/>
      <c r="D179" s="111" t="n"/>
      <c r="E179" s="111" t="n"/>
      <c r="F179" s="112" t="n"/>
    </row>
    <row r="180">
      <c r="A180" s="100" t="inlineStr">
        <is>
          <t>% of capital expenses in terms of total production</t>
        </is>
      </c>
      <c r="B180" s="113">
        <f>B47/B175</f>
        <v/>
      </c>
      <c r="C180" s="13" t="n"/>
      <c r="F180" s="112" t="n"/>
    </row>
    <row r="181">
      <c r="A181" s="98" t="inlineStr">
        <is>
          <t>% of capital expenses in terms of total production + cash receipts</t>
        </is>
      </c>
      <c r="B181" s="113">
        <f>B47/B178</f>
        <v/>
      </c>
      <c r="D181" s="111" t="n"/>
      <c r="E181" s="111" t="n"/>
      <c r="F181" s="112" t="n"/>
    </row>
    <row r="182">
      <c r="A182" s="99" t="n"/>
      <c r="D182" s="111" t="n"/>
      <c r="E182" s="111" t="n"/>
      <c r="F182" s="112" t="n"/>
    </row>
    <row r="183" ht="16" customHeight="1" thickBot="1">
      <c r="A183" s="101" t="inlineStr">
        <is>
          <t>% of capital expenses as calculated previously</t>
        </is>
      </c>
      <c r="B183" s="106" t="inlineStr">
        <is>
          <t>n/a</t>
        </is>
      </c>
      <c r="C183" s="102" t="n"/>
      <c r="D183" s="114" t="n"/>
      <c r="E183" s="114" t="n"/>
      <c r="F183" s="115" t="n"/>
    </row>
  </sheetData>
  <mergeCells count="2">
    <mergeCell ref="B60:C60"/>
    <mergeCell ref="B75:C75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topLeftCell="A1" workbookViewId="0">
      <selection activeCell="A1" sqref="A1"/>
    </sheetView>
  </sheetViews>
  <sheetFormatPr baseColWidth="8" defaultColWidth="12.6328125" defaultRowHeight="14.5"/>
  <sheetData>
    <row r="1" ht="15.5" customHeight="1">
      <c r="A1" s="12" t="inlineStr">
        <is>
          <t>Meat &amp; Dairy Prices</t>
        </is>
      </c>
    </row>
    <row r="2">
      <c r="C2" t="n">
        <v>1301</v>
      </c>
      <c r="D2" t="n">
        <v>1302</v>
      </c>
      <c r="E2" s="28" t="inlineStr">
        <is>
          <t>Average</t>
        </is>
      </c>
    </row>
    <row r="3" ht="15.5" customHeight="1">
      <c r="A3" t="inlineStr">
        <is>
          <t>Beef</t>
        </is>
      </c>
      <c r="B3" t="inlineStr">
        <is>
          <t>£ per lb</t>
        </is>
      </c>
      <c r="C3" s="62" t="n">
        <v>0.003335185413087333</v>
      </c>
      <c r="D3" s="62" t="n">
        <v>0.003260853786849182</v>
      </c>
      <c r="E3" s="63">
        <f>AVERAGE(C3:D3)</f>
        <v/>
      </c>
    </row>
    <row r="4">
      <c r="A4" t="inlineStr">
        <is>
          <t>Mutton</t>
        </is>
      </c>
      <c r="B4" t="inlineStr">
        <is>
          <t>£ per lb</t>
        </is>
      </c>
      <c r="C4" s="63" t="n">
        <v>0.003659397726835158</v>
      </c>
      <c r="D4" s="63" t="n">
        <v>0.003712551295250783</v>
      </c>
      <c r="E4" s="63">
        <f>AVERAGE(C4:D4)</f>
        <v/>
      </c>
    </row>
    <row r="5">
      <c r="A5" t="inlineStr">
        <is>
          <t>Pork</t>
        </is>
      </c>
      <c r="B5" t="inlineStr">
        <is>
          <t>£ per lb</t>
        </is>
      </c>
      <c r="C5" s="63" t="n">
        <v>0.003843132608634785</v>
      </c>
      <c r="D5" s="63" t="n">
        <v>0.003757480310106574</v>
      </c>
      <c r="E5" s="63">
        <f>AVERAGE(C5:D5)</f>
        <v/>
      </c>
    </row>
    <row r="6">
      <c r="A6" t="inlineStr">
        <is>
          <t>Cheese</t>
        </is>
      </c>
      <c r="B6" t="inlineStr">
        <is>
          <t>£ per lb</t>
        </is>
      </c>
      <c r="C6" s="64" t="n">
        <v>0.005576875401355813</v>
      </c>
      <c r="D6" s="63" t="n">
        <v>0.005665489823647453</v>
      </c>
      <c r="E6" s="63">
        <f>AVERAGE(C6:D6)</f>
        <v/>
      </c>
    </row>
    <row r="7">
      <c r="A7" t="inlineStr">
        <is>
          <t>Butter</t>
        </is>
      </c>
      <c r="B7" t="inlineStr">
        <is>
          <t>£ per lb</t>
        </is>
      </c>
      <c r="C7" s="63" t="n">
        <v>0.00366262210285494</v>
      </c>
      <c r="D7" s="63" t="n">
        <v>0.003593507742292381</v>
      </c>
      <c r="E7" s="63">
        <f>AVERAGE(C7:D7)</f>
        <v/>
      </c>
    </row>
    <row r="8">
      <c r="A8" t="inlineStr">
        <is>
          <t>Milk</t>
        </is>
      </c>
      <c r="B8" t="inlineStr">
        <is>
          <t>£ per gallon</t>
        </is>
      </c>
      <c r="C8" s="65" t="n">
        <v>0.005576875401355813</v>
      </c>
      <c r="D8" s="63" t="n">
        <v>0.005665489823647453</v>
      </c>
      <c r="E8" s="63">
        <f>AVERAGE(C8:D8)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ColWidth="8.81640625" defaultRowHeight="14.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9"/>
  <sheetViews>
    <sheetView topLeftCell="A1" workbookViewId="0">
      <selection activeCell="A1" sqref="A1"/>
    </sheetView>
  </sheetViews>
  <sheetFormatPr baseColWidth="8" defaultRowHeight="15"/>
  <cols>
    <col width="80" customWidth="1" min="1" max="1"/>
    <col width="29.1640625" customWidth="1" min="2" max="2"/>
    <col width="8.83203125" customWidth="1" min="3" max="3"/>
    <col width="30.83203125" customWidth="1" min="5" max="5"/>
    <col width="29.33203125" customWidth="1" min="6" max="6"/>
  </cols>
  <sheetData>
    <row r="1">
      <c r="A1" s="8" t="inlineStr">
        <is>
          <t>HAMBLEDON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  <c r="E1" s="12" t="n"/>
    </row>
    <row r="2">
      <c r="A2" s="8" t="inlineStr">
        <is>
          <t>CASH ACCOUNT</t>
        </is>
      </c>
      <c r="C2" s="10" t="n"/>
    </row>
    <row r="3">
      <c r="A3" s="16" t="inlineStr">
        <is>
          <t>RECEIPTS</t>
        </is>
      </c>
    </row>
    <row r="4">
      <c r="A4" s="15" t="inlineStr">
        <is>
          <t>Arrears total</t>
        </is>
      </c>
    </row>
    <row r="5">
      <c r="A5" s="15" t="inlineStr">
        <is>
          <t>Rents of assize total</t>
        </is>
      </c>
    </row>
    <row r="6">
      <c r="A6" s="15" t="inlineStr">
        <is>
          <t>Quittances total</t>
        </is>
      </c>
    </row>
    <row r="7">
      <c r="A7" s="15" t="inlineStr">
        <is>
          <t>Defaults of rent total</t>
        </is>
      </c>
    </row>
    <row r="8">
      <c r="A8" s="9" t="inlineStr">
        <is>
          <t>Defaults of rent through the pestilence total</t>
        </is>
      </c>
    </row>
    <row r="9">
      <c r="A9" s="9" t="inlineStr">
        <is>
          <t>Cotlands defaults total</t>
        </is>
      </c>
    </row>
    <row r="10">
      <c r="A10" s="9" t="inlineStr">
        <is>
          <t>Cotlands total</t>
        </is>
      </c>
    </row>
    <row r="11">
      <c r="A11" s="9" t="inlineStr">
        <is>
          <t>Total of quittances and defaults of rent total</t>
        </is>
      </c>
    </row>
    <row r="12">
      <c r="A12" s="9" t="inlineStr">
        <is>
          <t>Total of rents remaining clear total</t>
        </is>
      </c>
    </row>
    <row r="13">
      <c r="A13" s="9" t="inlineStr">
        <is>
          <t>Farms total</t>
        </is>
      </c>
    </row>
    <row r="14">
      <c r="A14" s="15" t="inlineStr">
        <is>
          <t>Annual recognizances total</t>
        </is>
      </c>
    </row>
    <row r="15">
      <c r="A15" s="15" t="inlineStr">
        <is>
          <t>Issues of the Manor total</t>
        </is>
      </c>
    </row>
    <row r="16">
      <c r="A16" s="9" t="inlineStr">
        <is>
          <t>Issues of the tenements in the lord's hands total</t>
        </is>
      </c>
    </row>
    <row r="17">
      <c r="A17" s="9" t="inlineStr">
        <is>
          <t>Sale of labour services total</t>
        </is>
      </c>
    </row>
    <row r="18">
      <c r="A18" s="15" t="inlineStr">
        <is>
          <t>Sale of corn total</t>
        </is>
      </c>
    </row>
    <row r="19">
      <c r="A19" s="15" t="inlineStr">
        <is>
          <t>Entry and marriage fines total</t>
        </is>
      </c>
    </row>
    <row r="20">
      <c r="A20" s="15" t="inlineStr">
        <is>
          <t>Pleas &amp; perquisites total</t>
        </is>
      </c>
    </row>
    <row r="21">
      <c r="A21" s="9" t="inlineStr">
        <is>
          <t>Forfeited chattels total</t>
        </is>
      </c>
    </row>
    <row r="22">
      <c r="A22" s="9" t="inlineStr">
        <is>
          <t>Farm of the demesne land total</t>
        </is>
      </c>
    </row>
    <row r="23">
      <c r="A23" s="81" t="inlineStr">
        <is>
          <t>Total of all receipts (calculated here)</t>
        </is>
      </c>
      <c r="B23" s="72">
        <f>Receipts!F168</f>
        <v/>
      </c>
    </row>
    <row r="24">
      <c r="A24" s="82" t="inlineStr">
        <is>
          <t>Total of all receipts (calculated here) incl arrears</t>
        </is>
      </c>
      <c r="B24" s="72">
        <f>Receipts!F169</f>
        <v/>
      </c>
    </row>
    <row r="25">
      <c r="A25" s="83" t="inlineStr">
        <is>
          <t>Total recorded in the accounts excl. arrears</t>
        </is>
      </c>
      <c r="B25" s="72">
        <f>Receipts!F167</f>
        <v/>
      </c>
      <c r="C25" s="127">
        <f>B25-B23</f>
        <v/>
      </c>
    </row>
    <row r="26">
      <c r="A26" s="83" t="inlineStr">
        <is>
          <t>Total recorded in the accounts incl. arrears</t>
        </is>
      </c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</row>
    <row r="31">
      <c r="A31" s="15" t="inlineStr">
        <is>
          <t>Purchase of corn total</t>
        </is>
      </c>
    </row>
    <row r="32">
      <c r="A32" s="15" t="inlineStr">
        <is>
          <t>Cost of carts and wagons total</t>
        </is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</row>
    <row r="35">
      <c r="A35" s="15" t="inlineStr">
        <is>
          <t>Sheepcote total</t>
        </is>
      </c>
    </row>
    <row r="36">
      <c r="A36" s="15" t="inlineStr">
        <is>
          <t>Cost of buildings total</t>
        </is>
      </c>
    </row>
    <row r="37">
      <c r="A37" s="15" t="inlineStr">
        <is>
          <t>Threshing total</t>
        </is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</row>
    <row r="42">
      <c r="A42" s="15" t="inlineStr">
        <is>
          <t>Steward's expenses total</t>
        </is>
      </c>
    </row>
    <row r="43">
      <c r="A43" s="85" t="inlineStr">
        <is>
          <t>Annual fees</t>
        </is>
      </c>
    </row>
    <row r="44">
      <c r="A44" s="82" t="inlineStr">
        <is>
          <t>Total of all expenses per account</t>
        </is>
      </c>
      <c r="B44" s="72">
        <f>Expenses!F122</f>
        <v/>
      </c>
    </row>
    <row r="45">
      <c r="A45" s="82" t="inlineStr">
        <is>
          <t>Total of all expenses (calculated here)</t>
        </is>
      </c>
      <c r="B45" s="72">
        <f>Expenses!F123</f>
        <v/>
      </c>
    </row>
    <row r="46">
      <c r="A46" s="82" t="inlineStr">
        <is>
          <t>Total fixed investment</t>
        </is>
      </c>
      <c r="B46" s="72">
        <f>Expenses!F124</f>
        <v/>
      </c>
    </row>
    <row r="47">
      <c r="A47" s="82" t="inlineStr">
        <is>
          <t>Total Demesne fixed investment</t>
        </is>
      </c>
      <c r="B47" s="72">
        <f>Expenses!F125</f>
        <v/>
      </c>
    </row>
    <row r="48">
      <c r="A48" s="12" t="n"/>
    </row>
    <row r="49">
      <c r="A49" s="18" t="inlineStr">
        <is>
          <t>Owed by the reeve</t>
        </is>
      </c>
    </row>
    <row r="50">
      <c r="A50" s="18" t="inlineStr">
        <is>
          <t>From accounts</t>
        </is>
      </c>
    </row>
    <row r="51">
      <c r="A51" s="15" t="n"/>
    </row>
    <row r="52">
      <c r="A52" s="18" t="inlineStr">
        <is>
          <t>Allowances</t>
        </is>
      </c>
    </row>
    <row r="53">
      <c r="A53" s="18" t="inlineStr">
        <is>
          <t>Cash deliveries</t>
        </is>
      </c>
    </row>
    <row r="54">
      <c r="A54" s="19" t="inlineStr">
        <is>
          <t>Sum of the above</t>
        </is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  <c r="B60" s="120" t="inlineStr">
        <is>
          <t>Total Production</t>
        </is>
      </c>
      <c r="D60" s="54" t="n"/>
      <c r="E60" s="54" t="n"/>
      <c r="F60" s="55" t="n"/>
    </row>
    <row r="61">
      <c r="A61" s="8" t="inlineStr">
        <is>
          <t>Grange</t>
        </is>
      </c>
      <c r="B61" s="89" t="inlineStr">
        <is>
          <t>qrs</t>
        </is>
      </c>
      <c r="C61" s="90" t="n"/>
      <c r="D61" s="9" t="n"/>
      <c r="E61" s="128" t="inlineStr">
        <is>
          <t>Value of total gross production in £</t>
        </is>
      </c>
      <c r="F61" s="128" t="inlineStr">
        <is>
          <t>Value of total net production in £</t>
        </is>
      </c>
    </row>
    <row r="62" ht="15" customHeight="1">
      <c r="A62" t="inlineStr">
        <is>
          <t>wheat</t>
        </is>
      </c>
      <c r="B62" s="72">
        <f>'Issues of the Grange'!B2</f>
        <v/>
      </c>
      <c r="E62" s="72">
        <f>'Issues of the Grange'!I2</f>
        <v/>
      </c>
      <c r="F62" s="72">
        <f>'Issues of the Grange'!O14</f>
        <v/>
      </c>
    </row>
    <row r="63" ht="15" customHeight="1">
      <c r="A63" t="inlineStr">
        <is>
          <t>curall</t>
        </is>
      </c>
      <c r="B63" s="72">
        <f>'Issues of the Grange'!B3</f>
        <v/>
      </c>
      <c r="E63" s="72">
        <f>'Issues of the Grange'!I3</f>
        <v/>
      </c>
      <c r="F63" s="72">
        <f>'Issues of the Grange'!O15</f>
        <v/>
      </c>
    </row>
    <row r="64" ht="15" customHeight="1">
      <c r="A64" t="inlineStr">
        <is>
          <t>barley</t>
        </is>
      </c>
      <c r="B64" s="72">
        <f>'Issues of the Grange'!B4</f>
        <v/>
      </c>
      <c r="E64" s="72">
        <f>'Issues of the Grange'!I4</f>
        <v/>
      </c>
      <c r="F64" s="72">
        <f>'Issues of the Grange'!O16</f>
        <v/>
      </c>
    </row>
    <row r="65" ht="15" customHeight="1">
      <c r="A65" t="inlineStr">
        <is>
          <t>oats</t>
        </is>
      </c>
      <c r="B65" s="72">
        <f>'Issues of the Grange'!B5</f>
        <v/>
      </c>
      <c r="E65" s="72">
        <f>'Issues of the Grange'!I5</f>
        <v/>
      </c>
      <c r="F65" s="72">
        <f>'Issues of the Grange'!O17</f>
        <v/>
      </c>
    </row>
    <row r="66" ht="15" customHeight="1">
      <c r="A66" t="inlineStr">
        <is>
          <t>peas</t>
        </is>
      </c>
      <c r="B66" s="72">
        <f>'Issues of the Grange'!B6</f>
        <v/>
      </c>
      <c r="E66" s="72">
        <f>'Issues of the Grange'!I6</f>
        <v/>
      </c>
      <c r="F66" s="72">
        <f>'Issues of the Grange'!O18</f>
        <v/>
      </c>
    </row>
    <row r="67" ht="15" customHeight="1">
      <c r="A67" t="inlineStr">
        <is>
          <t>vetches</t>
        </is>
      </c>
      <c r="B67" s="72">
        <f>'Issues of the Grange'!B7</f>
        <v/>
      </c>
      <c r="E67" s="72">
        <f>'Issues of the Grange'!I7</f>
        <v/>
      </c>
      <c r="F67" s="72">
        <f>'Issues of the Grange'!O19</f>
        <v/>
      </c>
    </row>
    <row r="68">
      <c r="A68" s="17" t="inlineStr">
        <is>
          <t>Total value of gross production (sum of the above)</t>
        </is>
      </c>
      <c r="B68" s="70" t="n"/>
      <c r="C68" s="129" t="n"/>
      <c r="D68" s="70" t="n"/>
      <c r="E68" s="130">
        <f>SUM(E62:E67)</f>
        <v/>
      </c>
      <c r="F68" s="70" t="n"/>
    </row>
    <row r="69">
      <c r="A69" s="17" t="inlineStr">
        <is>
          <t>Total value of net production</t>
        </is>
      </c>
      <c r="B69" s="70" t="n"/>
      <c r="C69" s="129" t="n"/>
      <c r="D69" s="70" t="n"/>
      <c r="E69" s="130">
        <f>SUM(F62:F67)</f>
        <v/>
      </c>
      <c r="F69" s="70" t="n"/>
    </row>
    <row r="70">
      <c r="A70" s="17" t="inlineStr">
        <is>
          <t>Value of sales</t>
        </is>
      </c>
      <c r="B70" s="70" t="n"/>
      <c r="C70" s="129" t="n"/>
      <c r="D70" s="70" t="n"/>
      <c r="E70" s="130">
        <f>Receipts!F133</f>
        <v/>
      </c>
      <c r="F70" s="70" t="n"/>
    </row>
    <row r="71">
      <c r="A71" s="15" t="n"/>
    </row>
    <row r="72">
      <c r="A72" s="16" t="inlineStr">
        <is>
          <t>MILL ACCOUNT</t>
        </is>
      </c>
    </row>
    <row r="73">
      <c r="A73" s="8" t="inlineStr">
        <is>
          <t>Issues of the mill</t>
        </is>
      </c>
    </row>
    <row r="74">
      <c r="A74" s="15" t="inlineStr">
        <is>
          <t>Wheat</t>
        </is>
      </c>
    </row>
    <row r="75">
      <c r="A75" s="15" t="inlineStr">
        <is>
          <t>Oatmeal</t>
        </is>
      </c>
    </row>
    <row r="76">
      <c r="A76" s="15" t="inlineStr">
        <is>
          <t>1st grade malt</t>
        </is>
      </c>
    </row>
    <row r="77">
      <c r="A77" s="15" t="inlineStr">
        <is>
          <t>2nd grade malt</t>
        </is>
      </c>
    </row>
    <row r="78">
      <c r="A78" s="15" t="inlineStr">
        <is>
          <t>Maslin</t>
        </is>
      </c>
    </row>
    <row r="79">
      <c r="A79" s="17" t="inlineStr">
        <is>
          <t>Total value of production (sum of the above)</t>
        </is>
      </c>
    </row>
    <row r="80">
      <c r="A80" s="17" t="inlineStr">
        <is>
          <t>Value of sales</t>
        </is>
      </c>
    </row>
    <row r="81">
      <c r="A81" s="15" t="n"/>
    </row>
    <row r="82">
      <c r="A82" s="92" t="inlineStr">
        <is>
          <t>STOCK ACCOUNT</t>
        </is>
      </c>
      <c r="B82" s="70" t="n"/>
    </row>
    <row r="83">
      <c r="A83" s="21" t="inlineStr">
        <is>
          <t>Livestock</t>
        </is>
      </c>
      <c r="B83" s="131" t="inlineStr">
        <is>
          <t>Sales value in £</t>
        </is>
      </c>
    </row>
    <row r="84" ht="17" customHeight="1">
      <c r="A84" s="22" t="inlineStr">
        <is>
          <t>Cart-horses</t>
        </is>
      </c>
      <c r="B84">
        <f>Stock!T5</f>
        <v/>
      </c>
    </row>
    <row r="85" ht="17" customHeight="1">
      <c r="A85" s="22" t="inlineStr">
        <is>
          <t>Mares</t>
        </is>
      </c>
      <c r="B85">
        <f>Stock!T6</f>
        <v/>
      </c>
    </row>
    <row r="86">
      <c r="A86" s="15" t="inlineStr">
        <is>
          <t>Plough horses</t>
        </is>
      </c>
      <c r="B86">
        <f>Stock!T7</f>
        <v/>
      </c>
    </row>
    <row r="87">
      <c r="A87" s="15" t="inlineStr">
        <is>
          <t>Colts (2 years)</t>
        </is>
      </c>
      <c r="B87">
        <f>Stock!T8</f>
        <v/>
      </c>
    </row>
    <row r="88">
      <c r="A88" s="15" t="inlineStr">
        <is>
          <t>Colts (2 years)</t>
        </is>
      </c>
      <c r="B88">
        <f>Stock!T9</f>
        <v/>
      </c>
    </row>
    <row r="89">
      <c r="A89" s="15" t="inlineStr">
        <is>
          <t>Colts (1 year)</t>
        </is>
      </c>
      <c r="B89">
        <f>Stock!T10</f>
        <v/>
      </c>
    </row>
    <row r="90">
      <c r="A90" s="15" t="inlineStr">
        <is>
          <t>Foals</t>
        </is>
      </c>
      <c r="B90">
        <f>Stock!T11</f>
        <v/>
      </c>
    </row>
    <row r="91">
      <c r="A91" s="15" t="inlineStr">
        <is>
          <t>Oxen</t>
        </is>
      </c>
      <c r="B91">
        <f>Stock!T12</f>
        <v/>
      </c>
    </row>
    <row r="92">
      <c r="A92" s="15" t="inlineStr">
        <is>
          <t>Bulls</t>
        </is>
      </c>
      <c r="B92">
        <f>Stock!T13</f>
        <v/>
      </c>
    </row>
    <row r="93">
      <c r="A93" s="15" t="inlineStr">
        <is>
          <t>Cows</t>
        </is>
      </c>
      <c r="B93">
        <f>Stock!T14</f>
        <v/>
      </c>
    </row>
    <row r="94">
      <c r="A94" s="15" t="inlineStr">
        <is>
          <t>Steers</t>
        </is>
      </c>
      <c r="B94">
        <f>Stock!T15</f>
        <v/>
      </c>
    </row>
    <row r="95">
      <c r="A95" s="15" t="inlineStr">
        <is>
          <t>Bullocks</t>
        </is>
      </c>
      <c r="B95">
        <f>Stock!T16</f>
        <v/>
      </c>
    </row>
    <row r="96">
      <c r="A96" s="15" t="inlineStr">
        <is>
          <t>Yearlings</t>
        </is>
      </c>
      <c r="B96">
        <f>Stock!T17</f>
        <v/>
      </c>
    </row>
    <row r="97">
      <c r="A97" s="15" t="inlineStr">
        <is>
          <t>Calves</t>
        </is>
      </c>
      <c r="B97">
        <f>Stock!T18</f>
        <v/>
      </c>
    </row>
    <row r="98">
      <c r="A98" s="15" t="inlineStr">
        <is>
          <t>Wethers</t>
        </is>
      </c>
      <c r="B98">
        <f>Stock!T19</f>
        <v/>
      </c>
    </row>
    <row r="99">
      <c r="A99" s="15" t="inlineStr">
        <is>
          <t>Rams</t>
        </is>
      </c>
      <c r="B99">
        <f>Stock!T20</f>
        <v/>
      </c>
    </row>
    <row r="100">
      <c r="A100" s="15" t="inlineStr">
        <is>
          <t>Ewes</t>
        </is>
      </c>
      <c r="B100">
        <f>Stock!T21</f>
        <v/>
      </c>
    </row>
    <row r="101">
      <c r="A101" s="15" t="inlineStr">
        <is>
          <t>Hoggs</t>
        </is>
      </c>
      <c r="B101">
        <f>Stock!T22</f>
        <v/>
      </c>
    </row>
    <row r="102">
      <c r="A102" s="15" t="inlineStr">
        <is>
          <t>Lambs</t>
        </is>
      </c>
      <c r="B102">
        <f>Stock!T23</f>
        <v/>
      </c>
    </row>
    <row r="103">
      <c r="A103" s="15" t="inlineStr">
        <is>
          <t>Boars</t>
        </is>
      </c>
      <c r="B103">
        <f>Stock!T24</f>
        <v/>
      </c>
    </row>
    <row r="104">
      <c r="A104" s="15" t="inlineStr">
        <is>
          <t>Sows</t>
        </is>
      </c>
      <c r="B104">
        <f>Stock!T25</f>
        <v/>
      </c>
    </row>
    <row r="105">
      <c r="A105" s="15" t="inlineStr">
        <is>
          <t>Pigs</t>
        </is>
      </c>
      <c r="B105">
        <f>Stock!T26</f>
        <v/>
      </c>
    </row>
    <row r="106">
      <c r="A106" s="15" t="inlineStr">
        <is>
          <t>Hoggets</t>
        </is>
      </c>
      <c r="B106">
        <f>Stock!T27</f>
        <v/>
      </c>
    </row>
    <row r="107">
      <c r="A107" s="15" t="inlineStr">
        <is>
          <t>Piglets</t>
        </is>
      </c>
      <c r="B107">
        <f>Stock!T28</f>
        <v/>
      </c>
    </row>
    <row r="108">
      <c r="A108" s="15" t="inlineStr">
        <is>
          <t>Swans</t>
        </is>
      </c>
      <c r="B108">
        <f>Stock!T29</f>
        <v/>
      </c>
    </row>
    <row r="109">
      <c r="A109" s="15" t="inlineStr">
        <is>
          <t>Peacocks</t>
        </is>
      </c>
      <c r="B109">
        <f>Stock!T30</f>
        <v/>
      </c>
    </row>
    <row r="110">
      <c r="A110" s="17" t="inlineStr">
        <is>
          <t>Total value of stock (sum of the above)</t>
        </is>
      </c>
      <c r="B110" s="70" t="n"/>
      <c r="C110" s="129" t="n"/>
    </row>
    <row r="111">
      <c r="A111" s="17" t="inlineStr">
        <is>
          <t>Total value of production</t>
        </is>
      </c>
      <c r="B111" s="70" t="n"/>
      <c r="C111" s="129" t="n"/>
    </row>
    <row r="112">
      <c r="A112" s="17" t="inlineStr">
        <is>
          <t>Value of sales</t>
        </is>
      </c>
      <c r="B112" s="130">
        <f>Stock!R31</f>
        <v/>
      </c>
      <c r="C112" s="129" t="n"/>
    </row>
    <row r="113">
      <c r="A113" s="15" t="n"/>
    </row>
    <row r="114">
      <c r="A114" s="16" t="inlineStr">
        <is>
          <t>Wool</t>
        </is>
      </c>
      <c r="B114" s="131" t="inlineStr">
        <is>
          <t>Value of production at sales prices £</t>
        </is>
      </c>
    </row>
    <row r="115" ht="15" customHeight="1">
      <c r="A115" t="inlineStr">
        <is>
          <t>Coarse wool</t>
        </is>
      </c>
      <c r="B115" s="72">
        <f>Stock!T35</f>
        <v/>
      </c>
    </row>
    <row r="116" ht="15" customHeight="1">
      <c r="A116" t="inlineStr">
        <is>
          <t>Lamb's wool</t>
        </is>
      </c>
      <c r="B116" s="72">
        <f>Stock!T36</f>
        <v/>
      </c>
    </row>
    <row r="117" ht="15" customHeight="1">
      <c r="A117" t="inlineStr">
        <is>
          <t>Wool locks</t>
        </is>
      </c>
      <c r="B117" s="72">
        <f>Stock!T37</f>
        <v/>
      </c>
    </row>
    <row r="118" ht="15" customHeight="1">
      <c r="A118" t="inlineStr">
        <is>
          <t>Wool sold at shearing</t>
        </is>
      </c>
      <c r="B118" s="72">
        <f>Stock!T38</f>
        <v/>
      </c>
    </row>
    <row r="119">
      <c r="A119" s="119" t="inlineStr">
        <is>
          <t>Total value of production (sum of the above)</t>
        </is>
      </c>
      <c r="B119" s="70">
        <f>Stock!T39</f>
        <v/>
      </c>
    </row>
    <row r="120">
      <c r="A120" s="119" t="inlineStr">
        <is>
          <t>Value of sales</t>
        </is>
      </c>
      <c r="B120" s="70">
        <f>Stock!R39</f>
        <v/>
      </c>
    </row>
    <row r="121">
      <c r="A121" s="8" t="n"/>
    </row>
    <row r="122">
      <c r="A122" s="16" t="inlineStr">
        <is>
          <t>Hides</t>
        </is>
      </c>
      <c r="B122" s="131" t="inlineStr">
        <is>
          <t>Value of production at sales prices £</t>
        </is>
      </c>
    </row>
    <row r="123">
      <c r="A123" s="15" t="inlineStr">
        <is>
          <t>Ox hides</t>
        </is>
      </c>
      <c r="B123">
        <f>Stock!T43</f>
        <v/>
      </c>
    </row>
    <row r="124">
      <c r="A124" s="15" t="inlineStr">
        <is>
          <t>Cow hides</t>
        </is>
      </c>
      <c r="B124">
        <f>Stock!T44</f>
        <v/>
      </c>
    </row>
    <row r="125">
      <c r="A125" s="15" t="inlineStr">
        <is>
          <t>Mare hides</t>
        </is>
      </c>
      <c r="B125">
        <f>Stock!T45</f>
        <v/>
      </c>
    </row>
    <row r="126">
      <c r="A126" s="15" t="inlineStr">
        <is>
          <t>Steer hides</t>
        </is>
      </c>
      <c r="B126">
        <f>Stock!T46</f>
        <v/>
      </c>
    </row>
    <row r="127">
      <c r="A127" s="15" t="inlineStr">
        <is>
          <t>Yearling Calf hides</t>
        </is>
      </c>
      <c r="B127">
        <f>Stock!T47</f>
        <v/>
      </c>
    </row>
    <row r="128">
      <c r="A128" s="15" t="inlineStr">
        <is>
          <t>Calf hides</t>
        </is>
      </c>
      <c r="B128">
        <f>Stock!T48</f>
        <v/>
      </c>
    </row>
    <row r="129">
      <c r="A129" s="23" t="inlineStr">
        <is>
          <t>Pig hides</t>
        </is>
      </c>
      <c r="B129">
        <f>Stock!T49</f>
        <v/>
      </c>
    </row>
    <row r="130">
      <c r="A130" s="24" t="inlineStr">
        <is>
          <t>Wether woolskins</t>
        </is>
      </c>
      <c r="B130">
        <f>Stock!T50</f>
        <v/>
      </c>
    </row>
    <row r="131">
      <c r="A131" s="24" t="inlineStr">
        <is>
          <t>Ram woolskins</t>
        </is>
      </c>
      <c r="B131">
        <f>Stock!T51</f>
        <v/>
      </c>
    </row>
    <row r="132">
      <c r="A132" s="24" t="inlineStr">
        <is>
          <t>Ewe woolskins</t>
        </is>
      </c>
      <c r="B132">
        <f>Stock!T52</f>
        <v/>
      </c>
    </row>
    <row r="133">
      <c r="A133" s="24" t="inlineStr">
        <is>
          <t>Hogg woolskins</t>
        </is>
      </c>
      <c r="B133">
        <f>Stock!T53</f>
        <v/>
      </c>
    </row>
    <row r="134">
      <c r="A134" s="25" t="inlineStr">
        <is>
          <t>Woolskins (total)</t>
        </is>
      </c>
      <c r="B134">
        <f>Stock!T54</f>
        <v/>
      </c>
    </row>
    <row r="135">
      <c r="A135" s="24" t="inlineStr">
        <is>
          <t>Wether bareskins</t>
        </is>
      </c>
      <c r="B135">
        <f>Stock!T55</f>
        <v/>
      </c>
    </row>
    <row r="136">
      <c r="A136" s="24" t="inlineStr">
        <is>
          <t>Ram bareskins</t>
        </is>
      </c>
      <c r="B136">
        <f>Stock!T56</f>
        <v/>
      </c>
    </row>
    <row r="137">
      <c r="A137" s="24" t="inlineStr">
        <is>
          <t>Ewe bareskins</t>
        </is>
      </c>
      <c r="B137">
        <f>Stock!T57</f>
        <v/>
      </c>
    </row>
    <row r="138">
      <c r="A138" s="24" t="inlineStr">
        <is>
          <t>Hogg bareskins</t>
        </is>
      </c>
      <c r="B138">
        <f>Stock!T58</f>
        <v/>
      </c>
    </row>
    <row r="139">
      <c r="A139" s="25" t="inlineStr">
        <is>
          <t>Bareskins (total)</t>
        </is>
      </c>
      <c r="B139">
        <f>Stock!T59</f>
        <v/>
      </c>
    </row>
    <row r="140">
      <c r="A140" s="15" t="inlineStr">
        <is>
          <t>Lambskins</t>
        </is>
      </c>
      <c r="B140">
        <f>Stock!T60</f>
        <v/>
      </c>
    </row>
    <row r="141">
      <c r="A141" s="15" t="inlineStr">
        <is>
          <t>Rotted skins</t>
        </is>
      </c>
      <c r="B141">
        <f>Stock!T61</f>
        <v/>
      </c>
    </row>
    <row r="142">
      <c r="A142" s="15" t="inlineStr">
        <is>
          <t>Shorn skins</t>
        </is>
      </c>
      <c r="B142">
        <f>Stock!T62</f>
        <v/>
      </c>
    </row>
    <row r="143">
      <c r="A143" s="17" t="inlineStr">
        <is>
          <t>Total value of production (sum of the above)</t>
        </is>
      </c>
      <c r="B143" s="70">
        <f>Stock!T65</f>
        <v/>
      </c>
    </row>
    <row r="144">
      <c r="A144" s="17" t="inlineStr">
        <is>
          <t>Value of sales</t>
        </is>
      </c>
      <c r="B144" s="70">
        <f>Stock!R65</f>
        <v/>
      </c>
    </row>
    <row r="145">
      <c r="A145" s="15" t="n"/>
    </row>
    <row r="146">
      <c r="A146" s="16" t="inlineStr">
        <is>
          <t>Poultry stock</t>
        </is>
      </c>
      <c r="B146" s="131" t="inlineStr">
        <is>
          <t>Value of production at sales prices £</t>
        </is>
      </c>
    </row>
    <row r="147" ht="17" customHeight="1">
      <c r="A147" s="22" t="inlineStr">
        <is>
          <t>Hens</t>
        </is>
      </c>
      <c r="B147">
        <f>Stock!T69</f>
        <v/>
      </c>
    </row>
    <row r="148">
      <c r="A148" s="15" t="inlineStr">
        <is>
          <t>Geese</t>
        </is>
      </c>
      <c r="B148">
        <f>Stock!T70</f>
        <v/>
      </c>
    </row>
    <row r="149">
      <c r="A149" s="15" t="inlineStr">
        <is>
          <t>Capons (from chickens)</t>
        </is>
      </c>
      <c r="B149">
        <f>Stock!T71</f>
        <v/>
      </c>
    </row>
    <row r="150">
      <c r="A150" s="15" t="inlineStr">
        <is>
          <t>Cocks &amp; hens</t>
        </is>
      </c>
      <c r="B150">
        <f>Stock!T72</f>
        <v/>
      </c>
    </row>
    <row r="151">
      <c r="A151" s="119" t="inlineStr">
        <is>
          <t>Total value of production (sum of the above)</t>
        </is>
      </c>
      <c r="B151" s="70">
        <f>SUM(B147:B150)</f>
        <v/>
      </c>
    </row>
    <row r="152">
      <c r="A152" s="119" t="inlineStr">
        <is>
          <t>Value of sales</t>
        </is>
      </c>
      <c r="B152" s="70" t="n"/>
    </row>
    <row r="153">
      <c r="A153" s="15" t="n"/>
    </row>
    <row r="154">
      <c r="A154" s="16" t="inlineStr">
        <is>
          <t>Poultry production</t>
        </is>
      </c>
      <c r="B154" s="131" t="inlineStr">
        <is>
          <t>Value of production at sales prices £</t>
        </is>
      </c>
    </row>
    <row r="155">
      <c r="A155" s="15" t="inlineStr">
        <is>
          <t>Eggs</t>
        </is>
      </c>
      <c r="B155">
        <f>Stock!T77</f>
        <v/>
      </c>
    </row>
    <row r="156">
      <c r="A156" s="15" t="inlineStr">
        <is>
          <t>Cocks &amp; hens from churchscot of customary tenants</t>
        </is>
      </c>
      <c r="B156">
        <f>Stock!T78</f>
        <v/>
      </c>
    </row>
    <row r="157">
      <c r="A157" s="15" t="inlineStr">
        <is>
          <t>Sum of above</t>
        </is>
      </c>
      <c r="B157">
        <f>Stock!T79</f>
        <v/>
      </c>
    </row>
    <row r="158">
      <c r="A158" s="17" t="inlineStr">
        <is>
          <t>Total value of stock</t>
        </is>
      </c>
      <c r="B158" s="70">
        <f>Stock!T80</f>
        <v/>
      </c>
    </row>
    <row r="159">
      <c r="A159" s="17" t="inlineStr">
        <is>
          <t>Value of sales</t>
        </is>
      </c>
      <c r="B159" s="70">
        <f>Stock!R80</f>
        <v/>
      </c>
    </row>
    <row r="160">
      <c r="A160" s="15" t="n"/>
    </row>
    <row r="161">
      <c r="A161" s="16" t="inlineStr">
        <is>
          <t>Dairy Production</t>
        </is>
      </c>
      <c r="B161" s="131" t="inlineStr">
        <is>
          <t>Value of production at sales prices £</t>
        </is>
      </c>
    </row>
    <row r="162">
      <c r="A162" s="15" t="inlineStr">
        <is>
          <t>Butter</t>
        </is>
      </c>
      <c r="B162">
        <f>Stock!T95</f>
        <v/>
      </c>
    </row>
    <row r="163">
      <c r="A163" s="15" t="inlineStr">
        <is>
          <t>Winter Cheese</t>
        </is>
      </c>
      <c r="B163">
        <f>Stock!T90</f>
        <v/>
      </c>
    </row>
    <row r="164">
      <c r="A164" s="15" t="inlineStr">
        <is>
          <t>Summer Cheese</t>
        </is>
      </c>
      <c r="B164" s="72">
        <f>Stock!T91</f>
        <v/>
      </c>
    </row>
    <row r="165">
      <c r="A165" s="17" t="inlineStr">
        <is>
          <t>Total value of production (sum of the above)</t>
        </is>
      </c>
      <c r="B165" s="130">
        <f>SUM(B162:B164)</f>
        <v/>
      </c>
    </row>
    <row r="166">
      <c r="A166" s="17" t="inlineStr">
        <is>
          <t>Value of sales</t>
        </is>
      </c>
      <c r="B166" s="130">
        <f>Stock!R96+Stock!R92</f>
        <v/>
      </c>
    </row>
    <row r="167">
      <c r="A167" s="15" t="n"/>
    </row>
    <row r="168">
      <c r="A168" s="15" t="n"/>
    </row>
    <row r="169" ht="17" customHeight="1"/>
    <row r="170" ht="17" customHeight="1">
      <c r="A170" s="103" t="n"/>
      <c r="B170" s="132" t="n"/>
    </row>
    <row r="171">
      <c r="A171" s="97" t="inlineStr">
        <is>
          <t>Total Production Value of all Output (Grange, Dairy, Livestock Sales, Wools, Skins - NO Mill)</t>
        </is>
      </c>
      <c r="B171" s="133">
        <f>B165+B158+B151+B143+B119+B112+E69</f>
        <v/>
      </c>
    </row>
    <row r="172">
      <c r="A172" s="98" t="inlineStr">
        <is>
          <t>Total Sales Value of all Output as defined above</t>
        </is>
      </c>
      <c r="B172" s="133">
        <f>B166+B159+B152+B144+B120+B112+E70</f>
        <v/>
      </c>
    </row>
    <row r="173">
      <c r="A173" s="98" t="inlineStr">
        <is>
          <t>Total Sales of Corn + Issues of the Manor as recorded in account</t>
        </is>
      </c>
      <c r="B173" s="133">
        <f>Receipts!F133+Receipts!F118</f>
        <v/>
      </c>
    </row>
    <row r="174">
      <c r="A174" s="98" t="inlineStr">
        <is>
          <t>Production Value + Cash Receipts (excl. Arrears, Issues, Corn and Mill)</t>
        </is>
      </c>
      <c r="B174" s="133">
        <f>B171+Receipts!F39+Receipts!F53+Receipts!F57+Receipts!F64+Receipts!F68+Receipts!F122+Receipts!F149+Receipts!F156+Receipts!F165</f>
        <v/>
      </c>
    </row>
    <row r="175">
      <c r="A175" s="99" t="n"/>
      <c r="B175" s="134" t="n"/>
    </row>
    <row r="176">
      <c r="A176" s="100" t="inlineStr">
        <is>
          <t>% of capital expenses in terms of total production</t>
        </is>
      </c>
      <c r="B176" s="135">
        <f>B47/B171</f>
        <v/>
      </c>
    </row>
    <row r="177">
      <c r="A177" s="98" t="inlineStr">
        <is>
          <t>% of capital expenses in terms of total production + cash receipts</t>
        </is>
      </c>
      <c r="B177" s="135">
        <f>B47/B174</f>
        <v/>
      </c>
    </row>
    <row r="178">
      <c r="A178" s="99" t="n"/>
      <c r="B178" s="134" t="n"/>
    </row>
    <row r="179" ht="17" customHeight="1">
      <c r="A179" s="101" t="inlineStr">
        <is>
          <t>% of capital expenses as calculated previously</t>
        </is>
      </c>
      <c r="B179" s="136" t="n"/>
    </row>
  </sheetData>
  <mergeCells count="1">
    <mergeCell ref="B60:C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9"/>
  <sheetViews>
    <sheetView topLeftCell="A1" workbookViewId="0">
      <selection activeCell="A1" sqref="A1"/>
    </sheetView>
  </sheetViews>
  <sheetFormatPr baseColWidth="8" defaultRowHeight="15"/>
  <cols>
    <col width="33.83203125" customWidth="1" min="1" max="1"/>
    <col width="8.83203125" customWidth="1" min="6" max="6"/>
    <col width="8.83203125" customWidth="1" min="7" max="7"/>
  </cols>
  <sheetData>
    <row r="1" ht="16" customHeight="1">
      <c r="A1" s="2" t="inlineStr">
        <is>
          <t>HAMBLEDON RECEIPTS</t>
        </is>
      </c>
      <c r="E1" s="10" t="n"/>
      <c r="F1" s="26" t="n"/>
      <c r="G1" s="137" t="n"/>
    </row>
    <row r="2" ht="16" customHeight="1">
      <c r="A2" s="11" t="inlineStr">
        <is>
          <t>Heading</t>
        </is>
      </c>
      <c r="B2" s="3" t="inlineStr">
        <is>
          <t>£</t>
        </is>
      </c>
      <c r="C2" s="4" t="inlineStr">
        <is>
          <t xml:space="preserve">s </t>
        </is>
      </c>
      <c r="D2" s="4" t="inlineStr">
        <is>
          <t>d</t>
        </is>
      </c>
      <c r="E2" s="4" t="n"/>
      <c r="F2" s="138" t="inlineStr">
        <is>
          <t>Total in £</t>
        </is>
      </c>
      <c r="G2" s="139" t="inlineStr">
        <is>
          <t>Error</t>
        </is>
      </c>
      <c r="H2" s="7" t="inlineStr">
        <is>
          <t>Notes</t>
        </is>
      </c>
      <c r="I2" s="14" t="inlineStr">
        <is>
          <t>Own notes</t>
        </is>
      </c>
    </row>
    <row r="3">
      <c r="A3" t="inlineStr">
        <is>
          <t>Arrears</t>
        </is>
      </c>
      <c r="B3" t="n">
        <v>68</v>
      </c>
      <c r="C3" t="n">
        <v>12</v>
      </c>
      <c r="D3" t="n">
        <v>7.25</v>
      </c>
      <c r="F3" s="72" t="n">
        <v>68.63</v>
      </c>
      <c r="H3" t="inlineStr">
        <is>
          <t>Nicholas, bailiff, and William Bouelych', reeve, render account for £68 12 shilling 7.25pence of arrears from the previous year.</t>
        </is>
      </c>
    </row>
    <row r="4">
      <c r="A4" t="inlineStr">
        <is>
          <t>Arrears</t>
        </is>
      </c>
      <c r="B4" t="n">
        <v>0</v>
      </c>
      <c r="C4" t="n">
        <v>0</v>
      </c>
      <c r="D4" t="n">
        <v>0</v>
      </c>
      <c r="F4" s="72" t="n">
        <v>0</v>
      </c>
      <c r="H4" t="inlineStr">
        <is>
          <t>All delivered to Sir Geoffrey, treasurer of Wolvesey.</t>
        </is>
      </c>
    </row>
    <row r="5">
      <c r="A5" t="inlineStr">
        <is>
          <t>Arrears</t>
        </is>
      </c>
      <c r="B5" t="n">
        <v>0</v>
      </c>
      <c r="C5" t="n">
        <v>0</v>
      </c>
      <c r="D5" t="n">
        <v>0</v>
      </c>
      <c r="F5" s="72" t="n">
        <v>0</v>
      </c>
      <c r="H5" t="inlineStr">
        <is>
          <t>They are quit.</t>
        </is>
      </c>
    </row>
    <row r="6">
      <c r="A6" t="inlineStr">
        <is>
          <t>Arrears</t>
        </is>
      </c>
      <c r="F6" s="72" t="n">
        <v>68.63</v>
      </c>
      <c r="G6" s="140">
        <f>F6-F3</f>
        <v/>
      </c>
      <c r="H6" t="inlineStr">
        <is>
          <t>Total</t>
        </is>
      </c>
    </row>
    <row r="7"/>
    <row r="8">
      <c r="A8" t="inlineStr">
        <is>
          <t>Rents of assize</t>
        </is>
      </c>
      <c r="B8" t="n">
        <v>6</v>
      </c>
      <c r="C8" t="n">
        <v>13</v>
      </c>
      <c r="D8" t="n">
        <v>11.25</v>
      </c>
      <c r="F8" s="72" t="n">
        <v>6.7</v>
      </c>
      <c r="H8" t="inlineStr">
        <is>
          <t>The same render account for £6 13 shilling 11.25pence for rents of assize at Christmas.</t>
        </is>
      </c>
    </row>
    <row r="9">
      <c r="A9" t="inlineStr">
        <is>
          <t>Rents of assize</t>
        </is>
      </c>
      <c r="B9" t="n">
        <v>7</v>
      </c>
      <c r="C9" t="n">
        <v>9</v>
      </c>
      <c r="D9" t="n">
        <v>1</v>
      </c>
      <c r="F9" s="72" t="n">
        <v>7.45</v>
      </c>
      <c r="H9" t="inlineStr">
        <is>
          <t>£7 9 shilling 1pence at Easter (22 April).</t>
        </is>
      </c>
    </row>
    <row r="10">
      <c r="A10" t="inlineStr">
        <is>
          <t>Rents of assize</t>
        </is>
      </c>
      <c r="B10" t="n">
        <v>6</v>
      </c>
      <c r="C10" t="n">
        <v>13</v>
      </c>
      <c r="D10" t="n">
        <v>11.25</v>
      </c>
      <c r="F10" s="72" t="n">
        <v>6.7</v>
      </c>
      <c r="H10" t="inlineStr">
        <is>
          <t>£6 13 shilling 11.25pence at St John the Baptist (24 June).</t>
        </is>
      </c>
    </row>
    <row r="11">
      <c r="A11" t="inlineStr">
        <is>
          <t>Rents of assize</t>
        </is>
      </c>
      <c r="B11" t="n">
        <v>11</v>
      </c>
      <c r="C11" t="n">
        <v>10</v>
      </c>
      <c r="D11" t="n">
        <v>10.75</v>
      </c>
      <c r="F11" s="72">
        <f>B11+C11/20+D11/240</f>
        <v/>
      </c>
      <c r="H11" t="inlineStr">
        <is>
          <t>£11 10 shilling 10.75pence at Michaelmas (29 September).</t>
        </is>
      </c>
    </row>
    <row r="12">
      <c r="A12" t="inlineStr">
        <is>
          <t>Rents of assize</t>
        </is>
      </c>
      <c r="B12" t="n">
        <v>32</v>
      </c>
      <c r="C12" t="n">
        <v>7</v>
      </c>
      <c r="D12" t="n">
        <v>10.25</v>
      </c>
      <c r="F12" s="72" t="n">
        <v>32.39</v>
      </c>
      <c r="H12" t="inlineStr">
        <is>
          <t>Total, £32 7 shilling 10.25pence</t>
        </is>
      </c>
    </row>
    <row r="13">
      <c r="A13" t="inlineStr">
        <is>
          <t>Rents of assize</t>
        </is>
      </c>
      <c r="F13" s="72">
        <f>SUM(F8:F11)</f>
        <v/>
      </c>
      <c r="G13" s="140">
        <f>F13-F12</f>
        <v/>
      </c>
      <c r="H13" t="inlineStr">
        <is>
          <t>Total</t>
        </is>
      </c>
    </row>
    <row r="14"/>
    <row r="15">
      <c r="A15" t="inlineStr">
        <is>
          <t>Increment</t>
        </is>
      </c>
      <c r="B15" t="n">
        <v>0</v>
      </c>
      <c r="C15" t="n">
        <v>0</v>
      </c>
      <c r="D15" t="n">
        <v>1</v>
      </c>
      <c r="F15" s="72">
        <f>B15+C15/20+D15/240</f>
        <v/>
      </c>
      <c r="H15" t="inlineStr">
        <is>
          <t>The same render account for 1pence for the increment of rent from Robert Faber to have 1 plot of land, 12 feet long and 5 feet wide, in the vill of Hambledon.</t>
        </is>
      </c>
    </row>
    <row r="16">
      <c r="A16" t="inlineStr">
        <is>
          <t>Increment</t>
        </is>
      </c>
      <c r="B16" t="n">
        <v>0</v>
      </c>
      <c r="C16" t="n">
        <v>0</v>
      </c>
      <c r="D16" t="n">
        <v>1</v>
      </c>
      <c r="F16" s="72">
        <f>B16+C16/20+D16/240</f>
        <v/>
      </c>
      <c r="H16" t="inlineStr">
        <is>
          <t xml:space="preserve">Total, 1pence </t>
        </is>
      </c>
    </row>
    <row r="17">
      <c r="A17" t="inlineStr">
        <is>
          <t>Increment</t>
        </is>
      </c>
      <c r="F17" s="72">
        <f>B17+C17/20+D17/240</f>
        <v/>
      </c>
      <c r="G17" s="140">
        <f>F17-F16</f>
        <v/>
      </c>
      <c r="H17" t="inlineStr">
        <is>
          <t>Total</t>
        </is>
      </c>
    </row>
    <row r="18"/>
    <row r="19">
      <c r="A19" t="inlineStr">
        <is>
          <t>Total Rents</t>
        </is>
      </c>
      <c r="B19" t="n">
        <v>32</v>
      </c>
      <c r="C19" t="n">
        <v>7</v>
      </c>
      <c r="D19" t="n">
        <v>11.25</v>
      </c>
      <c r="F19" s="72" t="n">
        <v>32.4</v>
      </c>
      <c r="H19" t="inlineStr">
        <is>
          <t>Total of rents with increment, £32 7 shilling 11.25pence</t>
        </is>
      </c>
    </row>
    <row r="20">
      <c r="A20" t="inlineStr">
        <is>
          <t>Total Rents</t>
        </is>
      </c>
      <c r="F20" s="72">
        <f>F13+F17</f>
        <v/>
      </c>
      <c r="G20" s="140">
        <f>F20-F19</f>
        <v/>
      </c>
      <c r="H20" t="inlineStr">
        <is>
          <t>Total</t>
        </is>
      </c>
    </row>
    <row r="21"/>
    <row r="22">
      <c r="A22" t="inlineStr">
        <is>
          <t>Quittances</t>
        </is>
      </c>
      <c r="B22" t="n">
        <v>0</v>
      </c>
      <c r="C22" t="n">
        <v>2</v>
      </c>
      <c r="D22" t="n">
        <v>6</v>
      </c>
      <c r="F22" s="72" t="n">
        <v>0.12</v>
      </c>
      <c r="H22" t="inlineStr">
        <is>
          <t>In quittance of 1 reeve for the year 2 shilling 6pence.</t>
        </is>
      </c>
    </row>
    <row r="23">
      <c r="A23" t="inlineStr">
        <is>
          <t>Quittances</t>
        </is>
      </c>
      <c r="B23" t="n">
        <v>0</v>
      </c>
      <c r="C23" t="n">
        <v>2</v>
      </c>
      <c r="D23" t="n">
        <v>6</v>
      </c>
      <c r="F23" s="72" t="n">
        <v>0.12</v>
      </c>
      <c r="H23" t="inlineStr">
        <is>
          <t>1 bartoner for the year 2 shilling 6pence.</t>
        </is>
      </c>
    </row>
    <row r="24">
      <c r="A24" t="inlineStr">
        <is>
          <t>Quittances</t>
        </is>
      </c>
      <c r="B24" t="n">
        <v>0</v>
      </c>
      <c r="C24" t="n">
        <v>5</v>
      </c>
      <c r="D24" t="n">
        <v>0</v>
      </c>
      <c r="F24" s="72" t="n">
        <v>0.25</v>
      </c>
      <c r="H24" t="inlineStr">
        <is>
          <t>3 ploughmen for the year 5 shilling.</t>
        </is>
      </c>
    </row>
    <row r="25">
      <c r="A25" t="inlineStr">
        <is>
          <t>Quittances</t>
        </is>
      </c>
      <c r="B25" t="n">
        <v>0</v>
      </c>
      <c r="C25" t="n">
        <v>5</v>
      </c>
      <c r="D25" t="n">
        <v>0</v>
      </c>
      <c r="F25" s="72" t="n">
        <v>0.25</v>
      </c>
      <c r="H25" t="inlineStr">
        <is>
          <t>2 shepherds and 1 smith for the year 5 shilling.</t>
        </is>
      </c>
    </row>
    <row r="26">
      <c r="A26" t="inlineStr">
        <is>
          <t>Quittances</t>
        </is>
      </c>
      <c r="B26" t="n">
        <v>0</v>
      </c>
      <c r="C26" t="n">
        <v>1</v>
      </c>
      <c r="D26" t="n">
        <v>8</v>
      </c>
      <c r="F26" s="72" t="n">
        <v>0.08</v>
      </c>
      <c r="H26" t="inlineStr">
        <is>
          <t>1 cowherd for the year 1 shilling 8pence.</t>
        </is>
      </c>
    </row>
    <row r="27">
      <c r="A27" t="inlineStr">
        <is>
          <t>Quittances</t>
        </is>
      </c>
      <c r="B27" t="n">
        <v>0</v>
      </c>
      <c r="C27" t="n">
        <v>1</v>
      </c>
      <c r="D27" t="n">
        <v>8</v>
      </c>
      <c r="F27" s="72" t="n">
        <v>0.08</v>
      </c>
      <c r="H27" t="inlineStr">
        <is>
          <t xml:space="preserve">1 swineherd for the year 1 shilling 8pence </t>
        </is>
      </c>
    </row>
    <row r="28">
      <c r="A28" t="inlineStr">
        <is>
          <t>Quittances</t>
        </is>
      </c>
      <c r="B28" t="n">
        <v>0</v>
      </c>
      <c r="C28" t="n">
        <v>18</v>
      </c>
      <c r="D28" t="n">
        <v>4</v>
      </c>
      <c r="F28" s="72">
        <f>B28+C28/20+D28/240</f>
        <v/>
      </c>
      <c r="H28" t="inlineStr">
        <is>
          <t>Total, 18 shilling 4pence</t>
        </is>
      </c>
    </row>
    <row r="29">
      <c r="A29" t="inlineStr">
        <is>
          <t>Quittances</t>
        </is>
      </c>
      <c r="F29" s="72" t="n">
        <v>0.8999999999999999</v>
      </c>
      <c r="G29" s="140">
        <f>F29-F28</f>
        <v/>
      </c>
      <c r="H29" t="inlineStr">
        <is>
          <t>Total</t>
        </is>
      </c>
    </row>
    <row r="30"/>
    <row r="31">
      <c r="A31" t="inlineStr">
        <is>
          <t>Defaults of rent</t>
        </is>
      </c>
      <c r="B31" t="n">
        <v>0</v>
      </c>
      <c r="C31" t="n">
        <v>1</v>
      </c>
      <c r="D31" t="n">
        <v>6</v>
      </c>
      <c r="F31" s="72" t="n">
        <v>0.08</v>
      </c>
      <c r="H31" t="inlineStr">
        <is>
          <t>In default of the wood which Herbert' de Chidden' holds drawn into demesne, 1 shilling 6pence for the year.</t>
        </is>
      </c>
    </row>
    <row r="32">
      <c r="A32" t="inlineStr">
        <is>
          <t>Defaults of rent</t>
        </is>
      </c>
      <c r="B32" t="n">
        <v>0</v>
      </c>
      <c r="C32" t="n">
        <v>0</v>
      </c>
      <c r="D32" t="n">
        <v>6</v>
      </c>
      <c r="F32" s="72" t="n">
        <v>0.03</v>
      </c>
      <c r="H32" t="inlineStr">
        <is>
          <t>the land of Shortelond', 6pence for the year.</t>
        </is>
      </c>
    </row>
    <row r="33">
      <c r="A33" t="inlineStr">
        <is>
          <t>Defaults of rent</t>
        </is>
      </c>
      <c r="B33" t="n">
        <v>0</v>
      </c>
      <c r="C33" t="n">
        <v>0</v>
      </c>
      <c r="D33" t="n">
        <v>6</v>
      </c>
      <c r="F33" s="72" t="n">
        <v>0.03</v>
      </c>
      <c r="H33" t="inlineStr">
        <is>
          <t>1 grove of Vineys drawn into demesne, 6pence for the year.</t>
        </is>
      </c>
    </row>
    <row r="34">
      <c r="A34" t="inlineStr">
        <is>
          <t>Defaults of rent</t>
        </is>
      </c>
      <c r="B34" t="n">
        <v>0</v>
      </c>
      <c r="C34" t="n">
        <v>6</v>
      </c>
      <c r="D34" t="n">
        <v>0</v>
      </c>
      <c r="F34" s="72">
        <f>B34+C34/20+D34/240</f>
        <v/>
      </c>
      <c r="H34" t="inlineStr">
        <is>
          <t xml:space="preserve">the wood of Mannely which is in demesne through the death of the holder 6 shilling </t>
        </is>
      </c>
    </row>
    <row r="35">
      <c r="A35" t="inlineStr">
        <is>
          <t>Defaults of rent</t>
        </is>
      </c>
      <c r="B35" t="n">
        <v>0</v>
      </c>
      <c r="C35" t="n">
        <v>8</v>
      </c>
      <c r="D35" t="n">
        <v>6</v>
      </c>
      <c r="F35" s="72">
        <f>B35+C35/20+D35/240</f>
        <v/>
      </c>
      <c r="H35" t="inlineStr">
        <is>
          <t>Total, 8 shilling 6pence</t>
        </is>
      </c>
    </row>
    <row r="36">
      <c r="A36" t="inlineStr">
        <is>
          <t>Defaults of rent</t>
        </is>
      </c>
      <c r="F36" s="72">
        <f>SUM(F31:F34)</f>
        <v/>
      </c>
      <c r="G36" s="140">
        <f>F36-F35</f>
        <v/>
      </c>
      <c r="H36" t="inlineStr">
        <is>
          <t>Total</t>
        </is>
      </c>
    </row>
    <row r="37"/>
    <row r="38">
      <c r="A38" t="inlineStr">
        <is>
          <t>Total of rents remaining</t>
        </is>
      </c>
      <c r="B38" t="n">
        <v>31</v>
      </c>
      <c r="C38" t="n">
        <v>1</v>
      </c>
      <c r="D38" t="n">
        <v>1.25</v>
      </c>
      <c r="F38" s="72" t="n">
        <v>31.06</v>
      </c>
      <c r="H38" t="inlineStr">
        <is>
          <t>Total of rents remaining, £31 1 shilling 1.25pence</t>
        </is>
      </c>
    </row>
    <row r="39">
      <c r="A39" t="inlineStr">
        <is>
          <t>Total of rents remaining</t>
        </is>
      </c>
      <c r="F39" s="72" t="n">
        <v>31.06</v>
      </c>
      <c r="G39" s="140">
        <f>F39-F38</f>
        <v/>
      </c>
      <c r="H39" t="inlineStr">
        <is>
          <t>Total</t>
        </is>
      </c>
    </row>
    <row r="40"/>
    <row r="41">
      <c r="A41" t="inlineStr">
        <is>
          <t>Annual recognizance</t>
        </is>
      </c>
      <c r="B41" t="n">
        <v>0</v>
      </c>
      <c r="C41" t="n">
        <v>0</v>
      </c>
      <c r="D41" t="n">
        <v>3</v>
      </c>
      <c r="F41" s="72" t="n">
        <v>0.01</v>
      </c>
      <c r="H41" t="inlineStr">
        <is>
          <t>The same render account for 3pence from Walter ate Greve for recognizance.</t>
        </is>
      </c>
    </row>
    <row r="42">
      <c r="A42" t="inlineStr">
        <is>
          <t>Annual recognizance</t>
        </is>
      </c>
      <c r="B42" t="n">
        <v>0</v>
      </c>
      <c r="C42" t="n">
        <v>0</v>
      </c>
      <c r="D42" t="n">
        <v>3</v>
      </c>
      <c r="F42" s="72" t="n">
        <v>0.01</v>
      </c>
      <c r="H42" t="inlineStr">
        <is>
          <t>3pence from Stephen Blaysut to be able to remain in the hundred of East Meon.</t>
        </is>
      </c>
    </row>
    <row r="43">
      <c r="A43" t="inlineStr">
        <is>
          <t>Annual recognizance</t>
        </is>
      </c>
      <c r="B43" t="n">
        <v>0</v>
      </c>
      <c r="C43" t="n">
        <v>0</v>
      </c>
      <c r="D43" t="n">
        <v>3</v>
      </c>
      <c r="F43" s="72" t="n">
        <v>0.01</v>
      </c>
      <c r="H43" t="inlineStr">
        <is>
          <t>3pence from William le Boys for annual recognizance.</t>
        </is>
      </c>
    </row>
    <row r="44">
      <c r="A44" t="inlineStr">
        <is>
          <t>Annual recognizance</t>
        </is>
      </c>
      <c r="B44" t="n">
        <v>0</v>
      </c>
      <c r="C44" t="n">
        <v>0</v>
      </c>
      <c r="D44" t="n">
        <v>3</v>
      </c>
      <c r="F44" s="72" t="n">
        <v>0.01</v>
      </c>
      <c r="H44" t="inlineStr">
        <is>
          <t>3pence from Henry Faber for the same.</t>
        </is>
      </c>
    </row>
    <row r="45">
      <c r="A45" t="inlineStr">
        <is>
          <t>Annual recognizance</t>
        </is>
      </c>
      <c r="B45" t="n">
        <v>0</v>
      </c>
      <c r="C45" t="n">
        <v>0</v>
      </c>
      <c r="D45" t="n">
        <v>4</v>
      </c>
      <c r="F45" s="72" t="n">
        <v>0.02</v>
      </c>
      <c r="H45" t="inlineStr">
        <is>
          <t>4pence from Adam le Cauz for the same.</t>
        </is>
      </c>
    </row>
    <row r="46">
      <c r="A46" t="inlineStr">
        <is>
          <t>Annual recognizance</t>
        </is>
      </c>
      <c r="B46" t="n">
        <v>0</v>
      </c>
      <c r="C46" t="n">
        <v>0</v>
      </c>
      <c r="D46" t="n">
        <v>3</v>
      </c>
      <c r="F46" s="72" t="n">
        <v>0.01</v>
      </c>
      <c r="H46" t="inlineStr">
        <is>
          <t>3pence from Robert Buly for the same.</t>
        </is>
      </c>
    </row>
    <row r="47">
      <c r="A47" t="inlineStr">
        <is>
          <t>Annual recognizance</t>
        </is>
      </c>
      <c r="B47" t="n">
        <v>0</v>
      </c>
      <c r="C47" t="n">
        <v>0</v>
      </c>
      <c r="D47" t="n">
        <v>3</v>
      </c>
      <c r="F47" s="72" t="n">
        <v>0.01</v>
      </c>
      <c r="H47" t="inlineStr">
        <is>
          <t>3pence from William Tassor' for the same and henceforth nothing from the same because he is dead.</t>
        </is>
      </c>
    </row>
    <row r="48">
      <c r="A48" t="inlineStr">
        <is>
          <t>Annual recognizance</t>
        </is>
      </c>
      <c r="B48" t="n">
        <v>0</v>
      </c>
      <c r="C48" t="n">
        <v>0</v>
      </c>
      <c r="D48" t="n">
        <v>6</v>
      </c>
      <c r="F48" s="72" t="n">
        <v>0.03</v>
      </c>
      <c r="H48" t="inlineStr">
        <is>
          <t>6pence from Adam Cattefan for the same.</t>
        </is>
      </c>
    </row>
    <row r="49">
      <c r="A49" t="inlineStr">
        <is>
          <t>Annual recognizance</t>
        </is>
      </c>
      <c r="B49" t="n">
        <v>0</v>
      </c>
      <c r="C49" t="n">
        <v>0</v>
      </c>
      <c r="D49" t="n">
        <v>3</v>
      </c>
      <c r="F49" s="72" t="n">
        <v>0.01</v>
      </c>
      <c r="H49" t="inlineStr">
        <is>
          <t>3pence from Thomas Sharpe for the same.</t>
        </is>
      </c>
    </row>
    <row r="50">
      <c r="A50" t="inlineStr">
        <is>
          <t>Annual recognizance</t>
        </is>
      </c>
      <c r="B50" t="n">
        <v>0</v>
      </c>
      <c r="C50" t="n">
        <v>0</v>
      </c>
      <c r="D50" t="n">
        <v>6</v>
      </c>
      <c r="F50" s="72" t="n">
        <v>0.03</v>
      </c>
      <c r="H50" t="inlineStr">
        <is>
          <t>6pence from Roger Boys for the same.</t>
        </is>
      </c>
    </row>
    <row r="51">
      <c r="A51" t="inlineStr">
        <is>
          <t>Annual recognizance</t>
        </is>
      </c>
      <c r="B51" t="n">
        <v>0</v>
      </c>
      <c r="C51" t="n">
        <v>0</v>
      </c>
      <c r="D51" t="n">
        <v>3</v>
      </c>
      <c r="F51" s="72" t="n">
        <v>0.01</v>
      </c>
      <c r="H51" t="inlineStr">
        <is>
          <t>3pence from Jordan Boys for the same.</t>
        </is>
      </c>
    </row>
    <row r="52">
      <c r="A52" t="inlineStr">
        <is>
          <t>Annual recognizance</t>
        </is>
      </c>
      <c r="B52" t="n">
        <v>0</v>
      </c>
      <c r="C52" t="n">
        <v>3</v>
      </c>
      <c r="D52" t="n">
        <v>4</v>
      </c>
      <c r="F52" s="72" t="n">
        <v>0.17</v>
      </c>
      <c r="H52" t="inlineStr">
        <is>
          <t>Total, 3 shilling 4pence</t>
        </is>
      </c>
    </row>
    <row r="53">
      <c r="A53" t="inlineStr">
        <is>
          <t>Annual recognizance</t>
        </is>
      </c>
      <c r="F53" s="72" t="n">
        <v>0.16</v>
      </c>
      <c r="G53" s="140" t="n">
        <v>-0.01000000000000001</v>
      </c>
      <c r="H53" t="inlineStr">
        <is>
          <t>Total</t>
        </is>
      </c>
    </row>
    <row r="54"/>
    <row r="55">
      <c r="A55" t="inlineStr">
        <is>
          <t>Cumin</t>
        </is>
      </c>
      <c r="B55" t="n">
        <v>0</v>
      </c>
      <c r="C55" t="n">
        <v>0</v>
      </c>
      <c r="D55" t="n">
        <v>0</v>
      </c>
      <c r="F55" s="72" t="n">
        <v>0</v>
      </c>
      <c r="H55" t="inlineStr">
        <is>
          <t>The same render account for 1 lb of cumin from William Sicator' for the year.</t>
        </is>
      </c>
    </row>
    <row r="56">
      <c r="A56" t="inlineStr">
        <is>
          <t>Cumin</t>
        </is>
      </c>
      <c r="B56" t="n">
        <v>0</v>
      </c>
      <c r="C56" t="n">
        <v>0</v>
      </c>
      <c r="D56" t="n">
        <v>0</v>
      </c>
      <c r="F56" s="72" t="n">
        <v>0</v>
      </c>
      <c r="H56" t="inlineStr">
        <is>
          <t>delivered to Wolvesey.</t>
        </is>
      </c>
    </row>
    <row r="57">
      <c r="A57" t="inlineStr">
        <is>
          <t>Cumin</t>
        </is>
      </c>
      <c r="F57" s="72" t="n">
        <v>0</v>
      </c>
      <c r="G57" s="140" t="n">
        <v>0</v>
      </c>
      <c r="H57" t="inlineStr">
        <is>
          <t>Total</t>
        </is>
      </c>
    </row>
    <row r="58"/>
    <row r="59">
      <c r="A59" t="inlineStr">
        <is>
          <t>Wax</t>
        </is>
      </c>
      <c r="B59" t="n">
        <v>0</v>
      </c>
      <c r="C59" t="n">
        <v>0</v>
      </c>
      <c r="D59" t="n">
        <v>0</v>
      </c>
      <c r="F59" s="72" t="n">
        <v>0</v>
      </c>
      <c r="H59" t="inlineStr">
        <is>
          <t>The same render account for .5 lb of wax from Philip Visard to have maintenance.</t>
        </is>
      </c>
    </row>
    <row r="60">
      <c r="A60" t="inlineStr">
        <is>
          <t>Wax</t>
        </is>
      </c>
      <c r="B60" t="n">
        <v>0</v>
      </c>
      <c r="C60" t="n">
        <v>0</v>
      </c>
      <c r="D60" t="n">
        <v>0</v>
      </c>
      <c r="F60" s="72" t="n">
        <v>0</v>
      </c>
      <c r="H60" t="inlineStr">
        <is>
          <t>.5 lb from William le Ysmongar for the same.</t>
        </is>
      </c>
    </row>
    <row r="61">
      <c r="A61" t="inlineStr">
        <is>
          <t>Wax</t>
        </is>
      </c>
      <c r="B61" t="n">
        <v>0</v>
      </c>
      <c r="C61" t="n">
        <v>0</v>
      </c>
      <c r="D61" t="n">
        <v>0</v>
      </c>
      <c r="F61" s="72" t="n">
        <v>0</v>
      </c>
      <c r="H61" t="inlineStr">
        <is>
          <t>.5 lb from Thomas Messor for the same.</t>
        </is>
      </c>
    </row>
    <row r="62">
      <c r="A62" t="inlineStr">
        <is>
          <t>Wax</t>
        </is>
      </c>
      <c r="B62" t="n">
        <v>0</v>
      </c>
      <c r="C62" t="n">
        <v>0</v>
      </c>
      <c r="D62" t="n">
        <v>0</v>
      </c>
      <c r="F62" s="72" t="n">
        <v>0</v>
      </c>
      <c r="H62" t="inlineStr">
        <is>
          <t>Total, 1.5 lb.</t>
        </is>
      </c>
    </row>
    <row r="63">
      <c r="A63" t="inlineStr">
        <is>
          <t>Wax</t>
        </is>
      </c>
      <c r="B63" t="n">
        <v>0</v>
      </c>
      <c r="C63" t="n">
        <v>0</v>
      </c>
      <c r="D63" t="n">
        <v>0</v>
      </c>
      <c r="F63" s="72" t="n">
        <v>0</v>
      </c>
      <c r="H63" t="inlineStr">
        <is>
          <t>Delivered to Wolvesey.</t>
        </is>
      </c>
    </row>
    <row r="64">
      <c r="A64" t="inlineStr">
        <is>
          <t>Wax</t>
        </is>
      </c>
      <c r="F64" s="72" t="n">
        <v>0</v>
      </c>
      <c r="G64" s="140" t="n">
        <v>0</v>
      </c>
      <c r="H64" t="inlineStr">
        <is>
          <t>Total</t>
        </is>
      </c>
    </row>
    <row r="65"/>
    <row r="66">
      <c r="A66" t="inlineStr">
        <is>
          <t>Talents</t>
        </is>
      </c>
      <c r="B66" t="n">
        <v>0</v>
      </c>
      <c r="C66" t="n">
        <v>0</v>
      </c>
      <c r="D66" t="n">
        <v>0</v>
      </c>
      <c r="F66" s="72" t="n">
        <v>0</v>
      </c>
      <c r="H66" t="inlineStr">
        <is>
          <t>The same render account for 1 talent received from the vicar of Hambledon.</t>
        </is>
      </c>
    </row>
    <row r="67">
      <c r="A67" t="inlineStr">
        <is>
          <t>Talents</t>
        </is>
      </c>
      <c r="B67" t="n">
        <v>0</v>
      </c>
      <c r="C67" t="n">
        <v>0</v>
      </c>
      <c r="D67" t="n">
        <v>0</v>
      </c>
      <c r="F67" s="72" t="n">
        <v>0</v>
      </c>
      <c r="H67" t="inlineStr">
        <is>
          <t>delivered to Wolvesey.</t>
        </is>
      </c>
    </row>
    <row r="68">
      <c r="A68" t="inlineStr">
        <is>
          <t>Talents</t>
        </is>
      </c>
      <c r="F68" s="72" t="n">
        <v>0</v>
      </c>
      <c r="G68" s="140" t="n">
        <v>0</v>
      </c>
      <c r="H68" t="inlineStr">
        <is>
          <t>Total</t>
        </is>
      </c>
    </row>
    <row r="69"/>
    <row r="70">
      <c r="A70" t="inlineStr">
        <is>
          <t xml:space="preserve">Issues of the manor </t>
        </is>
      </c>
      <c r="B70" t="n">
        <v>1</v>
      </c>
      <c r="C70" t="n">
        <v>18</v>
      </c>
      <c r="D70" t="n">
        <v>4.5</v>
      </c>
      <c r="F70" t="n">
        <v>1.92</v>
      </c>
      <c r="H70" t="inlineStr">
        <is>
          <t>{henceforth mention should be made of the number of animals}The same render account for £1 18 shilling 4.5pence from pannage of pigs within this year.</t>
        </is>
      </c>
    </row>
    <row r="71">
      <c r="A71" t="inlineStr">
        <is>
          <t xml:space="preserve">Issues of the manor </t>
        </is>
      </c>
      <c r="B71" t="n">
        <v>1</v>
      </c>
      <c r="C71" t="n">
        <v>1</v>
      </c>
      <c r="D71" t="n">
        <v>0</v>
      </c>
      <c r="F71" t="n">
        <v>1.05</v>
      </c>
      <c r="H71" t="inlineStr">
        <is>
          <t>£1 1 shilling from foreign pannage.</t>
        </is>
      </c>
    </row>
    <row r="72">
      <c r="A72" t="inlineStr">
        <is>
          <t xml:space="preserve">Issues of the manor </t>
        </is>
      </c>
      <c r="B72" t="n">
        <v>1</v>
      </c>
      <c r="C72" t="n">
        <v>8</v>
      </c>
      <c r="D72" t="n">
        <v>6</v>
      </c>
      <c r="F72" t="n">
        <v>1.42</v>
      </c>
      <c r="H72" t="inlineStr">
        <is>
          <t>£1 8 shilling 6pence from pannage in the park.</t>
        </is>
      </c>
    </row>
    <row r="73">
      <c r="A73" t="inlineStr">
        <is>
          <t xml:space="preserve">Issues of the manor </t>
        </is>
      </c>
      <c r="B73" t="n">
        <v>0</v>
      </c>
      <c r="C73" t="n">
        <v>0</v>
      </c>
      <c r="D73" t="n">
        <v>0</v>
      </c>
      <c r="F73" t="n">
        <v>0</v>
      </c>
      <c r="H73" t="inlineStr">
        <is>
          <t>nothing from William de Chidden from now on because he does the labour service for part of his land.</t>
        </is>
      </c>
    </row>
    <row r="74">
      <c r="A74" t="inlineStr">
        <is>
          <t xml:space="preserve">Issues of the manor </t>
        </is>
      </c>
      <c r="B74" t="n">
        <v>0</v>
      </c>
      <c r="C74" t="n">
        <v>2</v>
      </c>
      <c r="D74" t="n">
        <v>6</v>
      </c>
      <c r="F74" t="n">
        <v>0.12</v>
      </c>
      <c r="H74" t="inlineStr">
        <is>
          <t>2 shilling 6pence from Robert Cocus for release from the labour service for the land of Dimmyng'.</t>
        </is>
      </c>
    </row>
    <row r="75">
      <c r="A75" t="inlineStr">
        <is>
          <t xml:space="preserve">Issues of the manor </t>
        </is>
      </c>
      <c r="B75" t="n">
        <v>0</v>
      </c>
      <c r="C75" t="n">
        <v>1</v>
      </c>
      <c r="D75" t="n">
        <v>8</v>
      </c>
      <c r="F75" t="n">
        <v>0.08</v>
      </c>
      <c r="H75" t="inlineStr">
        <is>
          <t>1 shilling 8pence from the same Robert for the labour service of the land which belonged to Richard Luce.</t>
        </is>
      </c>
    </row>
    <row r="76">
      <c r="A76" t="inlineStr">
        <is>
          <t xml:space="preserve">Issues of the manor </t>
        </is>
      </c>
      <c r="B76" t="n">
        <v>0</v>
      </c>
      <c r="C76" t="n">
        <v>0</v>
      </c>
      <c r="D76" t="n">
        <v>6</v>
      </c>
      <c r="F76" t="n">
        <v>0.03</v>
      </c>
      <c r="H76" t="inlineStr">
        <is>
          <t>6pence from the relict of Philip de Furnaeaus for release from the labour service for the land which belonged to Walter Elyot.</t>
        </is>
      </c>
    </row>
    <row r="77">
      <c r="A77" t="inlineStr">
        <is>
          <t xml:space="preserve">Issues of the manor </t>
        </is>
      </c>
      <c r="B77" t="n">
        <v>0</v>
      </c>
      <c r="C77" t="n">
        <v>2</v>
      </c>
      <c r="D77" t="n">
        <v>0</v>
      </c>
      <c r="F77" t="n">
        <v>0.1</v>
      </c>
      <c r="H77" t="inlineStr">
        <is>
          <t>2 shilling from cablish sold in the great wood.</t>
        </is>
      </c>
    </row>
    <row r="78">
      <c r="A78" t="inlineStr">
        <is>
          <t xml:space="preserve">Issues of the manor </t>
        </is>
      </c>
      <c r="B78" t="n">
        <v>0</v>
      </c>
      <c r="C78" t="n">
        <v>0</v>
      </c>
      <c r="D78" t="n">
        <v>0</v>
      </c>
      <c r="F78" t="n">
        <v>0</v>
      </c>
      <c r="H78" t="inlineStr">
        <is>
          <t>nothing from underwood in la Brok' this year.</t>
        </is>
      </c>
    </row>
    <row r="79">
      <c r="A79" t="inlineStr">
        <is>
          <t xml:space="preserve">Issues of the manor </t>
        </is>
      </c>
      <c r="B79" t="n">
        <v>0</v>
      </c>
      <c r="C79" t="n">
        <v>3</v>
      </c>
      <c r="D79" t="n">
        <v>0</v>
      </c>
      <c r="F79" t="n">
        <v>0.15</v>
      </c>
      <c r="H79" t="inlineStr">
        <is>
          <t>3 shilling from the men of Chidden for the pasturage in Eldecroft and answering elsewhere for 5 sheep for the same pasturage.</t>
        </is>
      </c>
    </row>
    <row r="80">
      <c r="A80" t="inlineStr">
        <is>
          <t xml:space="preserve">Issues of the manor </t>
        </is>
      </c>
      <c r="B80" t="n">
        <v>0</v>
      </c>
      <c r="C80" t="n">
        <v>3</v>
      </c>
      <c r="D80" t="n">
        <v>3.5</v>
      </c>
      <c r="F80" t="n">
        <v>0.16</v>
      </c>
      <c r="H80" t="inlineStr">
        <is>
          <t>3 shilling 3.5pence from pinfold this year.</t>
        </is>
      </c>
    </row>
    <row r="81">
      <c r="A81" t="inlineStr">
        <is>
          <t xml:space="preserve">Issues of the manor </t>
        </is>
      </c>
      <c r="B81" t="n">
        <v>0</v>
      </c>
      <c r="C81" t="n">
        <v>3</v>
      </c>
      <c r="D81" t="n">
        <v>0</v>
      </c>
      <c r="F81" t="n">
        <v>0.15</v>
      </c>
      <c r="H81" t="inlineStr">
        <is>
          <t>3 shilling from the men of Pantolf' for pasturage.</t>
        </is>
      </c>
    </row>
    <row r="82">
      <c r="A82" t="inlineStr">
        <is>
          <t xml:space="preserve">Issues of the manor </t>
        </is>
      </c>
      <c r="B82" t="n">
        <v>0</v>
      </c>
      <c r="C82" t="n">
        <v>4</v>
      </c>
      <c r="D82" t="n">
        <v>9.5</v>
      </c>
      <c r="F82" t="n">
        <v>0.24</v>
      </c>
      <c r="H82" t="inlineStr">
        <is>
          <t>4 shilling 9.5pence for the pasturage in la Holte sold this year.</t>
        </is>
      </c>
    </row>
    <row r="83">
      <c r="A83" t="inlineStr">
        <is>
          <t xml:space="preserve">Issues of the manor </t>
        </is>
      </c>
      <c r="B83" t="n">
        <v>0</v>
      </c>
      <c r="C83" t="n">
        <v>6</v>
      </c>
      <c r="D83" t="n">
        <v>8</v>
      </c>
      <c r="F83" t="n">
        <v>0.33</v>
      </c>
      <c r="H83" t="inlineStr">
        <is>
          <t>6 shilling 8pence for the pasturage in the enclosure sold wholesale in winter.</t>
        </is>
      </c>
    </row>
    <row r="84">
      <c r="A84" t="inlineStr">
        <is>
          <t xml:space="preserve">Issues of the manor </t>
        </is>
      </c>
      <c r="B84" t="n">
        <v>2</v>
      </c>
      <c r="C84" t="n">
        <v>7</v>
      </c>
      <c r="D84" t="n">
        <v>0</v>
      </c>
      <c r="F84" t="n">
        <v>2.35</v>
      </c>
      <c r="H84" t="inlineStr">
        <is>
          <t>£2 7 shilling from the pasturage sold there in summer because the meadow was mown.</t>
        </is>
      </c>
    </row>
    <row r="85">
      <c r="A85" t="inlineStr">
        <is>
          <t xml:space="preserve">Issues of the manor </t>
        </is>
      </c>
      <c r="B85" t="n">
        <v>2</v>
      </c>
      <c r="C85" t="n">
        <v>3</v>
      </c>
      <c r="D85" t="n">
        <v>1</v>
      </c>
      <c r="F85" t="n">
        <v>2.15</v>
      </c>
      <c r="H85" t="inlineStr">
        <is>
          <t>£2 3 shilling 1pence from 4 oxen, at 11 shilling each for 3, and 10 shilling 1pence for 1.</t>
        </is>
      </c>
    </row>
    <row r="86">
      <c r="A86" t="inlineStr">
        <is>
          <t xml:space="preserve">Issues of the manor </t>
        </is>
      </c>
      <c r="B86" t="n">
        <v>1</v>
      </c>
      <c r="C86" t="n">
        <v>2</v>
      </c>
      <c r="D86" t="n">
        <v>6</v>
      </c>
      <c r="F86" t="n">
        <v>1.12</v>
      </c>
      <c r="H86" t="inlineStr">
        <is>
          <t>£1 2 shilling 6pence from 3 old cows sold.</t>
        </is>
      </c>
    </row>
    <row r="87">
      <c r="A87" t="inlineStr">
        <is>
          <t xml:space="preserve">Issues of the manor </t>
        </is>
      </c>
      <c r="B87" t="n">
        <v>0</v>
      </c>
      <c r="C87" t="n">
        <v>1</v>
      </c>
      <c r="D87" t="n">
        <v>0</v>
      </c>
      <c r="F87" t="n">
        <v>0.05</v>
      </c>
      <c r="H87" t="inlineStr">
        <is>
          <t>1 shilling from 1 feeble plough-horse sold.</t>
        </is>
      </c>
    </row>
    <row r="88">
      <c r="A88" t="inlineStr">
        <is>
          <t xml:space="preserve">Issues of the manor </t>
        </is>
      </c>
      <c r="B88" t="n">
        <v>0</v>
      </c>
      <c r="C88" t="n">
        <v>0</v>
      </c>
      <c r="D88" t="n">
        <v>0</v>
      </c>
      <c r="F88" t="n">
        <v>0</v>
      </c>
      <c r="H88" t="inlineStr">
        <is>
          <t>nothing from the pasturage in la Rugg' this year because it was pastured with the lord's sheep.</t>
        </is>
      </c>
    </row>
    <row r="89">
      <c r="A89" t="inlineStr">
        <is>
          <t xml:space="preserve">Issues of the manor </t>
        </is>
      </c>
      <c r="B89" t="n">
        <v>0</v>
      </c>
      <c r="C89" t="n">
        <v>1</v>
      </c>
      <c r="D89" t="n">
        <v>6</v>
      </c>
      <c r="F89" t="n">
        <v>0.08</v>
      </c>
      <c r="H89" t="inlineStr">
        <is>
          <t>1 shilling 6pence from the pasturage above the church sold.</t>
        </is>
      </c>
    </row>
    <row r="90">
      <c r="A90" t="inlineStr">
        <is>
          <t xml:space="preserve">Issues of the manor </t>
        </is>
      </c>
      <c r="B90" t="n">
        <v>0</v>
      </c>
      <c r="C90" t="n">
        <v>1</v>
      </c>
      <c r="D90" t="n">
        <v>0</v>
      </c>
      <c r="F90" t="n">
        <v>0.05</v>
      </c>
      <c r="H90" t="inlineStr">
        <is>
          <t>1 shilling from the pasturage in la Brok' sold in winter.</t>
        </is>
      </c>
    </row>
    <row r="91">
      <c r="A91" t="inlineStr">
        <is>
          <t xml:space="preserve">Issues of the manor </t>
        </is>
      </c>
      <c r="B91" t="n">
        <v>0</v>
      </c>
      <c r="C91" t="n">
        <v>5</v>
      </c>
      <c r="D91" t="n">
        <v>0</v>
      </c>
      <c r="F91" t="n">
        <v>0.25</v>
      </c>
      <c r="H91" t="inlineStr">
        <is>
          <t>5 shilling from the pasturage sold there in summer.</t>
        </is>
      </c>
    </row>
    <row r="92">
      <c r="A92" t="inlineStr">
        <is>
          <t xml:space="preserve">Issues of the manor </t>
        </is>
      </c>
      <c r="B92" t="n">
        <v>1</v>
      </c>
      <c r="C92" t="n">
        <v>4</v>
      </c>
      <c r="D92" t="n">
        <v>0</v>
      </c>
      <c r="F92" t="n">
        <v>1.2</v>
      </c>
      <c r="H92" t="inlineStr">
        <is>
          <t>£1 4 shilling from the pasturage of 24 animals agisting in the park sold this year.</t>
        </is>
      </c>
    </row>
    <row r="93">
      <c r="A93" t="inlineStr">
        <is>
          <t xml:space="preserve">Issues of the manor </t>
        </is>
      </c>
      <c r="B93" t="n">
        <v>0</v>
      </c>
      <c r="C93" t="n">
        <v>6</v>
      </c>
      <c r="D93" t="n">
        <v>0</v>
      </c>
      <c r="F93" t="n">
        <v>0.3</v>
      </c>
      <c r="H93" t="inlineStr">
        <is>
          <t>6 shilling from 6 feeble late-born calves sold.</t>
        </is>
      </c>
    </row>
    <row r="94">
      <c r="A94" t="inlineStr">
        <is>
          <t xml:space="preserve">Issues of the manor </t>
        </is>
      </c>
      <c r="B94" t="n">
        <v>1</v>
      </c>
      <c r="C94" t="n">
        <v>0</v>
      </c>
      <c r="D94" t="n">
        <v>0</v>
      </c>
      <c r="F94" t="n">
        <v>1</v>
      </c>
      <c r="H94" t="inlineStr">
        <is>
          <t>£1 from 16 wethers sold at Martinmas, at 1 shilling 3pence each.</t>
        </is>
      </c>
    </row>
    <row r="95">
      <c r="A95" t="inlineStr">
        <is>
          <t xml:space="preserve">Issues of the manor </t>
        </is>
      </c>
      <c r="B95" t="n">
        <v>0</v>
      </c>
      <c r="C95" t="n">
        <v>13</v>
      </c>
      <c r="D95" t="n">
        <v>0</v>
      </c>
      <c r="F95" t="n">
        <v>0.65</v>
      </c>
      <c r="H95" t="inlineStr">
        <is>
          <t>13 shilling from 14 ewes sold at Martinmas.</t>
        </is>
      </c>
    </row>
    <row r="96">
      <c r="A96" t="inlineStr">
        <is>
          <t xml:space="preserve">Issues of the manor </t>
        </is>
      </c>
      <c r="B96" t="n">
        <v>0</v>
      </c>
      <c r="C96" t="n">
        <v>9</v>
      </c>
      <c r="D96" t="n">
        <v>6</v>
      </c>
      <c r="F96" t="n">
        <v>0.48</v>
      </c>
      <c r="H96" t="inlineStr">
        <is>
          <t>9 shilling 6pence from 38 feeble lambs sold.</t>
        </is>
      </c>
    </row>
    <row r="97">
      <c r="A97" t="inlineStr">
        <is>
          <t xml:space="preserve">Issues of the manor </t>
        </is>
      </c>
      <c r="B97" t="n">
        <v>3</v>
      </c>
      <c r="C97" t="n">
        <v>0</v>
      </c>
      <c r="D97" t="n">
        <v>0</v>
      </c>
      <c r="F97" t="n">
        <v>3</v>
      </c>
      <c r="H97" t="inlineStr">
        <is>
          <t>£3 from 19 pigs, at 3 shilling 2pence each, less 2pence in all.</t>
        </is>
      </c>
    </row>
    <row r="98">
      <c r="A98" t="inlineStr">
        <is>
          <t xml:space="preserve">Issues of the manor </t>
        </is>
      </c>
      <c r="B98" t="n">
        <v>0</v>
      </c>
      <c r="C98" t="n">
        <v>0</v>
      </c>
      <c r="D98" t="n">
        <v>10</v>
      </c>
      <c r="F98" t="n">
        <v>0.04</v>
      </c>
      <c r="H98" t="inlineStr">
        <is>
          <t>10pence from the hide sold of 1 plough-horse in murrain.</t>
        </is>
      </c>
    </row>
    <row r="99">
      <c r="A99" t="inlineStr">
        <is>
          <t xml:space="preserve">Issues of the manor </t>
        </is>
      </c>
      <c r="B99" t="n">
        <v>0</v>
      </c>
      <c r="C99" t="n">
        <v>0</v>
      </c>
      <c r="D99" t="n">
        <v>2</v>
      </c>
      <c r="F99" t="n">
        <v>0.01</v>
      </c>
      <c r="H99" t="inlineStr">
        <is>
          <t>2pence from the hide sold of 1 yearling.</t>
        </is>
      </c>
    </row>
    <row r="100">
      <c r="A100" t="inlineStr">
        <is>
          <t xml:space="preserve">Issues of the manor </t>
        </is>
      </c>
      <c r="B100" t="n">
        <v>0</v>
      </c>
      <c r="C100" t="n">
        <v>0</v>
      </c>
      <c r="D100" t="n">
        <v>3.5</v>
      </c>
      <c r="F100" t="n">
        <v>0.01</v>
      </c>
      <c r="H100" t="inlineStr">
        <is>
          <t>3.5pence from the hides sold of 2 calves dead from murrain.</t>
        </is>
      </c>
    </row>
    <row r="101">
      <c r="A101" t="inlineStr">
        <is>
          <t xml:space="preserve">Issues of the manor </t>
        </is>
      </c>
      <c r="B101" t="n">
        <v>0</v>
      </c>
      <c r="C101" t="n">
        <v>14</v>
      </c>
      <c r="D101" t="n">
        <v>6</v>
      </c>
      <c r="F101" t="n">
        <v>0.72</v>
      </c>
      <c r="H101" t="inlineStr">
        <is>
          <t>14 shilling 6pence from the skins of 24 wethers, 1 ram and 32 ewes dead from murrain before shearing, at 3pence a skin.</t>
        </is>
      </c>
    </row>
    <row r="102">
      <c r="A102" t="inlineStr">
        <is>
          <t xml:space="preserve">Issues of the manor </t>
        </is>
      </c>
      <c r="B102" t="n">
        <v>0</v>
      </c>
      <c r="C102" t="n">
        <v>1</v>
      </c>
      <c r="D102" t="n">
        <v>6</v>
      </c>
      <c r="F102" t="n">
        <v>0.08</v>
      </c>
      <c r="H102" t="inlineStr">
        <is>
          <t>1 shilling 6pence from the skins sold wholesale of 12 wethers, 7 ewes and 14 hoggs dead from murrain after shearing.</t>
        </is>
      </c>
    </row>
    <row r="103">
      <c r="A103" t="inlineStr">
        <is>
          <t xml:space="preserve">Issues of the manor </t>
        </is>
      </c>
      <c r="B103" t="n">
        <v>0</v>
      </c>
      <c r="C103" t="n">
        <v>5</v>
      </c>
      <c r="D103" t="n">
        <v>6.5</v>
      </c>
      <c r="F103" t="n">
        <v>0.28</v>
      </c>
      <c r="H103" t="inlineStr">
        <is>
          <t>5 shilling 6.5pence from the skins sold of 57 lambs dead from murrain before weaning, at 1pence a skin, and of 19 rotted sheep, at .5pence a skin.</t>
        </is>
      </c>
    </row>
    <row r="104">
      <c r="A104" t="inlineStr">
        <is>
          <t xml:space="preserve">Issues of the manor </t>
        </is>
      </c>
      <c r="B104" t="n">
        <v>0</v>
      </c>
      <c r="C104" t="n">
        <v>0</v>
      </c>
      <c r="D104" t="n">
        <v>0</v>
      </c>
      <c r="F104" t="n">
        <v>0</v>
      </c>
      <c r="H104" t="inlineStr">
        <is>
          <t>nothing from coarse wool and lamb's-wool this year because it was sent to Wolvesey.</t>
        </is>
      </c>
    </row>
    <row r="105">
      <c r="A105" t="inlineStr">
        <is>
          <t xml:space="preserve">Issues of the manor </t>
        </is>
      </c>
      <c r="B105" t="n">
        <v>0</v>
      </c>
      <c r="C105" t="n">
        <v>6</v>
      </c>
      <c r="D105" t="n">
        <v>1.5</v>
      </c>
      <c r="F105" t="n">
        <v>0.31</v>
      </c>
      <c r="H105" t="inlineStr">
        <is>
          <t>6 shilling 1.5pence from 7 cloves of wool locks sold, at 10.5pence a clove.</t>
        </is>
      </c>
    </row>
    <row r="106">
      <c r="A106" t="inlineStr">
        <is>
          <t xml:space="preserve">Issues of the manor </t>
        </is>
      </c>
      <c r="B106" t="n">
        <v>0</v>
      </c>
      <c r="C106" t="n">
        <v>5</v>
      </c>
      <c r="D106" t="n">
        <v>0</v>
      </c>
      <c r="F106" t="n">
        <v>0.25</v>
      </c>
      <c r="H106" t="inlineStr">
        <is>
          <t>5 shilling from 17 cloves of rowen cheese sold.</t>
        </is>
      </c>
    </row>
    <row r="107">
      <c r="A107" t="inlineStr">
        <is>
          <t xml:space="preserve">Issues of the manor </t>
        </is>
      </c>
      <c r="B107" t="n">
        <v>3</v>
      </c>
      <c r="C107" t="n">
        <v>8</v>
      </c>
      <c r="D107" t="n">
        <v>0</v>
      </c>
      <c r="F107" t="n">
        <v>3.4</v>
      </c>
      <c r="H107" t="inlineStr">
        <is>
          <t>£3 8 shilling from 8.5 weys of cheese sold, at 8 shilling a wey.</t>
        </is>
      </c>
    </row>
    <row r="108">
      <c r="A108" t="inlineStr">
        <is>
          <t xml:space="preserve">Issues of the manor </t>
        </is>
      </c>
      <c r="B108" t="n">
        <v>0</v>
      </c>
      <c r="C108" t="n">
        <v>7</v>
      </c>
      <c r="D108" t="n">
        <v>10</v>
      </c>
      <c r="F108" t="n">
        <v>0.39</v>
      </c>
      <c r="H108" t="inlineStr">
        <is>
          <t>7 shilling 10pence from 1 wey 5 cloves of butter sold.</t>
        </is>
      </c>
    </row>
    <row r="109">
      <c r="A109" t="inlineStr">
        <is>
          <t xml:space="preserve">Issues of the manor </t>
        </is>
      </c>
      <c r="B109" t="n">
        <v>0</v>
      </c>
      <c r="C109" t="n">
        <v>3</v>
      </c>
      <c r="D109" t="n">
        <v>2</v>
      </c>
      <c r="F109" t="n">
        <v>0.16</v>
      </c>
      <c r="H109" t="inlineStr">
        <is>
          <t>3 shilling 2pence from 38 hens from churchscot sold.</t>
        </is>
      </c>
    </row>
    <row r="110">
      <c r="A110" t="inlineStr">
        <is>
          <t xml:space="preserve">Issues of the manor </t>
        </is>
      </c>
      <c r="B110" t="n">
        <v>0</v>
      </c>
      <c r="C110" t="n">
        <v>10</v>
      </c>
      <c r="D110" t="n">
        <v>0</v>
      </c>
      <c r="F110" t="n">
        <v>0.5</v>
      </c>
      <c r="H110" t="inlineStr">
        <is>
          <t>10 shilling from 5 quarters of salt sold.</t>
        </is>
      </c>
    </row>
    <row r="111">
      <c r="A111" t="inlineStr">
        <is>
          <t xml:space="preserve">Issues of the manor </t>
        </is>
      </c>
      <c r="B111" t="n">
        <v>0</v>
      </c>
      <c r="C111" t="n">
        <v>1</v>
      </c>
      <c r="D111" t="n">
        <v>3</v>
      </c>
      <c r="F111" t="n">
        <v>0.06</v>
      </c>
      <c r="H111" t="inlineStr">
        <is>
          <t>1 shilling 3pence from 15 workers who are bound to thresh 2 bushels of wheat and 4 bushels of oats.</t>
        </is>
      </c>
    </row>
    <row r="112">
      <c r="A112" t="inlineStr">
        <is>
          <t xml:space="preserve">Issues of the manor </t>
        </is>
      </c>
      <c r="B112" t="n">
        <v>0</v>
      </c>
      <c r="C112" t="n">
        <v>0</v>
      </c>
      <c r="D112" t="n">
        <v>0</v>
      </c>
      <c r="F112" t="n">
        <v>0</v>
      </c>
      <c r="H112" t="inlineStr">
        <is>
          <t>nothing from labour services sold this year.</t>
        </is>
      </c>
    </row>
    <row r="113">
      <c r="A113" t="inlineStr">
        <is>
          <t xml:space="preserve">Issues of the manor </t>
        </is>
      </c>
      <c r="B113" t="n">
        <v>0</v>
      </c>
      <c r="C113" t="n">
        <v>0</v>
      </c>
      <c r="D113" t="n">
        <v>0</v>
      </c>
      <c r="F113" t="n">
        <v>0</v>
      </c>
      <c r="H113" t="inlineStr">
        <is>
          <t>nothing from the turbary on la Crith this year.</t>
        </is>
      </c>
    </row>
    <row r="114">
      <c r="A114" t="inlineStr">
        <is>
          <t xml:space="preserve">Issues of the manor </t>
        </is>
      </c>
      <c r="B114" t="n">
        <v>0</v>
      </c>
      <c r="C114" t="n">
        <v>0</v>
      </c>
      <c r="D114" t="n">
        <v>0</v>
      </c>
      <c r="F114" t="n">
        <v>0</v>
      </c>
      <c r="H114" t="inlineStr">
        <is>
          <t>nothing from the pasturage beside Parkgate this year for the lord's animals.</t>
        </is>
      </c>
    </row>
    <row r="115">
      <c r="A115" t="inlineStr">
        <is>
          <t xml:space="preserve">Issues of the manor </t>
        </is>
      </c>
      <c r="B115" t="n">
        <v>0</v>
      </c>
      <c r="C115" t="n">
        <v>3</v>
      </c>
      <c r="D115" t="n">
        <v>9</v>
      </c>
      <c r="F115" t="n">
        <v>0.19</v>
      </c>
      <c r="H115" t="inlineStr">
        <is>
          <t>3 shilling 9pence from dairy produce sold at the audit.</t>
        </is>
      </c>
    </row>
    <row r="116">
      <c r="A116" t="inlineStr">
        <is>
          <t xml:space="preserve">Issues of the manor </t>
        </is>
      </c>
      <c r="B116" t="n">
        <v>17</v>
      </c>
      <c r="C116" t="n">
        <v>2</v>
      </c>
      <c r="D116" t="n">
        <v>6</v>
      </c>
      <c r="F116" t="n">
        <v>17.12</v>
      </c>
      <c r="H116" t="inlineStr">
        <is>
          <t>£17 2 shilling 6pence from 39 animals sold which were bought to agist in the pasture.</t>
        </is>
      </c>
    </row>
    <row r="117">
      <c r="A117" t="inlineStr">
        <is>
          <t xml:space="preserve">Issues of the manor </t>
        </is>
      </c>
      <c r="B117" t="n">
        <v>42</v>
      </c>
      <c r="C117" t="n">
        <v>3</v>
      </c>
      <c r="D117" t="n">
        <v>4</v>
      </c>
      <c r="F117" t="n">
        <v>42.17</v>
      </c>
      <c r="H117" t="inlineStr">
        <is>
          <t>Total, £42 3 shilling 4pence</t>
        </is>
      </c>
    </row>
    <row r="118">
      <c r="F118">
        <f>SUM(F70:F116)</f>
        <v/>
      </c>
      <c r="G118" s="140">
        <f>F118-F117</f>
        <v/>
      </c>
      <c r="H118" t="inlineStr">
        <is>
          <t>Total</t>
        </is>
      </c>
    </row>
    <row r="119"/>
    <row r="120">
      <c r="A120" t="inlineStr">
        <is>
          <t>Farm of the mill</t>
        </is>
      </c>
      <c r="B120" t="n">
        <v>1</v>
      </c>
      <c r="C120" t="n">
        <v>16</v>
      </c>
      <c r="D120" t="n">
        <v>0</v>
      </c>
      <c r="F120" s="72" t="n">
        <v>1.8</v>
      </c>
      <c r="H120" t="inlineStr">
        <is>
          <t>The same render account for £1 16 shilling for the farm of the mill this year.</t>
        </is>
      </c>
    </row>
    <row r="121">
      <c r="A121" t="inlineStr">
        <is>
          <t>Farm of the mill</t>
        </is>
      </c>
      <c r="B121" t="n">
        <v>1</v>
      </c>
      <c r="C121" t="n">
        <v>16</v>
      </c>
      <c r="D121" t="n">
        <v>0</v>
      </c>
      <c r="F121" s="72" t="n">
        <v>1.8</v>
      </c>
      <c r="H121" t="inlineStr">
        <is>
          <t>Total, £1 16 shilling</t>
        </is>
      </c>
    </row>
    <row r="122">
      <c r="A122" t="inlineStr">
        <is>
          <t>Farm of the mill</t>
        </is>
      </c>
      <c r="F122" s="72" t="n">
        <v>1.8</v>
      </c>
      <c r="G122" s="140" t="n">
        <v>0</v>
      </c>
      <c r="H122" t="inlineStr">
        <is>
          <t>Total</t>
        </is>
      </c>
    </row>
    <row r="123"/>
    <row r="124">
      <c r="A124" t="inlineStr">
        <is>
          <t>Sale of corn</t>
        </is>
      </c>
      <c r="B124" t="n">
        <v>12</v>
      </c>
      <c r="C124" t="n">
        <v>14</v>
      </c>
      <c r="D124" t="n">
        <v>3</v>
      </c>
      <c r="F124" s="72" t="n">
        <v>12.71</v>
      </c>
      <c r="H124" t="inlineStr">
        <is>
          <t>The same render account for £12 14 shilling 3pence from 45 quarters 6 bushels of wheat sold, at 5 shilling a qr for 20 quarters 2 bushels, and 6 shilling a qr for 25.5 quarters.</t>
        </is>
      </c>
    </row>
    <row r="125">
      <c r="A125" t="inlineStr">
        <is>
          <t>Sale of corn</t>
        </is>
      </c>
      <c r="B125" t="n">
        <v>1</v>
      </c>
      <c r="C125" t="n">
        <v>15</v>
      </c>
      <c r="D125" t="n">
        <v>0</v>
      </c>
      <c r="F125" s="72" t="n">
        <v>1.75</v>
      </c>
      <c r="H125" t="inlineStr">
        <is>
          <t>£1 15 shilling from 13 quarters 1 bushels of curall sold, at 2 shilling 8pence a qr.</t>
        </is>
      </c>
    </row>
    <row r="126">
      <c r="A126" t="inlineStr">
        <is>
          <t>Sale of corn</t>
        </is>
      </c>
      <c r="B126" t="n">
        <v>4</v>
      </c>
      <c r="C126" t="n">
        <v>13</v>
      </c>
      <c r="D126" t="n">
        <v>0</v>
      </c>
      <c r="F126" s="72" t="n">
        <v>4.65</v>
      </c>
      <c r="H126" t="inlineStr">
        <is>
          <t>£4 13 shilling from 23 quarters 2 bushels of barley sold, at 4 shilling a qr.</t>
        </is>
      </c>
    </row>
    <row r="127">
      <c r="A127" t="inlineStr">
        <is>
          <t>Sale of corn</t>
        </is>
      </c>
      <c r="B127" t="n">
        <v>3</v>
      </c>
      <c r="C127" t="n">
        <v>5</v>
      </c>
      <c r="D127" t="n">
        <v>9.5</v>
      </c>
      <c r="F127" s="72" t="n">
        <v>3.29</v>
      </c>
      <c r="H127" t="inlineStr">
        <is>
          <t>£3 5 shilling 9.5pence from 31.5 quarters of oats sold, at 2 shilling a qr for 14 quarters 6 bushels, and 2 shilling 2pence a qr for 16 quarters 6 bushels.</t>
        </is>
      </c>
    </row>
    <row r="128">
      <c r="A128" t="inlineStr">
        <is>
          <t>Sale of corn</t>
        </is>
      </c>
      <c r="B128" t="n">
        <v>0</v>
      </c>
      <c r="C128" t="n">
        <v>12</v>
      </c>
      <c r="D128" t="n">
        <v>6</v>
      </c>
      <c r="F128" s="72" t="n">
        <v>0.62</v>
      </c>
      <c r="H128" t="inlineStr">
        <is>
          <t>12 shilling 6pence from 5 quarters of peas sold, at 2 shilling 6pence a qr.</t>
        </is>
      </c>
    </row>
    <row r="129">
      <c r="A129" t="inlineStr">
        <is>
          <t>Sale of corn</t>
        </is>
      </c>
      <c r="B129" t="n">
        <v>0</v>
      </c>
      <c r="C129" t="n">
        <v>16</v>
      </c>
      <c r="D129" t="n">
        <v>6</v>
      </c>
      <c r="F129" s="72" t="n">
        <v>0.83</v>
      </c>
      <c r="H129" t="inlineStr">
        <is>
          <t>16 shilling 6pence from 8 quarters of vetches sold, at 2 shilling a qr.</t>
        </is>
      </c>
    </row>
    <row r="130">
      <c r="A130" t="inlineStr">
        <is>
          <t>Sale of corn</t>
        </is>
      </c>
      <c r="B130" t="n">
        <v>0</v>
      </c>
      <c r="C130" t="n">
        <v>3</v>
      </c>
      <c r="D130" t="n">
        <v>4.5</v>
      </c>
      <c r="F130" s="72" t="n">
        <v>0.17</v>
      </c>
      <c r="H130" t="inlineStr">
        <is>
          <t>3 shilling 4.5pence from 4.5 bushels of wheat sold at the audit.</t>
        </is>
      </c>
    </row>
    <row r="131">
      <c r="A131" t="inlineStr">
        <is>
          <t>Sale of corn</t>
        </is>
      </c>
      <c r="B131" t="n">
        <v>0</v>
      </c>
      <c r="C131" t="n">
        <v>2</v>
      </c>
      <c r="D131" t="n">
        <v>9</v>
      </c>
      <c r="F131" s="72" t="n">
        <v>0.14</v>
      </c>
      <c r="H131" t="inlineStr">
        <is>
          <t>2 shilling 9pence from 5.5 bushels of barley sold at the audit.</t>
        </is>
      </c>
    </row>
    <row r="132">
      <c r="A132" t="inlineStr">
        <is>
          <t>Sale of corn</t>
        </is>
      </c>
      <c r="B132" t="n">
        <v>24</v>
      </c>
      <c r="C132" t="n">
        <v>3</v>
      </c>
      <c r="D132" t="n">
        <v>2</v>
      </c>
      <c r="F132" s="72" t="n">
        <v>24.16</v>
      </c>
      <c r="H132" t="inlineStr">
        <is>
          <t>Total, £24 3 shilling 2pence</t>
        </is>
      </c>
    </row>
    <row r="133">
      <c r="A133" t="inlineStr">
        <is>
          <t>Sale of corn</t>
        </is>
      </c>
      <c r="F133" s="72" t="n">
        <v>24.16</v>
      </c>
      <c r="G133" s="140" t="n">
        <v>0</v>
      </c>
      <c r="H133" t="inlineStr">
        <is>
          <t>Total</t>
        </is>
      </c>
    </row>
    <row r="134"/>
    <row r="135">
      <c r="A135" t="inlineStr">
        <is>
          <t>Entry and marriage fines with tithingpenny</t>
        </is>
      </c>
      <c r="B135" t="n">
        <v>0</v>
      </c>
      <c r="C135" t="n">
        <v>5</v>
      </c>
      <c r="D135" t="n">
        <v>0</v>
      </c>
      <c r="F135" s="72" t="n">
        <v>0.25</v>
      </c>
      <c r="H135" t="inlineStr">
        <is>
          <t>The same render account for 5 shilling from the tithing of Chidden for tithingpenny at the hundred-court of Martinmas (11 November).</t>
        </is>
      </c>
    </row>
    <row r="136">
      <c r="A136" t="inlineStr">
        <is>
          <t>Entry and marriage fines with tithingpenny</t>
        </is>
      </c>
      <c r="B136" t="n">
        <v>0</v>
      </c>
      <c r="C136" t="n">
        <v>5</v>
      </c>
      <c r="D136" t="n">
        <v>0</v>
      </c>
      <c r="F136" s="72" t="n">
        <v>0.25</v>
      </c>
      <c r="H136" t="inlineStr">
        <is>
          <t>5 shilling from the tithing of Denmead for the same.</t>
        </is>
      </c>
    </row>
    <row r="137">
      <c r="A137" t="inlineStr">
        <is>
          <t>Entry and marriage fines with tithingpenny</t>
        </is>
      </c>
      <c r="B137" t="n">
        <v>0</v>
      </c>
      <c r="C137" t="n">
        <v>5</v>
      </c>
      <c r="D137" t="n">
        <v>0</v>
      </c>
      <c r="F137" s="72" t="n">
        <v>0.25</v>
      </c>
      <c r="H137" t="inlineStr">
        <is>
          <t>5 shilling from the tithing of la Lygh' for the same.</t>
        </is>
      </c>
    </row>
    <row r="138">
      <c r="A138" t="inlineStr">
        <is>
          <t>Entry and marriage fines with tithingpenny</t>
        </is>
      </c>
      <c r="B138" t="n">
        <v>0</v>
      </c>
      <c r="C138" t="n">
        <v>5</v>
      </c>
      <c r="D138" t="n">
        <v>0</v>
      </c>
      <c r="F138" s="72" t="n">
        <v>0.25</v>
      </c>
      <c r="H138" t="inlineStr">
        <is>
          <t>5 shilling from the tithing of Gludden for the same.</t>
        </is>
      </c>
    </row>
    <row r="139">
      <c r="A139" t="inlineStr">
        <is>
          <t>Entry and marriage fines with tithingpenny</t>
        </is>
      </c>
      <c r="B139" t="n">
        <v>1</v>
      </c>
      <c r="C139" t="n">
        <v>0</v>
      </c>
      <c r="D139" t="n">
        <v>0</v>
      </c>
      <c r="F139" s="72" t="n">
        <v>1</v>
      </c>
      <c r="H139" t="inlineStr">
        <is>
          <t>£1 from the same tithings at the hundred-court of Hockday (1 May).</t>
        </is>
      </c>
    </row>
    <row r="140">
      <c r="A140" t="inlineStr">
        <is>
          <t>Entry and marriage fines with tithingpenny</t>
        </is>
      </c>
      <c r="B140" t="n">
        <v>0</v>
      </c>
      <c r="C140" t="n">
        <v>5</v>
      </c>
      <c r="D140" t="n">
        <v>0</v>
      </c>
      <c r="F140" s="72" t="n">
        <v>0.25</v>
      </c>
      <c r="H140" t="inlineStr">
        <is>
          <t>5 shilling from the relict of Thomas le Cog' to retain 1 cotland which belonged to her husband.</t>
        </is>
      </c>
    </row>
    <row r="141">
      <c r="A141" t="inlineStr">
        <is>
          <t>Entry and marriage fines with tithingpenny</t>
        </is>
      </c>
      <c r="B141" t="n">
        <v>0</v>
      </c>
      <c r="C141" t="n">
        <v>10</v>
      </c>
      <c r="D141" t="n">
        <v>0</v>
      </c>
      <c r="F141" s="72" t="n">
        <v>0.5</v>
      </c>
      <c r="H141" t="inlineStr">
        <is>
          <t>10 shilling from Adam Coker to have .5 virgate of land which belonged to Stephen his father.</t>
        </is>
      </c>
    </row>
    <row r="142">
      <c r="A142" t="inlineStr">
        <is>
          <t>Entry and marriage fines with tithingpenny</t>
        </is>
      </c>
      <c r="B142" t="n">
        <v>0</v>
      </c>
      <c r="C142" t="n">
        <v>2</v>
      </c>
      <c r="D142" t="n">
        <v>0</v>
      </c>
      <c r="F142" s="72" t="n">
        <v>0.1</v>
      </c>
      <c r="H142" t="inlineStr">
        <is>
          <t>2 shilling from William Bouelych' to have 2 acres of land by surrender of Adam Bythewod'.</t>
        </is>
      </c>
    </row>
    <row r="143">
      <c r="A143" t="inlineStr">
        <is>
          <t>Entry and marriage fines with tithingpenny</t>
        </is>
      </c>
      <c r="B143" t="n">
        <v>0</v>
      </c>
      <c r="C143" t="n">
        <v>1</v>
      </c>
      <c r="D143" t="n">
        <v>0</v>
      </c>
      <c r="F143" s="72" t="n">
        <v>0.05</v>
      </c>
      <c r="H143" t="inlineStr">
        <is>
          <t>1 shilling from John Pleyfot to have 1 plot of land in the vill of Hambledon by surrender of Walter le Grevere.</t>
        </is>
      </c>
    </row>
    <row r="144">
      <c r="A144" t="inlineStr">
        <is>
          <t>Entry and marriage fines with tithingpenny</t>
        </is>
      </c>
      <c r="B144" t="n">
        <v>0</v>
      </c>
      <c r="C144" t="n">
        <v>1</v>
      </c>
      <c r="D144" t="n">
        <v>0</v>
      </c>
      <c r="F144" s="72" t="n">
        <v>0.05</v>
      </c>
      <c r="H144" t="inlineStr">
        <is>
          <t>1 shilling from Robert Faber to have 1 plot of land, 12 feet long and 5 feet wide, in the same vill.</t>
        </is>
      </c>
    </row>
    <row r="145">
      <c r="A145" t="inlineStr">
        <is>
          <t>Entry and marriage fines with tithingpenny</t>
        </is>
      </c>
      <c r="B145" t="n">
        <v>0</v>
      </c>
      <c r="C145" t="n">
        <v>4</v>
      </c>
      <c r="D145" t="n">
        <v>0</v>
      </c>
      <c r="F145" s="72" t="n">
        <v>0.2</v>
      </c>
      <c r="H145" t="inlineStr">
        <is>
          <t>4 shilling from Robert le Bole to have 8 acres of land by surrender of William atte Oke.</t>
        </is>
      </c>
    </row>
    <row r="146">
      <c r="A146" t="inlineStr">
        <is>
          <t>Entry and marriage fines with tithingpenny</t>
        </is>
      </c>
      <c r="B146" t="n">
        <v>0</v>
      </c>
      <c r="C146" t="n">
        <v>1</v>
      </c>
      <c r="D146" t="n">
        <v>0</v>
      </c>
      <c r="F146" s="72" t="n">
        <v>0.05</v>
      </c>
      <c r="H146" t="inlineStr">
        <is>
          <t>1 shilling from Walter Rykeby for 1 plot of land, 12 feet long and 10 feet wide, for building in the market.</t>
        </is>
      </c>
    </row>
    <row r="147">
      <c r="A147" t="inlineStr">
        <is>
          <t>Entry and marriage fines with tithingpenny</t>
        </is>
      </c>
      <c r="B147" t="n">
        <v>0</v>
      </c>
      <c r="C147" t="n">
        <v>10</v>
      </c>
      <c r="D147" t="n">
        <v>0</v>
      </c>
      <c r="F147" s="72">
        <f>B147+C147/20+D147/240</f>
        <v/>
      </c>
      <c r="H147" t="inlineStr">
        <is>
          <t xml:space="preserve">10 shilling from Peter ate Putte to have Juliana le Burgeys with her lanpence </t>
        </is>
      </c>
    </row>
    <row r="148">
      <c r="A148" t="inlineStr">
        <is>
          <t>Entry and marriage fines with tithingpenny</t>
        </is>
      </c>
      <c r="B148" t="n">
        <v>3</v>
      </c>
      <c r="C148" t="n">
        <v>14</v>
      </c>
      <c r="D148" t="n">
        <v>0</v>
      </c>
      <c r="F148" s="72">
        <f>B148+C148/20+D148/240</f>
        <v/>
      </c>
      <c r="H148" t="inlineStr">
        <is>
          <t>Total, £3 14 shilling</t>
        </is>
      </c>
    </row>
    <row r="149">
      <c r="A149" t="inlineStr">
        <is>
          <t>Entry and marriage fines with tithingpenny</t>
        </is>
      </c>
      <c r="F149" s="72">
        <f>SUM(F135:F147)</f>
        <v/>
      </c>
      <c r="G149" s="140">
        <f>F149-F148</f>
        <v/>
      </c>
      <c r="H149" t="inlineStr">
        <is>
          <t>Total</t>
        </is>
      </c>
    </row>
    <row r="150"/>
    <row r="151">
      <c r="A151" t="inlineStr">
        <is>
          <t>Perquisites</t>
        </is>
      </c>
      <c r="B151" t="n">
        <v>0</v>
      </c>
      <c r="C151" t="n">
        <v>2</v>
      </c>
      <c r="D151" t="n">
        <v>0</v>
      </c>
      <c r="F151" s="72" t="n">
        <v>0.1</v>
      </c>
      <c r="H151" t="inlineStr">
        <is>
          <t>The same render account for 2 shilling from Thomas ate Brok' for trespass of wood.</t>
        </is>
      </c>
    </row>
    <row r="152">
      <c r="A152" t="inlineStr">
        <is>
          <t>Perquisites</t>
        </is>
      </c>
      <c r="B152" t="n">
        <v>0</v>
      </c>
      <c r="C152" t="n">
        <v>2</v>
      </c>
      <c r="D152" t="n">
        <v>0</v>
      </c>
      <c r="F152" s="72" t="n">
        <v>0.1</v>
      </c>
      <c r="H152" t="inlineStr">
        <is>
          <t>2 shilling from Adam Grandel for keeping the park badly.</t>
        </is>
      </c>
    </row>
    <row r="153">
      <c r="A153" t="inlineStr">
        <is>
          <t>Perquisites</t>
        </is>
      </c>
      <c r="B153" t="n">
        <v>0</v>
      </c>
      <c r="C153" t="n">
        <v>6</v>
      </c>
      <c r="D153" t="n">
        <v>8</v>
      </c>
      <c r="F153" s="72" t="n">
        <v>0.33</v>
      </c>
      <c r="H153" t="inlineStr">
        <is>
          <t>6 shilling1 8pence from William Jolif for keeping the corn badly.</t>
        </is>
      </c>
    </row>
    <row r="154">
      <c r="A154" t="inlineStr">
        <is>
          <t>Perquisites</t>
        </is>
      </c>
      <c r="B154" t="n">
        <v>3</v>
      </c>
      <c r="C154" t="n">
        <v>5</v>
      </c>
      <c r="D154" t="n">
        <v>9</v>
      </c>
      <c r="F154" s="72" t="n">
        <v>3.29</v>
      </c>
      <c r="H154" t="inlineStr">
        <is>
          <t>£3 5 shilling 9pence from other small perquisites.</t>
        </is>
      </c>
    </row>
    <row r="155">
      <c r="A155" t="inlineStr">
        <is>
          <t>Perquisites</t>
        </is>
      </c>
      <c r="B155" t="n">
        <v>3</v>
      </c>
      <c r="C155" t="n">
        <v>16</v>
      </c>
      <c r="D155" t="n">
        <v>5</v>
      </c>
      <c r="F155" s="72">
        <f>B155+C155/20+D155/240</f>
        <v/>
      </c>
      <c r="H155" t="inlineStr">
        <is>
          <t xml:space="preserve">Total, £3 16 shilling 5pence </t>
        </is>
      </c>
    </row>
    <row r="156">
      <c r="A156" t="inlineStr">
        <is>
          <t>Perquisites</t>
        </is>
      </c>
      <c r="F156" s="72" t="n">
        <v>3.82</v>
      </c>
      <c r="G156" s="140">
        <f>F156-F155</f>
        <v/>
      </c>
      <c r="H156" t="inlineStr">
        <is>
          <t>Total</t>
        </is>
      </c>
    </row>
    <row r="157"/>
    <row r="158">
      <c r="A158" t="inlineStr">
        <is>
          <t>Both</t>
        </is>
      </c>
      <c r="B158" t="n">
        <v>7</v>
      </c>
      <c r="C158" t="n">
        <v>10</v>
      </c>
      <c r="D158" t="n">
        <v>5</v>
      </c>
      <c r="F158" s="72">
        <f>B158+C158/20+D158/240</f>
        <v/>
      </c>
      <c r="H158" t="inlineStr">
        <is>
          <t>Total of both, £7 10 shilling 5pence</t>
        </is>
      </c>
    </row>
    <row r="159">
      <c r="A159" t="inlineStr">
        <is>
          <t>Both</t>
        </is>
      </c>
      <c r="F159" s="72">
        <f>F156+F149</f>
        <v/>
      </c>
      <c r="G159" s="140">
        <f>F159-F158</f>
        <v/>
      </c>
      <c r="H159" t="inlineStr">
        <is>
          <t>Total</t>
        </is>
      </c>
    </row>
    <row r="160"/>
    <row r="161">
      <c r="A161" t="inlineStr">
        <is>
          <t>Stallage</t>
        </is>
      </c>
      <c r="B161" t="n">
        <v>0</v>
      </c>
      <c r="C161" t="n">
        <v>0</v>
      </c>
      <c r="D161" t="n">
        <v>6</v>
      </c>
      <c r="F161" s="72" t="n">
        <v>0.03</v>
      </c>
      <c r="H161" t="inlineStr">
        <is>
          <t>The same render account for 6pence from Joan le Specer and Adam Blachat for holding 1 stall for the year.</t>
        </is>
      </c>
    </row>
    <row r="162">
      <c r="A162" t="inlineStr">
        <is>
          <t>Stallage</t>
        </is>
      </c>
      <c r="B162" t="n">
        <v>0</v>
      </c>
      <c r="C162" t="n">
        <v>0</v>
      </c>
      <c r="D162" t="n">
        <v>6</v>
      </c>
      <c r="F162" s="72">
        <f>B162+C162/20+D162/240</f>
        <v/>
      </c>
      <c r="H162" t="inlineStr">
        <is>
          <t>6 pence from Walter Rykeby for holding the other stall.</t>
        </is>
      </c>
    </row>
    <row r="163">
      <c r="A163" t="inlineStr">
        <is>
          <t>Stallage</t>
        </is>
      </c>
      <c r="B163" t="n">
        <v>0</v>
      </c>
      <c r="C163" t="n">
        <v>2</v>
      </c>
      <c r="D163" t="n">
        <v>2</v>
      </c>
      <c r="F163" s="72">
        <f>B163+C163/20+D163/240</f>
        <v/>
      </c>
      <c r="H163" t="inlineStr">
        <is>
          <t>2 shilling 2pence from other small stall</t>
        </is>
      </c>
    </row>
    <row r="164">
      <c r="A164" t="inlineStr">
        <is>
          <t>Stallage</t>
        </is>
      </c>
      <c r="B164" t="n">
        <v>0</v>
      </c>
      <c r="C164" t="n">
        <v>3</v>
      </c>
      <c r="D164" t="n">
        <v>2</v>
      </c>
      <c r="F164" s="72">
        <f>B164+C164/20+D164/240</f>
        <v/>
      </c>
      <c r="H164" t="inlineStr">
        <is>
          <t>Total, 3 shilling 2pence</t>
        </is>
      </c>
    </row>
    <row r="165">
      <c r="A165" t="inlineStr">
        <is>
          <t>Stallage</t>
        </is>
      </c>
      <c r="F165" s="72">
        <f>SUM(F161:F163)</f>
        <v/>
      </c>
      <c r="G165" s="140">
        <f>F165-F164</f>
        <v/>
      </c>
      <c r="H165" t="inlineStr">
        <is>
          <t>Total</t>
        </is>
      </c>
    </row>
    <row r="166"/>
    <row r="167">
      <c r="A167" s="38" t="inlineStr">
        <is>
          <t>Total of all receipts recorded in accounts</t>
        </is>
      </c>
      <c r="B167" t="n">
        <v>107</v>
      </c>
      <c r="C167" t="n">
        <v>0</v>
      </c>
      <c r="D167" t="n">
        <v>6.25</v>
      </c>
      <c r="F167" s="72" t="n">
        <v>107.03</v>
      </c>
      <c r="H167" t="inlineStr">
        <is>
          <t>Total of all receipts, £107 6.25pence</t>
        </is>
      </c>
    </row>
    <row r="168" ht="16" customHeight="1">
      <c r="A168" s="9" t="inlineStr">
        <is>
          <t>Total cross-check without arrears</t>
        </is>
      </c>
      <c r="F168" s="72">
        <f>F165+F159+F133+F122+F118+F68+F64+F57+F53+F39</f>
        <v/>
      </c>
      <c r="G168" s="140">
        <f>F168-F167</f>
        <v/>
      </c>
    </row>
    <row r="169" ht="16" customHeight="1">
      <c r="A169" s="9" t="inlineStr">
        <is>
          <t>Total cross-check with arrears</t>
        </is>
      </c>
      <c r="F169" s="72">
        <f>F168+F6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5"/>
  <sheetViews>
    <sheetView topLeftCell="A1" workbookViewId="0">
      <selection activeCell="A1" sqref="A1"/>
    </sheetView>
  </sheetViews>
  <sheetFormatPr baseColWidth="8" defaultRowHeight="15"/>
  <cols>
    <col width="33.1640625" customWidth="1" min="1" max="1"/>
    <col width="8.83203125" customWidth="1" min="6" max="6"/>
    <col width="8.83203125" customWidth="1" min="7" max="7"/>
    <col width="46.5" customWidth="1" min="8" max="8"/>
    <col width="17.1640625" customWidth="1" min="11" max="11"/>
    <col width="21.33203125" customWidth="1" min="12" max="12"/>
  </cols>
  <sheetData>
    <row r="1" ht="16" customHeight="1">
      <c r="A1" s="2" t="inlineStr">
        <is>
          <t>HAMBLEDON RECEIPTS</t>
        </is>
      </c>
      <c r="E1" s="10" t="n"/>
      <c r="F1" s="26" t="n"/>
      <c r="G1" s="137" t="n"/>
    </row>
    <row r="2" ht="32" customHeight="1">
      <c r="A2" s="11" t="inlineStr">
        <is>
          <t>Heading</t>
        </is>
      </c>
      <c r="B2" s="3" t="inlineStr">
        <is>
          <t>£</t>
        </is>
      </c>
      <c r="C2" s="4" t="inlineStr">
        <is>
          <t xml:space="preserve">s </t>
        </is>
      </c>
      <c r="D2" s="4" t="inlineStr">
        <is>
          <t>d</t>
        </is>
      </c>
      <c r="E2" s="4" t="n"/>
      <c r="F2" s="138" t="inlineStr">
        <is>
          <t>Total in £</t>
        </is>
      </c>
      <c r="G2" s="139" t="inlineStr">
        <is>
          <t>Error</t>
        </is>
      </c>
      <c r="H2" s="7" t="inlineStr">
        <is>
          <t>Notes</t>
        </is>
      </c>
      <c r="I2" s="14" t="inlineStr">
        <is>
          <t>Own notes</t>
        </is>
      </c>
      <c r="K2" s="141" t="inlineStr">
        <is>
          <t>Fixed investment</t>
        </is>
      </c>
      <c r="L2" s="141" t="inlineStr">
        <is>
          <t>Demesne fixed investment</t>
        </is>
      </c>
    </row>
    <row r="3" ht="16" customHeight="1">
      <c r="A3" t="inlineStr">
        <is>
          <t xml:space="preserve">Cost of ploughs </t>
        </is>
      </c>
      <c r="B3" t="n">
        <v>0</v>
      </c>
      <c r="C3" t="n">
        <v>0</v>
      </c>
      <c r="D3" t="n">
        <v>0</v>
      </c>
      <c r="E3" s="4" t="n"/>
      <c r="F3" s="72" t="n">
        <v>0</v>
      </c>
      <c r="G3" s="139" t="n"/>
      <c r="H3" t="inlineStr">
        <is>
          <t>(henceforth the ploughs of the customary tenants should not be taken if a profit is able to be made).</t>
        </is>
      </c>
      <c r="I3" s="14" t="n"/>
    </row>
    <row r="4" ht="16" customHeight="1">
      <c r="A4" t="inlineStr">
        <is>
          <t xml:space="preserve">Cost of ploughs </t>
        </is>
      </c>
      <c r="B4" t="n">
        <v>0</v>
      </c>
      <c r="C4" t="n">
        <v>11</v>
      </c>
      <c r="D4" t="n">
        <v>0</v>
      </c>
      <c r="E4" s="4" t="n"/>
      <c r="F4" s="72" t="n">
        <v>0.55</v>
      </c>
      <c r="G4" s="139" t="n"/>
      <c r="H4" t="inlineStr">
        <is>
          <t>iron and steel bought for 3 ploughs for the year 11 shilling.</t>
        </is>
      </c>
      <c r="I4" s="14" t="n"/>
      <c r="K4" s="72">
        <f>F4</f>
        <v/>
      </c>
      <c r="L4" s="72">
        <f>K4</f>
        <v/>
      </c>
    </row>
    <row r="5" ht="16" customHeight="1">
      <c r="A5" t="inlineStr">
        <is>
          <t xml:space="preserve">Cost of ploughs </t>
        </is>
      </c>
      <c r="B5" t="n">
        <v>0</v>
      </c>
      <c r="C5" t="n">
        <v>1</v>
      </c>
      <c r="D5" t="n">
        <v>3</v>
      </c>
      <c r="E5" s="4" t="n"/>
      <c r="F5" s="72" t="n">
        <v>0.06</v>
      </c>
      <c r="G5" s="139" t="n"/>
      <c r="H5" t="inlineStr">
        <is>
          <t>3 plough feet bought 1 shilling 3pence.</t>
        </is>
      </c>
      <c r="I5" s="14" t="n"/>
      <c r="K5" s="72">
        <f>F5</f>
        <v/>
      </c>
      <c r="L5" s="72">
        <f>K5</f>
        <v/>
      </c>
    </row>
    <row r="6" ht="16" customHeight="1">
      <c r="A6" t="inlineStr">
        <is>
          <t xml:space="preserve">Cost of ploughs </t>
        </is>
      </c>
      <c r="B6" t="n">
        <v>0</v>
      </c>
      <c r="C6" t="n">
        <v>1</v>
      </c>
      <c r="D6" t="n">
        <v>6</v>
      </c>
      <c r="E6" s="4" t="n"/>
      <c r="F6" s="72" t="n">
        <v>0.08</v>
      </c>
      <c r="G6" s="139" t="n"/>
      <c r="H6" t="inlineStr">
        <is>
          <t>2 ploughshares bought 1 shilling 6pence.</t>
        </is>
      </c>
      <c r="I6" s="14" t="n"/>
      <c r="K6" s="72">
        <f>F6</f>
        <v/>
      </c>
      <c r="L6" s="72">
        <f>K6</f>
        <v/>
      </c>
    </row>
    <row r="7">
      <c r="A7" t="inlineStr">
        <is>
          <t xml:space="preserve">Cost of ploughs </t>
        </is>
      </c>
      <c r="B7" t="n">
        <v>0</v>
      </c>
      <c r="C7" t="n">
        <v>2</v>
      </c>
      <c r="D7" t="n">
        <v>3</v>
      </c>
      <c r="F7" s="72" t="n">
        <v>0.11</v>
      </c>
      <c r="H7" t="inlineStr">
        <is>
          <t>5 ploughs made anew and others mended at various times, with timber felled and trimmed for the same, 2 shilling 3pence.</t>
        </is>
      </c>
      <c r="K7" s="72">
        <f>F7</f>
        <v/>
      </c>
      <c r="L7" s="72">
        <f>K7</f>
        <v/>
      </c>
    </row>
    <row r="8">
      <c r="A8" t="inlineStr">
        <is>
          <t xml:space="preserve">Cost of ploughs </t>
        </is>
      </c>
      <c r="B8" t="n">
        <v>0</v>
      </c>
      <c r="C8" t="n">
        <v>0</v>
      </c>
      <c r="D8" t="n">
        <v>6</v>
      </c>
      <c r="F8" s="72" t="n">
        <v>0.03</v>
      </c>
      <c r="H8" t="inlineStr">
        <is>
          <t>2 pairs of wheels bought 6pence.</t>
        </is>
      </c>
      <c r="K8" s="72">
        <f>F8</f>
        <v/>
      </c>
      <c r="L8" s="72">
        <f>K8</f>
        <v/>
      </c>
    </row>
    <row r="9">
      <c r="A9" t="inlineStr">
        <is>
          <t xml:space="preserve">Cost of ploughs </t>
        </is>
      </c>
      <c r="B9" t="n">
        <v>0</v>
      </c>
      <c r="C9" t="n">
        <v>0</v>
      </c>
      <c r="D9" t="n">
        <v>6</v>
      </c>
      <c r="F9" s="72" t="n">
        <v>0.03</v>
      </c>
      <c r="H9" t="inlineStr">
        <is>
          <t>3 harrows made anew 6pence.</t>
        </is>
      </c>
      <c r="K9" s="72">
        <f>F9</f>
        <v/>
      </c>
      <c r="L9" s="72">
        <f>K9</f>
        <v/>
      </c>
    </row>
    <row r="10">
      <c r="A10" t="inlineStr">
        <is>
          <t xml:space="preserve">Cost of ploughs </t>
        </is>
      </c>
      <c r="B10" t="n">
        <v>0</v>
      </c>
      <c r="C10" t="n">
        <v>0</v>
      </c>
      <c r="D10" t="n">
        <v>1.5</v>
      </c>
      <c r="F10" s="72" t="n">
        <v>0.01</v>
      </c>
      <c r="H10" t="inlineStr">
        <is>
          <t>fitting ploughs with iron tyres 1.5pence.</t>
        </is>
      </c>
      <c r="K10" s="72">
        <f>F10</f>
        <v/>
      </c>
      <c r="L10" s="72">
        <f>K10</f>
        <v/>
      </c>
    </row>
    <row r="11">
      <c r="A11" t="inlineStr">
        <is>
          <t xml:space="preserve">Cost of ploughs </t>
        </is>
      </c>
      <c r="B11" t="n">
        <v>0</v>
      </c>
      <c r="C11" t="n">
        <v>5</v>
      </c>
      <c r="D11" t="n">
        <v>6</v>
      </c>
      <c r="F11" s="72" t="n">
        <v>0.28</v>
      </c>
      <c r="H11" t="inlineStr">
        <is>
          <t>shoeing 6 plough-horses hauling ploughs at the time of both sowings and hauling dung when it was necessary until Lammas, because thereafter they were at the church, 5 shilling 6pence.</t>
        </is>
      </c>
      <c r="K11" s="72">
        <f>F11</f>
        <v/>
      </c>
      <c r="L11" s="72">
        <f>K11</f>
        <v/>
      </c>
    </row>
    <row r="12">
      <c r="A12" t="inlineStr">
        <is>
          <t xml:space="preserve">Cost of ploughs </t>
        </is>
      </c>
      <c r="B12" t="n">
        <v>1</v>
      </c>
      <c r="C12" t="n">
        <v>0</v>
      </c>
      <c r="D12" t="n">
        <v>0</v>
      </c>
      <c r="F12" s="72" t="n">
        <v>1</v>
      </c>
      <c r="H12" t="inlineStr">
        <is>
          <t>32 ploughmen in winter and 32 in Lent, £1 according to custom, of whom each ploughman ploughed and harrowed 1 acre in winter and 1 acre in Lent.</t>
        </is>
      </c>
    </row>
    <row r="13">
      <c r="A13" t="inlineStr">
        <is>
          <t xml:space="preserve">Cost of ploughs </t>
        </is>
      </c>
      <c r="B13" t="n">
        <v>0</v>
      </c>
      <c r="C13" t="n">
        <v>6</v>
      </c>
      <c r="D13" t="n">
        <v>9</v>
      </c>
      <c r="F13" s="72" t="n">
        <v>0.34</v>
      </c>
      <c r="H13" t="inlineStr">
        <is>
          <t>stipend of 3 ploughmen from Michaelmas until Lammas, because thereafter they were at the church, 6 shilling 9pence.</t>
        </is>
      </c>
    </row>
    <row r="14">
      <c r="A14" t="inlineStr">
        <is>
          <t xml:space="preserve">Cost of ploughs </t>
        </is>
      </c>
      <c r="B14" t="n">
        <v>0</v>
      </c>
      <c r="C14" t="n">
        <v>12</v>
      </c>
      <c r="D14" t="n">
        <v>3</v>
      </c>
      <c r="F14" s="72">
        <f>B14+C14/20+D14/240</f>
        <v/>
      </c>
      <c r="H14" t="inlineStr">
        <is>
          <t xml:space="preserve">1 plough-horse bought 12 shilling 3pence </t>
        </is>
      </c>
    </row>
    <row r="15">
      <c r="A15" t="inlineStr">
        <is>
          <t xml:space="preserve">Cost of ploughs </t>
        </is>
      </c>
      <c r="B15" t="n">
        <v>3</v>
      </c>
      <c r="C15" t="n">
        <v>1</v>
      </c>
      <c r="D15" t="n">
        <v>7.5</v>
      </c>
      <c r="F15" s="72" t="n">
        <v>3.08</v>
      </c>
      <c r="H15" t="inlineStr">
        <is>
          <t>Total, £3 1 shilling 7.5pence</t>
        </is>
      </c>
    </row>
    <row r="16">
      <c r="A16" t="inlineStr">
        <is>
          <t xml:space="preserve">Cost of ploughs </t>
        </is>
      </c>
      <c r="F16" s="72">
        <f>SUM(F3:F14)</f>
        <v/>
      </c>
      <c r="G16" s="140">
        <f>F16-F15</f>
        <v/>
      </c>
      <c r="H16" t="inlineStr">
        <is>
          <t>Total</t>
        </is>
      </c>
    </row>
    <row r="17"/>
    <row r="18">
      <c r="A18" t="inlineStr">
        <is>
          <t>Purchase of corn</t>
        </is>
      </c>
      <c r="B18" t="n">
        <v>0</v>
      </c>
      <c r="C18" t="n">
        <v>17</v>
      </c>
      <c r="D18" t="n">
        <v>4</v>
      </c>
      <c r="F18" s="72" t="n">
        <v>0.87</v>
      </c>
      <c r="H18" t="inlineStr">
        <is>
          <t>In 6.5 quarters of barley bought for the liveries of the manorial servants 17 shilling 4pence, at 2 shilling 8pence a qr.</t>
        </is>
      </c>
    </row>
    <row r="19">
      <c r="A19" t="inlineStr">
        <is>
          <t>Purchase of corn</t>
        </is>
      </c>
      <c r="B19" t="n">
        <v>0</v>
      </c>
      <c r="C19" t="n">
        <v>17</v>
      </c>
      <c r="D19" t="n">
        <v>4</v>
      </c>
      <c r="F19" s="72" t="n">
        <v>0.87</v>
      </c>
      <c r="H19" t="inlineStr">
        <is>
          <t>Total, 17 shilling 4pence</t>
        </is>
      </c>
    </row>
    <row r="20">
      <c r="A20" t="inlineStr">
        <is>
          <t>Purchase of corn</t>
        </is>
      </c>
      <c r="F20" s="72" t="n">
        <v>0.87</v>
      </c>
      <c r="G20" s="140" t="n">
        <v>0</v>
      </c>
      <c r="H20" t="inlineStr">
        <is>
          <t>Total</t>
        </is>
      </c>
    </row>
    <row r="21"/>
    <row r="22">
      <c r="A22" t="inlineStr">
        <is>
          <t>Cost of carts</t>
        </is>
      </c>
      <c r="B22" t="n">
        <v>0</v>
      </c>
      <c r="C22" t="n">
        <v>0</v>
      </c>
      <c r="D22" t="n">
        <v>9</v>
      </c>
      <c r="F22" s="72" t="n">
        <v>0.04</v>
      </c>
      <c r="H22" t="inlineStr">
        <is>
          <t>in 1 pair of wheels made anew from the lord's timber 9pence.</t>
        </is>
      </c>
      <c r="K22" s="72">
        <f>F22</f>
        <v/>
      </c>
      <c r="L22" s="72">
        <f>K22</f>
        <v/>
      </c>
    </row>
    <row r="23">
      <c r="A23" t="inlineStr">
        <is>
          <t>Cost of carts</t>
        </is>
      </c>
      <c r="B23" t="n">
        <v>0</v>
      </c>
      <c r="C23" t="n">
        <v>2</v>
      </c>
      <c r="D23" t="n">
        <v>6</v>
      </c>
      <c r="F23" s="72" t="n">
        <v>0.12</v>
      </c>
      <c r="H23" t="inlineStr">
        <is>
          <t>mending 1 old binding and putting it on the said wheels with the stipend of the smith 2 shilling 6pence.</t>
        </is>
      </c>
      <c r="K23" s="72">
        <f>F23</f>
        <v/>
      </c>
      <c r="L23" s="72">
        <f>K23</f>
        <v/>
      </c>
    </row>
    <row r="24">
      <c r="A24" t="inlineStr">
        <is>
          <t>Cost of carts</t>
        </is>
      </c>
      <c r="B24" t="n">
        <v>0</v>
      </c>
      <c r="C24" t="n">
        <v>1</v>
      </c>
      <c r="D24" t="n">
        <v>9</v>
      </c>
      <c r="F24" s="72" t="n">
        <v>0.09</v>
      </c>
      <c r="H24" t="inlineStr">
        <is>
          <t>clouts, nails and grease bought 1 shilling 9pence.</t>
        </is>
      </c>
      <c r="K24" s="72">
        <f>F24</f>
        <v/>
      </c>
      <c r="L24" s="72">
        <f>K24</f>
        <v/>
      </c>
    </row>
    <row r="25">
      <c r="A25" t="inlineStr">
        <is>
          <t>Cost of carts</t>
        </is>
      </c>
      <c r="B25" t="n">
        <v>0</v>
      </c>
      <c r="C25" t="n">
        <v>0</v>
      </c>
      <c r="D25" t="n">
        <v>8</v>
      </c>
      <c r="F25" s="72" t="n">
        <v>0.03</v>
      </c>
      <c r="H25" t="inlineStr">
        <is>
          <t>mending the axles of the cart at various times 8pence, on account of the manor of Kilmeston.</t>
        </is>
      </c>
      <c r="K25" s="72">
        <f>F25</f>
        <v/>
      </c>
      <c r="L25" s="72">
        <f>K25</f>
        <v/>
      </c>
    </row>
    <row r="26">
      <c r="A26" t="inlineStr">
        <is>
          <t>Cost of carts</t>
        </is>
      </c>
      <c r="B26" t="n">
        <v>0</v>
      </c>
      <c r="C26" t="n">
        <v>3</v>
      </c>
      <c r="D26" t="n">
        <v>6</v>
      </c>
      <c r="F26" s="72" t="n">
        <v>0.17</v>
      </c>
      <c r="H26" t="inlineStr">
        <is>
          <t>shoeing 2 cart-horses 3 shilling 6pence.</t>
        </is>
      </c>
      <c r="K26" s="72">
        <f>F26</f>
        <v/>
      </c>
      <c r="L26" s="72">
        <f>K26</f>
        <v/>
      </c>
    </row>
    <row r="27">
      <c r="A27" t="inlineStr">
        <is>
          <t>Cost of carts</t>
        </is>
      </c>
      <c r="B27" t="n">
        <v>0</v>
      </c>
      <c r="C27" t="n">
        <v>0</v>
      </c>
      <c r="D27" t="n">
        <v>10</v>
      </c>
      <c r="F27" s="72" t="n">
        <v>0.04</v>
      </c>
      <c r="H27" t="inlineStr">
        <is>
          <t>2 collars bought 10pence.</t>
        </is>
      </c>
      <c r="K27" s="72">
        <f>F27</f>
        <v/>
      </c>
      <c r="L27" s="72">
        <f>K27</f>
        <v/>
      </c>
    </row>
    <row r="28">
      <c r="A28" t="inlineStr">
        <is>
          <t>Cost of carts</t>
        </is>
      </c>
      <c r="B28" t="n">
        <v>0</v>
      </c>
      <c r="C28" t="n">
        <v>0</v>
      </c>
      <c r="D28" t="n">
        <v>9</v>
      </c>
      <c r="F28" s="72" t="n">
        <v>0.04</v>
      </c>
      <c r="H28" t="inlineStr">
        <is>
          <t>2 pairs of traces bought 9pence.</t>
        </is>
      </c>
      <c r="K28" s="72">
        <f>F28</f>
        <v/>
      </c>
      <c r="L28" s="72">
        <f>K28</f>
        <v/>
      </c>
    </row>
    <row r="29">
      <c r="A29" t="inlineStr">
        <is>
          <t>Cost of carts</t>
        </is>
      </c>
      <c r="B29" t="n">
        <v>0</v>
      </c>
      <c r="C29" t="n">
        <v>1</v>
      </c>
      <c r="D29" t="n">
        <v>2</v>
      </c>
      <c r="F29" s="72" t="n">
        <v>0.06</v>
      </c>
      <c r="H29" t="inlineStr">
        <is>
          <t>1 rope bought for the cart 1 shilling 2pence.</t>
        </is>
      </c>
      <c r="K29" s="72">
        <f>F29</f>
        <v/>
      </c>
      <c r="L29" s="72">
        <f>K29</f>
        <v/>
      </c>
    </row>
    <row r="30">
      <c r="A30" t="inlineStr">
        <is>
          <t>Cost of carts</t>
        </is>
      </c>
      <c r="B30" t="n">
        <v>0</v>
      </c>
      <c r="C30" t="n">
        <v>0</v>
      </c>
      <c r="D30" t="n">
        <v>1.5</v>
      </c>
      <c r="F30" s="72" t="n">
        <v>0.01</v>
      </c>
      <c r="H30" t="inlineStr">
        <is>
          <t>2 halters bought 1.5pence.</t>
        </is>
      </c>
      <c r="K30" s="72">
        <f>F30</f>
        <v/>
      </c>
      <c r="L30" s="72">
        <f>K30</f>
        <v/>
      </c>
    </row>
    <row r="31">
      <c r="A31" t="inlineStr">
        <is>
          <t>Cost of carts</t>
        </is>
      </c>
      <c r="B31" t="n">
        <v>0</v>
      </c>
      <c r="C31" t="n">
        <v>2</v>
      </c>
      <c r="D31" t="n">
        <v>3</v>
      </c>
      <c r="F31" s="72" t="n">
        <v>0.11</v>
      </c>
      <c r="H31" t="inlineStr">
        <is>
          <t xml:space="preserve">stipend of 1 carter from Michaelmas until Lammas, because thereafter he was at the church, 2 shilling 3pence </t>
        </is>
      </c>
    </row>
    <row r="32">
      <c r="A32" t="inlineStr">
        <is>
          <t>Cost of carts</t>
        </is>
      </c>
      <c r="B32" t="n">
        <v>0</v>
      </c>
      <c r="C32" t="n">
        <v>14</v>
      </c>
      <c r="D32" t="n">
        <v>3.5</v>
      </c>
      <c r="F32" s="72">
        <f>B32+C32/20+D32/240</f>
        <v/>
      </c>
      <c r="H32" t="inlineStr">
        <is>
          <t>Total, 14 shilling 3.5pence</t>
        </is>
      </c>
    </row>
    <row r="33">
      <c r="A33" t="inlineStr">
        <is>
          <t>Cost of carts</t>
        </is>
      </c>
      <c r="F33" s="72" t="n">
        <v>0.7100000000000001</v>
      </c>
      <c r="G33" s="140">
        <f>F33-F32</f>
        <v/>
      </c>
      <c r="H33" t="inlineStr">
        <is>
          <t>Total</t>
        </is>
      </c>
    </row>
    <row r="34"/>
    <row r="35">
      <c r="A35" t="inlineStr">
        <is>
          <t>Repair of buildings</t>
        </is>
      </c>
      <c r="B35" t="n">
        <v>0</v>
      </c>
      <c r="C35" t="n">
        <v>3</v>
      </c>
      <c r="D35" t="n">
        <v>4</v>
      </c>
      <c r="F35" s="72" t="n">
        <v>0.17</v>
      </c>
      <c r="H35" t="inlineStr">
        <is>
          <t>In 2,000 slates bought 3 shilling 4pence.</t>
        </is>
      </c>
      <c r="K35" s="72">
        <f>F35</f>
        <v/>
      </c>
    </row>
    <row r="36">
      <c r="A36" t="inlineStr">
        <is>
          <t>Repair of buildings</t>
        </is>
      </c>
      <c r="B36" t="n">
        <v>0</v>
      </c>
      <c r="C36" t="n">
        <v>10</v>
      </c>
      <c r="D36" t="n">
        <v>6</v>
      </c>
      <c r="F36" s="72" t="n">
        <v>0.53</v>
      </c>
      <c r="H36" t="inlineStr">
        <is>
          <t>re-roofing the hall, lord's chamber, clerks' chamber and kitchen, which had been unroofed several times by the wind, 10 shilling 6pence.</t>
        </is>
      </c>
      <c r="K36" s="72">
        <f>F36</f>
        <v/>
      </c>
    </row>
    <row r="37">
      <c r="A37" t="inlineStr">
        <is>
          <t>Repair of buildings</t>
        </is>
      </c>
      <c r="B37" t="n">
        <v>0</v>
      </c>
      <c r="C37" t="n">
        <v>0</v>
      </c>
      <c r="D37" t="n">
        <v>8</v>
      </c>
      <c r="F37" s="72" t="n">
        <v>0.03</v>
      </c>
      <c r="H37" t="inlineStr">
        <is>
          <t>nails and pegs bought for the same 8pence.</t>
        </is>
      </c>
      <c r="K37" s="72">
        <f>F37</f>
        <v/>
      </c>
    </row>
    <row r="38">
      <c r="A38" t="inlineStr">
        <is>
          <t>Repair of buildings</t>
        </is>
      </c>
      <c r="B38" t="n">
        <v>0</v>
      </c>
      <c r="C38" t="n">
        <v>4</v>
      </c>
      <c r="D38" t="n">
        <v>4</v>
      </c>
      <c r="F38" s="72" t="n">
        <v>0.22</v>
      </c>
      <c r="H38" t="inlineStr">
        <is>
          <t>re-roofing the barn and other buildings in places 4 shilling 4pence.</t>
        </is>
      </c>
      <c r="K38" s="72">
        <f>F38</f>
        <v/>
      </c>
      <c r="L38" s="72">
        <f>K38</f>
        <v/>
      </c>
    </row>
    <row r="39">
      <c r="A39" t="inlineStr">
        <is>
          <t>Repair of buildings</t>
        </is>
      </c>
      <c r="B39" t="n">
        <v>0</v>
      </c>
      <c r="C39" t="n">
        <v>0</v>
      </c>
      <c r="D39" t="n">
        <v>5</v>
      </c>
      <c r="F39" s="72" t="n">
        <v>0.02</v>
      </c>
      <c r="H39" t="inlineStr">
        <is>
          <t>laying 100 shingles in places on the barn with nails bought for the same 5pence.</t>
        </is>
      </c>
      <c r="K39" s="72">
        <f>F39</f>
        <v/>
      </c>
      <c r="L39" s="72">
        <f>K39</f>
        <v/>
      </c>
    </row>
    <row r="40">
      <c r="A40" t="inlineStr">
        <is>
          <t>Repair of buildings</t>
        </is>
      </c>
      <c r="B40" t="n">
        <v>0</v>
      </c>
      <c r="C40" t="n">
        <v>2</v>
      </c>
      <c r="D40" t="n">
        <v>8</v>
      </c>
      <c r="F40" s="72" t="n">
        <v>0.13</v>
      </c>
      <c r="H40" t="inlineStr">
        <is>
          <t>building anew 1 palisade between the hall and kitchen 2 shilling 8pence.</t>
        </is>
      </c>
      <c r="K40" s="72">
        <f>F40</f>
        <v/>
      </c>
    </row>
    <row r="41">
      <c r="A41" t="inlineStr">
        <is>
          <t>Repair of buildings</t>
        </is>
      </c>
      <c r="B41" t="n">
        <v>0</v>
      </c>
      <c r="C41" t="n">
        <v>2</v>
      </c>
      <c r="D41" t="n">
        <v>2</v>
      </c>
      <c r="F41" s="72" t="n">
        <v>0.11</v>
      </c>
      <c r="H41" t="inlineStr">
        <is>
          <t>building 1 palisade between the hall and dairy and 1 new garden-gate 2 shilling 2pence.</t>
        </is>
      </c>
      <c r="K41" s="72">
        <f>F41</f>
        <v/>
      </c>
      <c r="L41" s="72">
        <f>K41</f>
        <v/>
      </c>
    </row>
    <row r="42">
      <c r="A42" t="inlineStr">
        <is>
          <t>Repair of buildings</t>
        </is>
      </c>
      <c r="B42" t="n">
        <v>0</v>
      </c>
      <c r="C42" t="n">
        <v>0</v>
      </c>
      <c r="D42" t="n">
        <v>9</v>
      </c>
      <c r="F42" s="72" t="n">
        <v>0.04</v>
      </c>
      <c r="H42" t="inlineStr">
        <is>
          <t>felling and sawing timber for the same 9pence.</t>
        </is>
      </c>
      <c r="K42" s="72">
        <f>F42</f>
        <v/>
      </c>
      <c r="L42" s="72">
        <f>K42</f>
        <v/>
      </c>
    </row>
    <row r="43">
      <c r="A43" t="inlineStr">
        <is>
          <t>Repair of buildings</t>
        </is>
      </c>
      <c r="B43" t="n">
        <v>0</v>
      </c>
      <c r="C43" t="n">
        <v>3</v>
      </c>
      <c r="D43" t="n">
        <v>6</v>
      </c>
      <c r="F43" s="72" t="n">
        <v>0.17</v>
      </c>
      <c r="H43" t="inlineStr">
        <is>
          <t>mending the byre in part and making anew a fodder-rack for the byre 3 shilling 6pence.</t>
        </is>
      </c>
      <c r="K43" s="72">
        <f>F43</f>
        <v/>
      </c>
      <c r="L43" s="72">
        <f>K43</f>
        <v/>
      </c>
    </row>
    <row r="44">
      <c r="A44" t="inlineStr">
        <is>
          <t>Repair of buildings</t>
        </is>
      </c>
      <c r="B44" t="n">
        <v>0</v>
      </c>
      <c r="C44" t="n">
        <v>0</v>
      </c>
      <c r="D44" t="n">
        <v>6</v>
      </c>
      <c r="F44" s="72" t="n">
        <v>0.03</v>
      </c>
      <c r="H44" t="inlineStr">
        <is>
          <t>mending the fodder-rack and manger in the stable 6pence.</t>
        </is>
      </c>
      <c r="K44" s="72">
        <f>F44</f>
        <v/>
      </c>
      <c r="L44" s="72">
        <f>K44</f>
        <v/>
      </c>
    </row>
    <row r="45">
      <c r="A45" t="inlineStr">
        <is>
          <t>Repair of buildings</t>
        </is>
      </c>
      <c r="B45" t="n">
        <v>0</v>
      </c>
      <c r="C45" t="n">
        <v>0</v>
      </c>
      <c r="D45" t="n">
        <v>5</v>
      </c>
      <c r="F45" s="72" t="n">
        <v>0.02</v>
      </c>
      <c r="H45" t="inlineStr">
        <is>
          <t>making 1 window in the kitchen with hooks and hinges for the same 5pence.</t>
        </is>
      </c>
      <c r="K45" s="72">
        <f>F45</f>
        <v/>
      </c>
    </row>
    <row r="46">
      <c r="A46" t="inlineStr">
        <is>
          <t>Repair of buildings</t>
        </is>
      </c>
      <c r="B46" t="n">
        <v>0</v>
      </c>
      <c r="C46" t="n">
        <v>0</v>
      </c>
      <c r="D46" t="n">
        <v>10</v>
      </c>
      <c r="F46" s="72">
        <f>B46+C46/20+D46/240</f>
        <v/>
      </c>
      <c r="H46" t="inlineStr">
        <is>
          <t xml:space="preserve">plastering the walls of the bailiff's room and knights' chamber 10pence </t>
        </is>
      </c>
      <c r="K46" s="72">
        <f>F46</f>
        <v/>
      </c>
    </row>
    <row r="47">
      <c r="A47" t="inlineStr">
        <is>
          <t>Repair of buildings</t>
        </is>
      </c>
      <c r="B47" t="n">
        <v>1</v>
      </c>
      <c r="C47" t="n">
        <v>10</v>
      </c>
      <c r="D47" t="n">
        <v>1</v>
      </c>
      <c r="F47" s="72" t="n">
        <v>1.5</v>
      </c>
      <c r="H47" t="inlineStr">
        <is>
          <t>Total, £1 10 shilling 1pence</t>
        </is>
      </c>
    </row>
    <row r="48">
      <c r="A48" t="inlineStr">
        <is>
          <t>Repair of buildings</t>
        </is>
      </c>
      <c r="F48" s="72">
        <f>SUM(F35:F46)</f>
        <v/>
      </c>
      <c r="G48" s="140">
        <f>F48-F47</f>
        <v/>
      </c>
      <c r="H48" t="inlineStr">
        <is>
          <t>Total</t>
        </is>
      </c>
    </row>
    <row r="49"/>
    <row r="50">
      <c r="A50" t="inlineStr">
        <is>
          <t>Cost of the park</t>
        </is>
      </c>
      <c r="B50" t="n">
        <v>0</v>
      </c>
      <c r="C50" t="n">
        <v>0</v>
      </c>
      <c r="D50" t="n">
        <v>2</v>
      </c>
      <c r="F50" s="72" t="n">
        <v>0.01</v>
      </c>
      <c r="H50" t="inlineStr">
        <is>
          <t>In mending 2 gates in the park 2pence.</t>
        </is>
      </c>
      <c r="K50" s="72">
        <f>F50</f>
        <v/>
      </c>
    </row>
    <row r="51">
      <c r="A51" t="inlineStr">
        <is>
          <t>Cost of the park</t>
        </is>
      </c>
      <c r="B51" t="n">
        <v>0</v>
      </c>
      <c r="C51" t="n">
        <v>10</v>
      </c>
      <c r="D51" t="n">
        <v>3</v>
      </c>
      <c r="F51" s="72" t="n">
        <v>0.51</v>
      </c>
      <c r="H51" t="inlineStr">
        <is>
          <t>making 2 furlongs 2 perches of ditch in the park for the pasture for the calves 10 shilling 3pence, at 1.5pence a perch.</t>
        </is>
      </c>
      <c r="K51" s="72">
        <f>F51</f>
        <v/>
      </c>
    </row>
    <row r="52">
      <c r="A52" t="inlineStr">
        <is>
          <t>Cost of the park</t>
        </is>
      </c>
      <c r="B52" t="n">
        <v>0</v>
      </c>
      <c r="C52" t="n">
        <v>5</v>
      </c>
      <c r="D52" t="n">
        <v>1.5</v>
      </c>
      <c r="F52" s="72" t="n">
        <v>0.26</v>
      </c>
      <c r="H52" t="inlineStr">
        <is>
          <t>completing the hedge along the said ditch 5 shilling 1.5pence, at .75pence a perch.</t>
        </is>
      </c>
      <c r="K52" s="72">
        <f>F52</f>
        <v/>
      </c>
    </row>
    <row r="53">
      <c r="A53" t="inlineStr">
        <is>
          <t>Cost of the park</t>
        </is>
      </c>
      <c r="B53" t="n">
        <v>1</v>
      </c>
      <c r="C53" t="n">
        <v>1</v>
      </c>
      <c r="D53" t="n">
        <v>10.5</v>
      </c>
      <c r="F53" s="72" t="n">
        <v>1.09</v>
      </c>
      <c r="H53" t="inlineStr">
        <is>
          <t>closing the gaps in the hedge along 8 furlongs 30 perches £1 1 shilling 10.5pence, at .75pence a perch.</t>
        </is>
      </c>
      <c r="K53" s="72">
        <f>F53</f>
        <v/>
      </c>
    </row>
    <row r="54">
      <c r="A54" t="inlineStr">
        <is>
          <t>Cost of the park</t>
        </is>
      </c>
      <c r="B54" t="n">
        <v>1</v>
      </c>
      <c r="C54" t="n">
        <v>17</v>
      </c>
      <c r="D54" t="n">
        <v>5</v>
      </c>
      <c r="F54" s="72" t="n">
        <v>1.87</v>
      </c>
      <c r="H54" t="inlineStr">
        <is>
          <t>Total, £1 17 shilling 5pence</t>
        </is>
      </c>
    </row>
    <row r="55">
      <c r="A55" t="inlineStr">
        <is>
          <t>Cost of the park</t>
        </is>
      </c>
      <c r="F55" s="72" t="n">
        <v>1.87</v>
      </c>
      <c r="G55" s="140" t="n">
        <v>0</v>
      </c>
      <c r="H55" t="inlineStr">
        <is>
          <t>Total</t>
        </is>
      </c>
    </row>
    <row r="56"/>
    <row r="57">
      <c r="A57" t="inlineStr">
        <is>
          <t>Dairy</t>
        </is>
      </c>
      <c r="B57" t="n">
        <v>0</v>
      </c>
      <c r="C57" t="n">
        <v>2</v>
      </c>
      <c r="D57" t="n">
        <v>0</v>
      </c>
      <c r="F57" s="72" t="n">
        <v>0.1</v>
      </c>
      <c r="H57" t="inlineStr">
        <is>
          <t>In 1 qr of salt bought 2 shilling.</t>
        </is>
      </c>
      <c r="K57" s="72">
        <f>F57</f>
        <v/>
      </c>
      <c r="L57" s="72">
        <f>K57</f>
        <v/>
      </c>
    </row>
    <row r="58">
      <c r="A58" t="inlineStr">
        <is>
          <t>Dairy</t>
        </is>
      </c>
      <c r="B58" t="n">
        <v>0</v>
      </c>
      <c r="C58" t="n">
        <v>0</v>
      </c>
      <c r="D58" t="n">
        <v>4</v>
      </c>
      <c r="F58" s="72" t="n">
        <v>0.02</v>
      </c>
      <c r="H58" t="inlineStr">
        <is>
          <t>woollen and linen cloth bought 4pence.</t>
        </is>
      </c>
      <c r="K58" s="72">
        <f>F58</f>
        <v/>
      </c>
      <c r="L58" s="72">
        <f>K58</f>
        <v/>
      </c>
    </row>
    <row r="59">
      <c r="A59" t="inlineStr">
        <is>
          <t>Dairy</t>
        </is>
      </c>
      <c r="B59" t="n">
        <v>0</v>
      </c>
      <c r="C59" t="n">
        <v>0</v>
      </c>
      <c r="D59" t="n">
        <v>3</v>
      </c>
      <c r="F59" s="72" t="n">
        <v>0.01</v>
      </c>
      <c r="H59" t="inlineStr">
        <is>
          <t>a press bought 3pence.</t>
        </is>
      </c>
      <c r="K59" s="72">
        <f>F59</f>
        <v/>
      </c>
      <c r="L59" s="72">
        <f>K59</f>
        <v/>
      </c>
    </row>
    <row r="60">
      <c r="A60" t="inlineStr">
        <is>
          <t>Dairy</t>
        </is>
      </c>
      <c r="B60" t="n">
        <v>0</v>
      </c>
      <c r="C60" t="n">
        <v>0</v>
      </c>
      <c r="D60" t="n">
        <v>4.5</v>
      </c>
      <c r="F60" s="72" t="n">
        <v>0.02</v>
      </c>
      <c r="H60" t="inlineStr">
        <is>
          <t>earthenware pots and pans bought 4.5pence.</t>
        </is>
      </c>
      <c r="K60" s="72">
        <f>F60</f>
        <v/>
      </c>
      <c r="L60" s="72">
        <f>K60</f>
        <v/>
      </c>
    </row>
    <row r="61">
      <c r="A61" t="inlineStr">
        <is>
          <t>Dairy</t>
        </is>
      </c>
      <c r="B61" t="n">
        <v>0</v>
      </c>
      <c r="C61" t="n">
        <v>0</v>
      </c>
      <c r="D61" t="n">
        <v>6</v>
      </c>
      <c r="F61" s="72" t="n">
        <v>0.03</v>
      </c>
      <c r="H61" t="inlineStr">
        <is>
          <t>2 cheese moulds bought 6pence.</t>
        </is>
      </c>
      <c r="K61" s="72">
        <f>F61</f>
        <v/>
      </c>
      <c r="L61" s="72">
        <f>K61</f>
        <v/>
      </c>
    </row>
    <row r="62">
      <c r="A62" t="inlineStr">
        <is>
          <t>Dairy</t>
        </is>
      </c>
      <c r="B62" t="n">
        <v>0</v>
      </c>
      <c r="C62" t="n">
        <v>0</v>
      </c>
      <c r="D62" t="n">
        <v>4</v>
      </c>
      <c r="F62" s="72" t="n">
        <v>0.02</v>
      </c>
      <c r="H62" t="inlineStr">
        <is>
          <t>mending the utensils of the dairy 4pence.</t>
        </is>
      </c>
      <c r="K62" s="72">
        <f>F62</f>
        <v/>
      </c>
      <c r="L62" s="72">
        <f>K62</f>
        <v/>
      </c>
    </row>
    <row r="63">
      <c r="A63" t="inlineStr">
        <is>
          <t>Dairy</t>
        </is>
      </c>
      <c r="B63" t="n">
        <v>0</v>
      </c>
      <c r="C63" t="n">
        <v>3</v>
      </c>
      <c r="D63" t="n">
        <v>1.5</v>
      </c>
      <c r="F63" s="72" t="n">
        <v>0.16</v>
      </c>
      <c r="H63" t="inlineStr">
        <is>
          <t>15 ells of canvas bought 3 shilling 1.5pence.</t>
        </is>
      </c>
      <c r="K63" s="72">
        <f>F63</f>
        <v/>
      </c>
      <c r="L63" s="72">
        <f>K63</f>
        <v/>
      </c>
    </row>
    <row r="64">
      <c r="A64" t="inlineStr">
        <is>
          <t>Dairy</t>
        </is>
      </c>
      <c r="B64" t="n">
        <v>0</v>
      </c>
      <c r="C64" t="n">
        <v>0</v>
      </c>
      <c r="D64" t="n">
        <v>4</v>
      </c>
      <c r="F64" s="72" t="n">
        <v>0.02</v>
      </c>
      <c r="H64" t="inlineStr">
        <is>
          <t>making sacks with thread for the same and packing the said wool 4pence.</t>
        </is>
      </c>
      <c r="K64" s="72">
        <f>F64</f>
        <v/>
      </c>
      <c r="L64" s="72">
        <f>K64</f>
        <v/>
      </c>
    </row>
    <row r="65">
      <c r="A65" t="inlineStr">
        <is>
          <t>Dairy</t>
        </is>
      </c>
      <c r="B65" t="n">
        <v>0</v>
      </c>
      <c r="C65" t="n">
        <v>1</v>
      </c>
      <c r="D65" t="n">
        <v>6</v>
      </c>
      <c r="F65" s="72">
        <f>B65+C65/20+D65/240</f>
        <v/>
      </c>
      <c r="H65" t="inlineStr">
        <is>
          <t>stipend of 1 dairymaid from the Purification (2 February) until Michaelmas (29 September) 1shilling  6pence.</t>
        </is>
      </c>
    </row>
    <row r="66">
      <c r="A66" t="inlineStr">
        <is>
          <t>Dairy</t>
        </is>
      </c>
      <c r="B66" t="n">
        <v>2</v>
      </c>
      <c r="C66" t="n">
        <v>1</v>
      </c>
      <c r="D66" t="n">
        <v>0</v>
      </c>
      <c r="F66" s="72">
        <f>B66+C66/20+D66/240</f>
        <v/>
      </c>
      <c r="H66" t="inlineStr">
        <is>
          <t>80 lambs bought before shearing £2 1shilling 4pence, at 5pence each for 48, and 8pence each for 32..</t>
        </is>
      </c>
    </row>
    <row r="67">
      <c r="A67" t="inlineStr">
        <is>
          <t>Dairy</t>
        </is>
      </c>
      <c r="B67" t="n">
        <v>0</v>
      </c>
      <c r="C67" t="n">
        <v>0</v>
      </c>
      <c r="D67" t="n">
        <v>4</v>
      </c>
      <c r="F67" s="72" t="n">
        <v>0.02</v>
      </c>
      <c r="H67" t="inlineStr">
        <is>
          <t>castrating piglets 4pence.</t>
        </is>
      </c>
    </row>
    <row r="68">
      <c r="A68" t="inlineStr">
        <is>
          <t>Dairy</t>
        </is>
      </c>
      <c r="B68" t="n">
        <v>0</v>
      </c>
      <c r="C68" t="n">
        <v>16</v>
      </c>
      <c r="D68" t="n">
        <v>2</v>
      </c>
      <c r="F68" s="72" t="n">
        <v>0.8100000000000001</v>
      </c>
      <c r="H68" t="inlineStr">
        <is>
          <t>grease and vinegar bought for greasing sheep 16 shilling 2pence.</t>
        </is>
      </c>
      <c r="K68" s="72">
        <f>F68</f>
        <v/>
      </c>
      <c r="L68" s="72">
        <f>K68</f>
        <v/>
      </c>
    </row>
    <row r="69">
      <c r="A69" t="inlineStr">
        <is>
          <t>Dairy</t>
        </is>
      </c>
      <c r="B69" t="n">
        <v>0</v>
      </c>
      <c r="C69" t="n">
        <v>2</v>
      </c>
      <c r="D69" t="n">
        <v>0</v>
      </c>
      <c r="F69" s="72" t="n">
        <v>0.1</v>
      </c>
      <c r="H69" t="inlineStr">
        <is>
          <t>stipend of 1 keeper of lambs for' year, 2 shilling this year.</t>
        </is>
      </c>
    </row>
    <row r="70">
      <c r="A70" t="inlineStr">
        <is>
          <t>Dairy</t>
        </is>
      </c>
      <c r="B70" t="n">
        <v>3</v>
      </c>
      <c r="C70" t="n">
        <v>8</v>
      </c>
      <c r="D70" t="n">
        <v>7</v>
      </c>
      <c r="F70" s="72" t="n">
        <v>3.43</v>
      </c>
      <c r="H70" t="inlineStr">
        <is>
          <t>Total, £3 8 shilling 7pence</t>
        </is>
      </c>
    </row>
    <row r="71">
      <c r="A71" t="inlineStr">
        <is>
          <t>Dairy</t>
        </is>
      </c>
      <c r="F71" s="72">
        <f>SUM(F57:F69)</f>
        <v/>
      </c>
      <c r="G71" s="140">
        <f>F71-F70</f>
        <v/>
      </c>
      <c r="H71" t="inlineStr">
        <is>
          <t>Total</t>
        </is>
      </c>
    </row>
    <row r="72"/>
    <row r="73">
      <c r="A73" t="inlineStr">
        <is>
          <t>Sheepcote</t>
        </is>
      </c>
      <c r="B73" t="n">
        <v>0</v>
      </c>
      <c r="C73" t="n">
        <v>1</v>
      </c>
      <c r="D73" t="n">
        <v>0</v>
      </c>
      <c r="F73" s="72" t="n">
        <v>0.05</v>
      </c>
      <c r="H73" t="inlineStr">
        <is>
          <t>In roofing part of the sheepcote 1 shilling.</t>
        </is>
      </c>
      <c r="K73" s="72">
        <f>F73</f>
        <v/>
      </c>
      <c r="L73" s="72">
        <f>K73</f>
        <v/>
      </c>
    </row>
    <row r="74">
      <c r="A74" t="inlineStr">
        <is>
          <t>Sheepcote</t>
        </is>
      </c>
      <c r="B74" t="n">
        <v>0</v>
      </c>
      <c r="C74" t="n">
        <v>0</v>
      </c>
      <c r="D74" t="n">
        <v>9.25</v>
      </c>
      <c r="F74" s="72" t="n">
        <v>0.04</v>
      </c>
      <c r="H74" t="inlineStr">
        <is>
          <t>making anew 1 door to the ewe-house with nooks and hinges for the same 9.25pence.</t>
        </is>
      </c>
      <c r="K74" s="72">
        <f>F74</f>
        <v/>
      </c>
      <c r="L74" s="72">
        <f>K74</f>
        <v/>
      </c>
    </row>
    <row r="75">
      <c r="A75" t="inlineStr">
        <is>
          <t>Sheepcote</t>
        </is>
      </c>
      <c r="B75" t="n">
        <v>0</v>
      </c>
      <c r="C75" t="n">
        <v>0</v>
      </c>
      <c r="D75" t="n">
        <v>9</v>
      </c>
      <c r="F75" s="72">
        <f>B75+C75/20+D75/240</f>
        <v/>
      </c>
      <c r="H75" t="inlineStr">
        <is>
          <t xml:space="preserve">a fodder-rack and cratch made for the ewe-house 9pence </t>
        </is>
      </c>
      <c r="K75" s="72">
        <f>F75</f>
        <v/>
      </c>
      <c r="L75" s="72">
        <f>K75</f>
        <v/>
      </c>
    </row>
    <row r="76">
      <c r="A76" t="inlineStr">
        <is>
          <t>Sheepcote</t>
        </is>
      </c>
      <c r="B76" t="n">
        <v>0</v>
      </c>
      <c r="C76" t="n">
        <v>2</v>
      </c>
      <c r="D76" t="n">
        <v>6.25</v>
      </c>
      <c r="F76" s="72">
        <f>B76+C76/20+D76/240</f>
        <v/>
      </c>
      <c r="H76" t="inlineStr">
        <is>
          <t>Total, 2 shilling 6.25pence</t>
        </is>
      </c>
    </row>
    <row r="77">
      <c r="A77" t="inlineStr">
        <is>
          <t>Sheepcote</t>
        </is>
      </c>
      <c r="F77" s="72">
        <f>SUM(F73:F75)</f>
        <v/>
      </c>
      <c r="G77" s="140">
        <f>F77-F76</f>
        <v/>
      </c>
      <c r="H77" t="inlineStr">
        <is>
          <t>Total</t>
        </is>
      </c>
    </row>
    <row r="78"/>
    <row r="79">
      <c r="A79" t="inlineStr">
        <is>
          <t>Cost of hay</t>
        </is>
      </c>
      <c r="B79" t="n">
        <v>0</v>
      </c>
      <c r="C79" t="n">
        <v>3</v>
      </c>
      <c r="D79" t="n">
        <v>1.5</v>
      </c>
      <c r="F79" s="72" t="n">
        <v>0.16</v>
      </c>
      <c r="H79" t="inlineStr">
        <is>
          <t>In fences for an enclosure and enclosing the meadow 3 shilling 1.5pence.</t>
        </is>
      </c>
    </row>
    <row r="80">
      <c r="A80" t="inlineStr">
        <is>
          <t>Cost of hay</t>
        </is>
      </c>
      <c r="B80" t="n">
        <v>0</v>
      </c>
      <c r="C80" t="n">
        <v>10</v>
      </c>
      <c r="D80" t="n">
        <v>0</v>
      </c>
      <c r="F80" s="72" t="n">
        <v>0.5</v>
      </c>
      <c r="H80" t="inlineStr">
        <is>
          <t>mowing the whole of the meadow 10 shilling.</t>
        </is>
      </c>
    </row>
    <row r="81">
      <c r="A81" t="inlineStr">
        <is>
          <t>Cost of hay</t>
        </is>
      </c>
      <c r="B81" t="n">
        <v>0</v>
      </c>
      <c r="C81" t="n">
        <v>2</v>
      </c>
      <c r="D81" t="n">
        <v>0</v>
      </c>
      <c r="F81" s="72">
        <f>B81+C81/20+D81/240</f>
        <v/>
      </c>
      <c r="H81" t="inlineStr">
        <is>
          <t>tossing and spreading the hay and making haycocks therefrom 2 shilling</t>
        </is>
      </c>
    </row>
    <row r="82">
      <c r="A82" t="inlineStr">
        <is>
          <t>Cost of hay</t>
        </is>
      </c>
      <c r="B82" t="n">
        <v>0</v>
      </c>
      <c r="C82" t="n">
        <v>15</v>
      </c>
      <c r="D82" t="n">
        <v>1.5</v>
      </c>
      <c r="F82" s="72" t="n">
        <v>0.76</v>
      </c>
      <c r="H82" t="inlineStr">
        <is>
          <t>Total, 15 shilling 1.5pence</t>
        </is>
      </c>
    </row>
    <row r="83">
      <c r="A83" t="inlineStr">
        <is>
          <t>Cost of hay</t>
        </is>
      </c>
      <c r="F83" s="72">
        <f>SUM(F79:F81)</f>
        <v/>
      </c>
      <c r="G83" s="140">
        <f>F83-F82</f>
        <v/>
      </c>
      <c r="H83" t="inlineStr">
        <is>
          <t>Total</t>
        </is>
      </c>
    </row>
    <row r="84"/>
    <row r="85">
      <c r="A85" t="inlineStr">
        <is>
          <t>Threshing</t>
        </is>
      </c>
      <c r="B85" t="n">
        <v>0</v>
      </c>
      <c r="C85" t="n">
        <v>15</v>
      </c>
      <c r="D85" t="n">
        <v>7</v>
      </c>
      <c r="F85" s="72" t="n">
        <v>0.78</v>
      </c>
      <c r="H85" t="inlineStr">
        <is>
          <t>In threshing and winnowing 68 quarters of wheat and curall by piece-work 15 shilling 7pence, at 2.75pence a qr.</t>
        </is>
      </c>
    </row>
    <row r="86">
      <c r="A86" t="inlineStr">
        <is>
          <t>Threshing</t>
        </is>
      </c>
      <c r="B86" t="n">
        <v>0</v>
      </c>
      <c r="C86" t="n">
        <v>9</v>
      </c>
      <c r="D86" t="n">
        <v>7.5</v>
      </c>
      <c r="F86" s="72" t="n">
        <v>0.48</v>
      </c>
      <c r="H86" t="inlineStr">
        <is>
          <t>threshing and winnowing 55 quarters 2 bushels of barley, 4 quarters of peas and 7 quarters of vetches by piece-work 9 shilling 7.5pence, at 1.75pence a qr.</t>
        </is>
      </c>
    </row>
    <row r="87">
      <c r="A87" t="inlineStr">
        <is>
          <t>Threshing</t>
        </is>
      </c>
      <c r="B87" t="n">
        <v>0</v>
      </c>
      <c r="C87" t="n">
        <v>3</v>
      </c>
      <c r="D87" t="n">
        <v>2.5</v>
      </c>
      <c r="F87" s="72" t="n">
        <v>0.16</v>
      </c>
      <c r="H87" t="inlineStr">
        <is>
          <t>threshing and winnowing 44 quarters of oats by piece-work 3 shilling 2.5pence, at 1.75pence per 2 quarters.</t>
        </is>
      </c>
    </row>
    <row r="88">
      <c r="A88" t="inlineStr">
        <is>
          <t>Threshing</t>
        </is>
      </c>
      <c r="B88" t="n">
        <v>0</v>
      </c>
      <c r="C88" t="n">
        <v>2</v>
      </c>
      <c r="D88" t="n">
        <v>6</v>
      </c>
      <c r="F88" s="72">
        <f>B88+C88/20+D88/240</f>
        <v/>
      </c>
      <c r="H88" t="inlineStr">
        <is>
          <t xml:space="preserve">5 sacks bought 2 shilling 6pence </t>
        </is>
      </c>
    </row>
    <row r="89">
      <c r="A89" t="inlineStr">
        <is>
          <t>Threshing</t>
        </is>
      </c>
      <c r="B89" t="n">
        <v>1</v>
      </c>
      <c r="C89" t="n">
        <v>10</v>
      </c>
      <c r="D89" t="n">
        <v>11</v>
      </c>
      <c r="F89" s="72" t="n">
        <v>1.55</v>
      </c>
      <c r="H89" t="inlineStr">
        <is>
          <t>Total, £1 10 shilling 11pence</t>
        </is>
      </c>
    </row>
    <row r="90">
      <c r="A90" t="inlineStr">
        <is>
          <t>Threshing</t>
        </is>
      </c>
      <c r="F90" s="72">
        <f>SUM(F85:F88)</f>
        <v/>
      </c>
      <c r="G90" s="140">
        <f>F90-F89</f>
        <v/>
      </c>
      <c r="H90" t="inlineStr">
        <is>
          <t>Total</t>
        </is>
      </c>
    </row>
    <row r="91"/>
    <row r="92">
      <c r="A92" t="inlineStr">
        <is>
          <t>Harvest-time</t>
        </is>
      </c>
      <c r="B92" t="n">
        <v>1</v>
      </c>
      <c r="C92" t="n">
        <v>19</v>
      </c>
      <c r="D92" t="n">
        <v>8</v>
      </c>
      <c r="F92" s="72" t="n">
        <v>1.98</v>
      </c>
      <c r="H92" t="inlineStr">
        <is>
          <t>In bread bought for 974 men at 15 boon-works with the carters and customary tenants who reaped and bound 222 acres of wheat, 107 acres of barley and 414 acres of oats as they lie £1 19 shilling 8pence.</t>
        </is>
      </c>
    </row>
    <row r="93">
      <c r="A93" t="inlineStr">
        <is>
          <t>Harvest-time</t>
        </is>
      </c>
      <c r="B93" t="n">
        <v>0</v>
      </c>
      <c r="C93" t="n">
        <v>12</v>
      </c>
      <c r="D93" t="n">
        <v>0</v>
      </c>
      <c r="F93" s="72" t="n">
        <v>0.6</v>
      </c>
      <c r="H93" t="inlineStr">
        <is>
          <t>relish for the same 12 shilling.</t>
        </is>
      </c>
    </row>
    <row r="94">
      <c r="A94" t="inlineStr">
        <is>
          <t>Harvest-time</t>
        </is>
      </c>
      <c r="B94" t="n">
        <v>0</v>
      </c>
      <c r="C94" t="n">
        <v>1</v>
      </c>
      <c r="D94" t="n">
        <v>8</v>
      </c>
      <c r="F94" s="72">
        <f>B94+C94/20+D94/240</f>
        <v/>
      </c>
      <c r="H94" t="inlineStr">
        <is>
          <t xml:space="preserve">allowance of food for the reeve and bartoner at harvest-time 1 shilling 8pence </t>
        </is>
      </c>
    </row>
    <row r="95">
      <c r="A95" t="inlineStr">
        <is>
          <t>Harvest-time</t>
        </is>
      </c>
      <c r="B95" t="n">
        <v>2</v>
      </c>
      <c r="C95" t="n">
        <v>13</v>
      </c>
      <c r="D95" t="n">
        <v>4</v>
      </c>
      <c r="F95" s="72" t="n">
        <v>2.67</v>
      </c>
      <c r="H95" t="inlineStr">
        <is>
          <t>Total, £2 13 shilling 4pence</t>
        </is>
      </c>
    </row>
    <row r="96">
      <c r="A96" t="inlineStr">
        <is>
          <t>Harvest-time</t>
        </is>
      </c>
      <c r="F96" s="72">
        <f>SUM(F92:F94)</f>
        <v/>
      </c>
      <c r="G96" s="140">
        <f>F96-F95</f>
        <v/>
      </c>
      <c r="H96" t="inlineStr">
        <is>
          <t>Total</t>
        </is>
      </c>
    </row>
    <row r="97"/>
    <row r="98">
      <c r="A98" t="inlineStr">
        <is>
          <t>Cost of the mill</t>
        </is>
      </c>
      <c r="B98" t="n">
        <v>0</v>
      </c>
      <c r="C98" t="n">
        <v>0</v>
      </c>
      <c r="D98" t="n">
        <v>8</v>
      </c>
      <c r="F98" s="72" t="n">
        <v>0.03</v>
      </c>
      <c r="H98" t="inlineStr">
        <is>
          <t xml:space="preserve">In iron bought for mending the spindle 8pence </t>
        </is>
      </c>
    </row>
    <row r="99">
      <c r="A99" t="inlineStr">
        <is>
          <t>Cost of the mill</t>
        </is>
      </c>
      <c r="F99" s="72" t="n">
        <v>0.03</v>
      </c>
      <c r="H99" t="inlineStr">
        <is>
          <t>Total, 8pence</t>
        </is>
      </c>
    </row>
    <row r="100">
      <c r="A100" t="inlineStr">
        <is>
          <t>Cost of the mill</t>
        </is>
      </c>
      <c r="F100" s="72" t="n">
        <v>0.03</v>
      </c>
      <c r="G100" s="140">
        <f>F100-F99</f>
        <v/>
      </c>
      <c r="H100" t="inlineStr">
        <is>
          <t>Total</t>
        </is>
      </c>
    </row>
    <row r="101"/>
    <row r="102">
      <c r="A102" t="inlineStr">
        <is>
          <t>Expenses of the steward</t>
        </is>
      </c>
      <c r="B102" t="n">
        <v>0</v>
      </c>
      <c r="C102" t="n">
        <v>9</v>
      </c>
      <c r="D102" t="n">
        <v>6</v>
      </c>
      <c r="F102" s="72" t="n">
        <v>0.48</v>
      </c>
      <c r="H102" t="inlineStr">
        <is>
          <t xml:space="preserve">In expenses of Simon, clerk, holding the place of the steward at the 2 tourns 9 shilling 6pence </t>
        </is>
      </c>
    </row>
    <row r="103">
      <c r="A103" t="inlineStr">
        <is>
          <t>Expenses of the steward</t>
        </is>
      </c>
      <c r="B103" t="n">
        <v>0</v>
      </c>
      <c r="C103" t="n">
        <v>9</v>
      </c>
      <c r="D103" t="n">
        <v>6</v>
      </c>
      <c r="F103" s="72" t="n">
        <v>0.48</v>
      </c>
      <c r="H103" t="inlineStr">
        <is>
          <t>Total, 9 shilling 6pence</t>
        </is>
      </c>
    </row>
    <row r="104">
      <c r="A104" t="inlineStr">
        <is>
          <t>Expenses of the steward</t>
        </is>
      </c>
      <c r="F104" s="72" t="n">
        <v>0.48</v>
      </c>
      <c r="G104" s="140" t="n">
        <v>0</v>
      </c>
      <c r="H104" t="inlineStr">
        <is>
          <t>Total</t>
        </is>
      </c>
    </row>
    <row r="105"/>
    <row r="106">
      <c r="A106" t="inlineStr">
        <is>
          <t>Purchase of stock</t>
        </is>
      </c>
      <c r="B106" t="n">
        <v>13</v>
      </c>
      <c r="C106" t="n">
        <v>14</v>
      </c>
      <c r="D106" t="n">
        <v>7</v>
      </c>
      <c r="F106" s="72" t="n">
        <v>13.73</v>
      </c>
      <c r="H106" t="inlineStr">
        <is>
          <t xml:space="preserve">In 39 animals bought for pasturing £13 14 shilling 7pence </t>
        </is>
      </c>
    </row>
    <row r="107">
      <c r="A107" t="inlineStr">
        <is>
          <t>Purchase of stock</t>
        </is>
      </c>
      <c r="B107" t="n">
        <v>13</v>
      </c>
      <c r="C107" t="n">
        <v>14</v>
      </c>
      <c r="D107" t="n">
        <v>7</v>
      </c>
      <c r="F107" s="72" t="n">
        <v>13.73</v>
      </c>
      <c r="H107" t="inlineStr">
        <is>
          <t>Total, £13 14 shilling 7pence</t>
        </is>
      </c>
    </row>
    <row r="108">
      <c r="A108" t="inlineStr">
        <is>
          <t>Purchase of stock</t>
        </is>
      </c>
      <c r="F108" s="72" t="n">
        <v>13.73</v>
      </c>
      <c r="G108" s="140" t="n">
        <v>0</v>
      </c>
      <c r="H108" t="inlineStr">
        <is>
          <t>Total</t>
        </is>
      </c>
    </row>
    <row r="109"/>
    <row r="110"/>
    <row r="111">
      <c r="A111" t="inlineStr">
        <is>
          <t>Total of all expenses</t>
        </is>
      </c>
      <c r="B111" t="n">
        <v>34</v>
      </c>
      <c r="C111" t="n">
        <v>19</v>
      </c>
      <c r="D111" t="n">
        <v>7.25</v>
      </c>
      <c r="F111" s="72" t="n">
        <v>34.98</v>
      </c>
      <c r="H111" t="inlineStr">
        <is>
          <t>Total of all expenses, £34 19 shilling 7.25pence</t>
        </is>
      </c>
    </row>
    <row r="112">
      <c r="A112" t="inlineStr">
        <is>
          <t>Total of all expenses</t>
        </is>
      </c>
      <c r="F112" s="72" t="n">
        <v>34.98</v>
      </c>
      <c r="G112" s="140">
        <f>F112-F111</f>
        <v/>
      </c>
      <c r="H112" t="inlineStr">
        <is>
          <t>Total</t>
        </is>
      </c>
    </row>
    <row r="113"/>
    <row r="114">
      <c r="A114" t="inlineStr">
        <is>
          <t>And he owes</t>
        </is>
      </c>
      <c r="B114" t="n">
        <v>72</v>
      </c>
      <c r="C114" t="n">
        <v>0</v>
      </c>
      <c r="D114" t="n">
        <v>0</v>
      </c>
      <c r="F114" s="72" t="n">
        <v>72</v>
      </c>
      <c r="H114" t="inlineStr">
        <is>
          <t>And he owes, £72 l 1pence</t>
        </is>
      </c>
    </row>
    <row r="115">
      <c r="A115" t="inlineStr">
        <is>
          <t>And he owes</t>
        </is>
      </c>
      <c r="F115" s="72" t="n">
        <v>72</v>
      </c>
      <c r="G115" s="140" t="n">
        <v>0</v>
      </c>
      <c r="H115" t="inlineStr">
        <is>
          <t>Total</t>
        </is>
      </c>
    </row>
    <row r="116"/>
    <row r="117">
      <c r="A117" t="inlineStr">
        <is>
          <t>Cash deliveries</t>
        </is>
      </c>
      <c r="B117" t="n">
        <v>72</v>
      </c>
      <c r="C117" t="n">
        <v>0</v>
      </c>
      <c r="D117" t="n">
        <v>0</v>
      </c>
      <c r="F117" s="72" t="n">
        <v>72</v>
      </c>
      <c r="H117" t="inlineStr">
        <is>
          <t>Delivered to Sir Geoffrey, treasurer of Wolvesey, by 1 tally, £72.</t>
        </is>
      </c>
    </row>
    <row r="118">
      <c r="A118" t="inlineStr">
        <is>
          <t>Cash deliveries</t>
        </is>
      </c>
      <c r="F118" s="72" t="n">
        <v>72</v>
      </c>
      <c r="G118" s="140" t="n">
        <v>0</v>
      </c>
      <c r="H118" t="inlineStr">
        <is>
          <t>Total</t>
        </is>
      </c>
    </row>
    <row r="119"/>
    <row r="120">
      <c r="A120" t="inlineStr">
        <is>
          <t>And thus he owes</t>
        </is>
      </c>
      <c r="B120" t="n">
        <v>0</v>
      </c>
      <c r="C120" t="n">
        <v>0</v>
      </c>
      <c r="D120" t="n">
        <v>0</v>
      </c>
      <c r="F120" s="72" t="n">
        <v>0</v>
      </c>
      <c r="H120" t="inlineStr">
        <is>
          <t>And thus he is quit.</t>
        </is>
      </c>
    </row>
    <row r="121"/>
    <row r="122" ht="16" customHeight="1">
      <c r="A122" s="12" t="inlineStr">
        <is>
          <t>Total of all expenses per account</t>
        </is>
      </c>
      <c r="F122" s="72">
        <f>F112</f>
        <v/>
      </c>
    </row>
    <row r="123" ht="16" customHeight="1">
      <c r="A123" s="12" t="inlineStr">
        <is>
          <t>Total of all expenses (calculated here)</t>
        </is>
      </c>
      <c r="F123" s="72">
        <f>F108+F104+F100+F96+F90+F83+F77+F71+F55+F48+F33+F20+F16</f>
        <v/>
      </c>
      <c r="G123" s="140">
        <f>F123-F122</f>
        <v/>
      </c>
    </row>
    <row r="124" ht="16" customHeight="1">
      <c r="A124" s="12" t="inlineStr">
        <is>
          <t>Total fixed investment</t>
        </is>
      </c>
      <c r="F124" s="72">
        <f>SUM(K3:K77)</f>
        <v/>
      </c>
    </row>
    <row r="125" ht="16" customHeight="1">
      <c r="A125" s="12" t="inlineStr">
        <is>
          <t>Total Demesne fixed investment</t>
        </is>
      </c>
      <c r="F125" s="72">
        <f>SUM(L3:L77)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1"/>
  <sheetViews>
    <sheetView topLeftCell="A1" workbookViewId="0">
      <selection activeCell="A1" sqref="A1"/>
    </sheetView>
  </sheetViews>
  <sheetFormatPr baseColWidth="8" defaultRowHeight="15"/>
  <cols>
    <col width="30" customWidth="1" min="1" max="1"/>
    <col width="12.1640625" customWidth="1" min="2" max="2"/>
    <col width="19.1640625" customWidth="1" min="3" max="3"/>
    <col width="20" customWidth="1" min="4" max="4"/>
    <col width="15.83203125" customWidth="1" min="5" max="5"/>
    <col width="20.6640625" customWidth="1" min="7" max="7"/>
    <col width="20" customWidth="1" min="8" max="8"/>
    <col width="17.6640625" customWidth="1" min="9" max="9"/>
    <col width="24" customWidth="1" min="10" max="10"/>
    <col width="17.83203125" customWidth="1" min="13" max="13"/>
    <col width="8.1640625" customWidth="1" min="14" max="14"/>
    <col width="19.5" customWidth="1" min="15" max="15"/>
    <col width="20.1640625" customWidth="1" min="16" max="16"/>
  </cols>
  <sheetData>
    <row r="1" ht="32" customHeight="1">
      <c r="A1" s="142" t="inlineStr">
        <is>
          <t>Gross Output</t>
        </is>
      </c>
      <c r="B1" s="142" t="inlineStr">
        <is>
          <t>Total Quantity</t>
        </is>
      </c>
      <c r="C1" s="142" t="inlineStr">
        <is>
          <t>Account Total Quarters</t>
        </is>
      </c>
      <c r="D1" s="142" t="inlineStr">
        <is>
          <t>Bought in Total Quarters</t>
        </is>
      </c>
      <c r="E1" s="142" t="inlineStr">
        <is>
          <t>Received from churchscot</t>
        </is>
      </c>
      <c r="F1" s="142" t="inlineStr">
        <is>
          <t>Sold Total Quarters</t>
        </is>
      </c>
      <c r="G1" s="142" t="inlineStr">
        <is>
          <t>Difference Produced+Bought-Sold</t>
        </is>
      </c>
      <c r="H1" s="142" t="inlineStr">
        <is>
          <t>Weighted Average Price per Quarter</t>
        </is>
      </c>
      <c r="I1" s="143" t="inlineStr">
        <is>
          <t>Value of Total Production weighted</t>
        </is>
      </c>
    </row>
    <row r="2">
      <c r="A2" t="inlineStr">
        <is>
          <t>wheat</t>
        </is>
      </c>
      <c r="B2" s="72" t="n">
        <v>73.25</v>
      </c>
      <c r="C2" s="72" t="n">
        <v>73.25</v>
      </c>
      <c r="D2" s="72" t="n">
        <v>0</v>
      </c>
      <c r="E2" s="73" t="n"/>
      <c r="F2" s="72" t="n">
        <v>46.3125</v>
      </c>
      <c r="G2" s="73">
        <f>B2-F2</f>
        <v/>
      </c>
      <c r="H2" s="72" t="n">
        <v>0.2781376518218623</v>
      </c>
      <c r="I2" s="73">
        <f>H2*B2</f>
        <v/>
      </c>
    </row>
    <row r="3">
      <c r="A3" t="inlineStr">
        <is>
          <t>curall</t>
        </is>
      </c>
      <c r="B3" s="72" t="n">
        <v>13.125</v>
      </c>
      <c r="C3" s="72" t="n">
        <v>13.125</v>
      </c>
      <c r="D3" s="72" t="n">
        <v>0</v>
      </c>
      <c r="E3" s="73" t="n"/>
      <c r="F3" s="72" t="n">
        <v>13.125</v>
      </c>
      <c r="G3" s="73">
        <f>B3-F3</f>
        <v/>
      </c>
      <c r="H3" s="72" t="n">
        <v>0.1333333333333333</v>
      </c>
      <c r="I3" s="73">
        <f>H3*B3</f>
        <v/>
      </c>
    </row>
    <row r="4">
      <c r="A4" t="inlineStr">
        <is>
          <t>barley</t>
        </is>
      </c>
      <c r="B4" s="72" t="n">
        <v>76.5</v>
      </c>
      <c r="C4" s="72" t="n">
        <v>69.25</v>
      </c>
      <c r="D4" s="72" t="n">
        <v>6.625</v>
      </c>
      <c r="E4" s="73" t="n"/>
      <c r="F4" s="72" t="n">
        <v>23.9375</v>
      </c>
      <c r="G4" s="73">
        <f>B4-F4</f>
        <v/>
      </c>
      <c r="H4" s="72" t="n">
        <v>0.2</v>
      </c>
      <c r="I4" s="73">
        <f>H4*B4</f>
        <v/>
      </c>
    </row>
    <row r="5">
      <c r="A5" t="inlineStr">
        <is>
          <t>oats</t>
        </is>
      </c>
      <c r="B5" t="n">
        <v>178.875</v>
      </c>
      <c r="C5" t="n">
        <v>178.875</v>
      </c>
      <c r="D5" s="72" t="n">
        <v>0</v>
      </c>
      <c r="E5" s="73" t="n"/>
      <c r="F5" s="72" t="n">
        <v>31.5</v>
      </c>
      <c r="G5" s="73">
        <f>B5-F5</f>
        <v/>
      </c>
      <c r="H5" s="72" t="n">
        <v>0.1044312169312169</v>
      </c>
      <c r="I5" s="73">
        <f>H5*B5</f>
        <v/>
      </c>
    </row>
    <row r="6">
      <c r="A6" t="inlineStr">
        <is>
          <t>peas</t>
        </is>
      </c>
      <c r="B6" s="72" t="n">
        <v>6.75</v>
      </c>
      <c r="C6" s="72" t="n">
        <v>6.75</v>
      </c>
      <c r="D6" s="72" t="n">
        <v>0</v>
      </c>
      <c r="E6" s="73" t="n"/>
      <c r="F6" s="72" t="n">
        <v>5</v>
      </c>
      <c r="G6" s="73">
        <f>B6-F6</f>
        <v/>
      </c>
      <c r="H6" s="72" t="n">
        <v>0.125</v>
      </c>
      <c r="I6" s="73">
        <f>H6*B6</f>
        <v/>
      </c>
    </row>
    <row r="7">
      <c r="A7" t="inlineStr">
        <is>
          <t>vetches</t>
        </is>
      </c>
      <c r="B7" s="72" t="n">
        <v>8.25</v>
      </c>
      <c r="C7" s="72" t="n">
        <v>8.25</v>
      </c>
      <c r="D7" s="72" t="n">
        <v>0</v>
      </c>
      <c r="E7" s="73" t="n"/>
      <c r="F7" s="72" t="n">
        <v>8</v>
      </c>
      <c r="G7" s="73">
        <f>B7-F7</f>
        <v/>
      </c>
      <c r="H7" s="72" t="n">
        <v>0.1</v>
      </c>
      <c r="I7" s="73">
        <f>H7*B7</f>
        <v/>
      </c>
    </row>
    <row r="8"/>
    <row r="9" ht="16" customHeight="1">
      <c r="A9" s="144" t="inlineStr">
        <is>
          <t>Total Production</t>
        </is>
      </c>
    </row>
    <row r="10" ht="16" customHeight="1">
      <c r="A10" s="144" t="inlineStr">
        <is>
          <t>Sales of corn (as recorded in accounts)</t>
        </is>
      </c>
    </row>
    <row r="11"/>
    <row r="12"/>
    <row r="13" ht="32" customHeight="1">
      <c r="A13" s="145" t="inlineStr">
        <is>
          <t>Net output</t>
        </is>
      </c>
      <c r="B13" s="146" t="inlineStr">
        <is>
          <t>Gross output</t>
        </is>
      </c>
      <c r="C13" s="145" t="inlineStr">
        <is>
          <t>Seed quarters</t>
        </is>
      </c>
      <c r="D13" s="145" t="inlineStr">
        <is>
          <t>Seed bushels</t>
        </is>
      </c>
      <c r="E13" s="145" t="inlineStr">
        <is>
          <t>Seed total quarters</t>
        </is>
      </c>
      <c r="F13" s="145" t="inlineStr">
        <is>
          <t>tithe quarters</t>
        </is>
      </c>
      <c r="G13" s="145" t="inlineStr">
        <is>
          <t>tithe bushels</t>
        </is>
      </c>
      <c r="H13" s="145" t="inlineStr">
        <is>
          <t>tithe total</t>
        </is>
      </c>
      <c r="I13" s="145" t="inlineStr">
        <is>
          <t>manorial servants quarters</t>
        </is>
      </c>
      <c r="J13" s="145" t="inlineStr">
        <is>
          <t>manorial servants bushels</t>
        </is>
      </c>
      <c r="K13" s="147" t="inlineStr">
        <is>
          <t>manorial servants total quarters</t>
        </is>
      </c>
      <c r="L13" s="145" t="inlineStr">
        <is>
          <t>output net of tithe, seed, liveries</t>
        </is>
      </c>
      <c r="M13" s="145" t="inlineStr">
        <is>
          <t>in stock from last year</t>
        </is>
      </c>
      <c r="N13" s="148" t="inlineStr">
        <is>
          <t>Price in £</t>
        </is>
      </c>
      <c r="O13" s="148" t="inlineStr">
        <is>
          <t>Value of net output in £</t>
        </is>
      </c>
      <c r="P13" s="146" t="inlineStr">
        <is>
          <t>Value of sales (in "Sale of Corn") in £</t>
        </is>
      </c>
    </row>
    <row r="14">
      <c r="A14" t="inlineStr">
        <is>
          <t>wheat</t>
        </is>
      </c>
      <c r="B14" s="73">
        <f>B2</f>
        <v/>
      </c>
      <c r="C14" s="44" t="n">
        <v>23</v>
      </c>
      <c r="D14" s="44" t="n">
        <v>3.5</v>
      </c>
      <c r="E14" s="73">
        <f>C14+D14/8</f>
        <v/>
      </c>
      <c r="J14">
        <f>6+6</f>
        <v/>
      </c>
      <c r="K14">
        <f>I14+J14/8</f>
        <v/>
      </c>
      <c r="L14" s="72">
        <f>B14-E14-K14</f>
        <v/>
      </c>
      <c r="N14" s="72">
        <f>H2</f>
        <v/>
      </c>
      <c r="O14" s="72">
        <f>N14*L14</f>
        <v/>
      </c>
    </row>
    <row r="15">
      <c r="A15" t="inlineStr">
        <is>
          <t>curall</t>
        </is>
      </c>
      <c r="B15" s="73">
        <f>B3</f>
        <v/>
      </c>
      <c r="E15" s="73">
        <f>C15+D15/8</f>
        <v/>
      </c>
      <c r="K15">
        <f>I15+J15/8</f>
        <v/>
      </c>
      <c r="L15" s="72">
        <f>B15-E15-K15</f>
        <v/>
      </c>
      <c r="N15" s="72">
        <f>H3</f>
        <v/>
      </c>
      <c r="O15" s="72">
        <f>N15*L15</f>
        <v/>
      </c>
    </row>
    <row r="16">
      <c r="A16" t="inlineStr">
        <is>
          <t>barley</t>
        </is>
      </c>
      <c r="B16" s="73">
        <f>B4</f>
        <v/>
      </c>
      <c r="C16" s="44" t="n">
        <v>20.5</v>
      </c>
      <c r="E16" s="73">
        <f>C16+D16/8</f>
        <v/>
      </c>
      <c r="I16" s="44">
        <f>1+6.5+19.5+2+1</f>
        <v/>
      </c>
      <c r="J16">
        <f>4+6.5+1</f>
        <v/>
      </c>
      <c r="K16">
        <f>I16+J16/8</f>
        <v/>
      </c>
      <c r="L16" s="72">
        <f>B16-E16-K16</f>
        <v/>
      </c>
      <c r="N16" s="72">
        <f>H4</f>
        <v/>
      </c>
      <c r="O16" s="72">
        <f>N16*L16</f>
        <v/>
      </c>
    </row>
    <row r="17">
      <c r="A17" t="inlineStr">
        <is>
          <t>oats</t>
        </is>
      </c>
      <c r="B17" s="73">
        <f>B5</f>
        <v/>
      </c>
      <c r="C17" s="44" t="n">
        <v>82</v>
      </c>
      <c r="E17" s="73">
        <f>C17+D17/8</f>
        <v/>
      </c>
      <c r="I17" s="44">
        <f>19.5+16+6+18+3+2</f>
        <v/>
      </c>
      <c r="J17">
        <f>1+2+3</f>
        <v/>
      </c>
      <c r="K17">
        <f>I17+J17/8</f>
        <v/>
      </c>
      <c r="L17" s="72">
        <f>B17-E17-K17</f>
        <v/>
      </c>
      <c r="N17" s="72">
        <f>H5</f>
        <v/>
      </c>
      <c r="O17" s="72">
        <f>N17*L17</f>
        <v/>
      </c>
    </row>
    <row r="18">
      <c r="A18" t="inlineStr">
        <is>
          <t>peas</t>
        </is>
      </c>
      <c r="B18" s="73">
        <f>B6</f>
        <v/>
      </c>
      <c r="D18" s="44" t="n">
        <v>2</v>
      </c>
      <c r="E18" s="73">
        <f>C18+D18/8</f>
        <v/>
      </c>
      <c r="I18" s="44" t="n">
        <v>1.5</v>
      </c>
      <c r="K18">
        <f>I18+J18/8</f>
        <v/>
      </c>
      <c r="L18" s="72">
        <f>B18-E18-K18</f>
        <v/>
      </c>
      <c r="N18" s="72">
        <f>H6</f>
        <v/>
      </c>
      <c r="O18" s="72">
        <f>N18*L18</f>
        <v/>
      </c>
    </row>
    <row r="19">
      <c r="A19" t="inlineStr">
        <is>
          <t>vetches</t>
        </is>
      </c>
      <c r="B19" s="73">
        <f>B7</f>
        <v/>
      </c>
      <c r="E19" s="73">
        <f>C19+D19/8</f>
        <v/>
      </c>
      <c r="K19">
        <f>I19+J19/8</f>
        <v/>
      </c>
      <c r="L19" s="72">
        <f>B19-E19-K19</f>
        <v/>
      </c>
      <c r="N19" s="72">
        <f>H7</f>
        <v/>
      </c>
      <c r="O19" s="72">
        <f>N19*L19</f>
        <v/>
      </c>
    </row>
    <row r="20"/>
    <row r="21">
      <c r="A21" s="42" t="inlineStr">
        <is>
          <t>Total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30"/>
  <sheetViews>
    <sheetView topLeftCell="A1" workbookViewId="0">
      <selection activeCell="A1" sqref="A1"/>
    </sheetView>
  </sheetViews>
  <sheetFormatPr baseColWidth="8" defaultRowHeight="15"/>
  <cols>
    <col width="44.33203125" customWidth="1" min="1" max="1"/>
    <col width="11.5" customWidth="1" min="2" max="2"/>
    <col width="14" customWidth="1" min="6" max="6"/>
    <col width="18.5" customWidth="1" min="10" max="10"/>
    <col width="13.1640625" customWidth="1" min="11" max="11"/>
    <col width="12.6640625" customWidth="1" min="14" max="14"/>
    <col width="17.1640625" customWidth="1" min="16" max="16"/>
    <col width="15.6640625" customWidth="1" min="17" max="17"/>
    <col width="12.6640625" customWidth="1" min="19" max="19"/>
    <col width="17.33203125" customWidth="1" min="20" max="20"/>
  </cols>
  <sheetData>
    <row r="1" ht="16" customHeight="1">
      <c r="A1" s="12" t="inlineStr">
        <is>
          <t>HAMBLEDON STOCK ACCOUNT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</row>
    <row r="2" ht="16" customHeight="1">
      <c r="A2" s="12" t="n"/>
    </row>
    <row r="3">
      <c r="A3" s="44" t="n"/>
      <c r="B3" s="44" t="n"/>
      <c r="C3" s="125" t="inlineStr">
        <is>
          <t>added</t>
        </is>
      </c>
      <c r="G3" s="126" t="inlineStr">
        <is>
          <t>subtracted</t>
        </is>
      </c>
      <c r="K3" s="44" t="n"/>
      <c r="L3" s="44" t="n"/>
      <c r="M3" s="44" t="n"/>
      <c r="N3" s="44" t="n"/>
      <c r="O3" s="44" t="n"/>
      <c r="P3" s="73" t="n"/>
      <c r="Q3" s="44" t="n"/>
      <c r="R3" s="44" t="n"/>
      <c r="S3" s="44" t="n"/>
      <c r="T3" s="44" t="n"/>
    </row>
    <row r="4" ht="51" customHeight="1">
      <c r="A4" s="66" t="inlineStr">
        <is>
          <t>Livestock</t>
        </is>
      </c>
      <c r="B4" s="29" t="inlineStr">
        <is>
          <t>Inherited stock</t>
        </is>
      </c>
      <c r="C4" s="29" t="inlineStr">
        <is>
          <t>added</t>
        </is>
      </c>
      <c r="D4" s="12" t="inlineStr">
        <is>
          <t>strays</t>
        </is>
      </c>
      <c r="E4" s="12" t="inlineStr">
        <is>
          <t>herbage</t>
        </is>
      </c>
      <c r="F4" s="12" t="inlineStr">
        <is>
          <t>churchscot</t>
        </is>
      </c>
      <c r="G4" s="12" t="inlineStr">
        <is>
          <t>of which in default</t>
        </is>
      </c>
      <c r="H4" s="29" t="inlineStr">
        <is>
          <t>sold</t>
        </is>
      </c>
      <c r="I4" s="29" t="inlineStr">
        <is>
          <t>in murrain</t>
        </is>
      </c>
      <c r="J4" s="29" t="inlineStr">
        <is>
          <t>accounted for elsewhere</t>
        </is>
      </c>
      <c r="K4" s="29" t="inlineStr">
        <is>
          <t>End-period  stock</t>
        </is>
      </c>
      <c r="L4" s="29" t="inlineStr">
        <is>
          <t>cross-check</t>
        </is>
      </c>
      <c r="M4" s="29" t="inlineStr">
        <is>
          <t>stock building</t>
        </is>
      </c>
      <c r="N4" s="29" t="inlineStr">
        <is>
          <t>raw production</t>
        </is>
      </c>
      <c r="O4" s="29" t="inlineStr">
        <is>
          <t>Unit price (£)</t>
        </is>
      </c>
      <c r="P4" s="74" t="inlineStr">
        <is>
          <t>Value of stock  (£) at given value</t>
        </is>
      </c>
      <c r="Q4" s="66" t="inlineStr">
        <is>
          <t>Value of stock  (£) at sales prices</t>
        </is>
      </c>
      <c r="R4" s="66" t="inlineStr">
        <is>
          <t>Sales in (£)</t>
        </is>
      </c>
      <c r="S4" s="66" t="inlineStr">
        <is>
          <t>Value of stock building (£)</t>
        </is>
      </c>
      <c r="T4" s="118" t="inlineStr">
        <is>
          <t>Value of production (£) at sales prices</t>
        </is>
      </c>
      <c r="U4" s="29" t="inlineStr">
        <is>
          <t>Details</t>
        </is>
      </c>
    </row>
    <row r="5" ht="16" customHeight="1">
      <c r="A5" s="44" t="inlineStr">
        <is>
          <t>Cart-horses</t>
        </is>
      </c>
      <c r="B5" t="n">
        <v>2</v>
      </c>
      <c r="K5" t="n">
        <v>2</v>
      </c>
    </row>
    <row r="6" ht="16" customHeight="1">
      <c r="A6" s="44" t="inlineStr">
        <is>
          <t>Mares</t>
        </is>
      </c>
    </row>
    <row r="7">
      <c r="A7" t="inlineStr">
        <is>
          <t>Plough horses</t>
        </is>
      </c>
      <c r="B7" t="n">
        <v>8</v>
      </c>
      <c r="C7" t="n">
        <v>1</v>
      </c>
      <c r="H7" t="n">
        <v>1</v>
      </c>
      <c r="I7" t="n">
        <v>1</v>
      </c>
      <c r="K7" t="n">
        <v>7</v>
      </c>
      <c r="O7">
        <f>R7/H7</f>
        <v/>
      </c>
      <c r="R7">
        <f>Receipts!F98</f>
        <v/>
      </c>
      <c r="T7">
        <f>O7*C7</f>
        <v/>
      </c>
    </row>
    <row r="8">
      <c r="A8" t="inlineStr">
        <is>
          <t>Colts (unspecified years)</t>
        </is>
      </c>
    </row>
    <row r="9">
      <c r="A9" t="inlineStr">
        <is>
          <t>Colts (2 years)</t>
        </is>
      </c>
    </row>
    <row r="10">
      <c r="A10" t="inlineStr">
        <is>
          <t>Colts (1 year)</t>
        </is>
      </c>
    </row>
    <row r="11">
      <c r="A11" t="inlineStr">
        <is>
          <t>Foals</t>
        </is>
      </c>
    </row>
    <row r="12">
      <c r="A12" t="inlineStr">
        <is>
          <t>Oxen</t>
        </is>
      </c>
      <c r="B12" t="n">
        <v>26</v>
      </c>
      <c r="C12">
        <f>1+5</f>
        <v/>
      </c>
      <c r="H12" t="n">
        <v>4</v>
      </c>
      <c r="K12" t="n">
        <v>28</v>
      </c>
      <c r="O12">
        <f>R12/H12</f>
        <v/>
      </c>
      <c r="R12">
        <f>Receipts!F85</f>
        <v/>
      </c>
      <c r="T12">
        <f>O12*C12</f>
        <v/>
      </c>
    </row>
    <row r="13">
      <c r="A13" t="inlineStr">
        <is>
          <t>Bulls</t>
        </is>
      </c>
      <c r="B13" t="n">
        <v>2</v>
      </c>
      <c r="K13" t="n">
        <v>2</v>
      </c>
    </row>
    <row r="14">
      <c r="A14" t="inlineStr">
        <is>
          <t>Cows</t>
        </is>
      </c>
      <c r="B14" t="n">
        <v>21</v>
      </c>
      <c r="C14">
        <f>1</f>
        <v/>
      </c>
      <c r="H14" t="n">
        <v>3</v>
      </c>
      <c r="K14" t="n">
        <v>19</v>
      </c>
      <c r="O14">
        <f>R14/H14</f>
        <v/>
      </c>
      <c r="R14">
        <f>Receipts!F86</f>
        <v/>
      </c>
      <c r="T14">
        <f>O14*C14</f>
        <v/>
      </c>
    </row>
    <row r="15">
      <c r="A15" t="inlineStr">
        <is>
          <t>Steers</t>
        </is>
      </c>
      <c r="B15" t="n">
        <v>5</v>
      </c>
      <c r="C15" t="n">
        <v>39</v>
      </c>
      <c r="H15" t="n">
        <v>39</v>
      </c>
      <c r="J15">
        <f>5</f>
        <v/>
      </c>
      <c r="K15" t="n">
        <v>0</v>
      </c>
      <c r="O15">
        <f>R15/H15</f>
        <v/>
      </c>
      <c r="R15">
        <f>Receipts!F116</f>
        <v/>
      </c>
      <c r="T15">
        <f>O15*C15</f>
        <v/>
      </c>
    </row>
    <row r="16">
      <c r="A16" t="inlineStr">
        <is>
          <t>Bullocks</t>
        </is>
      </c>
      <c r="B16" t="n">
        <v>5</v>
      </c>
      <c r="K16" t="n">
        <v>5</v>
      </c>
    </row>
    <row r="17">
      <c r="A17" t="inlineStr">
        <is>
          <t>Yearlings</t>
        </is>
      </c>
      <c r="B17" t="n">
        <v>7</v>
      </c>
      <c r="I17" t="n">
        <v>1</v>
      </c>
      <c r="K17" t="n">
        <v>6</v>
      </c>
    </row>
    <row r="18">
      <c r="A18" t="inlineStr">
        <is>
          <t>Calves</t>
        </is>
      </c>
      <c r="B18" t="n">
        <v>15</v>
      </c>
      <c r="H18" t="n">
        <v>6</v>
      </c>
      <c r="I18" t="n">
        <v>2</v>
      </c>
      <c r="J18">
        <f>1</f>
        <v/>
      </c>
      <c r="K18" t="n">
        <v>6</v>
      </c>
      <c r="O18">
        <f>R18/H18</f>
        <v/>
      </c>
      <c r="R18">
        <f>Receipts!F93</f>
        <v/>
      </c>
      <c r="T18">
        <f>O18*C18</f>
        <v/>
      </c>
    </row>
    <row r="19">
      <c r="A19" t="inlineStr">
        <is>
          <t>Wethers</t>
        </is>
      </c>
      <c r="B19" t="n">
        <v>354</v>
      </c>
      <c r="C19">
        <f>77+3</f>
        <v/>
      </c>
      <c r="H19" t="n">
        <v>16</v>
      </c>
      <c r="I19">
        <f>24+12</f>
        <v/>
      </c>
      <c r="K19" t="n">
        <v>382</v>
      </c>
      <c r="O19">
        <f>R19/H19</f>
        <v/>
      </c>
      <c r="R19">
        <f>Receipts!F94</f>
        <v/>
      </c>
      <c r="T19">
        <f>O19*C19</f>
        <v/>
      </c>
    </row>
    <row r="20">
      <c r="A20" t="inlineStr">
        <is>
          <t>Rams</t>
        </is>
      </c>
      <c r="B20" t="n">
        <v>13</v>
      </c>
      <c r="C20" t="n">
        <v>3</v>
      </c>
      <c r="I20">
        <f>1</f>
        <v/>
      </c>
      <c r="K20" t="n">
        <v>15</v>
      </c>
    </row>
    <row r="21">
      <c r="A21" t="inlineStr">
        <is>
          <t>Ewes</t>
        </is>
      </c>
      <c r="B21" t="n">
        <v>339</v>
      </c>
      <c r="C21">
        <f>94+2</f>
        <v/>
      </c>
      <c r="H21" t="n">
        <v>14</v>
      </c>
      <c r="I21">
        <f>24+8+7</f>
        <v/>
      </c>
      <c r="K21" t="n">
        <v>381</v>
      </c>
      <c r="O21">
        <f>R21/H21</f>
        <v/>
      </c>
      <c r="R21">
        <f>Receipts!F95</f>
        <v/>
      </c>
      <c r="T21">
        <f>O21*C21</f>
        <v/>
      </c>
    </row>
    <row r="22">
      <c r="A22" t="inlineStr">
        <is>
          <t>Hoggs</t>
        </is>
      </c>
      <c r="B22" t="n">
        <v>188</v>
      </c>
      <c r="I22">
        <f>14</f>
        <v/>
      </c>
      <c r="J22">
        <f>77+3+94</f>
        <v/>
      </c>
      <c r="K22" t="n">
        <v>0</v>
      </c>
      <c r="T22">
        <f>O22*C22</f>
        <v/>
      </c>
    </row>
    <row r="23">
      <c r="A23" t="inlineStr">
        <is>
          <t>Lambs</t>
        </is>
      </c>
      <c r="C23">
        <f>255+80</f>
        <v/>
      </c>
      <c r="H23" t="n">
        <v>38</v>
      </c>
      <c r="I23">
        <f>57+19</f>
        <v/>
      </c>
      <c r="J23">
        <f>25+3</f>
        <v/>
      </c>
      <c r="K23" t="n">
        <v>193</v>
      </c>
      <c r="O23">
        <f>R23/H23</f>
        <v/>
      </c>
      <c r="R23">
        <f>Receipts!F96</f>
        <v/>
      </c>
      <c r="T23">
        <f>O23*C23</f>
        <v/>
      </c>
    </row>
    <row r="24">
      <c r="A24" t="inlineStr">
        <is>
          <t>Boars</t>
        </is>
      </c>
      <c r="B24" t="n">
        <v>1</v>
      </c>
      <c r="K24" t="n">
        <v>1</v>
      </c>
      <c r="T24">
        <f>O24*C24</f>
        <v/>
      </c>
    </row>
    <row r="25">
      <c r="A25" t="inlineStr">
        <is>
          <t>Sows</t>
        </is>
      </c>
      <c r="B25" t="n">
        <v>2</v>
      </c>
      <c r="K25" t="n">
        <v>2</v>
      </c>
      <c r="T25">
        <f>O25*C25</f>
        <v/>
      </c>
    </row>
    <row r="26">
      <c r="A26" t="inlineStr">
        <is>
          <t>Pigs</t>
        </is>
      </c>
      <c r="B26" t="n">
        <v>43</v>
      </c>
      <c r="C26">
        <f>24</f>
        <v/>
      </c>
      <c r="H26" t="n">
        <v>19</v>
      </c>
      <c r="I26" t="n">
        <v>3</v>
      </c>
      <c r="K26" t="n">
        <v>45</v>
      </c>
      <c r="O26">
        <f>R26/H26</f>
        <v/>
      </c>
      <c r="R26">
        <f>Receipts!F97</f>
        <v/>
      </c>
      <c r="T26">
        <f>O26*C26</f>
        <v/>
      </c>
    </row>
    <row r="27">
      <c r="A27" t="inlineStr">
        <is>
          <t>Hoggets</t>
        </is>
      </c>
      <c r="B27" t="n">
        <v>27</v>
      </c>
      <c r="H27" t="n">
        <v>19</v>
      </c>
      <c r="I27" t="n">
        <v>3</v>
      </c>
      <c r="J27" t="n">
        <v>24</v>
      </c>
      <c r="K27" t="n">
        <v>0</v>
      </c>
      <c r="O27">
        <f>R27/H27</f>
        <v/>
      </c>
      <c r="U27" t="inlineStr">
        <is>
          <t>not found in issues</t>
        </is>
      </c>
    </row>
    <row r="28">
      <c r="A28" t="inlineStr">
        <is>
          <t>Piglets</t>
        </is>
      </c>
      <c r="C28" t="n">
        <v>51</v>
      </c>
      <c r="J28">
        <f>5+3</f>
        <v/>
      </c>
      <c r="K28" t="n">
        <v>43</v>
      </c>
    </row>
    <row r="29">
      <c r="A29" t="inlineStr">
        <is>
          <t>Swans</t>
        </is>
      </c>
    </row>
    <row r="30">
      <c r="A30" t="inlineStr">
        <is>
          <t>Peacocks</t>
        </is>
      </c>
    </row>
    <row r="31" ht="16" customHeight="1">
      <c r="A31" s="67" t="inlineStr">
        <is>
          <t>Total Value</t>
        </is>
      </c>
      <c r="R31" s="149">
        <f>SUM(R7:R29)</f>
        <v/>
      </c>
      <c r="S31" s="149" t="n"/>
      <c r="T31" s="149">
        <f>SUM(T5:T26)</f>
        <v/>
      </c>
    </row>
    <row r="32"/>
    <row r="33"/>
    <row r="34" ht="17" customHeight="1">
      <c r="A34" s="66" t="inlineStr">
        <is>
          <t>Wool</t>
        </is>
      </c>
    </row>
    <row r="35">
      <c r="A35" t="inlineStr">
        <is>
          <t>Coarse wool</t>
        </is>
      </c>
      <c r="C35" t="n">
        <v>812</v>
      </c>
      <c r="J35">
        <f>81+2+729</f>
        <v/>
      </c>
      <c r="K35" t="n">
        <v>0</v>
      </c>
      <c r="O35" s="72" t="n">
        <v>0.02</v>
      </c>
      <c r="T35">
        <f>O35*J35</f>
        <v/>
      </c>
      <c r="U35" t="inlineStr">
        <is>
          <t>unit price from overview sheet (UnitPricesStocks_averages)</t>
        </is>
      </c>
    </row>
    <row r="36">
      <c r="A36" t="inlineStr">
        <is>
          <t>Lamb's wool</t>
        </is>
      </c>
      <c r="C36" t="n">
        <v>193</v>
      </c>
      <c r="J36" t="n">
        <v>193</v>
      </c>
      <c r="O36" s="72" t="n">
        <v>0.01</v>
      </c>
      <c r="T36">
        <f>O36*J36</f>
        <v/>
      </c>
      <c r="U36" t="inlineStr">
        <is>
          <t>unit price from overview sheet (UnitPricesStocks_averages)</t>
        </is>
      </c>
    </row>
    <row r="37">
      <c r="A37" t="inlineStr">
        <is>
          <t>Wool locks</t>
        </is>
      </c>
      <c r="H37" t="n">
        <v>7</v>
      </c>
      <c r="R37">
        <f>Receipts!F105</f>
        <v/>
      </c>
      <c r="U37" t="inlineStr">
        <is>
          <t>sales only recorded in issues; recorded in cloves</t>
        </is>
      </c>
    </row>
    <row r="38">
      <c r="A38" t="inlineStr">
        <is>
          <t>Wool sold at shearing</t>
        </is>
      </c>
    </row>
    <row r="39" ht="16" customHeight="1">
      <c r="A39" s="67" t="inlineStr">
        <is>
          <t>Total wool</t>
        </is>
      </c>
      <c r="R39" s="39">
        <f>SUM(R35:R38)</f>
        <v/>
      </c>
      <c r="T39" s="39">
        <f>SUM(T35:T36)+R37</f>
        <v/>
      </c>
    </row>
    <row r="40"/>
    <row r="41"/>
    <row r="42" ht="17" customHeight="1">
      <c r="A42" s="66" t="inlineStr">
        <is>
          <t>Hides</t>
        </is>
      </c>
    </row>
    <row r="43">
      <c r="A43" t="inlineStr">
        <is>
          <t>Ox hides</t>
        </is>
      </c>
    </row>
    <row r="44">
      <c r="A44" t="inlineStr">
        <is>
          <t>plough horse</t>
        </is>
      </c>
      <c r="C44" t="n">
        <v>1</v>
      </c>
      <c r="H44" t="n">
        <v>1</v>
      </c>
      <c r="O44">
        <f>R44/H44</f>
        <v/>
      </c>
      <c r="R44">
        <f>Receipts!F98</f>
        <v/>
      </c>
      <c r="T44">
        <f>O44*C44</f>
        <v/>
      </c>
    </row>
    <row r="45">
      <c r="A45" t="inlineStr">
        <is>
          <t>yearling</t>
        </is>
      </c>
      <c r="C45" t="n">
        <v>1</v>
      </c>
      <c r="H45" t="n">
        <v>1</v>
      </c>
      <c r="O45">
        <f>R45/H45</f>
        <v/>
      </c>
      <c r="R45">
        <f>Receipts!F99</f>
        <v/>
      </c>
      <c r="T45">
        <f>O45*C45</f>
        <v/>
      </c>
    </row>
    <row r="46">
      <c r="A46" t="inlineStr">
        <is>
          <t>Mare</t>
        </is>
      </c>
      <c r="T46">
        <f>O46*C46</f>
        <v/>
      </c>
    </row>
    <row r="47">
      <c r="A47" t="inlineStr">
        <is>
          <t>Steer</t>
        </is>
      </c>
      <c r="T47">
        <f>O47*C47</f>
        <v/>
      </c>
    </row>
    <row r="48">
      <c r="A48" t="inlineStr">
        <is>
          <t>calves</t>
        </is>
      </c>
      <c r="C48" t="n">
        <v>3</v>
      </c>
      <c r="H48" t="n">
        <v>3</v>
      </c>
      <c r="O48">
        <f>R48/H48</f>
        <v/>
      </c>
      <c r="R48">
        <f>Receipts!F100</f>
        <v/>
      </c>
      <c r="T48">
        <f>O48*C48</f>
        <v/>
      </c>
      <c r="U48" t="inlineStr">
        <is>
          <t>only 2 calves recorded in issues</t>
        </is>
      </c>
    </row>
    <row r="49">
      <c r="A49" s="68" t="inlineStr">
        <is>
          <t>pigs</t>
        </is>
      </c>
      <c r="T49">
        <f>O49*C49</f>
        <v/>
      </c>
    </row>
    <row r="50">
      <c r="A50" t="inlineStr">
        <is>
          <t xml:space="preserve">Woolskins </t>
        </is>
      </c>
      <c r="T50">
        <f>O50*C50</f>
        <v/>
      </c>
    </row>
    <row r="51">
      <c r="A51" s="28" t="inlineStr">
        <is>
          <t>wethers</t>
        </is>
      </c>
      <c r="C51" t="n">
        <v>24</v>
      </c>
      <c r="H51" t="n">
        <v>24</v>
      </c>
      <c r="O51">
        <f>R51/H51</f>
        <v/>
      </c>
      <c r="T51">
        <f>O51*C51</f>
        <v/>
      </c>
    </row>
    <row r="52">
      <c r="A52" s="28" t="inlineStr">
        <is>
          <t>rams</t>
        </is>
      </c>
      <c r="C52" t="n">
        <v>1</v>
      </c>
      <c r="H52" t="n">
        <v>1</v>
      </c>
      <c r="O52">
        <f>R52/H52</f>
        <v/>
      </c>
      <c r="T52">
        <f>O52*C52</f>
        <v/>
      </c>
    </row>
    <row r="53">
      <c r="A53" s="28" t="inlineStr">
        <is>
          <t>ewes</t>
        </is>
      </c>
      <c r="C53" t="n">
        <v>32</v>
      </c>
      <c r="H53" t="n">
        <v>32</v>
      </c>
      <c r="O53">
        <f>R53/H53</f>
        <v/>
      </c>
      <c r="T53">
        <f>O53*C53</f>
        <v/>
      </c>
    </row>
    <row r="54">
      <c r="A54" s="28" t="inlineStr">
        <is>
          <t>hoggs</t>
        </is>
      </c>
      <c r="T54">
        <f>O54*C54</f>
        <v/>
      </c>
    </row>
    <row r="55">
      <c r="A55" s="69" t="inlineStr">
        <is>
          <t xml:space="preserve">Woolskins </t>
        </is>
      </c>
      <c r="C55">
        <f>SUM(C51:C54)</f>
        <v/>
      </c>
      <c r="H55">
        <f>SUM(H51:H54)</f>
        <v/>
      </c>
      <c r="O55">
        <f>R55/H55</f>
        <v/>
      </c>
      <c r="R55">
        <f>Receipts!F103</f>
        <v/>
      </c>
      <c r="T55">
        <f>O55*C55</f>
        <v/>
      </c>
    </row>
    <row r="56">
      <c r="A56" s="43" t="inlineStr">
        <is>
          <t>Bareskins</t>
        </is>
      </c>
      <c r="T56">
        <f>O56*C56</f>
        <v/>
      </c>
    </row>
    <row r="57">
      <c r="A57" s="28" t="inlineStr">
        <is>
          <t>wethers</t>
        </is>
      </c>
      <c r="C57" t="n">
        <v>12</v>
      </c>
      <c r="H57" t="n">
        <v>12</v>
      </c>
      <c r="O57">
        <f>R57/H57</f>
        <v/>
      </c>
      <c r="T57">
        <f>O57*C57</f>
        <v/>
      </c>
    </row>
    <row r="58">
      <c r="A58" s="28" t="inlineStr">
        <is>
          <t>rams</t>
        </is>
      </c>
      <c r="T58">
        <f>O58*C58</f>
        <v/>
      </c>
    </row>
    <row r="59">
      <c r="A59" s="28" t="inlineStr">
        <is>
          <t>ewes</t>
        </is>
      </c>
      <c r="C59" t="n">
        <v>7</v>
      </c>
      <c r="H59" t="n">
        <v>7</v>
      </c>
      <c r="O59">
        <f>R59/H59</f>
        <v/>
      </c>
      <c r="T59">
        <f>O59*C59</f>
        <v/>
      </c>
    </row>
    <row r="60">
      <c r="A60" s="28" t="inlineStr">
        <is>
          <t>hoggs</t>
        </is>
      </c>
      <c r="C60" t="n">
        <v>14</v>
      </c>
      <c r="H60" t="n">
        <v>14</v>
      </c>
      <c r="O60">
        <f>R60/H60</f>
        <v/>
      </c>
      <c r="T60">
        <f>O60*C60</f>
        <v/>
      </c>
    </row>
    <row r="61">
      <c r="A61" s="69" t="inlineStr">
        <is>
          <t>Bareskins (total)</t>
        </is>
      </c>
      <c r="C61">
        <f>SUM(C57:C60)</f>
        <v/>
      </c>
      <c r="H61">
        <f>SUM(H57:H60)</f>
        <v/>
      </c>
      <c r="O61">
        <f>R61/H61</f>
        <v/>
      </c>
      <c r="R61">
        <f>Receipts!F102</f>
        <v/>
      </c>
      <c r="T61">
        <f>O61*C61</f>
        <v/>
      </c>
    </row>
    <row r="62">
      <c r="A62" t="inlineStr">
        <is>
          <t>Lambskins</t>
        </is>
      </c>
      <c r="C62" t="n">
        <v>57</v>
      </c>
      <c r="H62" t="n">
        <v>57</v>
      </c>
      <c r="O62">
        <f>R62/H62</f>
        <v/>
      </c>
      <c r="R62">
        <f>Receipts!F103</f>
        <v/>
      </c>
      <c r="T62">
        <f>O62*C62</f>
        <v/>
      </c>
    </row>
    <row r="63">
      <c r="A63" t="inlineStr">
        <is>
          <t>Rotted skins</t>
        </is>
      </c>
      <c r="C63" t="n">
        <v>19</v>
      </c>
      <c r="H63" t="n">
        <v>19</v>
      </c>
    </row>
    <row r="64">
      <c r="A64" t="inlineStr">
        <is>
          <t>Shorn skins</t>
        </is>
      </c>
    </row>
    <row r="65">
      <c r="A65" s="39" t="inlineStr">
        <is>
          <t xml:space="preserve">Total </t>
        </is>
      </c>
      <c r="R65" s="39">
        <f>SUM(R41:R63)</f>
        <v/>
      </c>
      <c r="T65" s="39">
        <f>SUM(T44:T62)</f>
        <v/>
      </c>
    </row>
    <row r="66"/>
    <row r="67"/>
    <row r="68" ht="17" customHeight="1">
      <c r="A68" s="66" t="inlineStr">
        <is>
          <t>Poultry stock</t>
        </is>
      </c>
    </row>
    <row r="69" ht="16" customHeight="1">
      <c r="A69" s="44" t="inlineStr">
        <is>
          <t>Hens</t>
        </is>
      </c>
    </row>
    <row r="70">
      <c r="A70" t="inlineStr">
        <is>
          <t>Geese</t>
        </is>
      </c>
    </row>
    <row r="71">
      <c r="A71" t="inlineStr">
        <is>
          <t>Capons (from chickens)</t>
        </is>
      </c>
    </row>
    <row r="72">
      <c r="A72" t="inlineStr">
        <is>
          <t>Cocks &amp; hens</t>
        </is>
      </c>
    </row>
    <row r="73">
      <c r="A73" s="70" t="inlineStr">
        <is>
          <t>Total poultry stock</t>
        </is>
      </c>
    </row>
    <row r="74">
      <c r="A74" s="71" t="inlineStr">
        <is>
          <t>Total poultry excluding churchscot</t>
        </is>
      </c>
    </row>
    <row r="75"/>
    <row r="76" ht="16" customHeight="1">
      <c r="A76" s="12" t="inlineStr">
        <is>
          <t>Poultry production</t>
        </is>
      </c>
    </row>
    <row r="77">
      <c r="A77" t="inlineStr">
        <is>
          <t>Eggs</t>
        </is>
      </c>
    </row>
    <row r="78">
      <c r="A78" t="inlineStr">
        <is>
          <t>Cocks &amp; hens from churchscot of customary tenants</t>
        </is>
      </c>
      <c r="F78" t="n">
        <v>51</v>
      </c>
      <c r="G78" t="n">
        <v>16</v>
      </c>
      <c r="H78" t="n">
        <v>38</v>
      </c>
      <c r="O78">
        <f>R78/H78</f>
        <v/>
      </c>
      <c r="R78">
        <f>Receipts!F109</f>
        <v/>
      </c>
      <c r="T78">
        <f>O78*H78</f>
        <v/>
      </c>
    </row>
    <row r="79">
      <c r="A79" t="inlineStr">
        <is>
          <t>Sum of above</t>
        </is>
      </c>
    </row>
    <row r="80">
      <c r="A80" s="39" t="inlineStr">
        <is>
          <t>Total</t>
        </is>
      </c>
      <c r="R80" s="39">
        <f>SUM(R76:R78)</f>
        <v/>
      </c>
      <c r="T80" s="39">
        <f>T78</f>
        <v/>
      </c>
    </row>
    <row r="81"/>
    <row r="82"/>
    <row r="83" ht="16" customHeight="1">
      <c r="A83" s="12" t="inlineStr">
        <is>
          <t>Meat</t>
        </is>
      </c>
    </row>
    <row r="84">
      <c r="A84" t="inlineStr">
        <is>
          <t>Beef</t>
        </is>
      </c>
    </row>
    <row r="85">
      <c r="A85" t="inlineStr">
        <is>
          <t>Mutton</t>
        </is>
      </c>
    </row>
    <row r="86">
      <c r="A86" t="inlineStr">
        <is>
          <t>Pork</t>
        </is>
      </c>
    </row>
    <row r="87" ht="16" customHeight="1">
      <c r="A87" s="67" t="inlineStr">
        <is>
          <t xml:space="preserve">Total </t>
        </is>
      </c>
    </row>
    <row r="88"/>
    <row r="89" ht="16" customHeight="1">
      <c r="A89" s="12" t="inlineStr">
        <is>
          <t>Cheese</t>
        </is>
      </c>
    </row>
    <row r="90">
      <c r="A90" t="inlineStr">
        <is>
          <t>Winter cheese</t>
        </is>
      </c>
      <c r="C90" t="n">
        <v>30</v>
      </c>
      <c r="H90" t="n">
        <v>30</v>
      </c>
      <c r="O90">
        <f>R90/H90</f>
        <v/>
      </c>
      <c r="R90">
        <f>Receipts!F106</f>
        <v/>
      </c>
      <c r="T90">
        <f>O90*C90</f>
        <v/>
      </c>
    </row>
    <row r="91">
      <c r="A91" t="inlineStr">
        <is>
          <t>Summer cheese</t>
        </is>
      </c>
      <c r="C91" t="n">
        <v>167</v>
      </c>
      <c r="H91" t="n">
        <v>150</v>
      </c>
      <c r="O91">
        <f>R91/H91</f>
        <v/>
      </c>
      <c r="R91">
        <f>Receipts!F107</f>
        <v/>
      </c>
      <c r="T91">
        <f>O91*C91</f>
        <v/>
      </c>
    </row>
    <row r="92" ht="16" customHeight="1">
      <c r="A92" s="67" t="inlineStr">
        <is>
          <t>Total</t>
        </is>
      </c>
      <c r="R92" s="39">
        <f>SUM(R90:R91)</f>
        <v/>
      </c>
      <c r="T92" s="39">
        <f>SUM(T90:T91)</f>
        <v/>
      </c>
    </row>
    <row r="93"/>
    <row r="94" ht="16" customHeight="1">
      <c r="A94" s="12" t="inlineStr">
        <is>
          <t>Butter</t>
        </is>
      </c>
    </row>
    <row r="95">
      <c r="A95" t="inlineStr">
        <is>
          <t>Butter</t>
        </is>
      </c>
      <c r="C95" t="inlineStr">
        <is>
          <t>1 wey 5 cloves</t>
        </is>
      </c>
      <c r="H95" t="inlineStr">
        <is>
          <t>1 wey 5 cloves</t>
        </is>
      </c>
      <c r="R95">
        <f>Receipts!F108</f>
        <v/>
      </c>
      <c r="T95">
        <f>R95</f>
        <v/>
      </c>
    </row>
    <row r="96" ht="16" customHeight="1">
      <c r="A96" s="67" t="inlineStr">
        <is>
          <t>Total</t>
        </is>
      </c>
      <c r="R96" s="39">
        <f>SUM(R95)</f>
        <v/>
      </c>
      <c r="T96" s="39">
        <f>T95</f>
        <v/>
      </c>
    </row>
    <row r="97" ht="16" customHeight="1">
      <c r="A97" s="13" t="n"/>
    </row>
    <row r="98" ht="16" customHeight="1">
      <c r="A98" s="57" t="inlineStr">
        <is>
          <t>Total Dairy Sales</t>
        </is>
      </c>
    </row>
    <row r="99"/>
    <row r="100"/>
    <row r="101" ht="16" customHeight="1">
      <c r="A101" s="12" t="inlineStr">
        <is>
          <t>Cider</t>
        </is>
      </c>
    </row>
    <row r="102"/>
    <row r="103"/>
    <row r="104" ht="16" customHeight="1">
      <c r="A104" s="13" t="inlineStr">
        <is>
          <t>Additional Information (not necessarily useful)</t>
        </is>
      </c>
    </row>
    <row r="105" ht="16" customHeight="1">
      <c r="A105" s="12" t="inlineStr">
        <is>
          <t>Utensils</t>
        </is>
      </c>
    </row>
    <row r="106">
      <c r="A106" t="inlineStr">
        <is>
          <t>ploughs</t>
        </is>
      </c>
    </row>
    <row r="107">
      <c r="A107" t="inlineStr">
        <is>
          <t>carts</t>
        </is>
      </c>
    </row>
    <row r="108">
      <c r="A108" t="inlineStr">
        <is>
          <t>cart-ropes</t>
        </is>
      </c>
    </row>
    <row r="109">
      <c r="A109" t="inlineStr">
        <is>
          <t>corn baskets</t>
        </is>
      </c>
    </row>
    <row r="110">
      <c r="A110" t="inlineStr">
        <is>
          <t>seed-sacks</t>
        </is>
      </c>
    </row>
    <row r="111">
      <c r="A111" t="inlineStr">
        <is>
          <t>seed basket</t>
        </is>
      </c>
    </row>
    <row r="112">
      <c r="A112" t="inlineStr">
        <is>
          <t>locks for the doors</t>
        </is>
      </c>
    </row>
    <row r="113">
      <c r="A113" t="inlineStr">
        <is>
          <t>lead vessel</t>
        </is>
      </c>
    </row>
    <row r="114">
      <c r="A114" t="inlineStr">
        <is>
          <t>brass pots</t>
        </is>
      </c>
    </row>
    <row r="115">
      <c r="A115" t="inlineStr">
        <is>
          <t>pans</t>
        </is>
      </c>
    </row>
    <row r="116">
      <c r="A116" t="inlineStr">
        <is>
          <t>tripods</t>
        </is>
      </c>
    </row>
    <row r="117">
      <c r="A117" t="inlineStr">
        <is>
          <t>mortar</t>
        </is>
      </c>
    </row>
    <row r="118">
      <c r="A118" t="inlineStr">
        <is>
          <t>axe</t>
        </is>
      </c>
    </row>
    <row r="119">
      <c r="A119" t="inlineStr">
        <is>
          <t>casks</t>
        </is>
      </c>
    </row>
    <row r="120">
      <c r="A120" t="inlineStr">
        <is>
          <t>tubs</t>
        </is>
      </c>
    </row>
    <row r="121">
      <c r="A121" t="inlineStr">
        <is>
          <t>troughs</t>
        </is>
      </c>
    </row>
    <row r="122">
      <c r="A122" t="inlineStr">
        <is>
          <t>bucket</t>
        </is>
      </c>
    </row>
    <row r="123">
      <c r="A123" t="inlineStr">
        <is>
          <t>cheese basket</t>
        </is>
      </c>
    </row>
    <row r="124">
      <c r="A124" t="inlineStr">
        <is>
          <t>tables</t>
        </is>
      </c>
    </row>
    <row r="125">
      <c r="A125" t="inlineStr">
        <is>
          <t>table with trestles</t>
        </is>
      </c>
    </row>
    <row r="126">
      <c r="A126" t="inlineStr">
        <is>
          <t>benches</t>
        </is>
      </c>
    </row>
    <row r="127">
      <c r="A127" t="inlineStr">
        <is>
          <t>ewer with a basin</t>
        </is>
      </c>
    </row>
    <row r="128">
      <c r="A128" t="inlineStr">
        <is>
          <t>ladders</t>
        </is>
      </c>
    </row>
    <row r="129">
      <c r="A129" t="inlineStr">
        <is>
          <t>cloth</t>
        </is>
      </c>
    </row>
    <row r="130">
      <c r="A130" t="inlineStr">
        <is>
          <t>brass posnets</t>
        </is>
      </c>
    </row>
  </sheetData>
  <mergeCells count="2">
    <mergeCell ref="C3:F3"/>
    <mergeCell ref="G3:J3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82"/>
  <sheetViews>
    <sheetView topLeftCell="A1" workbookViewId="0">
      <selection activeCell="A1" sqref="A1"/>
    </sheetView>
  </sheetViews>
  <sheetFormatPr baseColWidth="8" defaultRowHeight="15"/>
  <cols>
    <col width="33.83203125" customWidth="1" min="1" max="1"/>
  </cols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1</t>
        </is>
      </c>
      <c r="N1" s="1" t="inlineStr">
        <is>
          <t>Bushels 1</t>
        </is>
      </c>
      <c r="O1" s="1" t="inlineStr">
        <is>
          <t>Quarters 2</t>
        </is>
      </c>
      <c r="P1" s="1" t="inlineStr">
        <is>
          <t>Bushels 2</t>
        </is>
      </c>
      <c r="Q1" s="1" t="inlineStr">
        <is>
          <t>Quarters 3</t>
        </is>
      </c>
      <c r="R1" s="1" t="inlineStr">
        <is>
          <t>Bushels 3</t>
        </is>
      </c>
      <c r="S1" s="1" t="inlineStr">
        <is>
          <t>shilling a quarter 1</t>
        </is>
      </c>
      <c r="T1" s="1" t="inlineStr">
        <is>
          <t>pence a quarter 1</t>
        </is>
      </c>
      <c r="U1" s="1" t="inlineStr">
        <is>
          <t>shilling a quarter 2</t>
        </is>
      </c>
      <c r="V1" s="1" t="inlineStr">
        <is>
          <t>pence a quarter 2</t>
        </is>
      </c>
      <c r="W1" s="1" t="inlineStr">
        <is>
          <t>shilling a quarter 3</t>
        </is>
      </c>
      <c r="X1" s="1" t="inlineStr">
        <is>
          <t>pence a quarter 3</t>
        </is>
      </c>
      <c r="Y1" s="1" t="inlineStr">
        <is>
          <t>shilling a quarter 4</t>
        </is>
      </c>
      <c r="Z1" s="1" t="inlineStr">
        <is>
          <t>pence a quarter 4</t>
        </is>
      </c>
      <c r="AA1" s="1" t="inlineStr">
        <is>
          <t>shilling a bushel 1</t>
        </is>
      </c>
      <c r="AB1" s="1" t="inlineStr">
        <is>
          <t>pence a bushel 1</t>
        </is>
      </c>
      <c r="AC1" s="1" t="inlineStr">
        <is>
          <t>shilling a bushel 2</t>
        </is>
      </c>
      <c r="AD1" s="1" t="inlineStr">
        <is>
          <t>pence a bushel 2</t>
        </is>
      </c>
      <c r="AE1" s="1" t="inlineStr">
        <is>
          <t>shilling a bushel 3</t>
        </is>
      </c>
      <c r="AF1" s="1" t="inlineStr">
        <is>
          <t>pence a bushel 3</t>
        </is>
      </c>
      <c r="AG1" s="1" t="inlineStr">
        <is>
          <t>shilling a bushel 4</t>
        </is>
      </c>
      <c r="AH1" s="1" t="inlineStr">
        <is>
          <t>pence a bushel 4</t>
        </is>
      </c>
    </row>
    <row r="2">
      <c r="A2" t="inlineStr">
        <is>
          <t>Arrears</t>
        </is>
      </c>
      <c r="B2" t="inlineStr">
        <is>
          <t>Nicholas, bailiff, and William Bouelych', reeve, render account for £68 12 shilling 7.25pence of arrears from the previous year.</t>
        </is>
      </c>
      <c r="C2" t="n">
        <v>68.63</v>
      </c>
      <c r="D2" t="n">
        <v>68</v>
      </c>
      <c r="E2" t="n">
        <v>12</v>
      </c>
      <c r="F2" t="n">
        <v>7.25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Arrears</t>
        </is>
      </c>
      <c r="B3" t="inlineStr">
        <is>
          <t>All delivered to Sir Geoffrey, treasurer of Wolvesey.</t>
        </is>
      </c>
      <c r="C3" t="n">
        <v>0</v>
      </c>
      <c r="D3" t="n">
        <v>0</v>
      </c>
      <c r="E3" t="n">
        <v>0</v>
      </c>
      <c r="F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Arrears</t>
        </is>
      </c>
      <c r="B4" t="inlineStr">
        <is>
          <t>They are quit.</t>
        </is>
      </c>
      <c r="C4" t="n">
        <v>0</v>
      </c>
      <c r="D4" t="n">
        <v>0</v>
      </c>
      <c r="E4" t="n">
        <v>0</v>
      </c>
      <c r="F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Rents of assize</t>
        </is>
      </c>
      <c r="B5" t="inlineStr">
        <is>
          <t>The same render account for £6 13 shilling 11.25pence for rents of assize at Christmas.</t>
        </is>
      </c>
      <c r="C5" t="n">
        <v>6.7</v>
      </c>
      <c r="D5" t="n">
        <v>6</v>
      </c>
      <c r="E5" t="n">
        <v>13</v>
      </c>
      <c r="F5" t="n">
        <v>11.25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Rents of assize</t>
        </is>
      </c>
      <c r="B6" t="inlineStr">
        <is>
          <t>£7 9 shilling 1pence at Easter (22 April).</t>
        </is>
      </c>
      <c r="C6" t="n">
        <v>7.45</v>
      </c>
      <c r="D6" t="n">
        <v>7</v>
      </c>
      <c r="E6" t="n">
        <v>9</v>
      </c>
      <c r="F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Rents of assize</t>
        </is>
      </c>
      <c r="B7" t="inlineStr">
        <is>
          <t>£6 13 shilling 11.25pence at St John the Baptist (24 June).</t>
        </is>
      </c>
      <c r="C7" t="n">
        <v>6.7</v>
      </c>
      <c r="D7" t="n">
        <v>6</v>
      </c>
      <c r="E7" t="n">
        <v>13</v>
      </c>
      <c r="F7" t="n">
        <v>11.25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Rents of assize</t>
        </is>
      </c>
      <c r="B8" t="inlineStr">
        <is>
          <t>£11 10 shilling 110.75pence1 at Michaelmas (29 September).</t>
        </is>
      </c>
      <c r="C8" t="n">
        <v>11.96</v>
      </c>
      <c r="D8" t="n">
        <v>11</v>
      </c>
      <c r="E8" t="n">
        <v>10</v>
      </c>
      <c r="F8" t="n">
        <v>110.75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Rents of assize</t>
        </is>
      </c>
      <c r="B9" t="inlineStr">
        <is>
          <t>Total, £32 7 shilling 10.25pence</t>
        </is>
      </c>
      <c r="C9" t="n">
        <v>32.39</v>
      </c>
      <c r="D9" t="n">
        <v>32</v>
      </c>
      <c r="E9" t="n">
        <v>7</v>
      </c>
      <c r="F9" t="n">
        <v>10.25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Increment</t>
        </is>
      </c>
      <c r="B10" t="inlineStr">
        <is>
          <t>The same render account for 1pence for the increment of rent from Robert Faber to have 1 plot of land, 12 feet long and 5 feet wide, in the vill of Hambledon.</t>
        </is>
      </c>
      <c r="C10" t="n">
        <v>0</v>
      </c>
      <c r="D10" t="n">
        <v>0</v>
      </c>
      <c r="E10" t="n">
        <v>0</v>
      </c>
      <c r="F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Increment</t>
        </is>
      </c>
      <c r="B11" t="inlineStr">
        <is>
          <t>Total, 1pence Total of rents with increment, £32 7 shilling 11.25pence</t>
        </is>
      </c>
      <c r="C11" t="n">
        <v>32.4</v>
      </c>
      <c r="D11" t="n">
        <v>32</v>
      </c>
      <c r="E11" t="n">
        <v>7</v>
      </c>
      <c r="F11" t="n">
        <v>11.25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Quittances</t>
        </is>
      </c>
      <c r="B12" t="inlineStr">
        <is>
          <t>In quittance of 1 reeve for the year 2 shilling 6pence.</t>
        </is>
      </c>
      <c r="C12" t="n">
        <v>0.12</v>
      </c>
      <c r="D12" t="n">
        <v>0</v>
      </c>
      <c r="E12" t="n">
        <v>2</v>
      </c>
      <c r="F12" t="n">
        <v>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Quittances</t>
        </is>
      </c>
      <c r="B13" t="inlineStr">
        <is>
          <t>1 bartoner for the year 2 shilling 6pence.</t>
        </is>
      </c>
      <c r="C13" t="n">
        <v>0.12</v>
      </c>
      <c r="D13" t="n">
        <v>0</v>
      </c>
      <c r="E13" t="n">
        <v>2</v>
      </c>
      <c r="F13" t="n">
        <v>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Quittances</t>
        </is>
      </c>
      <c r="B14" t="inlineStr">
        <is>
          <t>3 ploughmen for the year 5 shilling.</t>
        </is>
      </c>
      <c r="C14" t="n">
        <v>0.25</v>
      </c>
      <c r="D14" t="n">
        <v>0</v>
      </c>
      <c r="E14" t="n">
        <v>5</v>
      </c>
      <c r="F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Quittances</t>
        </is>
      </c>
      <c r="B15" t="inlineStr">
        <is>
          <t>2 shepherds and 1 smith for the year 5 shilling.</t>
        </is>
      </c>
      <c r="C15" t="n">
        <v>0.25</v>
      </c>
      <c r="D15" t="n">
        <v>0</v>
      </c>
      <c r="E15" t="n">
        <v>5</v>
      </c>
      <c r="F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Quittances</t>
        </is>
      </c>
      <c r="B16" t="inlineStr">
        <is>
          <t>1 cowherd for the year 1 shilling 8pence.</t>
        </is>
      </c>
      <c r="C16" t="n">
        <v>0.08</v>
      </c>
      <c r="D16" t="n">
        <v>0</v>
      </c>
      <c r="E16" t="n">
        <v>1</v>
      </c>
      <c r="F16" t="n">
        <v>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Quittances</t>
        </is>
      </c>
      <c r="B17" t="inlineStr">
        <is>
          <t>1 swineherd for the year 1 shilling 8pence Total, 18 shilling 4pence</t>
        </is>
      </c>
      <c r="C17" t="n">
        <v>0.08</v>
      </c>
      <c r="D17" t="n">
        <v>0</v>
      </c>
      <c r="E17" t="n">
        <v>1</v>
      </c>
      <c r="F17" t="n">
        <v>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Defaults of rent</t>
        </is>
      </c>
      <c r="B18" t="inlineStr">
        <is>
          <t>In default of the wood which Herbert' de Chidden' holds drawn into demesne, 1 shilling 6pence for the year.</t>
        </is>
      </c>
      <c r="C18" t="n">
        <v>0.08</v>
      </c>
      <c r="D18" t="n">
        <v>0</v>
      </c>
      <c r="E18" t="n">
        <v>1</v>
      </c>
      <c r="F18" t="n">
        <v>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Defaults of rent</t>
        </is>
      </c>
      <c r="B19" t="inlineStr">
        <is>
          <t>the land of Shortelond', 6pence for the year.</t>
        </is>
      </c>
      <c r="C19" t="n">
        <v>0.03</v>
      </c>
      <c r="D19" t="n">
        <v>0</v>
      </c>
      <c r="E19" t="n">
        <v>0</v>
      </c>
      <c r="F19" t="n">
        <v>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Defaults of rent</t>
        </is>
      </c>
      <c r="B20" t="inlineStr">
        <is>
          <t>1 grove of Vineys drawn into demesne, 6pence for the year.</t>
        </is>
      </c>
      <c r="C20" t="n">
        <v>0.03</v>
      </c>
      <c r="D20" t="n">
        <v>0</v>
      </c>
      <c r="E20" t="n">
        <v>0</v>
      </c>
      <c r="F20" t="n">
        <v>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Defaults of rent</t>
        </is>
      </c>
      <c r="B21" t="inlineStr">
        <is>
          <t>the wood of Mannely which is in demesne through the death of the holder 6 shilling Total, 8 shilling 6pence</t>
        </is>
      </c>
      <c r="C21" t="n">
        <v>0.33</v>
      </c>
      <c r="D21" t="n">
        <v>0</v>
      </c>
      <c r="E21" t="n">
        <v>6</v>
      </c>
      <c r="F21" t="n">
        <v>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Quittances and defaults</t>
        </is>
      </c>
      <c r="B22" t="inlineStr">
        <is>
          <t>Quittances and defaults, £1 6 shilling 10pence</t>
        </is>
      </c>
      <c r="C22" t="n">
        <v>1.34</v>
      </c>
      <c r="D22" t="n">
        <v>1</v>
      </c>
      <c r="E22" t="n">
        <v>6</v>
      </c>
      <c r="F22" t="n">
        <v>10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Total of rents remaining</t>
        </is>
      </c>
      <c r="B23" t="inlineStr">
        <is>
          <t>Total of rents remaining, £31 1 shilling 1.25pence</t>
        </is>
      </c>
      <c r="C23" t="n">
        <v>31.06</v>
      </c>
      <c r="D23" t="n">
        <v>31</v>
      </c>
      <c r="E23" t="n">
        <v>1</v>
      </c>
      <c r="F23" t="n">
        <v>1.25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Annual recognizance</t>
        </is>
      </c>
      <c r="B24" t="inlineStr">
        <is>
          <t>The same render account for 3pence from Walter ate Greve for recognizance.</t>
        </is>
      </c>
      <c r="C24" t="n">
        <v>0.01</v>
      </c>
      <c r="D24" t="n">
        <v>0</v>
      </c>
      <c r="E24" t="n">
        <v>0</v>
      </c>
      <c r="F24" t="n">
        <v>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Annual recognizance</t>
        </is>
      </c>
      <c r="B25" t="inlineStr">
        <is>
          <t>3pence from Stephen Blaysut to be able to remain in the hundred of East Meon.</t>
        </is>
      </c>
      <c r="C25" t="n">
        <v>0.01</v>
      </c>
      <c r="D25" t="n">
        <v>0</v>
      </c>
      <c r="E25" t="n">
        <v>0</v>
      </c>
      <c r="F25" t="n">
        <v>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Annual recognizance</t>
        </is>
      </c>
      <c r="B26" t="inlineStr">
        <is>
          <t>3pence from William le Boys for annual recognizance.</t>
        </is>
      </c>
      <c r="C26" t="n">
        <v>0.01</v>
      </c>
      <c r="D26" t="n">
        <v>0</v>
      </c>
      <c r="E26" t="n">
        <v>0</v>
      </c>
      <c r="F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Annual recognizance</t>
        </is>
      </c>
      <c r="B27" t="inlineStr">
        <is>
          <t>3pence from Henry Faber for the same.</t>
        </is>
      </c>
      <c r="C27" t="n">
        <v>0.01</v>
      </c>
      <c r="D27" t="n">
        <v>0</v>
      </c>
      <c r="E27" t="n">
        <v>0</v>
      </c>
      <c r="F27" t="n">
        <v>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Annual recognizance</t>
        </is>
      </c>
      <c r="B28" t="inlineStr">
        <is>
          <t>4pence from Adam le Cauz for the same.</t>
        </is>
      </c>
      <c r="C28" t="n">
        <v>0.02</v>
      </c>
      <c r="D28" t="n">
        <v>0</v>
      </c>
      <c r="E28" t="n">
        <v>0</v>
      </c>
      <c r="F28" t="n">
        <v>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Annual recognizance</t>
        </is>
      </c>
      <c r="B29" t="inlineStr">
        <is>
          <t>3pence from Robert Buly for the same.</t>
        </is>
      </c>
      <c r="C29" t="n">
        <v>0.01</v>
      </c>
      <c r="D29" t="n">
        <v>0</v>
      </c>
      <c r="E29" t="n">
        <v>0</v>
      </c>
      <c r="F29" t="n">
        <v>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Annual recognizance</t>
        </is>
      </c>
      <c r="B30" t="inlineStr">
        <is>
          <t>3pence from William Tassor' for the same and henceforth nothing from the same because he is dead.</t>
        </is>
      </c>
      <c r="C30" t="n">
        <v>0.01</v>
      </c>
      <c r="D30" t="n">
        <v>0</v>
      </c>
      <c r="E30" t="n">
        <v>0</v>
      </c>
      <c r="F30" t="n">
        <v>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Annual recognizance</t>
        </is>
      </c>
      <c r="B31" t="inlineStr">
        <is>
          <t>6pence from Adam Cattefan for the same.</t>
        </is>
      </c>
      <c r="C31" t="n">
        <v>0.03</v>
      </c>
      <c r="D31" t="n">
        <v>0</v>
      </c>
      <c r="E31" t="n">
        <v>0</v>
      </c>
      <c r="F31" t="n">
        <v>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Annual recognizance</t>
        </is>
      </c>
      <c r="B32" t="inlineStr">
        <is>
          <t>3pence from Thomas Sharpe for the same.</t>
        </is>
      </c>
      <c r="C32" t="n">
        <v>0.01</v>
      </c>
      <c r="D32" t="n">
        <v>0</v>
      </c>
      <c r="E32" t="n">
        <v>0</v>
      </c>
      <c r="F32" t="n">
        <v>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Annual recognizance</t>
        </is>
      </c>
      <c r="B33" t="inlineStr">
        <is>
          <t>6pence from Roger Boys for the same.</t>
        </is>
      </c>
      <c r="C33" t="n">
        <v>0.03</v>
      </c>
      <c r="D33" t="n">
        <v>0</v>
      </c>
      <c r="E33" t="n">
        <v>0</v>
      </c>
      <c r="F33" t="n">
        <v>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Annual recognizance</t>
        </is>
      </c>
      <c r="B34" t="inlineStr">
        <is>
          <t>3pence from Jordan Boys for the same.</t>
        </is>
      </c>
      <c r="C34" t="n">
        <v>0.01</v>
      </c>
      <c r="D34" t="n">
        <v>0</v>
      </c>
      <c r="E34" t="n">
        <v>0</v>
      </c>
      <c r="F34" t="n">
        <v>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Annual recognizance</t>
        </is>
      </c>
      <c r="B35" t="inlineStr">
        <is>
          <t>Total, 3 shilling 4pence</t>
        </is>
      </c>
      <c r="C35" t="n">
        <v>0.17</v>
      </c>
      <c r="D35" t="n">
        <v>0</v>
      </c>
      <c r="E35" t="n">
        <v>3</v>
      </c>
      <c r="F35" t="n">
        <v>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Cumin</t>
        </is>
      </c>
      <c r="B36" t="inlineStr">
        <is>
          <t>The same render account for 1 lb of cumin from William Sicator' for the year.</t>
        </is>
      </c>
      <c r="C36" t="n">
        <v>0</v>
      </c>
      <c r="D36" t="n">
        <v>0</v>
      </c>
      <c r="E36" t="n">
        <v>0</v>
      </c>
      <c r="F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Cumin</t>
        </is>
      </c>
      <c r="B37" t="inlineStr">
        <is>
          <t>delivered to Wolvesey.</t>
        </is>
      </c>
      <c r="C37" t="n">
        <v>0</v>
      </c>
      <c r="D37" t="n">
        <v>0</v>
      </c>
      <c r="E37" t="n">
        <v>0</v>
      </c>
      <c r="F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Wax</t>
        </is>
      </c>
      <c r="B38" t="inlineStr">
        <is>
          <t>The same render account for .5 lb of wax from Philip Visard to have maintenance.</t>
        </is>
      </c>
      <c r="C38" t="n">
        <v>0</v>
      </c>
      <c r="D38" t="n">
        <v>0</v>
      </c>
      <c r="E38" t="n">
        <v>0</v>
      </c>
      <c r="F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Wax</t>
        </is>
      </c>
      <c r="B39" t="inlineStr">
        <is>
          <t>.5 lb from William le Ysmongar for the same.</t>
        </is>
      </c>
      <c r="C39" t="n">
        <v>0</v>
      </c>
      <c r="D39" t="n">
        <v>0</v>
      </c>
      <c r="E39" t="n">
        <v>0</v>
      </c>
      <c r="F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Wax</t>
        </is>
      </c>
      <c r="B40" t="inlineStr">
        <is>
          <t>.5 lb from Thomas Messor for the same.</t>
        </is>
      </c>
      <c r="C40" t="n">
        <v>0</v>
      </c>
      <c r="D40" t="n">
        <v>0</v>
      </c>
      <c r="E40" t="n">
        <v>0</v>
      </c>
      <c r="F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Wax</t>
        </is>
      </c>
      <c r="B41" t="inlineStr">
        <is>
          <t>Total, 1.5 lb.</t>
        </is>
      </c>
      <c r="C41" t="n">
        <v>0</v>
      </c>
      <c r="D41" t="n">
        <v>0</v>
      </c>
      <c r="E41" t="n">
        <v>0</v>
      </c>
      <c r="F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Wax</t>
        </is>
      </c>
      <c r="B42" t="inlineStr">
        <is>
          <t>Delivered to Wolvesey.</t>
        </is>
      </c>
      <c r="C42" t="n">
        <v>0</v>
      </c>
      <c r="D42" t="n">
        <v>0</v>
      </c>
      <c r="E42" t="n">
        <v>0</v>
      </c>
      <c r="F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Talents</t>
        </is>
      </c>
      <c r="B43" t="inlineStr">
        <is>
          <t>The same render account for 1 talent received from the vicar of Hambledon.</t>
        </is>
      </c>
      <c r="C43" t="n">
        <v>0</v>
      </c>
      <c r="D43" t="n">
        <v>0</v>
      </c>
      <c r="E43" t="n">
        <v>0</v>
      </c>
      <c r="F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Talents</t>
        </is>
      </c>
      <c r="B44" t="inlineStr">
        <is>
          <t>delivered to Wolvesey.</t>
        </is>
      </c>
      <c r="C44" t="n">
        <v>0</v>
      </c>
      <c r="D44" t="n">
        <v>0</v>
      </c>
      <c r="E44" t="n">
        <v>0</v>
      </c>
      <c r="F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 xml:space="preserve">Issues of the manor </t>
        </is>
      </c>
      <c r="B45" t="inlineStr">
        <is>
          <t>{henceforth mention should be made of the number of animals}The same render account for £1 18 shilling 4.5pence from pannage of pigs within this year.</t>
        </is>
      </c>
      <c r="C45" t="n">
        <v>1.92</v>
      </c>
      <c r="D45" t="n">
        <v>1</v>
      </c>
      <c r="E45" t="n">
        <v>18</v>
      </c>
      <c r="F45" t="n">
        <v>4.5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 xml:space="preserve">Issues of the manor </t>
        </is>
      </c>
      <c r="B46" t="inlineStr">
        <is>
          <t>£1 1 shilling from foreign pannage.</t>
        </is>
      </c>
      <c r="C46" t="n">
        <v>1.05</v>
      </c>
      <c r="D46" t="n">
        <v>1</v>
      </c>
      <c r="E46" t="n">
        <v>1</v>
      </c>
      <c r="F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 xml:space="preserve">Issues of the manor </t>
        </is>
      </c>
      <c r="B47" t="inlineStr">
        <is>
          <t>£1 8 shilling 6pence from pannage in the park.</t>
        </is>
      </c>
      <c r="C47" t="n">
        <v>1.42</v>
      </c>
      <c r="D47" t="n">
        <v>1</v>
      </c>
      <c r="E47" t="n">
        <v>8</v>
      </c>
      <c r="F47" t="n">
        <v>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 xml:space="preserve">Issues of the manor </t>
        </is>
      </c>
      <c r="B48" t="inlineStr">
        <is>
          <t>nothing from William de Chidden from now on because he does the labour service for part of his land.</t>
        </is>
      </c>
      <c r="C48" t="n">
        <v>0</v>
      </c>
      <c r="D48" t="n">
        <v>0</v>
      </c>
      <c r="E48" t="n">
        <v>0</v>
      </c>
      <c r="F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 xml:space="preserve">Issues of the manor </t>
        </is>
      </c>
      <c r="B49" t="inlineStr">
        <is>
          <t>2 shilling 6pence from Robert Cocus for release from the labour service for the land of Dimmyng'.</t>
        </is>
      </c>
      <c r="C49" t="n">
        <v>0.12</v>
      </c>
      <c r="D49" t="n">
        <v>0</v>
      </c>
      <c r="E49" t="n">
        <v>2</v>
      </c>
      <c r="F49" t="n">
        <v>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 xml:space="preserve">Issues of the manor </t>
        </is>
      </c>
      <c r="B50" t="inlineStr">
        <is>
          <t>1 shilling 8pence from the same Robert for the labour service of the land which belonged to Richard Luce.</t>
        </is>
      </c>
      <c r="C50" t="n">
        <v>0.08</v>
      </c>
      <c r="D50" t="n">
        <v>0</v>
      </c>
      <c r="E50" t="n">
        <v>1</v>
      </c>
      <c r="F50" t="n">
        <v>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 xml:space="preserve">Issues of the manor </t>
        </is>
      </c>
      <c r="B51" t="inlineStr">
        <is>
          <t>6pence from the relict of Philip de Furnaeaus for release from the labour service for the land which belonged to Walter Elyot.</t>
        </is>
      </c>
      <c r="C51" t="n">
        <v>0.03</v>
      </c>
      <c r="D51" t="n">
        <v>0</v>
      </c>
      <c r="E51" t="n">
        <v>0</v>
      </c>
      <c r="F51" t="n">
        <v>6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 xml:space="preserve">Issues of the manor </t>
        </is>
      </c>
      <c r="B52" t="inlineStr">
        <is>
          <t>2 shilling from cablish sold in the great wood.</t>
        </is>
      </c>
      <c r="C52" t="n">
        <v>0.1</v>
      </c>
      <c r="D52" t="n">
        <v>0</v>
      </c>
      <c r="E52" t="n">
        <v>2</v>
      </c>
      <c r="F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 xml:space="preserve">Issues of the manor </t>
        </is>
      </c>
      <c r="B53" t="inlineStr">
        <is>
          <t>nothing from underwood in la Brok' this year.</t>
        </is>
      </c>
      <c r="C53" t="n">
        <v>0</v>
      </c>
      <c r="D53" t="n">
        <v>0</v>
      </c>
      <c r="E53" t="n">
        <v>0</v>
      </c>
      <c r="F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 xml:space="preserve">Issues of the manor </t>
        </is>
      </c>
      <c r="B54" t="inlineStr">
        <is>
          <t>3 shilling from the men of Chidden for the pasturage in Eldecroft and answering elsewhere for 5 sheep for the same pasturage.</t>
        </is>
      </c>
      <c r="C54" t="n">
        <v>0.15</v>
      </c>
      <c r="D54" t="n">
        <v>0</v>
      </c>
      <c r="E54" t="n">
        <v>3</v>
      </c>
      <c r="F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 xml:space="preserve">Issues of the manor </t>
        </is>
      </c>
      <c r="B55" t="inlineStr">
        <is>
          <t>3 shilling 3.5pence from pinfold this year.</t>
        </is>
      </c>
      <c r="C55" t="n">
        <v>0.16</v>
      </c>
      <c r="D55" t="n">
        <v>0</v>
      </c>
      <c r="E55" t="n">
        <v>3</v>
      </c>
      <c r="F55" t="n">
        <v>3.5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 xml:space="preserve">Issues of the manor </t>
        </is>
      </c>
      <c r="B56" t="inlineStr">
        <is>
          <t>3 shilling from the men of Pantolf' for pasturage.</t>
        </is>
      </c>
      <c r="C56" t="n">
        <v>0.15</v>
      </c>
      <c r="D56" t="n">
        <v>0</v>
      </c>
      <c r="E56" t="n">
        <v>3</v>
      </c>
      <c r="F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 xml:space="preserve">Issues of the manor </t>
        </is>
      </c>
      <c r="B57" t="inlineStr">
        <is>
          <t>4 shilling 9.5pence for the pasturage in la Holte sold this year.</t>
        </is>
      </c>
      <c r="C57" t="n">
        <v>0.24</v>
      </c>
      <c r="D57" t="n">
        <v>0</v>
      </c>
      <c r="E57" t="n">
        <v>4</v>
      </c>
      <c r="F57" t="n">
        <v>9.5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 xml:space="preserve">Issues of the manor </t>
        </is>
      </c>
      <c r="B58" t="inlineStr">
        <is>
          <t>6 shilling 8pence for the pasturage in the enclosure sold wholesale in winter.</t>
        </is>
      </c>
      <c r="C58" t="n">
        <v>0.33</v>
      </c>
      <c r="D58" t="n">
        <v>0</v>
      </c>
      <c r="E58" t="n">
        <v>6</v>
      </c>
      <c r="F58" t="n">
        <v>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 xml:space="preserve">Issues of the manor </t>
        </is>
      </c>
      <c r="B59" t="inlineStr">
        <is>
          <t>£2 7 shilling from the pasturage sold there in summer because the meadow was mown.</t>
        </is>
      </c>
      <c r="C59" t="n">
        <v>2.35</v>
      </c>
      <c r="D59" t="n">
        <v>2</v>
      </c>
      <c r="E59" t="n">
        <v>7</v>
      </c>
      <c r="F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 xml:space="preserve">Issues of the manor </t>
        </is>
      </c>
      <c r="B60" t="inlineStr">
        <is>
          <t>£2 3 shilling 1pence from 4 oxen, at 11 shilling each for 3, and 10 shilling 1pence for 1.</t>
        </is>
      </c>
      <c r="C60" t="n">
        <v>2.15</v>
      </c>
      <c r="D60" t="n">
        <v>2</v>
      </c>
      <c r="E60" t="n">
        <v>3</v>
      </c>
      <c r="F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 xml:space="preserve">Issues of the manor </t>
        </is>
      </c>
      <c r="B61" t="inlineStr">
        <is>
          <t>£1 2 shilling 6pence from 3 old cows sold.</t>
        </is>
      </c>
      <c r="C61" t="n">
        <v>1.12</v>
      </c>
      <c r="D61" t="n">
        <v>1</v>
      </c>
      <c r="E61" t="n">
        <v>2</v>
      </c>
      <c r="F61" t="n">
        <v>6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 xml:space="preserve">Issues of the manor </t>
        </is>
      </c>
      <c r="B62" t="inlineStr">
        <is>
          <t>1 shilling from 1 feeble plough-horse sold.</t>
        </is>
      </c>
      <c r="C62" t="n">
        <v>0.05</v>
      </c>
      <c r="D62" t="n">
        <v>0</v>
      </c>
      <c r="E62" t="n">
        <v>1</v>
      </c>
      <c r="F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 xml:space="preserve">Issues of the manor </t>
        </is>
      </c>
      <c r="B63" t="inlineStr">
        <is>
          <t>nothing from the pasturage in la Rugg' this year because it was pastured with the lord's sheep.</t>
        </is>
      </c>
      <c r="C63" t="n">
        <v>0</v>
      </c>
      <c r="D63" t="n">
        <v>0</v>
      </c>
      <c r="E63" t="n">
        <v>0</v>
      </c>
      <c r="F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 xml:space="preserve">Issues of the manor </t>
        </is>
      </c>
      <c r="B64" t="inlineStr">
        <is>
          <t>1 shilling 6pence from the pasturage above the church sold.</t>
        </is>
      </c>
      <c r="C64" t="n">
        <v>0.08</v>
      </c>
      <c r="D64" t="n">
        <v>0</v>
      </c>
      <c r="E64" t="n">
        <v>1</v>
      </c>
      <c r="F64" t="n">
        <v>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 xml:space="preserve">Issues of the manor </t>
        </is>
      </c>
      <c r="B65" t="inlineStr">
        <is>
          <t>1 shilling from the pasturage in la Brok' sold in winter.</t>
        </is>
      </c>
      <c r="C65" t="n">
        <v>0.05</v>
      </c>
      <c r="D65" t="n">
        <v>0</v>
      </c>
      <c r="E65" t="n">
        <v>1</v>
      </c>
      <c r="F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 xml:space="preserve">Issues of the manor </t>
        </is>
      </c>
      <c r="B66" t="inlineStr">
        <is>
          <t>5 shilling from the pasturage sold there in summer.</t>
        </is>
      </c>
      <c r="C66" t="n">
        <v>0.25</v>
      </c>
      <c r="D66" t="n">
        <v>0</v>
      </c>
      <c r="E66" t="n">
        <v>5</v>
      </c>
      <c r="F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 xml:space="preserve">Issues of the manor </t>
        </is>
      </c>
      <c r="B67" t="inlineStr">
        <is>
          <t>£1 4 shilling from the pasturage of 24 animals agisting in the park sold this year.</t>
        </is>
      </c>
      <c r="C67" t="n">
        <v>1.2</v>
      </c>
      <c r="D67" t="n">
        <v>1</v>
      </c>
      <c r="E67" t="n">
        <v>4</v>
      </c>
      <c r="F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 xml:space="preserve">Issues of the manor </t>
        </is>
      </c>
      <c r="B68" t="inlineStr">
        <is>
          <t>6 shilling from 6 feeble late-born calves sold.</t>
        </is>
      </c>
      <c r="C68" t="n">
        <v>0.3</v>
      </c>
      <c r="D68" t="n">
        <v>0</v>
      </c>
      <c r="E68" t="n">
        <v>6</v>
      </c>
      <c r="F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 xml:space="preserve">Issues of the manor </t>
        </is>
      </c>
      <c r="B69" t="inlineStr">
        <is>
          <t>£1 from 16 wethers sold at Martinmas, at 1 shilling 3pence each.</t>
        </is>
      </c>
      <c r="C69" t="n">
        <v>1</v>
      </c>
      <c r="D69" t="n">
        <v>1</v>
      </c>
      <c r="E69" t="n">
        <v>0</v>
      </c>
      <c r="F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 xml:space="preserve">Issues of the manor </t>
        </is>
      </c>
      <c r="B70" t="inlineStr">
        <is>
          <t>13 shilling from 14 ewes sold at Martinmas.</t>
        </is>
      </c>
      <c r="C70" t="n">
        <v>0.65</v>
      </c>
      <c r="D70" t="n">
        <v>0</v>
      </c>
      <c r="E70" t="n">
        <v>13</v>
      </c>
      <c r="F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 xml:space="preserve">Issues of the manor </t>
        </is>
      </c>
      <c r="B71" t="inlineStr">
        <is>
          <t>9 shilling 6pence from 38 feeble lambs sold.</t>
        </is>
      </c>
      <c r="C71" t="n">
        <v>0.48</v>
      </c>
      <c r="D71" t="n">
        <v>0</v>
      </c>
      <c r="E71" t="n">
        <v>9</v>
      </c>
      <c r="F71" t="n">
        <v>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 xml:space="preserve">Issues of the manor </t>
        </is>
      </c>
      <c r="B72" t="inlineStr">
        <is>
          <t>£3 from 19 pigs, at 3 shilling 2pence each, less 2pence in all.</t>
        </is>
      </c>
      <c r="C72" t="n">
        <v>3</v>
      </c>
      <c r="D72" t="n">
        <v>3</v>
      </c>
      <c r="E72" t="n">
        <v>0</v>
      </c>
      <c r="F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 xml:space="preserve">Issues of the manor </t>
        </is>
      </c>
      <c r="B73" t="inlineStr">
        <is>
          <t>10pence from the hide sold of 1 plough-horse in murrain.</t>
        </is>
      </c>
      <c r="C73" t="n">
        <v>0.04</v>
      </c>
      <c r="D73" t="n">
        <v>0</v>
      </c>
      <c r="E73" t="n">
        <v>0</v>
      </c>
      <c r="F73" t="n">
        <v>10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 xml:space="preserve">Issues of the manor </t>
        </is>
      </c>
      <c r="B74" t="inlineStr">
        <is>
          <t>2pence from the hide sold of 1 yearling.</t>
        </is>
      </c>
      <c r="C74" t="n">
        <v>0.01</v>
      </c>
      <c r="D74" t="n">
        <v>0</v>
      </c>
      <c r="E74" t="n">
        <v>0</v>
      </c>
      <c r="F74" t="n">
        <v>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 xml:space="preserve">Issues of the manor </t>
        </is>
      </c>
      <c r="B75" t="inlineStr">
        <is>
          <t>3.5pence from the hides sold of 2 calves dead from murrain.</t>
        </is>
      </c>
      <c r="C75" t="n">
        <v>0.01</v>
      </c>
      <c r="D75" t="n">
        <v>0</v>
      </c>
      <c r="E75" t="n">
        <v>0</v>
      </c>
      <c r="F75" t="n">
        <v>3.5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 xml:space="preserve">Issues of the manor </t>
        </is>
      </c>
      <c r="B76" t="inlineStr">
        <is>
          <t>14 shilling 6pence from the skins of 24 wethers, 1 ram and 32 ewes dead from murrain before shearing, at 3pence a skin.</t>
        </is>
      </c>
      <c r="C76" t="n">
        <v>0.72</v>
      </c>
      <c r="D76" t="n">
        <v>0</v>
      </c>
      <c r="E76" t="n">
        <v>14</v>
      </c>
      <c r="F76" t="n">
        <v>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 xml:space="preserve">Issues of the manor </t>
        </is>
      </c>
      <c r="B77" t="inlineStr">
        <is>
          <t>1 shilling 6pence from the skins sold wholesale of 12 wethers, 7 ewes and 14 hoggs dead from murrain after shearing.</t>
        </is>
      </c>
      <c r="C77" t="n">
        <v>0.08</v>
      </c>
      <c r="D77" t="n">
        <v>0</v>
      </c>
      <c r="E77" t="n">
        <v>1</v>
      </c>
      <c r="F77" t="n">
        <v>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 xml:space="preserve">Issues of the manor </t>
        </is>
      </c>
      <c r="B78" t="inlineStr">
        <is>
          <t>5 shilling 6.5pence from the skins sold of 57 lambs dead from murrain before weaning, at 1pence a skin, and of 19 rotted sheep, at .5pence a skin.</t>
        </is>
      </c>
      <c r="C78" t="n">
        <v>0.28</v>
      </c>
      <c r="D78" t="n">
        <v>0</v>
      </c>
      <c r="E78" t="n">
        <v>5</v>
      </c>
      <c r="F78" t="n">
        <v>6.5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 xml:space="preserve">Issues of the manor </t>
        </is>
      </c>
      <c r="B79" t="inlineStr">
        <is>
          <t>nothing from coarse wool and lamb's-wool this year because it was sent to Wolvesey.</t>
        </is>
      </c>
      <c r="C79" t="n">
        <v>0</v>
      </c>
      <c r="D79" t="n">
        <v>0</v>
      </c>
      <c r="E79" t="n">
        <v>0</v>
      </c>
      <c r="F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 xml:space="preserve">Issues of the manor </t>
        </is>
      </c>
      <c r="B80" t="inlineStr">
        <is>
          <t>6 shilling 1.5pence from 7 cloves of wool locks sold, at 10.5pence a clove.</t>
        </is>
      </c>
      <c r="C80" t="n">
        <v>0.31</v>
      </c>
      <c r="D80" t="n">
        <v>0</v>
      </c>
      <c r="E80" t="n">
        <v>6</v>
      </c>
      <c r="F80" t="n">
        <v>1.5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 xml:space="preserve">Issues of the manor </t>
        </is>
      </c>
      <c r="B81" t="inlineStr">
        <is>
          <t>5 shilling from 17 cloves of rowen cheese sold.</t>
        </is>
      </c>
      <c r="C81" t="n">
        <v>0.25</v>
      </c>
      <c r="D81" t="n">
        <v>0</v>
      </c>
      <c r="E81" t="n">
        <v>5</v>
      </c>
      <c r="F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 xml:space="preserve">Issues of the manor </t>
        </is>
      </c>
      <c r="B82" t="inlineStr">
        <is>
          <t>£3 8 shilling from 8.5 weys of cheese sold, at 8 shilling a wey.</t>
        </is>
      </c>
      <c r="C82" t="n">
        <v>3.4</v>
      </c>
      <c r="D82" t="n">
        <v>3</v>
      </c>
      <c r="E82" t="n">
        <v>8</v>
      </c>
      <c r="F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 xml:space="preserve">Issues of the manor </t>
        </is>
      </c>
      <c r="B83" t="inlineStr">
        <is>
          <t>7 shilling 10pence from 1 wey 5 cloves of butter sold.</t>
        </is>
      </c>
      <c r="C83" t="n">
        <v>0.39</v>
      </c>
      <c r="D83" t="n">
        <v>0</v>
      </c>
      <c r="E83" t="n">
        <v>7</v>
      </c>
      <c r="F83" t="n">
        <v>10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 xml:space="preserve">Issues of the manor </t>
        </is>
      </c>
      <c r="B84" t="inlineStr">
        <is>
          <t>3 shilling 2pence from 38 hens from churchscot sold.</t>
        </is>
      </c>
      <c r="C84" t="n">
        <v>0.16</v>
      </c>
      <c r="D84" t="n">
        <v>0</v>
      </c>
      <c r="E84" t="n">
        <v>3</v>
      </c>
      <c r="F84" t="n">
        <v>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 xml:space="preserve">Issues of the manor </t>
        </is>
      </c>
      <c r="B85" t="inlineStr">
        <is>
          <t>10 shilling from 5 quarters of salt sold.</t>
        </is>
      </c>
      <c r="C85" t="n">
        <v>0.5</v>
      </c>
      <c r="D85" t="n">
        <v>0</v>
      </c>
      <c r="E85" t="n">
        <v>10</v>
      </c>
      <c r="F85" t="n">
        <v>0</v>
      </c>
      <c r="H85" t="n">
        <v>5</v>
      </c>
      <c r="I85" t="n">
        <v>0</v>
      </c>
      <c r="J85" t="n">
        <v>5</v>
      </c>
      <c r="K85" t="n">
        <v>5</v>
      </c>
      <c r="L85" t="n">
        <v>0</v>
      </c>
      <c r="M85" t="n">
        <v>5</v>
      </c>
      <c r="N85" t="n">
        <v>0</v>
      </c>
    </row>
    <row r="86">
      <c r="A86" t="inlineStr">
        <is>
          <t xml:space="preserve">Issues of the manor </t>
        </is>
      </c>
      <c r="B86" t="inlineStr">
        <is>
          <t>1 shilling 3pence from 15 workers who are bound to thresh 2 bushels of wheat and 4 bushels of oats.</t>
        </is>
      </c>
      <c r="C86" t="n">
        <v>0.06</v>
      </c>
      <c r="D86" t="n">
        <v>0</v>
      </c>
      <c r="E86" t="n">
        <v>1</v>
      </c>
      <c r="F86" t="n">
        <v>3</v>
      </c>
      <c r="G86" t="inlineStr">
        <is>
          <t>oats, wheat</t>
        </is>
      </c>
      <c r="H86" t="n">
        <v>0</v>
      </c>
      <c r="I86" t="n">
        <v>4</v>
      </c>
      <c r="J86" t="n">
        <v>0.5</v>
      </c>
      <c r="K86" t="n">
        <v>0.25</v>
      </c>
      <c r="L86" t="n">
        <v>0.25</v>
      </c>
      <c r="M86" t="n">
        <v>0</v>
      </c>
      <c r="N86" t="n">
        <v>2</v>
      </c>
      <c r="O86" t="n">
        <v>0</v>
      </c>
      <c r="P86" t="n">
        <v>4</v>
      </c>
    </row>
    <row r="87">
      <c r="A87" t="inlineStr">
        <is>
          <t xml:space="preserve">Issues of the manor </t>
        </is>
      </c>
      <c r="B87" t="inlineStr">
        <is>
          <t>nothing from labour services sold this year.</t>
        </is>
      </c>
      <c r="C87" t="n">
        <v>0</v>
      </c>
      <c r="D87" t="n">
        <v>0</v>
      </c>
      <c r="E87" t="n">
        <v>0</v>
      </c>
      <c r="F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 xml:space="preserve">Issues of the manor </t>
        </is>
      </c>
      <c r="B88" t="inlineStr">
        <is>
          <t>nothing from the turbary on la Crith this year.</t>
        </is>
      </c>
      <c r="C88" t="n">
        <v>0</v>
      </c>
      <c r="D88" t="n">
        <v>0</v>
      </c>
      <c r="E88" t="n">
        <v>0</v>
      </c>
      <c r="F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 xml:space="preserve">Issues of the manor </t>
        </is>
      </c>
      <c r="B89" t="inlineStr">
        <is>
          <t>nothing from the pasturage beside Parkgate this year for the lord's animals.</t>
        </is>
      </c>
      <c r="C89" t="n">
        <v>0</v>
      </c>
      <c r="D89" t="n">
        <v>0</v>
      </c>
      <c r="E89" t="n">
        <v>0</v>
      </c>
      <c r="F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 xml:space="preserve">Issues of the manor </t>
        </is>
      </c>
      <c r="B90" t="inlineStr">
        <is>
          <t>3 shilling 9pence from dairy produce sold at the audit.</t>
        </is>
      </c>
      <c r="C90" t="n">
        <v>0.19</v>
      </c>
      <c r="D90" t="n">
        <v>0</v>
      </c>
      <c r="E90" t="n">
        <v>3</v>
      </c>
      <c r="F90" t="n">
        <v>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 xml:space="preserve">Issues of the manor </t>
        </is>
      </c>
      <c r="B91" t="inlineStr">
        <is>
          <t>£17 2 shilling 6pence from 39 animals sold which were bought to agist in the pasture.</t>
        </is>
      </c>
      <c r="C91" t="n">
        <v>17.12</v>
      </c>
      <c r="D91" t="n">
        <v>17</v>
      </c>
      <c r="E91" t="n">
        <v>2</v>
      </c>
      <c r="F91" t="n">
        <v>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 xml:space="preserve">Issues of the manor </t>
        </is>
      </c>
      <c r="B92" t="inlineStr">
        <is>
          <t>Total, £42 3 shilling 4pence</t>
        </is>
      </c>
      <c r="C92" t="n">
        <v>42.17</v>
      </c>
      <c r="D92" t="n">
        <v>42</v>
      </c>
      <c r="E92" t="n">
        <v>3</v>
      </c>
      <c r="F92" t="n">
        <v>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Farm of the mill</t>
        </is>
      </c>
      <c r="B93" t="inlineStr">
        <is>
          <t>The same render account for £1 16 shilling for the farm of the mill this year.</t>
        </is>
      </c>
      <c r="C93" t="n">
        <v>1.8</v>
      </c>
      <c r="D93" t="n">
        <v>1</v>
      </c>
      <c r="E93" t="n">
        <v>16</v>
      </c>
      <c r="F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Farm of the mill</t>
        </is>
      </c>
      <c r="B94" t="inlineStr">
        <is>
          <t>Total, £1 16 shilling</t>
        </is>
      </c>
      <c r="C94" t="n">
        <v>1.8</v>
      </c>
      <c r="D94" t="n">
        <v>1</v>
      </c>
      <c r="E94" t="n">
        <v>16</v>
      </c>
      <c r="F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Sale of corn</t>
        </is>
      </c>
      <c r="B95" t="inlineStr">
        <is>
          <t>The same render account for £12 14 shilling 3pence from 45 quarters 6 bushels of wheat sold, at 5 shilling a quarters for 20 quarters 2 bushels, and 6 shilling a quarters for 25.5 quarters.</t>
        </is>
      </c>
      <c r="C95" t="n">
        <v>12.71</v>
      </c>
      <c r="D95" t="n">
        <v>12</v>
      </c>
      <c r="E95" t="n">
        <v>14</v>
      </c>
      <c r="F95" t="n">
        <v>3</v>
      </c>
      <c r="G95" t="inlineStr">
        <is>
          <t>wheat</t>
        </is>
      </c>
      <c r="H95" t="n">
        <v>45.5</v>
      </c>
      <c r="I95" t="n">
        <v>2</v>
      </c>
      <c r="J95" t="n">
        <v>45.75</v>
      </c>
      <c r="K95" t="n">
        <v>45.75</v>
      </c>
      <c r="L95" t="n">
        <v>0</v>
      </c>
      <c r="M95" t="n">
        <v>45</v>
      </c>
      <c r="N95" t="n">
        <v>6</v>
      </c>
      <c r="O95" t="n">
        <v>20</v>
      </c>
      <c r="P95" t="n">
        <v>2</v>
      </c>
      <c r="Q95" t="n">
        <v>25.5</v>
      </c>
      <c r="R95" t="n">
        <v>0</v>
      </c>
      <c r="S95" t="n">
        <v>5</v>
      </c>
      <c r="T95" t="n">
        <v>0</v>
      </c>
      <c r="U95" t="n">
        <v>6</v>
      </c>
      <c r="V95" t="n">
        <v>0</v>
      </c>
    </row>
    <row r="96">
      <c r="A96" t="inlineStr">
        <is>
          <t>Sale of corn</t>
        </is>
      </c>
      <c r="B96" t="inlineStr">
        <is>
          <t>£1 15 shilling from 13 quarters 1 bushels of curall sold, at 2 shilling 8pence a quarters.</t>
        </is>
      </c>
      <c r="C96" t="n">
        <v>1.75</v>
      </c>
      <c r="D96" t="n">
        <v>1</v>
      </c>
      <c r="E96" t="n">
        <v>15</v>
      </c>
      <c r="F96" t="n">
        <v>0</v>
      </c>
      <c r="G96" t="inlineStr">
        <is>
          <t>curall</t>
        </is>
      </c>
      <c r="H96" t="n">
        <v>13</v>
      </c>
      <c r="I96" t="n">
        <v>1</v>
      </c>
      <c r="J96" t="n">
        <v>13.125</v>
      </c>
      <c r="K96" t="n">
        <v>13.125</v>
      </c>
      <c r="L96" t="n">
        <v>0</v>
      </c>
      <c r="M96" t="n">
        <v>13</v>
      </c>
      <c r="N96" t="n">
        <v>1</v>
      </c>
      <c r="S96" t="n">
        <v>2</v>
      </c>
      <c r="T96" t="n">
        <v>8</v>
      </c>
    </row>
    <row r="97">
      <c r="A97" t="inlineStr">
        <is>
          <t>Sale of corn</t>
        </is>
      </c>
      <c r="B97" t="inlineStr">
        <is>
          <t>£4 13 shilling from 23 quarters 2 bushels of barley sold, at 4 shilling a quarters.</t>
        </is>
      </c>
      <c r="C97" t="n">
        <v>4.65</v>
      </c>
      <c r="D97" t="n">
        <v>4</v>
      </c>
      <c r="E97" t="n">
        <v>13</v>
      </c>
      <c r="F97" t="n">
        <v>0</v>
      </c>
      <c r="G97" t="inlineStr">
        <is>
          <t>barley</t>
        </is>
      </c>
      <c r="H97" t="n">
        <v>23</v>
      </c>
      <c r="I97" t="n">
        <v>2</v>
      </c>
      <c r="J97" t="n">
        <v>23.25</v>
      </c>
      <c r="K97" t="n">
        <v>23.25</v>
      </c>
      <c r="L97" t="n">
        <v>0</v>
      </c>
      <c r="M97" t="n">
        <v>23</v>
      </c>
      <c r="N97" t="n">
        <v>2</v>
      </c>
      <c r="S97" t="n">
        <v>4</v>
      </c>
      <c r="T97" t="n">
        <v>0</v>
      </c>
    </row>
    <row r="98">
      <c r="A98" t="inlineStr">
        <is>
          <t>Sale of corn</t>
        </is>
      </c>
      <c r="B98" t="inlineStr">
        <is>
          <t>£3 5 shilling 9.5pence from 31.5 quarters of oats sold, at 2 shilling a quarters for 14 quarters 6 bushels, and 2 shilling 2pence a quarters for 16 quarters 6 bushels.</t>
        </is>
      </c>
      <c r="C98" t="n">
        <v>3.29</v>
      </c>
      <c r="D98" t="n">
        <v>3</v>
      </c>
      <c r="E98" t="n">
        <v>5</v>
      </c>
      <c r="F98" t="n">
        <v>9.5</v>
      </c>
      <c r="G98" t="inlineStr">
        <is>
          <t>oats</t>
        </is>
      </c>
      <c r="H98" t="n">
        <v>30</v>
      </c>
      <c r="I98" t="n">
        <v>12</v>
      </c>
      <c r="J98" t="n">
        <v>31.5</v>
      </c>
      <c r="K98" t="n">
        <v>31.5</v>
      </c>
      <c r="L98" t="n">
        <v>0</v>
      </c>
      <c r="M98" t="n">
        <v>31.5</v>
      </c>
      <c r="N98" t="n">
        <v>0</v>
      </c>
      <c r="O98" t="n">
        <v>14</v>
      </c>
      <c r="P98" t="n">
        <v>6</v>
      </c>
      <c r="Q98" t="n">
        <v>16</v>
      </c>
      <c r="R98" t="n">
        <v>6</v>
      </c>
      <c r="S98" t="n">
        <v>2</v>
      </c>
      <c r="T98" t="n">
        <v>0</v>
      </c>
      <c r="U98" t="n">
        <v>2</v>
      </c>
      <c r="V98" t="n">
        <v>2</v>
      </c>
    </row>
    <row r="99">
      <c r="A99" t="inlineStr">
        <is>
          <t>Sale of corn</t>
        </is>
      </c>
      <c r="B99" t="inlineStr">
        <is>
          <t>12 shilling 6pence from 5 quarters of peas sold, at 2 shilling 6pence a quarters.</t>
        </is>
      </c>
      <c r="C99" t="n">
        <v>0.62</v>
      </c>
      <c r="D99" t="n">
        <v>0</v>
      </c>
      <c r="E99" t="n">
        <v>12</v>
      </c>
      <c r="F99" t="n">
        <v>6</v>
      </c>
      <c r="G99" t="inlineStr">
        <is>
          <t>peas</t>
        </is>
      </c>
      <c r="H99" t="n">
        <v>5</v>
      </c>
      <c r="I99" t="n">
        <v>0</v>
      </c>
      <c r="J99" t="n">
        <v>5</v>
      </c>
      <c r="K99" t="n">
        <v>5</v>
      </c>
      <c r="L99" t="n">
        <v>0</v>
      </c>
      <c r="M99" t="n">
        <v>5</v>
      </c>
      <c r="N99" t="n">
        <v>0</v>
      </c>
      <c r="S99" t="n">
        <v>2</v>
      </c>
      <c r="T99" t="n">
        <v>6</v>
      </c>
    </row>
    <row r="100">
      <c r="A100" t="inlineStr">
        <is>
          <t>Sale of corn</t>
        </is>
      </c>
      <c r="B100" t="inlineStr">
        <is>
          <t>16 shilling 6pence from 8 quarters of vetches sold, at 2 shilling a quarters.</t>
        </is>
      </c>
      <c r="C100" t="n">
        <v>0.83</v>
      </c>
      <c r="D100" t="n">
        <v>0</v>
      </c>
      <c r="E100" t="n">
        <v>16</v>
      </c>
      <c r="F100" t="n">
        <v>6</v>
      </c>
      <c r="G100" t="inlineStr">
        <is>
          <t>vetches</t>
        </is>
      </c>
      <c r="H100" t="n">
        <v>8</v>
      </c>
      <c r="I100" t="n">
        <v>0</v>
      </c>
      <c r="J100" t="n">
        <v>8</v>
      </c>
      <c r="K100" t="n">
        <v>8</v>
      </c>
      <c r="L100" t="n">
        <v>0</v>
      </c>
      <c r="M100" t="n">
        <v>8</v>
      </c>
      <c r="N100" t="n">
        <v>0</v>
      </c>
      <c r="S100" t="n">
        <v>2</v>
      </c>
      <c r="T100" t="n">
        <v>0</v>
      </c>
    </row>
    <row r="101">
      <c r="A101" t="inlineStr">
        <is>
          <t>Sale of corn</t>
        </is>
      </c>
      <c r="B101" t="inlineStr">
        <is>
          <t>3 shilling 4.5pence from 4.5 bushels of wheat sold at the audit.</t>
        </is>
      </c>
      <c r="C101" t="n">
        <v>0.17</v>
      </c>
      <c r="D101" t="n">
        <v>0</v>
      </c>
      <c r="E101" t="n">
        <v>3</v>
      </c>
      <c r="F101" t="n">
        <v>4.5</v>
      </c>
      <c r="G101" t="inlineStr">
        <is>
          <t>wheat</t>
        </is>
      </c>
      <c r="H101" t="n">
        <v>0</v>
      </c>
      <c r="I101" t="n">
        <v>4.5</v>
      </c>
      <c r="J101" t="n">
        <v>0.5625</v>
      </c>
      <c r="K101" t="n">
        <v>0.5625</v>
      </c>
      <c r="L101" t="n">
        <v>0</v>
      </c>
      <c r="M101" t="n">
        <v>0</v>
      </c>
      <c r="N101" t="n">
        <v>4.5</v>
      </c>
    </row>
    <row r="102">
      <c r="A102" t="inlineStr">
        <is>
          <t>Sale of corn</t>
        </is>
      </c>
      <c r="B102" t="inlineStr">
        <is>
          <t>2 shilling 9pence from 5.5 bushels of barley sold at the audit.</t>
        </is>
      </c>
      <c r="C102" t="n">
        <v>0.14</v>
      </c>
      <c r="D102" t="n">
        <v>0</v>
      </c>
      <c r="E102" t="n">
        <v>2</v>
      </c>
      <c r="F102" t="n">
        <v>9</v>
      </c>
      <c r="G102" t="inlineStr">
        <is>
          <t>barley</t>
        </is>
      </c>
      <c r="H102" t="n">
        <v>0</v>
      </c>
      <c r="I102" t="n">
        <v>5.5</v>
      </c>
      <c r="J102" t="n">
        <v>0.6875</v>
      </c>
      <c r="K102" t="n">
        <v>0.6875</v>
      </c>
      <c r="L102" t="n">
        <v>0</v>
      </c>
      <c r="M102" t="n">
        <v>0</v>
      </c>
      <c r="N102" t="n">
        <v>5.5</v>
      </c>
    </row>
    <row r="103">
      <c r="A103" t="inlineStr">
        <is>
          <t>Sale of corn</t>
        </is>
      </c>
      <c r="B103" t="inlineStr">
        <is>
          <t>Total, £24 3 shilling 2pence</t>
        </is>
      </c>
      <c r="C103" t="n">
        <v>24.16</v>
      </c>
      <c r="D103" t="n">
        <v>24</v>
      </c>
      <c r="E103" t="n">
        <v>3</v>
      </c>
      <c r="F103" t="n">
        <v>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Entry and marriage fines with tithingpenny</t>
        </is>
      </c>
      <c r="B104" t="inlineStr">
        <is>
          <t>The same render account for 5 shilling from the tithing of Chidden for tithingpenny at the hundred-court of Martinmas (11 November).</t>
        </is>
      </c>
      <c r="C104" t="n">
        <v>0.25</v>
      </c>
      <c r="D104" t="n">
        <v>0</v>
      </c>
      <c r="E104" t="n">
        <v>5</v>
      </c>
      <c r="F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Entry and marriage fines with tithingpenny</t>
        </is>
      </c>
      <c r="B105" t="inlineStr">
        <is>
          <t>5 shilling from the tithing of Denmead for the same.</t>
        </is>
      </c>
      <c r="C105" t="n">
        <v>0.25</v>
      </c>
      <c r="D105" t="n">
        <v>0</v>
      </c>
      <c r="E105" t="n">
        <v>5</v>
      </c>
      <c r="F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Entry and marriage fines with tithingpenny</t>
        </is>
      </c>
      <c r="B106" t="inlineStr">
        <is>
          <t>5 shilling from the tithing of la Lygh' for the same.</t>
        </is>
      </c>
      <c r="C106" t="n">
        <v>0.25</v>
      </c>
      <c r="D106" t="n">
        <v>0</v>
      </c>
      <c r="E106" t="n">
        <v>5</v>
      </c>
      <c r="F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Entry and marriage fines with tithingpenny</t>
        </is>
      </c>
      <c r="B107" t="inlineStr">
        <is>
          <t>5 shilling from the tithing of Gludden for the same.</t>
        </is>
      </c>
      <c r="C107" t="n">
        <v>0.25</v>
      </c>
      <c r="D107" t="n">
        <v>0</v>
      </c>
      <c r="E107" t="n">
        <v>5</v>
      </c>
      <c r="F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Entry and marriage fines with tithingpenny</t>
        </is>
      </c>
      <c r="B108" t="inlineStr">
        <is>
          <t>£1 from the same tithings at the hundred-court of Hockday (1 May).</t>
        </is>
      </c>
      <c r="C108" t="n">
        <v>1</v>
      </c>
      <c r="D108" t="n">
        <v>1</v>
      </c>
      <c r="E108" t="n">
        <v>0</v>
      </c>
      <c r="F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Entry and marriage fines with tithingpenny</t>
        </is>
      </c>
      <c r="B109" t="inlineStr">
        <is>
          <t>5 shilling from the relict of Thomas le Cog' to retain 1 cotland which belonged to her husband.</t>
        </is>
      </c>
      <c r="C109" t="n">
        <v>0.25</v>
      </c>
      <c r="D109" t="n">
        <v>0</v>
      </c>
      <c r="E109" t="n">
        <v>5</v>
      </c>
      <c r="F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Entry and marriage fines with tithingpenny</t>
        </is>
      </c>
      <c r="B110" t="inlineStr">
        <is>
          <t>10 shilling from Adam Coker to have .5 virgate of land which belonged to Stephen his father.</t>
        </is>
      </c>
      <c r="C110" t="n">
        <v>0.5</v>
      </c>
      <c r="D110" t="n">
        <v>0</v>
      </c>
      <c r="E110" t="n">
        <v>10</v>
      </c>
      <c r="F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Entry and marriage fines with tithingpenny</t>
        </is>
      </c>
      <c r="B111" t="inlineStr">
        <is>
          <t>2 shilling from William Bouelych' to have 2 acres of land by surrender of Adam Bythewod'.</t>
        </is>
      </c>
      <c r="C111" t="n">
        <v>0.1</v>
      </c>
      <c r="D111" t="n">
        <v>0</v>
      </c>
      <c r="E111" t="n">
        <v>2</v>
      </c>
      <c r="F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Entry and marriage fines with tithingpenny</t>
        </is>
      </c>
      <c r="B112" t="inlineStr">
        <is>
          <t>1 shilling from John Pleyfot to have 1 plot of land in the vill of Hambledon by surrender of Walter le Grevere.</t>
        </is>
      </c>
      <c r="C112" t="n">
        <v>0.05</v>
      </c>
      <c r="D112" t="n">
        <v>0</v>
      </c>
      <c r="E112" t="n">
        <v>1</v>
      </c>
      <c r="F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Entry and marriage fines with tithingpenny</t>
        </is>
      </c>
      <c r="B113" t="inlineStr">
        <is>
          <t>1 shilling from Robert Faber to have 1 plot of land, 12 feet long and 5 feet wide, in the same vill.</t>
        </is>
      </c>
      <c r="C113" t="n">
        <v>0.05</v>
      </c>
      <c r="D113" t="n">
        <v>0</v>
      </c>
      <c r="E113" t="n">
        <v>1</v>
      </c>
      <c r="F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Entry and marriage fines with tithingpenny</t>
        </is>
      </c>
      <c r="B114" t="inlineStr">
        <is>
          <t>4 shilling from Robert le Bole to have 8 acres of land by surrender of William atte Oke.</t>
        </is>
      </c>
      <c r="C114" t="n">
        <v>0.2</v>
      </c>
      <c r="D114" t="n">
        <v>0</v>
      </c>
      <c r="E114" t="n">
        <v>4</v>
      </c>
      <c r="F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Entry and marriage fines with tithingpenny</t>
        </is>
      </c>
      <c r="B115" t="inlineStr">
        <is>
          <t>1 shilling from Walter Rykeby for 1 plot of land, 12 feet long and 10 feet wide, for building in the market.</t>
        </is>
      </c>
      <c r="C115" t="n">
        <v>0.05</v>
      </c>
      <c r="D115" t="n">
        <v>0</v>
      </c>
      <c r="E115" t="n">
        <v>1</v>
      </c>
      <c r="F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Entry and marriage fines with tithingpenny</t>
        </is>
      </c>
      <c r="B116" t="inlineStr">
        <is>
          <t>10 shilling from Peter ate Putte to have Juliana le Burgeys with her lanpence Total, £3 14 shilling</t>
        </is>
      </c>
      <c r="C116" t="n">
        <v>3.7</v>
      </c>
      <c r="D116" t="n">
        <v>3</v>
      </c>
      <c r="E116" t="n">
        <v>14</v>
      </c>
      <c r="F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Perquisites</t>
        </is>
      </c>
      <c r="B117" t="inlineStr">
        <is>
          <t>The same render account for 2 shilling from Thomas ate Brok' for trespass of wood.</t>
        </is>
      </c>
      <c r="C117" t="n">
        <v>0.1</v>
      </c>
      <c r="D117" t="n">
        <v>0</v>
      </c>
      <c r="E117" t="n">
        <v>2</v>
      </c>
      <c r="F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Perquisites</t>
        </is>
      </c>
      <c r="B118" t="inlineStr">
        <is>
          <t>2 shilling from Adam Grandel for keeping the park badly.</t>
        </is>
      </c>
      <c r="C118" t="n">
        <v>0.1</v>
      </c>
      <c r="D118" t="n">
        <v>0</v>
      </c>
      <c r="E118" t="n">
        <v>2</v>
      </c>
      <c r="F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Perquisites</t>
        </is>
      </c>
      <c r="B119" t="inlineStr">
        <is>
          <t>6 shilling1 8pence from William Jolif for keeping the corn badly.</t>
        </is>
      </c>
      <c r="C119" t="n">
        <v>0.33</v>
      </c>
      <c r="D119" t="n">
        <v>0</v>
      </c>
      <c r="E119" t="n">
        <v>6</v>
      </c>
      <c r="F119" t="n">
        <v>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Perquisites</t>
        </is>
      </c>
      <c r="B120" t="inlineStr">
        <is>
          <t>£3 5 shilling 9pence from other small perquisites.</t>
        </is>
      </c>
      <c r="C120" t="n">
        <v>3.29</v>
      </c>
      <c r="D120" t="n">
        <v>3</v>
      </c>
      <c r="E120" t="n">
        <v>5</v>
      </c>
      <c r="F120" t="n">
        <v>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Perquisites</t>
        </is>
      </c>
      <c r="B121" t="inlineStr">
        <is>
          <t>Total, £3 16 shilling 5pence Total of both, £7 10 shilling 5pence</t>
        </is>
      </c>
      <c r="C121" t="n">
        <v>3.82</v>
      </c>
      <c r="D121" t="n">
        <v>3</v>
      </c>
      <c r="E121" t="n">
        <v>16</v>
      </c>
      <c r="F121" t="n">
        <v>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Stallage</t>
        </is>
      </c>
      <c r="B122" t="inlineStr">
        <is>
          <t>The same render account for 6pence from Joan le Specer and Adam Blachat for holding 1 stall for the year.</t>
        </is>
      </c>
      <c r="C122" t="n">
        <v>0.03</v>
      </c>
      <c r="D122" t="n">
        <v>0</v>
      </c>
      <c r="E122" t="n">
        <v>0</v>
      </c>
      <c r="F122" t="n">
        <v>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Stallage</t>
        </is>
      </c>
      <c r="B123" t="inlineStr">
        <is>
          <t>6 shilling2 from Walter Rykeby for holding the other stall.</t>
        </is>
      </c>
      <c r="C123" t="n">
        <v>0.3</v>
      </c>
      <c r="D123" t="n">
        <v>0</v>
      </c>
      <c r="E123" t="n">
        <v>6</v>
      </c>
      <c r="F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Stallage</t>
        </is>
      </c>
      <c r="B124" t="inlineStr">
        <is>
          <t>2 shilling 2pence from other small stal1 shilling Total, 3 shilling 2pence</t>
        </is>
      </c>
      <c r="C124" t="n">
        <v>0.11</v>
      </c>
      <c r="D124" t="n">
        <v>0</v>
      </c>
      <c r="E124" t="n">
        <v>2</v>
      </c>
      <c r="F124" t="n">
        <v>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Total of all receipts</t>
        </is>
      </c>
      <c r="B125" t="inlineStr">
        <is>
          <t>Total of all receipts, £107 6.25pence</t>
        </is>
      </c>
      <c r="C125" t="n">
        <v>107.03</v>
      </c>
      <c r="D125" t="n">
        <v>107</v>
      </c>
      <c r="E125" t="n">
        <v>0</v>
      </c>
      <c r="F125" t="n">
        <v>6.25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 xml:space="preserve">Cost of ploughs </t>
        </is>
      </c>
      <c r="B126" t="inlineStr">
        <is>
          <t>(henceforth the ploughs of the customary tenants should not be taken if a profit is able to be made).</t>
        </is>
      </c>
      <c r="C126" t="n">
        <v>0</v>
      </c>
      <c r="D126" t="n">
        <v>0</v>
      </c>
      <c r="E126" t="n">
        <v>0</v>
      </c>
      <c r="F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 xml:space="preserve">Cost of ploughs </t>
        </is>
      </c>
      <c r="B127" t="inlineStr">
        <is>
          <t>.</t>
        </is>
      </c>
      <c r="C127" t="n">
        <v>0</v>
      </c>
      <c r="D127" t="n">
        <v>0</v>
      </c>
      <c r="E127" t="n">
        <v>0</v>
      </c>
      <c r="F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 xml:space="preserve">Cost of ploughs </t>
        </is>
      </c>
      <c r="B128" t="inlineStr">
        <is>
          <t>iron and steel bought for 3 ploughs for the year 11 shilling.</t>
        </is>
      </c>
      <c r="C128" t="n">
        <v>0.55</v>
      </c>
      <c r="D128" t="n">
        <v>0</v>
      </c>
      <c r="E128" t="n">
        <v>11</v>
      </c>
      <c r="F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 xml:space="preserve">Cost of ploughs </t>
        </is>
      </c>
      <c r="B129" t="inlineStr">
        <is>
          <t>3 plough feet bought 1 shilling 3pence.</t>
        </is>
      </c>
      <c r="C129" t="n">
        <v>0.06</v>
      </c>
      <c r="D129" t="n">
        <v>0</v>
      </c>
      <c r="E129" t="n">
        <v>1</v>
      </c>
      <c r="F129" t="n">
        <v>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 xml:space="preserve">Cost of ploughs </t>
        </is>
      </c>
      <c r="B130" t="inlineStr">
        <is>
          <t>2 ploughshares bought 1 shilling 6pence.</t>
        </is>
      </c>
      <c r="C130" t="n">
        <v>0.08</v>
      </c>
      <c r="D130" t="n">
        <v>0</v>
      </c>
      <c r="E130" t="n">
        <v>1</v>
      </c>
      <c r="F130" t="n">
        <v>6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 xml:space="preserve">Cost of ploughs </t>
        </is>
      </c>
      <c r="B131" t="inlineStr">
        <is>
          <t>5 ploughs made anew and others mended at various times, with timber felled and trimmed for the same, 2 shilling 3pence.</t>
        </is>
      </c>
      <c r="C131" t="n">
        <v>0.11</v>
      </c>
      <c r="D131" t="n">
        <v>0</v>
      </c>
      <c r="E131" t="n">
        <v>2</v>
      </c>
      <c r="F131" t="n">
        <v>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 xml:space="preserve">Cost of ploughs </t>
        </is>
      </c>
      <c r="B132" t="inlineStr">
        <is>
          <t>2 pairs of wheels bought 6pence.</t>
        </is>
      </c>
      <c r="C132" t="n">
        <v>0.03</v>
      </c>
      <c r="D132" t="n">
        <v>0</v>
      </c>
      <c r="E132" t="n">
        <v>0</v>
      </c>
      <c r="F132" t="n">
        <v>6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 xml:space="preserve">Cost of ploughs </t>
        </is>
      </c>
      <c r="B133" t="inlineStr">
        <is>
          <t>3 harrows made anew 6pence.</t>
        </is>
      </c>
      <c r="C133" t="n">
        <v>0.03</v>
      </c>
      <c r="D133" t="n">
        <v>0</v>
      </c>
      <c r="E133" t="n">
        <v>0</v>
      </c>
      <c r="F133" t="n">
        <v>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 xml:space="preserve">Cost of ploughs </t>
        </is>
      </c>
      <c r="B134" t="inlineStr">
        <is>
          <t>fitting ploughs with iron tyres 1.5pence.</t>
        </is>
      </c>
      <c r="C134" t="n">
        <v>0.01</v>
      </c>
      <c r="D134" t="n">
        <v>0</v>
      </c>
      <c r="E134" t="n">
        <v>0</v>
      </c>
      <c r="F134" t="n">
        <v>1.5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 xml:space="preserve">Cost of ploughs </t>
        </is>
      </c>
      <c r="B135" t="inlineStr">
        <is>
          <t>shoeing 6 plough-horses hauling ploughs at the time of both sowings and hauling dung when it was necessary until Lammas, because thereafter they were at the church, 5 shilling 6pence.</t>
        </is>
      </c>
      <c r="C135" t="n">
        <v>0.28</v>
      </c>
      <c r="D135" t="n">
        <v>0</v>
      </c>
      <c r="E135" t="n">
        <v>5</v>
      </c>
      <c r="F135" t="n">
        <v>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 xml:space="preserve">Cost of ploughs </t>
        </is>
      </c>
      <c r="B136" t="inlineStr">
        <is>
          <t>32 ploughmen in winter and 32 in Lent, £1 according to custom, of whom each ploughman ploughed and harrowed 1 acre in winter and 1 acre in Lent.</t>
        </is>
      </c>
      <c r="C136" t="n">
        <v>1</v>
      </c>
      <c r="D136" t="n">
        <v>1</v>
      </c>
      <c r="E136" t="n">
        <v>0</v>
      </c>
      <c r="F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 xml:space="preserve">Cost of ploughs </t>
        </is>
      </c>
      <c r="B137" t="inlineStr">
        <is>
          <t>.</t>
        </is>
      </c>
      <c r="C137" t="n">
        <v>0</v>
      </c>
      <c r="D137" t="n">
        <v>0</v>
      </c>
      <c r="E137" t="n">
        <v>0</v>
      </c>
      <c r="F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 xml:space="preserve">Cost of ploughs </t>
        </is>
      </c>
      <c r="B138" t="inlineStr">
        <is>
          <t>stipend of 3 ploughmen from Michaelmas until Lammas, because thereafter they were at the church, 6 shilling 9pence.</t>
        </is>
      </c>
      <c r="C138" t="n">
        <v>0.34</v>
      </c>
      <c r="D138" t="n">
        <v>0</v>
      </c>
      <c r="E138" t="n">
        <v>6</v>
      </c>
      <c r="F138" t="n">
        <v>9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 xml:space="preserve">Cost of ploughs </t>
        </is>
      </c>
      <c r="B139" t="inlineStr">
        <is>
          <t>1 plough-horse bought 12 shilling 3pence Total, £3 1 shilling 7.5pence</t>
        </is>
      </c>
      <c r="C139" t="n">
        <v>3.08</v>
      </c>
      <c r="D139" t="n">
        <v>3</v>
      </c>
      <c r="E139" t="n">
        <v>1</v>
      </c>
      <c r="F139" t="n">
        <v>7.5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Purchase of corn</t>
        </is>
      </c>
      <c r="B140" t="inlineStr">
        <is>
          <t>In 6.5 quarters of barley bought for the liveries of the manorial servants 17 shilling 4pence, at 2 shilling 8pence a quarters.</t>
        </is>
      </c>
      <c r="C140" t="n">
        <v>0.87</v>
      </c>
      <c r="D140" t="n">
        <v>0</v>
      </c>
      <c r="E140" t="n">
        <v>17</v>
      </c>
      <c r="F140" t="n">
        <v>4</v>
      </c>
      <c r="G140" t="inlineStr">
        <is>
          <t>barley</t>
        </is>
      </c>
      <c r="H140" t="n">
        <v>6.5</v>
      </c>
      <c r="I140" t="n">
        <v>0</v>
      </c>
      <c r="J140" t="n">
        <v>6.5</v>
      </c>
      <c r="K140" t="n">
        <v>6.5</v>
      </c>
      <c r="L140" t="n">
        <v>0</v>
      </c>
      <c r="M140" t="n">
        <v>6.5</v>
      </c>
      <c r="N140" t="n">
        <v>0</v>
      </c>
      <c r="S140" t="n">
        <v>2</v>
      </c>
      <c r="T140" t="n">
        <v>8</v>
      </c>
    </row>
    <row r="141">
      <c r="A141" t="inlineStr">
        <is>
          <t>Purchase of corn</t>
        </is>
      </c>
      <c r="B141" t="inlineStr">
        <is>
          <t>Total, 17 shilling 4pence</t>
        </is>
      </c>
      <c r="C141" t="n">
        <v>0.87</v>
      </c>
      <c r="D141" t="n">
        <v>0</v>
      </c>
      <c r="E141" t="n">
        <v>17</v>
      </c>
      <c r="F141" t="n">
        <v>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Cost of carts</t>
        </is>
      </c>
      <c r="B142" t="inlineStr">
        <is>
          <t>in 1 pair of wheels made anew from the lord's timber 9pence.</t>
        </is>
      </c>
      <c r="C142" t="n">
        <v>0.04</v>
      </c>
      <c r="D142" t="n">
        <v>0</v>
      </c>
      <c r="E142" t="n">
        <v>0</v>
      </c>
      <c r="F142" t="n">
        <v>9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Cost of carts</t>
        </is>
      </c>
      <c r="B143" t="inlineStr">
        <is>
          <t>mending 1 old binding and putting it on the said wheels with the stipend of the smith 2 shilling 6pence.</t>
        </is>
      </c>
      <c r="C143" t="n">
        <v>0.12</v>
      </c>
      <c r="D143" t="n">
        <v>0</v>
      </c>
      <c r="E143" t="n">
        <v>2</v>
      </c>
      <c r="F143" t="n">
        <v>6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Cost of carts</t>
        </is>
      </c>
      <c r="B144" t="inlineStr">
        <is>
          <t>clouts, nails and grease bought 1 shilling 9pence.</t>
        </is>
      </c>
      <c r="C144" t="n">
        <v>0.09</v>
      </c>
      <c r="D144" t="n">
        <v>0</v>
      </c>
      <c r="E144" t="n">
        <v>1</v>
      </c>
      <c r="F144" t="n">
        <v>9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Cost of carts</t>
        </is>
      </c>
      <c r="B145" t="inlineStr">
        <is>
          <t>mending the axles of the cart at various times 8pence, on account of the manor of Kilmeston.</t>
        </is>
      </c>
      <c r="C145" t="n">
        <v>0.03</v>
      </c>
      <c r="D145" t="n">
        <v>0</v>
      </c>
      <c r="E145" t="n">
        <v>0</v>
      </c>
      <c r="F145" t="n">
        <v>8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Cost of carts</t>
        </is>
      </c>
      <c r="B146" t="inlineStr">
        <is>
          <t>.</t>
        </is>
      </c>
      <c r="C146" t="n">
        <v>0</v>
      </c>
      <c r="D146" t="n">
        <v>0</v>
      </c>
      <c r="E146" t="n">
        <v>0</v>
      </c>
      <c r="F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Cost of carts</t>
        </is>
      </c>
      <c r="B147" t="inlineStr">
        <is>
          <t>shoeing 2 cart-horses 3 shilling 6pence.</t>
        </is>
      </c>
      <c r="C147" t="n">
        <v>0.17</v>
      </c>
      <c r="D147" t="n">
        <v>0</v>
      </c>
      <c r="E147" t="n">
        <v>3</v>
      </c>
      <c r="F147" t="n">
        <v>6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Cost of carts</t>
        </is>
      </c>
      <c r="B148" t="inlineStr">
        <is>
          <t>2 collars bought 10pence.</t>
        </is>
      </c>
      <c r="C148" t="n">
        <v>0.04</v>
      </c>
      <c r="D148" t="n">
        <v>0</v>
      </c>
      <c r="E148" t="n">
        <v>0</v>
      </c>
      <c r="F148" t="n">
        <v>10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Cost of carts</t>
        </is>
      </c>
      <c r="B149" t="inlineStr">
        <is>
          <t>2 pairs of traces bought 9pence.</t>
        </is>
      </c>
      <c r="C149" t="n">
        <v>0.04</v>
      </c>
      <c r="D149" t="n">
        <v>0</v>
      </c>
      <c r="E149" t="n">
        <v>0</v>
      </c>
      <c r="F149" t="n">
        <v>9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Cost of carts</t>
        </is>
      </c>
      <c r="B150" t="inlineStr">
        <is>
          <t>1 rope bought for the cart 1 shilling 2pence.</t>
        </is>
      </c>
      <c r="C150" t="n">
        <v>0.06</v>
      </c>
      <c r="D150" t="n">
        <v>0</v>
      </c>
      <c r="E150" t="n">
        <v>1</v>
      </c>
      <c r="F150" t="n">
        <v>2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Cost of carts</t>
        </is>
      </c>
      <c r="B151" t="inlineStr">
        <is>
          <t>2 halters bought 1.5pence.</t>
        </is>
      </c>
      <c r="C151" t="n">
        <v>0.01</v>
      </c>
      <c r="D151" t="n">
        <v>0</v>
      </c>
      <c r="E151" t="n">
        <v>0</v>
      </c>
      <c r="F151" t="n">
        <v>1.5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Cost of carts</t>
        </is>
      </c>
      <c r="B152" t="inlineStr">
        <is>
          <t>stipend of 1 carter from Michaelmas until Lammas, because thereafter he was at the church, 2 shilling 3pence Total, 14 shilling 3.5pence</t>
        </is>
      </c>
      <c r="C152" t="n">
        <v>0.11</v>
      </c>
      <c r="D152" t="n">
        <v>0</v>
      </c>
      <c r="E152" t="n">
        <v>2</v>
      </c>
      <c r="F152" t="n">
        <v>3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Repair of buildings</t>
        </is>
      </c>
      <c r="B153" t="inlineStr">
        <is>
          <t>In 2,000 slates bought 3 shilling 4pence.</t>
        </is>
      </c>
      <c r="C153" t="n">
        <v>0.17</v>
      </c>
      <c r="D153" t="n">
        <v>0</v>
      </c>
      <c r="E153" t="n">
        <v>3</v>
      </c>
      <c r="F153" t="n">
        <v>4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Repair of buildings</t>
        </is>
      </c>
      <c r="B154" t="inlineStr">
        <is>
          <t>re-roofing the hall, lord's chamber, clerks' chamber and kitchen, which had been unroofed several times by the wind, 10 shilling 6pence.</t>
        </is>
      </c>
      <c r="C154" t="n">
        <v>0.53</v>
      </c>
      <c r="D154" t="n">
        <v>0</v>
      </c>
      <c r="E154" t="n">
        <v>10</v>
      </c>
      <c r="F154" t="n">
        <v>6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Repair of buildings</t>
        </is>
      </c>
      <c r="B155" t="inlineStr">
        <is>
          <t>nails and pegs bought for the same 8pence.</t>
        </is>
      </c>
      <c r="C155" t="n">
        <v>0.03</v>
      </c>
      <c r="D155" t="n">
        <v>0</v>
      </c>
      <c r="E155" t="n">
        <v>0</v>
      </c>
      <c r="F155" t="n">
        <v>8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Repair of buildings</t>
        </is>
      </c>
      <c r="B156" t="inlineStr">
        <is>
          <t>re-roofing the barn and other buildings in places 4 shilling 4pence.</t>
        </is>
      </c>
      <c r="C156" t="n">
        <v>0.22</v>
      </c>
      <c r="D156" t="n">
        <v>0</v>
      </c>
      <c r="E156" t="n">
        <v>4</v>
      </c>
      <c r="F156" t="n">
        <v>4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Repair of buildings</t>
        </is>
      </c>
      <c r="B157" t="inlineStr">
        <is>
          <t>laying 100 shingles in places on the barn with nails bought for the same 5pence.</t>
        </is>
      </c>
      <c r="C157" t="n">
        <v>0.02</v>
      </c>
      <c r="D157" t="n">
        <v>0</v>
      </c>
      <c r="E157" t="n">
        <v>0</v>
      </c>
      <c r="F157" t="n">
        <v>5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Repair of buildings</t>
        </is>
      </c>
      <c r="B158" t="inlineStr">
        <is>
          <t>building anew 1 palisade between the hall and kitchen 2 shilling 8pence.</t>
        </is>
      </c>
      <c r="C158" t="n">
        <v>0.13</v>
      </c>
      <c r="D158" t="n">
        <v>0</v>
      </c>
      <c r="E158" t="n">
        <v>2</v>
      </c>
      <c r="F158" t="n">
        <v>8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Repair of buildings</t>
        </is>
      </c>
      <c r="B159" t="inlineStr">
        <is>
          <t>building 1 palisade between the hall and dairy and 1 new garden-gate 2 shilling 2pence.</t>
        </is>
      </c>
      <c r="C159" t="n">
        <v>0.11</v>
      </c>
      <c r="D159" t="n">
        <v>0</v>
      </c>
      <c r="E159" t="n">
        <v>2</v>
      </c>
      <c r="F159" t="n">
        <v>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Repair of buildings</t>
        </is>
      </c>
      <c r="B160" t="inlineStr">
        <is>
          <t>felling and sawing timber for the same 9pence.</t>
        </is>
      </c>
      <c r="C160" t="n">
        <v>0.04</v>
      </c>
      <c r="D160" t="n">
        <v>0</v>
      </c>
      <c r="E160" t="n">
        <v>0</v>
      </c>
      <c r="F160" t="n">
        <v>9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Repair of buildings</t>
        </is>
      </c>
      <c r="B161" t="inlineStr">
        <is>
          <t>mending the byre in part and making anew a fodder-rack for the byre 3 shilling 6pence.</t>
        </is>
      </c>
      <c r="C161" t="n">
        <v>0.17</v>
      </c>
      <c r="D161" t="n">
        <v>0</v>
      </c>
      <c r="E161" t="n">
        <v>3</v>
      </c>
      <c r="F161" t="n">
        <v>6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Repair of buildings</t>
        </is>
      </c>
      <c r="B162" t="inlineStr">
        <is>
          <t>mending the fodder-rack and manger in the stable 6pence.</t>
        </is>
      </c>
      <c r="C162" t="n">
        <v>0.03</v>
      </c>
      <c r="D162" t="n">
        <v>0</v>
      </c>
      <c r="E162" t="n">
        <v>0</v>
      </c>
      <c r="F162" t="n">
        <v>6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Repair of buildings</t>
        </is>
      </c>
      <c r="B163" t="inlineStr">
        <is>
          <t>making 1 window in the kitchen with hooks and hinges for the same 5pence.</t>
        </is>
      </c>
      <c r="C163" t="n">
        <v>0.02</v>
      </c>
      <c r="D163" t="n">
        <v>0</v>
      </c>
      <c r="E163" t="n">
        <v>0</v>
      </c>
      <c r="F163" t="n">
        <v>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Repair of buildings</t>
        </is>
      </c>
      <c r="B164" t="inlineStr">
        <is>
          <t>plastering the walls of the bailiff's room and knights' chamber 10pence Total, £1 10 shilling 1pence</t>
        </is>
      </c>
      <c r="C164" t="n">
        <v>1.5</v>
      </c>
      <c r="D164" t="n">
        <v>1</v>
      </c>
      <c r="E164" t="n">
        <v>10</v>
      </c>
      <c r="F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Cost of the park</t>
        </is>
      </c>
      <c r="B165" t="inlineStr">
        <is>
          <t>In mending 2 gates in the park 2pence.</t>
        </is>
      </c>
      <c r="C165" t="n">
        <v>0.01</v>
      </c>
      <c r="D165" t="n">
        <v>0</v>
      </c>
      <c r="E165" t="n">
        <v>0</v>
      </c>
      <c r="F165" t="n">
        <v>2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Cost of the park</t>
        </is>
      </c>
      <c r="B166" t="inlineStr">
        <is>
          <t>making 2 furlongs 2 perches of ditch in the park for the pasture for the calves 10 shilling 3pence, at 1.5pence a perch.</t>
        </is>
      </c>
      <c r="C166" t="n">
        <v>0.51</v>
      </c>
      <c r="D166" t="n">
        <v>0</v>
      </c>
      <c r="E166" t="n">
        <v>10</v>
      </c>
      <c r="F166" t="n">
        <v>3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Cost of the park</t>
        </is>
      </c>
      <c r="B167" t="inlineStr">
        <is>
          <t>.</t>
        </is>
      </c>
      <c r="C167" t="n">
        <v>0</v>
      </c>
      <c r="D167" t="n">
        <v>0</v>
      </c>
      <c r="E167" t="n">
        <v>0</v>
      </c>
      <c r="F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Cost of the park</t>
        </is>
      </c>
      <c r="B168" t="inlineStr">
        <is>
          <t>completing the hedge along the said ditch 5 shilling 1.5pence, at .75pence a perch.</t>
        </is>
      </c>
      <c r="C168" t="n">
        <v>0.26</v>
      </c>
      <c r="D168" t="n">
        <v>0</v>
      </c>
      <c r="E168" t="n">
        <v>5</v>
      </c>
      <c r="F168" t="n">
        <v>1.5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Cost of the park</t>
        </is>
      </c>
      <c r="B169" t="inlineStr">
        <is>
          <t>.</t>
        </is>
      </c>
      <c r="C169" t="n">
        <v>0</v>
      </c>
      <c r="D169" t="n">
        <v>0</v>
      </c>
      <c r="E169" t="n">
        <v>0</v>
      </c>
      <c r="F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Cost of the park</t>
        </is>
      </c>
      <c r="B170" t="inlineStr">
        <is>
          <t>closing the gaps in the hedge along 8 furlongs 30 perches £1 1 shilling 10.5pence, at .75pence a perch.</t>
        </is>
      </c>
      <c r="C170" t="n">
        <v>1.09</v>
      </c>
      <c r="D170" t="n">
        <v>1</v>
      </c>
      <c r="E170" t="n">
        <v>1</v>
      </c>
      <c r="F170" t="n">
        <v>10.5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Cost of the park</t>
        </is>
      </c>
      <c r="B171" t="inlineStr">
        <is>
          <t>Total, £1 17 shilling 5pence</t>
        </is>
      </c>
      <c r="C171" t="n">
        <v>1.87</v>
      </c>
      <c r="D171" t="n">
        <v>1</v>
      </c>
      <c r="E171" t="n">
        <v>17</v>
      </c>
      <c r="F171" t="n">
        <v>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Dairy</t>
        </is>
      </c>
      <c r="B172" t="inlineStr">
        <is>
          <t>In 1 quarters of salt bought 2 shilling.</t>
        </is>
      </c>
      <c r="C172" t="n">
        <v>0.1</v>
      </c>
      <c r="D172" t="n">
        <v>0</v>
      </c>
      <c r="E172" t="n">
        <v>2</v>
      </c>
      <c r="F172" t="n">
        <v>0</v>
      </c>
      <c r="H172" t="n">
        <v>1</v>
      </c>
      <c r="I172" t="n">
        <v>0</v>
      </c>
      <c r="J172" t="n">
        <v>1</v>
      </c>
      <c r="K172" t="n">
        <v>1</v>
      </c>
      <c r="L172" t="n">
        <v>0</v>
      </c>
      <c r="M172" t="n">
        <v>1</v>
      </c>
      <c r="N172" t="n">
        <v>0</v>
      </c>
    </row>
    <row r="173">
      <c r="A173" t="inlineStr">
        <is>
          <t>Dairy</t>
        </is>
      </c>
      <c r="B173" t="inlineStr">
        <is>
          <t>woollen and linen cloth bought 4pence.</t>
        </is>
      </c>
      <c r="C173" t="n">
        <v>0.02</v>
      </c>
      <c r="D173" t="n">
        <v>0</v>
      </c>
      <c r="E173" t="n">
        <v>0</v>
      </c>
      <c r="F173" t="n">
        <v>4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Dairy</t>
        </is>
      </c>
      <c r="B174" t="inlineStr">
        <is>
          <t>a press bought 3pence.</t>
        </is>
      </c>
      <c r="C174" t="n">
        <v>0.01</v>
      </c>
      <c r="D174" t="n">
        <v>0</v>
      </c>
      <c r="E174" t="n">
        <v>0</v>
      </c>
      <c r="F174" t="n">
        <v>3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Dairy</t>
        </is>
      </c>
      <c r="B175" t="inlineStr">
        <is>
          <t>earthenware pots and pans bought 4.5pence.</t>
        </is>
      </c>
      <c r="C175" t="n">
        <v>0.02</v>
      </c>
      <c r="D175" t="n">
        <v>0</v>
      </c>
      <c r="E175" t="n">
        <v>0</v>
      </c>
      <c r="F175" t="n">
        <v>4.5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Dairy</t>
        </is>
      </c>
      <c r="B176" t="inlineStr">
        <is>
          <t>2 cheese moulds bought 6pence.</t>
        </is>
      </c>
      <c r="C176" t="n">
        <v>0.03</v>
      </c>
      <c r="D176" t="n">
        <v>0</v>
      </c>
      <c r="E176" t="n">
        <v>0</v>
      </c>
      <c r="F176" t="n">
        <v>6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Dairy</t>
        </is>
      </c>
      <c r="B177" t="inlineStr">
        <is>
          <t>mending the utensils of the dairy 4pence.</t>
        </is>
      </c>
      <c r="C177" t="n">
        <v>0.02</v>
      </c>
      <c r="D177" t="n">
        <v>0</v>
      </c>
      <c r="E177" t="n">
        <v>0</v>
      </c>
      <c r="F177" t="n">
        <v>4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Dairy</t>
        </is>
      </c>
      <c r="B178" t="inlineStr">
        <is>
          <t>15 ells of canvas bought 3 shilling 1.5pence.</t>
        </is>
      </c>
      <c r="C178" t="n">
        <v>0.16</v>
      </c>
      <c r="D178" t="n">
        <v>0</v>
      </c>
      <c r="E178" t="n">
        <v>3</v>
      </c>
      <c r="F178" t="n">
        <v>1.5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Dairy</t>
        </is>
      </c>
      <c r="B179" t="inlineStr">
        <is>
          <t>making sacks with thread for the same and packing the said wool 4pence.</t>
        </is>
      </c>
      <c r="C179" t="n">
        <v>0.02</v>
      </c>
      <c r="D179" t="n">
        <v>0</v>
      </c>
      <c r="E179" t="n">
        <v>0</v>
      </c>
      <c r="F179" t="n">
        <v>4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Dairy</t>
        </is>
      </c>
      <c r="B180" t="inlineStr">
        <is>
          <t>stipend of 1 dairymaid from the Purification (2 February) until Michaelmas (29 September) I s. 6pence.</t>
        </is>
      </c>
      <c r="C180" t="n">
        <v>0.03</v>
      </c>
      <c r="D180" t="n">
        <v>0</v>
      </c>
      <c r="E180" t="n">
        <v>0</v>
      </c>
      <c r="F180" t="n">
        <v>6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Dairy</t>
        </is>
      </c>
      <c r="B181" t="inlineStr">
        <is>
          <t>80 lambs bought before shearing £21 shilling 4pence, at 5pence each for 48, and 8pence each for 32..</t>
        </is>
      </c>
      <c r="C181" t="n">
        <v>21</v>
      </c>
      <c r="D181" t="n">
        <v>21</v>
      </c>
      <c r="E181" t="n">
        <v>0</v>
      </c>
      <c r="F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Dairy</t>
        </is>
      </c>
      <c r="B182" t="inlineStr">
        <is>
          <t>castrating piglets 4pence.</t>
        </is>
      </c>
      <c r="C182" t="n">
        <v>0.02</v>
      </c>
      <c r="D182" t="n">
        <v>0</v>
      </c>
      <c r="E182" t="n">
        <v>0</v>
      </c>
      <c r="F182" t="n">
        <v>4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Dairy</t>
        </is>
      </c>
      <c r="B183" t="inlineStr">
        <is>
          <t>grease and vinegar bought for greasing sheep 16 shilling 2pence.</t>
        </is>
      </c>
      <c r="C183" t="n">
        <v>0.8100000000000001</v>
      </c>
      <c r="D183" t="n">
        <v>0</v>
      </c>
      <c r="E183" t="n">
        <v>16</v>
      </c>
      <c r="F183" t="n">
        <v>2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Dairy</t>
        </is>
      </c>
      <c r="B184" t="inlineStr">
        <is>
          <t>stipend of 1 keeper of lambs for' year, 2 shilling this year.</t>
        </is>
      </c>
      <c r="C184" t="n">
        <v>0.1</v>
      </c>
      <c r="D184" t="n">
        <v>0</v>
      </c>
      <c r="E184" t="n">
        <v>2</v>
      </c>
      <c r="F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Dairy</t>
        </is>
      </c>
      <c r="B185" t="inlineStr">
        <is>
          <t>Total, £3 8 shilling 7pence</t>
        </is>
      </c>
      <c r="C185" t="n">
        <v>3.43</v>
      </c>
      <c r="D185" t="n">
        <v>3</v>
      </c>
      <c r="E185" t="n">
        <v>8</v>
      </c>
      <c r="F185" t="n">
        <v>7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Sheepcote</t>
        </is>
      </c>
      <c r="B186" t="inlineStr">
        <is>
          <t>In roofing part of the sheepcote 1 shilling.</t>
        </is>
      </c>
      <c r="C186" t="n">
        <v>0.05</v>
      </c>
      <c r="D186" t="n">
        <v>0</v>
      </c>
      <c r="E186" t="n">
        <v>1</v>
      </c>
      <c r="F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Sheepcote</t>
        </is>
      </c>
      <c r="B187" t="inlineStr">
        <is>
          <t>making anew 1 door to the ewe-house with nooks and hinges for the same 9.25pence.</t>
        </is>
      </c>
      <c r="C187" t="n">
        <v>0.04</v>
      </c>
      <c r="D187" t="n">
        <v>0</v>
      </c>
      <c r="E187" t="n">
        <v>0</v>
      </c>
      <c r="F187" t="n">
        <v>9.25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Sheepcote</t>
        </is>
      </c>
      <c r="B188" t="inlineStr">
        <is>
          <t>a fodder-rack and cratch made for the ewe-house 9pence Total, 2 shilling 6.25pence</t>
        </is>
      </c>
      <c r="C188" t="n">
        <v>0.14</v>
      </c>
      <c r="D188" t="n">
        <v>0</v>
      </c>
      <c r="E188" t="n">
        <v>2</v>
      </c>
      <c r="F188" t="n">
        <v>9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Cost of hay</t>
        </is>
      </c>
      <c r="B189" t="inlineStr">
        <is>
          <t>In fences for an enclosure and enclosing the meadow 3 shilling 1.5pence.</t>
        </is>
      </c>
      <c r="C189" t="n">
        <v>0.16</v>
      </c>
      <c r="D189" t="n">
        <v>0</v>
      </c>
      <c r="E189" t="n">
        <v>3</v>
      </c>
      <c r="F189" t="n">
        <v>1.5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Cost of hay</t>
        </is>
      </c>
      <c r="B190" t="inlineStr">
        <is>
          <t>mowing the whole 2of the.r meadow 10 shilling.</t>
        </is>
      </c>
      <c r="C190" t="n">
        <v>0.5</v>
      </c>
      <c r="D190" t="n">
        <v>0</v>
      </c>
      <c r="E190" t="n">
        <v>10</v>
      </c>
      <c r="F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Cost of hay</t>
        </is>
      </c>
      <c r="B191" t="inlineStr">
        <is>
          <t>tossing and spreading the hay and making haycocks therefrom Total, 15 shilling 1.5pence</t>
        </is>
      </c>
      <c r="C191" t="n">
        <v>0.76</v>
      </c>
      <c r="D191" t="n">
        <v>0</v>
      </c>
      <c r="E191" t="n">
        <v>15</v>
      </c>
      <c r="F191" t="n">
        <v>1.5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Threshing</t>
        </is>
      </c>
      <c r="B192" t="inlineStr">
        <is>
          <t>In threshing and winnowing 68 quarters of wheat and curall by piece-work 15 shilling 7pence, at 2.75pence a quarters.</t>
        </is>
      </c>
      <c r="C192" t="n">
        <v>0.78</v>
      </c>
      <c r="D192" t="n">
        <v>0</v>
      </c>
      <c r="E192" t="n">
        <v>15</v>
      </c>
      <c r="F192" t="n">
        <v>7</v>
      </c>
      <c r="G192" t="inlineStr">
        <is>
          <t>curall, wheat</t>
        </is>
      </c>
      <c r="H192" t="n">
        <v>68</v>
      </c>
      <c r="I192" t="n">
        <v>0</v>
      </c>
      <c r="J192" t="n">
        <v>68</v>
      </c>
      <c r="K192" t="n">
        <v>68</v>
      </c>
      <c r="L192" t="n">
        <v>0</v>
      </c>
      <c r="M192" t="n">
        <v>68</v>
      </c>
      <c r="N192" t="n">
        <v>0</v>
      </c>
    </row>
    <row r="193">
      <c r="A193" t="inlineStr">
        <is>
          <t>Threshing</t>
        </is>
      </c>
      <c r="B193" t="inlineStr">
        <is>
          <t>.</t>
        </is>
      </c>
      <c r="C193" t="n">
        <v>0</v>
      </c>
      <c r="D193" t="n">
        <v>0</v>
      </c>
      <c r="E193" t="n">
        <v>0</v>
      </c>
      <c r="F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Threshing</t>
        </is>
      </c>
      <c r="B194" t="inlineStr">
        <is>
          <t>threshing and winnowing 55 quarters 2 bushels of barley, 4 quarters of peas and 7 quarters of vetches by piece-work 9 shilling 7.5pence, at 1.75pence a quarters.</t>
        </is>
      </c>
      <c r="C194" t="n">
        <v>0.48</v>
      </c>
      <c r="D194" t="n">
        <v>0</v>
      </c>
      <c r="E194" t="n">
        <v>9</v>
      </c>
      <c r="F194" t="n">
        <v>7.5</v>
      </c>
      <c r="G194" t="inlineStr">
        <is>
          <t>barley, vetches, peas</t>
        </is>
      </c>
      <c r="H194" t="n">
        <v>11</v>
      </c>
      <c r="I194" t="n">
        <v>2</v>
      </c>
      <c r="J194" t="n">
        <v>11.25</v>
      </c>
      <c r="K194" t="n">
        <v>55.25</v>
      </c>
      <c r="L194" t="n">
        <v>-44</v>
      </c>
      <c r="M194" t="n">
        <v>55</v>
      </c>
      <c r="N194" t="n">
        <v>2</v>
      </c>
      <c r="O194" t="n">
        <v>4</v>
      </c>
      <c r="P194" t="n">
        <v>0</v>
      </c>
      <c r="Q194" t="n">
        <v>7</v>
      </c>
      <c r="R194" t="n">
        <v>0</v>
      </c>
    </row>
    <row r="195">
      <c r="A195" t="inlineStr">
        <is>
          <t>Threshing</t>
        </is>
      </c>
      <c r="B195" t="inlineStr">
        <is>
          <t>.</t>
        </is>
      </c>
      <c r="C195" t="n">
        <v>0</v>
      </c>
      <c r="D195" t="n">
        <v>0</v>
      </c>
      <c r="E195" t="n">
        <v>0</v>
      </c>
      <c r="F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Threshing</t>
        </is>
      </c>
      <c r="B196" t="inlineStr">
        <is>
          <t>threshing and winnowing 44 quarters of oats by piece-work 3 shilling 2.5pence, at 1.75pence per 2 quarters.</t>
        </is>
      </c>
      <c r="C196" t="n">
        <v>0.16</v>
      </c>
      <c r="D196" t="n">
        <v>0</v>
      </c>
      <c r="E196" t="n">
        <v>3</v>
      </c>
      <c r="F196" t="n">
        <v>2.5</v>
      </c>
      <c r="G196" t="inlineStr">
        <is>
          <t>oats</t>
        </is>
      </c>
      <c r="H196" t="n">
        <v>2</v>
      </c>
      <c r="I196" t="n">
        <v>0</v>
      </c>
      <c r="J196" t="n">
        <v>2</v>
      </c>
      <c r="K196" t="n">
        <v>44</v>
      </c>
      <c r="L196" t="n">
        <v>-42</v>
      </c>
      <c r="M196" t="n">
        <v>44</v>
      </c>
      <c r="N196" t="n">
        <v>0</v>
      </c>
      <c r="O196" t="n">
        <v>2</v>
      </c>
      <c r="P196" t="n">
        <v>0</v>
      </c>
    </row>
    <row r="197">
      <c r="A197" t="inlineStr">
        <is>
          <t>Threshing</t>
        </is>
      </c>
      <c r="B197" t="inlineStr">
        <is>
          <t>.</t>
        </is>
      </c>
      <c r="C197" t="n">
        <v>0</v>
      </c>
      <c r="D197" t="n">
        <v>0</v>
      </c>
      <c r="E197" t="n">
        <v>0</v>
      </c>
      <c r="F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Threshing</t>
        </is>
      </c>
      <c r="B198" t="inlineStr">
        <is>
          <t>5 sacks bought 2 shilling 6pence Total, £1 10 shilling 11pence</t>
        </is>
      </c>
      <c r="C198" t="n">
        <v>1.55</v>
      </c>
      <c r="D198" t="n">
        <v>1</v>
      </c>
      <c r="E198" t="n">
        <v>10</v>
      </c>
      <c r="F198" t="n">
        <v>11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Harvest-time</t>
        </is>
      </c>
      <c r="B199" t="inlineStr">
        <is>
          <t>In bread bought for 974 men at 15 boon-works with the carters and customary tenants who reaped and bound 222 acres of wheat, 107 acres of barley and 414 acres of oats as they lie £1 19 shilling 8pence.</t>
        </is>
      </c>
      <c r="C199" t="n">
        <v>1.98</v>
      </c>
      <c r="D199" t="n">
        <v>1</v>
      </c>
      <c r="E199" t="n">
        <v>19</v>
      </c>
      <c r="F199" t="n">
        <v>8</v>
      </c>
      <c r="G199" t="inlineStr">
        <is>
          <t>barley, oats, wheat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Harvest-time</t>
        </is>
      </c>
      <c r="B200" t="inlineStr">
        <is>
          <t>relish for the same 12 shilling.</t>
        </is>
      </c>
      <c r="C200" t="n">
        <v>0.6</v>
      </c>
      <c r="D200" t="n">
        <v>0</v>
      </c>
      <c r="E200" t="n">
        <v>12</v>
      </c>
      <c r="F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Harvest-time</t>
        </is>
      </c>
      <c r="B201" t="inlineStr">
        <is>
          <t>allowance of food for the reeve and bartoner at harvest-time 1 shilling 8pence Total, £2 13 shilling 4pence</t>
        </is>
      </c>
      <c r="C201" t="n">
        <v>2.67</v>
      </c>
      <c r="D201" t="n">
        <v>2</v>
      </c>
      <c r="E201" t="n">
        <v>13</v>
      </c>
      <c r="F201" t="n">
        <v>4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Cost of the mill</t>
        </is>
      </c>
      <c r="B202" t="inlineStr">
        <is>
          <t>In iron bought for mending the spindle 8pence Total, 8pence</t>
        </is>
      </c>
      <c r="C202" t="n">
        <v>0.03</v>
      </c>
      <c r="D202" t="n">
        <v>0</v>
      </c>
      <c r="E202" t="n">
        <v>0</v>
      </c>
      <c r="F202" t="n">
        <v>8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Expenses of the steward</t>
        </is>
      </c>
      <c r="B203" t="inlineStr">
        <is>
          <t>In expenses of Simon, clerk, holding the place of the steward at the 2 tourns 9 shilling 6pence Total, 9 shilling 6pence</t>
        </is>
      </c>
      <c r="C203" t="n">
        <v>0.48</v>
      </c>
      <c r="D203" t="n">
        <v>0</v>
      </c>
      <c r="E203" t="n">
        <v>9</v>
      </c>
      <c r="F203" t="n">
        <v>6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Expenses of the bailiff</t>
        </is>
      </c>
      <c r="B204" t="inlineStr">
        <is>
          <t>In expenses of the bailiff for his visits £1 18 shilling.</t>
        </is>
      </c>
      <c r="C204" t="n">
        <v>1.9</v>
      </c>
      <c r="D204" t="n">
        <v>1</v>
      </c>
      <c r="E204" t="n">
        <v>18</v>
      </c>
      <c r="F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Expenses of the bailiff</t>
        </is>
      </c>
      <c r="B205" t="inlineStr">
        <is>
          <t>wages of 1 under-servant for the year £2 5 shilling 7.5pence, at 1.5pence a day, because the bailiff did not stay there.</t>
        </is>
      </c>
      <c r="C205" t="n">
        <v>2.28</v>
      </c>
      <c r="D205" t="n">
        <v>2</v>
      </c>
      <c r="E205" t="n">
        <v>5</v>
      </c>
      <c r="F205" t="n">
        <v>7.5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Expenses of the bailiff</t>
        </is>
      </c>
      <c r="B206" t="inlineStr">
        <is>
          <t>Total, £4 3 shilling 7.5pence</t>
        </is>
      </c>
      <c r="C206" t="n">
        <v>4.18</v>
      </c>
      <c r="D206" t="n">
        <v>4</v>
      </c>
      <c r="E206" t="n">
        <v>3</v>
      </c>
      <c r="F206" t="n">
        <v>7.5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Purchase of stock</t>
        </is>
      </c>
      <c r="B207" t="inlineStr">
        <is>
          <t>In 39 animals bought for pasturing £13 14 shilling 7pence Total, £13 14 shilling 7pence</t>
        </is>
      </c>
      <c r="C207" t="n">
        <v>13.73</v>
      </c>
      <c r="D207" t="n">
        <v>13</v>
      </c>
      <c r="E207" t="n">
        <v>14</v>
      </c>
      <c r="F207" t="n">
        <v>7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Total of all expenses</t>
        </is>
      </c>
      <c r="B208" t="inlineStr">
        <is>
          <t>Total of all expenses, £34 19 shilling 7.25pence</t>
        </is>
      </c>
      <c r="C208" t="n">
        <v>34.98</v>
      </c>
      <c r="D208" t="n">
        <v>34</v>
      </c>
      <c r="E208" t="n">
        <v>19</v>
      </c>
      <c r="F208" t="n">
        <v>7.25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And he owes</t>
        </is>
      </c>
      <c r="B209" t="inlineStr">
        <is>
          <t>And he owes, £72 l 1pence</t>
        </is>
      </c>
      <c r="C209" t="n">
        <v>72</v>
      </c>
      <c r="D209" t="n">
        <v>72</v>
      </c>
      <c r="E209" t="n">
        <v>0</v>
      </c>
      <c r="F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Cash deliveries</t>
        </is>
      </c>
      <c r="B210" t="inlineStr">
        <is>
          <t>Delivered to Sir Geoffrey, treasurer of Wolvesey, by 1 tally, £72.</t>
        </is>
      </c>
      <c r="C210" t="n">
        <v>72</v>
      </c>
      <c r="D210" t="n">
        <v>72</v>
      </c>
      <c r="E210" t="n">
        <v>0</v>
      </c>
      <c r="F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And thus he owes</t>
        </is>
      </c>
      <c r="B211" t="inlineStr">
        <is>
          <t>And thus he is quit.</t>
        </is>
      </c>
      <c r="C211" t="n">
        <v>0</v>
      </c>
      <c r="D211" t="n">
        <v>0</v>
      </c>
      <c r="E211" t="n">
        <v>0</v>
      </c>
      <c r="F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Wheat</t>
        </is>
      </c>
      <c r="B212" t="inlineStr">
        <is>
          <t>{yield: 4.5-fold less .5 quarters}</t>
        </is>
      </c>
      <c r="C212" t="n">
        <v>0</v>
      </c>
      <c r="D212" t="n">
        <v>0</v>
      </c>
      <c r="E212" t="n">
        <v>0</v>
      </c>
      <c r="F212" t="n">
        <v>0</v>
      </c>
      <c r="H212" t="n">
        <v>5</v>
      </c>
      <c r="I212" t="n">
        <v>0</v>
      </c>
      <c r="J212" t="n">
        <v>5</v>
      </c>
      <c r="K212" t="n">
        <v>5</v>
      </c>
      <c r="L212" t="n">
        <v>0</v>
      </c>
      <c r="M212" t="n">
        <v>5</v>
      </c>
      <c r="N212" t="n">
        <v>0</v>
      </c>
    </row>
    <row r="213">
      <c r="A213" t="inlineStr">
        <is>
          <t>Wheat</t>
        </is>
      </c>
      <c r="B213" t="inlineStr">
        <is>
          <t>The same render account for 71 quarters 6 bushels from the whole issue of wheat by struck measure.</t>
        </is>
      </c>
      <c r="C213" t="n">
        <v>0</v>
      </c>
      <c r="D213" t="n">
        <v>0</v>
      </c>
      <c r="E213" t="n">
        <v>0</v>
      </c>
      <c r="F213" t="n">
        <v>0</v>
      </c>
      <c r="G213" t="inlineStr">
        <is>
          <t>wheat</t>
        </is>
      </c>
      <c r="H213" t="n">
        <v>71</v>
      </c>
      <c r="I213" t="n">
        <v>6</v>
      </c>
      <c r="J213" t="n">
        <v>71.75</v>
      </c>
      <c r="K213" t="n">
        <v>71.75</v>
      </c>
      <c r="L213" t="n">
        <v>0</v>
      </c>
      <c r="M213" t="n">
        <v>71</v>
      </c>
      <c r="N213" t="n">
        <v>6</v>
      </c>
    </row>
    <row r="214">
      <c r="A214" t="inlineStr">
        <is>
          <t>Wheat</t>
        </is>
      </c>
      <c r="B214" t="inlineStr">
        <is>
          <t>1.5 quarters from churchscot.</t>
        </is>
      </c>
      <c r="C214" t="n">
        <v>0</v>
      </c>
      <c r="D214" t="n">
        <v>0</v>
      </c>
      <c r="E214" t="n">
        <v>0</v>
      </c>
      <c r="F214" t="n">
        <v>0</v>
      </c>
      <c r="H214" t="n">
        <v>1.5</v>
      </c>
      <c r="I214" t="n">
        <v>0</v>
      </c>
      <c r="J214" t="n">
        <v>1.5</v>
      </c>
      <c r="K214" t="n">
        <v>1.5</v>
      </c>
      <c r="L214" t="n">
        <v>0</v>
      </c>
      <c r="M214" t="n">
        <v>1.5</v>
      </c>
      <c r="N214" t="n">
        <v>0</v>
      </c>
    </row>
    <row r="215">
      <c r="A215" t="inlineStr">
        <is>
          <t>Wheat</t>
        </is>
      </c>
      <c r="B215" t="inlineStr">
        <is>
          <t>Total, 73 quarters 2 bushels</t>
        </is>
      </c>
      <c r="C215" t="n">
        <v>0</v>
      </c>
      <c r="D215" t="n">
        <v>0</v>
      </c>
      <c r="E215" t="n">
        <v>0</v>
      </c>
      <c r="F215" t="n">
        <v>0</v>
      </c>
      <c r="H215" t="n">
        <v>73</v>
      </c>
      <c r="I215" t="n">
        <v>2</v>
      </c>
      <c r="J215" t="n">
        <v>73.25</v>
      </c>
      <c r="K215" t="n">
        <v>73.25</v>
      </c>
      <c r="L215" t="n">
        <v>0</v>
      </c>
      <c r="M215" t="n">
        <v>73</v>
      </c>
      <c r="N215" t="n">
        <v>2</v>
      </c>
    </row>
    <row r="216">
      <c r="A216" t="inlineStr">
        <is>
          <t>Wheat</t>
        </is>
      </c>
      <c r="B216" t="inlineStr">
        <is>
          <t>Sown over 75 acres which lie in la Garston', Slade and Vyneys, 23 quarters 3.5 bushels.</t>
        </is>
      </c>
      <c r="C216" t="n">
        <v>0</v>
      </c>
      <c r="D216" t="n">
        <v>0</v>
      </c>
      <c r="E216" t="n">
        <v>0</v>
      </c>
      <c r="F216" t="n">
        <v>0</v>
      </c>
      <c r="H216" t="n">
        <v>23</v>
      </c>
      <c r="I216" t="n">
        <v>3.5</v>
      </c>
      <c r="J216" t="n">
        <v>23.4375</v>
      </c>
      <c r="K216" t="n">
        <v>23.4375</v>
      </c>
      <c r="L216" t="n">
        <v>0</v>
      </c>
      <c r="M216" t="n">
        <v>23</v>
      </c>
      <c r="N216" t="n">
        <v>3.5</v>
      </c>
    </row>
    <row r="217">
      <c r="A217" t="inlineStr">
        <is>
          <t>Wheat</t>
        </is>
      </c>
      <c r="B217" t="inlineStr">
        <is>
          <t>that is, 2.5 bushels an acre.</t>
        </is>
      </c>
      <c r="C217" t="n">
        <v>0</v>
      </c>
      <c r="D217" t="n">
        <v>0</v>
      </c>
      <c r="E217" t="n">
        <v>0</v>
      </c>
      <c r="F217" t="n">
        <v>0</v>
      </c>
      <c r="H217" t="n">
        <v>0</v>
      </c>
      <c r="I217" t="n">
        <v>2.5</v>
      </c>
      <c r="J217" t="n">
        <v>0.3125</v>
      </c>
      <c r="K217" t="n">
        <v>0.3125</v>
      </c>
      <c r="L217" t="n">
        <v>0</v>
      </c>
      <c r="M217" t="n">
        <v>0</v>
      </c>
      <c r="N217" t="n">
        <v>2.5</v>
      </c>
    </row>
    <row r="218">
      <c r="A218" t="inlineStr">
        <is>
          <t>Wheat</t>
        </is>
      </c>
      <c r="B218" t="inlineStr">
        <is>
          <t>.</t>
        </is>
      </c>
      <c r="C218" t="n">
        <v>0</v>
      </c>
      <c r="D218" t="n">
        <v>0</v>
      </c>
      <c r="E218" t="n">
        <v>0</v>
      </c>
      <c r="F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Wheat</t>
        </is>
      </c>
      <c r="B219" t="inlineStr">
        <is>
          <t>provision of Simon, clerk, for 2 tourns, 6 bushels.</t>
        </is>
      </c>
      <c r="C219" t="n">
        <v>0</v>
      </c>
      <c r="D219" t="n">
        <v>0</v>
      </c>
      <c r="E219" t="n">
        <v>0</v>
      </c>
      <c r="F219" t="n">
        <v>0</v>
      </c>
      <c r="H219" t="n">
        <v>0</v>
      </c>
      <c r="I219" t="n">
        <v>6</v>
      </c>
      <c r="J219" t="n">
        <v>0.75</v>
      </c>
      <c r="K219" t="n">
        <v>0.75</v>
      </c>
      <c r="L219" t="n">
        <v>0</v>
      </c>
      <c r="M219" t="n">
        <v>0</v>
      </c>
      <c r="N219" t="n">
        <v>6</v>
      </c>
    </row>
    <row r="220">
      <c r="A220" t="inlineStr">
        <is>
          <t>Wheat</t>
        </is>
      </c>
      <c r="B220" t="inlineStr">
        <is>
          <t>provision of the bailiff for his visits, 2 quarters 6 bushels Sold, 45 quarters 6 bushels Sold at the audit, 4.5 bushels</t>
        </is>
      </c>
      <c r="C220" t="n">
        <v>0</v>
      </c>
      <c r="D220" t="n">
        <v>0</v>
      </c>
      <c r="E220" t="n">
        <v>0</v>
      </c>
      <c r="F220" t="n">
        <v>0</v>
      </c>
      <c r="H220" t="n">
        <v>45</v>
      </c>
      <c r="I220" t="n">
        <v>10.5</v>
      </c>
      <c r="J220" t="n">
        <v>46.3125</v>
      </c>
      <c r="K220" t="n">
        <v>2.75</v>
      </c>
      <c r="L220" t="n">
        <v>43.5625</v>
      </c>
      <c r="M220" t="n">
        <v>2</v>
      </c>
      <c r="N220" t="n">
        <v>6</v>
      </c>
      <c r="O220" t="n">
        <v>45</v>
      </c>
      <c r="P220" t="n">
        <v>6</v>
      </c>
      <c r="Q220" t="n">
        <v>0</v>
      </c>
      <c r="R220" t="n">
        <v>4.5</v>
      </c>
    </row>
    <row r="221">
      <c r="A221" t="inlineStr">
        <is>
          <t>Curall</t>
        </is>
      </c>
      <c r="B221" t="inlineStr">
        <is>
          <t>The same render account for 13 quarters 1 bushels from the issue of curall by struck measure.</t>
        </is>
      </c>
      <c r="C221" t="n">
        <v>0</v>
      </c>
      <c r="D221" t="n">
        <v>0</v>
      </c>
      <c r="E221" t="n">
        <v>0</v>
      </c>
      <c r="F221" t="n">
        <v>0</v>
      </c>
      <c r="G221" t="inlineStr">
        <is>
          <t>curall</t>
        </is>
      </c>
      <c r="H221" t="n">
        <v>13</v>
      </c>
      <c r="I221" t="n">
        <v>1</v>
      </c>
      <c r="J221" t="n">
        <v>13.125</v>
      </c>
      <c r="K221" t="n">
        <v>13.125</v>
      </c>
      <c r="L221" t="n">
        <v>0</v>
      </c>
      <c r="M221" t="n">
        <v>13</v>
      </c>
      <c r="N221" t="n">
        <v>1</v>
      </c>
    </row>
    <row r="222">
      <c r="A222" t="inlineStr">
        <is>
          <t>Curall</t>
        </is>
      </c>
      <c r="B222" t="inlineStr">
        <is>
          <t>all solpence</t>
        </is>
      </c>
      <c r="C222" t="n">
        <v>0</v>
      </c>
      <c r="D222" t="n">
        <v>0</v>
      </c>
      <c r="E222" t="n">
        <v>0</v>
      </c>
      <c r="F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Barley</t>
        </is>
      </c>
      <c r="B223" t="inlineStr">
        <is>
          <t>(yield: 4-fold less 3 quarters 2 bushels)</t>
        </is>
      </c>
      <c r="C223" t="n">
        <v>0</v>
      </c>
      <c r="D223" t="n">
        <v>0</v>
      </c>
      <c r="E223" t="n">
        <v>0</v>
      </c>
      <c r="F223" t="n">
        <v>0</v>
      </c>
      <c r="H223" t="n">
        <v>3</v>
      </c>
      <c r="I223" t="n">
        <v>2</v>
      </c>
      <c r="J223" t="n">
        <v>3.25</v>
      </c>
      <c r="K223" t="n">
        <v>3.25</v>
      </c>
      <c r="L223" t="n">
        <v>0</v>
      </c>
      <c r="M223" t="n">
        <v>3</v>
      </c>
      <c r="N223" t="n">
        <v>2</v>
      </c>
    </row>
    <row r="224">
      <c r="A224" t="inlineStr">
        <is>
          <t>Barley</t>
        </is>
      </c>
      <c r="B224" t="inlineStr">
        <is>
          <t>The same render account for 69 quarters 2 bushels from the whole issue of barley by struck measure.</t>
        </is>
      </c>
      <c r="C224" t="n">
        <v>0</v>
      </c>
      <c r="D224" t="n">
        <v>0</v>
      </c>
      <c r="E224" t="n">
        <v>0</v>
      </c>
      <c r="F224" t="n">
        <v>0</v>
      </c>
      <c r="G224" t="inlineStr">
        <is>
          <t>barley</t>
        </is>
      </c>
      <c r="H224" t="n">
        <v>69</v>
      </c>
      <c r="I224" t="n">
        <v>2</v>
      </c>
      <c r="J224" t="n">
        <v>69.25</v>
      </c>
      <c r="K224" t="n">
        <v>69.25</v>
      </c>
      <c r="L224" t="n">
        <v>0</v>
      </c>
      <c r="M224" t="n">
        <v>69</v>
      </c>
      <c r="N224" t="n">
        <v>2</v>
      </c>
    </row>
    <row r="225">
      <c r="A225" t="inlineStr">
        <is>
          <t>Barley</t>
        </is>
      </c>
      <c r="B225" t="inlineStr">
        <is>
          <t>6 quarters 5 bushels bought.</t>
        </is>
      </c>
      <c r="C225" t="n">
        <v>0</v>
      </c>
      <c r="D225" t="n">
        <v>0</v>
      </c>
      <c r="E225" t="n">
        <v>0</v>
      </c>
      <c r="F225" t="n">
        <v>0</v>
      </c>
      <c r="H225" t="n">
        <v>6</v>
      </c>
      <c r="I225" t="n">
        <v>5</v>
      </c>
      <c r="J225" t="n">
        <v>6.625</v>
      </c>
      <c r="K225" t="n">
        <v>6.625</v>
      </c>
      <c r="L225" t="n">
        <v>0</v>
      </c>
      <c r="M225" t="n">
        <v>6</v>
      </c>
      <c r="N225" t="n">
        <v>5</v>
      </c>
    </row>
    <row r="226">
      <c r="A226" t="inlineStr">
        <is>
          <t>Barley</t>
        </is>
      </c>
      <c r="B226" t="inlineStr">
        <is>
          <t>Total, 75 quarters 7 bushels</t>
        </is>
      </c>
      <c r="C226" t="n">
        <v>0</v>
      </c>
      <c r="D226" t="n">
        <v>0</v>
      </c>
      <c r="E226" t="n">
        <v>0</v>
      </c>
      <c r="F226" t="n">
        <v>0</v>
      </c>
      <c r="H226" t="n">
        <v>75</v>
      </c>
      <c r="I226" t="n">
        <v>7</v>
      </c>
      <c r="J226" t="n">
        <v>75.875</v>
      </c>
      <c r="K226" t="n">
        <v>75.875</v>
      </c>
      <c r="L226" t="n">
        <v>0</v>
      </c>
      <c r="M226" t="n">
        <v>75</v>
      </c>
      <c r="N226" t="n">
        <v>7</v>
      </c>
    </row>
    <row r="227">
      <c r="A227" t="inlineStr">
        <is>
          <t>Barley</t>
        </is>
      </c>
      <c r="B227" t="inlineStr">
        <is>
          <t>Sown over 33 acres which lie at Parkgate and la Rugg', 20.5 quarters.</t>
        </is>
      </c>
      <c r="C227" t="n">
        <v>0</v>
      </c>
      <c r="D227" t="n">
        <v>0</v>
      </c>
      <c r="E227" t="n">
        <v>0</v>
      </c>
      <c r="F227" t="n">
        <v>0</v>
      </c>
      <c r="H227" t="n">
        <v>20.5</v>
      </c>
      <c r="I227" t="n">
        <v>0</v>
      </c>
      <c r="J227" t="n">
        <v>20.5</v>
      </c>
      <c r="K227" t="n">
        <v>20.5</v>
      </c>
      <c r="L227" t="n">
        <v>0</v>
      </c>
      <c r="M227" t="n">
        <v>20.5</v>
      </c>
      <c r="N227" t="n">
        <v>0</v>
      </c>
    </row>
    <row r="228">
      <c r="A228" t="inlineStr">
        <is>
          <t>Barley</t>
        </is>
      </c>
      <c r="B228" t="inlineStr">
        <is>
          <t>that is, 5 bushels an acre, less 2 bushels in all.</t>
        </is>
      </c>
      <c r="C228" t="n">
        <v>0</v>
      </c>
      <c r="D228" t="n">
        <v>0</v>
      </c>
      <c r="E228" t="n">
        <v>0</v>
      </c>
      <c r="F228" t="n">
        <v>0</v>
      </c>
      <c r="H228" t="n">
        <v>0</v>
      </c>
      <c r="I228" t="n">
        <v>2</v>
      </c>
      <c r="J228" t="n">
        <v>0.25</v>
      </c>
      <c r="K228" t="n">
        <v>0.625</v>
      </c>
      <c r="L228" t="n">
        <v>-0.375</v>
      </c>
      <c r="M228" t="n">
        <v>0</v>
      </c>
      <c r="N228" t="n">
        <v>5</v>
      </c>
      <c r="O228" t="n">
        <v>0</v>
      </c>
      <c r="P228" t="n">
        <v>2</v>
      </c>
    </row>
    <row r="229">
      <c r="A229" t="inlineStr">
        <is>
          <t>Barley</t>
        </is>
      </c>
      <c r="B229" t="inlineStr">
        <is>
          <t>Delivered to 1 park-keeper for the year, 1 quarters according to custom.</t>
        </is>
      </c>
      <c r="C229" t="n">
        <v>0</v>
      </c>
      <c r="D229" t="n">
        <v>0</v>
      </c>
      <c r="E229" t="n">
        <v>0</v>
      </c>
      <c r="F229" t="n">
        <v>0</v>
      </c>
      <c r="H229" t="n">
        <v>1</v>
      </c>
      <c r="I229" t="n">
        <v>0</v>
      </c>
      <c r="J229" t="n">
        <v>1</v>
      </c>
      <c r="K229" t="n">
        <v>1</v>
      </c>
      <c r="L229" t="n">
        <v>0</v>
      </c>
      <c r="M229" t="n">
        <v>1</v>
      </c>
      <c r="N229" t="n">
        <v>0</v>
      </c>
    </row>
    <row r="230">
      <c r="A230" t="inlineStr">
        <is>
          <t>Barley</t>
        </is>
      </c>
      <c r="B230" t="inlineStr">
        <is>
          <t>.</t>
        </is>
      </c>
      <c r="C230" t="n">
        <v>0</v>
      </c>
      <c r="D230" t="n">
        <v>0</v>
      </c>
      <c r="E230" t="n">
        <v>0</v>
      </c>
      <c r="F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Barley</t>
        </is>
      </c>
      <c r="B231" t="inlineStr">
        <is>
          <t>customary payment to 1 keeper of lambs until the feast of St John the Baptist, 4 bushels Delivered to 1 carter, 6.5 quarters, taking a quarter every 8 weeks.</t>
        </is>
      </c>
      <c r="C231" t="n">
        <v>0</v>
      </c>
      <c r="D231" t="n">
        <v>0</v>
      </c>
      <c r="E231" t="n">
        <v>0</v>
      </c>
      <c r="F231" t="n">
        <v>0</v>
      </c>
      <c r="H231" t="n">
        <v>6.5</v>
      </c>
      <c r="I231" t="n">
        <v>4</v>
      </c>
      <c r="J231" t="n">
        <v>7</v>
      </c>
      <c r="K231" t="n">
        <v>0.5</v>
      </c>
      <c r="L231" t="n">
        <v>6.5</v>
      </c>
      <c r="M231" t="n">
        <v>0</v>
      </c>
      <c r="N231" t="n">
        <v>4</v>
      </c>
      <c r="O231" t="n">
        <v>6.5</v>
      </c>
      <c r="P231" t="n">
        <v>0</v>
      </c>
    </row>
    <row r="232">
      <c r="A232" t="inlineStr">
        <is>
          <t>Barley</t>
        </is>
      </c>
      <c r="B232" t="inlineStr">
        <is>
          <t>Delivered to 3 ploughmen for the year, 19.5 quarters.</t>
        </is>
      </c>
      <c r="C232" t="n">
        <v>0</v>
      </c>
      <c r="D232" t="n">
        <v>0</v>
      </c>
      <c r="E232" t="n">
        <v>0</v>
      </c>
      <c r="F232" t="n">
        <v>0</v>
      </c>
      <c r="H232" t="n">
        <v>19.5</v>
      </c>
      <c r="I232" t="n">
        <v>0</v>
      </c>
      <c r="J232" t="n">
        <v>19.5</v>
      </c>
      <c r="K232" t="n">
        <v>19.5</v>
      </c>
      <c r="L232" t="n">
        <v>0</v>
      </c>
      <c r="M232" t="n">
        <v>19.5</v>
      </c>
      <c r="N232" t="n">
        <v>0</v>
      </c>
    </row>
    <row r="233">
      <c r="A233" t="inlineStr">
        <is>
          <t>Barley</t>
        </is>
      </c>
      <c r="B233" t="inlineStr">
        <is>
          <t>Delivered to 1 dairymaid from the purification until Michaelmas, 2 quarters 6.5 bushels, taking a quarter every 12 weeks.</t>
        </is>
      </c>
      <c r="C233" t="n">
        <v>0</v>
      </c>
      <c r="D233" t="n">
        <v>0</v>
      </c>
      <c r="E233" t="n">
        <v>0</v>
      </c>
      <c r="F233" t="n">
        <v>0</v>
      </c>
      <c r="H233" t="n">
        <v>2</v>
      </c>
      <c r="I233" t="n">
        <v>6.5</v>
      </c>
      <c r="J233" t="n">
        <v>2.8125</v>
      </c>
      <c r="K233" t="n">
        <v>2.8125</v>
      </c>
      <c r="L233" t="n">
        <v>0</v>
      </c>
      <c r="M233" t="n">
        <v>2</v>
      </c>
      <c r="N233" t="n">
        <v>6.5</v>
      </c>
    </row>
    <row r="234">
      <c r="A234" t="inlineStr">
        <is>
          <t>Barley</t>
        </is>
      </c>
      <c r="B234" t="inlineStr">
        <is>
          <t>Delivered to 1 keeper of lambs from the feast of St John the Baptist until Michaelmas, for 13 weeks, 1 quarters 1 bushels {Henceforth the keeper of lambs should take for 12 weeks} Sold, 23 quarters 2 bushels Sold at the audit, 5.5 bushels</t>
        </is>
      </c>
      <c r="C234" t="n">
        <v>0</v>
      </c>
      <c r="D234" t="n">
        <v>0</v>
      </c>
      <c r="E234" t="n">
        <v>0</v>
      </c>
      <c r="F234" t="n">
        <v>0</v>
      </c>
      <c r="H234" t="n">
        <v>23</v>
      </c>
      <c r="I234" t="n">
        <v>7.5</v>
      </c>
      <c r="J234" t="n">
        <v>23.9375</v>
      </c>
      <c r="K234" t="n">
        <v>1.125</v>
      </c>
      <c r="L234" t="n">
        <v>22.8125</v>
      </c>
      <c r="M234" t="n">
        <v>1</v>
      </c>
      <c r="N234" t="n">
        <v>1</v>
      </c>
      <c r="O234" t="n">
        <v>23</v>
      </c>
      <c r="P234" t="n">
        <v>2</v>
      </c>
      <c r="Q234" t="n">
        <v>0</v>
      </c>
      <c r="R234" t="n">
        <v>5.5</v>
      </c>
    </row>
    <row r="235">
      <c r="A235" t="inlineStr">
        <is>
          <t>Oats</t>
        </is>
      </c>
      <c r="B235" t="inlineStr">
        <is>
          <t>(yield: two-fold plus 7 bushels)</t>
        </is>
      </c>
      <c r="C235" t="n">
        <v>0</v>
      </c>
      <c r="D235" t="n">
        <v>0</v>
      </c>
      <c r="E235" t="n">
        <v>0</v>
      </c>
      <c r="F235" t="n">
        <v>0</v>
      </c>
      <c r="H235" t="n">
        <v>0</v>
      </c>
      <c r="I235" t="n">
        <v>7</v>
      </c>
      <c r="J235" t="n">
        <v>0.875</v>
      </c>
      <c r="K235" t="n">
        <v>0.875</v>
      </c>
      <c r="L235" t="n">
        <v>0</v>
      </c>
      <c r="M235" t="n">
        <v>0</v>
      </c>
      <c r="N235" t="n">
        <v>7</v>
      </c>
    </row>
    <row r="236">
      <c r="A236" t="inlineStr">
        <is>
          <t>Oats</t>
        </is>
      </c>
      <c r="B236" t="inlineStr">
        <is>
          <t>The same render account for 160 quarters 7 bushels from the whole issue of oats by struck measure.</t>
        </is>
      </c>
      <c r="C236" t="n">
        <v>0</v>
      </c>
      <c r="D236" t="n">
        <v>0</v>
      </c>
      <c r="E236" t="n">
        <v>0</v>
      </c>
      <c r="F236" t="n">
        <v>0</v>
      </c>
      <c r="G236" t="inlineStr">
        <is>
          <t>oats</t>
        </is>
      </c>
      <c r="H236" t="n">
        <v>160</v>
      </c>
      <c r="I236" t="n">
        <v>7</v>
      </c>
      <c r="J236" t="n">
        <v>160.875</v>
      </c>
      <c r="K236" t="n">
        <v>160.875</v>
      </c>
      <c r="L236" t="n">
        <v>0</v>
      </c>
      <c r="M236" t="n">
        <v>160</v>
      </c>
      <c r="N236" t="n">
        <v>7</v>
      </c>
    </row>
    <row r="237">
      <c r="A237" t="inlineStr">
        <is>
          <t>Oats</t>
        </is>
      </c>
      <c r="B237" t="inlineStr">
        <is>
          <t>18 quarters by estimation in sheaves.</t>
        </is>
      </c>
      <c r="C237" t="n">
        <v>0</v>
      </c>
      <c r="D237" t="n">
        <v>0</v>
      </c>
      <c r="E237" t="n">
        <v>0</v>
      </c>
      <c r="F237" t="n">
        <v>0</v>
      </c>
      <c r="H237" t="n">
        <v>18</v>
      </c>
      <c r="I237" t="n">
        <v>0</v>
      </c>
      <c r="J237" t="n">
        <v>18</v>
      </c>
      <c r="K237" t="n">
        <v>18</v>
      </c>
      <c r="L237" t="n">
        <v>0</v>
      </c>
      <c r="M237" t="n">
        <v>18</v>
      </c>
      <c r="N237" t="n">
        <v>0</v>
      </c>
    </row>
    <row r="238">
      <c r="A238" t="inlineStr">
        <is>
          <t>Oats</t>
        </is>
      </c>
      <c r="B238" t="inlineStr">
        <is>
          <t>Total, 178 quarters 7 bushels</t>
        </is>
      </c>
      <c r="C238" t="n">
        <v>0</v>
      </c>
      <c r="D238" t="n">
        <v>0</v>
      </c>
      <c r="E238" t="n">
        <v>0</v>
      </c>
      <c r="F238" t="n">
        <v>0</v>
      </c>
      <c r="H238" t="n">
        <v>178</v>
      </c>
      <c r="I238" t="n">
        <v>7</v>
      </c>
      <c r="J238" t="n">
        <v>178.875</v>
      </c>
      <c r="K238" t="n">
        <v>178.875</v>
      </c>
      <c r="L238" t="n">
        <v>0</v>
      </c>
      <c r="M238" t="n">
        <v>178</v>
      </c>
      <c r="N238" t="n">
        <v>7</v>
      </c>
    </row>
    <row r="239">
      <c r="A239" t="inlineStr">
        <is>
          <t>Oats</t>
        </is>
      </c>
      <c r="B239" t="inlineStr">
        <is>
          <t>Sown over 131 acres and 1 rood which lie at la Worth', Brechlond' and la Vyneys, 82 quarters.</t>
        </is>
      </c>
      <c r="C239" t="n">
        <v>0</v>
      </c>
      <c r="D239" t="n">
        <v>0</v>
      </c>
      <c r="E239" t="n">
        <v>0</v>
      </c>
      <c r="F239" t="n">
        <v>0</v>
      </c>
      <c r="H239" t="n">
        <v>82</v>
      </c>
      <c r="I239" t="n">
        <v>0</v>
      </c>
      <c r="J239" t="n">
        <v>82</v>
      </c>
      <c r="K239" t="n">
        <v>82</v>
      </c>
      <c r="L239" t="n">
        <v>0</v>
      </c>
      <c r="M239" t="n">
        <v>82</v>
      </c>
      <c r="N239" t="n">
        <v>0</v>
      </c>
    </row>
    <row r="240">
      <c r="A240" t="inlineStr">
        <is>
          <t>Oats</t>
        </is>
      </c>
      <c r="B240" t="inlineStr">
        <is>
          <t>that is, 5 bushels an acre.</t>
        </is>
      </c>
      <c r="C240" t="n">
        <v>0</v>
      </c>
      <c r="D240" t="n">
        <v>0</v>
      </c>
      <c r="E240" t="n">
        <v>0</v>
      </c>
      <c r="F240" t="n">
        <v>0</v>
      </c>
      <c r="H240" t="n">
        <v>0</v>
      </c>
      <c r="I240" t="n">
        <v>5</v>
      </c>
      <c r="J240" t="n">
        <v>0.625</v>
      </c>
      <c r="K240" t="n">
        <v>0.625</v>
      </c>
      <c r="L240" t="n">
        <v>0</v>
      </c>
      <c r="M240" t="n">
        <v>0</v>
      </c>
      <c r="N240" t="n">
        <v>5</v>
      </c>
    </row>
    <row r="241">
      <c r="A241" t="inlineStr">
        <is>
          <t>Oats</t>
        </is>
      </c>
      <c r="B241" t="inlineStr">
        <is>
          <t>.</t>
        </is>
      </c>
      <c r="C241" t="n">
        <v>0</v>
      </c>
      <c r="D241" t="n">
        <v>0</v>
      </c>
      <c r="E241" t="n">
        <v>0</v>
      </c>
      <c r="F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Oats</t>
        </is>
      </c>
      <c r="B242" t="inlineStr">
        <is>
          <t>fodder of 2 cart-horses from Michaelmas until Lammas, because thereafter they were at the church, 19.5 quarters.</t>
        </is>
      </c>
      <c r="C242" t="n">
        <v>0</v>
      </c>
      <c r="D242" t="n">
        <v>0</v>
      </c>
      <c r="E242" t="n">
        <v>0</v>
      </c>
      <c r="F242" t="n">
        <v>0</v>
      </c>
      <c r="H242" t="n">
        <v>19.5</v>
      </c>
      <c r="I242" t="n">
        <v>0</v>
      </c>
      <c r="J242" t="n">
        <v>19.5</v>
      </c>
      <c r="K242" t="n">
        <v>19.5</v>
      </c>
      <c r="L242" t="n">
        <v>0</v>
      </c>
      <c r="M242" t="n">
        <v>19.5</v>
      </c>
      <c r="N242" t="n">
        <v>0</v>
      </c>
    </row>
    <row r="243">
      <c r="A243" t="inlineStr">
        <is>
          <t>Oats</t>
        </is>
      </c>
      <c r="B243" t="inlineStr">
        <is>
          <t>.</t>
        </is>
      </c>
      <c r="C243" t="n">
        <v>0</v>
      </c>
      <c r="D243" t="n">
        <v>0</v>
      </c>
      <c r="E243" t="n">
        <v>0</v>
      </c>
      <c r="F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Oats</t>
        </is>
      </c>
      <c r="B244" t="inlineStr">
        <is>
          <t>fodder of 6 plough-horses from Christmas until the Invention of the Cross (3 May), 16 quarters, at 1 bushels a night.</t>
        </is>
      </c>
      <c r="C244" t="n">
        <v>0</v>
      </c>
      <c r="D244" t="n">
        <v>0</v>
      </c>
      <c r="E244" t="n">
        <v>0</v>
      </c>
      <c r="F244" t="n">
        <v>0</v>
      </c>
      <c r="H244" t="n">
        <v>16</v>
      </c>
      <c r="I244" t="n">
        <v>1</v>
      </c>
      <c r="J244" t="n">
        <v>16.125</v>
      </c>
      <c r="K244" t="n">
        <v>16</v>
      </c>
      <c r="L244" t="n">
        <v>0.125</v>
      </c>
      <c r="M244" t="n">
        <v>16</v>
      </c>
      <c r="N244" t="n">
        <v>0</v>
      </c>
      <c r="O244" t="n">
        <v>0</v>
      </c>
      <c r="P244" t="n">
        <v>1</v>
      </c>
    </row>
    <row r="245">
      <c r="A245" t="inlineStr">
        <is>
          <t>Oats</t>
        </is>
      </c>
      <c r="B245" t="inlineStr">
        <is>
          <t>.</t>
        </is>
      </c>
      <c r="C245" t="n">
        <v>0</v>
      </c>
      <c r="D245" t="n">
        <v>0</v>
      </c>
      <c r="E245" t="n">
        <v>0</v>
      </c>
      <c r="F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Oats</t>
        </is>
      </c>
      <c r="B246" t="inlineStr">
        <is>
          <t>fodder of the same when they ploughed after dinner, 6 quarters.</t>
        </is>
      </c>
      <c r="C246" t="n">
        <v>0</v>
      </c>
      <c r="D246" t="n">
        <v>0</v>
      </c>
      <c r="E246" t="n">
        <v>0</v>
      </c>
      <c r="F246" t="n">
        <v>0</v>
      </c>
      <c r="H246" t="n">
        <v>6</v>
      </c>
      <c r="I246" t="n">
        <v>0</v>
      </c>
      <c r="J246" t="n">
        <v>6</v>
      </c>
      <c r="K246" t="n">
        <v>6</v>
      </c>
      <c r="L246" t="n">
        <v>0</v>
      </c>
      <c r="M246" t="n">
        <v>6</v>
      </c>
      <c r="N246" t="n">
        <v>0</v>
      </c>
    </row>
    <row r="247">
      <c r="A247" t="inlineStr">
        <is>
          <t>Oats</t>
        </is>
      </c>
      <c r="B247" t="inlineStr">
        <is>
          <t>Given to oxen by estimation in sheaves, 18 quarters.</t>
        </is>
      </c>
      <c r="C247" t="n">
        <v>0</v>
      </c>
      <c r="D247" t="n">
        <v>0</v>
      </c>
      <c r="E247" t="n">
        <v>0</v>
      </c>
      <c r="F247" t="n">
        <v>0</v>
      </c>
      <c r="H247" t="n">
        <v>18</v>
      </c>
      <c r="I247" t="n">
        <v>0</v>
      </c>
      <c r="J247" t="n">
        <v>18</v>
      </c>
      <c r="K247" t="n">
        <v>18</v>
      </c>
      <c r="L247" t="n">
        <v>0</v>
      </c>
      <c r="M247" t="n">
        <v>18</v>
      </c>
      <c r="N247" t="n">
        <v>0</v>
      </c>
    </row>
    <row r="248">
      <c r="A248" t="inlineStr">
        <is>
          <t>Oats</t>
        </is>
      </c>
      <c r="B248" t="inlineStr">
        <is>
          <t>.</t>
        </is>
      </c>
      <c r="C248" t="n">
        <v>0</v>
      </c>
      <c r="D248" t="n">
        <v>0</v>
      </c>
      <c r="E248" t="n">
        <v>0</v>
      </c>
      <c r="F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Oats</t>
        </is>
      </c>
      <c r="B249" t="inlineStr">
        <is>
          <t>fodder of the horse of Simon, clerk, for 2 toums, 2 bushels.</t>
        </is>
      </c>
      <c r="C249" t="n">
        <v>0</v>
      </c>
      <c r="D249" t="n">
        <v>0</v>
      </c>
      <c r="E249" t="n">
        <v>0</v>
      </c>
      <c r="F249" t="n">
        <v>0</v>
      </c>
      <c r="H249" t="n">
        <v>0</v>
      </c>
      <c r="I249" t="n">
        <v>2</v>
      </c>
      <c r="J249" t="n">
        <v>0.25</v>
      </c>
      <c r="K249" t="n">
        <v>0.25</v>
      </c>
      <c r="L249" t="n">
        <v>0</v>
      </c>
      <c r="M249" t="n">
        <v>0</v>
      </c>
      <c r="N249" t="n">
        <v>2</v>
      </c>
    </row>
    <row r="250">
      <c r="A250" t="inlineStr">
        <is>
          <t>Oats</t>
        </is>
      </c>
      <c r="B250" t="inlineStr">
        <is>
          <t>fodder of the bailiff's horse for his visits, 3 quarters 2 bushels.</t>
        </is>
      </c>
      <c r="C250" t="n">
        <v>0</v>
      </c>
      <c r="D250" t="n">
        <v>0</v>
      </c>
      <c r="E250" t="n">
        <v>0</v>
      </c>
      <c r="F250" t="n">
        <v>0</v>
      </c>
      <c r="H250" t="n">
        <v>3</v>
      </c>
      <c r="I250" t="n">
        <v>2</v>
      </c>
      <c r="J250" t="n">
        <v>3.25</v>
      </c>
      <c r="K250" t="n">
        <v>3.25</v>
      </c>
      <c r="L250" t="n">
        <v>0</v>
      </c>
      <c r="M250" t="n">
        <v>3</v>
      </c>
      <c r="N250" t="n">
        <v>2</v>
      </c>
    </row>
    <row r="251">
      <c r="A251" t="inlineStr">
        <is>
          <t>Oats</t>
        </is>
      </c>
      <c r="B251" t="inlineStr">
        <is>
          <t>threshing and winnowing 129 quarters according to custom, 2 quarters 3 bushels, at 1 dish (discum) for 12 bushels, whereof 6 dishes make 1 bushel.</t>
        </is>
      </c>
      <c r="C251" t="n">
        <v>0</v>
      </c>
      <c r="D251" t="n">
        <v>0</v>
      </c>
      <c r="E251" t="n">
        <v>0</v>
      </c>
      <c r="F251" t="n">
        <v>0</v>
      </c>
      <c r="H251" t="n">
        <v>2</v>
      </c>
      <c r="I251" t="n">
        <v>15</v>
      </c>
      <c r="J251" t="n">
        <v>3.875</v>
      </c>
      <c r="K251" t="n">
        <v>129</v>
      </c>
      <c r="L251" t="n">
        <v>-125.125</v>
      </c>
      <c r="M251" t="n">
        <v>129</v>
      </c>
      <c r="N251" t="n">
        <v>0</v>
      </c>
      <c r="O251" t="n">
        <v>2</v>
      </c>
      <c r="P251" t="n">
        <v>3</v>
      </c>
      <c r="Q251" t="n">
        <v>0</v>
      </c>
      <c r="R251" t="n">
        <v>12</v>
      </c>
    </row>
    <row r="252">
      <c r="A252" t="inlineStr">
        <is>
          <t>Oats</t>
        </is>
      </c>
      <c r="B252" t="inlineStr">
        <is>
          <t>Sold, 31.5 quarters.</t>
        </is>
      </c>
      <c r="C252" t="n">
        <v>0</v>
      </c>
      <c r="D252" t="n">
        <v>0</v>
      </c>
      <c r="E252" t="n">
        <v>0</v>
      </c>
      <c r="F252" t="n">
        <v>0</v>
      </c>
      <c r="H252" t="n">
        <v>31.5</v>
      </c>
      <c r="I252" t="n">
        <v>0</v>
      </c>
      <c r="J252" t="n">
        <v>31.5</v>
      </c>
      <c r="K252" t="n">
        <v>31.5</v>
      </c>
      <c r="L252" t="n">
        <v>0</v>
      </c>
      <c r="M252" t="n">
        <v>31.5</v>
      </c>
      <c r="N252" t="n">
        <v>0</v>
      </c>
    </row>
    <row r="253">
      <c r="A253" t="inlineStr">
        <is>
          <t>Peas</t>
        </is>
      </c>
      <c r="B253" t="inlineStr">
        <is>
          <t>{yield: 4-fold plus 2 bushels)</t>
        </is>
      </c>
      <c r="C253" t="n">
        <v>0</v>
      </c>
      <c r="D253" t="n">
        <v>0</v>
      </c>
      <c r="E253" t="n">
        <v>0</v>
      </c>
      <c r="F253" t="n">
        <v>0</v>
      </c>
      <c r="H253" t="n">
        <v>0</v>
      </c>
      <c r="I253" t="n">
        <v>2</v>
      </c>
      <c r="J253" t="n">
        <v>0.25</v>
      </c>
      <c r="K253" t="n">
        <v>0.25</v>
      </c>
      <c r="L253" t="n">
        <v>0</v>
      </c>
      <c r="M253" t="n">
        <v>0</v>
      </c>
      <c r="N253" t="n">
        <v>2</v>
      </c>
    </row>
    <row r="254">
      <c r="A254" t="inlineStr">
        <is>
          <t>Peas</t>
        </is>
      </c>
      <c r="B254" t="inlineStr">
        <is>
          <t>The same render account for 4 quarters 2 bushels from the whole issue of peas by struck measure.</t>
        </is>
      </c>
      <c r="C254" t="n">
        <v>0</v>
      </c>
      <c r="D254" t="n">
        <v>0</v>
      </c>
      <c r="E254" t="n">
        <v>0</v>
      </c>
      <c r="F254" t="n">
        <v>0</v>
      </c>
      <c r="G254" t="inlineStr">
        <is>
          <t>peas</t>
        </is>
      </c>
      <c r="H254" t="n">
        <v>4</v>
      </c>
      <c r="I254" t="n">
        <v>2</v>
      </c>
      <c r="J254" t="n">
        <v>4.25</v>
      </c>
      <c r="K254" t="n">
        <v>4.25</v>
      </c>
      <c r="L254" t="n">
        <v>0</v>
      </c>
      <c r="M254" t="n">
        <v>4</v>
      </c>
      <c r="N254" t="n">
        <v>2</v>
      </c>
    </row>
    <row r="255">
      <c r="A255" t="inlineStr">
        <is>
          <t>Peas</t>
        </is>
      </c>
      <c r="B255" t="inlineStr">
        <is>
          <t>1.5 quarters remaining from the previous year in the granary.</t>
        </is>
      </c>
      <c r="C255" t="n">
        <v>0</v>
      </c>
      <c r="D255" t="n">
        <v>0</v>
      </c>
      <c r="E255" t="n">
        <v>0</v>
      </c>
      <c r="F255" t="n">
        <v>0</v>
      </c>
      <c r="H255" t="n">
        <v>1.5</v>
      </c>
      <c r="I255" t="n">
        <v>0</v>
      </c>
      <c r="J255" t="n">
        <v>1.5</v>
      </c>
      <c r="K255" t="n">
        <v>1.5</v>
      </c>
      <c r="L255" t="n">
        <v>0</v>
      </c>
      <c r="M255" t="n">
        <v>1.5</v>
      </c>
      <c r="N255" t="n">
        <v>0</v>
      </c>
    </row>
    <row r="256">
      <c r="A256" t="inlineStr">
        <is>
          <t>Peas</t>
        </is>
      </c>
      <c r="B256" t="inlineStr">
        <is>
          <t>1 quarters remaining by estimation in the stack.</t>
        </is>
      </c>
      <c r="C256" t="n">
        <v>0</v>
      </c>
      <c r="D256" t="n">
        <v>0</v>
      </c>
      <c r="E256" t="n">
        <v>0</v>
      </c>
      <c r="F256" t="n">
        <v>0</v>
      </c>
      <c r="H256" t="n">
        <v>1</v>
      </c>
      <c r="I256" t="n">
        <v>0</v>
      </c>
      <c r="J256" t="n">
        <v>1</v>
      </c>
      <c r="K256" t="n">
        <v>1</v>
      </c>
      <c r="L256" t="n">
        <v>0</v>
      </c>
      <c r="M256" t="n">
        <v>1</v>
      </c>
      <c r="N256" t="n">
        <v>0</v>
      </c>
    </row>
    <row r="257">
      <c r="A257" t="inlineStr">
        <is>
          <t>Peas</t>
        </is>
      </c>
      <c r="B257" t="inlineStr">
        <is>
          <t>Total, 6 quarters 6 bushels</t>
        </is>
      </c>
      <c r="C257" t="n">
        <v>0</v>
      </c>
      <c r="D257" t="n">
        <v>0</v>
      </c>
      <c r="E257" t="n">
        <v>0</v>
      </c>
      <c r="F257" t="n">
        <v>0</v>
      </c>
      <c r="H257" t="n">
        <v>6</v>
      </c>
      <c r="I257" t="n">
        <v>6</v>
      </c>
      <c r="J257" t="n">
        <v>6.75</v>
      </c>
      <c r="K257" t="n">
        <v>6.75</v>
      </c>
      <c r="L257" t="n">
        <v>0</v>
      </c>
      <c r="M257" t="n">
        <v>6</v>
      </c>
      <c r="N257" t="n">
        <v>6</v>
      </c>
    </row>
    <row r="258">
      <c r="A258" t="inlineStr">
        <is>
          <t>Peas</t>
        </is>
      </c>
      <c r="B258" t="inlineStr">
        <is>
          <t>Sown, 2 bushels Sold, 5 quarters.</t>
        </is>
      </c>
      <c r="C258" t="n">
        <v>0</v>
      </c>
      <c r="D258" t="n">
        <v>0</v>
      </c>
      <c r="E258" t="n">
        <v>0</v>
      </c>
      <c r="F258" t="n">
        <v>0</v>
      </c>
      <c r="H258" t="n">
        <v>5</v>
      </c>
      <c r="I258" t="n">
        <v>2</v>
      </c>
      <c r="J258" t="n">
        <v>5.25</v>
      </c>
      <c r="K258" t="n">
        <v>0.25</v>
      </c>
      <c r="L258" t="n">
        <v>5</v>
      </c>
      <c r="M258" t="n">
        <v>0</v>
      </c>
      <c r="N258" t="n">
        <v>2</v>
      </c>
      <c r="O258" t="n">
        <v>5</v>
      </c>
      <c r="P258" t="n">
        <v>0</v>
      </c>
    </row>
    <row r="259">
      <c r="A259" t="inlineStr">
        <is>
          <t>Peas</t>
        </is>
      </c>
      <c r="B259" t="inlineStr">
        <is>
          <t>.</t>
        </is>
      </c>
      <c r="C259" t="n">
        <v>0</v>
      </c>
      <c r="D259" t="n">
        <v>0</v>
      </c>
      <c r="E259" t="n">
        <v>0</v>
      </c>
      <c r="F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Peas</t>
        </is>
      </c>
      <c r="B260" t="inlineStr">
        <is>
          <t>fattening pigs for sale, 1.5 quarters.</t>
        </is>
      </c>
      <c r="C260" t="n">
        <v>0</v>
      </c>
      <c r="D260" t="n">
        <v>0</v>
      </c>
      <c r="E260" t="n">
        <v>0</v>
      </c>
      <c r="F260" t="n">
        <v>0</v>
      </c>
      <c r="H260" t="n">
        <v>1.5</v>
      </c>
      <c r="I260" t="n">
        <v>0</v>
      </c>
      <c r="J260" t="n">
        <v>1.5</v>
      </c>
      <c r="K260" t="n">
        <v>1.5</v>
      </c>
      <c r="L260" t="n">
        <v>0</v>
      </c>
      <c r="M260" t="n">
        <v>1.5</v>
      </c>
      <c r="N260" t="n">
        <v>0</v>
      </c>
    </row>
    <row r="261">
      <c r="A261" t="inlineStr">
        <is>
          <t>Vetches</t>
        </is>
      </c>
      <c r="B261" t="inlineStr">
        <is>
          <t>{yield: 4-fold}</t>
        </is>
      </c>
      <c r="C261" t="n">
        <v>0</v>
      </c>
      <c r="D261" t="n">
        <v>0</v>
      </c>
      <c r="E261" t="n">
        <v>0</v>
      </c>
      <c r="F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Vetches</t>
        </is>
      </c>
      <c r="B262" t="inlineStr">
        <is>
          <t>The same render account for 4 quarters 2 bushels from the issue of vetches remaining in the stack from the previous year.</t>
        </is>
      </c>
      <c r="C262" t="n">
        <v>0</v>
      </c>
      <c r="D262" t="n">
        <v>0</v>
      </c>
      <c r="E262" t="n">
        <v>0</v>
      </c>
      <c r="F262" t="n">
        <v>0</v>
      </c>
      <c r="G262" t="inlineStr">
        <is>
          <t>vetches</t>
        </is>
      </c>
      <c r="H262" t="n">
        <v>4</v>
      </c>
      <c r="I262" t="n">
        <v>2</v>
      </c>
      <c r="J262" t="n">
        <v>4.25</v>
      </c>
      <c r="K262" t="n">
        <v>4.25</v>
      </c>
      <c r="L262" t="n">
        <v>0</v>
      </c>
      <c r="M262" t="n">
        <v>4</v>
      </c>
      <c r="N262" t="n">
        <v>2</v>
      </c>
    </row>
    <row r="263">
      <c r="A263" t="inlineStr">
        <is>
          <t>Vetches</t>
        </is>
      </c>
      <c r="B263" t="inlineStr">
        <is>
          <t>4 quarters from this year's issue.</t>
        </is>
      </c>
      <c r="C263" t="n">
        <v>0</v>
      </c>
      <c r="D263" t="n">
        <v>0</v>
      </c>
      <c r="E263" t="n">
        <v>0</v>
      </c>
      <c r="F263" t="n">
        <v>0</v>
      </c>
      <c r="H263" t="n">
        <v>4</v>
      </c>
      <c r="I263" t="n">
        <v>0</v>
      </c>
      <c r="J263" t="n">
        <v>4</v>
      </c>
      <c r="K263" t="n">
        <v>4</v>
      </c>
      <c r="L263" t="n">
        <v>0</v>
      </c>
      <c r="M263" t="n">
        <v>4</v>
      </c>
      <c r="N263" t="n">
        <v>0</v>
      </c>
    </row>
    <row r="264">
      <c r="A264" t="inlineStr">
        <is>
          <t>Vetches</t>
        </is>
      </c>
      <c r="B264" t="inlineStr">
        <is>
          <t>Total, 8 quarters 2 bushels All solpence</t>
        </is>
      </c>
      <c r="C264" t="n">
        <v>0</v>
      </c>
      <c r="D264" t="n">
        <v>0</v>
      </c>
      <c r="E264" t="n">
        <v>0</v>
      </c>
      <c r="F264" t="n">
        <v>0</v>
      </c>
      <c r="H264" t="n">
        <v>8</v>
      </c>
      <c r="I264" t="n">
        <v>2</v>
      </c>
      <c r="J264" t="n">
        <v>8.25</v>
      </c>
      <c r="K264" t="n">
        <v>8.25</v>
      </c>
      <c r="L264" t="n">
        <v>0</v>
      </c>
      <c r="M264" t="n">
        <v>8</v>
      </c>
      <c r="N264" t="n">
        <v>2</v>
      </c>
    </row>
    <row r="265">
      <c r="A265" t="inlineStr">
        <is>
          <t>Stock</t>
        </is>
      </c>
      <c r="B265" t="inlineStr">
        <is>
          <t>Cart-horses: 2 remain from the previous year.</t>
        </is>
      </c>
      <c r="C265" t="n">
        <v>0</v>
      </c>
      <c r="D265" t="n">
        <v>0</v>
      </c>
      <c r="E265" t="n">
        <v>0</v>
      </c>
      <c r="F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Stock</t>
        </is>
      </c>
      <c r="B266" t="inlineStr">
        <is>
          <t>2 remain.</t>
        </is>
      </c>
      <c r="C266" t="n">
        <v>0</v>
      </c>
      <c r="D266" t="n">
        <v>0</v>
      </c>
      <c r="E266" t="n">
        <v>0</v>
      </c>
      <c r="F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Stock</t>
        </is>
      </c>
      <c r="B267" t="inlineStr">
        <is>
          <t>Plough-horses: 8 remain from the previous year.</t>
        </is>
      </c>
      <c r="C267" t="n">
        <v>0</v>
      </c>
      <c r="D267" t="n">
        <v>0</v>
      </c>
      <c r="E267" t="n">
        <v>0</v>
      </c>
      <c r="F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Stock</t>
        </is>
      </c>
      <c r="B268" t="inlineStr">
        <is>
          <t>1 bought.</t>
        </is>
      </c>
      <c r="C268" t="n">
        <v>0</v>
      </c>
      <c r="D268" t="n">
        <v>0</v>
      </c>
      <c r="E268" t="n">
        <v>0</v>
      </c>
      <c r="F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Stock</t>
        </is>
      </c>
      <c r="B269" t="inlineStr">
        <is>
          <t>Total, 9. 1 in murrain.</t>
        </is>
      </c>
      <c r="C269" t="n">
        <v>0</v>
      </c>
      <c r="D269" t="n">
        <v>0</v>
      </c>
      <c r="E269" t="n">
        <v>0</v>
      </c>
      <c r="F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Stock</t>
        </is>
      </c>
      <c r="B270" t="inlineStr">
        <is>
          <t>1 solpence Total, 2. 7 remain.</t>
        </is>
      </c>
      <c r="C270" t="n">
        <v>0</v>
      </c>
      <c r="D270" t="n">
        <v>0</v>
      </c>
      <c r="E270" t="n">
        <v>0</v>
      </c>
      <c r="F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Stock</t>
        </is>
      </c>
      <c r="B271" t="inlineStr">
        <is>
          <t>Oxen: 26 remain from the previous year.</t>
        </is>
      </c>
      <c r="C271" t="n">
        <v>0</v>
      </c>
      <c r="D271" t="n">
        <v>0</v>
      </c>
      <c r="E271" t="n">
        <v>0</v>
      </c>
      <c r="F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Stock</t>
        </is>
      </c>
      <c r="B272" t="inlineStr">
        <is>
          <t>1 from the heriot of Thomas le Cog.</t>
        </is>
      </c>
      <c r="C272" t="n">
        <v>0</v>
      </c>
      <c r="D272" t="n">
        <v>0</v>
      </c>
      <c r="E272" t="n">
        <v>0</v>
      </c>
      <c r="F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Stock</t>
        </is>
      </c>
      <c r="B273" t="inlineStr">
        <is>
          <t>5 added from stock.</t>
        </is>
      </c>
      <c r="C273" t="n">
        <v>0</v>
      </c>
      <c r="D273" t="n">
        <v>0</v>
      </c>
      <c r="E273" t="n">
        <v>0</v>
      </c>
      <c r="F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Stock</t>
        </is>
      </c>
      <c r="B274" t="inlineStr">
        <is>
          <t>Total, 32. 4 sold.</t>
        </is>
      </c>
      <c r="C274" t="n">
        <v>0</v>
      </c>
      <c r="D274" t="n">
        <v>0</v>
      </c>
      <c r="E274" t="n">
        <v>0</v>
      </c>
      <c r="F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Stock</t>
        </is>
      </c>
      <c r="B275" t="inlineStr">
        <is>
          <t>28 remain.</t>
        </is>
      </c>
      <c r="C275" t="n">
        <v>0</v>
      </c>
      <c r="D275" t="n">
        <v>0</v>
      </c>
      <c r="E275" t="n">
        <v>0</v>
      </c>
      <c r="F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Stock</t>
        </is>
      </c>
      <c r="B276" t="inlineStr">
        <is>
          <t>Bulls: 2 remain from the previous year.</t>
        </is>
      </c>
      <c r="C276" t="n">
        <v>0</v>
      </c>
      <c r="D276" t="n">
        <v>0</v>
      </c>
      <c r="E276" t="n">
        <v>0</v>
      </c>
      <c r="F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Stock</t>
        </is>
      </c>
      <c r="B277" t="inlineStr">
        <is>
          <t>2 remain.</t>
        </is>
      </c>
      <c r="C277" t="n">
        <v>0</v>
      </c>
      <c r="D277" t="n">
        <v>0</v>
      </c>
      <c r="E277" t="n">
        <v>0</v>
      </c>
      <c r="F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Stock</t>
        </is>
      </c>
      <c r="B278" t="inlineStr">
        <is>
          <t>Cows: 21 remain from the previous year.</t>
        </is>
      </c>
      <c r="C278" t="n">
        <v>0</v>
      </c>
      <c r="D278" t="n">
        <v>0</v>
      </c>
      <c r="E278" t="n">
        <v>0</v>
      </c>
      <c r="F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Stock</t>
        </is>
      </c>
      <c r="B279" t="inlineStr">
        <is>
          <t>1 from the heriot of Felicia Coker after Calving.</t>
        </is>
      </c>
      <c r="C279" t="n">
        <v>0</v>
      </c>
      <c r="D279" t="n">
        <v>0</v>
      </c>
      <c r="E279" t="n">
        <v>0</v>
      </c>
      <c r="F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Stock</t>
        </is>
      </c>
      <c r="B280" t="inlineStr">
        <is>
          <t>Total, 22. 3 sold before calving.</t>
        </is>
      </c>
      <c r="C280" t="n">
        <v>0</v>
      </c>
      <c r="D280" t="n">
        <v>0</v>
      </c>
      <c r="E280" t="n">
        <v>0</v>
      </c>
      <c r="F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Stock</t>
        </is>
      </c>
      <c r="B281" t="inlineStr">
        <is>
          <t>19 remain.</t>
        </is>
      </c>
      <c r="C281" t="n">
        <v>0</v>
      </c>
      <c r="D281" t="n">
        <v>0</v>
      </c>
      <c r="E281" t="n">
        <v>0</v>
      </c>
      <c r="F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Stock</t>
        </is>
      </c>
      <c r="B282" t="inlineStr">
        <is>
          <t>Steers: 5 remain from the previous year's bullocks.</t>
        </is>
      </c>
      <c r="C282" t="n">
        <v>0</v>
      </c>
      <c r="D282" t="n">
        <v>0</v>
      </c>
      <c r="E282" t="n">
        <v>0</v>
      </c>
      <c r="F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Stock</t>
        </is>
      </c>
      <c r="B283" t="inlineStr">
        <is>
          <t>39 bought.</t>
        </is>
      </c>
      <c r="C283" t="n">
        <v>0</v>
      </c>
      <c r="D283" t="n">
        <v>0</v>
      </c>
      <c r="E283" t="n">
        <v>0</v>
      </c>
      <c r="F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Stock</t>
        </is>
      </c>
      <c r="B284" t="inlineStr">
        <is>
          <t>Total, 44. 5 added to oxen.</t>
        </is>
      </c>
      <c r="C284" t="n">
        <v>0</v>
      </c>
      <c r="D284" t="n">
        <v>0</v>
      </c>
      <c r="E284" t="n">
        <v>0</v>
      </c>
      <c r="F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Stock</t>
        </is>
      </c>
      <c r="B285" t="inlineStr">
        <is>
          <t>39 sold.</t>
        </is>
      </c>
      <c r="C285" t="n">
        <v>0</v>
      </c>
      <c r="D285" t="n">
        <v>0</v>
      </c>
      <c r="E285" t="n">
        <v>0</v>
      </c>
      <c r="F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Stock</t>
        </is>
      </c>
      <c r="B286" t="inlineStr">
        <is>
          <t>none remain here.</t>
        </is>
      </c>
      <c r="C286" t="n">
        <v>0</v>
      </c>
      <c r="D286" t="n">
        <v>0</v>
      </c>
      <c r="E286" t="n">
        <v>0</v>
      </c>
      <c r="F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Stock</t>
        </is>
      </c>
      <c r="B287" t="inlineStr">
        <is>
          <t>Bullocks: 5 remain from the previous year's yearlings.</t>
        </is>
      </c>
      <c r="C287" t="n">
        <v>0</v>
      </c>
      <c r="D287" t="n">
        <v>0</v>
      </c>
      <c r="E287" t="n">
        <v>0</v>
      </c>
      <c r="F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Stock</t>
        </is>
      </c>
      <c r="B288" t="inlineStr">
        <is>
          <t>5 remain, 3 of them male.</t>
        </is>
      </c>
      <c r="C288" t="n">
        <v>0</v>
      </c>
      <c r="D288" t="n">
        <v>0</v>
      </c>
      <c r="E288" t="n">
        <v>0</v>
      </c>
      <c r="F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Stock</t>
        </is>
      </c>
      <c r="B289" t="inlineStr">
        <is>
          <t>Yearlings.</t>
        </is>
      </c>
      <c r="C289" t="n">
        <v>0</v>
      </c>
      <c r="D289" t="n">
        <v>0</v>
      </c>
      <c r="E289" t="n">
        <v>0</v>
      </c>
      <c r="F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Stock</t>
        </is>
      </c>
      <c r="B290" t="inlineStr">
        <is>
          <t>7 remain from the previous year's calves.</t>
        </is>
      </c>
      <c r="C290" t="n">
        <v>0</v>
      </c>
      <c r="D290" t="n">
        <v>0</v>
      </c>
      <c r="E290" t="n">
        <v>0</v>
      </c>
      <c r="F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Stock</t>
        </is>
      </c>
      <c r="B291" t="inlineStr">
        <is>
          <t>1 in murrain.</t>
        </is>
      </c>
      <c r="C291" t="n">
        <v>0</v>
      </c>
      <c r="D291" t="n">
        <v>0</v>
      </c>
      <c r="E291" t="n">
        <v>0</v>
      </c>
      <c r="F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Stock</t>
        </is>
      </c>
      <c r="B292" t="inlineStr">
        <is>
          <t>6 remain, 3 of them male.</t>
        </is>
      </c>
      <c r="C292" t="n">
        <v>0</v>
      </c>
      <c r="D292" t="n">
        <v>0</v>
      </c>
      <c r="E292" t="n">
        <v>0</v>
      </c>
      <c r="F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Stock</t>
        </is>
      </c>
      <c r="B293" t="inlineStr">
        <is>
          <t>Calves: 15 from the offspring of the said cows because 3 were sterile. 1 in tithe.</t>
        </is>
      </c>
      <c r="C293" t="n">
        <v>0</v>
      </c>
      <c r="D293" t="n">
        <v>0</v>
      </c>
      <c r="E293" t="n">
        <v>0</v>
      </c>
      <c r="F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Stock</t>
        </is>
      </c>
      <c r="B294" t="inlineStr">
        <is>
          <t>2 in murrain.</t>
        </is>
      </c>
      <c r="C294" t="n">
        <v>0</v>
      </c>
      <c r="D294" t="n">
        <v>0</v>
      </c>
      <c r="E294" t="n">
        <v>0</v>
      </c>
      <c r="F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Stock</t>
        </is>
      </c>
      <c r="B295" t="inlineStr">
        <is>
          <t>6 solpence Total, 9. 6 remain, 3 of them male.</t>
        </is>
      </c>
      <c r="C295" t="n">
        <v>0</v>
      </c>
      <c r="D295" t="n">
        <v>0</v>
      </c>
      <c r="E295" t="n">
        <v>0</v>
      </c>
      <c r="F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Stock</t>
        </is>
      </c>
      <c r="B296" t="inlineStr">
        <is>
          <t>Wethers: 354 remain from the previous year.</t>
        </is>
      </c>
      <c r="C296" t="n">
        <v>0</v>
      </c>
      <c r="D296" t="n">
        <v>0</v>
      </c>
      <c r="E296" t="n">
        <v>0</v>
      </c>
      <c r="F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Stock</t>
        </is>
      </c>
      <c r="B297" t="inlineStr">
        <is>
          <t>77 added from stock.</t>
        </is>
      </c>
      <c r="C297" t="n">
        <v>0</v>
      </c>
      <c r="D297" t="n">
        <v>0</v>
      </c>
      <c r="E297" t="n">
        <v>0</v>
      </c>
      <c r="F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Stock</t>
        </is>
      </c>
      <c r="B298" t="inlineStr">
        <is>
          <t>3 from the men of Chidden before shearing, and they will give 2 in another year.</t>
        </is>
      </c>
      <c r="C298" t="n">
        <v>0</v>
      </c>
      <c r="D298" t="n">
        <v>0</v>
      </c>
      <c r="E298" t="n">
        <v>0</v>
      </c>
      <c r="F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Stock</t>
        </is>
      </c>
      <c r="B299" t="inlineStr">
        <is>
          <t>Total, 434. 16 sold at Martinmas.</t>
        </is>
      </c>
      <c r="C299" t="n">
        <v>0</v>
      </c>
      <c r="D299" t="n">
        <v>0</v>
      </c>
      <c r="E299" t="n">
        <v>0</v>
      </c>
      <c r="F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Stock</t>
        </is>
      </c>
      <c r="B300" t="inlineStr">
        <is>
          <t>24 in murrain before shearing, 12 after shearing.</t>
        </is>
      </c>
      <c r="C300" t="n">
        <v>0</v>
      </c>
      <c r="D300" t="n">
        <v>0</v>
      </c>
      <c r="E300" t="n">
        <v>0</v>
      </c>
      <c r="F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Stock</t>
        </is>
      </c>
      <c r="B301" t="inlineStr">
        <is>
          <t>Total, 52. 382 remain.</t>
        </is>
      </c>
      <c r="C301" t="n">
        <v>0</v>
      </c>
      <c r="D301" t="n">
        <v>0</v>
      </c>
      <c r="E301" t="n">
        <v>0</v>
      </c>
      <c r="F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Stock</t>
        </is>
      </c>
      <c r="B302" t="inlineStr">
        <is>
          <t>Rams: 13 remain from the previous year.</t>
        </is>
      </c>
      <c r="C302" t="n">
        <v>0</v>
      </c>
      <c r="D302" t="n">
        <v>0</v>
      </c>
      <c r="E302" t="n">
        <v>0</v>
      </c>
      <c r="F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Stock</t>
        </is>
      </c>
      <c r="B303" t="inlineStr">
        <is>
          <t>3 added from stock.</t>
        </is>
      </c>
      <c r="C303" t="n">
        <v>0</v>
      </c>
      <c r="D303" t="n">
        <v>0</v>
      </c>
      <c r="E303" t="n">
        <v>0</v>
      </c>
      <c r="F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Stock</t>
        </is>
      </c>
      <c r="B304" t="inlineStr">
        <is>
          <t>Total, 16. 1 in murrain before shearing.</t>
        </is>
      </c>
      <c r="C304" t="n">
        <v>0</v>
      </c>
      <c r="D304" t="n">
        <v>0</v>
      </c>
      <c r="E304" t="n">
        <v>0</v>
      </c>
      <c r="F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Stock</t>
        </is>
      </c>
      <c r="B305" t="inlineStr">
        <is>
          <t>15 remain.</t>
        </is>
      </c>
      <c r="C305" t="n">
        <v>0</v>
      </c>
      <c r="D305" t="n">
        <v>0</v>
      </c>
      <c r="E305" t="n">
        <v>0</v>
      </c>
      <c r="F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Stock</t>
        </is>
      </c>
      <c r="B306" t="inlineStr">
        <is>
          <t>Ewes: 339 remain from the previous year.</t>
        </is>
      </c>
      <c r="C306" t="n">
        <v>0</v>
      </c>
      <c r="D306" t="n">
        <v>0</v>
      </c>
      <c r="E306" t="n">
        <v>0</v>
      </c>
      <c r="F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Stock</t>
        </is>
      </c>
      <c r="B307" t="inlineStr">
        <is>
          <t>94 added from stock.</t>
        </is>
      </c>
      <c r="C307" t="n">
        <v>0</v>
      </c>
      <c r="D307" t="n">
        <v>0</v>
      </c>
      <c r="E307" t="n">
        <v>0</v>
      </c>
      <c r="F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Stock</t>
        </is>
      </c>
      <c r="B308" t="inlineStr">
        <is>
          <t>2 from the men of Chidden after lambing and before shearing.</t>
        </is>
      </c>
      <c r="C308" t="n">
        <v>0</v>
      </c>
      <c r="D308" t="n">
        <v>0</v>
      </c>
      <c r="E308" t="n">
        <v>0</v>
      </c>
      <c r="F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Stock</t>
        </is>
      </c>
      <c r="B309" t="inlineStr">
        <is>
          <t>Total, 435. 14 sold at Martinmas.</t>
        </is>
      </c>
      <c r="C309" t="n">
        <v>0</v>
      </c>
      <c r="D309" t="n">
        <v>0</v>
      </c>
      <c r="E309" t="n">
        <v>0</v>
      </c>
      <c r="F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Stock</t>
        </is>
      </c>
      <c r="B310" t="inlineStr">
        <is>
          <t>24 in murrain before lambing and shearing, 8 after lambing and before shearing, 7 after shearing.</t>
        </is>
      </c>
      <c r="C310" t="n">
        <v>0</v>
      </c>
      <c r="D310" t="n">
        <v>0</v>
      </c>
      <c r="E310" t="n">
        <v>0</v>
      </c>
      <c r="F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Stock</t>
        </is>
      </c>
      <c r="B311" t="inlineStr">
        <is>
          <t>Total, 53. 382 remain.</t>
        </is>
      </c>
      <c r="C311" t="n">
        <v>0</v>
      </c>
      <c r="D311" t="n">
        <v>0</v>
      </c>
      <c r="E311" t="n">
        <v>0</v>
      </c>
      <c r="F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Stock</t>
        </is>
      </c>
      <c r="B312" t="inlineStr">
        <is>
          <t>Hoggs: 188 remain from the previous year's lambs.</t>
        </is>
      </c>
      <c r="C312" t="n">
        <v>0</v>
      </c>
      <c r="D312" t="n">
        <v>0</v>
      </c>
      <c r="E312" t="n">
        <v>0</v>
      </c>
      <c r="F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Stock</t>
        </is>
      </c>
      <c r="B313" t="inlineStr">
        <is>
          <t>14 in murrain after shearing.</t>
        </is>
      </c>
      <c r="C313" t="n">
        <v>0</v>
      </c>
      <c r="D313" t="n">
        <v>0</v>
      </c>
      <c r="E313" t="n">
        <v>0</v>
      </c>
      <c r="F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Stock</t>
        </is>
      </c>
      <c r="B314" t="inlineStr">
        <is>
          <t>77 added to wethers, 3 to rams and 94 to ewes.</t>
        </is>
      </c>
      <c r="C314" t="n">
        <v>0</v>
      </c>
      <c r="D314" t="n">
        <v>0</v>
      </c>
      <c r="E314" t="n">
        <v>0</v>
      </c>
      <c r="F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Stock</t>
        </is>
      </c>
      <c r="B315" t="inlineStr">
        <is>
          <t>none remain here.</t>
        </is>
      </c>
      <c r="C315" t="n">
        <v>0</v>
      </c>
      <c r="D315" t="n">
        <v>0</v>
      </c>
      <c r="E315" t="n">
        <v>0</v>
      </c>
      <c r="F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Stock</t>
        </is>
      </c>
      <c r="B316" t="inlineStr">
        <is>
          <t>Lambs: 255 from the offspring of the said ewes because 46 sterile.</t>
        </is>
      </c>
      <c r="C316" t="n">
        <v>0</v>
      </c>
      <c r="D316" t="n">
        <v>0</v>
      </c>
      <c r="E316" t="n">
        <v>0</v>
      </c>
      <c r="F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Stock</t>
        </is>
      </c>
      <c r="B317" t="inlineStr">
        <is>
          <t>80 bought.</t>
        </is>
      </c>
      <c r="C317" t="n">
        <v>0</v>
      </c>
      <c r="D317" t="n">
        <v>0</v>
      </c>
      <c r="E317" t="n">
        <v>0</v>
      </c>
      <c r="F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Stock</t>
        </is>
      </c>
      <c r="B318" t="inlineStr">
        <is>
          <t>Total, 335. 25 in tithe, 5 of them skins.</t>
        </is>
      </c>
      <c r="C318" t="n">
        <v>0</v>
      </c>
      <c r="D318" t="n">
        <v>0</v>
      </c>
      <c r="E318" t="n">
        <v>0</v>
      </c>
      <c r="F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Stock</t>
        </is>
      </c>
      <c r="B319" t="inlineStr">
        <is>
          <t>3 in customary payment to the reeve, shepherd and hayward.</t>
        </is>
      </c>
      <c r="C319" t="n">
        <v>0</v>
      </c>
      <c r="D319" t="n">
        <v>0</v>
      </c>
      <c r="E319" t="n">
        <v>0</v>
      </c>
      <c r="F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Stock</t>
        </is>
      </c>
      <c r="B320" t="inlineStr">
        <is>
          <t>57 in murrain before weaning and 19 after weaning and before shearing.</t>
        </is>
      </c>
      <c r="C320" t="n">
        <v>0</v>
      </c>
      <c r="D320" t="n">
        <v>0</v>
      </c>
      <c r="E320" t="n">
        <v>0</v>
      </c>
      <c r="F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Stock</t>
        </is>
      </c>
      <c r="B321" t="inlineStr">
        <is>
          <t>38 sold before shearing because feeble.</t>
        </is>
      </c>
      <c r="C321" t="n">
        <v>0</v>
      </c>
      <c r="D321" t="n">
        <v>0</v>
      </c>
      <c r="E321" t="n">
        <v>0</v>
      </c>
      <c r="F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Stock</t>
        </is>
      </c>
      <c r="B322" t="inlineStr">
        <is>
          <t>Total, 142. 193 remain.</t>
        </is>
      </c>
      <c r="C322" t="n">
        <v>0</v>
      </c>
      <c r="D322" t="n">
        <v>0</v>
      </c>
      <c r="E322" t="n">
        <v>0</v>
      </c>
      <c r="F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Stock</t>
        </is>
      </c>
      <c r="B323" t="inlineStr">
        <is>
          <t>Sows and boars: 1 boar and 3 sows remain from the previous year.</t>
        </is>
      </c>
      <c r="C323" t="n">
        <v>0</v>
      </c>
      <c r="D323" t="n">
        <v>0</v>
      </c>
      <c r="E323" t="n">
        <v>0</v>
      </c>
      <c r="F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Stock</t>
        </is>
      </c>
      <c r="B324" t="inlineStr">
        <is>
          <t>1 boar and 3 sows remain.</t>
        </is>
      </c>
      <c r="C324" t="n">
        <v>0</v>
      </c>
      <c r="D324" t="n">
        <v>0</v>
      </c>
      <c r="E324" t="n">
        <v>0</v>
      </c>
      <c r="F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Stock</t>
        </is>
      </c>
      <c r="B325" t="inlineStr">
        <is>
          <t>Pigs: 43 remain from the previous year.</t>
        </is>
      </c>
      <c r="C325" t="n">
        <v>0</v>
      </c>
      <c r="D325" t="n">
        <v>0</v>
      </c>
      <c r="E325" t="n">
        <v>0</v>
      </c>
      <c r="F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Stock</t>
        </is>
      </c>
      <c r="B326" t="inlineStr">
        <is>
          <t>24 added from stock.</t>
        </is>
      </c>
      <c r="C326" t="n">
        <v>0</v>
      </c>
      <c r="D326" t="n">
        <v>0</v>
      </c>
      <c r="E326" t="n">
        <v>0</v>
      </c>
      <c r="F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Stock</t>
        </is>
      </c>
      <c r="B327" t="inlineStr">
        <is>
          <t>Total, 67. 3 in murrain.</t>
        </is>
      </c>
      <c r="C327" t="n">
        <v>0</v>
      </c>
      <c r="D327" t="n">
        <v>0</v>
      </c>
      <c r="E327" t="n">
        <v>0</v>
      </c>
      <c r="F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Stock</t>
        </is>
      </c>
      <c r="B328" t="inlineStr">
        <is>
          <t>19 solpence Total, 22. 45 remain.</t>
        </is>
      </c>
      <c r="C328" t="n">
        <v>0</v>
      </c>
      <c r="D328" t="n">
        <v>0</v>
      </c>
      <c r="E328" t="n">
        <v>0</v>
      </c>
      <c r="F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Stock</t>
        </is>
      </c>
      <c r="B329" t="inlineStr">
        <is>
          <t>Hoggets: 27 remain from the previous year's piglets.</t>
        </is>
      </c>
      <c r="C329" t="n">
        <v>0</v>
      </c>
      <c r="D329" t="n">
        <v>0</v>
      </c>
      <c r="E329" t="n">
        <v>0</v>
      </c>
      <c r="F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Stock</t>
        </is>
      </c>
      <c r="B330" t="inlineStr">
        <is>
          <t>3 in murrain.</t>
        </is>
      </c>
      <c r="C330" t="n">
        <v>0</v>
      </c>
      <c r="D330" t="n">
        <v>0</v>
      </c>
      <c r="E330" t="n">
        <v>0</v>
      </c>
      <c r="F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Stock</t>
        </is>
      </c>
      <c r="B331" t="inlineStr">
        <is>
          <t>24 added to pigs.</t>
        </is>
      </c>
      <c r="C331" t="n">
        <v>0</v>
      </c>
      <c r="D331" t="n">
        <v>0</v>
      </c>
      <c r="E331" t="n">
        <v>0</v>
      </c>
      <c r="F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Stock</t>
        </is>
      </c>
      <c r="B332" t="inlineStr">
        <is>
          <t>none remain here.</t>
        </is>
      </c>
      <c r="C332" t="n">
        <v>0</v>
      </c>
      <c r="D332" t="n">
        <v>0</v>
      </c>
      <c r="E332" t="n">
        <v>0</v>
      </c>
      <c r="F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Stock</t>
        </is>
      </c>
      <c r="B333" t="inlineStr">
        <is>
          <t>Piglets: {henceforth distinguish the ages of the piglets}: 51 from the offspring of the said sows this year.</t>
        </is>
      </c>
      <c r="C333" t="n">
        <v>0</v>
      </c>
      <c r="D333" t="n">
        <v>0</v>
      </c>
      <c r="E333" t="n">
        <v>0</v>
      </c>
      <c r="F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Stock</t>
        </is>
      </c>
      <c r="B334" t="inlineStr">
        <is>
          <t>Total, 51. 5 in tithe.</t>
        </is>
      </c>
      <c r="C334" t="n">
        <v>0</v>
      </c>
      <c r="D334" t="n">
        <v>0</v>
      </c>
      <c r="E334" t="n">
        <v>0</v>
      </c>
      <c r="F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Stock</t>
        </is>
      </c>
      <c r="B335" t="inlineStr">
        <is>
          <t>3 in customary payment to the reeve, swineherd and haywarpence Total, 8. 43 remain.</t>
        </is>
      </c>
      <c r="C335" t="n">
        <v>0</v>
      </c>
      <c r="D335" t="n">
        <v>0</v>
      </c>
      <c r="E335" t="n">
        <v>0</v>
      </c>
      <c r="F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Stock</t>
        </is>
      </c>
      <c r="B336" t="inlineStr">
        <is>
          <t>Coarse wool: {yield of fleece 3.25pence plus 4 shilling 10.25pence in all}: 812 fleeces produced at the shearing this year.</t>
        </is>
      </c>
      <c r="C336" t="n">
        <v>0.21</v>
      </c>
      <c r="D336" t="n">
        <v>0</v>
      </c>
      <c r="E336" t="n">
        <v>4</v>
      </c>
      <c r="F336" t="n">
        <v>3.25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Stock</t>
        </is>
      </c>
      <c r="B337" t="inlineStr">
        <is>
          <t>81 in tithe.</t>
        </is>
      </c>
      <c r="C337" t="n">
        <v>0</v>
      </c>
      <c r="D337" t="n">
        <v>0</v>
      </c>
      <c r="E337" t="n">
        <v>0</v>
      </c>
      <c r="F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Stock</t>
        </is>
      </c>
      <c r="B338" t="inlineStr">
        <is>
          <t>2 in customary payment to 2 shepherds.</t>
        </is>
      </c>
      <c r="C338" t="n">
        <v>0</v>
      </c>
      <c r="D338" t="n">
        <v>0</v>
      </c>
      <c r="E338" t="n">
        <v>0</v>
      </c>
      <c r="F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Stock</t>
        </is>
      </c>
      <c r="B339" t="inlineStr">
        <is>
          <t>729 sent to Wolvesey, which made 3.5 weys 11 cloves.</t>
        </is>
      </c>
      <c r="C339" t="n">
        <v>0</v>
      </c>
      <c r="D339" t="n">
        <v>0</v>
      </c>
      <c r="E339" t="n">
        <v>0</v>
      </c>
      <c r="F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Stock</t>
        </is>
      </c>
      <c r="B340" t="inlineStr">
        <is>
          <t>Lamb's-wool: {yield of fleece 1.25pence plus 1 shilling .75pence in all}: 193 fleeces produced at the shearing this year.</t>
        </is>
      </c>
      <c r="C340" t="n">
        <v>0.06</v>
      </c>
      <c r="D340" t="n">
        <v>0</v>
      </c>
      <c r="E340" t="n">
        <v>1</v>
      </c>
      <c r="F340" t="n">
        <v>1.25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Stock</t>
        </is>
      </c>
      <c r="B341" t="inlineStr">
        <is>
          <t>all sent to Wolvesey, which made 11 cloves.</t>
        </is>
      </c>
      <c r="C341" t="n">
        <v>0</v>
      </c>
      <c r="D341" t="n">
        <v>0</v>
      </c>
      <c r="E341" t="n">
        <v>0</v>
      </c>
      <c r="F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Stock</t>
        </is>
      </c>
      <c r="B342" t="inlineStr">
        <is>
          <t>Winter cheese: 30 made.</t>
        </is>
      </c>
      <c r="C342" t="n">
        <v>0</v>
      </c>
      <c r="D342" t="n">
        <v>0</v>
      </c>
      <c r="E342" t="n">
        <v>0</v>
      </c>
      <c r="F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Stock</t>
        </is>
      </c>
      <c r="B343" t="inlineStr">
        <is>
          <t>all sold, which made 17 cloves.</t>
        </is>
      </c>
      <c r="C343" t="n">
        <v>0</v>
      </c>
      <c r="D343" t="n">
        <v>0</v>
      </c>
      <c r="E343" t="n">
        <v>0</v>
      </c>
      <c r="F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Stock</t>
        </is>
      </c>
      <c r="B344" t="inlineStr">
        <is>
          <t>Summer cheese {yield of cow 3 shilling and sheep 2pence with 1 cheese for customary payment valued at 5pence}: 167 cheeses made between Monday after the feast of SS Tiburtius and Valerian (16 April) and Michaelmas (29 September), both days included.</t>
        </is>
      </c>
      <c r="C344" t="n">
        <v>0.16</v>
      </c>
      <c r="D344" t="n">
        <v>0</v>
      </c>
      <c r="E344" t="n">
        <v>3</v>
      </c>
      <c r="F344" t="n">
        <v>2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Stock</t>
        </is>
      </c>
      <c r="B345" t="inlineStr">
        <is>
          <t>16 in tithe.</t>
        </is>
      </c>
      <c r="C345" t="n">
        <v>0</v>
      </c>
      <c r="D345" t="n">
        <v>0</v>
      </c>
      <c r="E345" t="n">
        <v>0</v>
      </c>
      <c r="F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Stock</t>
        </is>
      </c>
      <c r="B346" t="inlineStr">
        <is>
          <t>1 in customary payment to the reeve.</t>
        </is>
      </c>
      <c r="C346" t="n">
        <v>0</v>
      </c>
      <c r="D346" t="n">
        <v>0</v>
      </c>
      <c r="E346" t="n">
        <v>0</v>
      </c>
      <c r="F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Stock</t>
        </is>
      </c>
      <c r="B347" t="inlineStr">
        <is>
          <t>150 sold, which made 8.5 weys.</t>
        </is>
      </c>
      <c r="C347" t="n">
        <v>0</v>
      </c>
      <c r="D347" t="n">
        <v>0</v>
      </c>
      <c r="E347" t="n">
        <v>0</v>
      </c>
      <c r="F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Stock</t>
        </is>
      </c>
      <c r="B348" t="inlineStr">
        <is>
          <t>Butter: 1 wey and 5 cloves.</t>
        </is>
      </c>
      <c r="C348" t="n">
        <v>0</v>
      </c>
      <c r="D348" t="n">
        <v>0</v>
      </c>
      <c r="E348" t="n">
        <v>0</v>
      </c>
      <c r="F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Stock</t>
        </is>
      </c>
      <c r="B349" t="inlineStr">
        <is>
          <t>all solpence</t>
        </is>
      </c>
      <c r="C349" t="n">
        <v>0</v>
      </c>
      <c r="D349" t="n">
        <v>0</v>
      </c>
      <c r="E349" t="n">
        <v>0</v>
      </c>
      <c r="F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Stock</t>
        </is>
      </c>
      <c r="B350" t="inlineStr">
        <is>
          <t>Hens: {henceforth 5 geese and 1 gander should be reserved and the offspring of geese and hens answered for}: 54 hens from churchscot. 1 in default of the land of Richard le Wop because he has no wife.</t>
        </is>
      </c>
      <c r="C350" t="n">
        <v>0</v>
      </c>
      <c r="D350" t="n">
        <v>0</v>
      </c>
      <c r="E350" t="n">
        <v>0</v>
      </c>
      <c r="F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Stock</t>
        </is>
      </c>
      <c r="B351" t="inlineStr">
        <is>
          <t>1 in default of the land of Alice de Cruce because a widow.</t>
        </is>
      </c>
      <c r="C351" t="n">
        <v>0</v>
      </c>
      <c r="D351" t="n">
        <v>0</v>
      </c>
      <c r="E351" t="n">
        <v>0</v>
      </c>
      <c r="F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Stock</t>
        </is>
      </c>
      <c r="B352" t="inlineStr">
        <is>
          <t>1 in default of the land of Walter Albrech' because he has no wife.</t>
        </is>
      </c>
      <c r="C352" t="n">
        <v>0</v>
      </c>
      <c r="D352" t="n">
        <v>0</v>
      </c>
      <c r="E352" t="n">
        <v>0</v>
      </c>
      <c r="F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Stock</t>
        </is>
      </c>
      <c r="B353" t="inlineStr">
        <is>
          <t>1 in default of Beatrice le Kembort because a widow.</t>
        </is>
      </c>
      <c r="C353" t="n">
        <v>0</v>
      </c>
      <c r="D353" t="n">
        <v>0</v>
      </c>
      <c r="E353" t="n">
        <v>0</v>
      </c>
      <c r="F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Stock</t>
        </is>
      </c>
      <c r="B354" t="inlineStr">
        <is>
          <t>1 in default of the land of Isabel Daunfront because a widow.</t>
        </is>
      </c>
      <c r="C354" t="n">
        <v>0</v>
      </c>
      <c r="D354" t="n">
        <v>0</v>
      </c>
      <c r="E354" t="n">
        <v>0</v>
      </c>
      <c r="F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Stock</t>
        </is>
      </c>
      <c r="B355" t="inlineStr">
        <is>
          <t>1 in default of the land of Matilda ate Holte because a widow.</t>
        </is>
      </c>
      <c r="C355" t="n">
        <v>0</v>
      </c>
      <c r="D355" t="n">
        <v>0</v>
      </c>
      <c r="E355" t="n">
        <v>0</v>
      </c>
      <c r="F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Stock</t>
        </is>
      </c>
      <c r="B356" t="inlineStr">
        <is>
          <t>1 in default of the land of Henry le Wanser because a widower.</t>
        </is>
      </c>
      <c r="C356" t="n">
        <v>0</v>
      </c>
      <c r="D356" t="n">
        <v>0</v>
      </c>
      <c r="E356" t="n">
        <v>0</v>
      </c>
      <c r="F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Stock</t>
        </is>
      </c>
      <c r="B357" t="inlineStr">
        <is>
          <t>1 in default of the land of William de Cruce for the same.</t>
        </is>
      </c>
      <c r="C357" t="n">
        <v>0</v>
      </c>
      <c r="D357" t="n">
        <v>0</v>
      </c>
      <c r="E357" t="n">
        <v>0</v>
      </c>
      <c r="F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Stock</t>
        </is>
      </c>
      <c r="B358" t="inlineStr">
        <is>
          <t>1 in default of the land of Lucy Cog because a widow.</t>
        </is>
      </c>
      <c r="C358" t="n">
        <v>0</v>
      </c>
      <c r="D358" t="n">
        <v>0</v>
      </c>
      <c r="E358" t="n">
        <v>0</v>
      </c>
      <c r="F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Stock</t>
        </is>
      </c>
      <c r="B359" t="inlineStr">
        <is>
          <t>1 in default of the land of Walter le Portir because a widower.</t>
        </is>
      </c>
      <c r="C359" t="n">
        <v>0</v>
      </c>
      <c r="D359" t="n">
        <v>0</v>
      </c>
      <c r="E359" t="n">
        <v>0</v>
      </c>
      <c r="F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Stock</t>
        </is>
      </c>
      <c r="B360" t="inlineStr">
        <is>
          <t>1 in default of the land of Juliana Cattefan because a widow.</t>
        </is>
      </c>
      <c r="C360" t="n">
        <v>0</v>
      </c>
      <c r="D360" t="n">
        <v>0</v>
      </c>
      <c r="E360" t="n">
        <v>0</v>
      </c>
      <c r="F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Stock</t>
        </is>
      </c>
      <c r="B361" t="inlineStr">
        <is>
          <t>2 in default of the land of Adam Cattefan which Robert Cocus holds freely.</t>
        </is>
      </c>
      <c r="C361" t="n">
        <v>0</v>
      </c>
      <c r="D361" t="n">
        <v>0</v>
      </c>
      <c r="E361" t="n">
        <v>0</v>
      </c>
      <c r="F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Stock</t>
        </is>
      </c>
      <c r="B362" t="inlineStr">
        <is>
          <t>2 in default of the land of Richard Luce which the same Robert holds and which is commuted.</t>
        </is>
      </c>
      <c r="C362" t="n">
        <v>0</v>
      </c>
      <c r="D362" t="n">
        <v>0</v>
      </c>
      <c r="E362" t="n">
        <v>0</v>
      </c>
      <c r="F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Stock</t>
        </is>
      </c>
      <c r="B363" t="inlineStr">
        <is>
          <t>1 in default of the land of Eve le Ryde because a widow.</t>
        </is>
      </c>
      <c r="C363" t="n">
        <v>0</v>
      </c>
      <c r="D363" t="n">
        <v>0</v>
      </c>
      <c r="E363" t="n">
        <v>0</v>
      </c>
      <c r="F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Stock</t>
        </is>
      </c>
      <c r="B364" t="inlineStr">
        <is>
          <t>Total, 16. 38 solpence</t>
        </is>
      </c>
      <c r="C364" t="n">
        <v>0</v>
      </c>
      <c r="D364" t="n">
        <v>0</v>
      </c>
      <c r="E364" t="n">
        <v>0</v>
      </c>
      <c r="F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Stock</t>
        </is>
      </c>
      <c r="B365" t="inlineStr">
        <is>
          <t>Peacocks: 7 remain from the previous year.</t>
        </is>
      </c>
      <c r="C365" t="n">
        <v>0</v>
      </c>
      <c r="D365" t="n">
        <v>0</v>
      </c>
      <c r="E365" t="n">
        <v>0</v>
      </c>
      <c r="F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Stock</t>
        </is>
      </c>
      <c r="B366" t="inlineStr">
        <is>
          <t>1 in murrain.</t>
        </is>
      </c>
      <c r="C366" t="n">
        <v>0</v>
      </c>
      <c r="D366" t="n">
        <v>0</v>
      </c>
      <c r="E366" t="n">
        <v>0</v>
      </c>
      <c r="F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Stock</t>
        </is>
      </c>
      <c r="B367" t="inlineStr">
        <is>
          <t>6 remain, 1 of them a peacock.</t>
        </is>
      </c>
      <c r="C367" t="n">
        <v>0</v>
      </c>
      <c r="D367" t="n">
        <v>0</v>
      </c>
      <c r="E367" t="n">
        <v>0</v>
      </c>
      <c r="F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Stock</t>
        </is>
      </c>
      <c r="B368" t="inlineStr">
        <is>
          <t>Salt: 5 quarters from rents.</t>
        </is>
      </c>
      <c r="C368" t="n">
        <v>0</v>
      </c>
      <c r="D368" t="n">
        <v>0</v>
      </c>
      <c r="E368" t="n">
        <v>0</v>
      </c>
      <c r="F368" t="n">
        <v>0</v>
      </c>
      <c r="H368" t="n">
        <v>5</v>
      </c>
      <c r="I368" t="n">
        <v>0</v>
      </c>
      <c r="J368" t="n">
        <v>5</v>
      </c>
      <c r="K368" t="n">
        <v>5</v>
      </c>
      <c r="L368" t="n">
        <v>0</v>
      </c>
      <c r="M368" t="n">
        <v>5</v>
      </c>
      <c r="N368" t="n">
        <v>0</v>
      </c>
    </row>
    <row r="369">
      <c r="A369" t="inlineStr">
        <is>
          <t>Stock</t>
        </is>
      </c>
      <c r="B369" t="inlineStr">
        <is>
          <t>all solpence</t>
        </is>
      </c>
      <c r="C369" t="n">
        <v>0</v>
      </c>
      <c r="D369" t="n">
        <v>0</v>
      </c>
      <c r="E369" t="n">
        <v>0</v>
      </c>
      <c r="F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Stock</t>
        </is>
      </c>
      <c r="B370" t="inlineStr">
        <is>
          <t>Hides: 1 from a plough-horse, 1 from a yearling and 3 from calves dead from murrain.</t>
        </is>
      </c>
      <c r="C370" t="n">
        <v>0</v>
      </c>
      <c r="D370" t="n">
        <v>0</v>
      </c>
      <c r="E370" t="n">
        <v>0</v>
      </c>
      <c r="F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Stock</t>
        </is>
      </c>
      <c r="B371" t="inlineStr">
        <is>
          <t>all solpence</t>
        </is>
      </c>
      <c r="C371" t="n">
        <v>0</v>
      </c>
      <c r="D371" t="n">
        <v>0</v>
      </c>
      <c r="E371" t="n">
        <v>0</v>
      </c>
      <c r="F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Stock</t>
        </is>
      </c>
      <c r="B372" t="inlineStr">
        <is>
          <t>Woolskins: 24 from wethers, 1 from a ram and 32 from ewes.</t>
        </is>
      </c>
      <c r="C372" t="n">
        <v>0</v>
      </c>
      <c r="D372" t="n">
        <v>0</v>
      </c>
      <c r="E372" t="n">
        <v>0</v>
      </c>
      <c r="F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Stock</t>
        </is>
      </c>
      <c r="B373" t="inlineStr">
        <is>
          <t>all solpence</t>
        </is>
      </c>
      <c r="C373" t="n">
        <v>0</v>
      </c>
      <c r="D373" t="n">
        <v>0</v>
      </c>
      <c r="E373" t="n">
        <v>0</v>
      </c>
      <c r="F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Stock</t>
        </is>
      </c>
      <c r="B374" t="inlineStr">
        <is>
          <t>Skins after shearing: 12 from wethers, 7 from ewes and 14 from hoggs dead from murrain after shearing.</t>
        </is>
      </c>
      <c r="C374" t="n">
        <v>0</v>
      </c>
      <c r="D374" t="n">
        <v>0</v>
      </c>
      <c r="E374" t="n">
        <v>0</v>
      </c>
      <c r="F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Stock</t>
        </is>
      </c>
      <c r="B375" t="inlineStr">
        <is>
          <t>all solpence</t>
        </is>
      </c>
      <c r="C375" t="n">
        <v>0</v>
      </c>
      <c r="D375" t="n">
        <v>0</v>
      </c>
      <c r="E375" t="n">
        <v>0</v>
      </c>
      <c r="F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Stock</t>
        </is>
      </c>
      <c r="B376" t="inlineStr">
        <is>
          <t>Lambskins: 57 from lambs dead from murrain before weaning.</t>
        </is>
      </c>
      <c r="C376" t="n">
        <v>0</v>
      </c>
      <c r="D376" t="n">
        <v>0</v>
      </c>
      <c r="E376" t="n">
        <v>0</v>
      </c>
      <c r="F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Stock</t>
        </is>
      </c>
      <c r="B377" t="inlineStr">
        <is>
          <t>19 from rotted sheep.</t>
        </is>
      </c>
      <c r="C377" t="n">
        <v>0</v>
      </c>
      <c r="D377" t="n">
        <v>0</v>
      </c>
      <c r="E377" t="n">
        <v>0</v>
      </c>
      <c r="F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Stock</t>
        </is>
      </c>
      <c r="B378" t="inlineStr">
        <is>
          <t>all solpence</t>
        </is>
      </c>
      <c r="C378" t="n">
        <v>0</v>
      </c>
      <c r="D378" t="n">
        <v>0</v>
      </c>
      <c r="E378" t="n">
        <v>0</v>
      </c>
      <c r="F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Stock</t>
        </is>
      </c>
      <c r="B379" t="inlineStr">
        <is>
          <t>Utensils: 3 carts with iron tyres with all equipment, 1 standard bushel measure, 2 brass pots, 2 brass pans, 1 posnet and 1 ewer with a basin remain from the previous year.</t>
        </is>
      </c>
      <c r="C379" t="n">
        <v>0</v>
      </c>
      <c r="D379" t="n">
        <v>0</v>
      </c>
      <c r="E379" t="n">
        <v>0</v>
      </c>
      <c r="F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Stock</t>
        </is>
      </c>
      <c r="B380" t="inlineStr">
        <is>
          <t>all remain.</t>
        </is>
      </c>
      <c r="C380" t="n">
        <v>0</v>
      </c>
      <c r="D380" t="n">
        <v>0</v>
      </c>
      <c r="E380" t="n">
        <v>0</v>
      </c>
      <c r="F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Stock</t>
        </is>
      </c>
      <c r="B381" t="inlineStr">
        <is>
          <t>Cider: 2 casks and 1 pipe made this year.</t>
        </is>
      </c>
      <c r="C381" t="n">
        <v>0</v>
      </c>
      <c r="D381" t="n">
        <v>0</v>
      </c>
      <c r="E381" t="n">
        <v>0</v>
      </c>
      <c r="F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Stock</t>
        </is>
      </c>
      <c r="B382" t="inlineStr">
        <is>
          <t>2.5 casks remain.</t>
        </is>
      </c>
      <c r="C382" t="n">
        <v>0</v>
      </c>
      <c r="D382" t="n">
        <v>0</v>
      </c>
      <c r="E382" t="n">
        <v>0</v>
      </c>
      <c r="F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72"/>
  <sheetViews>
    <sheetView topLeftCell="A1"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Quarters 1_x</t>
        </is>
      </c>
      <c r="D1" s="1" t="inlineStr">
        <is>
          <t>Bushels 1_x</t>
        </is>
      </c>
      <c r="E1" s="1" t="inlineStr">
        <is>
          <t>Sown Quarters</t>
        </is>
      </c>
      <c r="F1" s="1" t="inlineStr">
        <is>
          <t>Sown Bushels</t>
        </is>
      </c>
      <c r="G1" s="1" t="inlineStr">
        <is>
          <t>Sown Total Quarters</t>
        </is>
      </c>
      <c r="H1" s="1" t="inlineStr">
        <is>
          <t>Bought in Quarters</t>
        </is>
      </c>
      <c r="I1" s="1" t="inlineStr">
        <is>
          <t>Bought in Bushels</t>
        </is>
      </c>
      <c r="J1" s="1" t="inlineStr">
        <is>
          <t>Bought in Total Quarters</t>
        </is>
      </c>
      <c r="K1" s="1" t="inlineStr">
        <is>
          <t>Tithe Quarters</t>
        </is>
      </c>
      <c r="L1" s="1" t="inlineStr">
        <is>
          <t>Tithe Bushels</t>
        </is>
      </c>
      <c r="M1" s="1" t="inlineStr">
        <is>
          <t>Tithe Total Quarters</t>
        </is>
      </c>
      <c r="N1" s="1" t="inlineStr">
        <is>
          <t>Manorial servants &amp; livestock Quarters</t>
        </is>
      </c>
      <c r="O1" s="1" t="inlineStr">
        <is>
          <t>Manorial servants &amp; livestock Bushels</t>
        </is>
      </c>
      <c r="P1" s="1" t="inlineStr">
        <is>
          <t>Manorial servants &amp; livestock Total Quarters</t>
        </is>
      </c>
      <c r="Q1" s="1" t="inlineStr">
        <is>
          <t>Sold Quarters</t>
        </is>
      </c>
      <c r="R1" s="1" t="inlineStr">
        <is>
          <t>Sold Bushels</t>
        </is>
      </c>
      <c r="S1" s="1" t="inlineStr">
        <is>
          <t>Sold Total Quarters</t>
        </is>
      </c>
      <c r="T1" s="1" t="inlineStr">
        <is>
          <t>Account Quarters</t>
        </is>
      </c>
      <c r="U1" s="1" t="inlineStr">
        <is>
          <t>Account Bushels</t>
        </is>
      </c>
      <c r="V1" s="1" t="inlineStr">
        <is>
          <t>Account Total Quarters</t>
        </is>
      </c>
      <c r="W1" s="1" t="inlineStr">
        <is>
          <t>bought only</t>
        </is>
      </c>
      <c r="X1" s="1" t="inlineStr">
        <is>
          <t>Total Quarters Except 1</t>
        </is>
      </c>
      <c r="Y1" s="1" t="inlineStr">
        <is>
          <t>Total Bushels Except 1</t>
        </is>
      </c>
      <c r="Z1" s="1" t="inlineStr">
        <is>
          <t>Total Corn Cross-Check</t>
        </is>
      </c>
      <c r="AA1" s="1" t="inlineStr">
        <is>
          <t>Total Corn Manorial Account</t>
        </is>
      </c>
      <c r="AB1" s="1" t="inlineStr">
        <is>
          <t>Corn Quantity Error</t>
        </is>
      </c>
      <c r="AC1" s="1" t="inlineStr">
        <is>
          <t>Quarters 1_y</t>
        </is>
      </c>
      <c r="AD1" s="1" t="inlineStr">
        <is>
          <t>Bushels 1_y</t>
        </is>
      </c>
      <c r="AE1" s="1" t="inlineStr">
        <is>
          <t>Quarters 2</t>
        </is>
      </c>
      <c r="AF1" s="1" t="inlineStr">
        <is>
          <t>Bushels 2</t>
        </is>
      </c>
      <c r="AG1" s="1" t="inlineStr">
        <is>
          <t>Quarters 3</t>
        </is>
      </c>
      <c r="AH1" s="1" t="inlineStr">
        <is>
          <t>Bushels 3</t>
        </is>
      </c>
    </row>
    <row r="2">
      <c r="A2" t="inlineStr">
        <is>
          <t>And thus he owes</t>
        </is>
      </c>
      <c r="B2" t="inlineStr">
        <is>
          <t>Total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Wheat</t>
        </is>
      </c>
      <c r="B3" t="inlineStr">
        <is>
          <t>{yield: 4.5-fold less .5 qr}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Wheat</t>
        </is>
      </c>
      <c r="B4" t="inlineStr">
        <is>
          <t>The same render account for 71 quarters 6 bushels from the whole issue of wheat by struck measure.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71</v>
      </c>
      <c r="U4" t="n">
        <v>6</v>
      </c>
      <c r="V4" t="n">
        <v>71.75</v>
      </c>
      <c r="W4" t="n">
        <v>0</v>
      </c>
      <c r="X4" t="n">
        <v>71</v>
      </c>
      <c r="Y4" t="n">
        <v>6</v>
      </c>
      <c r="Z4" t="n">
        <v>71.75</v>
      </c>
      <c r="AA4" t="n">
        <v>71.75</v>
      </c>
      <c r="AB4" t="n">
        <v>0</v>
      </c>
      <c r="AC4" t="n">
        <v>71</v>
      </c>
      <c r="AD4" t="n">
        <v>6</v>
      </c>
    </row>
    <row r="5">
      <c r="A5" t="inlineStr">
        <is>
          <t>Wheat</t>
        </is>
      </c>
      <c r="B5" t="inlineStr">
        <is>
          <t>1.5 quarters from churchscot.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1.5</v>
      </c>
      <c r="Y5" t="n">
        <v>0</v>
      </c>
      <c r="Z5" t="n">
        <v>1.5</v>
      </c>
      <c r="AA5" t="n">
        <v>1.5</v>
      </c>
      <c r="AB5" t="n">
        <v>0</v>
      </c>
      <c r="AC5" t="n">
        <v>1.5</v>
      </c>
      <c r="AD5" t="n">
        <v>0</v>
      </c>
    </row>
    <row r="6">
      <c r="A6" t="inlineStr">
        <is>
          <t>Wheat</t>
        </is>
      </c>
      <c r="B6" t="inlineStr">
        <is>
          <t>Total, 73 quarters 2 bushels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73</v>
      </c>
      <c r="Y6" t="n">
        <v>2</v>
      </c>
      <c r="Z6" t="n">
        <v>73.25</v>
      </c>
      <c r="AA6" t="n">
        <v>73.25</v>
      </c>
      <c r="AB6" t="n">
        <v>0</v>
      </c>
      <c r="AC6" t="n">
        <v>73</v>
      </c>
      <c r="AD6" t="n">
        <v>2</v>
      </c>
    </row>
    <row r="7">
      <c r="A7" t="inlineStr">
        <is>
          <t>Wheat</t>
        </is>
      </c>
      <c r="B7" t="inlineStr">
        <is>
          <t>Sown over 75 acres which lie in la Garston', Slade and Vyneys, 23 quarters 3.5 bushels.</t>
        </is>
      </c>
      <c r="C7" t="n">
        <v>0</v>
      </c>
      <c r="D7" t="n">
        <v>0</v>
      </c>
      <c r="E7" t="n">
        <v>23</v>
      </c>
      <c r="F7" t="n">
        <v>3.5</v>
      </c>
      <c r="G7" t="n">
        <v>23.4375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</v>
      </c>
      <c r="Y7" t="n">
        <v>3.5</v>
      </c>
      <c r="Z7" t="n">
        <v>23.4375</v>
      </c>
      <c r="AA7" t="n">
        <v>23.4375</v>
      </c>
      <c r="AB7" t="n">
        <v>0</v>
      </c>
      <c r="AC7" t="n">
        <v>23</v>
      </c>
      <c r="AD7" t="n">
        <v>3.5</v>
      </c>
    </row>
    <row r="8">
      <c r="A8" t="inlineStr">
        <is>
          <t>Wheat</t>
        </is>
      </c>
      <c r="B8" t="inlineStr">
        <is>
          <t>that is, 2.5 bushels an acre.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2.5</v>
      </c>
      <c r="Z8" t="n">
        <v>0.3125</v>
      </c>
      <c r="AA8" t="n">
        <v>0.3125</v>
      </c>
      <c r="AB8" t="n">
        <v>0</v>
      </c>
      <c r="AC8" t="n">
        <v>0</v>
      </c>
      <c r="AD8" t="n">
        <v>2.5</v>
      </c>
    </row>
    <row r="9">
      <c r="A9" t="inlineStr">
        <is>
          <t>Wheat</t>
        </is>
      </c>
      <c r="B9" t="inlineStr">
        <is>
          <t>.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Wheat</t>
        </is>
      </c>
      <c r="B10" t="inlineStr">
        <is>
          <t>provision of Simon, clerk, for 2 tourns, 6 bushels.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</v>
      </c>
      <c r="Z10" t="n">
        <v>0.75</v>
      </c>
      <c r="AA10" t="n">
        <v>0.75</v>
      </c>
      <c r="AB10" t="n">
        <v>0</v>
      </c>
      <c r="AC10" t="n">
        <v>0</v>
      </c>
      <c r="AD10" t="n">
        <v>6</v>
      </c>
    </row>
    <row r="11">
      <c r="A11" t="inlineStr">
        <is>
          <t>Wheat</t>
        </is>
      </c>
      <c r="B11" t="inlineStr">
        <is>
          <t>provision of the bailiff for his visits, 2 quarters 6 bushels Sold, 45 quarters 6 bushels Sold at the audit, 4.5 bushels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47</v>
      </c>
      <c r="R11" t="n">
        <v>12</v>
      </c>
      <c r="S11" t="n">
        <v>48.5</v>
      </c>
      <c r="T11" t="n">
        <v>0</v>
      </c>
      <c r="U11" t="n">
        <v>0</v>
      </c>
      <c r="V11" t="n">
        <v>0</v>
      </c>
      <c r="W11" t="n">
        <v>0</v>
      </c>
      <c r="X11" t="n">
        <v>45</v>
      </c>
      <c r="Y11" t="n">
        <v>10.5</v>
      </c>
      <c r="Z11" t="n">
        <v>46.3125</v>
      </c>
      <c r="AA11" t="n">
        <v>2.75</v>
      </c>
      <c r="AB11" t="n">
        <v>43.5625</v>
      </c>
      <c r="AC11" t="n">
        <v>2</v>
      </c>
      <c r="AD11" t="n">
        <v>6</v>
      </c>
      <c r="AE11" t="n">
        <v>45</v>
      </c>
      <c r="AF11" t="n">
        <v>6</v>
      </c>
      <c r="AG11" t="n">
        <v>0</v>
      </c>
      <c r="AH11" t="n">
        <v>4.5</v>
      </c>
    </row>
    <row r="12">
      <c r="A12" t="inlineStr">
        <is>
          <t>Wheat</t>
        </is>
      </c>
      <c r="B12" t="inlineStr">
        <is>
          <t>Total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Curall</t>
        </is>
      </c>
      <c r="B13" t="inlineStr">
        <is>
          <t>The same render account for 13 quarters 1 bushels from the issue of curall by struck measure.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</v>
      </c>
      <c r="U13" t="n">
        <v>1</v>
      </c>
      <c r="V13" t="n">
        <v>13.125</v>
      </c>
      <c r="W13" t="n">
        <v>0</v>
      </c>
      <c r="X13" t="n">
        <v>13</v>
      </c>
      <c r="Y13" t="n">
        <v>1</v>
      </c>
      <c r="Z13" t="n">
        <v>13.125</v>
      </c>
      <c r="AA13" t="n">
        <v>13.125</v>
      </c>
      <c r="AB13" t="n">
        <v>0</v>
      </c>
      <c r="AC13" t="n">
        <v>13</v>
      </c>
      <c r="AD13" t="n">
        <v>1</v>
      </c>
    </row>
    <row r="14">
      <c r="A14" t="inlineStr">
        <is>
          <t>Curall</t>
        </is>
      </c>
      <c r="B14" t="inlineStr">
        <is>
          <t>all solpence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Curall</t>
        </is>
      </c>
      <c r="B15" t="inlineStr">
        <is>
          <t>Total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Barley</t>
        </is>
      </c>
      <c r="B16" t="inlineStr">
        <is>
          <t>(yield: 4-fold less 3 quarters 2 bushels)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2</v>
      </c>
      <c r="Z16" t="n">
        <v>3.25</v>
      </c>
      <c r="AA16" t="n">
        <v>3.25</v>
      </c>
      <c r="AB16" t="n">
        <v>0</v>
      </c>
      <c r="AC16" t="n">
        <v>3</v>
      </c>
      <c r="AD16" t="n">
        <v>2</v>
      </c>
    </row>
    <row r="17">
      <c r="A17" t="inlineStr">
        <is>
          <t>Barley</t>
        </is>
      </c>
      <c r="B17" t="inlineStr">
        <is>
          <t>The same render account for 69 quarters 2 bushels from the whole issue of barley by struck measure.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69</v>
      </c>
      <c r="U17" t="n">
        <v>2</v>
      </c>
      <c r="V17" t="n">
        <v>69.25</v>
      </c>
      <c r="W17" t="n">
        <v>0</v>
      </c>
      <c r="X17" t="n">
        <v>69</v>
      </c>
      <c r="Y17" t="n">
        <v>2</v>
      </c>
      <c r="Z17" t="n">
        <v>69.25</v>
      </c>
      <c r="AA17" t="n">
        <v>69.25</v>
      </c>
      <c r="AB17" t="n">
        <v>0</v>
      </c>
      <c r="AC17" t="n">
        <v>69</v>
      </c>
      <c r="AD17" t="n">
        <v>2</v>
      </c>
    </row>
    <row r="18">
      <c r="A18" t="inlineStr">
        <is>
          <t>Barley</t>
        </is>
      </c>
      <c r="B18" t="inlineStr">
        <is>
          <t>6 quarters 5 bushels bought.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</v>
      </c>
      <c r="I18" t="n">
        <v>5</v>
      </c>
      <c r="J18" t="n">
        <v>6.625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</v>
      </c>
      <c r="Y18" t="n">
        <v>5</v>
      </c>
      <c r="Z18" t="n">
        <v>6.625</v>
      </c>
      <c r="AA18" t="n">
        <v>6.625</v>
      </c>
      <c r="AB18" t="n">
        <v>0</v>
      </c>
      <c r="AC18" t="n">
        <v>6</v>
      </c>
      <c r="AD18" t="n">
        <v>5</v>
      </c>
    </row>
    <row r="19">
      <c r="A19" t="inlineStr">
        <is>
          <t>Barley</t>
        </is>
      </c>
      <c r="B19" t="inlineStr">
        <is>
          <t>Total, 75 quarters 7 bushels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75</v>
      </c>
      <c r="Y19" t="n">
        <v>7</v>
      </c>
      <c r="Z19" t="n">
        <v>75.875</v>
      </c>
      <c r="AA19" t="n">
        <v>75.875</v>
      </c>
      <c r="AB19" t="n">
        <v>0</v>
      </c>
      <c r="AC19" t="n">
        <v>75</v>
      </c>
      <c r="AD19" t="n">
        <v>7</v>
      </c>
    </row>
    <row r="20">
      <c r="A20" t="inlineStr">
        <is>
          <t>Barley</t>
        </is>
      </c>
      <c r="B20" t="inlineStr">
        <is>
          <t>Sown over 33 acres which lie at Parkgate and la Rugg', 20.5 quarters.</t>
        </is>
      </c>
      <c r="C20" t="n">
        <v>0</v>
      </c>
      <c r="D20" t="n">
        <v>0</v>
      </c>
      <c r="E20" t="n">
        <v>20.5</v>
      </c>
      <c r="F20" t="n">
        <v>0</v>
      </c>
      <c r="G20" t="n">
        <v>20.5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20.5</v>
      </c>
      <c r="Y20" t="n">
        <v>0</v>
      </c>
      <c r="Z20" t="n">
        <v>20.5</v>
      </c>
      <c r="AA20" t="n">
        <v>20.5</v>
      </c>
      <c r="AB20" t="n">
        <v>0</v>
      </c>
      <c r="AC20" t="n">
        <v>20.5</v>
      </c>
      <c r="AD20" t="n">
        <v>0</v>
      </c>
    </row>
    <row r="21">
      <c r="A21" t="inlineStr">
        <is>
          <t>Barley</t>
        </is>
      </c>
      <c r="B21" t="inlineStr">
        <is>
          <t>that is, 5 bushels an acre, less 2 bushels in all.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n">
        <v>0.25</v>
      </c>
      <c r="AA21" t="n">
        <v>0.625</v>
      </c>
      <c r="AB21" t="n">
        <v>-0.375</v>
      </c>
      <c r="AC21" t="n">
        <v>0</v>
      </c>
      <c r="AD21" t="n">
        <v>5</v>
      </c>
      <c r="AE21" t="n">
        <v>0</v>
      </c>
      <c r="AF21" t="n">
        <v>2</v>
      </c>
    </row>
    <row r="22">
      <c r="A22" t="inlineStr">
        <is>
          <t>Barley</t>
        </is>
      </c>
      <c r="B22" t="inlineStr">
        <is>
          <t>Delivered to 1 park-keeper for the year, 1 qr according to custom.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Barley</t>
        </is>
      </c>
      <c r="B23" t="inlineStr">
        <is>
          <t>.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Barley</t>
        </is>
      </c>
      <c r="B24" t="inlineStr">
        <is>
          <t>customary payment to 1 keeper of lambs until the feast of St John the Baptist, 4 bushels Delivered to 1 carter, 6.5 quarters, taking a quarter every 8 weeks.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6.5</v>
      </c>
      <c r="Y24" t="n">
        <v>4</v>
      </c>
      <c r="Z24" t="n">
        <v>7</v>
      </c>
      <c r="AA24" t="n">
        <v>0.5</v>
      </c>
      <c r="AB24" t="n">
        <v>6.5</v>
      </c>
      <c r="AC24" t="n">
        <v>0</v>
      </c>
      <c r="AD24" t="n">
        <v>4</v>
      </c>
      <c r="AE24" t="n">
        <v>6.5</v>
      </c>
      <c r="AF24" t="n">
        <v>0</v>
      </c>
    </row>
    <row r="25">
      <c r="A25" t="inlineStr">
        <is>
          <t>Barley</t>
        </is>
      </c>
      <c r="B25" t="inlineStr">
        <is>
          <t>Delivered to 3 ploughmen for the year, 19.5 quarters.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19.5</v>
      </c>
      <c r="Y25" t="n">
        <v>0</v>
      </c>
      <c r="Z25" t="n">
        <v>19.5</v>
      </c>
      <c r="AA25" t="n">
        <v>19.5</v>
      </c>
      <c r="AB25" t="n">
        <v>0</v>
      </c>
      <c r="AC25" t="n">
        <v>19.5</v>
      </c>
      <c r="AD25" t="n">
        <v>0</v>
      </c>
    </row>
    <row r="26">
      <c r="A26" t="inlineStr">
        <is>
          <t>Barley</t>
        </is>
      </c>
      <c r="B26" t="inlineStr">
        <is>
          <t>Delivered to 1 dairymaid from the purification until Michaelmas, 2 quarters 6.5 bushels, taking a quarter every 12 weeks.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6.5</v>
      </c>
      <c r="Z26" t="n">
        <v>2.8125</v>
      </c>
      <c r="AA26" t="n">
        <v>2.8125</v>
      </c>
      <c r="AB26" t="n">
        <v>0</v>
      </c>
      <c r="AC26" t="n">
        <v>2</v>
      </c>
      <c r="AD26" t="n">
        <v>6.5</v>
      </c>
    </row>
    <row r="27">
      <c r="A27" t="inlineStr">
        <is>
          <t>Barley</t>
        </is>
      </c>
      <c r="B27" t="inlineStr">
        <is>
          <t>Delivered to 1 keeper of lambs from the feast of St John the Baptist until Michaelmas, for 13 weeks, 1 qr 1 bushels {Henceforth the keeper of lambs should take for 12 weeks} Sold, 23 quarters 2 bushels Sold at the audit, 5.5 bushels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</v>
      </c>
      <c r="R27" t="n">
        <v>2</v>
      </c>
      <c r="S27" t="n">
        <v>23.25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Barley</t>
        </is>
      </c>
      <c r="B28" t="inlineStr">
        <is>
          <t>Total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Oats</t>
        </is>
      </c>
      <c r="B29" t="inlineStr">
        <is>
          <t>(yield: two-fold plus 7 bushels)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</v>
      </c>
      <c r="Z29" t="n">
        <v>0.875</v>
      </c>
      <c r="AA29" t="n">
        <v>0.875</v>
      </c>
      <c r="AB29" t="n">
        <v>0</v>
      </c>
      <c r="AC29" t="n">
        <v>0</v>
      </c>
      <c r="AD29" t="n">
        <v>7</v>
      </c>
    </row>
    <row r="30">
      <c r="A30" t="inlineStr">
        <is>
          <t>Oats</t>
        </is>
      </c>
      <c r="B30" t="inlineStr">
        <is>
          <t>The same render account for 160 quarters 7 bushels from the whole issue of oats by struck measure.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160</v>
      </c>
      <c r="U30" t="n">
        <v>7</v>
      </c>
      <c r="V30" t="n">
        <v>160.875</v>
      </c>
      <c r="W30" t="n">
        <v>0</v>
      </c>
      <c r="X30" t="n">
        <v>160</v>
      </c>
      <c r="Y30" t="n">
        <v>7</v>
      </c>
      <c r="Z30" t="n">
        <v>160.875</v>
      </c>
      <c r="AA30" t="n">
        <v>160.875</v>
      </c>
      <c r="AB30" t="n">
        <v>0</v>
      </c>
      <c r="AC30" t="n">
        <v>160</v>
      </c>
      <c r="AD30" t="n">
        <v>7</v>
      </c>
    </row>
    <row r="31">
      <c r="A31" t="inlineStr">
        <is>
          <t>Oats</t>
        </is>
      </c>
      <c r="B31" t="inlineStr">
        <is>
          <t>18 quarters by estimation in sheaves.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</v>
      </c>
      <c r="Y31" t="n">
        <v>0</v>
      </c>
      <c r="Z31" t="n">
        <v>18</v>
      </c>
      <c r="AA31" t="n">
        <v>18</v>
      </c>
      <c r="AB31" t="n">
        <v>0</v>
      </c>
      <c r="AC31" t="n">
        <v>18</v>
      </c>
      <c r="AD31" t="n">
        <v>0</v>
      </c>
    </row>
    <row r="32">
      <c r="A32" t="inlineStr">
        <is>
          <t>Oats</t>
        </is>
      </c>
      <c r="B32" t="inlineStr">
        <is>
          <t>Total, 178 quarters 7 bushels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178</v>
      </c>
      <c r="Y32" t="n">
        <v>7</v>
      </c>
      <c r="Z32" t="n">
        <v>178.875</v>
      </c>
      <c r="AA32" t="n">
        <v>178.875</v>
      </c>
      <c r="AB32" t="n">
        <v>0</v>
      </c>
      <c r="AC32" t="n">
        <v>178</v>
      </c>
      <c r="AD32" t="n">
        <v>7</v>
      </c>
    </row>
    <row r="33">
      <c r="A33" t="inlineStr">
        <is>
          <t>Oats</t>
        </is>
      </c>
      <c r="B33" t="inlineStr">
        <is>
          <t>Sown over 131 acres and 1 rood which lie at la Worth', Brechlond' and la Vyneys, 82 quarters.</t>
        </is>
      </c>
      <c r="C33" t="n">
        <v>0</v>
      </c>
      <c r="D33" t="n">
        <v>0</v>
      </c>
      <c r="E33" t="n">
        <v>82</v>
      </c>
      <c r="F33" t="n">
        <v>0</v>
      </c>
      <c r="G33" t="n">
        <v>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82</v>
      </c>
      <c r="Y33" t="n">
        <v>0</v>
      </c>
      <c r="Z33" t="n">
        <v>82</v>
      </c>
      <c r="AA33" t="n">
        <v>82</v>
      </c>
      <c r="AB33" t="n">
        <v>0</v>
      </c>
      <c r="AC33" t="n">
        <v>82</v>
      </c>
      <c r="AD33" t="n">
        <v>0</v>
      </c>
    </row>
    <row r="34">
      <c r="A34" t="inlineStr">
        <is>
          <t>Oats</t>
        </is>
      </c>
      <c r="B34" t="inlineStr">
        <is>
          <t>that is, 5 bushels an acre.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</v>
      </c>
      <c r="Z34" t="n">
        <v>0.625</v>
      </c>
      <c r="AA34" t="n">
        <v>0.625</v>
      </c>
      <c r="AB34" t="n">
        <v>0</v>
      </c>
      <c r="AC34" t="n">
        <v>0</v>
      </c>
      <c r="AD34" t="n">
        <v>5</v>
      </c>
    </row>
    <row r="35">
      <c r="A35" t="inlineStr">
        <is>
          <t>Oats</t>
        </is>
      </c>
      <c r="B35" t="inlineStr">
        <is>
          <t>.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Oats</t>
        </is>
      </c>
      <c r="B36" t="inlineStr">
        <is>
          <t>.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Oats</t>
        </is>
      </c>
      <c r="B37" t="inlineStr">
        <is>
          <t>.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Oats</t>
        </is>
      </c>
      <c r="B38" t="inlineStr">
        <is>
          <t>.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Oats</t>
        </is>
      </c>
      <c r="B39" t="inlineStr">
        <is>
          <t>fodder of 2 cart-horses from Michaelmas until Lammas, because thereafter they were at the church, 19.5 quarters.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19.5</v>
      </c>
      <c r="O39" t="n">
        <v>0</v>
      </c>
      <c r="P39" t="n">
        <v>19.5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19.5</v>
      </c>
      <c r="Y39" t="n">
        <v>0</v>
      </c>
      <c r="Z39" t="n">
        <v>19.5</v>
      </c>
      <c r="AA39" t="n">
        <v>19.5</v>
      </c>
      <c r="AB39" t="n">
        <v>0</v>
      </c>
      <c r="AC39" t="n">
        <v>19.5</v>
      </c>
      <c r="AD39" t="n">
        <v>0</v>
      </c>
    </row>
    <row r="40">
      <c r="A40" t="inlineStr">
        <is>
          <t>Oats</t>
        </is>
      </c>
      <c r="B40" t="inlineStr">
        <is>
          <t>.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Oats</t>
        </is>
      </c>
      <c r="B41" t="inlineStr">
        <is>
          <t>.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Oats</t>
        </is>
      </c>
      <c r="B42" t="inlineStr">
        <is>
          <t>.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Oats</t>
        </is>
      </c>
      <c r="B43" t="inlineStr">
        <is>
          <t>.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Oats</t>
        </is>
      </c>
      <c r="B44" t="inlineStr">
        <is>
          <t>fodder of 6 plough-horses from Christmas until the Invention of the Cross (3 May), 16 quarters, at 1 bushels a night.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16</v>
      </c>
      <c r="O44" t="n">
        <v>0</v>
      </c>
      <c r="P44" t="n">
        <v>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</v>
      </c>
      <c r="Y44" t="n">
        <v>1</v>
      </c>
      <c r="Z44" t="n">
        <v>16.125</v>
      </c>
      <c r="AA44" t="n">
        <v>16</v>
      </c>
      <c r="AB44" t="n">
        <v>0.125</v>
      </c>
      <c r="AC44" t="n">
        <v>16</v>
      </c>
      <c r="AD44" t="n">
        <v>0</v>
      </c>
      <c r="AE44" t="n">
        <v>0</v>
      </c>
      <c r="AF44" t="n">
        <v>1</v>
      </c>
    </row>
    <row r="45">
      <c r="A45" t="inlineStr">
        <is>
          <t>Oats</t>
        </is>
      </c>
      <c r="B45" t="inlineStr">
        <is>
          <t>.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inlineStr">
        <is>
          <t>Oats</t>
        </is>
      </c>
      <c r="B46" t="inlineStr">
        <is>
          <t>.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inlineStr">
        <is>
          <t>Oats</t>
        </is>
      </c>
      <c r="B47" t="inlineStr">
        <is>
          <t>.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Oats</t>
        </is>
      </c>
      <c r="B48" t="inlineStr">
        <is>
          <t>.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Oats</t>
        </is>
      </c>
      <c r="B49" t="inlineStr">
        <is>
          <t>fodder of the same when they ploughed after dinner, 6 quarters.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</v>
      </c>
      <c r="O49" t="n">
        <v>0</v>
      </c>
      <c r="P49" t="n">
        <v>6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6</v>
      </c>
      <c r="Y49" t="n">
        <v>0</v>
      </c>
      <c r="Z49" t="n">
        <v>6</v>
      </c>
      <c r="AA49" t="n">
        <v>6</v>
      </c>
      <c r="AB49" t="n">
        <v>0</v>
      </c>
      <c r="AC49" t="n">
        <v>6</v>
      </c>
      <c r="AD49" t="n">
        <v>0</v>
      </c>
    </row>
    <row r="50">
      <c r="A50" t="inlineStr">
        <is>
          <t>Oats</t>
        </is>
      </c>
      <c r="B50" t="inlineStr">
        <is>
          <t>Given to oxen by estimation in sheaves, 18 quarters.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18</v>
      </c>
      <c r="Y50" t="n">
        <v>0</v>
      </c>
      <c r="Z50" t="n">
        <v>18</v>
      </c>
      <c r="AA50" t="n">
        <v>18</v>
      </c>
      <c r="AB50" t="n">
        <v>0</v>
      </c>
      <c r="AC50" t="n">
        <v>18</v>
      </c>
      <c r="AD50" t="n">
        <v>0</v>
      </c>
    </row>
    <row r="51">
      <c r="A51" t="inlineStr">
        <is>
          <t>Oats</t>
        </is>
      </c>
      <c r="B51" t="inlineStr">
        <is>
          <t>.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Oats</t>
        </is>
      </c>
      <c r="B52" t="inlineStr">
        <is>
          <t>.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Oats</t>
        </is>
      </c>
      <c r="B53" t="inlineStr">
        <is>
          <t>.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Oats</t>
        </is>
      </c>
      <c r="B54" t="inlineStr">
        <is>
          <t>.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Oats</t>
        </is>
      </c>
      <c r="B55" t="inlineStr">
        <is>
          <t>fodder of the horse of Simon, clerk, for 2 toums, 2 bushels.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</v>
      </c>
      <c r="Z55" t="n">
        <v>0.25</v>
      </c>
      <c r="AA55" t="n">
        <v>0.25</v>
      </c>
      <c r="AB55" t="n">
        <v>0</v>
      </c>
      <c r="AC55" t="n">
        <v>0</v>
      </c>
      <c r="AD55" t="n">
        <v>2</v>
      </c>
    </row>
    <row r="56">
      <c r="A56" t="inlineStr">
        <is>
          <t>Oats</t>
        </is>
      </c>
      <c r="B56" t="inlineStr">
        <is>
          <t>fodder of the bailiff's horse for his visits, 3 quarters 2 bushels.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3</v>
      </c>
      <c r="O56" t="n">
        <v>2</v>
      </c>
      <c r="P56" t="n">
        <v>3.25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</v>
      </c>
      <c r="Y56" t="n">
        <v>2</v>
      </c>
      <c r="Z56" t="n">
        <v>3.25</v>
      </c>
      <c r="AA56" t="n">
        <v>3.25</v>
      </c>
      <c r="AB56" t="n">
        <v>0</v>
      </c>
      <c r="AC56" t="n">
        <v>3</v>
      </c>
      <c r="AD56" t="n">
        <v>2</v>
      </c>
    </row>
    <row r="57">
      <c r="A57" t="inlineStr">
        <is>
          <t>Oats</t>
        </is>
      </c>
      <c r="B57" t="inlineStr">
        <is>
          <t>threshing and winnowing 129 quarters according to custom, 2 quarters 3 bushels, at 1 dish (discum) for 12 bushels, whereof 6 dishes make 1 bushel.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2</v>
      </c>
      <c r="Y57" t="n">
        <v>15</v>
      </c>
      <c r="Z57" t="n">
        <v>3.875</v>
      </c>
      <c r="AA57" t="n">
        <v>129</v>
      </c>
      <c r="AB57" t="n">
        <v>-125.125</v>
      </c>
      <c r="AC57" t="n">
        <v>129</v>
      </c>
      <c r="AD57" t="n">
        <v>0</v>
      </c>
      <c r="AE57" t="n">
        <v>2</v>
      </c>
      <c r="AF57" t="n">
        <v>3</v>
      </c>
      <c r="AG57" t="n">
        <v>0</v>
      </c>
      <c r="AH57" t="n">
        <v>12</v>
      </c>
    </row>
    <row r="58">
      <c r="A58" t="inlineStr">
        <is>
          <t>Oats</t>
        </is>
      </c>
      <c r="B58" t="inlineStr">
        <is>
          <t>Sold, 31.5 quarters.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31.5</v>
      </c>
      <c r="R58" t="n">
        <v>0</v>
      </c>
      <c r="S58" t="n">
        <v>31.5</v>
      </c>
      <c r="T58" t="n">
        <v>0</v>
      </c>
      <c r="U58" t="n">
        <v>0</v>
      </c>
      <c r="V58" t="n">
        <v>0</v>
      </c>
      <c r="W58" t="n">
        <v>0</v>
      </c>
      <c r="X58" t="n">
        <v>31.5</v>
      </c>
      <c r="Y58" t="n">
        <v>0</v>
      </c>
      <c r="Z58" t="n">
        <v>31.5</v>
      </c>
      <c r="AA58" t="n">
        <v>31.5</v>
      </c>
      <c r="AB58" t="n">
        <v>0</v>
      </c>
      <c r="AC58" t="n">
        <v>31.5</v>
      </c>
      <c r="AD58" t="n">
        <v>0</v>
      </c>
    </row>
    <row r="59">
      <c r="A59" t="inlineStr">
        <is>
          <t>Oats</t>
        </is>
      </c>
      <c r="B59" t="inlineStr">
        <is>
          <t>Total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Peas</t>
        </is>
      </c>
      <c r="B60" t="inlineStr">
        <is>
          <t>{yield: 4-fold plus 2 bushels)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</v>
      </c>
      <c r="Z60" t="n">
        <v>0.25</v>
      </c>
      <c r="AA60" t="n">
        <v>0.25</v>
      </c>
      <c r="AB60" t="n">
        <v>0</v>
      </c>
      <c r="AC60" t="n">
        <v>0</v>
      </c>
      <c r="AD60" t="n">
        <v>2</v>
      </c>
    </row>
    <row r="61">
      <c r="A61" t="inlineStr">
        <is>
          <t>Peas</t>
        </is>
      </c>
      <c r="B61" t="inlineStr">
        <is>
          <t>The same render account for 4 quarters 2 bushels from the whole issue of peas by struck measure.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4</v>
      </c>
      <c r="U61" t="n">
        <v>2</v>
      </c>
      <c r="V61" t="n">
        <v>4.25</v>
      </c>
      <c r="W61" t="n">
        <v>0</v>
      </c>
      <c r="X61" t="n">
        <v>4</v>
      </c>
      <c r="Y61" t="n">
        <v>2</v>
      </c>
      <c r="Z61" t="n">
        <v>4.25</v>
      </c>
      <c r="AA61" t="n">
        <v>4.25</v>
      </c>
      <c r="AB61" t="n">
        <v>0</v>
      </c>
      <c r="AC61" t="n">
        <v>4</v>
      </c>
      <c r="AD61" t="n">
        <v>2</v>
      </c>
    </row>
    <row r="62">
      <c r="A62" t="inlineStr">
        <is>
          <t>Peas</t>
        </is>
      </c>
      <c r="B62" t="inlineStr">
        <is>
          <t>1.5 quarters remaining from the previous year in the granary.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1.5</v>
      </c>
      <c r="Y62" t="n">
        <v>0</v>
      </c>
      <c r="Z62" t="n">
        <v>1.5</v>
      </c>
      <c r="AA62" t="n">
        <v>1.5</v>
      </c>
      <c r="AB62" t="n">
        <v>0</v>
      </c>
      <c r="AC62" t="n">
        <v>1.5</v>
      </c>
      <c r="AD62" t="n">
        <v>0</v>
      </c>
    </row>
    <row r="63">
      <c r="A63" t="inlineStr">
        <is>
          <t>Peas</t>
        </is>
      </c>
      <c r="B63" t="inlineStr">
        <is>
          <t>1 qr remaining by estimation in the stack.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Peas</t>
        </is>
      </c>
      <c r="B64" t="inlineStr">
        <is>
          <t>Total, 6 quarters 6 bushels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6</v>
      </c>
      <c r="Y64" t="n">
        <v>6</v>
      </c>
      <c r="Z64" t="n">
        <v>6.75</v>
      </c>
      <c r="AA64" t="n">
        <v>6.75</v>
      </c>
      <c r="AB64" t="n">
        <v>0</v>
      </c>
      <c r="AC64" t="n">
        <v>6</v>
      </c>
      <c r="AD64" t="n">
        <v>6</v>
      </c>
    </row>
    <row r="65">
      <c r="A65" t="inlineStr">
        <is>
          <t>Peas</t>
        </is>
      </c>
      <c r="B65" t="inlineStr">
        <is>
          <t>Sown, 2 bushels Sold, 5 quarters.</t>
        </is>
      </c>
      <c r="C65" t="n">
        <v>0</v>
      </c>
      <c r="D65" t="n">
        <v>0</v>
      </c>
      <c r="E65" t="n">
        <v>5</v>
      </c>
      <c r="F65" t="n">
        <v>0</v>
      </c>
      <c r="G65" t="n">
        <v>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5</v>
      </c>
      <c r="R65" t="n">
        <v>0</v>
      </c>
      <c r="S65" t="n">
        <v>5</v>
      </c>
      <c r="T65" t="n">
        <v>0</v>
      </c>
      <c r="U65" t="n">
        <v>0</v>
      </c>
      <c r="V65" t="n">
        <v>0</v>
      </c>
      <c r="W65" t="n">
        <v>0</v>
      </c>
      <c r="X65" t="n">
        <v>5</v>
      </c>
      <c r="Y65" t="n">
        <v>2</v>
      </c>
      <c r="Z65" t="n">
        <v>5.25</v>
      </c>
      <c r="AA65" t="n">
        <v>0.25</v>
      </c>
      <c r="AB65" t="n">
        <v>5</v>
      </c>
      <c r="AC65" t="n">
        <v>0</v>
      </c>
      <c r="AD65" t="n">
        <v>2</v>
      </c>
      <c r="AE65" t="n">
        <v>5</v>
      </c>
      <c r="AF65" t="n">
        <v>0</v>
      </c>
    </row>
    <row r="66">
      <c r="A66" t="inlineStr">
        <is>
          <t>Peas</t>
        </is>
      </c>
      <c r="B66" t="inlineStr">
        <is>
          <t>.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Peas</t>
        </is>
      </c>
      <c r="B67" t="inlineStr">
        <is>
          <t>fattening pigs for sale, 1.5 quarters.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1.5</v>
      </c>
      <c r="Y67" t="n">
        <v>0</v>
      </c>
      <c r="Z67" t="n">
        <v>1.5</v>
      </c>
      <c r="AA67" t="n">
        <v>1.5</v>
      </c>
      <c r="AB67" t="n">
        <v>0</v>
      </c>
      <c r="AC67" t="n">
        <v>1.5</v>
      </c>
      <c r="AD67" t="n">
        <v>0</v>
      </c>
    </row>
    <row r="68">
      <c r="A68" t="inlineStr">
        <is>
          <t>Peas</t>
        </is>
      </c>
      <c r="B68" t="inlineStr">
        <is>
          <t>Total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Vetches</t>
        </is>
      </c>
      <c r="B69" t="inlineStr">
        <is>
          <t>{yield: 4-fold}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Vetches</t>
        </is>
      </c>
      <c r="B70" t="inlineStr">
        <is>
          <t>The same render account for 4 quarters 2 bushels from the issue of vetches remaining in the stack from the previous year.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</v>
      </c>
      <c r="U70" t="n">
        <v>2</v>
      </c>
      <c r="V70" t="n">
        <v>4.25</v>
      </c>
      <c r="W70" t="n">
        <v>0</v>
      </c>
      <c r="X70" t="n">
        <v>4</v>
      </c>
      <c r="Y70" t="n">
        <v>2</v>
      </c>
      <c r="Z70" t="n">
        <v>4.25</v>
      </c>
      <c r="AA70" t="n">
        <v>4.25</v>
      </c>
      <c r="AB70" t="n">
        <v>0</v>
      </c>
      <c r="AC70" t="n">
        <v>4</v>
      </c>
      <c r="AD70" t="n">
        <v>2</v>
      </c>
    </row>
    <row r="71">
      <c r="A71" t="inlineStr">
        <is>
          <t>Vetches</t>
        </is>
      </c>
      <c r="B71" t="inlineStr">
        <is>
          <t>4 quarters from this year's issue.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4</v>
      </c>
      <c r="Y71" t="n">
        <v>0</v>
      </c>
      <c r="Z71" t="n">
        <v>4</v>
      </c>
      <c r="AA71" t="n">
        <v>4</v>
      </c>
      <c r="AB71" t="n">
        <v>0</v>
      </c>
      <c r="AC71" t="n">
        <v>4</v>
      </c>
      <c r="AD71" t="n">
        <v>0</v>
      </c>
    </row>
    <row r="72">
      <c r="A72" t="inlineStr">
        <is>
          <t>Vetches</t>
        </is>
      </c>
      <c r="B72" t="inlineStr">
        <is>
          <t>Total, 8 quarters 2 bushels All solpence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8</v>
      </c>
      <c r="Y72" t="n">
        <v>2</v>
      </c>
      <c r="Z72" t="n">
        <v>8.25</v>
      </c>
      <c r="AA72" t="n">
        <v>8.25</v>
      </c>
      <c r="AB72" t="n">
        <v>0</v>
      </c>
      <c r="AC72" t="n">
        <v>8</v>
      </c>
      <c r="AD72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10"/>
  <sheetViews>
    <sheetView topLeftCell="A1"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0</t>
        </is>
      </c>
      <c r="N1" s="1" t="inlineStr">
        <is>
          <t>Bushels 0</t>
        </is>
      </c>
      <c r="O1" s="1" t="inlineStr">
        <is>
          <t>shilling a quarter 1</t>
        </is>
      </c>
      <c r="P1" s="1" t="inlineStr">
        <is>
          <t>pence a quarter 1</t>
        </is>
      </c>
      <c r="Q1" s="1" t="inlineStr">
        <is>
          <t>Quarters 1</t>
        </is>
      </c>
      <c r="R1" s="1" t="inlineStr">
        <is>
          <t>Bushels 1</t>
        </is>
      </c>
      <c r="S1" s="1" t="inlineStr">
        <is>
          <t>shilling a quarter 2</t>
        </is>
      </c>
      <c r="T1" s="1" t="inlineStr">
        <is>
          <t>pence a quarter 2</t>
        </is>
      </c>
      <c r="U1" s="1" t="inlineStr">
        <is>
          <t>Quarters 2</t>
        </is>
      </c>
      <c r="V1" s="1" t="inlineStr">
        <is>
          <t>Bushels 2</t>
        </is>
      </c>
      <c r="W1" s="1" t="inlineStr">
        <is>
          <t>shilling a quarter 3</t>
        </is>
      </c>
      <c r="X1" s="1" t="inlineStr">
        <is>
          <t>pence a quarter 3</t>
        </is>
      </c>
      <c r="Y1" s="1" t="inlineStr">
        <is>
          <t>shilling a quarter 4</t>
        </is>
      </c>
      <c r="Z1" s="1" t="inlineStr">
        <is>
          <t>pence a quarter 4</t>
        </is>
      </c>
      <c r="AA1" s="1" t="inlineStr">
        <is>
          <t>£ a quarter 1</t>
        </is>
      </c>
      <c r="AB1" s="1" t="inlineStr">
        <is>
          <t>£ a quarter 2</t>
        </is>
      </c>
      <c r="AC1" s="1" t="inlineStr">
        <is>
          <t>£ a quarter 3</t>
        </is>
      </c>
      <c r="AD1" s="1" t="inlineStr">
        <is>
          <t>£ a quarter 4</t>
        </is>
      </c>
      <c r="AE1" s="1" t="inlineStr">
        <is>
          <t>Quarters Sold</t>
        </is>
      </c>
      <c r="AF1" s="1" t="inlineStr">
        <is>
          <t>Weighted Average Price per Quarter</t>
        </is>
      </c>
      <c r="AG1" s="1" t="inlineStr">
        <is>
          <t>Non-Weighted Average Price per Quarter</t>
        </is>
      </c>
      <c r="AH1" s="1" t="inlineStr">
        <is>
          <t>Corn lowercase</t>
        </is>
      </c>
    </row>
    <row r="2">
      <c r="A2" t="inlineStr">
        <is>
          <t>Sale of corn</t>
        </is>
      </c>
      <c r="B2" t="inlineStr">
        <is>
          <t>The same render account for £12 14 shilling 3pence from 45 quarters 6 bushels of wheat sold, at 5 shilling a quarters for 20 quarters 2 bushels, and 6 shilling a quarters for 25.5 quarters.</t>
        </is>
      </c>
      <c r="C2" t="n">
        <v>12.71</v>
      </c>
      <c r="D2" t="n">
        <v>12</v>
      </c>
      <c r="E2" t="n">
        <v>14</v>
      </c>
      <c r="F2" t="n">
        <v>3</v>
      </c>
      <c r="G2" t="inlineStr">
        <is>
          <t>wheat</t>
        </is>
      </c>
      <c r="H2" t="n">
        <v>45.5</v>
      </c>
      <c r="I2" t="n">
        <v>2</v>
      </c>
      <c r="J2" t="n">
        <v>45.75</v>
      </c>
      <c r="K2" t="n">
        <v>45.75</v>
      </c>
      <c r="L2" t="n">
        <v>0</v>
      </c>
      <c r="M2" t="n">
        <v>45</v>
      </c>
      <c r="N2" t="n">
        <v>6</v>
      </c>
      <c r="O2" t="n">
        <v>5</v>
      </c>
      <c r="P2" t="n">
        <v>0</v>
      </c>
      <c r="Q2" t="n">
        <v>20</v>
      </c>
      <c r="R2" t="n">
        <v>2</v>
      </c>
      <c r="S2" t="n">
        <v>6</v>
      </c>
      <c r="T2" t="n">
        <v>0</v>
      </c>
      <c r="U2" t="n">
        <v>25.5</v>
      </c>
      <c r="V2" t="n">
        <v>0</v>
      </c>
      <c r="AA2" t="n">
        <v>0.25</v>
      </c>
      <c r="AB2" t="n">
        <v>0.3</v>
      </c>
      <c r="AE2" t="n">
        <v>45.75</v>
      </c>
      <c r="AF2" t="n">
        <v>0.2778688524590164</v>
      </c>
      <c r="AG2" t="n">
        <v>0.275</v>
      </c>
      <c r="AH2" t="inlineStr">
        <is>
          <t>wheat</t>
        </is>
      </c>
    </row>
    <row r="3">
      <c r="A3" t="inlineStr">
        <is>
          <t>Sale of corn</t>
        </is>
      </c>
      <c r="B3" t="inlineStr">
        <is>
          <t>£1 15 shilling from 13 quarters 1 bushels of curall sold, at 2 shilling 8pence a quarters.</t>
        </is>
      </c>
      <c r="C3" t="n">
        <v>1.75</v>
      </c>
      <c r="D3" t="n">
        <v>1</v>
      </c>
      <c r="E3" t="n">
        <v>15</v>
      </c>
      <c r="F3" t="n">
        <v>0</v>
      </c>
      <c r="G3" t="inlineStr">
        <is>
          <t>curall</t>
        </is>
      </c>
      <c r="H3" t="n">
        <v>13</v>
      </c>
      <c r="I3" t="n">
        <v>1</v>
      </c>
      <c r="J3" t="n">
        <v>13.125</v>
      </c>
      <c r="K3" t="n">
        <v>13.125</v>
      </c>
      <c r="L3" t="n">
        <v>0</v>
      </c>
      <c r="M3" t="n">
        <v>13</v>
      </c>
      <c r="N3" t="n">
        <v>1</v>
      </c>
      <c r="O3" t="n">
        <v>2</v>
      </c>
      <c r="P3" t="n">
        <v>8</v>
      </c>
      <c r="AA3" t="n">
        <v>0.1333333333333333</v>
      </c>
      <c r="AE3" t="n">
        <v>13.125</v>
      </c>
      <c r="AF3" t="n">
        <v>0.1333333333333333</v>
      </c>
      <c r="AG3" t="n">
        <v>0.1333333333333333</v>
      </c>
      <c r="AH3" t="inlineStr">
        <is>
          <t>curall</t>
        </is>
      </c>
    </row>
    <row r="4">
      <c r="A4" t="inlineStr">
        <is>
          <t>Sale of corn</t>
        </is>
      </c>
      <c r="B4" t="inlineStr">
        <is>
          <t>£4 13 shilling from 23 quarters 2 bushels of barley sold, at 4 shilling a quarters.</t>
        </is>
      </c>
      <c r="C4" t="n">
        <v>4.65</v>
      </c>
      <c r="D4" t="n">
        <v>4</v>
      </c>
      <c r="E4" t="n">
        <v>13</v>
      </c>
      <c r="F4" t="n">
        <v>0</v>
      </c>
      <c r="G4" t="inlineStr">
        <is>
          <t>barley</t>
        </is>
      </c>
      <c r="H4" t="n">
        <v>23</v>
      </c>
      <c r="I4" t="n">
        <v>2</v>
      </c>
      <c r="J4" t="n">
        <v>23.25</v>
      </c>
      <c r="K4" t="n">
        <v>23.25</v>
      </c>
      <c r="L4" t="n">
        <v>0</v>
      </c>
      <c r="M4" t="n">
        <v>23</v>
      </c>
      <c r="N4" t="n">
        <v>2</v>
      </c>
      <c r="O4" t="n">
        <v>4</v>
      </c>
      <c r="P4" t="n">
        <v>0</v>
      </c>
      <c r="AA4" t="n">
        <v>0.2</v>
      </c>
      <c r="AE4" t="n">
        <v>23.25</v>
      </c>
      <c r="AF4" t="n">
        <v>0.2</v>
      </c>
      <c r="AG4" t="n">
        <v>0.2</v>
      </c>
      <c r="AH4" t="inlineStr">
        <is>
          <t>barley</t>
        </is>
      </c>
    </row>
    <row r="5">
      <c r="A5" t="inlineStr">
        <is>
          <t>Sale of corn</t>
        </is>
      </c>
      <c r="B5" t="inlineStr">
        <is>
          <t>£3 5 shilling 9.5pence from 31.5 quarters of oats sold, at 2 shilling a quarters for 14 quarters 6 bushels, and 2 shilling 2pence a quarters for 16 quarters 6 bushels.</t>
        </is>
      </c>
      <c r="C5" t="n">
        <v>3.29</v>
      </c>
      <c r="D5" t="n">
        <v>3</v>
      </c>
      <c r="E5" t="n">
        <v>5</v>
      </c>
      <c r="F5" t="n">
        <v>9.5</v>
      </c>
      <c r="G5" t="inlineStr">
        <is>
          <t>oats</t>
        </is>
      </c>
      <c r="H5" t="n">
        <v>30</v>
      </c>
      <c r="I5" t="n">
        <v>12</v>
      </c>
      <c r="J5" t="n">
        <v>31.5</v>
      </c>
      <c r="K5" t="n">
        <v>31.5</v>
      </c>
      <c r="L5" t="n">
        <v>0</v>
      </c>
      <c r="M5" t="n">
        <v>31.5</v>
      </c>
      <c r="N5" t="n">
        <v>0</v>
      </c>
      <c r="O5" t="n">
        <v>2</v>
      </c>
      <c r="P5" t="n">
        <v>0</v>
      </c>
      <c r="Q5" t="n">
        <v>14</v>
      </c>
      <c r="R5" t="n">
        <v>6</v>
      </c>
      <c r="S5" t="n">
        <v>2</v>
      </c>
      <c r="T5" t="n">
        <v>2</v>
      </c>
      <c r="U5" t="n">
        <v>16</v>
      </c>
      <c r="V5" t="n">
        <v>6</v>
      </c>
      <c r="AA5" t="n">
        <v>0.1</v>
      </c>
      <c r="AB5" t="n">
        <v>0.1083333333333333</v>
      </c>
      <c r="AE5" t="n">
        <v>31.5</v>
      </c>
      <c r="AF5" t="n">
        <v>0.1044312169312169</v>
      </c>
      <c r="AG5" t="n">
        <v>0.1041666666666667</v>
      </c>
      <c r="AH5" t="inlineStr">
        <is>
          <t>oats</t>
        </is>
      </c>
    </row>
    <row r="6">
      <c r="A6" t="inlineStr">
        <is>
          <t>Sale of corn</t>
        </is>
      </c>
      <c r="B6" t="inlineStr">
        <is>
          <t>12 shilling 6pence from 5 quarters of peas sold, at 2 shilling 6pence a quarters.</t>
        </is>
      </c>
      <c r="C6" t="n">
        <v>0.62</v>
      </c>
      <c r="D6" t="n">
        <v>0</v>
      </c>
      <c r="E6" t="n">
        <v>12</v>
      </c>
      <c r="F6" t="n">
        <v>6</v>
      </c>
      <c r="G6" t="inlineStr">
        <is>
          <t>peas</t>
        </is>
      </c>
      <c r="H6" t="n">
        <v>5</v>
      </c>
      <c r="I6" t="n">
        <v>0</v>
      </c>
      <c r="J6" t="n">
        <v>5</v>
      </c>
      <c r="K6" t="n">
        <v>5</v>
      </c>
      <c r="L6" t="n">
        <v>0</v>
      </c>
      <c r="M6" t="n">
        <v>5</v>
      </c>
      <c r="N6" t="n">
        <v>0</v>
      </c>
      <c r="O6" t="n">
        <v>2</v>
      </c>
      <c r="P6" t="n">
        <v>6</v>
      </c>
      <c r="AA6" t="n">
        <v>0.125</v>
      </c>
      <c r="AE6" t="n">
        <v>5</v>
      </c>
      <c r="AF6" t="n">
        <v>0.125</v>
      </c>
      <c r="AG6" t="n">
        <v>0.125</v>
      </c>
      <c r="AH6" t="inlineStr">
        <is>
          <t>peas</t>
        </is>
      </c>
    </row>
    <row r="7">
      <c r="A7" t="inlineStr">
        <is>
          <t>Sale of corn</t>
        </is>
      </c>
      <c r="B7" t="inlineStr">
        <is>
          <t>16 shilling 6pence from 8 quarters of vetches sold, at 2 shilling a quarters.</t>
        </is>
      </c>
      <c r="C7" t="n">
        <v>0.83</v>
      </c>
      <c r="D7" t="n">
        <v>0</v>
      </c>
      <c r="E7" t="n">
        <v>16</v>
      </c>
      <c r="F7" t="n">
        <v>6</v>
      </c>
      <c r="G7" t="inlineStr">
        <is>
          <t>vetches</t>
        </is>
      </c>
      <c r="H7" t="n">
        <v>8</v>
      </c>
      <c r="I7" t="n">
        <v>0</v>
      </c>
      <c r="J7" t="n">
        <v>8</v>
      </c>
      <c r="K7" t="n">
        <v>8</v>
      </c>
      <c r="L7" t="n">
        <v>0</v>
      </c>
      <c r="M7" t="n">
        <v>8</v>
      </c>
      <c r="N7" t="n">
        <v>0</v>
      </c>
      <c r="O7" t="n">
        <v>2</v>
      </c>
      <c r="P7" t="n">
        <v>0</v>
      </c>
      <c r="AA7" t="n">
        <v>0.1</v>
      </c>
      <c r="AE7" t="n">
        <v>8</v>
      </c>
      <c r="AF7" t="n">
        <v>0.1</v>
      </c>
      <c r="AG7" t="n">
        <v>0.1</v>
      </c>
      <c r="AH7" t="inlineStr">
        <is>
          <t>vetches</t>
        </is>
      </c>
    </row>
    <row r="8">
      <c r="A8" t="inlineStr">
        <is>
          <t>Sale of corn</t>
        </is>
      </c>
      <c r="B8" t="inlineStr">
        <is>
          <t>3 shilling 4.5pence from 4.5 bushels of wheat sold at the audit.</t>
        </is>
      </c>
      <c r="C8" t="n">
        <v>0.17</v>
      </c>
      <c r="D8" t="n">
        <v>0</v>
      </c>
      <c r="E8" t="n">
        <v>3</v>
      </c>
      <c r="F8" t="n">
        <v>4.5</v>
      </c>
      <c r="G8" t="inlineStr">
        <is>
          <t>wheat</t>
        </is>
      </c>
      <c r="H8" t="n">
        <v>0</v>
      </c>
      <c r="I8" t="n">
        <v>4.5</v>
      </c>
      <c r="J8" t="n">
        <v>0.5625</v>
      </c>
      <c r="K8" t="n">
        <v>0.5625</v>
      </c>
      <c r="L8" t="n">
        <v>0</v>
      </c>
      <c r="M8" t="n">
        <v>0</v>
      </c>
      <c r="N8" t="n">
        <v>4.5</v>
      </c>
      <c r="AA8" t="n">
        <v>0.3022222222222222</v>
      </c>
      <c r="AE8" t="n">
        <v>0.5625</v>
      </c>
      <c r="AF8" t="n">
        <v>0.3022222222222222</v>
      </c>
      <c r="AG8" t="n">
        <v>0.3022222222222222</v>
      </c>
      <c r="AH8" t="inlineStr">
        <is>
          <t>wheat</t>
        </is>
      </c>
    </row>
    <row r="9">
      <c r="A9" t="inlineStr">
        <is>
          <t>Sale of corn</t>
        </is>
      </c>
      <c r="B9" t="inlineStr">
        <is>
          <t>2 shilling 9pence from 5.5 bushels of barley sold at the audit.</t>
        </is>
      </c>
      <c r="C9" t="n">
        <v>0.14</v>
      </c>
      <c r="D9" t="n">
        <v>0</v>
      </c>
      <c r="E9" t="n">
        <v>2</v>
      </c>
      <c r="F9" t="n">
        <v>9</v>
      </c>
      <c r="G9" t="inlineStr">
        <is>
          <t>barley</t>
        </is>
      </c>
      <c r="H9" t="n">
        <v>0</v>
      </c>
      <c r="I9" t="n">
        <v>5.5</v>
      </c>
      <c r="J9" t="n">
        <v>0.6875</v>
      </c>
      <c r="K9" t="n">
        <v>0.6875</v>
      </c>
      <c r="L9" t="n">
        <v>0</v>
      </c>
      <c r="M9" t="n">
        <v>0</v>
      </c>
      <c r="N9" t="n">
        <v>5.5</v>
      </c>
      <c r="AA9" t="n">
        <v>0.2036363636363636</v>
      </c>
      <c r="AE9" t="n">
        <v>0.6875</v>
      </c>
      <c r="AF9" t="n">
        <v>0.2036363636363636</v>
      </c>
      <c r="AG9" t="n">
        <v>0.2036363636363636</v>
      </c>
      <c r="AH9" t="inlineStr">
        <is>
          <t>barley</t>
        </is>
      </c>
    </row>
    <row r="10">
      <c r="A10" t="inlineStr">
        <is>
          <t>Sale of corn</t>
        </is>
      </c>
      <c r="B10" t="inlineStr">
        <is>
          <t>Total, £24 3 shilling 2pence</t>
        </is>
      </c>
      <c r="C10" t="n">
        <v>24.16</v>
      </c>
      <c r="D10" t="n">
        <v>24</v>
      </c>
      <c r="E10" t="n">
        <v>3</v>
      </c>
      <c r="F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AA10" t="inlineStr">
        <is>
          <t>inf</t>
        </is>
      </c>
      <c r="AE10" t="n">
        <v>0</v>
      </c>
      <c r="AF10" t="inlineStr">
        <is>
          <t>inf</t>
        </is>
      </c>
      <c r="AG10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2024-09-06T15:22:17Z</dcterms:created>
  <dcterms:modified xmlns:dcterms="http://purl.org/dc/terms/" xmlns:xsi="http://www.w3.org/2001/XMLSchema-instance" xsi:type="dcterms:W3CDTF">2025-12-18T10:17:05Z</dcterms:modified>
  <cp:lastModifiedBy>Kowalski, Kuba</cp:lastModifiedBy>
</cp:coreProperties>
</file>
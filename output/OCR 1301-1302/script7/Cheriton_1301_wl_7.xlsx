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Cheriton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 xmlns:r="http://schemas.openxmlformats.org/officeDocument/2006/relationships" name="Issues of the Grange raw" sheetId="11" state="visible" r:id="rId11"/>
    <sheet xmlns:r="http://schemas.openxmlformats.org/officeDocument/2006/relationships" name="Sale of Corn Pric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2">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color rgb="FFFF0000"/>
      <sz val="11"/>
      <scheme val="minor"/>
    </font>
    <font>
      <name val="Calibri (Body)"/>
      <color rgb="FFFF0000"/>
      <sz val="11"/>
    </font>
    <font>
      <name val="Calibri"/>
      <family val="2"/>
      <sz val="11"/>
    </font>
    <font>
      <name val="Calibri"/>
      <family val="2"/>
      <b val="1"/>
      <color rgb="FF000000"/>
      <sz val="11"/>
      <scheme val="minor"/>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20">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50">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28" fillId="0" borderId="0" pivotButton="0" quotePrefix="0" xfId="0"/>
    <xf numFmtId="2" fontId="9" fillId="0" borderId="0" pivotButton="0" quotePrefix="0" xfId="0"/>
    <xf numFmtId="0" fontId="28" fillId="5" borderId="0" pivotButton="0" quotePrefix="0" xfId="0"/>
    <xf numFmtId="2" fontId="0" fillId="5" borderId="0" pivotButton="0" quotePrefix="0" xfId="0"/>
    <xf numFmtId="0" fontId="20" fillId="5" borderId="0" pivotButton="0" quotePrefix="0" xfId="0"/>
    <xf numFmtId="0" fontId="0" fillId="0" borderId="17" pivotButton="0" quotePrefix="0" xfId="0"/>
    <xf numFmtId="2" fontId="0" fillId="0" borderId="18" pivotButton="0" quotePrefix="0" xfId="0"/>
    <xf numFmtId="0" fontId="0" fillId="0" borderId="18" pivotButton="0" quotePrefix="0" xfId="0"/>
    <xf numFmtId="10" fontId="0" fillId="0" borderId="18" pivotButton="0" quotePrefix="0" xfId="0"/>
    <xf numFmtId="0" fontId="0" fillId="0" borderId="19" pivotButton="0" quotePrefix="0" xfId="0"/>
    <xf numFmtId="2" fontId="9" fillId="0" borderId="0" applyAlignment="1" pivotButton="0" quotePrefix="0" xfId="0">
      <alignment horizontal="center"/>
    </xf>
    <xf numFmtId="2" fontId="11" fillId="0" borderId="0" applyAlignment="1" pivotButton="0" quotePrefix="0" xfId="0">
      <alignment horizontal="center" vertical="top"/>
    </xf>
    <xf numFmtId="2" fontId="29" fillId="0" borderId="0" pivotButton="0" quotePrefix="0" xfId="0"/>
    <xf numFmtId="0" fontId="30" fillId="0" borderId="0" applyAlignment="1" pivotButton="0" quotePrefix="0" xfId="0">
      <alignment horizontal="left" vertical="center"/>
    </xf>
    <xf numFmtId="2" fontId="28" fillId="0" borderId="0" applyAlignment="1" pivotButton="0" quotePrefix="0" xfId="0">
      <alignment horizontal="right" vertical="center"/>
    </xf>
    <xf numFmtId="0" fontId="7" fillId="0" borderId="0" applyAlignment="1" pivotButton="0" quotePrefix="0" xfId="0">
      <alignment horizontal="center" vertical="top" wrapText="1"/>
    </xf>
    <xf numFmtId="2" fontId="7" fillId="0" borderId="0" applyAlignment="1" pivotButton="0" quotePrefix="0" xfId="0">
      <alignment horizontal="center" vertical="top" wrapText="1"/>
    </xf>
    <xf numFmtId="0" fontId="20" fillId="0" borderId="0" applyAlignment="1" pivotButton="0" quotePrefix="0" xfId="0">
      <alignment horizontal="right" wrapText="1"/>
    </xf>
    <xf numFmtId="0" fontId="20" fillId="0" borderId="0" applyAlignment="1" pivotButton="0" quotePrefix="0" xfId="0">
      <alignment wrapText="1"/>
    </xf>
    <xf numFmtId="0" fontId="31" fillId="0" borderId="3" applyAlignment="1" pivotButton="0" quotePrefix="0" xfId="0">
      <alignment wrapText="1"/>
    </xf>
    <xf numFmtId="2" fontId="20" fillId="0" borderId="0" applyAlignment="1" pivotButton="0" quotePrefix="0" xfId="0">
      <alignment horizontal="right" wrapText="1"/>
    </xf>
    <xf numFmtId="0" fontId="0" fillId="0" borderId="3" pivotButton="0" quotePrefix="0" xfId="0"/>
    <xf numFmtId="2" fontId="0"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3"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CHERITON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57.61</v>
      </c>
      <c r="D4" s="13" t="n"/>
      <c r="E4" s="13" t="n"/>
    </row>
    <row r="5">
      <c r="A5" s="15" t="inlineStr">
        <is>
          <t>Rents of assize total</t>
        </is>
      </c>
      <c r="B5" s="76" t="n">
        <v>31.6</v>
      </c>
    </row>
    <row r="6">
      <c r="A6" s="15" t="inlineStr">
        <is>
          <t>Quittances total</t>
        </is>
      </c>
      <c r="B6" s="76" t="n">
        <v>2.1</v>
      </c>
    </row>
    <row r="7">
      <c r="A7" s="15" t="inlineStr">
        <is>
          <t>Defaults of rent total</t>
        </is>
      </c>
      <c r="B7" s="76" t="n">
        <v>4.726666666666667</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6.83</v>
      </c>
    </row>
    <row r="12">
      <c r="A12" s="76" t="inlineStr">
        <is>
          <t>Total of rents remaining clear total</t>
        </is>
      </c>
      <c r="B12" s="76" t="n">
        <v>24.76</v>
      </c>
    </row>
    <row r="13">
      <c r="A13" s="76" t="inlineStr">
        <is>
          <t>Farms total</t>
        </is>
      </c>
      <c r="B13" s="76" t="n"/>
    </row>
    <row r="14">
      <c r="A14" s="15" t="inlineStr">
        <is>
          <t>Annual recognizances total</t>
        </is>
      </c>
      <c r="B14" s="76" t="n">
        <v>0.03</v>
      </c>
    </row>
    <row r="15">
      <c r="A15" s="15" t="inlineStr">
        <is>
          <t>Issues of the Manor total</t>
        </is>
      </c>
      <c r="B15" s="76" t="n">
        <v>23.85</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4.31</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v>91.59166666666667</v>
      </c>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4.13</v>
      </c>
    </row>
    <row r="31">
      <c r="A31" s="15" t="inlineStr">
        <is>
          <t>Purchase of corn total</t>
        </is>
      </c>
      <c r="B31" t="n">
        <v>3.01</v>
      </c>
    </row>
    <row r="32">
      <c r="A32" s="15" t="inlineStr">
        <is>
          <t>Cost of carts and wagons total</t>
        </is>
      </c>
    </row>
    <row r="33">
      <c r="A33" s="15" t="inlineStr">
        <is>
          <t>Cost of dairy total</t>
        </is>
      </c>
    </row>
    <row r="34">
      <c r="A34" s="15" t="inlineStr">
        <is>
          <t>Purchase of stock total</t>
        </is>
      </c>
      <c r="B34" t="n">
        <v>3.97</v>
      </c>
    </row>
    <row r="35">
      <c r="A35" s="15" t="inlineStr">
        <is>
          <t>Sheepcote total</t>
        </is>
      </c>
    </row>
    <row r="36">
      <c r="A36" s="15" t="inlineStr">
        <is>
          <t>Cost of buildings total</t>
        </is>
      </c>
      <c r="B36" s="84" t="n"/>
    </row>
    <row r="37">
      <c r="A37" s="15" t="inlineStr">
        <is>
          <t>Threshing total</t>
        </is>
      </c>
      <c r="B37" t="n">
        <v>1.894166666666667</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0.34</v>
      </c>
    </row>
    <row r="43">
      <c r="A43" s="85" t="inlineStr">
        <is>
          <t>Annual fees</t>
        </is>
      </c>
      <c r="B43" s="86" t="n"/>
      <c r="C43" s="87" t="n"/>
      <c r="D43" s="88" t="n"/>
    </row>
    <row r="44">
      <c r="A44" s="82" t="inlineStr">
        <is>
          <t>Total of all expenses per account</t>
        </is>
      </c>
      <c r="B44" s="84" t="n">
        <v>21</v>
      </c>
    </row>
    <row r="45">
      <c r="A45" s="82" t="inlineStr">
        <is>
          <t>Total of all expenses (calculated here)</t>
        </is>
      </c>
      <c r="B45" s="84" t="n">
        <v>21.54270833333333</v>
      </c>
    </row>
    <row r="46">
      <c r="A46" s="82" t="inlineStr">
        <is>
          <t>Total fixed investment</t>
        </is>
      </c>
      <c r="B46" s="84" t="n">
        <v>2.84</v>
      </c>
    </row>
    <row r="47">
      <c r="A47" s="82" t="inlineStr">
        <is>
          <t>Total Demesne fixed investment</t>
        </is>
      </c>
      <c r="B47" s="84" t="n">
        <v>2.84</v>
      </c>
    </row>
    <row r="48">
      <c r="A48" s="12" t="n"/>
    </row>
    <row r="49">
      <c r="A49" s="18" t="inlineStr">
        <is>
          <t>Owed by the reeve</t>
        </is>
      </c>
      <c r="B49" s="84">
        <f>B23-B45</f>
        <v/>
      </c>
    </row>
    <row r="50">
      <c r="A50" s="18" t="inlineStr">
        <is>
          <t>From accounts</t>
        </is>
      </c>
      <c r="B50" s="84" t="n">
        <v>21</v>
      </c>
    </row>
    <row r="51">
      <c r="A51" s="15" t="n"/>
    </row>
    <row r="52">
      <c r="A52" s="18" t="inlineStr">
        <is>
          <t>Allowances</t>
        </is>
      </c>
      <c r="B52" s="84" t="n"/>
    </row>
    <row r="53">
      <c r="A53" s="18" t="inlineStr">
        <is>
          <t>Cash deliveries</t>
        </is>
      </c>
      <c r="B53" s="84" t="n">
        <v>40.53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94</v>
      </c>
      <c r="E62" t="n">
        <v>20.04166666666667</v>
      </c>
      <c r="F62" s="13" t="n"/>
    </row>
    <row r="63">
      <c r="A63" s="76" t="inlineStr">
        <is>
          <t>Rye</t>
        </is>
      </c>
      <c r="F63" s="13" t="n"/>
    </row>
    <row r="64">
      <c r="A64" s="76" t="inlineStr">
        <is>
          <t>Dredge</t>
        </is>
      </c>
      <c r="F64" s="13" t="n"/>
    </row>
    <row r="65">
      <c r="A65" s="76" t="inlineStr">
        <is>
          <t>Curall</t>
        </is>
      </c>
      <c r="B65" t="n">
        <v>3.25</v>
      </c>
      <c r="E65" t="n">
        <v>0.4374999999999999</v>
      </c>
      <c r="F65" s="13" t="n"/>
    </row>
    <row r="66">
      <c r="A66" s="76" t="inlineStr">
        <is>
          <t>Barley</t>
        </is>
      </c>
      <c r="B66" t="n">
        <v>55.5</v>
      </c>
      <c r="E66" t="n">
        <v>3.551282051282051</v>
      </c>
      <c r="F66" s="13" t="n"/>
    </row>
    <row r="67">
      <c r="A67" s="76" t="inlineStr">
        <is>
          <t>Oats</t>
        </is>
      </c>
      <c r="B67" t="n">
        <v>135</v>
      </c>
      <c r="E67" t="n">
        <v>4.443790849673202</v>
      </c>
      <c r="F67" s="13" t="n"/>
    </row>
    <row r="68">
      <c r="A68" s="76" t="inlineStr">
        <is>
          <t>Beans</t>
        </is>
      </c>
      <c r="F68" s="13" t="n"/>
    </row>
    <row r="69">
      <c r="A69" s="76" t="inlineStr">
        <is>
          <t>Peas</t>
        </is>
      </c>
      <c r="B69" t="n">
        <v>2.5</v>
      </c>
      <c r="E69" t="n">
        <v>0.06458333333333333</v>
      </c>
      <c r="F69" s="13" t="n"/>
    </row>
    <row r="70">
      <c r="A70" s="76" t="inlineStr">
        <is>
          <t>Vetches</t>
        </is>
      </c>
      <c r="B70" t="n">
        <v>2.125</v>
      </c>
      <c r="E70" t="n">
        <v>0.0625</v>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2</v>
      </c>
      <c r="C87" s="76" t="n">
        <v>2</v>
      </c>
      <c r="D87" s="76" t="n">
        <v>0</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v>13</v>
      </c>
      <c r="C89" s="76" t="n">
        <v>8</v>
      </c>
      <c r="D89" s="76" t="n">
        <v>-5</v>
      </c>
      <c r="F89" s="84">
        <f>'Stock'!K7*'Stock'!O7</f>
        <v/>
      </c>
      <c r="G89" s="84">
        <f>D89*'Stock'!O7</f>
        <v/>
      </c>
    </row>
    <row r="90">
      <c r="A90" s="15" t="inlineStr">
        <is>
          <t>Colts (2 years)</t>
        </is>
      </c>
      <c r="B90" s="76" t="n">
        <v>2</v>
      </c>
      <c r="C90" s="76" t="n">
        <v>1</v>
      </c>
      <c r="D90" s="76" t="n">
        <v>-1</v>
      </c>
      <c r="F90" s="84">
        <f>'Stock'!K9*'Stock'!O9</f>
        <v/>
      </c>
      <c r="G90" s="84">
        <f>D90*'Stock'!O9</f>
        <v/>
      </c>
    </row>
    <row r="91">
      <c r="A91" s="15" t="inlineStr">
        <is>
          <t>Colts (2 years)</t>
        </is>
      </c>
      <c r="B91" s="76" t="n">
        <v>2</v>
      </c>
      <c r="C91" s="76" t="n">
        <v>1</v>
      </c>
      <c r="D91" s="76" t="n">
        <v>-1</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v>39</v>
      </c>
      <c r="C94" s="76" t="n">
        <v>40</v>
      </c>
      <c r="D94" s="76" t="n">
        <v>1</v>
      </c>
      <c r="F94" s="84">
        <f>'Stock'!K12*'Stock'!O12</f>
        <v/>
      </c>
      <c r="G94" s="84">
        <f>D94*'Stock'!O12</f>
        <v/>
      </c>
    </row>
    <row r="95">
      <c r="A95" s="15" t="inlineStr">
        <is>
          <t>Bulls</t>
        </is>
      </c>
      <c r="B95" s="76" t="n"/>
      <c r="C95" s="76" t="n"/>
      <c r="D95" s="76">
        <f>C95-B95</f>
        <v/>
      </c>
      <c r="F95" s="84">
        <f>'Stock'!K13*'Stock'!O13</f>
        <v/>
      </c>
      <c r="G95" s="84">
        <f>D95*'Stock'!O13</f>
        <v/>
      </c>
    </row>
    <row r="96">
      <c r="A96" s="15" t="inlineStr">
        <is>
          <t>Cows</t>
        </is>
      </c>
      <c r="B96" s="76" t="n">
        <v>10</v>
      </c>
      <c r="C96" s="76" t="n">
        <v>22</v>
      </c>
      <c r="D96" s="76" t="n">
        <v>12</v>
      </c>
      <c r="F96" s="84">
        <f>'Stock'!K14*'Stock'!O14</f>
        <v/>
      </c>
      <c r="G96" s="84">
        <f>D96*'Stock'!O14</f>
        <v/>
      </c>
    </row>
    <row r="97">
      <c r="A97" s="15" t="inlineStr">
        <is>
          <t>Steers</t>
        </is>
      </c>
      <c r="B97" s="76" t="n">
        <v>4</v>
      </c>
      <c r="C97" s="76" t="n">
        <v>0</v>
      </c>
      <c r="D97" s="76" t="n">
        <v>-4</v>
      </c>
      <c r="F97" s="84">
        <f>'Stock'!K15*'Stock'!O15</f>
        <v/>
      </c>
      <c r="G97" s="84">
        <f>D97*'Stock'!O15</f>
        <v/>
      </c>
    </row>
    <row r="98">
      <c r="A98" s="15" t="inlineStr">
        <is>
          <t>Bullocks</t>
        </is>
      </c>
      <c r="B98" s="76" t="n">
        <v>4</v>
      </c>
      <c r="C98" s="76" t="n">
        <v>4</v>
      </c>
      <c r="D98" s="76" t="n">
        <v>0</v>
      </c>
      <c r="F98" s="84">
        <f>'Stock'!K16*'Stock'!O16</f>
        <v/>
      </c>
      <c r="G98" s="84">
        <f>D98*'Stock'!O16</f>
        <v/>
      </c>
    </row>
    <row r="99">
      <c r="A99" s="15" t="inlineStr">
        <is>
          <t>Yearlings</t>
        </is>
      </c>
      <c r="B99" s="76" t="n">
        <v>4</v>
      </c>
      <c r="C99" s="76" t="n">
        <v>4</v>
      </c>
      <c r="D99" s="76" t="n">
        <v>0</v>
      </c>
      <c r="F99" s="84">
        <f>'Stock'!K17*'Stock'!O17</f>
        <v/>
      </c>
      <c r="G99" s="84">
        <f>D99*'Stock'!O17</f>
        <v/>
      </c>
    </row>
    <row r="100">
      <c r="A100" s="15" t="inlineStr">
        <is>
          <t>Calves</t>
        </is>
      </c>
      <c r="B100" s="76" t="n">
        <v>14</v>
      </c>
      <c r="C100" s="76" t="n">
        <v>8</v>
      </c>
      <c r="D100" s="76" t="n">
        <v>-6</v>
      </c>
      <c r="F100" s="84">
        <f>'Stock'!K18*'Stock'!O18</f>
        <v/>
      </c>
      <c r="G100" s="84">
        <f>D100*'Stock'!O18</f>
        <v/>
      </c>
    </row>
    <row r="101">
      <c r="A101" s="15" t="inlineStr">
        <is>
          <t>Wethers</t>
        </is>
      </c>
      <c r="B101" s="76" t="n">
        <v>324</v>
      </c>
      <c r="C101" s="76" t="n">
        <v>339</v>
      </c>
      <c r="D101" s="76" t="n">
        <v>15</v>
      </c>
      <c r="F101" s="84">
        <f>'Stock'!K19*'Stock'!O19</f>
        <v/>
      </c>
      <c r="G101" s="84">
        <f>D101*'Stock'!O19</f>
        <v/>
      </c>
    </row>
    <row r="102">
      <c r="A102" s="15" t="inlineStr">
        <is>
          <t>Rams</t>
        </is>
      </c>
      <c r="B102" s="76" t="n">
        <v>8</v>
      </c>
      <c r="C102" s="76" t="n">
        <v>10</v>
      </c>
      <c r="D102" s="76" t="n">
        <v>2</v>
      </c>
      <c r="F102" s="84">
        <f>'Stock'!K20*'Stock'!O20</f>
        <v/>
      </c>
      <c r="G102" s="84">
        <f>D102*'Stock'!O20</f>
        <v/>
      </c>
    </row>
    <row r="103">
      <c r="A103" s="15" t="inlineStr">
        <is>
          <t>Ewes</t>
        </is>
      </c>
      <c r="B103" s="76" t="n">
        <v>288</v>
      </c>
      <c r="C103" s="76" t="n">
        <v>301</v>
      </c>
      <c r="D103" s="76" t="n">
        <v>13</v>
      </c>
      <c r="F103" s="84">
        <f>'Stock'!K21*'Stock'!O21</f>
        <v/>
      </c>
      <c r="G103" s="84">
        <f>D103*'Stock'!O21</f>
        <v/>
      </c>
    </row>
    <row r="104">
      <c r="A104" s="15" t="inlineStr">
        <is>
          <t>Hoggs</t>
        </is>
      </c>
      <c r="B104" s="76" t="n">
        <v>150</v>
      </c>
      <c r="C104" s="76" t="n">
        <v>0</v>
      </c>
      <c r="D104" s="76" t="n">
        <v>-150</v>
      </c>
      <c r="F104" s="84">
        <f>'Stock'!K22*'Stock'!O22</f>
        <v/>
      </c>
      <c r="G104" s="84">
        <f>D104*'Stock'!O22</f>
        <v/>
      </c>
    </row>
    <row r="105">
      <c r="A105" s="15" t="inlineStr">
        <is>
          <t>Lambs</t>
        </is>
      </c>
      <c r="B105" s="76" t="n">
        <v>236</v>
      </c>
      <c r="C105" s="76" t="n">
        <v>176</v>
      </c>
      <c r="D105" s="76" t="n">
        <v>-60</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v>2</v>
      </c>
      <c r="C107" s="76" t="n">
        <v>2</v>
      </c>
      <c r="D107" s="76" t="n">
        <v>0</v>
      </c>
      <c r="F107" s="84">
        <f>'Stock'!K25*'Stock'!O25</f>
        <v/>
      </c>
      <c r="G107" s="84">
        <f>D107*'Stock'!O25</f>
        <v/>
      </c>
    </row>
    <row r="108">
      <c r="A108" s="15" t="inlineStr">
        <is>
          <t>Pigs</t>
        </is>
      </c>
      <c r="B108" s="76" t="n">
        <v>17</v>
      </c>
      <c r="C108" s="76" t="n">
        <v>36</v>
      </c>
      <c r="D108" s="76" t="n">
        <v>19</v>
      </c>
      <c r="F108" s="84">
        <f>'Stock'!K26*'Stock'!O26</f>
        <v/>
      </c>
      <c r="G108" s="84">
        <f>D108*'Stock'!O26</f>
        <v/>
      </c>
    </row>
    <row r="109">
      <c r="A109" s="15" t="inlineStr">
        <is>
          <t>Hoggets</t>
        </is>
      </c>
      <c r="B109" s="76" t="n">
        <v>21</v>
      </c>
      <c r="C109" s="76" t="n">
        <v>0</v>
      </c>
      <c r="D109" s="76" t="n">
        <v>-21</v>
      </c>
      <c r="F109" s="84">
        <f>'Stock'!K27*'Stock'!O27</f>
        <v/>
      </c>
      <c r="G109" s="84">
        <f>D109*'Stock'!O27</f>
        <v/>
      </c>
    </row>
    <row r="110">
      <c r="A110" s="15" t="inlineStr">
        <is>
          <t>Piglets</t>
        </is>
      </c>
      <c r="B110" s="76" t="n">
        <v>31</v>
      </c>
      <c r="C110" s="76" t="n">
        <v>24</v>
      </c>
      <c r="D110" s="76" t="n">
        <v>-7</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D119" t="n">
        <v>679</v>
      </c>
      <c r="F119">
        <f>C119*'Stock'!O35</f>
        <v/>
      </c>
    </row>
    <row r="120">
      <c r="A120" s="15" t="inlineStr">
        <is>
          <t>Lamb's wool</t>
        </is>
      </c>
      <c r="D120" t="n">
        <v>180</v>
      </c>
      <c r="F120">
        <f>C120*'Stock'!O36</f>
        <v/>
      </c>
    </row>
    <row r="121">
      <c r="A121" s="15" t="inlineStr">
        <is>
          <t>Wool locks</t>
        </is>
      </c>
      <c r="F121">
        <f>C121*'Stock'!O37</f>
        <v/>
      </c>
    </row>
    <row r="122">
      <c r="A122" s="15" t="inlineStr">
        <is>
          <t>Wool sold at shearing</t>
        </is>
      </c>
      <c r="F122">
        <f>C122*'Stock'!O38</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f>C151*'Stock'!O70</f>
        <v/>
      </c>
      <c r="G151" s="96" t="n"/>
    </row>
    <row r="152">
      <c r="A152" s="15" t="inlineStr">
        <is>
          <t>Geese</t>
        </is>
      </c>
      <c r="B152" s="76" t="n">
        <v>0</v>
      </c>
      <c r="C152" s="76" t="n">
        <v>0</v>
      </c>
      <c r="D152" s="76" t="n">
        <v>0</v>
      </c>
      <c r="F152" s="76">
        <f>C152*'Stock'!O71</f>
        <v/>
      </c>
    </row>
    <row r="153">
      <c r="A153" s="15" t="inlineStr">
        <is>
          <t>Capons (from chickens)</t>
        </is>
      </c>
      <c r="B153" s="76" t="n">
        <v>0</v>
      </c>
      <c r="C153" s="76" t="n">
        <v>0</v>
      </c>
      <c r="D153" s="76" t="n">
        <v>0</v>
      </c>
      <c r="F153" s="76" t="n">
        <v>0</v>
      </c>
    </row>
    <row r="154">
      <c r="A154" s="15" t="inlineStr">
        <is>
          <t>Cocks &amp; hens</t>
        </is>
      </c>
      <c r="B154" s="76" t="n">
        <v>0</v>
      </c>
      <c r="C154" s="76" t="n">
        <v>0</v>
      </c>
      <c r="D154" s="76" t="n">
        <v>0</v>
      </c>
      <c r="F154" s="76" t="n">
        <v>0</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t="n">
        <v>0</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0"/>
  <sheetViews>
    <sheetView topLeftCell="A1" workbookViewId="0">
      <selection activeCell="A1" sqref="A1"/>
    </sheetView>
  </sheetViews>
  <sheetFormatPr baseColWidth="8" defaultRowHeight="15"/>
  <cols>
    <col width="80" customWidth="1" min="1" max="1"/>
    <col width="29.1640625" customWidth="1" min="2" max="2"/>
    <col width="8.83203125" customWidth="1" min="3" max="3"/>
    <col width="30.83203125" customWidth="1" min="5" max="5"/>
    <col width="29.33203125" customWidth="1" min="6" max="6"/>
  </cols>
  <sheetData>
    <row r="1">
      <c r="A1" s="8" t="inlineStr">
        <is>
          <t>CHERITON</t>
        </is>
      </c>
      <c r="B1" s="77" t="inlineStr">
        <is>
          <t>Total in £</t>
        </is>
      </c>
      <c r="C1" s="78" t="inlineStr">
        <is>
          <t>Error</t>
        </is>
      </c>
      <c r="D1" s="12" t="inlineStr">
        <is>
          <t>Note</t>
        </is>
      </c>
    </row>
    <row r="2">
      <c r="A2" s="8" t="inlineStr">
        <is>
          <t>CASH ACCOUNT</t>
        </is>
      </c>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c r="B23" s="72">
        <f>Receipts!F134</f>
        <v/>
      </c>
    </row>
    <row r="24">
      <c r="A24" s="82" t="inlineStr">
        <is>
          <t>Total of all receipts (calculated here) incl arrears</t>
        </is>
      </c>
      <c r="B24" s="72">
        <f>Receipts!F135</f>
        <v/>
      </c>
    </row>
    <row r="25">
      <c r="A25" s="83" t="inlineStr">
        <is>
          <t>Total recorded in the accounts excl. arrears</t>
        </is>
      </c>
      <c r="B25" s="72">
        <f>Receipts!F133</f>
        <v/>
      </c>
      <c r="C25" s="127">
        <f>B25-B23</f>
        <v/>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c r="B44" s="72">
        <f>Expenses!F100</f>
        <v/>
      </c>
    </row>
    <row r="45">
      <c r="A45" s="82" t="inlineStr">
        <is>
          <t>Total of all expenses (calculated here)</t>
        </is>
      </c>
      <c r="B45" s="72">
        <f>Expenses!F101</f>
        <v/>
      </c>
    </row>
    <row r="46">
      <c r="A46" s="82" t="inlineStr">
        <is>
          <t>Total fixed investment</t>
        </is>
      </c>
      <c r="B46" s="72">
        <f>Expenses!F102</f>
        <v/>
      </c>
    </row>
    <row r="47">
      <c r="A47" s="82" t="inlineStr">
        <is>
          <t>Total Demesne fixed investment</t>
        </is>
      </c>
      <c r="B47" s="72">
        <f>Expenses!F103</f>
        <v/>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c r="B60" s="120" t="inlineStr">
        <is>
          <t>Total Production</t>
        </is>
      </c>
      <c r="D60" s="54" t="n"/>
      <c r="E60" s="54" t="n"/>
      <c r="F60" s="55" t="n"/>
    </row>
    <row r="61">
      <c r="A61" s="8" t="inlineStr">
        <is>
          <t>Grange</t>
        </is>
      </c>
      <c r="B61" s="89" t="inlineStr">
        <is>
          <t>qrs</t>
        </is>
      </c>
      <c r="C61" s="90" t="n"/>
      <c r="D61" s="9" t="n"/>
      <c r="E61" s="128" t="inlineStr">
        <is>
          <t>Value of total gross production in £</t>
        </is>
      </c>
      <c r="F61" s="128" t="inlineStr">
        <is>
          <t>Value of total net production in £</t>
        </is>
      </c>
    </row>
    <row r="62" ht="15" customHeight="1">
      <c r="A62" t="inlineStr">
        <is>
          <t>wheat</t>
        </is>
      </c>
      <c r="B62" s="72">
        <f>'Issues of the Grange'!I2</f>
        <v/>
      </c>
      <c r="E62" s="72">
        <f>'Issues of the Grange'!I2</f>
        <v/>
      </c>
      <c r="F62" s="72">
        <f>'Issues of the Grange'!O14</f>
        <v/>
      </c>
    </row>
    <row r="63" ht="15" customHeight="1">
      <c r="A63" t="inlineStr">
        <is>
          <t>curall</t>
        </is>
      </c>
      <c r="B63" s="72">
        <f>'Issues of the Grange'!I3</f>
        <v/>
      </c>
      <c r="E63" s="72">
        <f>'Issues of the Grange'!I3</f>
        <v/>
      </c>
      <c r="F63" s="72">
        <f>'Issues of the Grange'!O15</f>
        <v/>
      </c>
    </row>
    <row r="64" ht="15" customHeight="1">
      <c r="A64" t="inlineStr">
        <is>
          <t>bere</t>
        </is>
      </c>
      <c r="B64" s="72">
        <f>'Issues of the Grange'!I4</f>
        <v/>
      </c>
      <c r="E64" s="72">
        <f>'Issues of the Grange'!I4</f>
        <v/>
      </c>
      <c r="F64" s="72">
        <f>'Issues of the Grange'!O16</f>
        <v/>
      </c>
    </row>
    <row r="65" ht="15" customHeight="1">
      <c r="A65" t="inlineStr">
        <is>
          <t>barley</t>
        </is>
      </c>
      <c r="B65" s="72">
        <f>'Issues of the Grange'!I5</f>
        <v/>
      </c>
      <c r="E65" s="72">
        <f>'Issues of the Grange'!I5</f>
        <v/>
      </c>
      <c r="F65" s="72">
        <f>'Issues of the Grange'!O17</f>
        <v/>
      </c>
    </row>
    <row r="66" ht="15" customHeight="1">
      <c r="A66" t="inlineStr">
        <is>
          <t>oats</t>
        </is>
      </c>
      <c r="B66" s="72">
        <f>'Issues of the Grange'!I6</f>
        <v/>
      </c>
      <c r="E66" s="72">
        <f>'Issues of the Grange'!I6</f>
        <v/>
      </c>
      <c r="F66" s="72">
        <f>'Issues of the Grange'!O18</f>
        <v/>
      </c>
    </row>
    <row r="67" ht="15" customHeight="1">
      <c r="A67" t="inlineStr">
        <is>
          <t>peas</t>
        </is>
      </c>
      <c r="B67" s="72">
        <f>'Issues of the Grange'!I7</f>
        <v/>
      </c>
      <c r="E67" s="72">
        <f>'Issues of the Grange'!I7</f>
        <v/>
      </c>
      <c r="F67" s="72">
        <f>'Issues of the Grange'!O19</f>
        <v/>
      </c>
    </row>
    <row r="68" ht="15" customHeight="1">
      <c r="A68" t="inlineStr">
        <is>
          <t>vetches</t>
        </is>
      </c>
      <c r="B68" s="72">
        <f>'Issues of the Grange'!I8</f>
        <v/>
      </c>
      <c r="E68" s="72">
        <f>'Issues of the Grange'!I8</f>
        <v/>
      </c>
      <c r="F68" s="72">
        <f>'Issues of the Grange'!O20</f>
        <v/>
      </c>
    </row>
    <row r="69">
      <c r="A69" s="17" t="inlineStr">
        <is>
          <t>Total value of gross production (sum of the above)</t>
        </is>
      </c>
      <c r="B69" s="70" t="n"/>
      <c r="C69" s="129" t="n"/>
      <c r="D69" s="70" t="n"/>
      <c r="E69" s="130">
        <f>SUM(E62:E68)</f>
        <v/>
      </c>
      <c r="F69" s="70" t="n"/>
    </row>
    <row r="70">
      <c r="A70" s="17" t="inlineStr">
        <is>
          <t>Total value of net production</t>
        </is>
      </c>
      <c r="B70" s="70" t="n"/>
      <c r="C70" s="129" t="n"/>
      <c r="D70" s="70" t="n"/>
      <c r="E70" s="130">
        <f>SUM(F62:F68)</f>
        <v/>
      </c>
      <c r="F70" s="70" t="n"/>
    </row>
    <row r="71">
      <c r="A71" s="17" t="inlineStr">
        <is>
          <t>Value of sales</t>
        </is>
      </c>
      <c r="B71" s="70" t="n"/>
      <c r="C71" s="129" t="n"/>
      <c r="D71" s="70" t="n"/>
      <c r="E71" s="130">
        <f>Receipts!F106+Receipts!F100</f>
        <v/>
      </c>
      <c r="F71" s="70" t="n"/>
    </row>
    <row r="72">
      <c r="A72" s="15" t="n"/>
    </row>
    <row r="73">
      <c r="A73" s="16" t="inlineStr">
        <is>
          <t>MILL ACCOUNT</t>
        </is>
      </c>
      <c r="B73" s="70" t="n"/>
      <c r="C73" s="129" t="n"/>
      <c r="D73" s="70" t="n"/>
      <c r="E73" s="70" t="n"/>
      <c r="F73" s="70" t="n"/>
    </row>
    <row r="74">
      <c r="A74" s="8" t="inlineStr">
        <is>
          <t>Issues of the mill</t>
        </is>
      </c>
    </row>
    <row r="75">
      <c r="A75" s="15" t="inlineStr">
        <is>
          <t>Wheat</t>
        </is>
      </c>
    </row>
    <row r="76">
      <c r="A76" s="15" t="inlineStr">
        <is>
          <t>Oatmeal</t>
        </is>
      </c>
    </row>
    <row r="77">
      <c r="A77" s="15" t="inlineStr">
        <is>
          <t>1st grade malt</t>
        </is>
      </c>
    </row>
    <row r="78">
      <c r="A78" s="15" t="inlineStr">
        <is>
          <t>2nd grade malt</t>
        </is>
      </c>
    </row>
    <row r="79">
      <c r="A79" s="15" t="inlineStr">
        <is>
          <t>Maslin</t>
        </is>
      </c>
    </row>
    <row r="80">
      <c r="A80" s="17" t="inlineStr">
        <is>
          <t>Total value of production (sum of the above)</t>
        </is>
      </c>
      <c r="B80" s="70" t="n"/>
      <c r="C80" s="129" t="n"/>
      <c r="D80" s="70" t="n"/>
      <c r="E80" s="70" t="n"/>
      <c r="F80" s="70" t="n"/>
    </row>
    <row r="81">
      <c r="A81" s="17" t="inlineStr">
        <is>
          <t>Value of sales</t>
        </is>
      </c>
      <c r="B81" s="70" t="n"/>
      <c r="C81" s="129" t="n"/>
      <c r="D81" s="70" t="n"/>
      <c r="E81" s="70" t="n"/>
      <c r="F81" s="70" t="n"/>
    </row>
    <row r="82">
      <c r="A82" s="15" t="n"/>
    </row>
    <row r="83">
      <c r="A83" s="92" t="inlineStr">
        <is>
          <t>STOCK ACCOUNT</t>
        </is>
      </c>
      <c r="B83" s="70" t="n"/>
      <c r="C83" s="129" t="n"/>
      <c r="D83" s="70" t="n"/>
      <c r="E83" s="70" t="n"/>
      <c r="F83" s="70" t="n"/>
    </row>
    <row r="84">
      <c r="A84" s="21" t="inlineStr">
        <is>
          <t>Livestock</t>
        </is>
      </c>
      <c r="B84" s="131" t="inlineStr">
        <is>
          <t>Sales value in £</t>
        </is>
      </c>
      <c r="C84" s="129" t="n"/>
      <c r="D84" s="70" t="n"/>
      <c r="E84" s="70" t="n"/>
      <c r="F84" s="70" t="n"/>
    </row>
    <row r="85" ht="17" customHeight="1">
      <c r="A85" s="22" t="inlineStr">
        <is>
          <t>Cart-horses</t>
        </is>
      </c>
      <c r="B85">
        <f>Stock!R5</f>
        <v/>
      </c>
    </row>
    <row r="86" ht="17" customHeight="1">
      <c r="A86" s="22" t="inlineStr">
        <is>
          <t>Mares</t>
        </is>
      </c>
      <c r="B86">
        <f>Stock!R6</f>
        <v/>
      </c>
    </row>
    <row r="87">
      <c r="A87" s="15" t="inlineStr">
        <is>
          <t>Plough horses</t>
        </is>
      </c>
      <c r="B87">
        <f>Stock!R7</f>
        <v/>
      </c>
    </row>
    <row r="88">
      <c r="A88" s="15" t="inlineStr">
        <is>
          <t>Colts (2 years)</t>
        </is>
      </c>
      <c r="B88">
        <f>Stock!R8</f>
        <v/>
      </c>
    </row>
    <row r="89">
      <c r="A89" s="15" t="inlineStr">
        <is>
          <t>Colts (2 years)</t>
        </is>
      </c>
      <c r="B89">
        <f>Stock!R9</f>
        <v/>
      </c>
    </row>
    <row r="90">
      <c r="A90" s="15" t="inlineStr">
        <is>
          <t>Colts (1 year)</t>
        </is>
      </c>
      <c r="B90">
        <f>Stock!R10</f>
        <v/>
      </c>
    </row>
    <row r="91">
      <c r="A91" s="15" t="inlineStr">
        <is>
          <t>Foals</t>
        </is>
      </c>
      <c r="B91">
        <f>Stock!R11</f>
        <v/>
      </c>
    </row>
    <row r="92">
      <c r="A92" s="15" t="inlineStr">
        <is>
          <t>Oxen</t>
        </is>
      </c>
      <c r="B92">
        <f>Stock!R12</f>
        <v/>
      </c>
    </row>
    <row r="93">
      <c r="A93" s="15" t="inlineStr">
        <is>
          <t>Bulls</t>
        </is>
      </c>
      <c r="B93">
        <f>Stock!R13</f>
        <v/>
      </c>
    </row>
    <row r="94">
      <c r="A94" s="15" t="inlineStr">
        <is>
          <t>Cows</t>
        </is>
      </c>
      <c r="B94">
        <f>Stock!R14</f>
        <v/>
      </c>
    </row>
    <row r="95">
      <c r="A95" s="15" t="inlineStr">
        <is>
          <t>Steers</t>
        </is>
      </c>
      <c r="B95">
        <f>Stock!R15</f>
        <v/>
      </c>
    </row>
    <row r="96">
      <c r="A96" s="15" t="inlineStr">
        <is>
          <t>Bullocks</t>
        </is>
      </c>
      <c r="B96">
        <f>Stock!R16</f>
        <v/>
      </c>
    </row>
    <row r="97">
      <c r="A97" s="15" t="inlineStr">
        <is>
          <t>Yearlings</t>
        </is>
      </c>
      <c r="B97">
        <f>Stock!R17</f>
        <v/>
      </c>
    </row>
    <row r="98">
      <c r="A98" s="15" t="inlineStr">
        <is>
          <t>Calves</t>
        </is>
      </c>
      <c r="B98">
        <f>Stock!R18</f>
        <v/>
      </c>
    </row>
    <row r="99">
      <c r="A99" s="15" t="inlineStr">
        <is>
          <t>Wethers</t>
        </is>
      </c>
      <c r="B99">
        <f>Stock!R19</f>
        <v/>
      </c>
    </row>
    <row r="100">
      <c r="A100" s="15" t="inlineStr">
        <is>
          <t>Rams</t>
        </is>
      </c>
      <c r="B100">
        <f>Stock!R20</f>
        <v/>
      </c>
    </row>
    <row r="101">
      <c r="A101" s="15" t="inlineStr">
        <is>
          <t>Ewes</t>
        </is>
      </c>
      <c r="B101">
        <f>Stock!R21</f>
        <v/>
      </c>
    </row>
    <row r="102">
      <c r="A102" s="15" t="inlineStr">
        <is>
          <t>Hoggs</t>
        </is>
      </c>
      <c r="B102">
        <f>Stock!R22</f>
        <v/>
      </c>
    </row>
    <row r="103">
      <c r="A103" s="15" t="inlineStr">
        <is>
          <t>Lambs</t>
        </is>
      </c>
      <c r="B103">
        <f>Stock!R23</f>
        <v/>
      </c>
    </row>
    <row r="104">
      <c r="A104" s="15" t="inlineStr">
        <is>
          <t>Boars</t>
        </is>
      </c>
      <c r="B104">
        <f>Stock!R24</f>
        <v/>
      </c>
    </row>
    <row r="105">
      <c r="A105" s="15" t="inlineStr">
        <is>
          <t>Sows</t>
        </is>
      </c>
      <c r="B105">
        <f>Stock!R25</f>
        <v/>
      </c>
    </row>
    <row r="106">
      <c r="A106" s="15" t="inlineStr">
        <is>
          <t>Pigs</t>
        </is>
      </c>
      <c r="B106">
        <f>Stock!R26</f>
        <v/>
      </c>
    </row>
    <row r="107">
      <c r="A107" s="15" t="inlineStr">
        <is>
          <t>Hoggets</t>
        </is>
      </c>
      <c r="B107">
        <f>Stock!R27</f>
        <v/>
      </c>
    </row>
    <row r="108">
      <c r="A108" s="15" t="inlineStr">
        <is>
          <t>Piglets</t>
        </is>
      </c>
      <c r="B108">
        <f>Stock!R28</f>
        <v/>
      </c>
    </row>
    <row r="109">
      <c r="A109" s="15" t="inlineStr">
        <is>
          <t>Swans</t>
        </is>
      </c>
      <c r="B109">
        <f>Stock!R29</f>
        <v/>
      </c>
    </row>
    <row r="110">
      <c r="A110" s="15" t="inlineStr">
        <is>
          <t>Peacocks</t>
        </is>
      </c>
      <c r="B110">
        <f>Stock!R30</f>
        <v/>
      </c>
    </row>
    <row r="111">
      <c r="A111" s="17" t="inlineStr">
        <is>
          <t>Total value of stock (sum of the above)</t>
        </is>
      </c>
      <c r="B111" s="70" t="n"/>
      <c r="C111" s="129" t="n"/>
      <c r="D111" s="70" t="n"/>
      <c r="E111" s="70" t="n"/>
      <c r="F111" s="70" t="n"/>
    </row>
    <row r="112">
      <c r="A112" s="17" t="inlineStr">
        <is>
          <t>Total value of production</t>
        </is>
      </c>
      <c r="B112" s="70" t="n"/>
      <c r="C112" s="129" t="n"/>
      <c r="D112" s="70" t="n"/>
      <c r="E112" s="70" t="n"/>
      <c r="F112" s="70" t="n"/>
    </row>
    <row r="113">
      <c r="A113" s="17" t="inlineStr">
        <is>
          <t>Value of sales</t>
        </is>
      </c>
      <c r="B113" s="70">
        <f>Stock!R31</f>
        <v/>
      </c>
      <c r="C113" s="129" t="n"/>
      <c r="D113" s="70" t="n"/>
      <c r="E113" s="70" t="n"/>
      <c r="F113" s="70" t="n"/>
    </row>
    <row r="114">
      <c r="A114" s="15" t="n"/>
    </row>
    <row r="115">
      <c r="A115" s="16" t="inlineStr">
        <is>
          <t>Wool</t>
        </is>
      </c>
      <c r="B115" s="131" t="inlineStr">
        <is>
          <t>Value of production at sales prices £</t>
        </is>
      </c>
      <c r="C115" s="129" t="n"/>
      <c r="D115" s="70" t="n"/>
      <c r="E115" s="70" t="n"/>
      <c r="F115" s="70" t="n"/>
    </row>
    <row r="116" ht="15" customHeight="1">
      <c r="A116" t="inlineStr">
        <is>
          <t>Coarse wool</t>
        </is>
      </c>
      <c r="B116">
        <f>Stock!T35</f>
        <v/>
      </c>
    </row>
    <row r="117" ht="15" customHeight="1">
      <c r="A117" t="inlineStr">
        <is>
          <t>Lamb's wool</t>
        </is>
      </c>
      <c r="B117">
        <f>Stock!T36</f>
        <v/>
      </c>
    </row>
    <row r="118" ht="15" customHeight="1">
      <c r="A118" t="inlineStr">
        <is>
          <t>Wool locks</t>
        </is>
      </c>
      <c r="B118">
        <f>Stock!T37</f>
        <v/>
      </c>
    </row>
    <row r="119" ht="15" customHeight="1">
      <c r="A119" t="inlineStr">
        <is>
          <t>Wool sold at shearing</t>
        </is>
      </c>
      <c r="B119">
        <f>Stock!T38</f>
        <v/>
      </c>
    </row>
    <row r="120">
      <c r="A120" s="119" t="inlineStr">
        <is>
          <t>Total value of production (sum of the above)</t>
        </is>
      </c>
      <c r="B120" s="70">
        <f>Stock!T39</f>
        <v/>
      </c>
      <c r="C120" s="129" t="n"/>
      <c r="D120" s="70" t="n"/>
      <c r="E120" s="70" t="n"/>
      <c r="F120" s="70" t="n"/>
    </row>
    <row r="121">
      <c r="A121" s="119" t="inlineStr">
        <is>
          <t>Value of sales</t>
        </is>
      </c>
      <c r="B121" s="70">
        <f>Stock!R39</f>
        <v/>
      </c>
      <c r="C121" s="129" t="n"/>
      <c r="D121" s="70" t="n"/>
      <c r="E121" s="70" t="n"/>
      <c r="F121" s="70" t="n"/>
    </row>
    <row r="122">
      <c r="A122" s="8" t="n"/>
    </row>
    <row r="123">
      <c r="A123" s="16" t="inlineStr">
        <is>
          <t>Hides</t>
        </is>
      </c>
      <c r="B123" s="131" t="inlineStr">
        <is>
          <t>Value of production at sales prices £</t>
        </is>
      </c>
      <c r="C123" s="129" t="n"/>
      <c r="D123" s="70" t="n"/>
      <c r="E123" s="70" t="n"/>
      <c r="F123" s="70" t="n"/>
    </row>
    <row r="124">
      <c r="A124" s="15" t="inlineStr">
        <is>
          <t>Ox hides</t>
        </is>
      </c>
      <c r="B124" s="72">
        <f>Stock!T43</f>
        <v/>
      </c>
    </row>
    <row r="125">
      <c r="A125" s="15" t="inlineStr">
        <is>
          <t>Cow hides</t>
        </is>
      </c>
      <c r="B125" s="72">
        <f>Stock!T44</f>
        <v/>
      </c>
    </row>
    <row r="126">
      <c r="A126" s="15" t="inlineStr">
        <is>
          <t>Mare hides</t>
        </is>
      </c>
      <c r="B126" s="72">
        <f>Stock!T45</f>
        <v/>
      </c>
    </row>
    <row r="127">
      <c r="A127" s="15" t="inlineStr">
        <is>
          <t>Steer hides</t>
        </is>
      </c>
      <c r="B127" s="72">
        <f>Stock!T46</f>
        <v/>
      </c>
    </row>
    <row r="128">
      <c r="A128" s="15" t="inlineStr">
        <is>
          <t>Yearling Calf hides</t>
        </is>
      </c>
      <c r="B128" s="72">
        <f>Stock!T47</f>
        <v/>
      </c>
    </row>
    <row r="129">
      <c r="A129" s="15" t="inlineStr">
        <is>
          <t>Calf hides</t>
        </is>
      </c>
      <c r="B129" s="72">
        <f>Stock!T48</f>
        <v/>
      </c>
    </row>
    <row r="130">
      <c r="A130" s="23" t="inlineStr">
        <is>
          <t>Pig hides</t>
        </is>
      </c>
      <c r="B130" s="72">
        <f>Stock!T49</f>
        <v/>
      </c>
    </row>
    <row r="131">
      <c r="A131" s="24" t="inlineStr">
        <is>
          <t>Wether woolskins</t>
        </is>
      </c>
      <c r="B131" s="72">
        <f>Stock!T50</f>
        <v/>
      </c>
    </row>
    <row r="132">
      <c r="A132" s="24" t="inlineStr">
        <is>
          <t>Ram woolskins</t>
        </is>
      </c>
      <c r="B132" s="72">
        <f>Stock!T51</f>
        <v/>
      </c>
    </row>
    <row r="133">
      <c r="A133" s="24" t="inlineStr">
        <is>
          <t>Ewe woolskins</t>
        </is>
      </c>
      <c r="B133" s="72">
        <f>Stock!T52</f>
        <v/>
      </c>
    </row>
    <row r="134">
      <c r="A134" s="24" t="inlineStr">
        <is>
          <t>Hogg woolskins</t>
        </is>
      </c>
      <c r="B134" s="72">
        <f>Stock!T53</f>
        <v/>
      </c>
    </row>
    <row r="135">
      <c r="A135" s="25" t="inlineStr">
        <is>
          <t>Woolskins (total)</t>
        </is>
      </c>
      <c r="B135" s="72">
        <f>Stock!T54</f>
        <v/>
      </c>
    </row>
    <row r="136">
      <c r="A136" s="24" t="inlineStr">
        <is>
          <t>Wether bareskins</t>
        </is>
      </c>
      <c r="B136" s="72">
        <f>Stock!T55</f>
        <v/>
      </c>
    </row>
    <row r="137">
      <c r="A137" s="24" t="inlineStr">
        <is>
          <t>Ram bareskins</t>
        </is>
      </c>
      <c r="B137" s="72">
        <f>Stock!T56</f>
        <v/>
      </c>
    </row>
    <row r="138">
      <c r="A138" s="24" t="inlineStr">
        <is>
          <t>Ewe bareskins</t>
        </is>
      </c>
      <c r="B138" s="72">
        <f>Stock!T57</f>
        <v/>
      </c>
    </row>
    <row r="139">
      <c r="A139" s="24" t="inlineStr">
        <is>
          <t>Hogg bareskins</t>
        </is>
      </c>
      <c r="B139" s="72">
        <f>Stock!T58</f>
        <v/>
      </c>
    </row>
    <row r="140">
      <c r="A140" s="25" t="inlineStr">
        <is>
          <t>Bareskins (total)</t>
        </is>
      </c>
      <c r="B140" s="72">
        <f>Stock!T59</f>
        <v/>
      </c>
    </row>
    <row r="141">
      <c r="A141" s="15" t="inlineStr">
        <is>
          <t>Lambskins</t>
        </is>
      </c>
      <c r="B141" s="72">
        <f>Stock!T60</f>
        <v/>
      </c>
    </row>
    <row r="142">
      <c r="A142" s="15" t="inlineStr">
        <is>
          <t>Rotted skins</t>
        </is>
      </c>
      <c r="B142" s="72">
        <f>Stock!T61</f>
        <v/>
      </c>
    </row>
    <row r="143">
      <c r="A143" s="15" t="inlineStr">
        <is>
          <t>Shorn skins</t>
        </is>
      </c>
      <c r="B143" s="72">
        <f>Stock!T62</f>
        <v/>
      </c>
    </row>
    <row r="144">
      <c r="A144" s="17" t="inlineStr">
        <is>
          <t>Total value of production (sum of the above)</t>
        </is>
      </c>
      <c r="B144" s="130">
        <f>Stock!T66</f>
        <v/>
      </c>
    </row>
    <row r="145">
      <c r="A145" s="17" t="inlineStr">
        <is>
          <t>Value of sales</t>
        </is>
      </c>
      <c r="B145" s="130">
        <f>Stock!R66</f>
        <v/>
      </c>
    </row>
    <row r="146">
      <c r="A146" s="15" t="n"/>
    </row>
    <row r="147">
      <c r="A147" s="16" t="inlineStr">
        <is>
          <t>Poultry stock</t>
        </is>
      </c>
      <c r="B147" s="131" t="inlineStr">
        <is>
          <t>Value of production at sales prices £</t>
        </is>
      </c>
    </row>
    <row r="148" ht="17" customHeight="1">
      <c r="A148" s="22" t="inlineStr">
        <is>
          <t>Hens</t>
        </is>
      </c>
      <c r="B148">
        <f>Stock!T70</f>
        <v/>
      </c>
    </row>
    <row r="149">
      <c r="A149" s="15" t="inlineStr">
        <is>
          <t>Geese</t>
        </is>
      </c>
      <c r="B149">
        <f>Stock!T71</f>
        <v/>
      </c>
    </row>
    <row r="150">
      <c r="A150" s="15" t="inlineStr">
        <is>
          <t>Capons (from chickens)</t>
        </is>
      </c>
      <c r="B150">
        <f>Stock!T72</f>
        <v/>
      </c>
    </row>
    <row r="151">
      <c r="A151" s="15" t="inlineStr">
        <is>
          <t>Cocks &amp; hens</t>
        </is>
      </c>
      <c r="B151">
        <f>Stock!T73</f>
        <v/>
      </c>
    </row>
    <row r="152">
      <c r="A152" s="119" t="inlineStr">
        <is>
          <t>Total value of production (sum of the above)</t>
        </is>
      </c>
      <c r="B152">
        <f>Stock!T74</f>
        <v/>
      </c>
    </row>
    <row r="153">
      <c r="A153" s="119" t="inlineStr">
        <is>
          <t>Value of sales</t>
        </is>
      </c>
      <c r="B153">
        <f>Stock!T75</f>
        <v/>
      </c>
    </row>
    <row r="154">
      <c r="A154" s="15" t="n"/>
    </row>
    <row r="155">
      <c r="A155" s="16" t="inlineStr">
        <is>
          <t>Poultry production</t>
        </is>
      </c>
      <c r="B155" s="131" t="inlineStr">
        <is>
          <t>Value of production at sales prices £</t>
        </is>
      </c>
    </row>
    <row r="156">
      <c r="A156" s="15" t="inlineStr">
        <is>
          <t>Eggs</t>
        </is>
      </c>
      <c r="B156">
        <f>Stock!T78</f>
        <v/>
      </c>
    </row>
    <row r="157">
      <c r="A157" s="15" t="inlineStr">
        <is>
          <t>Cocks &amp; hens from churchscot of customary tenants</t>
        </is>
      </c>
      <c r="B157">
        <f>Stock!T79</f>
        <v/>
      </c>
    </row>
    <row r="158">
      <c r="A158" s="15" t="inlineStr">
        <is>
          <t>Sum of above</t>
        </is>
      </c>
    </row>
    <row r="159">
      <c r="A159" s="17" t="inlineStr">
        <is>
          <t>Total value of stock</t>
        </is>
      </c>
      <c r="B159" s="70">
        <f>Stock!T81</f>
        <v/>
      </c>
    </row>
    <row r="160">
      <c r="A160" s="17" t="inlineStr">
        <is>
          <t>Value of sales</t>
        </is>
      </c>
      <c r="B160" s="70">
        <f>Stock!R81</f>
        <v/>
      </c>
    </row>
    <row r="161">
      <c r="A161" s="15" t="n"/>
    </row>
    <row r="162">
      <c r="A162" s="16" t="inlineStr">
        <is>
          <t>Dairy Production</t>
        </is>
      </c>
      <c r="B162" s="131" t="inlineStr">
        <is>
          <t>Value of production at sales prices £</t>
        </is>
      </c>
    </row>
    <row r="163">
      <c r="A163" s="15" t="inlineStr">
        <is>
          <t>Butter</t>
        </is>
      </c>
      <c r="B163" s="72">
        <f>Stock!T96</f>
        <v/>
      </c>
    </row>
    <row r="164">
      <c r="A164" s="15" t="inlineStr">
        <is>
          <t>Winter Cheese</t>
        </is>
      </c>
      <c r="B164" s="72">
        <f>Stock!T91</f>
        <v/>
      </c>
    </row>
    <row r="165">
      <c r="A165" s="15" t="inlineStr">
        <is>
          <t>Summer Cheese</t>
        </is>
      </c>
      <c r="B165" s="72">
        <f>Stock!T92</f>
        <v/>
      </c>
    </row>
    <row r="166">
      <c r="A166" s="17" t="inlineStr">
        <is>
          <t>Total value of production (sum of the above)</t>
        </is>
      </c>
      <c r="B166" s="130">
        <f>SUM(B163:B165)</f>
        <v/>
      </c>
    </row>
    <row r="167">
      <c r="A167" s="17" t="inlineStr">
        <is>
          <t>Value of sales</t>
        </is>
      </c>
      <c r="B167" s="130">
        <f>Stock!R97+Stock!R93</f>
        <v/>
      </c>
    </row>
    <row r="168">
      <c r="A168" s="15" t="n"/>
    </row>
    <row r="169">
      <c r="A169" s="15" t="n"/>
    </row>
    <row r="170" ht="17" customHeight="1"/>
    <row r="171" ht="17" customHeight="1">
      <c r="A171" s="103" t="n"/>
      <c r="B171" s="132" t="n"/>
    </row>
    <row r="172">
      <c r="A172" s="97" t="inlineStr">
        <is>
          <t>Total Production Value of all Output (Grange, Dairy, Livestock Sales, Wools, Skins - NO Mill)</t>
        </is>
      </c>
      <c r="B172" s="133">
        <f>B166+B159+B152+B144+B120+B113+E70</f>
        <v/>
      </c>
    </row>
    <row r="173">
      <c r="A173" s="98" t="inlineStr">
        <is>
          <t>Total Sales Value of all Output as defined above</t>
        </is>
      </c>
      <c r="B173" s="133">
        <f>B167+B160+B153+B145+B121+B113+E71</f>
        <v/>
      </c>
    </row>
    <row r="174">
      <c r="A174" s="98" t="inlineStr">
        <is>
          <t>Total Sales of Corn + Issues of the Manor as recorded in account</t>
        </is>
      </c>
      <c r="B174" s="133">
        <f>Receipts!F106+Receipts!F100+Receipts!F88</f>
        <v/>
      </c>
    </row>
    <row r="175">
      <c r="A175" s="98" t="inlineStr">
        <is>
          <t>Production Value + Cash Receipts (excl. Arrears, Issues, Corn and Mill)</t>
        </is>
      </c>
      <c r="B175" s="133">
        <f>B172+Receipts!F45+Receipts!F51+Receipts!F121+Receipts!F131</f>
        <v/>
      </c>
    </row>
    <row r="176">
      <c r="A176" s="99" t="n"/>
      <c r="B176" s="134" t="n"/>
    </row>
    <row r="177">
      <c r="A177" s="100" t="inlineStr">
        <is>
          <t>% of capital expenses in terms of total production</t>
        </is>
      </c>
      <c r="B177" s="135">
        <f>B47/B172</f>
        <v/>
      </c>
    </row>
    <row r="178">
      <c r="A178" s="98" t="inlineStr">
        <is>
          <t>% of capital expenses in terms of total production + cash receipts</t>
        </is>
      </c>
      <c r="B178" s="135">
        <f>B47/B175</f>
        <v/>
      </c>
    </row>
    <row r="179">
      <c r="A179" s="99" t="n"/>
      <c r="B179" s="134" t="n"/>
    </row>
    <row r="180" ht="17" customHeight="1">
      <c r="A180" s="101" t="inlineStr">
        <is>
          <t>% of capital expenses as calculated previously</t>
        </is>
      </c>
      <c r="B180" s="136" t="n"/>
    </row>
  </sheetData>
  <mergeCells count="1">
    <mergeCell ref="B60:C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5"/>
  <sheetViews>
    <sheetView topLeftCell="A1" workbookViewId="0">
      <selection activeCell="A1" sqref="A1"/>
    </sheetView>
  </sheetViews>
  <sheetFormatPr baseColWidth="8" defaultRowHeight="15"/>
  <cols>
    <col width="33.83203125" customWidth="1" min="1" max="1"/>
    <col width="8.83203125" customWidth="1" min="6" max="6"/>
    <col width="8.83203125" customWidth="1" min="7" max="7"/>
  </cols>
  <sheetData>
    <row r="1" ht="16" customHeight="1">
      <c r="A1" s="2" t="inlineStr">
        <is>
          <t>CHERITON RECEIPTS</t>
        </is>
      </c>
    </row>
    <row r="2" ht="16" customHeight="1">
      <c r="A2" s="11" t="inlineStr">
        <is>
          <t>Heading</t>
        </is>
      </c>
      <c r="B2" s="3" t="inlineStr">
        <is>
          <t>£</t>
        </is>
      </c>
      <c r="C2" s="4" t="inlineStr">
        <is>
          <t xml:space="preserve">s </t>
        </is>
      </c>
      <c r="D2" s="4" t="inlineStr">
        <is>
          <t>d</t>
        </is>
      </c>
      <c r="E2" s="4" t="n"/>
      <c r="F2" s="137" t="inlineStr">
        <is>
          <t>Total in £</t>
        </is>
      </c>
      <c r="G2" s="138" t="inlineStr">
        <is>
          <t>Error</t>
        </is>
      </c>
      <c r="H2" s="7" t="inlineStr">
        <is>
          <t>Notes</t>
        </is>
      </c>
    </row>
    <row r="3">
      <c r="A3" t="inlineStr">
        <is>
          <t>Arrears</t>
        </is>
      </c>
      <c r="B3" t="n">
        <v>57</v>
      </c>
      <c r="C3" t="n">
        <v>12</v>
      </c>
      <c r="D3" t="n">
        <v>3.5</v>
      </c>
      <c r="F3" s="72" t="n">
        <v>57.61</v>
      </c>
      <c r="H3" t="inlineStr">
        <is>
          <t>Nicholas, bailiff, and Richard Eme, reeve, render account for £57 12 shilling 3.5pence of  arrears from the previous year.</t>
        </is>
      </c>
    </row>
    <row r="4">
      <c r="A4" t="inlineStr">
        <is>
          <t>Arrears</t>
        </is>
      </c>
      <c r="B4" t="n">
        <v>0</v>
      </c>
      <c r="C4" t="n">
        <v>0</v>
      </c>
      <c r="D4" t="n">
        <v>0</v>
      </c>
      <c r="F4" s="72" t="n">
        <v>0</v>
      </c>
      <c r="H4" t="inlineStr">
        <is>
          <t>All delivered to Sir Geoffrey of Wolvesey.</t>
        </is>
      </c>
    </row>
    <row r="5">
      <c r="A5" t="inlineStr">
        <is>
          <t>Arrears</t>
        </is>
      </c>
      <c r="B5" t="n">
        <v>0</v>
      </c>
      <c r="C5" t="n">
        <v>0</v>
      </c>
      <c r="D5" t="n">
        <v>0</v>
      </c>
      <c r="F5" s="72" t="n">
        <v>0</v>
      </c>
      <c r="H5" t="inlineStr">
        <is>
          <t>They are quit.</t>
        </is>
      </c>
    </row>
    <row r="6">
      <c r="A6" t="inlineStr">
        <is>
          <t>Arrears</t>
        </is>
      </c>
      <c r="F6" s="72" t="n">
        <v>57.61</v>
      </c>
      <c r="G6" s="139">
        <f>F6-F3</f>
        <v/>
      </c>
      <c r="H6" t="inlineStr">
        <is>
          <t>Total</t>
        </is>
      </c>
    </row>
    <row r="7"/>
    <row r="8">
      <c r="A8" t="inlineStr">
        <is>
          <t>Rents of assize</t>
        </is>
      </c>
      <c r="B8" t="n">
        <v>5</v>
      </c>
      <c r="C8" t="n">
        <v>1</v>
      </c>
      <c r="D8" t="n">
        <v>9</v>
      </c>
      <c r="F8" s="72" t="n">
        <v>5.09</v>
      </c>
      <c r="H8" t="inlineStr">
        <is>
          <t>The same render account for £5 1 shilling 9pence for rents of the manor of Cheriton at Christmas.</t>
        </is>
      </c>
    </row>
    <row r="9">
      <c r="A9" t="inlineStr">
        <is>
          <t>Rents of assize</t>
        </is>
      </c>
      <c r="B9" t="n">
        <v>8</v>
      </c>
      <c r="C9" t="n">
        <v>2</v>
      </c>
      <c r="D9" t="n">
        <v>8.75</v>
      </c>
      <c r="F9" s="72" t="n">
        <v>8.140000000000001</v>
      </c>
      <c r="H9" t="inlineStr">
        <is>
          <t>£8 2 shilling 8.75pence at Easter (22 April).</t>
        </is>
      </c>
    </row>
    <row r="10">
      <c r="A10" t="inlineStr">
        <is>
          <t>Rents of assize</t>
        </is>
      </c>
      <c r="B10" t="n">
        <v>5</v>
      </c>
      <c r="C10" t="n">
        <v>2</v>
      </c>
      <c r="D10" t="n">
        <v>8.25</v>
      </c>
      <c r="F10" s="72" t="n">
        <v>5.13</v>
      </c>
      <c r="H10" t="inlineStr">
        <is>
          <t>£5 2 shilling 8.25pence at St John the Baptist (24 June).</t>
        </is>
      </c>
    </row>
    <row r="11">
      <c r="A11" t="inlineStr">
        <is>
          <t>Rents of assize</t>
        </is>
      </c>
      <c r="B11" t="n">
        <v>13</v>
      </c>
      <c r="C11" t="n">
        <v>4</v>
      </c>
      <c r="D11" t="n">
        <v>9</v>
      </c>
      <c r="F11" s="72" t="n">
        <v>13.24</v>
      </c>
      <c r="H11" t="inlineStr">
        <is>
          <t>£13 4 shilling 9pence at Michaelmas (29 September).</t>
        </is>
      </c>
    </row>
    <row r="12">
      <c r="A12" t="inlineStr">
        <is>
          <t>Rents of assize</t>
        </is>
      </c>
      <c r="B12" t="n">
        <v>31</v>
      </c>
      <c r="C12" t="n">
        <v>11</v>
      </c>
      <c r="D12" t="n">
        <v>11</v>
      </c>
      <c r="F12" s="72" t="n">
        <v>31.6</v>
      </c>
      <c r="H12" t="inlineStr">
        <is>
          <t>Total, £31 11 shilling 11pence</t>
        </is>
      </c>
    </row>
    <row r="13">
      <c r="A13" t="inlineStr">
        <is>
          <t>Rents of assize</t>
        </is>
      </c>
      <c r="F13" s="72" t="n">
        <v>31.6</v>
      </c>
      <c r="G13" s="139" t="n">
        <v>0</v>
      </c>
      <c r="H13" t="inlineStr">
        <is>
          <t>Total</t>
        </is>
      </c>
    </row>
    <row r="14"/>
    <row r="15">
      <c r="A15" t="inlineStr">
        <is>
          <t>Quittances</t>
        </is>
      </c>
      <c r="B15" t="n">
        <v>0</v>
      </c>
      <c r="C15" t="n">
        <v>5</v>
      </c>
      <c r="D15" t="n">
        <v>0</v>
      </c>
      <c r="F15" s="72" t="n">
        <v>0.25</v>
      </c>
      <c r="H15" t="inlineStr">
        <is>
          <t>In quittance of 1 reeve for the year 5 shilling.</t>
        </is>
      </c>
    </row>
    <row r="16">
      <c r="A16" t="inlineStr">
        <is>
          <t>Quittances</t>
        </is>
      </c>
      <c r="B16" t="n">
        <v>0</v>
      </c>
      <c r="C16" t="n">
        <v>5</v>
      </c>
      <c r="D16" t="n">
        <v>0</v>
      </c>
      <c r="F16" s="72" t="n">
        <v>0.25</v>
      </c>
      <c r="H16" t="inlineStr">
        <is>
          <t>1 smith for the ironwork of 5 ploughs for the year 5 shilling.</t>
        </is>
      </c>
    </row>
    <row r="17">
      <c r="A17" t="inlineStr">
        <is>
          <t>Quittances</t>
        </is>
      </c>
      <c r="B17" t="n">
        <v>0</v>
      </c>
      <c r="C17" t="n">
        <v>2</v>
      </c>
      <c r="D17" t="n">
        <v>6</v>
      </c>
      <c r="F17" s="72" t="n">
        <v>0.12</v>
      </c>
      <c r="H17" t="inlineStr">
        <is>
          <t>1 bartoner for the year 2 shilling 6pence.</t>
        </is>
      </c>
    </row>
    <row r="18">
      <c r="A18" t="inlineStr">
        <is>
          <t>Quittances</t>
        </is>
      </c>
      <c r="B18" t="n">
        <v>0</v>
      </c>
      <c r="C18" t="n">
        <v>2</v>
      </c>
      <c r="D18" t="n">
        <v>0</v>
      </c>
      <c r="F18" s="72" t="n">
        <v>0.1</v>
      </c>
      <c r="H18" t="inlineStr">
        <is>
          <t>1 keeper of ewes for the year 2 shilling.</t>
        </is>
      </c>
    </row>
    <row r="19">
      <c r="A19" t="inlineStr">
        <is>
          <t>Quittances</t>
        </is>
      </c>
      <c r="B19" t="n">
        <v>0</v>
      </c>
      <c r="C19" t="n">
        <v>2</v>
      </c>
      <c r="D19" t="n">
        <v>0</v>
      </c>
      <c r="F19" s="72" t="n">
        <v>0.1</v>
      </c>
      <c r="H19" t="inlineStr">
        <is>
          <t>1 keeper of wethers for the year 2 shilling.</t>
        </is>
      </c>
    </row>
    <row r="20">
      <c r="A20" t="inlineStr">
        <is>
          <t>Quittances</t>
        </is>
      </c>
      <c r="B20" t="n">
        <v>0</v>
      </c>
      <c r="C20" t="n">
        <v>1</v>
      </c>
      <c r="D20" t="n">
        <v>6</v>
      </c>
      <c r="F20" s="72" t="n">
        <v>0.08</v>
      </c>
      <c r="H20" t="inlineStr">
        <is>
          <t>1 keeper of hoggs for 3 terms 1 shilling 6pence.</t>
        </is>
      </c>
    </row>
    <row r="21">
      <c r="A21" t="inlineStr">
        <is>
          <t>Quittances</t>
        </is>
      </c>
      <c r="B21" t="n">
        <v>0</v>
      </c>
      <c r="C21" t="n">
        <v>2</v>
      </c>
      <c r="D21" t="n">
        <v>0</v>
      </c>
      <c r="F21" s="72" t="n">
        <v>0.1</v>
      </c>
      <c r="H21" t="inlineStr">
        <is>
          <t>1 swineherd for the year 2 shilling.</t>
        </is>
      </c>
    </row>
    <row r="22">
      <c r="A22" t="inlineStr">
        <is>
          <t>Quittances</t>
        </is>
      </c>
      <c r="B22" t="n">
        <v>0</v>
      </c>
      <c r="C22" t="n">
        <v>16</v>
      </c>
      <c r="D22" t="n">
        <v>0</v>
      </c>
      <c r="F22" s="72" t="n">
        <v>0.8</v>
      </c>
      <c r="H22" t="inlineStr">
        <is>
          <t>8 ploughmen for the year 16 shilling, or 2 shilling each for the year.</t>
        </is>
      </c>
    </row>
    <row r="23">
      <c r="A23" t="inlineStr">
        <is>
          <t>Quittances</t>
        </is>
      </c>
      <c r="B23" t="n">
        <v>0</v>
      </c>
      <c r="C23" t="n">
        <v>3</v>
      </c>
      <c r="D23" t="n">
        <v>0</v>
      </c>
      <c r="F23" s="72" t="n">
        <v>0.15</v>
      </c>
      <c r="H23" t="inlineStr">
        <is>
          <t>2 oxherds until the oxen were put to the stalls 3 shilling.</t>
        </is>
      </c>
    </row>
    <row r="24">
      <c r="A24" t="inlineStr">
        <is>
          <t>Quittances</t>
        </is>
      </c>
      <c r="B24" t="n">
        <v>0</v>
      </c>
      <c r="C24" t="n">
        <v>3</v>
      </c>
      <c r="D24" t="n">
        <v>0</v>
      </c>
      <c r="F24" s="72">
        <f>B24+C24/20+D24/240</f>
        <v/>
      </c>
      <c r="H24" t="inlineStr">
        <is>
          <t xml:space="preserve">2 workers working twice a week from Christmas until Lammas (1 August) and everyday at harvest-time 3 shilling </t>
        </is>
      </c>
    </row>
    <row r="25">
      <c r="A25" t="inlineStr">
        <is>
          <t>Quittances</t>
        </is>
      </c>
      <c r="B25" t="n">
        <v>2</v>
      </c>
      <c r="C25" t="n">
        <v>2</v>
      </c>
      <c r="D25" t="n">
        <v>0</v>
      </c>
      <c r="F25" s="72" t="n">
        <v>2.1</v>
      </c>
      <c r="H25" t="inlineStr">
        <is>
          <t>Total, £2 2 shilling</t>
        </is>
      </c>
    </row>
    <row r="26">
      <c r="A26" t="inlineStr">
        <is>
          <t>Quittances</t>
        </is>
      </c>
      <c r="F26" s="72">
        <f>SUM(F15:F24)</f>
        <v/>
      </c>
      <c r="G26" s="139">
        <f>F26-F25</f>
        <v/>
      </c>
      <c r="H26" t="inlineStr">
        <is>
          <t>Total</t>
        </is>
      </c>
    </row>
    <row r="27"/>
    <row r="28">
      <c r="A28" t="inlineStr">
        <is>
          <t>Defaults of rent</t>
        </is>
      </c>
      <c r="B28" t="n">
        <v>0</v>
      </c>
      <c r="C28" t="n">
        <v>0</v>
      </c>
      <c r="D28" t="n">
        <v>4</v>
      </c>
      <c r="F28" s="72" t="n">
        <v>0.02</v>
      </c>
      <c r="H28" t="inlineStr">
        <is>
          <t>In default of the land of the wheelwright drawn into demesne, 4pence for the year.</t>
        </is>
      </c>
    </row>
    <row r="29">
      <c r="A29" t="inlineStr">
        <is>
          <t>Defaults of rent</t>
        </is>
      </c>
      <c r="B29" t="n">
        <v>0</v>
      </c>
      <c r="C29" t="n">
        <v>0</v>
      </c>
      <c r="D29" t="n">
        <v>8</v>
      </c>
      <c r="F29" s="72" t="n">
        <v>0.03</v>
      </c>
      <c r="H29" t="inlineStr">
        <is>
          <t>the land of Hugh and Herbert, 8pence for the year.</t>
        </is>
      </c>
    </row>
    <row r="30">
      <c r="A30" t="inlineStr">
        <is>
          <t>Defaults of rent</t>
        </is>
      </c>
      <c r="B30" t="n">
        <v>0</v>
      </c>
      <c r="C30" t="n">
        <v>0</v>
      </c>
      <c r="D30" t="n">
        <v>8</v>
      </c>
      <c r="F30" s="72" t="n">
        <v>0.03</v>
      </c>
      <c r="H30" t="inlineStr">
        <is>
          <t>the land of Arnold and Geoffrey drawn into demesne, 8pence for the year.</t>
        </is>
      </c>
    </row>
    <row r="31">
      <c r="A31" t="inlineStr">
        <is>
          <t>Defaults of rent</t>
        </is>
      </c>
      <c r="B31" t="n">
        <v>0</v>
      </c>
      <c r="C31" t="n">
        <v>0</v>
      </c>
      <c r="D31" t="n">
        <v>8</v>
      </c>
      <c r="F31" s="72" t="n">
        <v>0.03</v>
      </c>
      <c r="H31" t="inlineStr">
        <is>
          <t>the land of Arnold and William ate More drawn into demesne, 8pence for the year.</t>
        </is>
      </c>
    </row>
    <row r="32">
      <c r="A32" t="inlineStr">
        <is>
          <t>Defaults of rent</t>
        </is>
      </c>
      <c r="B32" t="n">
        <v>0</v>
      </c>
      <c r="C32" t="n">
        <v>1</v>
      </c>
      <c r="D32" t="n">
        <v>4</v>
      </c>
      <c r="F32" s="72" t="n">
        <v>0.07000000000000001</v>
      </c>
      <c r="H32" t="inlineStr">
        <is>
          <t>the land of Robert and Herbert drawn into demesne, 1 shilling 4pence for the year.</t>
        </is>
      </c>
    </row>
    <row r="33">
      <c r="A33" t="inlineStr">
        <is>
          <t>Defaults of rent</t>
        </is>
      </c>
      <c r="B33" t="n">
        <v>0</v>
      </c>
      <c r="C33" t="n">
        <v>0</v>
      </c>
      <c r="D33" t="n">
        <v>8</v>
      </c>
      <c r="F33" s="72" t="n">
        <v>0.03</v>
      </c>
      <c r="H33" t="inlineStr">
        <is>
          <t>the land of Richard Faber drawn into demesne, 8pence for the year.</t>
        </is>
      </c>
    </row>
    <row r="34">
      <c r="A34" t="inlineStr">
        <is>
          <t>Defaults of rent</t>
        </is>
      </c>
      <c r="B34" t="n">
        <v>0</v>
      </c>
      <c r="C34" t="n">
        <v>0</v>
      </c>
      <c r="D34" t="n">
        <v>0</v>
      </c>
      <c r="F34" s="72" t="n">
        <v>0</v>
      </c>
      <c r="H34" t="inlineStr">
        <is>
          <t>These defaults are from a certain meadow at Elleford' drawn into demesne for the year.</t>
        </is>
      </c>
    </row>
    <row r="35">
      <c r="A35" t="inlineStr">
        <is>
          <t>Defaults of rent</t>
        </is>
      </c>
      <c r="B35" t="n">
        <v>0</v>
      </c>
      <c r="C35" t="n">
        <v>7</v>
      </c>
      <c r="D35" t="n">
        <v>0</v>
      </c>
      <c r="F35" s="72" t="n">
        <v>0.35</v>
      </c>
      <c r="H35" t="inlineStr">
        <is>
          <t>default of the land which is called la Hyde, 7 shilling for the year.</t>
        </is>
      </c>
    </row>
    <row r="36">
      <c r="A36" t="inlineStr">
        <is>
          <t>Defaults of rent</t>
        </is>
      </c>
      <c r="B36" t="n">
        <v>3</v>
      </c>
      <c r="C36" t="n">
        <v>10</v>
      </c>
      <c r="D36" t="n">
        <v>0</v>
      </c>
      <c r="F36" s="72" t="n">
        <v>3.5</v>
      </c>
      <c r="H36" t="inlineStr">
        <is>
          <t>the mill of Clyth' drawn into demesne, £3 10 shilling for the year.</t>
        </is>
      </c>
    </row>
    <row r="37">
      <c r="A37" t="inlineStr">
        <is>
          <t>Defaults of rent</t>
        </is>
      </c>
      <c r="B37" t="n">
        <v>0</v>
      </c>
      <c r="C37" t="n">
        <v>13</v>
      </c>
      <c r="D37" t="n">
        <v>4</v>
      </c>
      <c r="F37" s="72">
        <f>B37+C37/20+D37/240</f>
        <v/>
      </c>
      <c r="H37" t="inlineStr">
        <is>
          <t xml:space="preserve">the mill of Bergh' because it does not have the multure of the hundred 13 shilling 4pence </t>
        </is>
      </c>
    </row>
    <row r="38">
      <c r="A38" t="inlineStr">
        <is>
          <t>Defaults of rent</t>
        </is>
      </c>
      <c r="B38" t="n">
        <v>4</v>
      </c>
      <c r="C38" t="n">
        <v>14</v>
      </c>
      <c r="D38" t="n">
        <v>8</v>
      </c>
      <c r="F38" s="72" t="n">
        <v>4.73</v>
      </c>
      <c r="H38" t="inlineStr">
        <is>
          <t>Total, £4 14 shilling 8pence</t>
        </is>
      </c>
    </row>
    <row r="39">
      <c r="A39" t="inlineStr">
        <is>
          <t>Defaults of rent</t>
        </is>
      </c>
      <c r="F39" s="72">
        <f>SUM(F28:F37)</f>
        <v/>
      </c>
      <c r="G39" s="139">
        <f>F39-F38</f>
        <v/>
      </c>
      <c r="H39" t="inlineStr">
        <is>
          <t>Total</t>
        </is>
      </c>
    </row>
    <row r="40"/>
    <row r="41">
      <c r="A41" t="inlineStr">
        <is>
          <t>Total of quittances and defaults of rent</t>
        </is>
      </c>
      <c r="B41" t="n">
        <v>6</v>
      </c>
      <c r="C41" t="n">
        <v>16</v>
      </c>
      <c r="D41" t="n">
        <v>8</v>
      </c>
      <c r="F41" s="72" t="n">
        <v>6.83</v>
      </c>
      <c r="H41" t="inlineStr">
        <is>
          <t>Total of quittances and defaults of rent, £6 16 shilling 8pence</t>
        </is>
      </c>
    </row>
    <row r="42">
      <c r="A42" t="inlineStr">
        <is>
          <t>Total of quittances and defaults of rent</t>
        </is>
      </c>
      <c r="F42" s="72" t="n">
        <v>6.83</v>
      </c>
      <c r="G42" s="139">
        <f>F42-F41</f>
        <v/>
      </c>
      <c r="H42" t="inlineStr">
        <is>
          <t>Total</t>
        </is>
      </c>
    </row>
    <row r="43"/>
    <row r="44">
      <c r="A44" t="inlineStr">
        <is>
          <t>Total of rents remaining clear</t>
        </is>
      </c>
      <c r="B44" t="n">
        <v>24</v>
      </c>
      <c r="C44" t="n">
        <v>15</v>
      </c>
      <c r="D44" t="n">
        <v>3</v>
      </c>
      <c r="F44" s="72" t="n">
        <v>24.76</v>
      </c>
      <c r="H44" t="inlineStr">
        <is>
          <t>Total of rents remaining clear, £24 15 shilling 3pence</t>
        </is>
      </c>
    </row>
    <row r="45">
      <c r="A45" t="inlineStr">
        <is>
          <t>Total of rents remaining clear</t>
        </is>
      </c>
      <c r="F45" s="72" t="n">
        <v>24.76</v>
      </c>
      <c r="G45" s="139">
        <f>F45-F44</f>
        <v/>
      </c>
      <c r="H45" t="inlineStr">
        <is>
          <t>Total</t>
        </is>
      </c>
    </row>
    <row r="46"/>
    <row r="47">
      <c r="A47" t="inlineStr">
        <is>
          <t>Annual recognizance</t>
        </is>
      </c>
      <c r="B47" t="n">
        <v>0</v>
      </c>
      <c r="C47" t="n">
        <v>0</v>
      </c>
      <c r="D47" t="n">
        <v>0</v>
      </c>
      <c r="F47" s="72" t="n">
        <v>0</v>
      </c>
      <c r="H47" t="inlineStr">
        <is>
          <t>The same render account for nothing from Richard le Clodyere because he is dead.</t>
        </is>
      </c>
    </row>
    <row r="48">
      <c r="A48" t="inlineStr">
        <is>
          <t>Annual recognizance</t>
        </is>
      </c>
      <c r="B48" t="n">
        <v>0</v>
      </c>
      <c r="C48" t="n">
        <v>0</v>
      </c>
      <c r="D48" t="n">
        <v>4</v>
      </c>
      <c r="F48" s="72" t="n">
        <v>0.02</v>
      </c>
      <c r="H48" t="inlineStr">
        <is>
          <t>4pence from Robert Wolfon3 for annual recognizance.</t>
        </is>
      </c>
    </row>
    <row r="49">
      <c r="A49" t="inlineStr">
        <is>
          <t>Annual recognizance</t>
        </is>
      </c>
      <c r="B49" t="n">
        <v>0</v>
      </c>
      <c r="C49" t="n">
        <v>0</v>
      </c>
      <c r="D49" t="n">
        <v>3</v>
      </c>
      <c r="F49" s="72" t="n">
        <v>0.01</v>
      </c>
      <c r="H49" t="inlineStr">
        <is>
          <t>3pence from William Pistore for thesame.</t>
        </is>
      </c>
    </row>
    <row r="50">
      <c r="A50" t="inlineStr">
        <is>
          <t>Annual recognizance</t>
        </is>
      </c>
      <c r="B50" t="n">
        <v>0</v>
      </c>
      <c r="C50" t="n">
        <v>0</v>
      </c>
      <c r="D50" t="n">
        <v>7</v>
      </c>
      <c r="F50" s="72" t="n">
        <v>0.03</v>
      </c>
      <c r="H50" t="inlineStr">
        <is>
          <t>Total, 7pence</t>
        </is>
      </c>
    </row>
    <row r="51">
      <c r="A51" t="inlineStr">
        <is>
          <t>Annual recognizance</t>
        </is>
      </c>
      <c r="F51" s="72" t="n">
        <v>0.03</v>
      </c>
      <c r="G51" s="139" t="n">
        <v>0</v>
      </c>
      <c r="H51" t="inlineStr">
        <is>
          <t>Total</t>
        </is>
      </c>
    </row>
    <row r="52"/>
    <row r="53">
      <c r="A53" t="inlineStr">
        <is>
          <t>Issues of the manor</t>
        </is>
      </c>
      <c r="B53" t="n">
        <v>1</v>
      </c>
      <c r="C53" t="n">
        <v>1</v>
      </c>
      <c r="D53" t="n">
        <v>11.5</v>
      </c>
      <c r="F53" s="72" t="n">
        <v>1.1</v>
      </c>
      <c r="H53" t="inlineStr">
        <is>
          <t>The same render account for £1 1 shilling 11.5pence from pannage of pigs this year.</t>
        </is>
      </c>
    </row>
    <row r="54">
      <c r="A54" t="inlineStr">
        <is>
          <t>Issues of the manor</t>
        </is>
      </c>
      <c r="B54" t="n">
        <v>0</v>
      </c>
      <c r="C54" t="n">
        <v>4</v>
      </c>
      <c r="D54" t="n">
        <v>4</v>
      </c>
      <c r="F54" s="72" t="n">
        <v>0.22</v>
      </c>
      <c r="H54" t="inlineStr">
        <is>
          <t>4 shilling 4pence from pannage of the cottars, at 4pence an ox and cow.</t>
        </is>
      </c>
    </row>
    <row r="55">
      <c r="A55" t="inlineStr">
        <is>
          <t>Issues of the manor</t>
        </is>
      </c>
      <c r="B55" t="n">
        <v>0</v>
      </c>
      <c r="C55" t="n">
        <v>0</v>
      </c>
      <c r="D55" t="n">
        <v>0</v>
      </c>
      <c r="F55" s="72" t="n">
        <v>0</v>
      </c>
      <c r="H55" t="inlineStr">
        <is>
          <t>nothing from the pasturage of Eldeford' this year for the lord's livestock.</t>
        </is>
      </c>
    </row>
    <row r="56">
      <c r="A56" t="inlineStr">
        <is>
          <t>Issues of the manor</t>
        </is>
      </c>
      <c r="B56" t="n">
        <v>0</v>
      </c>
      <c r="C56" t="n">
        <v>0</v>
      </c>
      <c r="D56" t="n">
        <v>0</v>
      </c>
      <c r="F56" s="72" t="n">
        <v>0</v>
      </c>
      <c r="H56" t="inlineStr">
        <is>
          <t>nothing from the pasturage of Perogh' for the same.</t>
        </is>
      </c>
    </row>
    <row r="57">
      <c r="A57" t="inlineStr">
        <is>
          <t>Issues of the manor</t>
        </is>
      </c>
      <c r="B57" t="n">
        <v>0</v>
      </c>
      <c r="C57" t="n">
        <v>0</v>
      </c>
      <c r="D57" t="n">
        <v>0</v>
      </c>
      <c r="F57" s="72" t="n">
        <v>0</v>
      </c>
      <c r="H57" t="inlineStr">
        <is>
          <t>nothing from the pasturage of Rowele, nor from the pasturage of Grenle, nor from the pasturage of Holeden', nor from the pasturage of Fulele and Fenihull' this year for the same.</t>
        </is>
      </c>
    </row>
    <row r="58">
      <c r="A58" t="inlineStr">
        <is>
          <t>Issues of the manor</t>
        </is>
      </c>
      <c r="B58" t="n">
        <v>0</v>
      </c>
      <c r="C58" t="n">
        <v>0</v>
      </c>
      <c r="D58" t="n">
        <v>0</v>
      </c>
      <c r="F58" s="72" t="n">
        <v>0</v>
      </c>
      <c r="H58" t="inlineStr">
        <is>
          <t>nothing from the pasturage of Donefore this year for the same.</t>
        </is>
      </c>
    </row>
    <row r="59">
      <c r="A59" t="inlineStr">
        <is>
          <t>Issues of the manor</t>
        </is>
      </c>
      <c r="B59" t="n">
        <v>0</v>
      </c>
      <c r="C59" t="n">
        <v>15</v>
      </c>
      <c r="D59" t="n">
        <v>0</v>
      </c>
      <c r="F59" s="72" t="n">
        <v>0.75</v>
      </c>
      <c r="H59" t="inlineStr">
        <is>
          <t>15 shilling from right of way for carts travelling beyond the lord's pasture.</t>
        </is>
      </c>
    </row>
    <row r="60">
      <c r="A60" t="inlineStr">
        <is>
          <t>Issues of the manor</t>
        </is>
      </c>
      <c r="B60" t="n">
        <v>0</v>
      </c>
      <c r="C60" t="n">
        <v>9</v>
      </c>
      <c r="D60" t="n">
        <v>5</v>
      </c>
      <c r="F60" s="72" t="n">
        <v>0.47</v>
      </c>
      <c r="H60" t="inlineStr">
        <is>
          <t>9 shilling 5pence from 113 hens from churchscot sold.</t>
        </is>
      </c>
    </row>
    <row r="61">
      <c r="A61" t="inlineStr">
        <is>
          <t>Issues of the manor</t>
        </is>
      </c>
      <c r="B61" t="n">
        <v>0</v>
      </c>
      <c r="C61" t="n">
        <v>3</v>
      </c>
      <c r="D61" t="n">
        <v>6</v>
      </c>
      <c r="F61" s="72" t="n">
        <v>0.17</v>
      </c>
      <c r="H61" t="inlineStr">
        <is>
          <t>3 shilling 6pence from 1,050 eggs sold according to custom.</t>
        </is>
      </c>
    </row>
    <row r="62">
      <c r="A62" t="inlineStr">
        <is>
          <t>Issues of the manor</t>
        </is>
      </c>
      <c r="B62" t="n">
        <v>0</v>
      </c>
      <c r="C62" t="n">
        <v>3</v>
      </c>
      <c r="D62" t="n">
        <v>0</v>
      </c>
      <c r="F62" s="72" t="n">
        <v>0.15</v>
      </c>
      <c r="H62" t="inlineStr">
        <is>
          <t>3 shilling from the relict of le Fiz for release from her labour service this year.</t>
        </is>
      </c>
    </row>
    <row r="63">
      <c r="A63" t="inlineStr">
        <is>
          <t>Issues of the manor</t>
        </is>
      </c>
      <c r="B63" t="n">
        <v>0</v>
      </c>
      <c r="C63" t="n">
        <v>2</v>
      </c>
      <c r="D63" t="n">
        <v>0</v>
      </c>
      <c r="F63" s="72" t="n">
        <v>0.1</v>
      </c>
      <c r="H63" t="inlineStr">
        <is>
          <t>2 shilling from Richard Eme for release from his labour service by 1 game of chance (j hasard') at the lord's will.</t>
        </is>
      </c>
    </row>
    <row r="64">
      <c r="A64" t="inlineStr">
        <is>
          <t>Issues of the manor</t>
        </is>
      </c>
      <c r="B64" t="n">
        <v>0</v>
      </c>
      <c r="C64" t="n">
        <v>0</v>
      </c>
      <c r="D64" t="n">
        <v>0</v>
      </c>
      <c r="F64" s="72" t="n">
        <v>0</v>
      </c>
      <c r="H64" t="inlineStr">
        <is>
          <t>nothing from the entire coarse wool and lamb's-wool here because it was sent to Wolvesey.</t>
        </is>
      </c>
    </row>
    <row r="65">
      <c r="A65" t="inlineStr">
        <is>
          <t>Issues of the manor</t>
        </is>
      </c>
      <c r="B65" t="n">
        <v>0</v>
      </c>
      <c r="C65" t="n">
        <v>4</v>
      </c>
      <c r="D65" t="n">
        <v>1.5</v>
      </c>
      <c r="F65" s="72" t="n">
        <v>0.21</v>
      </c>
      <c r="H65" t="inlineStr">
        <is>
          <t>4 shilling 1.5pence from 4 cloves 5 lb of wool locks sold.</t>
        </is>
      </c>
    </row>
    <row r="66">
      <c r="A66" t="inlineStr">
        <is>
          <t>Issues of the manor</t>
        </is>
      </c>
      <c r="B66" t="n">
        <v>0</v>
      </c>
      <c r="C66" t="n">
        <v>4</v>
      </c>
      <c r="D66" t="n">
        <v>6</v>
      </c>
      <c r="F66" s="72" t="n">
        <v>0.23</v>
      </c>
      <c r="H66" t="inlineStr">
        <is>
          <t>4 shilling 6pence from 0.5 wey 4 cloves of rowen cheese sold.</t>
        </is>
      </c>
    </row>
    <row r="67">
      <c r="A67" t="inlineStr">
        <is>
          <t>Issues of the manor</t>
        </is>
      </c>
      <c r="B67" t="n">
        <v>4</v>
      </c>
      <c r="C67" t="n">
        <v>7</v>
      </c>
      <c r="D67" t="n">
        <v>0</v>
      </c>
      <c r="F67" s="72" t="n">
        <v>4.35</v>
      </c>
      <c r="H67" t="inlineStr">
        <is>
          <t>£4 7 shilling from 10 weys 7 cloves of cheese made in summer sold, at 9 shilling a wey for 5 weys, and 8 shilling a wey for 5 weys 7 cloves.</t>
        </is>
      </c>
    </row>
    <row r="68">
      <c r="A68" t="inlineStr">
        <is>
          <t>Issues of the manor</t>
        </is>
      </c>
      <c r="B68" t="n">
        <v>0</v>
      </c>
      <c r="C68" t="n">
        <v>8</v>
      </c>
      <c r="D68" t="n">
        <v>0</v>
      </c>
      <c r="F68" s="72" t="n">
        <v>0.4</v>
      </c>
      <c r="H68" t="inlineStr">
        <is>
          <t>8 shilling from 1 wey of butter sold.</t>
        </is>
      </c>
    </row>
    <row r="69">
      <c r="A69" t="inlineStr">
        <is>
          <t>Issues of the manor</t>
        </is>
      </c>
      <c r="B69" t="n">
        <v>0</v>
      </c>
      <c r="C69" t="n">
        <v>19</v>
      </c>
      <c r="D69" t="n">
        <v>8</v>
      </c>
      <c r="F69" s="72" t="n">
        <v>0.98</v>
      </c>
      <c r="H69" t="inlineStr">
        <is>
          <t>19 shilling 8pence from 3 feeble plough-horses sold.</t>
        </is>
      </c>
    </row>
    <row r="70">
      <c r="A70" t="inlineStr">
        <is>
          <t>Issues of the manor</t>
        </is>
      </c>
      <c r="B70" t="n">
        <v>1</v>
      </c>
      <c r="C70" t="n">
        <v>16</v>
      </c>
      <c r="D70" t="n">
        <v>0</v>
      </c>
      <c r="F70" s="72" t="n">
        <v>1.8</v>
      </c>
      <c r="H70" t="inlineStr">
        <is>
          <t>£1 16 shilling from 3 old oxen sold.</t>
        </is>
      </c>
    </row>
    <row r="71">
      <c r="A71" t="inlineStr">
        <is>
          <t>Issues of the manor</t>
        </is>
      </c>
      <c r="B71" t="n">
        <v>0</v>
      </c>
      <c r="C71" t="n">
        <v>4</v>
      </c>
      <c r="D71" t="n">
        <v>0</v>
      </c>
      <c r="F71" s="72" t="n">
        <v>0.2</v>
      </c>
      <c r="H71" t="inlineStr">
        <is>
          <t>4 shilling from 4 feeble calves sold.</t>
        </is>
      </c>
    </row>
    <row r="72">
      <c r="A72" t="inlineStr">
        <is>
          <t>Issues of the manor</t>
        </is>
      </c>
      <c r="B72" t="n">
        <v>1</v>
      </c>
      <c r="C72" t="n">
        <v>1</v>
      </c>
      <c r="D72" t="n">
        <v>0</v>
      </c>
      <c r="F72" s="72" t="n">
        <v>1.05</v>
      </c>
      <c r="H72" t="inlineStr">
        <is>
          <t>£1 1 shilling from 18 wethers sold at Martinmas (11 November), at 1 shilling 2pence each.</t>
        </is>
      </c>
    </row>
    <row r="73">
      <c r="A73" t="inlineStr">
        <is>
          <t>Issues of the manor</t>
        </is>
      </c>
      <c r="B73" t="n">
        <v>1</v>
      </c>
      <c r="C73" t="n">
        <v>0</v>
      </c>
      <c r="D73" t="n">
        <v>2</v>
      </c>
      <c r="F73" s="72" t="n">
        <v>1.01</v>
      </c>
      <c r="H73" t="inlineStr">
        <is>
          <t>£1 2pence from 22 ewes sold at the said feast, at 11pence each.</t>
        </is>
      </c>
    </row>
    <row r="74">
      <c r="A74" t="inlineStr">
        <is>
          <t>Issues of the manor</t>
        </is>
      </c>
      <c r="B74" t="n">
        <v>0</v>
      </c>
      <c r="C74" t="n">
        <v>6</v>
      </c>
      <c r="D74" t="n">
        <v>8.5</v>
      </c>
      <c r="F74" s="72" t="n">
        <v>0.34</v>
      </c>
      <c r="H74" t="inlineStr">
        <is>
          <t>6 shilling 8.5pence from 23 feeble lambs sold on account of their sickness, [at 3.5pence each].</t>
        </is>
      </c>
    </row>
    <row r="75">
      <c r="A75" t="inlineStr">
        <is>
          <t>Issues of the manor</t>
        </is>
      </c>
      <c r="B75" t="n">
        <v>2</v>
      </c>
      <c r="C75" t="n">
        <v>1</v>
      </c>
      <c r="D75" t="n">
        <v>6</v>
      </c>
      <c r="F75" s="72" t="n">
        <v>2.07</v>
      </c>
      <c r="H75" t="inlineStr">
        <is>
          <t>£2 1 shilling 6pence from 15 pigs sold, at 2 shilling 6pence each for 7, and 3 shilling each for 8.</t>
        </is>
      </c>
    </row>
    <row r="76">
      <c r="A76" t="inlineStr">
        <is>
          <t>Issues of the manor</t>
        </is>
      </c>
      <c r="B76" t="n">
        <v>0</v>
      </c>
      <c r="C76" t="n">
        <v>2</v>
      </c>
      <c r="D76" t="n">
        <v>6</v>
      </c>
      <c r="F76" s="72" t="n">
        <v>0.12</v>
      </c>
      <c r="H76" t="inlineStr">
        <is>
          <t>2 shilling 6pence from the hide sold of 1 ox dead from murrain.</t>
        </is>
      </c>
    </row>
    <row r="77">
      <c r="A77" t="inlineStr">
        <is>
          <t>Issues of the manor</t>
        </is>
      </c>
      <c r="B77" t="n">
        <v>0</v>
      </c>
      <c r="C77" t="n">
        <v>1</v>
      </c>
      <c r="D77" t="n">
        <v>10</v>
      </c>
      <c r="F77" s="72" t="n">
        <v>0.09</v>
      </c>
      <c r="H77" t="inlineStr">
        <is>
          <t>1 shilling 10pence from the hides sold of 1 cow and 1 steer in murrain.</t>
        </is>
      </c>
    </row>
    <row r="78">
      <c r="A78" t="inlineStr">
        <is>
          <t>Issues of the manor</t>
        </is>
      </c>
      <c r="B78" t="n">
        <v>0</v>
      </c>
      <c r="C78" t="n">
        <v>0</v>
      </c>
      <c r="D78" t="n">
        <v>2</v>
      </c>
      <c r="F78" s="72" t="n">
        <v>0.01</v>
      </c>
      <c r="H78" t="inlineStr">
        <is>
          <t>2pence from the hide sold of 1 calf in murrain.</t>
        </is>
      </c>
    </row>
    <row r="79">
      <c r="A79" t="inlineStr">
        <is>
          <t>Issues of the manor</t>
        </is>
      </c>
      <c r="B79" t="n">
        <v>0</v>
      </c>
      <c r="C79" t="n">
        <v>11</v>
      </c>
      <c r="D79" t="n">
        <v>6</v>
      </c>
      <c r="F79" s="72" t="n">
        <v>0.58</v>
      </c>
      <c r="H79" t="inlineStr">
        <is>
          <t>11 shilling 6pence from the skins of 10 wethers, 10 ewes and 30 hoggs dead from murrain before shearing, at 3pence a skin of wethers and ewes, and 2pence a skin of hoggs, with the skins of 8 wethers, 6 ewes and 13 hoggs dead from murrain after shearing.</t>
        </is>
      </c>
    </row>
    <row r="80">
      <c r="A80" t="inlineStr">
        <is>
          <t>Issues of the manor</t>
        </is>
      </c>
      <c r="B80" t="n">
        <v>0</v>
      </c>
      <c r="C80" t="n">
        <v>2</v>
      </c>
      <c r="D80" t="n">
        <v>9</v>
      </c>
      <c r="F80" s="72" t="n">
        <v>0.14</v>
      </c>
      <c r="H80" t="inlineStr">
        <is>
          <t>2 shilling 9pence from the skins of 33 lambs dead from murrain before weaning.</t>
        </is>
      </c>
    </row>
    <row r="81">
      <c r="A81" t="inlineStr">
        <is>
          <t>Issues of the manor</t>
        </is>
      </c>
      <c r="B81" t="n">
        <v>0</v>
      </c>
      <c r="C81" t="n">
        <v>0</v>
      </c>
      <c r="D81" t="n">
        <v>8.5</v>
      </c>
      <c r="F81" s="72" t="n">
        <v>0.04</v>
      </c>
      <c r="H81" t="inlineStr">
        <is>
          <t>8.5pence from the skins sold of 13 rotted sheep.</t>
        </is>
      </c>
    </row>
    <row r="82">
      <c r="A82" t="inlineStr">
        <is>
          <t>Issues of the manor</t>
        </is>
      </c>
      <c r="B82" t="n">
        <v>0</v>
      </c>
      <c r="C82" t="n">
        <v>0</v>
      </c>
      <c r="D82" t="n">
        <v>0</v>
      </c>
      <c r="F82" s="72" t="n">
        <v>0</v>
      </c>
      <c r="H82" t="inlineStr">
        <is>
          <t>nothing from wood this year.</t>
        </is>
      </c>
    </row>
    <row r="83">
      <c r="A83" t="inlineStr">
        <is>
          <t>Issues of the manor</t>
        </is>
      </c>
      <c r="B83" t="n">
        <v>0</v>
      </c>
      <c r="C83" t="n">
        <v>2</v>
      </c>
      <c r="D83" t="n">
        <v>0</v>
      </c>
      <c r="F83" s="72" t="n">
        <v>0.1</v>
      </c>
      <c r="H83" t="inlineStr">
        <is>
          <t>2 shilling from Gilbert le Poller' so that he may take small fry (menis') from the river at Cheriton and Tichborne.</t>
        </is>
      </c>
    </row>
    <row r="84">
      <c r="A84" t="inlineStr">
        <is>
          <t>Issues of the manor</t>
        </is>
      </c>
      <c r="B84" t="n">
        <v>6</v>
      </c>
      <c r="C84" t="n">
        <v>9</v>
      </c>
      <c r="D84" t="n">
        <v>4.5</v>
      </c>
      <c r="F84" s="72" t="n">
        <v>6.47</v>
      </c>
      <c r="H84" t="inlineStr">
        <is>
          <t>£6 9 shilling 4.5pence from 15 steers sold which were bought for pasturing.</t>
        </is>
      </c>
    </row>
    <row r="85">
      <c r="A85" t="inlineStr">
        <is>
          <t>Issues of the manor</t>
        </is>
      </c>
      <c r="B85" t="n">
        <v>0</v>
      </c>
      <c r="C85" t="n">
        <v>13</v>
      </c>
      <c r="D85" t="n">
        <v>0</v>
      </c>
      <c r="F85" s="72" t="n">
        <v>0.65</v>
      </c>
      <c r="H85" t="inlineStr">
        <is>
          <t>13 shilling from dairy produce sold at the audit.</t>
        </is>
      </c>
    </row>
    <row r="86">
      <c r="A86" t="inlineStr">
        <is>
          <t>Issues of the manor</t>
        </is>
      </c>
      <c r="B86" t="n">
        <v>0</v>
      </c>
      <c r="C86" t="n">
        <v>1</v>
      </c>
      <c r="D86" t="n">
        <v>0</v>
      </c>
      <c r="F86" s="72" t="n">
        <v>0.05</v>
      </c>
      <c r="H86" t="inlineStr">
        <is>
          <t>1 shilling from 1 calf sold at the audit.</t>
        </is>
      </c>
    </row>
    <row r="87">
      <c r="A87" t="inlineStr">
        <is>
          <t>Issues of the manor</t>
        </is>
      </c>
      <c r="B87" t="n">
        <v>23</v>
      </c>
      <c r="C87" t="n">
        <v>16</v>
      </c>
      <c r="D87" t="n">
        <v>6.5</v>
      </c>
      <c r="F87" s="72" t="n">
        <v>23.83</v>
      </c>
      <c r="H87" t="inlineStr">
        <is>
          <t>Total, £23 16 shilling 6.5pence</t>
        </is>
      </c>
    </row>
    <row r="88">
      <c r="A88" t="inlineStr">
        <is>
          <t>Issues of the manor</t>
        </is>
      </c>
      <c r="F88" s="72" t="n">
        <v>23.85</v>
      </c>
      <c r="G88" s="139" t="n">
        <v>0.02000000000000313</v>
      </c>
      <c r="H88" t="inlineStr">
        <is>
          <t>Total</t>
        </is>
      </c>
    </row>
    <row r="89"/>
    <row r="90">
      <c r="A90" t="inlineStr">
        <is>
          <t>Sale of wheat</t>
        </is>
      </c>
      <c r="B90" t="n">
        <v>20</v>
      </c>
      <c r="C90" t="n">
        <v>0</v>
      </c>
      <c r="D90" t="n">
        <v>10</v>
      </c>
      <c r="F90" s="72" t="n">
        <v>20.04</v>
      </c>
      <c r="H90" t="inlineStr">
        <is>
          <t>The same render account for £20 10pence from 60 quarters 1 bushels of wheat sold, at 6 shilling 8pence a qr.</t>
        </is>
      </c>
    </row>
    <row r="91">
      <c r="A91" t="inlineStr">
        <is>
          <t>Sale of wheat</t>
        </is>
      </c>
      <c r="B91" t="n">
        <v>0</v>
      </c>
      <c r="C91" t="n">
        <v>8</v>
      </c>
      <c r="D91" t="n">
        <v>9</v>
      </c>
      <c r="F91" s="72" t="n">
        <v>0.44</v>
      </c>
      <c r="H91" t="inlineStr">
        <is>
          <t>8 shilling 9pence from 1 qr 7 bushels of curall sold.</t>
        </is>
      </c>
    </row>
    <row r="92">
      <c r="A92" t="inlineStr">
        <is>
          <t>Sale of wheat</t>
        </is>
      </c>
      <c r="B92" t="n">
        <v>0</v>
      </c>
      <c r="C92" t="n">
        <v>9</v>
      </c>
      <c r="D92" t="n">
        <v>0</v>
      </c>
      <c r="F92" s="72" t="n">
        <v>0.45</v>
      </c>
      <c r="H92" t="inlineStr">
        <is>
          <t>9 shilling from 3 quarters of winter barley sold, at 3 shilling a qr.</t>
        </is>
      </c>
    </row>
    <row r="93">
      <c r="A93" t="inlineStr">
        <is>
          <t>Sale of wheat</t>
        </is>
      </c>
      <c r="B93" t="n">
        <v>3</v>
      </c>
      <c r="C93" t="n">
        <v>15</v>
      </c>
      <c r="D93" t="n">
        <v>10</v>
      </c>
      <c r="F93" s="72" t="n">
        <v>3.79</v>
      </c>
      <c r="H93" t="inlineStr">
        <is>
          <t>£3 15 shilling 10pence from 16 quarters 2 bushels of barley sold, at 4 shilling 8pence a qr.</t>
        </is>
      </c>
    </row>
    <row r="94">
      <c r="A94" t="inlineStr">
        <is>
          <t>Sale of wheat</t>
        </is>
      </c>
      <c r="B94" t="n">
        <v>3</v>
      </c>
      <c r="C94" t="n">
        <v>14</v>
      </c>
      <c r="D94" t="n">
        <v>8</v>
      </c>
      <c r="F94" s="72" t="n">
        <v>3.73</v>
      </c>
      <c r="H94" t="inlineStr">
        <is>
          <t>£3 14 shilling 8pence from 32 quarters of oats sold, at 2 shilling 4pence a qr.</t>
        </is>
      </c>
    </row>
    <row r="95">
      <c r="A95" t="inlineStr">
        <is>
          <t>Sale of wheat</t>
        </is>
      </c>
      <c r="B95" t="n">
        <v>0</v>
      </c>
      <c r="C95" t="n">
        <v>1</v>
      </c>
      <c r="D95" t="n">
        <v>3.5</v>
      </c>
      <c r="F95" s="72" t="n">
        <v>0.06</v>
      </c>
      <c r="H95" t="inlineStr">
        <is>
          <t>1 shilling 3.5pence from 3 bushels of peas sold.</t>
        </is>
      </c>
    </row>
    <row r="96">
      <c r="A96" t="inlineStr">
        <is>
          <t>Sale of wheat</t>
        </is>
      </c>
      <c r="B96" t="n">
        <v>0</v>
      </c>
      <c r="C96" t="n">
        <v>1</v>
      </c>
      <c r="D96" t="n">
        <v>3</v>
      </c>
      <c r="F96" s="72" t="n">
        <v>0.06</v>
      </c>
      <c r="H96" t="inlineStr">
        <is>
          <t>1 shilling 3pence from 5 bushels of vetches sold.</t>
        </is>
      </c>
    </row>
    <row r="97">
      <c r="A97" t="inlineStr">
        <is>
          <t>Sale of wheat</t>
        </is>
      </c>
      <c r="B97" t="n">
        <v>0</v>
      </c>
      <c r="C97" t="n">
        <v>7</v>
      </c>
      <c r="D97" t="n">
        <v>6</v>
      </c>
      <c r="F97" s="72" t="n">
        <v>0.38</v>
      </c>
      <c r="H97" t="inlineStr">
        <is>
          <t>7 shilling 6pence from 1 qr 7 bushels of barley sold at the audit.</t>
        </is>
      </c>
    </row>
    <row r="98">
      <c r="A98" t="inlineStr">
        <is>
          <t>Sale of wheat</t>
        </is>
      </c>
      <c r="B98" t="n">
        <v>0</v>
      </c>
      <c r="C98" t="n">
        <v>12</v>
      </c>
      <c r="D98" t="n">
        <v>6</v>
      </c>
      <c r="F98" s="72" t="n">
        <v>0.62</v>
      </c>
      <c r="H98" t="inlineStr">
        <is>
          <t>12 shilling 6pence from 6 quarters 2 bushels of oats sold at the audit.</t>
        </is>
      </c>
    </row>
    <row r="99">
      <c r="A99" t="inlineStr">
        <is>
          <t>Sale of wheat</t>
        </is>
      </c>
      <c r="B99" t="n">
        <v>29</v>
      </c>
      <c r="C99" t="n">
        <v>11</v>
      </c>
      <c r="D99" t="n">
        <v>7.5</v>
      </c>
      <c r="F99" s="72" t="n">
        <v>29.58</v>
      </c>
      <c r="H99" t="inlineStr">
        <is>
          <t>Total, £29 11 shilling 7.5pence</t>
        </is>
      </c>
    </row>
    <row r="100">
      <c r="A100" t="inlineStr">
        <is>
          <t>Sale of wheat</t>
        </is>
      </c>
      <c r="F100" s="72" t="n">
        <v>29.57</v>
      </c>
      <c r="G100" s="139" t="n">
        <v>-0.00999999999999801</v>
      </c>
      <c r="H100" t="inlineStr">
        <is>
          <t>Total</t>
        </is>
      </c>
    </row>
    <row r="101"/>
    <row r="102">
      <c r="A102" t="inlineStr">
        <is>
          <t>Corn from the mill</t>
        </is>
      </c>
      <c r="B102" t="n">
        <v>0</v>
      </c>
      <c r="C102" t="n">
        <v>2</v>
      </c>
      <c r="D102" t="n">
        <v>6</v>
      </c>
      <c r="F102" t="n">
        <v>0.12</v>
      </c>
      <c r="H102" t="inlineStr">
        <is>
          <t>The same render account for 2 shilling 6pence from 4 bushels of wheat from the issue of the mill sold.</t>
        </is>
      </c>
    </row>
    <row r="103">
      <c r="A103" t="inlineStr">
        <is>
          <t>Corn from the mill</t>
        </is>
      </c>
      <c r="B103" t="n">
        <v>2</v>
      </c>
      <c r="C103" t="n">
        <v>12</v>
      </c>
      <c r="D103" t="n">
        <v>0</v>
      </c>
      <c r="F103" t="n">
        <v>2.6</v>
      </c>
      <c r="H103" t="inlineStr">
        <is>
          <t>£2 12 shilling from 14 quarters of barley from the issue of the same mill sold, at 3 shilling a quarters for 4 quarters, and 4 shilling a quarters for 10 quarters.</t>
        </is>
      </c>
    </row>
    <row r="104">
      <c r="A104" t="inlineStr">
        <is>
          <t>Corn from the mill</t>
        </is>
      </c>
      <c r="B104" t="n">
        <v>0</v>
      </c>
      <c r="C104" t="n">
        <v>1</v>
      </c>
      <c r="D104" t="n">
        <v>6</v>
      </c>
      <c r="F104" s="72">
        <f>B104+C104/20+D104/240</f>
        <v/>
      </c>
      <c r="H104" t="inlineStr">
        <is>
          <t xml:space="preserve">1 shilling 6pence from 4 bushels of malt from the issue of the same mill solpence </t>
        </is>
      </c>
    </row>
    <row r="105">
      <c r="A105" t="inlineStr">
        <is>
          <t>Corn from the mill</t>
        </is>
      </c>
      <c r="B105" t="n">
        <v>2</v>
      </c>
      <c r="C105" t="n">
        <v>16</v>
      </c>
      <c r="D105" t="n">
        <v>0</v>
      </c>
      <c r="F105" t="n">
        <v>2.8</v>
      </c>
      <c r="H105" t="inlineStr">
        <is>
          <t>Total, £2 16 shilling</t>
        </is>
      </c>
    </row>
    <row r="106">
      <c r="A106" t="inlineStr">
        <is>
          <t>Corn from the mill</t>
        </is>
      </c>
      <c r="F106" s="72">
        <f>SUM(F102:F104)</f>
        <v/>
      </c>
      <c r="G106" s="139">
        <f>F106-F105</f>
        <v/>
      </c>
      <c r="H106" t="inlineStr">
        <is>
          <t>Total</t>
        </is>
      </c>
    </row>
    <row r="107"/>
    <row r="108">
      <c r="A108" t="inlineStr">
        <is>
          <t>Entry and marriage fines with tithingpenny</t>
        </is>
      </c>
      <c r="B108" t="n">
        <v>0</v>
      </c>
      <c r="C108" t="n">
        <v>6</v>
      </c>
      <c r="D108" t="n">
        <v>8</v>
      </c>
      <c r="F108" s="72" t="n">
        <v>0.33</v>
      </c>
      <c r="H108" t="inlineStr">
        <is>
          <t>The same render account for 6 shilling1 8pence from the tithing of Cheriton at the hundred-court of Martinmas.</t>
        </is>
      </c>
    </row>
    <row r="109">
      <c r="A109" t="inlineStr">
        <is>
          <t>Entry and marriage fines with tithingpenny</t>
        </is>
      </c>
      <c r="B109" t="n">
        <v>0</v>
      </c>
      <c r="C109" t="n">
        <v>6</v>
      </c>
      <c r="D109" t="n">
        <v>8</v>
      </c>
      <c r="F109" s="72" t="n">
        <v>0.33</v>
      </c>
      <c r="H109" t="inlineStr">
        <is>
          <t>6 shilling 8pence from the same for the same at the hundred-court of Hockday.</t>
        </is>
      </c>
    </row>
    <row r="110">
      <c r="A110" t="inlineStr">
        <is>
          <t>Entry and marriage fines with tithingpenny</t>
        </is>
      </c>
      <c r="B110" t="n">
        <v>0</v>
      </c>
      <c r="C110" t="n">
        <v>3</v>
      </c>
      <c r="D110" t="n">
        <v>4</v>
      </c>
      <c r="F110" s="72" t="n">
        <v>0.17</v>
      </c>
      <c r="H110" t="inlineStr">
        <is>
          <t>3 shilling 4pence from Joan la Clodyar' to have 1 cotland which belonged to Richard le Clodyare her brother.</t>
        </is>
      </c>
    </row>
    <row r="111">
      <c r="A111" t="inlineStr">
        <is>
          <t>Entry and marriage fines with tithingpenny</t>
        </is>
      </c>
      <c r="B111" t="n">
        <v>0</v>
      </c>
      <c r="C111" t="n">
        <v>3</v>
      </c>
      <c r="D111" t="n">
        <v>4</v>
      </c>
      <c r="F111" s="72" t="n">
        <v>0.17</v>
      </c>
      <c r="H111" t="inlineStr">
        <is>
          <t>3 shilling 4pence from William, son of John Som', to have the said land by surrender of the said Joan Clodiar'.</t>
        </is>
      </c>
    </row>
    <row r="112">
      <c r="A112" t="inlineStr">
        <is>
          <t>Entry and marriage fines with tithingpenny</t>
        </is>
      </c>
      <c r="B112" t="n">
        <v>0</v>
      </c>
      <c r="C112" t="n">
        <v>6</v>
      </c>
      <c r="D112" t="n">
        <v>8</v>
      </c>
      <c r="F112" s="72" t="n">
        <v>0.33</v>
      </c>
      <c r="H112" t="inlineStr">
        <is>
          <t>6 shilling 8pence from John ate Med to have 1 cotland with Alveva his wife.</t>
        </is>
      </c>
    </row>
    <row r="113">
      <c r="A113" t="inlineStr">
        <is>
          <t>Entry and marriage fines with tithingpenny</t>
        </is>
      </c>
      <c r="B113" t="n">
        <v>0</v>
      </c>
      <c r="C113" t="n">
        <v>5</v>
      </c>
      <c r="D113" t="n">
        <v>0</v>
      </c>
      <c r="F113" s="72" t="n">
        <v>0.25</v>
      </c>
      <c r="H113" t="inlineStr">
        <is>
          <t>5 shilling from Christina, relict of Gang', to retain 1 cotland which belonged to her husband.</t>
        </is>
      </c>
    </row>
    <row r="114">
      <c r="A114" t="inlineStr">
        <is>
          <t>Entry and marriage fines with tithingpenny</t>
        </is>
      </c>
      <c r="B114" t="n">
        <v>0</v>
      </c>
      <c r="C114" t="n">
        <v>5</v>
      </c>
      <c r="D114" t="n">
        <v>0</v>
      </c>
      <c r="F114" s="72" t="n">
        <v>0.25</v>
      </c>
      <c r="H114" t="inlineStr">
        <is>
          <t>5 shilling from Alice Lovering to retain 1 cotland after the death of her husband.</t>
        </is>
      </c>
    </row>
    <row r="115">
      <c r="A115" t="inlineStr">
        <is>
          <t>Entry and marriage fines with tithingpenny</t>
        </is>
      </c>
      <c r="B115" t="n">
        <v>0</v>
      </c>
      <c r="C115" t="n">
        <v>10</v>
      </c>
      <c r="D115" t="n">
        <v>0</v>
      </c>
      <c r="F115" s="72" t="n">
        <v>0.5</v>
      </c>
      <c r="H115" t="inlineStr">
        <is>
          <t>10 shilling from Robert Jan to have 1 virgate of land, after the mortuary payment for the relict of Cartere, his mother, out of her inheritance.</t>
        </is>
      </c>
    </row>
    <row r="116">
      <c r="A116" t="inlineStr">
        <is>
          <t>Entry and marriage fines with tithingpenny</t>
        </is>
      </c>
      <c r="B116" t="n">
        <v>0</v>
      </c>
      <c r="C116" t="n">
        <v>10</v>
      </c>
      <c r="D116" t="n">
        <v>0</v>
      </c>
      <c r="F116" s="72" t="n">
        <v>0.5</v>
      </c>
      <c r="H116" t="inlineStr">
        <is>
          <t>10 shilling from Simon Crech, son of William Crech, to have 0.5 cotland which came into the lord's hands as his escheat because a certain Alice la Schinnere who held the said tenement withdrew and noone succeeded to the said land by inheritance, having been waiting for 1 year.</t>
        </is>
      </c>
    </row>
    <row r="117">
      <c r="A117" t="inlineStr">
        <is>
          <t>Entry and marriage fines with tithingpenny</t>
        </is>
      </c>
      <c r="B117" t="n">
        <v>0</v>
      </c>
      <c r="C117" t="n">
        <v>6</v>
      </c>
      <c r="D117" t="n">
        <v>8</v>
      </c>
      <c r="F117" s="72" t="n">
        <v>0.33</v>
      </c>
      <c r="H117" t="inlineStr">
        <is>
          <t>6 shilling 8pence from Joan, relict of le Swon, to retain 1 virgate of land which belonged to Henry her husband.</t>
        </is>
      </c>
    </row>
    <row r="118">
      <c r="A118" t="inlineStr">
        <is>
          <t>Entry and marriage fines with tithingpenny</t>
        </is>
      </c>
      <c r="B118" t="n">
        <v>1</v>
      </c>
      <c r="C118" t="n">
        <v>0</v>
      </c>
      <c r="D118" t="n">
        <v>0</v>
      </c>
      <c r="F118" s="72" t="n">
        <v>1</v>
      </c>
      <c r="H118" t="inlineStr">
        <is>
          <t>£1 from John de Spin' to have the said Joan le Swon with the land.</t>
        </is>
      </c>
    </row>
    <row r="119">
      <c r="A119" t="inlineStr">
        <is>
          <t>Entry and marriage fines with tithingpenny</t>
        </is>
      </c>
      <c r="B119" t="n">
        <v>0</v>
      </c>
      <c r="C119" t="n">
        <v>3</v>
      </c>
      <c r="D119" t="n">
        <v>0</v>
      </c>
      <c r="F119" s="72" t="n">
        <v>0.15</v>
      </c>
      <c r="H119" t="inlineStr">
        <is>
          <t>3 shilling from Luke ate Med to have 1 virgate of land for his lifetime from the inheritance (ex traditione) of Nicholas his son.</t>
        </is>
      </c>
    </row>
    <row r="120">
      <c r="A120" t="inlineStr">
        <is>
          <t>Entry and marriage fines with tithingpenny</t>
        </is>
      </c>
      <c r="B120" t="n">
        <v>4</v>
      </c>
      <c r="C120" t="n">
        <v>6</v>
      </c>
      <c r="D120" t="n">
        <v>4</v>
      </c>
      <c r="F120" s="72" t="n">
        <v>4.32</v>
      </c>
      <c r="H120" t="inlineStr">
        <is>
          <t>Total, £4 6 shilling 4pence</t>
        </is>
      </c>
    </row>
    <row r="121">
      <c r="A121" t="inlineStr">
        <is>
          <t>Entry and marriage fines with tithingpenny</t>
        </is>
      </c>
      <c r="F121" s="72" t="n">
        <v>4.31</v>
      </c>
      <c r="G121" s="139" t="n">
        <v>-0.01000000000000068</v>
      </c>
      <c r="H121" t="inlineStr">
        <is>
          <t>Total</t>
        </is>
      </c>
    </row>
    <row r="122"/>
    <row r="123">
      <c r="A123" t="inlineStr">
        <is>
          <t>Perquisites</t>
        </is>
      </c>
      <c r="B123" t="n">
        <v>0</v>
      </c>
      <c r="C123" t="n">
        <v>6</v>
      </c>
      <c r="D123" t="n">
        <v>8</v>
      </c>
      <c r="F123" s="72" t="n">
        <v>0.33</v>
      </c>
      <c r="H123" t="inlineStr">
        <is>
          <t>The same render account for 6 shilling 8pence from John de Puteo for transgression against the lord.</t>
        </is>
      </c>
    </row>
    <row r="124">
      <c r="A124" t="inlineStr">
        <is>
          <t>Perquisites</t>
        </is>
      </c>
      <c r="B124" t="n">
        <v>0</v>
      </c>
      <c r="C124" t="n">
        <v>3</v>
      </c>
      <c r="D124" t="n">
        <v>4</v>
      </c>
      <c r="F124" s="72" t="n">
        <v>0.17</v>
      </c>
      <c r="H124" t="inlineStr">
        <is>
          <t>3 shilling 4pence from Thomas de Wichurst because he broke the lord's pinfold.</t>
        </is>
      </c>
    </row>
    <row r="125">
      <c r="A125" t="inlineStr">
        <is>
          <t>Perquisites</t>
        </is>
      </c>
      <c r="B125" t="n">
        <v>0</v>
      </c>
      <c r="C125" t="n">
        <v>3</v>
      </c>
      <c r="D125" t="n">
        <v>4</v>
      </c>
      <c r="F125" s="72" t="n">
        <v>0.17</v>
      </c>
      <c r="H125" t="inlineStr">
        <is>
          <t>3 shilling 4pence from William Basset for the same.</t>
        </is>
      </c>
    </row>
    <row r="126">
      <c r="A126" t="inlineStr">
        <is>
          <t>Perquisites</t>
        </is>
      </c>
      <c r="B126" t="n">
        <v>0</v>
      </c>
      <c r="C126" t="n">
        <v>3</v>
      </c>
      <c r="D126" t="n">
        <v>4</v>
      </c>
      <c r="F126" s="72" t="n">
        <v>0.17</v>
      </c>
      <c r="H126" t="inlineStr">
        <is>
          <t>3 shilling 4pence from Richard Jacob for the same.</t>
        </is>
      </c>
    </row>
    <row r="127">
      <c r="A127" t="inlineStr">
        <is>
          <t>Perquisites</t>
        </is>
      </c>
      <c r="B127" t="n">
        <v>0</v>
      </c>
      <c r="C127" t="n">
        <v>6</v>
      </c>
      <c r="D127" t="n">
        <v>8</v>
      </c>
      <c r="F127" s="72" t="n">
        <v>0.33</v>
      </c>
      <c r="H127" t="inlineStr">
        <is>
          <t>6 shilling 8pence from others of the hundred for the same.</t>
        </is>
      </c>
    </row>
    <row r="128">
      <c r="A128" t="inlineStr">
        <is>
          <t>Perquisites</t>
        </is>
      </c>
      <c r="B128" t="n">
        <v>0</v>
      </c>
      <c r="C128" t="n">
        <v>3</v>
      </c>
      <c r="D128" t="n">
        <v>0</v>
      </c>
      <c r="F128" s="72" t="n">
        <v>0.15</v>
      </c>
      <c r="H128" t="inlineStr">
        <is>
          <t>3 shilling from John de Molendino because he received the lord's customary tenants at his mill.</t>
        </is>
      </c>
    </row>
    <row r="129">
      <c r="A129" t="inlineStr">
        <is>
          <t>Perquisites</t>
        </is>
      </c>
      <c r="B129" t="n">
        <v>4</v>
      </c>
      <c r="C129" t="n">
        <v>19</v>
      </c>
      <c r="D129" t="n">
        <v>2</v>
      </c>
      <c r="F129" s="72" t="n">
        <v>4.96</v>
      </c>
      <c r="H129" t="inlineStr">
        <is>
          <t>£4 19 shilling 2pence from other small perquisites.</t>
        </is>
      </c>
    </row>
    <row r="130">
      <c r="A130" t="inlineStr">
        <is>
          <t>Perquisites</t>
        </is>
      </c>
      <c r="B130" t="n">
        <v>6</v>
      </c>
      <c r="C130" t="n">
        <v>5</v>
      </c>
      <c r="D130" t="n">
        <v>6</v>
      </c>
      <c r="F130" s="72" t="n">
        <v>6.28</v>
      </c>
      <c r="H130" t="inlineStr">
        <is>
          <t>Total, £6 5 shilling 6pence</t>
        </is>
      </c>
    </row>
    <row r="131">
      <c r="A131" t="inlineStr">
        <is>
          <t>Perquisites</t>
        </is>
      </c>
      <c r="F131" s="72" t="n">
        <v>6.28</v>
      </c>
      <c r="G131" s="139" t="n">
        <v>0</v>
      </c>
      <c r="H131" t="inlineStr">
        <is>
          <t>Total</t>
        </is>
      </c>
    </row>
    <row r="132"/>
    <row r="133">
      <c r="A133" s="38" t="inlineStr">
        <is>
          <t>Total of all receipts recorded in accounts</t>
        </is>
      </c>
      <c r="B133" t="n">
        <v>91</v>
      </c>
      <c r="C133" t="n">
        <v>11</v>
      </c>
      <c r="D133" t="n">
        <v>10</v>
      </c>
      <c r="F133" s="72">
        <f>B133+C133/20+D133/240</f>
        <v/>
      </c>
      <c r="H133" t="inlineStr">
        <is>
          <t>Total of all receipts, £91 11 s. 10pence</t>
        </is>
      </c>
    </row>
    <row r="134" ht="16" customHeight="1">
      <c r="A134" s="9" t="inlineStr">
        <is>
          <t>Total cross-check without arrears</t>
        </is>
      </c>
      <c r="F134" s="72">
        <f>F131+F121+F100+F106+F88+F51+F45</f>
        <v/>
      </c>
      <c r="G134" s="139">
        <f>F134-F133</f>
        <v/>
      </c>
    </row>
    <row r="135" ht="16" customHeight="1">
      <c r="A135" s="9" t="inlineStr">
        <is>
          <t>Total cross-check with arrears</t>
        </is>
      </c>
      <c r="F135" s="72">
        <f>F134+F6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3"/>
  <sheetViews>
    <sheetView topLeftCell="A1" workbookViewId="0">
      <selection activeCell="A1" sqref="A1"/>
    </sheetView>
  </sheetViews>
  <sheetFormatPr baseColWidth="8" defaultRowHeight="15"/>
  <cols>
    <col width="33.1640625" customWidth="1" min="1" max="1"/>
    <col width="12.83203125" customWidth="1" min="2" max="2"/>
    <col width="8.83203125" customWidth="1" min="6" max="6"/>
    <col width="8.83203125" customWidth="1" min="7" max="7"/>
    <col width="25.5" customWidth="1" min="8" max="8"/>
    <col width="15.83203125" customWidth="1" min="10" max="10"/>
    <col width="18.1640625" customWidth="1" min="11" max="11"/>
  </cols>
  <sheetData>
    <row r="1" ht="16" customHeight="1">
      <c r="A1" s="2" t="inlineStr">
        <is>
          <t>CHERITON EXPENSES</t>
        </is>
      </c>
    </row>
    <row r="2" ht="34" customHeight="1">
      <c r="A2" s="30" t="inlineStr">
        <is>
          <t>Heading</t>
        </is>
      </c>
      <c r="B2" s="33" t="inlineStr">
        <is>
          <t>£</t>
        </is>
      </c>
      <c r="C2" s="34" t="inlineStr">
        <is>
          <t xml:space="preserve">s </t>
        </is>
      </c>
      <c r="D2" s="34" t="inlineStr">
        <is>
          <t>d</t>
        </is>
      </c>
      <c r="E2" s="32" t="n"/>
      <c r="F2" s="35" t="inlineStr">
        <is>
          <t>Total in £</t>
        </is>
      </c>
      <c r="G2" s="51" t="inlineStr">
        <is>
          <t>Error</t>
        </is>
      </c>
      <c r="H2" s="30" t="inlineStr">
        <is>
          <t>Notes</t>
        </is>
      </c>
      <c r="J2" s="52" t="inlineStr">
        <is>
          <t>Fixed investment</t>
        </is>
      </c>
      <c r="K2" s="52" t="inlineStr">
        <is>
          <t>Demesne fixed investment</t>
        </is>
      </c>
    </row>
    <row r="3" ht="16" customHeight="1">
      <c r="A3" t="inlineStr">
        <is>
          <t xml:space="preserve">Cost of ploughs </t>
        </is>
      </c>
      <c r="B3" t="n">
        <v>0</v>
      </c>
      <c r="C3" t="n">
        <v>12</v>
      </c>
      <c r="D3" t="n">
        <v>8</v>
      </c>
      <c r="E3" s="32" t="n"/>
      <c r="F3" s="72" t="n">
        <v>0.63</v>
      </c>
      <c r="G3" s="51" t="n"/>
      <c r="H3" t="inlineStr">
        <is>
          <t>{henceforth the customary tenants should not be made to plough if it is seen that a profit is able to be made}In ironwork of 4 ploughs for the year and 1 plough at the time of the Lenten sowing 12 shilling 8pence.</t>
        </is>
      </c>
    </row>
    <row r="4" ht="16" customHeight="1">
      <c r="A4" t="inlineStr">
        <is>
          <t xml:space="preserve">Cost of ploughs </t>
        </is>
      </c>
      <c r="B4" t="n">
        <v>0</v>
      </c>
      <c r="C4" t="n">
        <v>0</v>
      </c>
      <c r="D4" t="n">
        <v>9</v>
      </c>
      <c r="E4" s="32" t="n"/>
      <c r="F4" s="72" t="n">
        <v>0.04</v>
      </c>
      <c r="G4" s="51" t="n"/>
      <c r="H4" t="inlineStr">
        <is>
          <t>1 ploughshare bought 9pence.</t>
        </is>
      </c>
      <c r="J4" s="72">
        <f>F4</f>
        <v/>
      </c>
      <c r="K4" s="72">
        <f>J4</f>
        <v/>
      </c>
    </row>
    <row r="5" ht="16" customHeight="1">
      <c r="A5" t="inlineStr">
        <is>
          <t xml:space="preserve">Cost of ploughs </t>
        </is>
      </c>
      <c r="B5" t="n">
        <v>0</v>
      </c>
      <c r="C5" t="n">
        <v>1</v>
      </c>
      <c r="D5" t="n">
        <v>4</v>
      </c>
      <c r="E5" s="32" t="n"/>
      <c r="F5" s="72" t="n">
        <v>0.07000000000000001</v>
      </c>
      <c r="G5" s="51" t="n"/>
      <c r="H5" t="inlineStr">
        <is>
          <t>4 plough feet bought 1 shilling 4pence.</t>
        </is>
      </c>
      <c r="J5" s="72">
        <f>F5</f>
        <v/>
      </c>
      <c r="K5" s="72">
        <f>J5</f>
        <v/>
      </c>
    </row>
    <row r="6" ht="16" customHeight="1">
      <c r="A6" t="inlineStr">
        <is>
          <t xml:space="preserve">Cost of ploughs </t>
        </is>
      </c>
      <c r="B6" t="n">
        <v>0</v>
      </c>
      <c r="C6" t="n">
        <v>0</v>
      </c>
      <c r="D6" t="n">
        <v>9</v>
      </c>
      <c r="E6" s="32" t="n"/>
      <c r="F6" s="72" t="n">
        <v>0.04</v>
      </c>
      <c r="G6" s="51" t="n"/>
      <c r="H6" t="inlineStr">
        <is>
          <t>3 pairs of wheels bought 9pence.</t>
        </is>
      </c>
      <c r="J6" s="72">
        <f>F6</f>
        <v/>
      </c>
      <c r="K6" s="72">
        <f>J6</f>
        <v/>
      </c>
    </row>
    <row r="7" ht="16" customHeight="1">
      <c r="A7" t="inlineStr">
        <is>
          <t xml:space="preserve">Cost of ploughs </t>
        </is>
      </c>
      <c r="B7" t="n">
        <v>0</v>
      </c>
      <c r="C7" t="n">
        <v>0</v>
      </c>
      <c r="D7" t="n">
        <v>3</v>
      </c>
      <c r="E7" s="32" t="n"/>
      <c r="F7" s="72" t="n">
        <v>0.01</v>
      </c>
      <c r="G7" s="51" t="n"/>
      <c r="H7" t="inlineStr">
        <is>
          <t>fitting ploughs with iron tyres 3pence.</t>
        </is>
      </c>
      <c r="J7" s="72">
        <f>F7</f>
        <v/>
      </c>
      <c r="K7" s="72">
        <f>J7</f>
        <v/>
      </c>
    </row>
    <row r="8" ht="16" customHeight="1">
      <c r="A8" t="inlineStr">
        <is>
          <t xml:space="preserve">Cost of ploughs </t>
        </is>
      </c>
      <c r="B8" t="n">
        <v>0</v>
      </c>
      <c r="C8" t="n">
        <v>1</v>
      </c>
      <c r="D8" t="n">
        <v>10</v>
      </c>
      <c r="E8" s="32" t="n"/>
      <c r="F8" s="72" t="n">
        <v>0.09</v>
      </c>
      <c r="G8" s="51" t="n"/>
      <c r="H8" t="inlineStr">
        <is>
          <t>shoeing 8 plough-horses hauling before the oxen 1 shilling 10pence.</t>
        </is>
      </c>
      <c r="J8" s="72">
        <f>F8</f>
        <v/>
      </c>
      <c r="K8" s="72">
        <f>J8</f>
        <v/>
      </c>
    </row>
    <row r="9" ht="16" customHeight="1">
      <c r="A9" t="inlineStr">
        <is>
          <t xml:space="preserve">Cost of ploughs </t>
        </is>
      </c>
      <c r="B9" t="n">
        <v>0</v>
      </c>
      <c r="C9" t="n">
        <v>7</v>
      </c>
      <c r="D9" t="n">
        <v>6</v>
      </c>
      <c r="E9" s="32" t="n"/>
      <c r="F9" s="72" t="n">
        <v>0.38</v>
      </c>
      <c r="G9" s="51" t="n"/>
      <c r="H9" t="inlineStr">
        <is>
          <t>boon-works of 23 ploughmen in winter and 22 ploughmen in Lent 7 shilling 6pence, and each ploughman ploughed 2 acres in winter and 2 acres in Lent as they lie and will have therefor 2pence Moreover, for 5 ploughmen of Ovington 5pence, and each ploughman ploughed 1 acre in winter and will have therefor 1pence.</t>
        </is>
      </c>
      <c r="J9" s="72" t="n"/>
      <c r="K9" s="72" t="n"/>
    </row>
    <row r="10" ht="16" customHeight="1">
      <c r="A10" t="inlineStr">
        <is>
          <t xml:space="preserve">Cost of ploughs </t>
        </is>
      </c>
      <c r="B10" t="n">
        <v>0</v>
      </c>
      <c r="C10" t="n">
        <v>0</v>
      </c>
      <c r="D10" t="n">
        <v>2</v>
      </c>
      <c r="E10" s="32" t="n"/>
      <c r="F10" s="72" t="n">
        <v>0.01</v>
      </c>
      <c r="G10" s="51" t="n"/>
      <c r="H10" t="inlineStr">
        <is>
          <t>1 new harrow made and others mended 2pence.</t>
        </is>
      </c>
      <c r="J10" s="72">
        <f>F10</f>
        <v/>
      </c>
      <c r="K10" s="72">
        <f>J10</f>
        <v/>
      </c>
    </row>
    <row r="11" ht="16" customHeight="1">
      <c r="A11" t="inlineStr">
        <is>
          <t xml:space="preserve">Cost of ploughs </t>
        </is>
      </c>
      <c r="B11" t="n">
        <v>0</v>
      </c>
      <c r="C11" t="n">
        <v>1</v>
      </c>
      <c r="D11" t="n">
        <v>2</v>
      </c>
      <c r="E11" s="32" t="n"/>
      <c r="F11" s="72" t="n">
        <v>0.06</v>
      </c>
      <c r="G11" s="51" t="n"/>
      <c r="H11" t="inlineStr">
        <is>
          <t>spreading dung in the fields 1 shilling 2pence.</t>
        </is>
      </c>
      <c r="J11" s="72" t="n"/>
    </row>
    <row r="12" ht="16" customHeight="1">
      <c r="A12" t="inlineStr">
        <is>
          <t xml:space="preserve">Cost of ploughs </t>
        </is>
      </c>
      <c r="B12" t="n">
        <v>2</v>
      </c>
      <c r="C12" t="n">
        <v>6</v>
      </c>
      <c r="D12" t="n">
        <v>0</v>
      </c>
      <c r="E12" s="32" t="n"/>
      <c r="F12" s="72" t="n">
        <v>2.3</v>
      </c>
      <c r="G12" s="51" t="n"/>
      <c r="H12" t="inlineStr">
        <is>
          <t>4 oxen bought £2 6 shilling, at 11 shilling each for 2, and 12 shilling each for 2..</t>
        </is>
      </c>
      <c r="J12" s="72" t="n"/>
    </row>
    <row r="13" ht="16" customHeight="1">
      <c r="A13" t="inlineStr">
        <is>
          <t xml:space="preserve">Cost of ploughs </t>
        </is>
      </c>
      <c r="B13" t="n">
        <v>0</v>
      </c>
      <c r="C13" t="n">
        <v>10</v>
      </c>
      <c r="D13" t="n">
        <v>0</v>
      </c>
      <c r="F13" s="72">
        <f>B13+C13/20+D13/240</f>
        <v/>
      </c>
      <c r="G13" s="51" t="n"/>
      <c r="H13" t="inlineStr">
        <is>
          <t xml:space="preserve">forage bought for oxen and other animals 10 shilling </t>
        </is>
      </c>
      <c r="J13" s="72" t="n"/>
    </row>
    <row r="14" ht="16" customHeight="1">
      <c r="A14" t="inlineStr">
        <is>
          <t xml:space="preserve">Cost of ploughs </t>
        </is>
      </c>
      <c r="B14" t="n">
        <v>4</v>
      </c>
      <c r="C14" t="n">
        <v>2</v>
      </c>
      <c r="D14" t="n">
        <v>10</v>
      </c>
      <c r="E14" s="32" t="n"/>
      <c r="F14" s="72" t="n">
        <v>4.14</v>
      </c>
      <c r="G14" s="51" t="n"/>
      <c r="H14" s="140" t="inlineStr">
        <is>
          <t>Total, £4 2 shilling 10pence</t>
        </is>
      </c>
    </row>
    <row r="15" ht="16" customHeight="1">
      <c r="A15" t="inlineStr">
        <is>
          <t xml:space="preserve">Cost of ploughs </t>
        </is>
      </c>
      <c r="E15" s="32" t="n"/>
      <c r="F15" s="72">
        <f>SUM(F3:F13)</f>
        <v/>
      </c>
      <c r="G15" s="141">
        <f>F15-F14</f>
        <v/>
      </c>
      <c r="H15" s="140" t="inlineStr">
        <is>
          <t>Total</t>
        </is>
      </c>
    </row>
    <row r="16" ht="16" customHeight="1">
      <c r="A16" s="30" t="n"/>
      <c r="B16" s="33" t="n"/>
      <c r="C16" s="34" t="n"/>
      <c r="D16" s="34" t="n"/>
      <c r="E16" s="32" t="n"/>
      <c r="F16" s="35" t="n"/>
      <c r="G16" s="51" t="n"/>
      <c r="H16" s="30" t="n"/>
    </row>
    <row r="17">
      <c r="A17" t="inlineStr">
        <is>
          <t>Purchase of corn</t>
        </is>
      </c>
      <c r="B17" t="n">
        <v>0</v>
      </c>
      <c r="C17" t="n">
        <v>5</v>
      </c>
      <c r="D17" t="n">
        <v>3</v>
      </c>
      <c r="F17" s="72" t="n">
        <v>0.26</v>
      </c>
      <c r="H17" t="inlineStr">
        <is>
          <t>In 1 qr 6 bushels of winter barley bought for sowing 5 shilling 3pence, at 3 shilling a qr.</t>
        </is>
      </c>
    </row>
    <row r="18">
      <c r="A18" t="inlineStr">
        <is>
          <t>Purchase of corn</t>
        </is>
      </c>
      <c r="B18" t="n">
        <v>2</v>
      </c>
      <c r="C18" t="n">
        <v>15</v>
      </c>
      <c r="D18" t="n">
        <v>0</v>
      </c>
      <c r="F18" s="72" t="n">
        <v>2.75</v>
      </c>
      <c r="H18" t="inlineStr">
        <is>
          <t>15 quarters of barley bought for the liveries of the manorial servants £2 15 shilling, at 3 shilling a qr for 5 quarters, and 4 shilling a qr for 10 quarters.</t>
        </is>
      </c>
    </row>
    <row r="19">
      <c r="A19" t="inlineStr">
        <is>
          <t>Purchase of corn</t>
        </is>
      </c>
      <c r="B19" t="n">
        <v>3</v>
      </c>
      <c r="C19" t="n">
        <v>0</v>
      </c>
      <c r="D19" t="n">
        <v>3</v>
      </c>
      <c r="F19" s="72" t="n">
        <v>3.01</v>
      </c>
      <c r="H19" t="inlineStr">
        <is>
          <t>Total, £3 3pence</t>
        </is>
      </c>
    </row>
    <row r="20">
      <c r="A20" t="inlineStr">
        <is>
          <t>Purchase of corn</t>
        </is>
      </c>
      <c r="F20" s="72" t="n">
        <v>3.01</v>
      </c>
      <c r="G20" s="139" t="n">
        <v>0</v>
      </c>
      <c r="H20" t="inlineStr">
        <is>
          <t>Total</t>
        </is>
      </c>
    </row>
    <row r="21"/>
    <row r="22">
      <c r="A22" t="inlineStr">
        <is>
          <t>Carts</t>
        </is>
      </c>
      <c r="B22" t="n">
        <v>0</v>
      </c>
      <c r="C22" t="n">
        <v>0</v>
      </c>
      <c r="D22" t="n">
        <v>9</v>
      </c>
      <c r="F22" s="72" t="n">
        <v>0.04</v>
      </c>
      <c r="H22" t="inlineStr">
        <is>
          <t>In 1 pair of wheels made from the lord's timber 9pence.</t>
        </is>
      </c>
      <c r="J22" s="72">
        <f>F22</f>
        <v/>
      </c>
      <c r="K22" s="72">
        <f>J22</f>
        <v/>
      </c>
    </row>
    <row r="23">
      <c r="A23" t="inlineStr">
        <is>
          <t>Carts</t>
        </is>
      </c>
      <c r="B23" t="n">
        <v>0</v>
      </c>
      <c r="C23" t="n">
        <v>5</v>
      </c>
      <c r="D23" t="n">
        <v>0</v>
      </c>
      <c r="F23" s="72" t="n">
        <v>0.25</v>
      </c>
      <c r="H23" t="inlineStr">
        <is>
          <t>iron bought and large nails made and old tyres mended and put on the said wheels with the stipend of the smith 5 shilling.</t>
        </is>
      </c>
      <c r="J23" s="72">
        <f>F23</f>
        <v/>
      </c>
      <c r="K23" s="72">
        <f>J23</f>
        <v/>
      </c>
    </row>
    <row r="24">
      <c r="A24" t="inlineStr">
        <is>
          <t>Carts</t>
        </is>
      </c>
      <c r="B24" t="n">
        <v>0</v>
      </c>
      <c r="C24" t="n">
        <v>0</v>
      </c>
      <c r="D24" t="n">
        <v>6</v>
      </c>
      <c r="F24" s="72" t="n">
        <v>0.03</v>
      </c>
      <c r="H24" t="inlineStr">
        <is>
          <t>fitting the cart with axles 6pence.</t>
        </is>
      </c>
      <c r="J24" s="72">
        <f>F24</f>
        <v/>
      </c>
      <c r="K24" s="72">
        <f>J24</f>
        <v/>
      </c>
    </row>
    <row r="25">
      <c r="A25" t="inlineStr">
        <is>
          <t>Carts</t>
        </is>
      </c>
      <c r="B25" t="n">
        <v>0</v>
      </c>
      <c r="C25" t="n">
        <v>1</v>
      </c>
      <c r="D25" t="n">
        <v>1</v>
      </c>
      <c r="F25" s="72" t="n">
        <v>0.05</v>
      </c>
      <c r="H25" t="inlineStr">
        <is>
          <t>clouts, nails and grease bought 1 shilling 1pence.</t>
        </is>
      </c>
      <c r="J25" s="72">
        <f>F25</f>
        <v/>
      </c>
      <c r="K25" s="72">
        <f>J25</f>
        <v/>
      </c>
    </row>
    <row r="26">
      <c r="A26" t="inlineStr">
        <is>
          <t>Carts</t>
        </is>
      </c>
      <c r="B26" t="n">
        <v>0</v>
      </c>
      <c r="C26" t="n">
        <v>0</v>
      </c>
      <c r="D26" t="n">
        <v>5</v>
      </c>
      <c r="F26" s="72" t="n">
        <v>0.02</v>
      </c>
      <c r="H26" t="inlineStr">
        <is>
          <t>white leather bought for harnesses 5pence.</t>
        </is>
      </c>
      <c r="J26" s="72">
        <f>F26</f>
        <v/>
      </c>
      <c r="K26" s="72">
        <f>J26</f>
        <v/>
      </c>
    </row>
    <row r="27">
      <c r="A27" t="inlineStr">
        <is>
          <t>Carts</t>
        </is>
      </c>
      <c r="B27" t="n">
        <v>0</v>
      </c>
      <c r="C27" t="n">
        <v>3</v>
      </c>
      <c r="D27" t="n">
        <v>0</v>
      </c>
      <c r="F27" s="72" t="n">
        <v>0.15</v>
      </c>
      <c r="H27" t="inlineStr">
        <is>
          <t>shoeing 2 cart-horses 3 shilling.</t>
        </is>
      </c>
      <c r="J27" s="72">
        <f>F27</f>
        <v/>
      </c>
      <c r="K27" s="72">
        <f>J27</f>
        <v/>
      </c>
    </row>
    <row r="28">
      <c r="A28" t="inlineStr">
        <is>
          <t>Carts</t>
        </is>
      </c>
      <c r="B28" t="n">
        <v>0</v>
      </c>
      <c r="C28" t="n">
        <v>0</v>
      </c>
      <c r="D28" t="n">
        <v>10</v>
      </c>
      <c r="F28" s="72" t="n">
        <v>0.04</v>
      </c>
      <c r="H28" t="inlineStr">
        <is>
          <t>shoeing 3 plough-horses helping the cart-horses at the time of the summer sowing to clear dung 10pence.</t>
        </is>
      </c>
      <c r="J28" s="72">
        <f>F28</f>
        <v/>
      </c>
      <c r="K28" s="72">
        <f>J28</f>
        <v/>
      </c>
    </row>
    <row r="29">
      <c r="A29" t="inlineStr">
        <is>
          <t>Carts</t>
        </is>
      </c>
      <c r="B29" t="n">
        <v>0</v>
      </c>
      <c r="C29" t="n">
        <v>0</v>
      </c>
      <c r="D29" t="n">
        <v>1</v>
      </c>
      <c r="F29" s="72" t="n">
        <v>0</v>
      </c>
      <c r="H29" t="inlineStr">
        <is>
          <t>4 halters made 1pence.</t>
        </is>
      </c>
      <c r="J29" s="72">
        <f>F29</f>
        <v/>
      </c>
      <c r="K29" s="72">
        <f>J29</f>
        <v/>
      </c>
    </row>
    <row r="30">
      <c r="A30" t="inlineStr">
        <is>
          <t>Carts</t>
        </is>
      </c>
      <c r="B30" t="n">
        <v>0</v>
      </c>
      <c r="C30" t="n">
        <v>1</v>
      </c>
      <c r="D30" t="n">
        <v>0</v>
      </c>
      <c r="F30" s="72" t="n">
        <v>0.05</v>
      </c>
      <c r="H30" t="inlineStr">
        <is>
          <t>1 collar and 1 pair of saddle-pads bought 1 shilling.</t>
        </is>
      </c>
      <c r="J30" s="72">
        <f>F30</f>
        <v/>
      </c>
      <c r="K30" s="72">
        <f>J30</f>
        <v/>
      </c>
    </row>
    <row r="31">
      <c r="A31" t="inlineStr">
        <is>
          <t>Carts</t>
        </is>
      </c>
      <c r="B31" t="n">
        <v>0</v>
      </c>
      <c r="C31" t="n">
        <v>0</v>
      </c>
      <c r="D31" t="n">
        <v>2</v>
      </c>
      <c r="F31" s="72" t="n">
        <v>0.01</v>
      </c>
      <c r="H31" t="inlineStr">
        <is>
          <t>2 ropes bought for tethering horses in the pasture 2pence.</t>
        </is>
      </c>
      <c r="J31" s="72">
        <f>F31</f>
        <v/>
      </c>
      <c r="K31" s="72">
        <f>J31</f>
        <v/>
      </c>
    </row>
    <row r="32">
      <c r="A32" t="inlineStr">
        <is>
          <t>Carts</t>
        </is>
      </c>
      <c r="B32" t="n">
        <v>0</v>
      </c>
      <c r="C32" t="n">
        <v>3</v>
      </c>
      <c r="D32" t="n">
        <v>0</v>
      </c>
      <c r="F32" s="72">
        <f>B32+C32/20+D32/240</f>
        <v/>
      </c>
      <c r="H32" t="inlineStr">
        <is>
          <t xml:space="preserve">stipend of 1 carter for the year 3 shilling </t>
        </is>
      </c>
    </row>
    <row r="33">
      <c r="A33" t="inlineStr">
        <is>
          <t>Carts</t>
        </is>
      </c>
      <c r="B33" t="n">
        <v>0</v>
      </c>
      <c r="C33" t="n">
        <v>14</v>
      </c>
      <c r="D33" t="n">
        <v>10</v>
      </c>
      <c r="F33" s="72">
        <f>B33+C33/20+D33/240</f>
        <v/>
      </c>
      <c r="H33" t="inlineStr">
        <is>
          <t>Total, 14 shilling 10pence</t>
        </is>
      </c>
    </row>
    <row r="34">
      <c r="A34" t="inlineStr">
        <is>
          <t>Carts</t>
        </is>
      </c>
      <c r="F34" s="72">
        <f>SUM(F22:F32)</f>
        <v/>
      </c>
      <c r="G34" s="139">
        <f>F34-F33</f>
        <v/>
      </c>
      <c r="H34" t="inlineStr">
        <is>
          <t>Total</t>
        </is>
      </c>
    </row>
    <row r="35"/>
    <row r="36">
      <c r="A36" t="inlineStr">
        <is>
          <t>Dairy</t>
        </is>
      </c>
      <c r="B36" t="n">
        <v>0</v>
      </c>
      <c r="C36" t="n">
        <v>1</v>
      </c>
      <c r="D36" t="n">
        <v>6</v>
      </c>
      <c r="F36" s="72" t="n">
        <v>0.08</v>
      </c>
      <c r="H36" t="inlineStr">
        <is>
          <t>In 6 bushels of salt bought 1 shilling 6pence.</t>
        </is>
      </c>
      <c r="J36" s="72">
        <f>F36</f>
        <v/>
      </c>
      <c r="K36" s="72">
        <f>J36</f>
        <v/>
      </c>
    </row>
    <row r="37">
      <c r="A37" t="inlineStr">
        <is>
          <t>Dairy</t>
        </is>
      </c>
      <c r="B37" t="n">
        <v>0</v>
      </c>
      <c r="C37" t="n">
        <v>0</v>
      </c>
      <c r="D37" t="n">
        <v>4</v>
      </c>
      <c r="F37" s="72" t="n">
        <v>0.02</v>
      </c>
      <c r="H37" t="inlineStr">
        <is>
          <t>a press bought 4pence.</t>
        </is>
      </c>
      <c r="J37" s="72">
        <f>F37</f>
        <v/>
      </c>
      <c r="K37" s="72">
        <f>J37</f>
        <v/>
      </c>
    </row>
    <row r="38">
      <c r="A38" t="inlineStr">
        <is>
          <t>Dairy</t>
        </is>
      </c>
      <c r="B38" t="n">
        <v>0</v>
      </c>
      <c r="C38" t="n">
        <v>0</v>
      </c>
      <c r="D38" t="n">
        <v>5</v>
      </c>
      <c r="F38" s="72" t="n">
        <v>0.02</v>
      </c>
      <c r="H38" t="inlineStr">
        <is>
          <t>earthenware pots and pans bought 5pence.</t>
        </is>
      </c>
      <c r="J38" s="72">
        <f>F38</f>
        <v/>
      </c>
      <c r="K38" s="72">
        <f>J38</f>
        <v/>
      </c>
    </row>
    <row r="39">
      <c r="A39" t="inlineStr">
        <is>
          <t>Dairy</t>
        </is>
      </c>
      <c r="B39" t="n">
        <v>0</v>
      </c>
      <c r="C39" t="n">
        <v>0</v>
      </c>
      <c r="D39" t="n">
        <v>8</v>
      </c>
      <c r="F39" s="72" t="n">
        <v>0.03</v>
      </c>
      <c r="H39" t="inlineStr">
        <is>
          <t>woollen and linen cloth bought 8pence.</t>
        </is>
      </c>
      <c r="J39" s="72">
        <f>F39</f>
        <v/>
      </c>
      <c r="K39" s="72">
        <f>J39</f>
        <v/>
      </c>
    </row>
    <row r="40">
      <c r="A40" t="inlineStr">
        <is>
          <t>Dairy</t>
        </is>
      </c>
      <c r="B40" t="n">
        <v>0</v>
      </c>
      <c r="C40" t="n">
        <v>0</v>
      </c>
      <c r="D40" t="n">
        <v>6</v>
      </c>
      <c r="F40" s="72" t="n">
        <v>0.03</v>
      </c>
      <c r="H40" t="inlineStr">
        <is>
          <t>1 mould bought 6pence.</t>
        </is>
      </c>
      <c r="J40" s="72">
        <f>F40</f>
        <v/>
      </c>
      <c r="K40" s="72">
        <f>J40</f>
        <v/>
      </c>
    </row>
    <row r="41">
      <c r="A41" t="inlineStr">
        <is>
          <t>Dairy</t>
        </is>
      </c>
      <c r="B41" t="n">
        <v>0</v>
      </c>
      <c r="C41" t="n">
        <v>0</v>
      </c>
      <c r="D41" t="n">
        <v>5</v>
      </c>
      <c r="F41" s="72" t="n">
        <v>0.02</v>
      </c>
      <c r="H41" t="inlineStr">
        <is>
          <t>1 tine bought 5pence.</t>
        </is>
      </c>
      <c r="J41" s="72">
        <f>F41</f>
        <v/>
      </c>
      <c r="K41" s="72">
        <f>J41</f>
        <v/>
      </c>
    </row>
    <row r="42">
      <c r="A42" t="inlineStr">
        <is>
          <t>Dairy</t>
        </is>
      </c>
      <c r="B42" t="n">
        <v>0</v>
      </c>
      <c r="C42" t="n">
        <v>0</v>
      </c>
      <c r="D42" t="n">
        <v>4</v>
      </c>
      <c r="F42" s="72" t="n">
        <v>0.02</v>
      </c>
      <c r="H42" t="inlineStr">
        <is>
          <t>mending other utensils of the dairy 4pence.</t>
        </is>
      </c>
      <c r="J42" s="72">
        <f>F42</f>
        <v/>
      </c>
      <c r="K42" s="72">
        <f>J42</f>
        <v/>
      </c>
    </row>
    <row r="43">
      <c r="A43" t="inlineStr">
        <is>
          <t>Dairy</t>
        </is>
      </c>
      <c r="B43" t="n">
        <v>0</v>
      </c>
      <c r="C43" t="n">
        <v>3</v>
      </c>
      <c r="D43" t="n">
        <v>9</v>
      </c>
      <c r="F43" s="72" t="n">
        <v>0.19</v>
      </c>
      <c r="H43" t="inlineStr">
        <is>
          <t>15 ells of canvas bought 3 shilling 9pence.</t>
        </is>
      </c>
      <c r="J43" s="72">
        <f>F43</f>
        <v/>
      </c>
      <c r="K43" s="72">
        <f>J43</f>
        <v/>
      </c>
    </row>
    <row r="44">
      <c r="A44" t="inlineStr">
        <is>
          <t>Dairy</t>
        </is>
      </c>
      <c r="B44" t="n">
        <v>0</v>
      </c>
      <c r="C44" t="n">
        <v>0</v>
      </c>
      <c r="D44" t="n">
        <v>4</v>
      </c>
      <c r="F44" s="72" t="n">
        <v>0.02</v>
      </c>
      <c r="H44" t="inlineStr">
        <is>
          <t>packing wool and making sacks with thread bought for the same 4pence.</t>
        </is>
      </c>
      <c r="J44" s="72">
        <f>F44</f>
        <v/>
      </c>
      <c r="K44" s="72">
        <f>J44</f>
        <v/>
      </c>
    </row>
    <row r="45">
      <c r="A45" t="inlineStr">
        <is>
          <t>Dairy</t>
        </is>
      </c>
      <c r="B45" t="n">
        <v>1</v>
      </c>
      <c r="C45" t="n">
        <v>1</v>
      </c>
      <c r="D45" t="n">
        <v>0</v>
      </c>
      <c r="F45" s="72" t="n">
        <v>1.05</v>
      </c>
      <c r="H45" t="inlineStr">
        <is>
          <t>vinegar, copperas and grease to make well diseased sheep £1 1 shilling.</t>
        </is>
      </c>
      <c r="J45" s="72">
        <f>F45</f>
        <v/>
      </c>
      <c r="K45" s="72">
        <f>J45</f>
        <v/>
      </c>
    </row>
    <row r="46">
      <c r="A46" t="inlineStr">
        <is>
          <t>Dairy</t>
        </is>
      </c>
      <c r="B46" t="n">
        <v>0</v>
      </c>
      <c r="C46" t="n">
        <v>2</v>
      </c>
      <c r="D46" t="n">
        <v>0</v>
      </c>
      <c r="F46" s="72" t="n">
        <v>0.1</v>
      </c>
      <c r="H46" t="inlineStr">
        <is>
          <t>48 hurdles made for the fold 2 shilling.</t>
        </is>
      </c>
      <c r="J46" s="72">
        <f>F46</f>
        <v/>
      </c>
      <c r="K46" s="72">
        <f>J46</f>
        <v/>
      </c>
    </row>
    <row r="47">
      <c r="A47" t="inlineStr">
        <is>
          <t>Dairy</t>
        </is>
      </c>
      <c r="B47" t="n">
        <v>0</v>
      </c>
      <c r="C47" t="n">
        <v>2</v>
      </c>
      <c r="D47" t="n">
        <v>0</v>
      </c>
      <c r="F47" s="72" t="n">
        <v>0.1</v>
      </c>
      <c r="H47" t="inlineStr">
        <is>
          <t>stipend of 1 dairymaid from the Purification (2 February) until Michaelmas (29 September) 2 shilling.</t>
        </is>
      </c>
      <c r="J47" s="72">
        <f>F47</f>
        <v/>
      </c>
      <c r="K47" s="72">
        <f>J47</f>
        <v/>
      </c>
    </row>
    <row r="48">
      <c r="A48" t="inlineStr">
        <is>
          <t>Dairy</t>
        </is>
      </c>
      <c r="B48" t="n">
        <v>0</v>
      </c>
      <c r="C48" t="n">
        <v>1</v>
      </c>
      <c r="D48" t="n">
        <v>0</v>
      </c>
      <c r="F48" s="72" t="n">
        <v>0.05</v>
      </c>
      <c r="H48" t="inlineStr">
        <is>
          <t>1 cratch made for sheep and others mended 1 shilling.</t>
        </is>
      </c>
      <c r="J48" s="72">
        <f>F48</f>
        <v/>
      </c>
      <c r="K48" s="72">
        <f>J48</f>
        <v/>
      </c>
    </row>
    <row r="49">
      <c r="A49" t="inlineStr">
        <is>
          <t>Dairy</t>
        </is>
      </c>
      <c r="B49" t="n">
        <v>0</v>
      </c>
      <c r="C49" t="n">
        <v>1</v>
      </c>
      <c r="D49" t="n">
        <v>6</v>
      </c>
      <c r="F49" s="72" t="n">
        <v>0.08</v>
      </c>
      <c r="H49" t="inlineStr">
        <is>
          <t>roofing the wether-house in places 1 shilling 6pence.</t>
        </is>
      </c>
      <c r="J49" s="72">
        <f>F49</f>
        <v/>
      </c>
      <c r="K49" s="72">
        <f>J49</f>
        <v/>
      </c>
    </row>
    <row r="50">
      <c r="A50" t="inlineStr">
        <is>
          <t>Dairy</t>
        </is>
      </c>
      <c r="B50" t="n">
        <v>1</v>
      </c>
      <c r="C50" t="n">
        <v>4</v>
      </c>
      <c r="D50" t="n">
        <v>6</v>
      </c>
      <c r="F50" s="72" t="n">
        <v>1.22</v>
      </c>
      <c r="H50" t="inlineStr">
        <is>
          <t>39 lambs bought before shearing £1 4 shilling 6pence, at 6pence each for 9, and 8pence each for 30..</t>
        </is>
      </c>
    </row>
    <row r="51">
      <c r="A51" t="inlineStr">
        <is>
          <t>Dairy</t>
        </is>
      </c>
      <c r="B51" t="n">
        <v>0</v>
      </c>
      <c r="C51" t="n">
        <v>9</v>
      </c>
      <c r="D51" t="n">
        <v>9</v>
      </c>
      <c r="F51" s="72" t="n">
        <v>0.49</v>
      </c>
      <c r="H51" t="inlineStr">
        <is>
          <t>13 pigs bought 9 shilling 9pence, at 9pence each.</t>
        </is>
      </c>
    </row>
    <row r="52">
      <c r="A52" t="inlineStr">
        <is>
          <t>Dairy</t>
        </is>
      </c>
      <c r="B52" t="n">
        <v>0</v>
      </c>
      <c r="C52" t="n">
        <v>0</v>
      </c>
      <c r="D52" t="n">
        <v>2.5</v>
      </c>
      <c r="F52" s="72" t="n">
        <v>0.01</v>
      </c>
      <c r="H52" t="inlineStr">
        <is>
          <t>gelding piglets 2.5pence.</t>
        </is>
      </c>
    </row>
    <row r="53">
      <c r="A53" t="inlineStr">
        <is>
          <t>Dairy</t>
        </is>
      </c>
      <c r="B53" t="n">
        <v>0</v>
      </c>
      <c r="C53" t="n">
        <v>2</v>
      </c>
      <c r="D53" t="n">
        <v>0</v>
      </c>
      <c r="F53" s="72">
        <f>B53+C53/20+D53/240</f>
        <v/>
      </c>
      <c r="H53" t="inlineStr">
        <is>
          <t xml:space="preserve">stipend of 1 cowherd 2 shilling </t>
        </is>
      </c>
    </row>
    <row r="54">
      <c r="A54" t="inlineStr">
        <is>
          <t>Dairy</t>
        </is>
      </c>
      <c r="B54" t="n">
        <v>3</v>
      </c>
      <c r="C54" t="n">
        <v>12</v>
      </c>
      <c r="D54" t="n">
        <v>2.5</v>
      </c>
      <c r="F54" s="72" t="n">
        <v>3.61</v>
      </c>
      <c r="H54" t="inlineStr">
        <is>
          <t>Total, £3 12 shilling 2.5pence</t>
        </is>
      </c>
    </row>
    <row r="55">
      <c r="A55" t="inlineStr">
        <is>
          <t>Dairy</t>
        </is>
      </c>
      <c r="F55" s="72">
        <f>SUM(F36:F53)</f>
        <v/>
      </c>
      <c r="G55" s="139">
        <f>F55-F54</f>
        <v/>
      </c>
      <c r="H55" t="inlineStr">
        <is>
          <t>Total</t>
        </is>
      </c>
    </row>
    <row r="56"/>
    <row r="57">
      <c r="A57" t="inlineStr">
        <is>
          <t>Repair of buildings</t>
        </is>
      </c>
      <c r="B57" t="n">
        <v>0</v>
      </c>
      <c r="C57" t="n">
        <v>4</v>
      </c>
      <c r="D57" t="n">
        <v>0</v>
      </c>
      <c r="F57" s="72" t="n">
        <v>0.2</v>
      </c>
      <c r="H57" t="inlineStr">
        <is>
          <t>In collecting stubble and roofing the buildings in the curia in places 4 shilling.</t>
        </is>
      </c>
    </row>
    <row r="58">
      <c r="A58" t="inlineStr">
        <is>
          <t>Repair of buildings</t>
        </is>
      </c>
      <c r="B58" t="n">
        <v>0</v>
      </c>
      <c r="C58" t="n">
        <v>2</v>
      </c>
      <c r="D58" t="n">
        <v>0</v>
      </c>
      <c r="F58" s="72" t="n">
        <v>0.1</v>
      </c>
      <c r="H58" t="inlineStr">
        <is>
          <t>wattling and mending the walls around the byre 2 shilling.</t>
        </is>
      </c>
      <c r="J58" s="72">
        <f>F58</f>
        <v/>
      </c>
      <c r="K58" s="72">
        <f>J58</f>
        <v/>
      </c>
    </row>
    <row r="59">
      <c r="A59" t="inlineStr">
        <is>
          <t>Repair of buildings</t>
        </is>
      </c>
      <c r="B59" t="n">
        <v>0</v>
      </c>
      <c r="C59" t="n">
        <v>0</v>
      </c>
      <c r="D59" t="n">
        <v>7</v>
      </c>
      <c r="F59" s="72" t="n">
        <v>0.03</v>
      </c>
      <c r="H59" t="inlineStr">
        <is>
          <t>building 1 new bridge over the water 7pence.</t>
        </is>
      </c>
      <c r="J59" s="72">
        <f>F59</f>
        <v/>
      </c>
      <c r="K59" s="72">
        <f>F59</f>
        <v/>
      </c>
    </row>
    <row r="60">
      <c r="A60" t="inlineStr">
        <is>
          <t>Repair of buildings</t>
        </is>
      </c>
      <c r="B60" t="n">
        <v>0</v>
      </c>
      <c r="C60" t="n">
        <v>0</v>
      </c>
      <c r="D60" t="n">
        <v>1.25</v>
      </c>
      <c r="F60" s="72">
        <f>B60+C60/20+D60/240</f>
        <v/>
      </c>
      <c r="H60" t="inlineStr">
        <is>
          <t xml:space="preserve">1 rope bought for the louver in the hall 1.25pence </t>
        </is>
      </c>
    </row>
    <row r="61">
      <c r="A61" t="inlineStr">
        <is>
          <t>Repair of buildings</t>
        </is>
      </c>
      <c r="B61" t="n">
        <v>0</v>
      </c>
      <c r="C61" t="n">
        <v>6</v>
      </c>
      <c r="D61" t="n">
        <v>8.6</v>
      </c>
      <c r="F61" s="72">
        <f>B61+C61/20+D61/240</f>
        <v/>
      </c>
      <c r="H61" t="inlineStr">
        <is>
          <t>Total, 6 shilling 8.5pence</t>
        </is>
      </c>
    </row>
    <row r="62">
      <c r="A62" t="inlineStr">
        <is>
          <t>Repair of buildings</t>
        </is>
      </c>
      <c r="F62" s="72">
        <f>SUM(F57:F60)</f>
        <v/>
      </c>
      <c r="G62" s="139">
        <f>F62-F61</f>
        <v/>
      </c>
      <c r="H62" t="inlineStr">
        <is>
          <t>Total</t>
        </is>
      </c>
    </row>
    <row r="63"/>
    <row r="64">
      <c r="A64" t="inlineStr">
        <is>
          <t>Threshing of corn</t>
        </is>
      </c>
      <c r="B64" t="n">
        <v>0</v>
      </c>
      <c r="C64" t="n">
        <v>11</v>
      </c>
      <c r="D64" t="n">
        <v>2.25</v>
      </c>
      <c r="F64" s="72" t="n">
        <v>0.5600000000000001</v>
      </c>
      <c r="H64" t="inlineStr">
        <is>
          <t>In threshing and winnowing 60 quarters of wheat and curall by piece-work 11 shilling, at 2.25pence a qr.</t>
        </is>
      </c>
    </row>
    <row r="65">
      <c r="A65" t="inlineStr">
        <is>
          <t>Threshing of corn</t>
        </is>
      </c>
      <c r="B65" t="n">
        <v>0</v>
      </c>
      <c r="C65" t="n">
        <v>3</v>
      </c>
      <c r="D65" t="n">
        <v>4.5</v>
      </c>
      <c r="F65" s="72" t="n">
        <v>0.17</v>
      </c>
      <c r="H65" t="inlineStr">
        <is>
          <t>threshing and winnowing 7 quarters of winter barley and 20 quarters of barley by piece-work 3 shilling 4.5pence, at 1.5pence a heaped quarter.</t>
        </is>
      </c>
    </row>
    <row r="66">
      <c r="A66" t="inlineStr">
        <is>
          <t>Threshing of corn</t>
        </is>
      </c>
      <c r="B66" t="n">
        <v>0</v>
      </c>
      <c r="C66" t="n">
        <v>0</v>
      </c>
      <c r="D66" t="n">
        <v>0</v>
      </c>
      <c r="F66" s="72" t="n">
        <v>0</v>
      </c>
      <c r="H66" t="inlineStr">
        <is>
          <t>Know that the workers threshed 36.5 quarters 2 bushels of wheat and curall, 16 quarters 1 bushels of barley, 86 quarters of oats, 2.25 quarters of peas and 2 quarters 1 bushels of vetches for their labour service.</t>
        </is>
      </c>
    </row>
    <row r="67">
      <c r="A67" t="inlineStr">
        <is>
          <t>Threshing of corn</t>
        </is>
      </c>
      <c r="B67" t="n">
        <v>0</v>
      </c>
      <c r="C67" t="n">
        <v>5</v>
      </c>
      <c r="D67" t="n">
        <v>1.5</v>
      </c>
      <c r="F67" s="72" t="n">
        <v>0.26</v>
      </c>
      <c r="H67" t="inlineStr">
        <is>
          <t>weeding all the corn except that done by labour service 5 shilling 1.5pence.</t>
        </is>
      </c>
    </row>
    <row r="68">
      <c r="A68" t="inlineStr">
        <is>
          <t>Threshing of corn</t>
        </is>
      </c>
      <c r="B68" t="n">
        <v>0</v>
      </c>
      <c r="C68" t="n">
        <v>18</v>
      </c>
      <c r="D68" t="n">
        <v>1</v>
      </c>
      <c r="F68" s="72">
        <f>B68+C68/20+D68/240</f>
        <v/>
      </c>
      <c r="H68" t="inlineStr">
        <is>
          <t xml:space="preserve">wages of 1 attendant who keeps the barn and who threshed at various times 18 shilling 1pence </t>
        </is>
      </c>
    </row>
    <row r="69">
      <c r="A69" t="inlineStr">
        <is>
          <t>Threshing of corn</t>
        </is>
      </c>
      <c r="B69" t="n">
        <v>1</v>
      </c>
      <c r="C69" t="n">
        <v>17</v>
      </c>
      <c r="D69" t="n">
        <v>7</v>
      </c>
      <c r="F69" s="72" t="n">
        <v>1.88</v>
      </c>
      <c r="H69" t="inlineStr">
        <is>
          <t>Total, £1 17 shilling 7pence</t>
        </is>
      </c>
    </row>
    <row r="70">
      <c r="A70" t="inlineStr">
        <is>
          <t>Threshing of corn</t>
        </is>
      </c>
      <c r="F70" s="72">
        <f>SUM(F64:F68)</f>
        <v/>
      </c>
      <c r="G70" s="139">
        <f>F70-F69</f>
        <v/>
      </c>
      <c r="H70" t="inlineStr">
        <is>
          <t>Total</t>
        </is>
      </c>
    </row>
    <row r="71"/>
    <row r="72">
      <c r="A72" t="inlineStr">
        <is>
          <t>Harvest-time</t>
        </is>
      </c>
      <c r="B72" t="n">
        <v>2</v>
      </c>
      <c r="C72" t="n">
        <v>2</v>
      </c>
      <c r="D72" t="n">
        <v>8.5</v>
      </c>
      <c r="F72" s="72" t="n">
        <v>2.14</v>
      </c>
      <c r="H72" t="inlineStr">
        <is>
          <t>In bread bought for 12.5 boon-works of 1,025 men, with the officials of the curia and 14 men of Ovington, who eat twice a day except this year, and 15 workers who are bound, at the choice of the lord, to reap with the boon-works and have food like the others, each reaping either' acre of wheat or barley or 1 acre of oats and having 1 sheaf as it falls, £2 2 shilling 8.5pence.</t>
        </is>
      </c>
    </row>
    <row r="73">
      <c r="A73" t="inlineStr">
        <is>
          <t>Harvest-time</t>
        </is>
      </c>
      <c r="B73" t="n">
        <v>0</v>
      </c>
      <c r="C73" t="n">
        <v>19</v>
      </c>
      <c r="D73" t="n">
        <v>5</v>
      </c>
      <c r="F73" s="72" t="n">
        <v>0.97</v>
      </c>
      <c r="H73" t="inlineStr">
        <is>
          <t>herrings and cheese bought for a want of herrings to eat with the bread 19 shilling 5pence, and each ought to have 4 herrings a day.</t>
        </is>
      </c>
    </row>
    <row r="74">
      <c r="A74" t="inlineStr">
        <is>
          <t>Harvest-time</t>
        </is>
      </c>
      <c r="B74" t="n">
        <v>0</v>
      </c>
      <c r="C74" t="n">
        <v>0</v>
      </c>
      <c r="D74" t="n">
        <v>0</v>
      </c>
      <c r="F74" s="72" t="n">
        <v>0</v>
      </c>
      <c r="H74" t="inlineStr">
        <is>
          <t>They reaped 245 acres of barley and 210 acres of oats as they lie.</t>
        </is>
      </c>
    </row>
    <row r="75">
      <c r="A75" t="inlineStr">
        <is>
          <t>Harvest-time</t>
        </is>
      </c>
      <c r="B75" t="n">
        <v>0</v>
      </c>
      <c r="C75" t="n">
        <v>6</v>
      </c>
      <c r="D75" t="n">
        <v>8</v>
      </c>
      <c r="F75" s="72">
        <f>B75+C75/20+D75/240</f>
        <v/>
      </c>
      <c r="H75" t="inlineStr">
        <is>
          <t xml:space="preserve">stipend of 1 hayward for the year 6 shilling 8pence </t>
        </is>
      </c>
    </row>
    <row r="76">
      <c r="A76" t="inlineStr">
        <is>
          <t>Harvest-time</t>
        </is>
      </c>
      <c r="B76" t="n">
        <v>3</v>
      </c>
      <c r="C76" t="n">
        <v>8</v>
      </c>
      <c r="D76" t="n">
        <v>9.5</v>
      </c>
      <c r="F76" s="72" t="n">
        <v>3.44</v>
      </c>
      <c r="H76" t="inlineStr">
        <is>
          <t>Total, £3 8 shilling 9.5pence</t>
        </is>
      </c>
    </row>
    <row r="77">
      <c r="A77" t="inlineStr">
        <is>
          <t>Harvest-time</t>
        </is>
      </c>
      <c r="F77" s="72">
        <f>SUM(F72:F75)</f>
        <v/>
      </c>
      <c r="G77" s="139">
        <f>F77-F76</f>
        <v/>
      </c>
      <c r="H77" t="inlineStr">
        <is>
          <t>Total</t>
        </is>
      </c>
    </row>
    <row r="78"/>
    <row r="79">
      <c r="A79" t="inlineStr">
        <is>
          <t>Expenses of the steward</t>
        </is>
      </c>
      <c r="B79" t="n">
        <v>0</v>
      </c>
      <c r="C79" t="n">
        <v>6</v>
      </c>
      <c r="D79" t="n">
        <v>9</v>
      </c>
      <c r="F79" s="72" t="n">
        <v>0.34</v>
      </c>
      <c r="H79" t="inlineStr">
        <is>
          <t xml:space="preserve">In expenses of Simon, clerk, holding the place of the steward far the 2 toums 6 shilling 9pence </t>
        </is>
      </c>
    </row>
    <row r="80">
      <c r="A80" t="inlineStr">
        <is>
          <t>Expenses of the steward</t>
        </is>
      </c>
      <c r="B80" t="n">
        <v>0</v>
      </c>
      <c r="C80" t="n">
        <v>6</v>
      </c>
      <c r="D80" t="n">
        <v>9</v>
      </c>
      <c r="F80" s="72" t="n">
        <v>0.34</v>
      </c>
      <c r="H80" t="inlineStr">
        <is>
          <t>Total, 6 shilling 9pence</t>
        </is>
      </c>
    </row>
    <row r="81">
      <c r="A81" t="inlineStr">
        <is>
          <t>Expenses of the steward</t>
        </is>
      </c>
      <c r="F81" s="72" t="n">
        <v>0.34</v>
      </c>
      <c r="G81" s="139" t="n">
        <v>0</v>
      </c>
      <c r="H81" t="inlineStr">
        <is>
          <t>Total</t>
        </is>
      </c>
    </row>
    <row r="82"/>
    <row r="83">
      <c r="A83" t="inlineStr">
        <is>
          <t>Purchase of stock</t>
        </is>
      </c>
      <c r="B83" t="n">
        <v>3</v>
      </c>
      <c r="C83" t="n">
        <v>19</v>
      </c>
      <c r="D83" t="n">
        <v>4.25</v>
      </c>
      <c r="F83" s="72" t="n">
        <v>3.97</v>
      </c>
      <c r="H83" t="inlineStr">
        <is>
          <t xml:space="preserve">In 15 animals bought for pasturing £3 19 shilling 4.25pence </t>
        </is>
      </c>
    </row>
    <row r="84">
      <c r="A84" t="inlineStr">
        <is>
          <t>Purchase of stock</t>
        </is>
      </c>
      <c r="B84" t="n">
        <v>3</v>
      </c>
      <c r="C84" t="n">
        <v>19</v>
      </c>
      <c r="D84" t="n">
        <v>4.25</v>
      </c>
      <c r="F84" s="72" t="n">
        <v>3.97</v>
      </c>
      <c r="H84" t="inlineStr">
        <is>
          <t>Total, £3 19 shilling 4.5pence</t>
        </is>
      </c>
    </row>
    <row r="85">
      <c r="A85" t="inlineStr">
        <is>
          <t>Purchase of stock</t>
        </is>
      </c>
      <c r="F85" s="72" t="n">
        <v>3.97</v>
      </c>
      <c r="G85" s="139" t="n">
        <v>0</v>
      </c>
      <c r="H85" t="inlineStr">
        <is>
          <t>Total</t>
        </is>
      </c>
    </row>
    <row r="86"/>
    <row r="87">
      <c r="A87" t="inlineStr">
        <is>
          <t>Total of all expenses</t>
        </is>
      </c>
      <c r="B87" t="n">
        <v>21</v>
      </c>
      <c r="C87" t="n">
        <v>0</v>
      </c>
      <c r="D87" t="n">
        <v>0</v>
      </c>
      <c r="F87" s="72" t="n">
        <v>21</v>
      </c>
      <c r="H87" t="inlineStr">
        <is>
          <t>Total of all expenses, £21 11 s. 6pence</t>
        </is>
      </c>
    </row>
    <row r="88">
      <c r="F88" s="72">
        <f>F87</f>
        <v/>
      </c>
      <c r="G88" s="139">
        <f>F88-F87</f>
        <v/>
      </c>
      <c r="H88" t="inlineStr">
        <is>
          <t>Total</t>
        </is>
      </c>
    </row>
    <row r="89"/>
    <row r="90">
      <c r="A90" t="inlineStr">
        <is>
          <t>thus he owes</t>
        </is>
      </c>
      <c r="B90" t="n">
        <v>70</v>
      </c>
      <c r="C90" t="n">
        <v>0</v>
      </c>
      <c r="D90" t="n">
        <v>4</v>
      </c>
      <c r="F90" s="72" t="n">
        <v>70.02</v>
      </c>
      <c r="H90" t="inlineStr">
        <is>
          <t>And thus he owes, £70 4pence</t>
        </is>
      </c>
    </row>
    <row r="91">
      <c r="A91" t="inlineStr">
        <is>
          <t>thus he owes</t>
        </is>
      </c>
      <c r="F91" s="72" t="n">
        <v>70.02</v>
      </c>
      <c r="G91" s="139" t="n">
        <v>0</v>
      </c>
      <c r="H91" t="inlineStr">
        <is>
          <t>Total</t>
        </is>
      </c>
    </row>
    <row r="92"/>
    <row r="93">
      <c r="A93" t="inlineStr">
        <is>
          <t>Allowances</t>
        </is>
      </c>
      <c r="B93" t="n">
        <v>3</v>
      </c>
      <c r="C93" t="n">
        <v>14</v>
      </c>
      <c r="D93" t="n">
        <v>4</v>
      </c>
      <c r="F93" s="72" t="n">
        <v>3.72</v>
      </c>
      <c r="H93" t="inlineStr">
        <is>
          <t xml:space="preserve">in 10 cows bought for the stock of the manor £3 14 shilling 4pence, at 7 shilling 6pence each for 6, and 7 shilling each for 4. </t>
        </is>
      </c>
    </row>
    <row r="94">
      <c r="A94" t="inlineStr">
        <is>
          <t>Allowances</t>
        </is>
      </c>
      <c r="B94" t="n">
        <v>3</v>
      </c>
      <c r="C94" t="n">
        <v>14</v>
      </c>
      <c r="D94" t="n">
        <v>4</v>
      </c>
      <c r="F94" s="72" t="n">
        <v>3.72</v>
      </c>
      <c r="H94" t="inlineStr">
        <is>
          <t>Total, £3 14 shilling 4pence</t>
        </is>
      </c>
    </row>
    <row r="95">
      <c r="A95" t="inlineStr">
        <is>
          <t>Allowances</t>
        </is>
      </c>
      <c r="F95" s="72" t="n">
        <v>3.72</v>
      </c>
      <c r="G95" s="139" t="n">
        <v>0</v>
      </c>
      <c r="H95" t="inlineStr">
        <is>
          <t>Total</t>
        </is>
      </c>
    </row>
    <row r="96"/>
    <row r="97">
      <c r="A97" t="inlineStr">
        <is>
          <t>Cash deliveries</t>
        </is>
      </c>
      <c r="B97" t="n">
        <v>40</v>
      </c>
      <c r="C97" t="n">
        <v>10</v>
      </c>
      <c r="D97" t="n">
        <v>7.5</v>
      </c>
      <c r="F97" s="72" t="n">
        <v>40.53</v>
      </c>
      <c r="H97" t="inlineStr">
        <is>
          <t>Delivered to Sir Geoffrey, treasurer of Wolvesey, by 1 tally, £40 10 shilling 7.5pence</t>
        </is>
      </c>
    </row>
    <row r="98">
      <c r="A98" t="inlineStr">
        <is>
          <t>Cash deliveries</t>
        </is>
      </c>
      <c r="B98" t="n">
        <v>44</v>
      </c>
      <c r="C98" t="n">
        <v>4</v>
      </c>
      <c r="D98" t="n">
        <v>11.5</v>
      </c>
      <c r="F98" s="72" t="n">
        <v>44.25</v>
      </c>
      <c r="G98" s="139">
        <f>F98-(F97+F95)</f>
        <v/>
      </c>
      <c r="H98" t="inlineStr">
        <is>
          <t>Total of all allowances and cash deliveries, £44 4 shilling 11.5pence</t>
        </is>
      </c>
    </row>
    <row r="99"/>
    <row r="100" ht="16" customHeight="1">
      <c r="A100" s="12" t="inlineStr">
        <is>
          <t>Total of all expenses per account</t>
        </is>
      </c>
      <c r="F100" s="72">
        <f>F88</f>
        <v/>
      </c>
    </row>
    <row r="101" ht="16" customHeight="1">
      <c r="A101" s="12" t="inlineStr">
        <is>
          <t>Total of all expenses (calculated here)</t>
        </is>
      </c>
      <c r="F101" s="72">
        <f>F85+F81+F77+F70+F62+F55+F34+F20+F15</f>
        <v/>
      </c>
      <c r="G101" s="139">
        <f>F101-F100</f>
        <v/>
      </c>
    </row>
    <row r="102" ht="16" customHeight="1">
      <c r="A102" s="12" t="inlineStr">
        <is>
          <t>Total fixed investment</t>
        </is>
      </c>
      <c r="F102" s="72">
        <f>SUM(J3:J76)</f>
        <v/>
      </c>
    </row>
    <row r="103" ht="16" customHeight="1">
      <c r="A103" s="12" t="inlineStr">
        <is>
          <t>Total Demesne fixed investment</t>
        </is>
      </c>
      <c r="F103" s="72">
        <f>SUM(K3:K76)</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0"/>
  <sheetViews>
    <sheetView topLeftCell="A1" workbookViewId="0">
      <selection activeCell="A1" sqref="A1"/>
    </sheetView>
  </sheetViews>
  <sheetFormatPr baseColWidth="8" defaultRowHeight="15"/>
  <cols>
    <col width="14.5" customWidth="1" min="1" max="1"/>
    <col width="19.1640625" customWidth="1" min="7" max="7"/>
    <col width="12.1640625" customWidth="1" min="8" max="8"/>
    <col width="14.5" customWidth="1" min="9" max="9"/>
    <col width="20.83203125" customWidth="1" min="10" max="10"/>
    <col width="15.6640625" customWidth="1" min="12" max="12"/>
    <col width="11.1640625" customWidth="1" min="13" max="13"/>
    <col width="8.1640625" customWidth="1" min="14" max="14"/>
    <col width="14.5" customWidth="1" min="15" max="15"/>
    <col width="16.6640625" customWidth="1" min="16" max="16"/>
  </cols>
  <sheetData>
    <row r="1" ht="48" customHeight="1">
      <c r="A1" s="37" t="inlineStr">
        <is>
          <t>Gross Output</t>
        </is>
      </c>
      <c r="B1" s="142" t="inlineStr">
        <is>
          <t>Total Quantity</t>
        </is>
      </c>
      <c r="C1" s="142" t="inlineStr">
        <is>
          <t>Account Total Quarters</t>
        </is>
      </c>
      <c r="D1" s="142" t="inlineStr">
        <is>
          <t>Bought in Total Quarters</t>
        </is>
      </c>
      <c r="E1" s="142" t="inlineStr">
        <is>
          <t>Received from churchscot</t>
        </is>
      </c>
      <c r="F1" s="142" t="inlineStr">
        <is>
          <t>Sold Total Quarters</t>
        </is>
      </c>
      <c r="G1" s="142" t="inlineStr">
        <is>
          <t>Difference Produced+Bought-Sold</t>
        </is>
      </c>
      <c r="H1" s="142" t="inlineStr">
        <is>
          <t>Weighted Average Price per Quarter</t>
        </is>
      </c>
      <c r="I1" s="143" t="inlineStr">
        <is>
          <t>Value of Total Production weighted</t>
        </is>
      </c>
    </row>
    <row r="2">
      <c r="A2" t="inlineStr">
        <is>
          <t>wheat</t>
        </is>
      </c>
      <c r="B2" t="n">
        <v>94</v>
      </c>
      <c r="D2" t="n">
        <v>0</v>
      </c>
      <c r="F2" t="n">
        <v>60.125</v>
      </c>
      <c r="G2">
        <f>B2-F2</f>
        <v/>
      </c>
      <c r="H2" s="72" t="n">
        <v>0.3333333333333334</v>
      </c>
      <c r="I2" s="72">
        <f>H2*B2</f>
        <v/>
      </c>
    </row>
    <row r="3">
      <c r="A3" t="inlineStr">
        <is>
          <t>curall</t>
        </is>
      </c>
      <c r="B3" t="n">
        <v>3.25</v>
      </c>
      <c r="D3" t="n">
        <v>0</v>
      </c>
      <c r="F3" t="n">
        <v>1.875</v>
      </c>
      <c r="G3">
        <f>B3-F3</f>
        <v/>
      </c>
      <c r="H3" s="72" t="n">
        <v>0.2333333333333333</v>
      </c>
      <c r="I3" s="72">
        <f>H3*B3</f>
        <v/>
      </c>
    </row>
    <row r="4">
      <c r="A4" t="inlineStr">
        <is>
          <t>bere</t>
        </is>
      </c>
      <c r="B4" t="n">
        <v>8.75</v>
      </c>
      <c r="D4" t="n">
        <v>1.75</v>
      </c>
      <c r="G4">
        <f>B4-F4</f>
        <v/>
      </c>
      <c r="H4" s="72" t="n"/>
      <c r="I4" s="72">
        <f>H4*B4</f>
        <v/>
      </c>
    </row>
    <row r="5">
      <c r="A5" t="inlineStr">
        <is>
          <t>barley</t>
        </is>
      </c>
      <c r="B5" t="n">
        <v>55.5</v>
      </c>
      <c r="D5" t="n">
        <v>15</v>
      </c>
      <c r="F5" t="n">
        <v>21.125</v>
      </c>
      <c r="G5">
        <f>B5-F5</f>
        <v/>
      </c>
      <c r="H5" s="72" t="n">
        <v>0.2185404339250493</v>
      </c>
      <c r="I5" s="72">
        <f>H5*B5</f>
        <v/>
      </c>
    </row>
    <row r="6">
      <c r="A6" t="inlineStr">
        <is>
          <t>oats</t>
        </is>
      </c>
      <c r="B6" t="n">
        <v>135</v>
      </c>
      <c r="D6" t="n">
        <v>0</v>
      </c>
      <c r="F6" t="n">
        <v>38.25</v>
      </c>
      <c r="G6">
        <f>B6-F6</f>
        <v/>
      </c>
      <c r="H6" s="72" t="n">
        <v>0.1139433551198257</v>
      </c>
      <c r="I6" s="72">
        <f>H6*B6</f>
        <v/>
      </c>
    </row>
    <row r="7">
      <c r="A7" t="inlineStr">
        <is>
          <t>peas</t>
        </is>
      </c>
      <c r="B7" t="n">
        <v>2.5</v>
      </c>
      <c r="D7" t="n">
        <v>0</v>
      </c>
      <c r="F7" t="n">
        <v>0.375</v>
      </c>
      <c r="G7">
        <f>B7-F7</f>
        <v/>
      </c>
      <c r="H7" s="72" t="n">
        <v>0.1722222222222222</v>
      </c>
      <c r="I7" s="72">
        <f>H7*B7</f>
        <v/>
      </c>
    </row>
    <row r="8">
      <c r="A8" t="inlineStr">
        <is>
          <t>vetches</t>
        </is>
      </c>
      <c r="B8" t="n">
        <v>2.125</v>
      </c>
      <c r="D8" t="n">
        <v>0</v>
      </c>
      <c r="F8" t="n">
        <v>0.625</v>
      </c>
      <c r="G8">
        <f>B8-F8</f>
        <v/>
      </c>
      <c r="H8" s="72" t="n">
        <v>0.1</v>
      </c>
      <c r="I8" s="72">
        <f>H8*B8</f>
        <v/>
      </c>
    </row>
    <row r="9"/>
    <row r="10"/>
    <row r="11"/>
    <row r="12"/>
    <row r="13" ht="48" customHeight="1">
      <c r="A13" s="38" t="inlineStr">
        <is>
          <t>Net output</t>
        </is>
      </c>
      <c r="B13" s="144" t="inlineStr">
        <is>
          <t>Gross output</t>
        </is>
      </c>
      <c r="C13" s="145" t="inlineStr">
        <is>
          <t>Seed quarters</t>
        </is>
      </c>
      <c r="D13" s="145" t="inlineStr">
        <is>
          <t>Seed bushels</t>
        </is>
      </c>
      <c r="E13" s="145" t="inlineStr">
        <is>
          <t>Seed total quarters</t>
        </is>
      </c>
      <c r="F13" s="38" t="inlineStr">
        <is>
          <t>tithe quarters</t>
        </is>
      </c>
      <c r="G13" s="145" t="inlineStr">
        <is>
          <t>tithe bushels</t>
        </is>
      </c>
      <c r="H13" s="145" t="inlineStr">
        <is>
          <t>tithe total</t>
        </is>
      </c>
      <c r="I13" s="145" t="inlineStr">
        <is>
          <t>manorial servants quarters</t>
        </is>
      </c>
      <c r="J13" s="145" t="inlineStr">
        <is>
          <t>manorial servants bushels</t>
        </is>
      </c>
      <c r="K13" s="146" t="inlineStr">
        <is>
          <t>manorial servants total quarters</t>
        </is>
      </c>
      <c r="L13" s="145" t="inlineStr">
        <is>
          <t>output net of tithe, seed, liveries</t>
        </is>
      </c>
      <c r="M13" s="145" t="inlineStr">
        <is>
          <t>in stock from last year</t>
        </is>
      </c>
      <c r="N13" s="147" t="inlineStr">
        <is>
          <t>Price in £</t>
        </is>
      </c>
      <c r="O13" s="147" t="inlineStr">
        <is>
          <t>Value of net output in £</t>
        </is>
      </c>
      <c r="P13" s="144" t="inlineStr">
        <is>
          <t>Value of sales (in "Sale of Corn") in £</t>
        </is>
      </c>
    </row>
    <row r="14">
      <c r="A14" t="inlineStr">
        <is>
          <t>wheat</t>
        </is>
      </c>
      <c r="B14">
        <f>B2</f>
        <v/>
      </c>
      <c r="C14" t="n">
        <v>33</v>
      </c>
      <c r="D14" t="n">
        <v>3</v>
      </c>
      <c r="E14">
        <f>C14+D14/8</f>
        <v/>
      </c>
      <c r="J14" t="n">
        <v>4</v>
      </c>
      <c r="K14" s="148">
        <f>I14+J14/8</f>
        <v/>
      </c>
      <c r="L14">
        <f>B14-E14-H14-K14</f>
        <v/>
      </c>
      <c r="N14" s="72">
        <f>H2</f>
        <v/>
      </c>
      <c r="O14" s="72">
        <f>N14*L14</f>
        <v/>
      </c>
    </row>
    <row r="15">
      <c r="A15" t="inlineStr">
        <is>
          <t>curall</t>
        </is>
      </c>
      <c r="B15">
        <f>B3</f>
        <v/>
      </c>
      <c r="E15">
        <f>C15+D15/8</f>
        <v/>
      </c>
      <c r="I15" t="n">
        <v>1</v>
      </c>
      <c r="J15" t="n">
        <v>3</v>
      </c>
      <c r="K15" s="148">
        <f>I15+J15/8</f>
        <v/>
      </c>
      <c r="L15">
        <f>B15-E15-H15-K15</f>
        <v/>
      </c>
      <c r="N15" s="72">
        <f>H3</f>
        <v/>
      </c>
      <c r="O15" s="72">
        <f>N15*L15</f>
        <v/>
      </c>
    </row>
    <row r="16">
      <c r="A16" t="inlineStr">
        <is>
          <t>bere</t>
        </is>
      </c>
      <c r="B16">
        <f>B4</f>
        <v/>
      </c>
      <c r="C16" t="n">
        <v>1</v>
      </c>
      <c r="D16" t="n">
        <v>6</v>
      </c>
      <c r="E16">
        <f>C16+D16/8</f>
        <v/>
      </c>
      <c r="I16" t="n">
        <v>4</v>
      </c>
      <c r="K16" s="148">
        <f>I16+J16/8</f>
        <v/>
      </c>
      <c r="L16">
        <f>B16-E16-H16-K16</f>
        <v/>
      </c>
      <c r="N16" s="72">
        <f>H4</f>
        <v/>
      </c>
      <c r="O16" s="72">
        <f>N16*L16</f>
        <v/>
      </c>
    </row>
    <row r="17">
      <c r="A17" t="inlineStr">
        <is>
          <t>barley</t>
        </is>
      </c>
      <c r="B17">
        <f>B5</f>
        <v/>
      </c>
      <c r="C17" t="n">
        <v>16.5</v>
      </c>
      <c r="D17" t="n">
        <v>2</v>
      </c>
      <c r="E17">
        <f>C17+D17/8</f>
        <v/>
      </c>
      <c r="I17">
        <f>13+2+1.5+3</f>
        <v/>
      </c>
      <c r="J17">
        <f>4+2+6+6+6</f>
        <v/>
      </c>
      <c r="K17" s="148">
        <f>I17+J17/8</f>
        <v/>
      </c>
      <c r="L17">
        <f>B17-E17-H17-K17</f>
        <v/>
      </c>
      <c r="N17" s="72">
        <f>H5</f>
        <v/>
      </c>
      <c r="O17" s="72">
        <f>N17*L17</f>
        <v/>
      </c>
    </row>
    <row r="18">
      <c r="A18" t="inlineStr">
        <is>
          <t>oats</t>
        </is>
      </c>
      <c r="B18">
        <f>B6</f>
        <v/>
      </c>
      <c r="C18" t="n">
        <v>64</v>
      </c>
      <c r="E18">
        <f>C18+D18/8</f>
        <v/>
      </c>
      <c r="I18">
        <f>9+22</f>
        <v/>
      </c>
      <c r="J18">
        <f>6+2</f>
        <v/>
      </c>
      <c r="K18" s="148">
        <f>I18+J18/8</f>
        <v/>
      </c>
      <c r="L18">
        <f>B18-E18-H18-K18</f>
        <v/>
      </c>
      <c r="N18" s="72">
        <f>H6</f>
        <v/>
      </c>
      <c r="O18" s="72">
        <f>N18*L18</f>
        <v/>
      </c>
    </row>
    <row r="19">
      <c r="A19" t="inlineStr">
        <is>
          <t>peas</t>
        </is>
      </c>
      <c r="B19">
        <f>B7</f>
        <v/>
      </c>
      <c r="D19" t="n">
        <v>5</v>
      </c>
      <c r="E19">
        <f>C19+D19/8</f>
        <v/>
      </c>
      <c r="J19">
        <f>7+5</f>
        <v/>
      </c>
      <c r="K19" s="148">
        <f>I19+J19/8</f>
        <v/>
      </c>
      <c r="L19">
        <f>B19-E19-H19-K19</f>
        <v/>
      </c>
      <c r="N19" s="72">
        <f>H7</f>
        <v/>
      </c>
      <c r="O19" s="72">
        <f>N19*L19</f>
        <v/>
      </c>
    </row>
    <row r="20">
      <c r="A20" t="inlineStr">
        <is>
          <t>vetches</t>
        </is>
      </c>
      <c r="B20">
        <f>B8</f>
        <v/>
      </c>
      <c r="C20" t="n">
        <v>1.5</v>
      </c>
      <c r="E20">
        <f>C20+D20/8</f>
        <v/>
      </c>
      <c r="K20" s="148">
        <f>I20+J20/8</f>
        <v/>
      </c>
      <c r="L20">
        <f>B20-E20-H20-K20</f>
        <v/>
      </c>
      <c r="N20" s="72">
        <f>H8</f>
        <v/>
      </c>
      <c r="O20" s="72">
        <f>N20*L20</f>
        <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31"/>
  <sheetViews>
    <sheetView topLeftCell="A1" workbookViewId="0">
      <selection activeCell="A1" sqref="A1"/>
    </sheetView>
  </sheetViews>
  <sheetFormatPr baseColWidth="8" defaultRowHeight="15"/>
  <cols>
    <col width="44.33203125" customWidth="1" min="1" max="1"/>
    <col width="20" customWidth="1" min="10" max="10"/>
    <col width="15.1640625" customWidth="1" min="14" max="14"/>
    <col width="16.6640625" customWidth="1" min="16" max="16"/>
    <col width="15.33203125" customWidth="1" min="17" max="17"/>
    <col width="15.33203125" customWidth="1" min="19" max="19"/>
    <col width="17.6640625" customWidth="1" min="20" max="20"/>
  </cols>
  <sheetData>
    <row r="1" ht="16" customHeight="1">
      <c r="A1" s="12" t="inlineStr">
        <is>
          <t>CHERITON STOCK ACCOUNT</t>
        </is>
      </c>
      <c r="B1" s="37" t="n"/>
      <c r="C1" s="37" t="n"/>
      <c r="D1" s="37" t="n"/>
      <c r="E1" s="37" t="n"/>
      <c r="F1" s="37" t="n"/>
      <c r="G1" s="37" t="n"/>
      <c r="H1" s="37" t="n"/>
      <c r="I1" s="37" t="n"/>
    </row>
    <row r="2" ht="16" customHeight="1">
      <c r="A2" s="12" t="n"/>
    </row>
    <row r="3" ht="17" customHeight="1">
      <c r="A3" s="44" t="n"/>
      <c r="B3" s="44" t="n"/>
      <c r="C3" s="125" t="inlineStr">
        <is>
          <t>added</t>
        </is>
      </c>
      <c r="G3" s="125" t="inlineStr">
        <is>
          <t>subtracted</t>
        </is>
      </c>
      <c r="K3" s="44" t="n"/>
      <c r="L3" s="44" t="n"/>
      <c r="M3" s="44" t="n"/>
      <c r="N3" s="44" t="n"/>
      <c r="O3" s="44" t="n"/>
      <c r="P3" s="73" t="n"/>
      <c r="Q3" s="44" t="n"/>
      <c r="R3" s="44" t="n"/>
      <c r="S3" s="44" t="n"/>
      <c r="T3" s="44" t="n"/>
    </row>
    <row r="4" ht="51"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ht="16" customHeight="1">
      <c r="A5" s="44" t="inlineStr">
        <is>
          <t>Cart-horses</t>
        </is>
      </c>
      <c r="B5" t="n">
        <v>2</v>
      </c>
      <c r="K5" t="n">
        <v>2</v>
      </c>
    </row>
    <row r="6" ht="16" customHeight="1">
      <c r="A6" s="44" t="inlineStr">
        <is>
          <t>Mares</t>
        </is>
      </c>
    </row>
    <row r="7">
      <c r="A7" t="inlineStr">
        <is>
          <t>Plough horses</t>
        </is>
      </c>
      <c r="B7" t="n">
        <v>13</v>
      </c>
      <c r="H7" t="n">
        <v>3</v>
      </c>
      <c r="I7" t="n">
        <v>2</v>
      </c>
      <c r="K7" t="n">
        <v>8</v>
      </c>
      <c r="R7" s="72">
        <f>Receipts!F69</f>
        <v/>
      </c>
    </row>
    <row r="8">
      <c r="A8" t="inlineStr">
        <is>
          <t>Colts (unspecified years)</t>
        </is>
      </c>
    </row>
    <row r="9">
      <c r="A9" t="inlineStr">
        <is>
          <t>Colts (2 years)</t>
        </is>
      </c>
      <c r="B9" t="n">
        <v>2</v>
      </c>
      <c r="I9" t="n">
        <v>1</v>
      </c>
      <c r="K9" t="n">
        <v>1</v>
      </c>
    </row>
    <row r="10">
      <c r="A10" t="inlineStr">
        <is>
          <t>Colts (1 year)</t>
        </is>
      </c>
    </row>
    <row r="11">
      <c r="A11" t="inlineStr">
        <is>
          <t>Foals</t>
        </is>
      </c>
    </row>
    <row r="12">
      <c r="A12" t="inlineStr">
        <is>
          <t>Oxen</t>
        </is>
      </c>
      <c r="B12" t="n">
        <v>39</v>
      </c>
      <c r="C12">
        <f>1+4</f>
        <v/>
      </c>
      <c r="H12" t="n">
        <v>3</v>
      </c>
      <c r="I12" t="n">
        <v>1</v>
      </c>
      <c r="K12" t="n">
        <v>40</v>
      </c>
      <c r="R12" s="72">
        <f>Receipts!F70</f>
        <v/>
      </c>
    </row>
    <row r="13">
      <c r="A13" t="inlineStr">
        <is>
          <t>Bulls</t>
        </is>
      </c>
    </row>
    <row r="14">
      <c r="A14" t="inlineStr">
        <is>
          <t>Cows</t>
        </is>
      </c>
      <c r="B14" t="n">
        <v>10</v>
      </c>
      <c r="C14">
        <f>1+3+10</f>
        <v/>
      </c>
      <c r="I14" t="n">
        <v>1</v>
      </c>
      <c r="K14" t="n">
        <v>22</v>
      </c>
    </row>
    <row r="15">
      <c r="A15" t="inlineStr">
        <is>
          <t>Steers</t>
        </is>
      </c>
      <c r="B15" t="n">
        <v>4</v>
      </c>
      <c r="C15" t="n">
        <v>15</v>
      </c>
      <c r="H15" t="n">
        <v>15</v>
      </c>
      <c r="I15" t="n">
        <v>1</v>
      </c>
      <c r="J15">
        <f>1+3</f>
        <v/>
      </c>
      <c r="K15" t="n">
        <v>0</v>
      </c>
      <c r="R15" s="72">
        <f>Receipts!F84</f>
        <v/>
      </c>
    </row>
    <row r="16">
      <c r="A16" t="inlineStr">
        <is>
          <t>Bullocks</t>
        </is>
      </c>
      <c r="B16" t="n">
        <v>4</v>
      </c>
      <c r="K16" t="n">
        <v>4</v>
      </c>
    </row>
    <row r="17">
      <c r="A17" t="inlineStr">
        <is>
          <t>Yearlings</t>
        </is>
      </c>
      <c r="B17" t="n">
        <v>4</v>
      </c>
      <c r="K17" t="n">
        <v>4</v>
      </c>
    </row>
    <row r="18">
      <c r="A18" t="inlineStr">
        <is>
          <t>Calves</t>
        </is>
      </c>
      <c r="B18" t="n">
        <v>14</v>
      </c>
      <c r="C18" t="n">
        <v>1</v>
      </c>
      <c r="H18">
        <f>4+1</f>
        <v/>
      </c>
      <c r="I18" t="n">
        <v>1</v>
      </c>
      <c r="J18" t="n">
        <v>1</v>
      </c>
      <c r="K18" t="n">
        <v>8</v>
      </c>
      <c r="R18" s="72">
        <f>Receipts!F71</f>
        <v/>
      </c>
    </row>
    <row r="19">
      <c r="A19" t="inlineStr">
        <is>
          <t>Wethers</t>
        </is>
      </c>
      <c r="B19" t="n">
        <v>324</v>
      </c>
      <c r="C19" t="n">
        <v>53</v>
      </c>
      <c r="H19" t="n">
        <v>18</v>
      </c>
      <c r="I19">
        <f>10+8</f>
        <v/>
      </c>
      <c r="J19" t="n">
        <v>2</v>
      </c>
      <c r="K19" t="n">
        <v>339</v>
      </c>
      <c r="R19" s="72">
        <f>Receipts!F72</f>
        <v/>
      </c>
    </row>
    <row r="20">
      <c r="A20" t="inlineStr">
        <is>
          <t>Rams</t>
        </is>
      </c>
      <c r="B20" t="n">
        <v>8</v>
      </c>
      <c r="C20" t="n">
        <v>2</v>
      </c>
      <c r="K20" t="n">
        <v>10</v>
      </c>
    </row>
    <row r="21">
      <c r="A21" t="inlineStr">
        <is>
          <t>Ewes</t>
        </is>
      </c>
      <c r="B21" t="n">
        <v>288</v>
      </c>
      <c r="C21" t="n">
        <v>52</v>
      </c>
      <c r="H21" t="n">
        <v>22</v>
      </c>
      <c r="I21">
        <f>10+6</f>
        <v/>
      </c>
      <c r="J21" t="n">
        <v>1</v>
      </c>
      <c r="K21" t="n">
        <v>301</v>
      </c>
      <c r="R21" s="72">
        <f>Receipts!F73</f>
        <v/>
      </c>
    </row>
    <row r="22">
      <c r="A22" t="inlineStr">
        <is>
          <t>Hoggs</t>
        </is>
      </c>
      <c r="B22" t="n">
        <v>150</v>
      </c>
      <c r="I22">
        <f>30+13</f>
        <v/>
      </c>
      <c r="J22">
        <f>53+2+52</f>
        <v/>
      </c>
      <c r="K22" t="n">
        <v>0</v>
      </c>
    </row>
    <row r="23">
      <c r="A23" t="inlineStr">
        <is>
          <t>Lambs</t>
        </is>
      </c>
      <c r="B23" t="n">
        <v>236</v>
      </c>
      <c r="C23" t="n">
        <v>39</v>
      </c>
      <c r="H23" t="n">
        <v>23</v>
      </c>
      <c r="I23">
        <f>33+13+4</f>
        <v/>
      </c>
      <c r="J23">
        <f>23+3</f>
        <v/>
      </c>
      <c r="K23" t="n">
        <v>176</v>
      </c>
      <c r="R23" s="72">
        <f>Receipts!F74</f>
        <v/>
      </c>
    </row>
    <row r="24">
      <c r="A24" t="inlineStr">
        <is>
          <t>Boars</t>
        </is>
      </c>
    </row>
    <row r="25">
      <c r="A25" t="inlineStr">
        <is>
          <t>Sows</t>
        </is>
      </c>
      <c r="B25" t="n">
        <v>2</v>
      </c>
      <c r="K25" t="n">
        <v>2</v>
      </c>
    </row>
    <row r="26">
      <c r="A26" t="inlineStr">
        <is>
          <t>Pigs</t>
        </is>
      </c>
      <c r="B26" t="n">
        <v>17</v>
      </c>
      <c r="C26">
        <f>19+13+1+1</f>
        <v/>
      </c>
      <c r="H26" t="n">
        <v>15</v>
      </c>
      <c r="K26" t="n">
        <v>36</v>
      </c>
      <c r="R26" s="72">
        <f>Receipts!F75</f>
        <v/>
      </c>
    </row>
    <row r="27">
      <c r="A27" t="inlineStr">
        <is>
          <t>Hoggets</t>
        </is>
      </c>
      <c r="B27" t="n">
        <v>21</v>
      </c>
      <c r="I27" t="n">
        <v>2</v>
      </c>
      <c r="J27" t="n">
        <v>19</v>
      </c>
      <c r="K27" t="n">
        <v>0</v>
      </c>
    </row>
    <row r="28">
      <c r="A28" t="inlineStr">
        <is>
          <t>Piglets</t>
        </is>
      </c>
      <c r="B28" t="n">
        <v>31</v>
      </c>
      <c r="C28">
        <f>3+1</f>
        <v/>
      </c>
      <c r="I28" t="n">
        <v>3</v>
      </c>
      <c r="K28" t="n">
        <v>24</v>
      </c>
    </row>
    <row r="29">
      <c r="A29" t="inlineStr">
        <is>
          <t>Swans</t>
        </is>
      </c>
    </row>
    <row r="30">
      <c r="A30" t="inlineStr">
        <is>
          <t>Peacocks</t>
        </is>
      </c>
    </row>
    <row r="31" ht="16" customHeight="1">
      <c r="A31" s="67" t="inlineStr">
        <is>
          <t>Total Value</t>
        </is>
      </c>
      <c r="R31" s="39">
        <f>SUM(R5:R29)</f>
        <v/>
      </c>
    </row>
    <row r="32"/>
    <row r="33"/>
    <row r="34" ht="17" customHeight="1">
      <c r="A34" s="66" t="inlineStr">
        <is>
          <t>Wool</t>
        </is>
      </c>
    </row>
    <row r="35">
      <c r="A35" t="inlineStr">
        <is>
          <t>Coarse wool</t>
        </is>
      </c>
      <c r="C35" t="n">
        <v>679</v>
      </c>
      <c r="J35">
        <f>2+677</f>
        <v/>
      </c>
      <c r="O35" s="72" t="n">
        <v>0.02</v>
      </c>
      <c r="T35">
        <f>O35*J35</f>
        <v/>
      </c>
    </row>
    <row r="36">
      <c r="A36" t="inlineStr">
        <is>
          <t>Lamb's wool</t>
        </is>
      </c>
      <c r="C36" t="n">
        <v>180</v>
      </c>
      <c r="J36" t="n">
        <v>180</v>
      </c>
      <c r="O36" s="72" t="n">
        <v>0.01</v>
      </c>
      <c r="T36">
        <f>O36*J36</f>
        <v/>
      </c>
    </row>
    <row r="37">
      <c r="A37" t="inlineStr">
        <is>
          <t>Wool locks</t>
        </is>
      </c>
    </row>
    <row r="38">
      <c r="A38" t="inlineStr">
        <is>
          <t>Wool sold at shearing</t>
        </is>
      </c>
    </row>
    <row r="39" ht="16" customHeight="1">
      <c r="A39" s="67" t="inlineStr">
        <is>
          <t>Total wool</t>
        </is>
      </c>
      <c r="T39" s="39">
        <f>SUM(T35:T38)</f>
        <v/>
      </c>
    </row>
    <row r="40"/>
    <row r="41"/>
    <row r="42" ht="17" customHeight="1">
      <c r="A42" s="66" t="inlineStr">
        <is>
          <t>Hides</t>
        </is>
      </c>
      <c r="O42" s="72" t="n"/>
      <c r="P42" s="72" t="n"/>
      <c r="Q42" s="72" t="n"/>
      <c r="R42" s="72" t="n"/>
      <c r="S42" s="72" t="n"/>
      <c r="T42" s="72" t="n"/>
    </row>
    <row r="43">
      <c r="A43" t="inlineStr">
        <is>
          <t>Ox hides</t>
        </is>
      </c>
      <c r="C43" t="n">
        <v>1</v>
      </c>
      <c r="H43" t="n">
        <v>1</v>
      </c>
      <c r="O43" s="72">
        <f>R43/H43</f>
        <v/>
      </c>
      <c r="P43" s="72" t="n"/>
      <c r="Q43" s="72" t="n"/>
      <c r="R43" s="72">
        <f>Receipts!F76</f>
        <v/>
      </c>
      <c r="S43" s="72" t="n"/>
      <c r="T43" s="72">
        <f>O43*C43</f>
        <v/>
      </c>
    </row>
    <row r="44">
      <c r="A44" t="inlineStr">
        <is>
          <t>cow</t>
        </is>
      </c>
      <c r="C44" t="n">
        <v>1</v>
      </c>
      <c r="H44" t="n">
        <v>1</v>
      </c>
      <c r="O44" s="72">
        <f>R44/H44</f>
        <v/>
      </c>
      <c r="P44" s="72" t="n"/>
      <c r="Q44" s="72" t="n"/>
      <c r="R44" s="72">
        <f>Receipts!F77</f>
        <v/>
      </c>
      <c r="S44" s="72" t="n"/>
      <c r="T44" s="72">
        <f>O44*C44</f>
        <v/>
      </c>
    </row>
    <row r="45">
      <c r="A45" t="inlineStr">
        <is>
          <t>plough horses</t>
        </is>
      </c>
      <c r="C45" t="n">
        <v>2</v>
      </c>
      <c r="H45" t="n">
        <v>2</v>
      </c>
      <c r="O45" s="72" t="n">
        <v>0.03</v>
      </c>
      <c r="P45" s="72" t="n"/>
      <c r="Q45" s="72" t="n"/>
      <c r="R45" s="72" t="n"/>
      <c r="S45" s="72" t="n"/>
      <c r="T45" s="72">
        <f>O45*C45</f>
        <v/>
      </c>
      <c r="U45" t="inlineStr">
        <is>
          <t>sale not recorded, price from Bishops Sutton</t>
        </is>
      </c>
    </row>
    <row r="46">
      <c r="A46" t="inlineStr">
        <is>
          <t>colt</t>
        </is>
      </c>
      <c r="C46" t="n">
        <v>1</v>
      </c>
      <c r="H46" t="n">
        <v>1</v>
      </c>
      <c r="O46" s="72" t="n">
        <v>0.03</v>
      </c>
      <c r="P46" s="72" t="n"/>
      <c r="Q46" s="72" t="n"/>
      <c r="R46" s="72" t="n"/>
      <c r="S46" s="72" t="n"/>
      <c r="T46" s="72">
        <f>O46*C46</f>
        <v/>
      </c>
      <c r="U46" t="inlineStr">
        <is>
          <t>sale not recorded</t>
        </is>
      </c>
    </row>
    <row r="47">
      <c r="A47" t="inlineStr">
        <is>
          <t>Mare</t>
        </is>
      </c>
      <c r="O47" s="72" t="n"/>
      <c r="P47" s="72" t="n"/>
      <c r="Q47" s="72" t="n"/>
      <c r="R47" s="72" t="n"/>
      <c r="S47" s="72" t="n"/>
      <c r="T47" s="72" t="n"/>
    </row>
    <row r="48">
      <c r="A48" t="inlineStr">
        <is>
          <t>Steer</t>
        </is>
      </c>
      <c r="C48" t="n">
        <v>1</v>
      </c>
      <c r="H48" t="n">
        <v>1</v>
      </c>
      <c r="O48" s="72">
        <f>R48/H48</f>
        <v/>
      </c>
      <c r="P48" s="72" t="n"/>
      <c r="Q48" s="72" t="n"/>
      <c r="R48" s="72">
        <f>Receipts!F77</f>
        <v/>
      </c>
      <c r="S48" s="72" t="n"/>
      <c r="T48" s="72">
        <f>O48*C48</f>
        <v/>
      </c>
    </row>
    <row r="49">
      <c r="A49" t="inlineStr">
        <is>
          <t>calves</t>
        </is>
      </c>
      <c r="C49" t="n">
        <v>1</v>
      </c>
      <c r="H49" t="n">
        <v>1</v>
      </c>
      <c r="O49" s="72" t="n">
        <v>0.03</v>
      </c>
      <c r="P49" s="72" t="n"/>
      <c r="Q49" s="72" t="n"/>
      <c r="R49" s="72" t="n"/>
      <c r="S49" s="72" t="n"/>
      <c r="T49" s="72">
        <f>O49*C49</f>
        <v/>
      </c>
      <c r="U49" t="inlineStr">
        <is>
          <t>price from Alresford</t>
        </is>
      </c>
    </row>
    <row r="50">
      <c r="A50" t="inlineStr">
        <is>
          <t>pigs</t>
        </is>
      </c>
      <c r="O50" s="72" t="n"/>
      <c r="P50" s="72" t="n"/>
      <c r="Q50" s="72" t="n"/>
      <c r="R50" s="72" t="n"/>
      <c r="S50" s="72" t="n"/>
      <c r="T50" s="72" t="n"/>
    </row>
    <row r="51">
      <c r="A51" t="inlineStr">
        <is>
          <t>Woolskin</t>
        </is>
      </c>
      <c r="O51" s="72" t="n"/>
      <c r="P51" s="72" t="n"/>
      <c r="Q51" s="72" t="n"/>
      <c r="R51" s="72" t="n"/>
      <c r="S51" s="72" t="n"/>
      <c r="T51" s="72" t="n"/>
    </row>
    <row r="52">
      <c r="A52" s="28" t="inlineStr">
        <is>
          <t>wethers</t>
        </is>
      </c>
      <c r="C52" t="n">
        <v>10</v>
      </c>
      <c r="H52" t="n">
        <v>10</v>
      </c>
      <c r="O52" s="72">
        <f>R52/H52</f>
        <v/>
      </c>
      <c r="P52" s="72" t="n"/>
      <c r="Q52" s="72" t="n"/>
      <c r="R52" s="72" t="n"/>
      <c r="S52" s="72" t="n"/>
      <c r="T52" s="72">
        <f>O52*C52</f>
        <v/>
      </c>
    </row>
    <row r="53">
      <c r="A53" s="28" t="inlineStr">
        <is>
          <t>rams</t>
        </is>
      </c>
      <c r="O53" s="72" t="n"/>
      <c r="P53" s="72" t="n"/>
      <c r="Q53" s="72" t="n"/>
      <c r="R53" s="72" t="n"/>
      <c r="S53" s="72" t="n"/>
      <c r="T53" s="72" t="n"/>
    </row>
    <row r="54">
      <c r="A54" s="28" t="inlineStr">
        <is>
          <t>ewes</t>
        </is>
      </c>
      <c r="C54" t="n">
        <v>10</v>
      </c>
      <c r="H54" t="n">
        <v>10</v>
      </c>
      <c r="O54" s="72">
        <f>R54/H54</f>
        <v/>
      </c>
      <c r="P54" s="72" t="n"/>
      <c r="Q54" s="72" t="n"/>
      <c r="R54" s="72" t="n"/>
      <c r="S54" s="72" t="n"/>
      <c r="T54" s="72">
        <f>O54*C54</f>
        <v/>
      </c>
    </row>
    <row r="55">
      <c r="A55" s="28" t="inlineStr">
        <is>
          <t>hoggs</t>
        </is>
      </c>
      <c r="C55" t="n">
        <v>30</v>
      </c>
      <c r="H55" t="n">
        <v>30</v>
      </c>
      <c r="O55" s="72">
        <f>R55/H55</f>
        <v/>
      </c>
      <c r="P55" s="72" t="n"/>
      <c r="Q55" s="72" t="n"/>
      <c r="R55" s="72" t="n"/>
      <c r="S55" s="72" t="n"/>
      <c r="T55" s="72">
        <f>O55*C55</f>
        <v/>
      </c>
    </row>
    <row r="56">
      <c r="A56" s="43" t="inlineStr">
        <is>
          <t>Woolskins</t>
        </is>
      </c>
      <c r="C56">
        <f>SUM(C52:C55)</f>
        <v/>
      </c>
      <c r="H56">
        <f>SUM(H52:H55)</f>
        <v/>
      </c>
      <c r="O56" s="72">
        <f>R56/H56</f>
        <v/>
      </c>
      <c r="P56" s="72" t="n"/>
      <c r="Q56" s="72" t="n"/>
      <c r="R56" s="72">
        <f>Receipts!F79</f>
        <v/>
      </c>
      <c r="S56" s="72" t="n"/>
      <c r="T56" s="72">
        <f>O56*C56</f>
        <v/>
      </c>
    </row>
    <row r="57">
      <c r="A57" s="43" t="inlineStr">
        <is>
          <t>Bareskins</t>
        </is>
      </c>
      <c r="O57" s="72" t="n"/>
      <c r="P57" s="72" t="n"/>
      <c r="Q57" s="72" t="n"/>
      <c r="R57" s="72" t="n"/>
      <c r="S57" s="72" t="n"/>
      <c r="T57" s="72" t="n"/>
    </row>
    <row r="58">
      <c r="A58" s="28" t="inlineStr">
        <is>
          <t>wethers</t>
        </is>
      </c>
      <c r="C58" t="n">
        <v>8</v>
      </c>
      <c r="H58" t="n">
        <v>8</v>
      </c>
      <c r="O58" s="72" t="n">
        <v>0.01</v>
      </c>
      <c r="P58" s="72" t="n"/>
      <c r="Q58" s="72" t="n"/>
      <c r="R58" s="72" t="n"/>
      <c r="S58" s="72" t="n"/>
      <c r="T58" s="72">
        <f>O58*C58</f>
        <v/>
      </c>
      <c r="U58" t="inlineStr">
        <is>
          <t>sale not recorded, price from Alresford</t>
        </is>
      </c>
    </row>
    <row r="59">
      <c r="A59" s="28" t="inlineStr">
        <is>
          <t>rams</t>
        </is>
      </c>
      <c r="O59" s="72" t="n"/>
      <c r="P59" s="72" t="n"/>
      <c r="Q59" s="72" t="n"/>
      <c r="R59" s="72" t="n"/>
      <c r="S59" s="72" t="n"/>
      <c r="T59" s="72" t="n"/>
    </row>
    <row r="60">
      <c r="A60" s="28" t="inlineStr">
        <is>
          <t>ewes</t>
        </is>
      </c>
      <c r="C60" t="n">
        <v>6</v>
      </c>
      <c r="H60" t="n">
        <v>6</v>
      </c>
      <c r="O60" s="72" t="n">
        <v>0.01</v>
      </c>
      <c r="P60" s="72" t="n"/>
      <c r="Q60" s="72" t="n"/>
      <c r="R60" s="72" t="n"/>
      <c r="S60" s="72" t="n"/>
      <c r="T60" s="72">
        <f>O60*C60</f>
        <v/>
      </c>
      <c r="U60" t="inlineStr">
        <is>
          <t>sale not recorded, price from Alresford</t>
        </is>
      </c>
    </row>
    <row r="61">
      <c r="A61" s="28" t="inlineStr">
        <is>
          <t>hoggs</t>
        </is>
      </c>
      <c r="C61" t="n">
        <v>13</v>
      </c>
      <c r="H61" t="n">
        <v>13</v>
      </c>
      <c r="O61" s="72">
        <f>R61/H61</f>
        <v/>
      </c>
      <c r="P61" s="72" t="n"/>
      <c r="Q61" s="72" t="n"/>
      <c r="R61" s="72">
        <f>Receipts!F81</f>
        <v/>
      </c>
      <c r="S61" s="72" t="n"/>
      <c r="T61" s="72">
        <f>O61*C61</f>
        <v/>
      </c>
    </row>
    <row r="62">
      <c r="A62" s="43" t="inlineStr">
        <is>
          <t>Bareskins (total)</t>
        </is>
      </c>
      <c r="O62" s="72" t="n"/>
      <c r="P62" s="72" t="n"/>
      <c r="Q62" s="72" t="n"/>
      <c r="R62" s="72" t="n"/>
      <c r="S62" s="72" t="n"/>
      <c r="T62" s="72" t="n"/>
    </row>
    <row r="63">
      <c r="A63" t="inlineStr">
        <is>
          <t>Lambskins</t>
        </is>
      </c>
      <c r="C63">
        <f>33+17</f>
        <v/>
      </c>
      <c r="H63" t="n">
        <v>50</v>
      </c>
      <c r="O63" s="72">
        <f>R63/H63</f>
        <v/>
      </c>
      <c r="P63" s="72" t="n"/>
      <c r="Q63" s="72" t="n"/>
      <c r="R63" s="72">
        <f>Receipts!F80</f>
        <v/>
      </c>
      <c r="S63" s="72" t="n"/>
      <c r="T63" s="72">
        <f>O63*C63</f>
        <v/>
      </c>
      <c r="U63" t="inlineStr">
        <is>
          <t>issues only record the sale of 33 skins</t>
        </is>
      </c>
    </row>
    <row r="64">
      <c r="A64" t="inlineStr">
        <is>
          <t>Rotted skins</t>
        </is>
      </c>
      <c r="O64" s="72" t="n"/>
      <c r="P64" s="72" t="n"/>
      <c r="Q64" s="72" t="n"/>
      <c r="R64" s="72" t="n"/>
      <c r="S64" s="72" t="n"/>
      <c r="T64" s="72" t="n"/>
    </row>
    <row r="65">
      <c r="A65" t="inlineStr">
        <is>
          <t>Shorn skins</t>
        </is>
      </c>
    </row>
    <row r="66">
      <c r="A66" s="39" t="inlineStr">
        <is>
          <t xml:space="preserve">Total </t>
        </is>
      </c>
      <c r="R66" s="149">
        <f>SUM(R43:R65)</f>
        <v/>
      </c>
      <c r="T66" s="149">
        <f>SUM(T43:T63)</f>
        <v/>
      </c>
    </row>
    <row r="67"/>
    <row r="68"/>
    <row r="69" ht="17" customHeight="1">
      <c r="A69" s="66" t="inlineStr">
        <is>
          <t>Poultry stock</t>
        </is>
      </c>
    </row>
    <row r="70" ht="16" customHeight="1">
      <c r="A70" s="44" t="inlineStr">
        <is>
          <t>Hens</t>
        </is>
      </c>
    </row>
    <row r="71">
      <c r="A71" t="inlineStr">
        <is>
          <t>Geese</t>
        </is>
      </c>
    </row>
    <row r="72">
      <c r="A72" t="inlineStr">
        <is>
          <t>Capons (from chickens)</t>
        </is>
      </c>
    </row>
    <row r="73">
      <c r="A73" t="inlineStr">
        <is>
          <t>Cocks &amp; hens</t>
        </is>
      </c>
    </row>
    <row r="74">
      <c r="A74" s="70" t="inlineStr">
        <is>
          <t>Total poultry stock</t>
        </is>
      </c>
    </row>
    <row r="75">
      <c r="A75" s="71" t="inlineStr">
        <is>
          <t>Total poultry excluding churchscot</t>
        </is>
      </c>
    </row>
    <row r="76"/>
    <row r="77" ht="16" customHeight="1">
      <c r="A77" s="12" t="inlineStr">
        <is>
          <t>Poultry production</t>
        </is>
      </c>
    </row>
    <row r="78">
      <c r="A78" t="inlineStr">
        <is>
          <t>Eggs</t>
        </is>
      </c>
      <c r="F78" t="n">
        <v>1050</v>
      </c>
      <c r="H78" t="n">
        <v>1050</v>
      </c>
      <c r="O78">
        <f>R78/H78</f>
        <v/>
      </c>
      <c r="R78" s="72">
        <f>Receipts!F61</f>
        <v/>
      </c>
      <c r="T78">
        <f>O78*H78</f>
        <v/>
      </c>
    </row>
    <row r="79">
      <c r="A79" t="inlineStr">
        <is>
          <t>Cocks &amp; hens from churchscot of customary tenants</t>
        </is>
      </c>
      <c r="F79" t="n">
        <v>128</v>
      </c>
      <c r="G79" t="n">
        <v>15</v>
      </c>
      <c r="H79" t="n">
        <v>113</v>
      </c>
      <c r="O79">
        <f>R79/H79</f>
        <v/>
      </c>
      <c r="R79" s="72">
        <f>Receipts!F60</f>
        <v/>
      </c>
      <c r="T79">
        <f>O79*H79</f>
        <v/>
      </c>
    </row>
    <row r="80">
      <c r="A80" t="inlineStr">
        <is>
          <t>Sum of above</t>
        </is>
      </c>
    </row>
    <row r="81">
      <c r="A81" s="39" t="inlineStr">
        <is>
          <t>Total</t>
        </is>
      </c>
      <c r="R81" s="39">
        <f>SUM(R77:R80)</f>
        <v/>
      </c>
      <c r="T81" s="39">
        <f>SUM(T78:T79)</f>
        <v/>
      </c>
    </row>
    <row r="82"/>
    <row r="83"/>
    <row r="84" ht="16" customHeight="1">
      <c r="A84" s="12" t="inlineStr">
        <is>
          <t>Meat</t>
        </is>
      </c>
    </row>
    <row r="85">
      <c r="A85" t="inlineStr">
        <is>
          <t>Beef</t>
        </is>
      </c>
    </row>
    <row r="86">
      <c r="A86" t="inlineStr">
        <is>
          <t>Mutton</t>
        </is>
      </c>
    </row>
    <row r="87">
      <c r="A87" t="inlineStr">
        <is>
          <t>Pork</t>
        </is>
      </c>
    </row>
    <row r="88" ht="16" customHeight="1">
      <c r="A88" s="57" t="inlineStr">
        <is>
          <t xml:space="preserve">Total </t>
        </is>
      </c>
    </row>
    <row r="89"/>
    <row r="90" ht="16" customHeight="1">
      <c r="A90" s="12" t="inlineStr">
        <is>
          <t>Cheese</t>
        </is>
      </c>
    </row>
    <row r="91">
      <c r="A91" t="inlineStr">
        <is>
          <t>Winter cheese</t>
        </is>
      </c>
      <c r="C91" t="n">
        <v>30</v>
      </c>
      <c r="O91">
        <f>R91/C91</f>
        <v/>
      </c>
      <c r="R91" s="72">
        <f>Receipts!F66</f>
        <v/>
      </c>
      <c r="T91">
        <f>O91*C91</f>
        <v/>
      </c>
    </row>
    <row r="92">
      <c r="A92" t="inlineStr">
        <is>
          <t>Summer cheese</t>
        </is>
      </c>
      <c r="C92" t="n">
        <v>155</v>
      </c>
      <c r="H92" t="n">
        <v>137</v>
      </c>
      <c r="J92" t="n">
        <v>15</v>
      </c>
      <c r="O92">
        <f>R92/H92</f>
        <v/>
      </c>
      <c r="R92" s="72">
        <f>Receipts!F67</f>
        <v/>
      </c>
      <c r="T92" s="72">
        <f>O92*C92</f>
        <v/>
      </c>
    </row>
    <row r="93" ht="16" customHeight="1">
      <c r="A93" s="67" t="inlineStr">
        <is>
          <t>Total</t>
        </is>
      </c>
      <c r="R93" s="149">
        <f>R92</f>
        <v/>
      </c>
      <c r="T93" s="149">
        <f>SUM(T91:T92)</f>
        <v/>
      </c>
    </row>
    <row r="94"/>
    <row r="95" ht="16" customHeight="1">
      <c r="A95" s="12" t="inlineStr">
        <is>
          <t>Butter</t>
        </is>
      </c>
    </row>
    <row r="96">
      <c r="A96" t="inlineStr">
        <is>
          <t>Butter</t>
        </is>
      </c>
      <c r="C96" t="n">
        <v>1</v>
      </c>
      <c r="H96" t="n">
        <v>1</v>
      </c>
      <c r="O96">
        <f>R96/H96</f>
        <v/>
      </c>
      <c r="R96" s="72">
        <f>Receipts!F68</f>
        <v/>
      </c>
      <c r="T96">
        <f>O96*C96</f>
        <v/>
      </c>
      <c r="U96" t="inlineStr">
        <is>
          <t>measured in wey</t>
        </is>
      </c>
    </row>
    <row r="97" ht="16" customHeight="1">
      <c r="A97" s="67" t="inlineStr">
        <is>
          <t>Total</t>
        </is>
      </c>
      <c r="R97" s="149">
        <f>R96</f>
        <v/>
      </c>
      <c r="T97" s="39">
        <f>T96</f>
        <v/>
      </c>
    </row>
    <row r="98" ht="16" customHeight="1">
      <c r="A98" s="13" t="n"/>
    </row>
    <row r="99" ht="16" customHeight="1">
      <c r="A99" s="57" t="inlineStr">
        <is>
          <t>Total Dairy Sales</t>
        </is>
      </c>
    </row>
    <row r="100"/>
    <row r="101"/>
    <row r="102" ht="16" customHeight="1">
      <c r="A102" s="12" t="inlineStr">
        <is>
          <t>Cider</t>
        </is>
      </c>
    </row>
    <row r="103"/>
    <row r="104"/>
    <row r="105" ht="16" customHeight="1">
      <c r="A105" s="13" t="inlineStr">
        <is>
          <t>Additional Information (not necessarily useful)</t>
        </is>
      </c>
    </row>
    <row r="106" ht="16" customHeight="1">
      <c r="A106" s="12" t="inlineStr">
        <is>
          <t>Utensils</t>
        </is>
      </c>
    </row>
    <row r="107">
      <c r="A107" t="inlineStr">
        <is>
          <t>ploughs</t>
        </is>
      </c>
    </row>
    <row r="108">
      <c r="A108" t="inlineStr">
        <is>
          <t>carts</t>
        </is>
      </c>
    </row>
    <row r="109">
      <c r="A109" t="inlineStr">
        <is>
          <t>cart-ropes</t>
        </is>
      </c>
    </row>
    <row r="110">
      <c r="A110" t="inlineStr">
        <is>
          <t>corn baskets</t>
        </is>
      </c>
    </row>
    <row r="111">
      <c r="A111" t="inlineStr">
        <is>
          <t>seed-sacks</t>
        </is>
      </c>
    </row>
    <row r="112">
      <c r="A112" t="inlineStr">
        <is>
          <t>seed basket</t>
        </is>
      </c>
    </row>
    <row r="113">
      <c r="A113" t="inlineStr">
        <is>
          <t>locks for the doors</t>
        </is>
      </c>
    </row>
    <row r="114">
      <c r="A114" t="inlineStr">
        <is>
          <t>lead vessel</t>
        </is>
      </c>
    </row>
    <row r="115">
      <c r="A115" t="inlineStr">
        <is>
          <t>brass pots</t>
        </is>
      </c>
    </row>
    <row r="116">
      <c r="A116" t="inlineStr">
        <is>
          <t>pans</t>
        </is>
      </c>
    </row>
    <row r="117">
      <c r="A117" t="inlineStr">
        <is>
          <t>tripods</t>
        </is>
      </c>
    </row>
    <row r="118">
      <c r="A118" t="inlineStr">
        <is>
          <t>mortar</t>
        </is>
      </c>
    </row>
    <row r="119">
      <c r="A119" t="inlineStr">
        <is>
          <t>axe</t>
        </is>
      </c>
    </row>
    <row r="120">
      <c r="A120" t="inlineStr">
        <is>
          <t>casks</t>
        </is>
      </c>
    </row>
    <row r="121">
      <c r="A121" t="inlineStr">
        <is>
          <t>tubs</t>
        </is>
      </c>
    </row>
    <row r="122">
      <c r="A122" t="inlineStr">
        <is>
          <t>troughs</t>
        </is>
      </c>
    </row>
    <row r="123">
      <c r="A123" t="inlineStr">
        <is>
          <t>bucket</t>
        </is>
      </c>
    </row>
    <row r="124">
      <c r="A124" t="inlineStr">
        <is>
          <t>cheese basket</t>
        </is>
      </c>
    </row>
    <row r="125">
      <c r="A125" t="inlineStr">
        <is>
          <t>tables</t>
        </is>
      </c>
    </row>
    <row r="126">
      <c r="A126" t="inlineStr">
        <is>
          <t>table with trestles</t>
        </is>
      </c>
    </row>
    <row r="127">
      <c r="A127" t="inlineStr">
        <is>
          <t>benches</t>
        </is>
      </c>
    </row>
    <row r="128">
      <c r="A128" t="inlineStr">
        <is>
          <t>ewer with a basin</t>
        </is>
      </c>
    </row>
    <row r="129">
      <c r="A129" t="inlineStr">
        <is>
          <t>ladders</t>
        </is>
      </c>
    </row>
    <row r="130">
      <c r="A130" t="inlineStr">
        <is>
          <t>cloth</t>
        </is>
      </c>
    </row>
    <row r="131">
      <c r="A131"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L356"/>
  <sheetViews>
    <sheetView topLeftCell="A1" workbookViewId="0">
      <selection activeCell="A1" sqref="A1"/>
    </sheetView>
  </sheetViews>
  <sheetFormatPr baseColWidth="8" defaultRowHeight="15"/>
  <cols>
    <col width="33.83203125" customWidth="1" min="1" max="1"/>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Arrears</t>
        </is>
      </c>
      <c r="B2" t="inlineStr">
        <is>
          <t>Nicholas, bailiff, and Richard Eme, reeve, render account for £57 12 shilling 3.5pence of  arrears from the previous year.</t>
        </is>
      </c>
      <c r="C2" t="n">
        <v>57.61</v>
      </c>
      <c r="D2" t="n">
        <v>57</v>
      </c>
      <c r="E2" t="n">
        <v>12</v>
      </c>
      <c r="F2" t="n">
        <v>3.5</v>
      </c>
      <c r="H2" t="n">
        <v>0</v>
      </c>
      <c r="I2" t="n">
        <v>0</v>
      </c>
      <c r="J2" t="n">
        <v>0</v>
      </c>
      <c r="K2" t="n">
        <v>0</v>
      </c>
      <c r="L2" t="n">
        <v>0</v>
      </c>
      <c r="M2" t="n">
        <v>0</v>
      </c>
      <c r="N2" t="n">
        <v>0</v>
      </c>
    </row>
    <row r="3">
      <c r="A3" t="inlineStr">
        <is>
          <t>Arrears</t>
        </is>
      </c>
      <c r="B3" t="inlineStr">
        <is>
          <t>All delivered to Sir Geoffrey of Wolvesey.</t>
        </is>
      </c>
      <c r="C3" t="n">
        <v>0</v>
      </c>
      <c r="D3" t="n">
        <v>0</v>
      </c>
      <c r="E3" t="n">
        <v>0</v>
      </c>
      <c r="F3" t="n">
        <v>0</v>
      </c>
      <c r="H3" t="n">
        <v>0</v>
      </c>
      <c r="I3" t="n">
        <v>0</v>
      </c>
      <c r="J3" t="n">
        <v>0</v>
      </c>
      <c r="K3" t="n">
        <v>0</v>
      </c>
      <c r="L3" t="n">
        <v>0</v>
      </c>
      <c r="M3" t="n">
        <v>0</v>
      </c>
      <c r="N3" t="n">
        <v>0</v>
      </c>
    </row>
    <row r="4">
      <c r="A4" t="inlineStr">
        <is>
          <t>Arrears</t>
        </is>
      </c>
      <c r="B4" t="inlineStr">
        <is>
          <t>They are quit.</t>
        </is>
      </c>
      <c r="C4" t="n">
        <v>0</v>
      </c>
      <c r="D4" t="n">
        <v>0</v>
      </c>
      <c r="E4" t="n">
        <v>0</v>
      </c>
      <c r="F4" t="n">
        <v>0</v>
      </c>
      <c r="H4" t="n">
        <v>0</v>
      </c>
      <c r="I4" t="n">
        <v>0</v>
      </c>
      <c r="J4" t="n">
        <v>0</v>
      </c>
      <c r="K4" t="n">
        <v>0</v>
      </c>
      <c r="L4" t="n">
        <v>0</v>
      </c>
      <c r="M4" t="n">
        <v>0</v>
      </c>
      <c r="N4" t="n">
        <v>0</v>
      </c>
    </row>
    <row r="5">
      <c r="A5" t="inlineStr">
        <is>
          <t>Rents of assize</t>
        </is>
      </c>
      <c r="B5" t="inlineStr">
        <is>
          <t>The same render account for £5 1 shilling 9pence for rents of the manor of Cheriton at Christmas.</t>
        </is>
      </c>
      <c r="C5" t="n">
        <v>5.09</v>
      </c>
      <c r="D5" t="n">
        <v>5</v>
      </c>
      <c r="E5" t="n">
        <v>1</v>
      </c>
      <c r="F5" t="n">
        <v>9</v>
      </c>
      <c r="H5" t="n">
        <v>0</v>
      </c>
      <c r="I5" t="n">
        <v>0</v>
      </c>
      <c r="J5" t="n">
        <v>0</v>
      </c>
      <c r="K5" t="n">
        <v>0</v>
      </c>
      <c r="L5" t="n">
        <v>0</v>
      </c>
      <c r="M5" t="n">
        <v>0</v>
      </c>
      <c r="N5" t="n">
        <v>0</v>
      </c>
    </row>
    <row r="6">
      <c r="A6" t="inlineStr">
        <is>
          <t>Rents of assize</t>
        </is>
      </c>
      <c r="B6" t="inlineStr">
        <is>
          <t>£8 2 shilling 8.75pence at Easter (22 April).</t>
        </is>
      </c>
      <c r="C6" t="n">
        <v>8.140000000000001</v>
      </c>
      <c r="D6" t="n">
        <v>8</v>
      </c>
      <c r="E6" t="n">
        <v>2</v>
      </c>
      <c r="F6" t="n">
        <v>8.75</v>
      </c>
      <c r="H6" t="n">
        <v>0</v>
      </c>
      <c r="I6" t="n">
        <v>0</v>
      </c>
      <c r="J6" t="n">
        <v>0</v>
      </c>
      <c r="K6" t="n">
        <v>0</v>
      </c>
      <c r="L6" t="n">
        <v>0</v>
      </c>
      <c r="M6" t="n">
        <v>0</v>
      </c>
      <c r="N6" t="n">
        <v>0</v>
      </c>
    </row>
    <row r="7">
      <c r="A7" t="inlineStr">
        <is>
          <t>Rents of assize</t>
        </is>
      </c>
      <c r="B7" t="inlineStr">
        <is>
          <t>£5 2 shilling 8.25pence at St John the Baptist (24 June).</t>
        </is>
      </c>
      <c r="C7" t="n">
        <v>5.13</v>
      </c>
      <c r="D7" t="n">
        <v>5</v>
      </c>
      <c r="E7" t="n">
        <v>2</v>
      </c>
      <c r="F7" t="n">
        <v>8.25</v>
      </c>
      <c r="H7" t="n">
        <v>0</v>
      </c>
      <c r="I7" t="n">
        <v>0</v>
      </c>
      <c r="J7" t="n">
        <v>0</v>
      </c>
      <c r="K7" t="n">
        <v>0</v>
      </c>
      <c r="L7" t="n">
        <v>0</v>
      </c>
      <c r="M7" t="n">
        <v>0</v>
      </c>
      <c r="N7" t="n">
        <v>0</v>
      </c>
    </row>
    <row r="8">
      <c r="A8" t="inlineStr">
        <is>
          <t>Rents of assize</t>
        </is>
      </c>
      <c r="B8" t="inlineStr">
        <is>
          <t>£13 4 shilling 9pence at Michaelmas (29 September).</t>
        </is>
      </c>
      <c r="C8" t="n">
        <v>13.24</v>
      </c>
      <c r="D8" t="n">
        <v>13</v>
      </c>
      <c r="E8" t="n">
        <v>4</v>
      </c>
      <c r="F8" t="n">
        <v>9</v>
      </c>
      <c r="H8" t="n">
        <v>0</v>
      </c>
      <c r="I8" t="n">
        <v>0</v>
      </c>
      <c r="J8" t="n">
        <v>0</v>
      </c>
      <c r="K8" t="n">
        <v>0</v>
      </c>
      <c r="L8" t="n">
        <v>0</v>
      </c>
      <c r="M8" t="n">
        <v>0</v>
      </c>
      <c r="N8" t="n">
        <v>0</v>
      </c>
    </row>
    <row r="9">
      <c r="A9" t="inlineStr">
        <is>
          <t>Rents of assize</t>
        </is>
      </c>
      <c r="B9" t="inlineStr">
        <is>
          <t>Total, £31 11 shilling 11pence</t>
        </is>
      </c>
      <c r="C9" t="n">
        <v>31.6</v>
      </c>
      <c r="D9" t="n">
        <v>31</v>
      </c>
      <c r="E9" t="n">
        <v>11</v>
      </c>
      <c r="F9" t="n">
        <v>11</v>
      </c>
      <c r="H9" t="n">
        <v>0</v>
      </c>
      <c r="I9" t="n">
        <v>0</v>
      </c>
      <c r="J9" t="n">
        <v>0</v>
      </c>
      <c r="K9" t="n">
        <v>0</v>
      </c>
      <c r="L9" t="n">
        <v>0</v>
      </c>
      <c r="M9" t="n">
        <v>0</v>
      </c>
      <c r="N9" t="n">
        <v>0</v>
      </c>
    </row>
    <row r="10">
      <c r="A10" t="inlineStr">
        <is>
          <t>Quittances</t>
        </is>
      </c>
      <c r="B10" t="inlineStr">
        <is>
          <t>In quittance of 1 reeve for the year 5 shilling.</t>
        </is>
      </c>
      <c r="C10" t="n">
        <v>0.25</v>
      </c>
      <c r="D10" t="n">
        <v>0</v>
      </c>
      <c r="E10" t="n">
        <v>5</v>
      </c>
      <c r="F10" t="n">
        <v>0</v>
      </c>
      <c r="H10" t="n">
        <v>0</v>
      </c>
      <c r="I10" t="n">
        <v>0</v>
      </c>
      <c r="J10" t="n">
        <v>0</v>
      </c>
      <c r="K10" t="n">
        <v>0</v>
      </c>
      <c r="L10" t="n">
        <v>0</v>
      </c>
      <c r="M10" t="n">
        <v>0</v>
      </c>
      <c r="N10" t="n">
        <v>0</v>
      </c>
    </row>
    <row r="11">
      <c r="A11" t="inlineStr">
        <is>
          <t>Quittances</t>
        </is>
      </c>
      <c r="B11" t="inlineStr">
        <is>
          <t>1 smith for the ironwork of 5 ploughs for the year 5 shilling.</t>
        </is>
      </c>
      <c r="C11" t="n">
        <v>0.25</v>
      </c>
      <c r="D11" t="n">
        <v>0</v>
      </c>
      <c r="E11" t="n">
        <v>5</v>
      </c>
      <c r="F11" t="n">
        <v>0</v>
      </c>
      <c r="H11" t="n">
        <v>0</v>
      </c>
      <c r="I11" t="n">
        <v>0</v>
      </c>
      <c r="J11" t="n">
        <v>0</v>
      </c>
      <c r="K11" t="n">
        <v>0</v>
      </c>
      <c r="L11" t="n">
        <v>0</v>
      </c>
      <c r="M11" t="n">
        <v>0</v>
      </c>
      <c r="N11" t="n">
        <v>0</v>
      </c>
    </row>
    <row r="12">
      <c r="A12" t="inlineStr">
        <is>
          <t>Quittances</t>
        </is>
      </c>
      <c r="B12" t="inlineStr">
        <is>
          <t>1 bartoner for the year 2 shilling 6pence.</t>
        </is>
      </c>
      <c r="C12" t="n">
        <v>0.12</v>
      </c>
      <c r="D12" t="n">
        <v>0</v>
      </c>
      <c r="E12" t="n">
        <v>2</v>
      </c>
      <c r="F12" t="n">
        <v>6</v>
      </c>
      <c r="H12" t="n">
        <v>0</v>
      </c>
      <c r="I12" t="n">
        <v>0</v>
      </c>
      <c r="J12" t="n">
        <v>0</v>
      </c>
      <c r="K12" t="n">
        <v>0</v>
      </c>
      <c r="L12" t="n">
        <v>0</v>
      </c>
      <c r="M12" t="n">
        <v>0</v>
      </c>
      <c r="N12" t="n">
        <v>0</v>
      </c>
    </row>
    <row r="13">
      <c r="A13" t="inlineStr">
        <is>
          <t>Quittances</t>
        </is>
      </c>
      <c r="B13" t="inlineStr">
        <is>
          <t>1 keeper of ewes for the year 2 shilling.</t>
        </is>
      </c>
      <c r="C13" t="n">
        <v>0.1</v>
      </c>
      <c r="D13" t="n">
        <v>0</v>
      </c>
      <c r="E13" t="n">
        <v>2</v>
      </c>
      <c r="F13" t="n">
        <v>0</v>
      </c>
      <c r="H13" t="n">
        <v>0</v>
      </c>
      <c r="I13" t="n">
        <v>0</v>
      </c>
      <c r="J13" t="n">
        <v>0</v>
      </c>
      <c r="K13" t="n">
        <v>0</v>
      </c>
      <c r="L13" t="n">
        <v>0</v>
      </c>
      <c r="M13" t="n">
        <v>0</v>
      </c>
      <c r="N13" t="n">
        <v>0</v>
      </c>
    </row>
    <row r="14">
      <c r="A14" t="inlineStr">
        <is>
          <t>Quittances</t>
        </is>
      </c>
      <c r="B14" t="inlineStr">
        <is>
          <t>1 keeper of wethers for the year 2 shilling.</t>
        </is>
      </c>
      <c r="C14" t="n">
        <v>0.1</v>
      </c>
      <c r="D14" t="n">
        <v>0</v>
      </c>
      <c r="E14" t="n">
        <v>2</v>
      </c>
      <c r="F14" t="n">
        <v>0</v>
      </c>
      <c r="H14" t="n">
        <v>0</v>
      </c>
      <c r="I14" t="n">
        <v>0</v>
      </c>
      <c r="J14" t="n">
        <v>0</v>
      </c>
      <c r="K14" t="n">
        <v>0</v>
      </c>
      <c r="L14" t="n">
        <v>0</v>
      </c>
      <c r="M14" t="n">
        <v>0</v>
      </c>
      <c r="N14" t="n">
        <v>0</v>
      </c>
    </row>
    <row r="15">
      <c r="A15" t="inlineStr">
        <is>
          <t>Quittances</t>
        </is>
      </c>
      <c r="B15" t="inlineStr">
        <is>
          <t>1 keeper of hoggs for 3 terms 1 shilling 6pence.</t>
        </is>
      </c>
      <c r="C15" t="n">
        <v>0.08</v>
      </c>
      <c r="D15" t="n">
        <v>0</v>
      </c>
      <c r="E15" t="n">
        <v>1</v>
      </c>
      <c r="F15" t="n">
        <v>6</v>
      </c>
      <c r="H15" t="n">
        <v>0</v>
      </c>
      <c r="I15" t="n">
        <v>0</v>
      </c>
      <c r="J15" t="n">
        <v>0</v>
      </c>
      <c r="K15" t="n">
        <v>0</v>
      </c>
      <c r="L15" t="n">
        <v>0</v>
      </c>
      <c r="M15" t="n">
        <v>0</v>
      </c>
      <c r="N15" t="n">
        <v>0</v>
      </c>
    </row>
    <row r="16">
      <c r="A16" t="inlineStr">
        <is>
          <t>Quittances</t>
        </is>
      </c>
      <c r="B16" t="inlineStr">
        <is>
          <t>1 swineherd for the year 2 shilling.</t>
        </is>
      </c>
      <c r="C16" t="n">
        <v>0.1</v>
      </c>
      <c r="D16" t="n">
        <v>0</v>
      </c>
      <c r="E16" t="n">
        <v>2</v>
      </c>
      <c r="F16" t="n">
        <v>0</v>
      </c>
      <c r="H16" t="n">
        <v>0</v>
      </c>
      <c r="I16" t="n">
        <v>0</v>
      </c>
      <c r="J16" t="n">
        <v>0</v>
      </c>
      <c r="K16" t="n">
        <v>0</v>
      </c>
      <c r="L16" t="n">
        <v>0</v>
      </c>
      <c r="M16" t="n">
        <v>0</v>
      </c>
      <c r="N16" t="n">
        <v>0</v>
      </c>
    </row>
    <row r="17">
      <c r="A17" t="inlineStr">
        <is>
          <t>Quittances</t>
        </is>
      </c>
      <c r="B17" t="inlineStr">
        <is>
          <t>8 ploughmen for the year 16 shilling, or 2 shilling each for the year.</t>
        </is>
      </c>
      <c r="C17" t="n">
        <v>0.8</v>
      </c>
      <c r="D17" t="n">
        <v>0</v>
      </c>
      <c r="E17" t="n">
        <v>16</v>
      </c>
      <c r="F17" t="n">
        <v>0</v>
      </c>
      <c r="H17" t="n">
        <v>0</v>
      </c>
      <c r="I17" t="n">
        <v>0</v>
      </c>
      <c r="J17" t="n">
        <v>0</v>
      </c>
      <c r="K17" t="n">
        <v>0</v>
      </c>
      <c r="L17" t="n">
        <v>0</v>
      </c>
      <c r="M17" t="n">
        <v>0</v>
      </c>
      <c r="N17" t="n">
        <v>0</v>
      </c>
    </row>
    <row r="18">
      <c r="A18" t="inlineStr">
        <is>
          <t>Quittances</t>
        </is>
      </c>
      <c r="B18" t="inlineStr">
        <is>
          <t>2 oxherds until the oxen were put to the stalls 3 shilling.</t>
        </is>
      </c>
      <c r="C18" t="n">
        <v>0.15</v>
      </c>
      <c r="D18" t="n">
        <v>0</v>
      </c>
      <c r="E18" t="n">
        <v>3</v>
      </c>
      <c r="F18" t="n">
        <v>0</v>
      </c>
      <c r="H18" t="n">
        <v>0</v>
      </c>
      <c r="I18" t="n">
        <v>0</v>
      </c>
      <c r="J18" t="n">
        <v>0</v>
      </c>
      <c r="K18" t="n">
        <v>0</v>
      </c>
      <c r="L18" t="n">
        <v>0</v>
      </c>
      <c r="M18" t="n">
        <v>0</v>
      </c>
      <c r="N18" t="n">
        <v>0</v>
      </c>
    </row>
    <row r="19">
      <c r="A19" t="inlineStr">
        <is>
          <t>Quittances</t>
        </is>
      </c>
      <c r="B19" t="inlineStr">
        <is>
          <t>2 workers working twice a week from Christmas until Lammas (1 August) and everyday at harvest-time 3 shilling Total, £2 2 shilling</t>
        </is>
      </c>
      <c r="C19" t="n">
        <v>2.1</v>
      </c>
      <c r="D19" t="n">
        <v>2</v>
      </c>
      <c r="E19" t="n">
        <v>2</v>
      </c>
      <c r="F19" t="n">
        <v>0</v>
      </c>
      <c r="H19" t="n">
        <v>0</v>
      </c>
      <c r="I19" t="n">
        <v>0</v>
      </c>
      <c r="J19" t="n">
        <v>0</v>
      </c>
      <c r="K19" t="n">
        <v>0</v>
      </c>
      <c r="L19" t="n">
        <v>0</v>
      </c>
      <c r="M19" t="n">
        <v>0</v>
      </c>
      <c r="N19" t="n">
        <v>0</v>
      </c>
    </row>
    <row r="20">
      <c r="A20" t="inlineStr">
        <is>
          <t>Defaults of rent</t>
        </is>
      </c>
      <c r="B20" t="inlineStr">
        <is>
          <t>In default of the land of the wheelwright drawn into demesne, 4pence for the year.</t>
        </is>
      </c>
      <c r="C20" t="n">
        <v>0.02</v>
      </c>
      <c r="D20" t="n">
        <v>0</v>
      </c>
      <c r="E20" t="n">
        <v>0</v>
      </c>
      <c r="F20" t="n">
        <v>4</v>
      </c>
      <c r="H20" t="n">
        <v>0</v>
      </c>
      <c r="I20" t="n">
        <v>0</v>
      </c>
      <c r="J20" t="n">
        <v>0</v>
      </c>
      <c r="K20" t="n">
        <v>0</v>
      </c>
      <c r="L20" t="n">
        <v>0</v>
      </c>
      <c r="M20" t="n">
        <v>0</v>
      </c>
      <c r="N20" t="n">
        <v>0</v>
      </c>
    </row>
    <row r="21">
      <c r="A21" t="inlineStr">
        <is>
          <t>Defaults of rent</t>
        </is>
      </c>
      <c r="B21" t="inlineStr">
        <is>
          <t>the land of Hugh and Herbert, 8pence for the year.</t>
        </is>
      </c>
      <c r="C21" t="n">
        <v>0.03</v>
      </c>
      <c r="D21" t="n">
        <v>0</v>
      </c>
      <c r="E21" t="n">
        <v>0</v>
      </c>
      <c r="F21" t="n">
        <v>8</v>
      </c>
      <c r="H21" t="n">
        <v>0</v>
      </c>
      <c r="I21" t="n">
        <v>0</v>
      </c>
      <c r="J21" t="n">
        <v>0</v>
      </c>
      <c r="K21" t="n">
        <v>0</v>
      </c>
      <c r="L21" t="n">
        <v>0</v>
      </c>
      <c r="M21" t="n">
        <v>0</v>
      </c>
      <c r="N21" t="n">
        <v>0</v>
      </c>
    </row>
    <row r="22">
      <c r="A22" t="inlineStr">
        <is>
          <t>Defaults of rent</t>
        </is>
      </c>
      <c r="B22" t="inlineStr">
        <is>
          <t>the land of Arnold and Geoffrey drawn into demesne, 8pence for the year.</t>
        </is>
      </c>
      <c r="C22" t="n">
        <v>0.03</v>
      </c>
      <c r="D22" t="n">
        <v>0</v>
      </c>
      <c r="E22" t="n">
        <v>0</v>
      </c>
      <c r="F22" t="n">
        <v>8</v>
      </c>
      <c r="H22" t="n">
        <v>0</v>
      </c>
      <c r="I22" t="n">
        <v>0</v>
      </c>
      <c r="J22" t="n">
        <v>0</v>
      </c>
      <c r="K22" t="n">
        <v>0</v>
      </c>
      <c r="L22" t="n">
        <v>0</v>
      </c>
      <c r="M22" t="n">
        <v>0</v>
      </c>
      <c r="N22" t="n">
        <v>0</v>
      </c>
    </row>
    <row r="23">
      <c r="A23" t="inlineStr">
        <is>
          <t>Defaults of rent</t>
        </is>
      </c>
      <c r="B23" t="inlineStr">
        <is>
          <t>the land of Arnold and William ate More drawn into demesne, 8pence for the year.</t>
        </is>
      </c>
      <c r="C23" t="n">
        <v>0.03</v>
      </c>
      <c r="D23" t="n">
        <v>0</v>
      </c>
      <c r="E23" t="n">
        <v>0</v>
      </c>
      <c r="F23" t="n">
        <v>8</v>
      </c>
      <c r="H23" t="n">
        <v>0</v>
      </c>
      <c r="I23" t="n">
        <v>0</v>
      </c>
      <c r="J23" t="n">
        <v>0</v>
      </c>
      <c r="K23" t="n">
        <v>0</v>
      </c>
      <c r="L23" t="n">
        <v>0</v>
      </c>
      <c r="M23" t="n">
        <v>0</v>
      </c>
      <c r="N23" t="n">
        <v>0</v>
      </c>
    </row>
    <row r="24">
      <c r="A24" t="inlineStr">
        <is>
          <t>Defaults of rent</t>
        </is>
      </c>
      <c r="B24" t="inlineStr">
        <is>
          <t>the land of Robert and Herbert drawn into demesne, 1 shilling 4pence for the year.</t>
        </is>
      </c>
      <c r="C24" t="n">
        <v>0.07000000000000001</v>
      </c>
      <c r="D24" t="n">
        <v>0</v>
      </c>
      <c r="E24" t="n">
        <v>1</v>
      </c>
      <c r="F24" t="n">
        <v>4</v>
      </c>
      <c r="H24" t="n">
        <v>0</v>
      </c>
      <c r="I24" t="n">
        <v>0</v>
      </c>
      <c r="J24" t="n">
        <v>0</v>
      </c>
      <c r="K24" t="n">
        <v>0</v>
      </c>
      <c r="L24" t="n">
        <v>0</v>
      </c>
      <c r="M24" t="n">
        <v>0</v>
      </c>
      <c r="N24" t="n">
        <v>0</v>
      </c>
    </row>
    <row r="25">
      <c r="A25" t="inlineStr">
        <is>
          <t>Defaults of rent</t>
        </is>
      </c>
      <c r="B25" t="inlineStr">
        <is>
          <t>the land of Richard Faber drawn into demesne, 8pence for the year.</t>
        </is>
      </c>
      <c r="C25" t="n">
        <v>0.03</v>
      </c>
      <c r="D25" t="n">
        <v>0</v>
      </c>
      <c r="E25" t="n">
        <v>0</v>
      </c>
      <c r="F25" t="n">
        <v>8</v>
      </c>
      <c r="H25" t="n">
        <v>0</v>
      </c>
      <c r="I25" t="n">
        <v>0</v>
      </c>
      <c r="J25" t="n">
        <v>0</v>
      </c>
      <c r="K25" t="n">
        <v>0</v>
      </c>
      <c r="L25" t="n">
        <v>0</v>
      </c>
      <c r="M25" t="n">
        <v>0</v>
      </c>
      <c r="N25" t="n">
        <v>0</v>
      </c>
    </row>
    <row r="26">
      <c r="A26" t="inlineStr">
        <is>
          <t>Defaults of rent</t>
        </is>
      </c>
      <c r="B26" t="inlineStr">
        <is>
          <t>These defaults are from a certain meadow at Elleford' drawn into demesne for the year.</t>
        </is>
      </c>
      <c r="C26" t="n">
        <v>0</v>
      </c>
      <c r="D26" t="n">
        <v>0</v>
      </c>
      <c r="E26" t="n">
        <v>0</v>
      </c>
      <c r="F26" t="n">
        <v>0</v>
      </c>
      <c r="H26" t="n">
        <v>0</v>
      </c>
      <c r="I26" t="n">
        <v>0</v>
      </c>
      <c r="J26" t="n">
        <v>0</v>
      </c>
      <c r="K26" t="n">
        <v>0</v>
      </c>
      <c r="L26" t="n">
        <v>0</v>
      </c>
      <c r="M26" t="n">
        <v>0</v>
      </c>
      <c r="N26" t="n">
        <v>0</v>
      </c>
    </row>
    <row r="27">
      <c r="A27" t="inlineStr">
        <is>
          <t>Defaults of rent</t>
        </is>
      </c>
      <c r="B27" t="inlineStr">
        <is>
          <t>.</t>
        </is>
      </c>
      <c r="C27" t="n">
        <v>0</v>
      </c>
      <c r="D27" t="n">
        <v>0</v>
      </c>
      <c r="E27" t="n">
        <v>0</v>
      </c>
      <c r="F27" t="n">
        <v>0</v>
      </c>
      <c r="H27" t="n">
        <v>0</v>
      </c>
      <c r="I27" t="n">
        <v>0</v>
      </c>
      <c r="J27" t="n">
        <v>0</v>
      </c>
      <c r="K27" t="n">
        <v>0</v>
      </c>
      <c r="L27" t="n">
        <v>0</v>
      </c>
      <c r="M27" t="n">
        <v>0</v>
      </c>
      <c r="N27" t="n">
        <v>0</v>
      </c>
    </row>
    <row r="28">
      <c r="A28" t="inlineStr">
        <is>
          <t>Defaults of rent</t>
        </is>
      </c>
      <c r="B28" t="inlineStr">
        <is>
          <t>default of the land which is called la Hyde, 7 shilling for the year.</t>
        </is>
      </c>
      <c r="C28" t="n">
        <v>0.35</v>
      </c>
      <c r="D28" t="n">
        <v>0</v>
      </c>
      <c r="E28" t="n">
        <v>7</v>
      </c>
      <c r="F28" t="n">
        <v>0</v>
      </c>
      <c r="H28" t="n">
        <v>0</v>
      </c>
      <c r="I28" t="n">
        <v>0</v>
      </c>
      <c r="J28" t="n">
        <v>0</v>
      </c>
      <c r="K28" t="n">
        <v>0</v>
      </c>
      <c r="L28" t="n">
        <v>0</v>
      </c>
      <c r="M28" t="n">
        <v>0</v>
      </c>
      <c r="N28" t="n">
        <v>0</v>
      </c>
    </row>
    <row r="29">
      <c r="A29" t="inlineStr">
        <is>
          <t>Defaults of rent</t>
        </is>
      </c>
      <c r="B29" t="inlineStr">
        <is>
          <t>the mill of Clyth' drawn into demesne, £3 10 shilling for the year.</t>
        </is>
      </c>
      <c r="C29" t="n">
        <v>3.5</v>
      </c>
      <c r="D29" t="n">
        <v>3</v>
      </c>
      <c r="E29" t="n">
        <v>10</v>
      </c>
      <c r="F29" t="n">
        <v>0</v>
      </c>
      <c r="H29" t="n">
        <v>0</v>
      </c>
      <c r="I29" t="n">
        <v>0</v>
      </c>
      <c r="J29" t="n">
        <v>0</v>
      </c>
      <c r="K29" t="n">
        <v>0</v>
      </c>
      <c r="L29" t="n">
        <v>0</v>
      </c>
      <c r="M29" t="n">
        <v>0</v>
      </c>
      <c r="N29" t="n">
        <v>0</v>
      </c>
    </row>
    <row r="30">
      <c r="A30" t="inlineStr">
        <is>
          <t>Defaults of rent</t>
        </is>
      </c>
      <c r="B30" t="inlineStr">
        <is>
          <t>the mill of Bergh' because it does not have the multure of the hundred 13 shilling 4pence Total, £4 14 shilling 8pence</t>
        </is>
      </c>
      <c r="C30" t="n">
        <v>4.73</v>
      </c>
      <c r="D30" t="n">
        <v>4</v>
      </c>
      <c r="E30" t="n">
        <v>14</v>
      </c>
      <c r="F30" t="n">
        <v>8</v>
      </c>
      <c r="H30" t="n">
        <v>0</v>
      </c>
      <c r="I30" t="n">
        <v>0</v>
      </c>
      <c r="J30" t="n">
        <v>0</v>
      </c>
      <c r="K30" t="n">
        <v>0</v>
      </c>
      <c r="L30" t="n">
        <v>0</v>
      </c>
      <c r="M30" t="n">
        <v>0</v>
      </c>
      <c r="N30" t="n">
        <v>0</v>
      </c>
    </row>
    <row r="31">
      <c r="A31" t="inlineStr">
        <is>
          <t>Total of quittances and defaults of rent</t>
        </is>
      </c>
      <c r="B31" t="inlineStr">
        <is>
          <t>Total of quittances and defaults of rent, £6 16 shilling 8pence</t>
        </is>
      </c>
      <c r="C31" t="n">
        <v>6.83</v>
      </c>
      <c r="D31" t="n">
        <v>6</v>
      </c>
      <c r="E31" t="n">
        <v>16</v>
      </c>
      <c r="F31" t="n">
        <v>8</v>
      </c>
      <c r="H31" t="n">
        <v>0</v>
      </c>
      <c r="I31" t="n">
        <v>0</v>
      </c>
      <c r="J31" t="n">
        <v>0</v>
      </c>
      <c r="K31" t="n">
        <v>0</v>
      </c>
      <c r="L31" t="n">
        <v>0</v>
      </c>
      <c r="M31" t="n">
        <v>0</v>
      </c>
      <c r="N31" t="n">
        <v>0</v>
      </c>
    </row>
    <row r="32">
      <c r="A32" t="inlineStr">
        <is>
          <t>Total of rents remaining clear</t>
        </is>
      </c>
      <c r="B32" t="inlineStr">
        <is>
          <t>Total of rents remaining clear, £24 15 shilling 3pence</t>
        </is>
      </c>
      <c r="C32" t="n">
        <v>24.76</v>
      </c>
      <c r="D32" t="n">
        <v>24</v>
      </c>
      <c r="E32" t="n">
        <v>15</v>
      </c>
      <c r="F32" t="n">
        <v>3</v>
      </c>
      <c r="H32" t="n">
        <v>0</v>
      </c>
      <c r="I32" t="n">
        <v>0</v>
      </c>
      <c r="J32" t="n">
        <v>0</v>
      </c>
      <c r="K32" t="n">
        <v>0</v>
      </c>
      <c r="L32" t="n">
        <v>0</v>
      </c>
      <c r="M32" t="n">
        <v>0</v>
      </c>
      <c r="N32" t="n">
        <v>0</v>
      </c>
    </row>
    <row r="33">
      <c r="A33" t="inlineStr">
        <is>
          <t>Annual recognizance</t>
        </is>
      </c>
      <c r="B33" t="inlineStr">
        <is>
          <t>The same render account for nothing from Richard le Clodyere because he is dead.</t>
        </is>
      </c>
      <c r="C33" t="n">
        <v>0</v>
      </c>
      <c r="D33" t="n">
        <v>0</v>
      </c>
      <c r="E33" t="n">
        <v>0</v>
      </c>
      <c r="F33" t="n">
        <v>0</v>
      </c>
      <c r="H33" t="n">
        <v>0</v>
      </c>
      <c r="I33" t="n">
        <v>0</v>
      </c>
      <c r="J33" t="n">
        <v>0</v>
      </c>
      <c r="K33" t="n">
        <v>0</v>
      </c>
      <c r="L33" t="n">
        <v>0</v>
      </c>
      <c r="M33" t="n">
        <v>0</v>
      </c>
      <c r="N33" t="n">
        <v>0</v>
      </c>
    </row>
    <row r="34">
      <c r="A34" t="inlineStr">
        <is>
          <t>Annual recognizance</t>
        </is>
      </c>
      <c r="B34" t="inlineStr">
        <is>
          <t>4pence from Robert Wolfon3 for annual recognizance.</t>
        </is>
      </c>
      <c r="C34" t="n">
        <v>0.02</v>
      </c>
      <c r="D34" t="n">
        <v>0</v>
      </c>
      <c r="E34" t="n">
        <v>0</v>
      </c>
      <c r="F34" t="n">
        <v>4</v>
      </c>
      <c r="H34" t="n">
        <v>0</v>
      </c>
      <c r="I34" t="n">
        <v>0</v>
      </c>
      <c r="J34" t="n">
        <v>0</v>
      </c>
      <c r="K34" t="n">
        <v>0</v>
      </c>
      <c r="L34" t="n">
        <v>0</v>
      </c>
      <c r="M34" t="n">
        <v>0</v>
      </c>
      <c r="N34" t="n">
        <v>0</v>
      </c>
    </row>
    <row r="35">
      <c r="A35" t="inlineStr">
        <is>
          <t>Annual recognizance</t>
        </is>
      </c>
      <c r="B35" t="inlineStr">
        <is>
          <t>3pence from William Pistore for thesame.</t>
        </is>
      </c>
      <c r="C35" t="n">
        <v>0.01</v>
      </c>
      <c r="D35" t="n">
        <v>0</v>
      </c>
      <c r="E35" t="n">
        <v>0</v>
      </c>
      <c r="F35" t="n">
        <v>3</v>
      </c>
      <c r="H35" t="n">
        <v>0</v>
      </c>
      <c r="I35" t="n">
        <v>0</v>
      </c>
      <c r="J35" t="n">
        <v>0</v>
      </c>
      <c r="K35" t="n">
        <v>0</v>
      </c>
      <c r="L35" t="n">
        <v>0</v>
      </c>
      <c r="M35" t="n">
        <v>0</v>
      </c>
      <c r="N35" t="n">
        <v>0</v>
      </c>
    </row>
    <row r="36">
      <c r="A36" t="inlineStr">
        <is>
          <t>Annual recognizance</t>
        </is>
      </c>
      <c r="B36" t="inlineStr">
        <is>
          <t>Total, 7pence</t>
        </is>
      </c>
      <c r="C36" t="n">
        <v>0.03</v>
      </c>
      <c r="D36" t="n">
        <v>0</v>
      </c>
      <c r="E36" t="n">
        <v>0</v>
      </c>
      <c r="F36" t="n">
        <v>7</v>
      </c>
      <c r="H36" t="n">
        <v>0</v>
      </c>
      <c r="I36" t="n">
        <v>0</v>
      </c>
      <c r="J36" t="n">
        <v>0</v>
      </c>
      <c r="K36" t="n">
        <v>0</v>
      </c>
      <c r="L36" t="n">
        <v>0</v>
      </c>
      <c r="M36" t="n">
        <v>0</v>
      </c>
      <c r="N36" t="n">
        <v>0</v>
      </c>
    </row>
    <row r="37">
      <c r="A37" t="inlineStr">
        <is>
          <t>Issues of the manor</t>
        </is>
      </c>
      <c r="B37" t="inlineStr">
        <is>
          <t>The same render account for £1 1 shilling 11.5pence from pannage of pigs this year.</t>
        </is>
      </c>
      <c r="C37" t="n">
        <v>1.1</v>
      </c>
      <c r="D37" t="n">
        <v>1</v>
      </c>
      <c r="E37" t="n">
        <v>1</v>
      </c>
      <c r="F37" t="n">
        <v>11.5</v>
      </c>
      <c r="H37" t="n">
        <v>0</v>
      </c>
      <c r="I37" t="n">
        <v>0</v>
      </c>
      <c r="J37" t="n">
        <v>0</v>
      </c>
      <c r="K37" t="n">
        <v>0</v>
      </c>
      <c r="L37" t="n">
        <v>0</v>
      </c>
      <c r="M37" t="n">
        <v>0</v>
      </c>
      <c r="N37" t="n">
        <v>0</v>
      </c>
    </row>
    <row r="38">
      <c r="A38" t="inlineStr">
        <is>
          <t>Issues of the manor</t>
        </is>
      </c>
      <c r="B38" t="inlineStr">
        <is>
          <t>4 shilling 4pence from pannage of the cottars, at 4pence an ox and cow.</t>
        </is>
      </c>
      <c r="C38" t="n">
        <v>0.22</v>
      </c>
      <c r="D38" t="n">
        <v>0</v>
      </c>
      <c r="E38" t="n">
        <v>4</v>
      </c>
      <c r="F38" t="n">
        <v>4</v>
      </c>
      <c r="H38" t="n">
        <v>0</v>
      </c>
      <c r="I38" t="n">
        <v>0</v>
      </c>
      <c r="J38" t="n">
        <v>0</v>
      </c>
      <c r="K38" t="n">
        <v>0</v>
      </c>
      <c r="L38" t="n">
        <v>0</v>
      </c>
      <c r="M38" t="n">
        <v>0</v>
      </c>
      <c r="N38" t="n">
        <v>0</v>
      </c>
    </row>
    <row r="39">
      <c r="A39" t="inlineStr">
        <is>
          <t>Issues of the manor</t>
        </is>
      </c>
      <c r="B39" t="inlineStr">
        <is>
          <t>nothing from the pasturage of Eldeford' this year for the lord's livestock.</t>
        </is>
      </c>
      <c r="C39" t="n">
        <v>0</v>
      </c>
      <c r="D39" t="n">
        <v>0</v>
      </c>
      <c r="E39" t="n">
        <v>0</v>
      </c>
      <c r="F39" t="n">
        <v>0</v>
      </c>
      <c r="H39" t="n">
        <v>0</v>
      </c>
      <c r="I39" t="n">
        <v>0</v>
      </c>
      <c r="J39" t="n">
        <v>0</v>
      </c>
      <c r="K39" t="n">
        <v>0</v>
      </c>
      <c r="L39" t="n">
        <v>0</v>
      </c>
      <c r="M39" t="n">
        <v>0</v>
      </c>
      <c r="N39" t="n">
        <v>0</v>
      </c>
    </row>
    <row r="40">
      <c r="A40" t="inlineStr">
        <is>
          <t>Issues of the manor</t>
        </is>
      </c>
      <c r="B40" t="inlineStr">
        <is>
          <t>nothing from the pasturage of Perogh' for the same.</t>
        </is>
      </c>
      <c r="C40" t="n">
        <v>0</v>
      </c>
      <c r="D40" t="n">
        <v>0</v>
      </c>
      <c r="E40" t="n">
        <v>0</v>
      </c>
      <c r="F40" t="n">
        <v>0</v>
      </c>
      <c r="H40" t="n">
        <v>0</v>
      </c>
      <c r="I40" t="n">
        <v>0</v>
      </c>
      <c r="J40" t="n">
        <v>0</v>
      </c>
      <c r="K40" t="n">
        <v>0</v>
      </c>
      <c r="L40" t="n">
        <v>0</v>
      </c>
      <c r="M40" t="n">
        <v>0</v>
      </c>
      <c r="N40" t="n">
        <v>0</v>
      </c>
    </row>
    <row r="41">
      <c r="A41" t="inlineStr">
        <is>
          <t>Issues of the manor</t>
        </is>
      </c>
      <c r="B41" t="inlineStr">
        <is>
          <t>nothing from the pasturage of Rowele, nor from the pasturage of Grenle, nor from the pasturage of Holeden', nor from the pasturage of Fulele and Fenihull' this year for the same.</t>
        </is>
      </c>
      <c r="C41" t="n">
        <v>0</v>
      </c>
      <c r="D41" t="n">
        <v>0</v>
      </c>
      <c r="E41" t="n">
        <v>0</v>
      </c>
      <c r="F41" t="n">
        <v>0</v>
      </c>
      <c r="H41" t="n">
        <v>0</v>
      </c>
      <c r="I41" t="n">
        <v>0</v>
      </c>
      <c r="J41" t="n">
        <v>0</v>
      </c>
      <c r="K41" t="n">
        <v>0</v>
      </c>
      <c r="L41" t="n">
        <v>0</v>
      </c>
      <c r="M41" t="n">
        <v>0</v>
      </c>
      <c r="N41" t="n">
        <v>0</v>
      </c>
    </row>
    <row r="42">
      <c r="A42" t="inlineStr">
        <is>
          <t>Issues of the manor</t>
        </is>
      </c>
      <c r="B42" t="inlineStr">
        <is>
          <t>nothing from the pasturage of Donefore this year for the same.</t>
        </is>
      </c>
      <c r="C42" t="n">
        <v>0</v>
      </c>
      <c r="D42" t="n">
        <v>0</v>
      </c>
      <c r="E42" t="n">
        <v>0</v>
      </c>
      <c r="F42" t="n">
        <v>0</v>
      </c>
      <c r="H42" t="n">
        <v>0</v>
      </c>
      <c r="I42" t="n">
        <v>0</v>
      </c>
      <c r="J42" t="n">
        <v>0</v>
      </c>
      <c r="K42" t="n">
        <v>0</v>
      </c>
      <c r="L42" t="n">
        <v>0</v>
      </c>
      <c r="M42" t="n">
        <v>0</v>
      </c>
      <c r="N42" t="n">
        <v>0</v>
      </c>
    </row>
    <row r="43">
      <c r="A43" t="inlineStr">
        <is>
          <t>Issues of the manor</t>
        </is>
      </c>
      <c r="B43" t="inlineStr">
        <is>
          <t>15 shilling from right of way for carts travelling beyond the lord's pasture.</t>
        </is>
      </c>
      <c r="C43" t="n">
        <v>0.75</v>
      </c>
      <c r="D43" t="n">
        <v>0</v>
      </c>
      <c r="E43" t="n">
        <v>15</v>
      </c>
      <c r="F43" t="n">
        <v>0</v>
      </c>
      <c r="H43" t="n">
        <v>0</v>
      </c>
      <c r="I43" t="n">
        <v>0</v>
      </c>
      <c r="J43" t="n">
        <v>0</v>
      </c>
      <c r="K43" t="n">
        <v>0</v>
      </c>
      <c r="L43" t="n">
        <v>0</v>
      </c>
      <c r="M43" t="n">
        <v>0</v>
      </c>
      <c r="N43" t="n">
        <v>0</v>
      </c>
    </row>
    <row r="44">
      <c r="A44" t="inlineStr">
        <is>
          <t>Issues of the manor</t>
        </is>
      </c>
      <c r="B44" t="inlineStr">
        <is>
          <t>9 shilling 5pence from 113 hens from churchscot sold.</t>
        </is>
      </c>
      <c r="C44" t="n">
        <v>0.47</v>
      </c>
      <c r="D44" t="n">
        <v>0</v>
      </c>
      <c r="E44" t="n">
        <v>9</v>
      </c>
      <c r="F44" t="n">
        <v>5</v>
      </c>
      <c r="H44" t="n">
        <v>0</v>
      </c>
      <c r="I44" t="n">
        <v>0</v>
      </c>
      <c r="J44" t="n">
        <v>0</v>
      </c>
      <c r="K44" t="n">
        <v>0</v>
      </c>
      <c r="L44" t="n">
        <v>0</v>
      </c>
      <c r="M44" t="n">
        <v>0</v>
      </c>
      <c r="N44" t="n">
        <v>0</v>
      </c>
    </row>
    <row r="45">
      <c r="A45" t="inlineStr">
        <is>
          <t>Issues of the manor</t>
        </is>
      </c>
      <c r="B45" t="inlineStr">
        <is>
          <t>3 shilling 6pence from 1,050 eggs sold according to custom.</t>
        </is>
      </c>
      <c r="C45" t="n">
        <v>0.17</v>
      </c>
      <c r="D45" t="n">
        <v>0</v>
      </c>
      <c r="E45" t="n">
        <v>3</v>
      </c>
      <c r="F45" t="n">
        <v>6</v>
      </c>
      <c r="H45" t="n">
        <v>0</v>
      </c>
      <c r="I45" t="n">
        <v>0</v>
      </c>
      <c r="J45" t="n">
        <v>0</v>
      </c>
      <c r="K45" t="n">
        <v>0</v>
      </c>
      <c r="L45" t="n">
        <v>0</v>
      </c>
      <c r="M45" t="n">
        <v>0</v>
      </c>
      <c r="N45" t="n">
        <v>0</v>
      </c>
    </row>
    <row r="46">
      <c r="A46" t="inlineStr">
        <is>
          <t>Issues of the manor</t>
        </is>
      </c>
      <c r="B46" t="inlineStr">
        <is>
          <t>3 shilling from the relict of le Fiz for release from her labour service this year.</t>
        </is>
      </c>
      <c r="C46" t="n">
        <v>0.15</v>
      </c>
      <c r="D46" t="n">
        <v>0</v>
      </c>
      <c r="E46" t="n">
        <v>3</v>
      </c>
      <c r="F46" t="n">
        <v>0</v>
      </c>
      <c r="H46" t="n">
        <v>0</v>
      </c>
      <c r="I46" t="n">
        <v>0</v>
      </c>
      <c r="J46" t="n">
        <v>0</v>
      </c>
      <c r="K46" t="n">
        <v>0</v>
      </c>
      <c r="L46" t="n">
        <v>0</v>
      </c>
      <c r="M46" t="n">
        <v>0</v>
      </c>
      <c r="N46" t="n">
        <v>0</v>
      </c>
    </row>
    <row r="47">
      <c r="A47" t="inlineStr">
        <is>
          <t>Issues of the manor</t>
        </is>
      </c>
      <c r="B47" t="inlineStr">
        <is>
          <t>2 shilling from Richard Eme for release from his labour service by 1 game of chance (j hasard') at the lord's will.</t>
        </is>
      </c>
      <c r="C47" t="n">
        <v>0.1</v>
      </c>
      <c r="D47" t="n">
        <v>0</v>
      </c>
      <c r="E47" t="n">
        <v>2</v>
      </c>
      <c r="F47" t="n">
        <v>0</v>
      </c>
      <c r="H47" t="n">
        <v>0</v>
      </c>
      <c r="I47" t="n">
        <v>0</v>
      </c>
      <c r="J47" t="n">
        <v>0</v>
      </c>
      <c r="K47" t="n">
        <v>0</v>
      </c>
      <c r="L47" t="n">
        <v>0</v>
      </c>
      <c r="M47" t="n">
        <v>0</v>
      </c>
      <c r="N47" t="n">
        <v>0</v>
      </c>
    </row>
    <row r="48">
      <c r="A48" t="inlineStr">
        <is>
          <t>Issues of the manor</t>
        </is>
      </c>
      <c r="B48" t="inlineStr">
        <is>
          <t>nothing from the entire coarse wool and lamb's-wool here because it was sent to Wolvesey.</t>
        </is>
      </c>
      <c r="C48" t="n">
        <v>0</v>
      </c>
      <c r="D48" t="n">
        <v>0</v>
      </c>
      <c r="E48" t="n">
        <v>0</v>
      </c>
      <c r="F48" t="n">
        <v>0</v>
      </c>
      <c r="H48" t="n">
        <v>0</v>
      </c>
      <c r="I48" t="n">
        <v>0</v>
      </c>
      <c r="J48" t="n">
        <v>0</v>
      </c>
      <c r="K48" t="n">
        <v>0</v>
      </c>
      <c r="L48" t="n">
        <v>0</v>
      </c>
      <c r="M48" t="n">
        <v>0</v>
      </c>
      <c r="N48" t="n">
        <v>0</v>
      </c>
    </row>
    <row r="49">
      <c r="A49" t="inlineStr">
        <is>
          <t>Issues of the manor</t>
        </is>
      </c>
      <c r="B49" t="inlineStr">
        <is>
          <t>4 shilling 1.5pence from 4 cloves 5 lb of wool locks sold.</t>
        </is>
      </c>
      <c r="C49" t="n">
        <v>0.21</v>
      </c>
      <c r="D49" t="n">
        <v>0</v>
      </c>
      <c r="E49" t="n">
        <v>4</v>
      </c>
      <c r="F49" t="n">
        <v>1.5</v>
      </c>
      <c r="H49" t="n">
        <v>0</v>
      </c>
      <c r="I49" t="n">
        <v>0</v>
      </c>
      <c r="J49" t="n">
        <v>0</v>
      </c>
      <c r="K49" t="n">
        <v>0</v>
      </c>
      <c r="L49" t="n">
        <v>0</v>
      </c>
      <c r="M49" t="n">
        <v>0</v>
      </c>
      <c r="N49" t="n">
        <v>0</v>
      </c>
    </row>
    <row r="50">
      <c r="A50" t="inlineStr">
        <is>
          <t>Issues of the manor</t>
        </is>
      </c>
      <c r="B50" t="inlineStr">
        <is>
          <t>4 shilling 6pence from 0.5 wey 4 cloves of rowen cheese sold.</t>
        </is>
      </c>
      <c r="C50" t="n">
        <v>0.23</v>
      </c>
      <c r="D50" t="n">
        <v>0</v>
      </c>
      <c r="E50" t="n">
        <v>4</v>
      </c>
      <c r="F50" t="n">
        <v>6</v>
      </c>
      <c r="H50" t="n">
        <v>0</v>
      </c>
      <c r="I50" t="n">
        <v>0</v>
      </c>
      <c r="J50" t="n">
        <v>0</v>
      </c>
      <c r="K50" t="n">
        <v>0</v>
      </c>
      <c r="L50" t="n">
        <v>0</v>
      </c>
      <c r="M50" t="n">
        <v>0</v>
      </c>
      <c r="N50" t="n">
        <v>0</v>
      </c>
    </row>
    <row r="51">
      <c r="A51" t="inlineStr">
        <is>
          <t>Issues of the manor</t>
        </is>
      </c>
      <c r="B51" t="inlineStr">
        <is>
          <t>£4 7 shilling from 10 weys 7 cloves of cheese made in summer sold, at 9 shilling a wey for 5 weys, and 8 shilling a wey for 5 weys 7 cloves.</t>
        </is>
      </c>
      <c r="C51" t="n">
        <v>4.35</v>
      </c>
      <c r="D51" t="n">
        <v>4</v>
      </c>
      <c r="E51" t="n">
        <v>7</v>
      </c>
      <c r="F51" t="n">
        <v>0</v>
      </c>
      <c r="H51" t="n">
        <v>0</v>
      </c>
      <c r="I51" t="n">
        <v>0</v>
      </c>
      <c r="J51" t="n">
        <v>0</v>
      </c>
      <c r="K51" t="n">
        <v>0</v>
      </c>
      <c r="L51" t="n">
        <v>0</v>
      </c>
      <c r="M51" t="n">
        <v>0</v>
      </c>
      <c r="N51" t="n">
        <v>0</v>
      </c>
    </row>
    <row r="52">
      <c r="A52" t="inlineStr">
        <is>
          <t>Issues of the manor</t>
        </is>
      </c>
      <c r="B52" t="inlineStr">
        <is>
          <t>8 shilling from 1 wey of butter sold.</t>
        </is>
      </c>
      <c r="C52" t="n">
        <v>0.4</v>
      </c>
      <c r="D52" t="n">
        <v>0</v>
      </c>
      <c r="E52" t="n">
        <v>8</v>
      </c>
      <c r="F52" t="n">
        <v>0</v>
      </c>
      <c r="H52" t="n">
        <v>0</v>
      </c>
      <c r="I52" t="n">
        <v>0</v>
      </c>
      <c r="J52" t="n">
        <v>0</v>
      </c>
      <c r="K52" t="n">
        <v>0</v>
      </c>
      <c r="L52" t="n">
        <v>0</v>
      </c>
      <c r="M52" t="n">
        <v>0</v>
      </c>
      <c r="N52" t="n">
        <v>0</v>
      </c>
    </row>
    <row r="53">
      <c r="A53" t="inlineStr">
        <is>
          <t>Issues of the manor</t>
        </is>
      </c>
      <c r="B53" t="inlineStr">
        <is>
          <t>19 shilling 8pence from 3 feeble plough-horses sold.</t>
        </is>
      </c>
      <c r="C53" t="n">
        <v>0.98</v>
      </c>
      <c r="D53" t="n">
        <v>0</v>
      </c>
      <c r="E53" t="n">
        <v>19</v>
      </c>
      <c r="F53" t="n">
        <v>8</v>
      </c>
      <c r="H53" t="n">
        <v>0</v>
      </c>
      <c r="I53" t="n">
        <v>0</v>
      </c>
      <c r="J53" t="n">
        <v>0</v>
      </c>
      <c r="K53" t="n">
        <v>0</v>
      </c>
      <c r="L53" t="n">
        <v>0</v>
      </c>
      <c r="M53" t="n">
        <v>0</v>
      </c>
      <c r="N53" t="n">
        <v>0</v>
      </c>
    </row>
    <row r="54">
      <c r="A54" t="inlineStr">
        <is>
          <t>Issues of the manor</t>
        </is>
      </c>
      <c r="B54" t="inlineStr">
        <is>
          <t>£1 16 shilling from 3 old oxen sold.</t>
        </is>
      </c>
      <c r="C54" t="n">
        <v>1.8</v>
      </c>
      <c r="D54" t="n">
        <v>1</v>
      </c>
      <c r="E54" t="n">
        <v>16</v>
      </c>
      <c r="F54" t="n">
        <v>0</v>
      </c>
      <c r="H54" t="n">
        <v>0</v>
      </c>
      <c r="I54" t="n">
        <v>0</v>
      </c>
      <c r="J54" t="n">
        <v>0</v>
      </c>
      <c r="K54" t="n">
        <v>0</v>
      </c>
      <c r="L54" t="n">
        <v>0</v>
      </c>
      <c r="M54" t="n">
        <v>0</v>
      </c>
      <c r="N54" t="n">
        <v>0</v>
      </c>
    </row>
    <row r="55">
      <c r="A55" t="inlineStr">
        <is>
          <t>Issues of the manor</t>
        </is>
      </c>
      <c r="B55" t="inlineStr">
        <is>
          <t>4 shilling from 4 feeble calves sold.</t>
        </is>
      </c>
      <c r="C55" t="n">
        <v>0.2</v>
      </c>
      <c r="D55" t="n">
        <v>0</v>
      </c>
      <c r="E55" t="n">
        <v>4</v>
      </c>
      <c r="F55" t="n">
        <v>0</v>
      </c>
      <c r="H55" t="n">
        <v>0</v>
      </c>
      <c r="I55" t="n">
        <v>0</v>
      </c>
      <c r="J55" t="n">
        <v>0</v>
      </c>
      <c r="K55" t="n">
        <v>0</v>
      </c>
      <c r="L55" t="n">
        <v>0</v>
      </c>
      <c r="M55" t="n">
        <v>0</v>
      </c>
      <c r="N55" t="n">
        <v>0</v>
      </c>
    </row>
    <row r="56">
      <c r="A56" t="inlineStr">
        <is>
          <t>Issues of the manor</t>
        </is>
      </c>
      <c r="B56" t="inlineStr">
        <is>
          <t>£1 1 shilling from 18 wethers sold at Martinmas (11 November), at 1 shilling 2pence each.</t>
        </is>
      </c>
      <c r="C56" t="n">
        <v>1.05</v>
      </c>
      <c r="D56" t="n">
        <v>1</v>
      </c>
      <c r="E56" t="n">
        <v>1</v>
      </c>
      <c r="F56" t="n">
        <v>0</v>
      </c>
      <c r="H56" t="n">
        <v>0</v>
      </c>
      <c r="I56" t="n">
        <v>0</v>
      </c>
      <c r="J56" t="n">
        <v>0</v>
      </c>
      <c r="K56" t="n">
        <v>0</v>
      </c>
      <c r="L56" t="n">
        <v>0</v>
      </c>
      <c r="M56" t="n">
        <v>0</v>
      </c>
      <c r="N56" t="n">
        <v>0</v>
      </c>
    </row>
    <row r="57">
      <c r="A57" t="inlineStr">
        <is>
          <t>Issues of the manor</t>
        </is>
      </c>
      <c r="B57" t="inlineStr">
        <is>
          <t>£1 2pence from 22 ewes sold at the said feast, at 11pence each.</t>
        </is>
      </c>
      <c r="C57" t="n">
        <v>1.01</v>
      </c>
      <c r="D57" t="n">
        <v>1</v>
      </c>
      <c r="E57" t="n">
        <v>0</v>
      </c>
      <c r="F57" t="n">
        <v>2</v>
      </c>
      <c r="H57" t="n">
        <v>0</v>
      </c>
      <c r="I57" t="n">
        <v>0</v>
      </c>
      <c r="J57" t="n">
        <v>0</v>
      </c>
      <c r="K57" t="n">
        <v>0</v>
      </c>
      <c r="L57" t="n">
        <v>0</v>
      </c>
      <c r="M57" t="n">
        <v>0</v>
      </c>
      <c r="N57" t="n">
        <v>0</v>
      </c>
    </row>
    <row r="58">
      <c r="A58" t="inlineStr">
        <is>
          <t>Issues of the manor</t>
        </is>
      </c>
      <c r="B58" t="inlineStr">
        <is>
          <t>6 shilling 8.5pence from 23 feeble lambs sold on account of their sickness, [at 3.5pence each].</t>
        </is>
      </c>
      <c r="C58" t="n">
        <v>0.34</v>
      </c>
      <c r="D58" t="n">
        <v>0</v>
      </c>
      <c r="E58" t="n">
        <v>6</v>
      </c>
      <c r="F58" t="n">
        <v>8.5</v>
      </c>
      <c r="H58" t="n">
        <v>0</v>
      </c>
      <c r="I58" t="n">
        <v>0</v>
      </c>
      <c r="J58" t="n">
        <v>0</v>
      </c>
      <c r="K58" t="n">
        <v>0</v>
      </c>
      <c r="L58" t="n">
        <v>0</v>
      </c>
      <c r="M58" t="n">
        <v>0</v>
      </c>
      <c r="N58" t="n">
        <v>0</v>
      </c>
    </row>
    <row r="59">
      <c r="A59" t="inlineStr">
        <is>
          <t>Issues of the manor</t>
        </is>
      </c>
      <c r="B59" t="inlineStr">
        <is>
          <t>£2 1 shilling 6pence from 15 pigs sold, at 2 shilling 6pence each for 7, and 3 shilling each for 8.</t>
        </is>
      </c>
      <c r="C59" t="n">
        <v>2.07</v>
      </c>
      <c r="D59" t="n">
        <v>2</v>
      </c>
      <c r="E59" t="n">
        <v>1</v>
      </c>
      <c r="F59" t="n">
        <v>6</v>
      </c>
      <c r="H59" t="n">
        <v>0</v>
      </c>
      <c r="I59" t="n">
        <v>0</v>
      </c>
      <c r="J59" t="n">
        <v>0</v>
      </c>
      <c r="K59" t="n">
        <v>0</v>
      </c>
      <c r="L59" t="n">
        <v>0</v>
      </c>
      <c r="M59" t="n">
        <v>0</v>
      </c>
      <c r="N59" t="n">
        <v>0</v>
      </c>
    </row>
    <row r="60">
      <c r="A60" t="inlineStr">
        <is>
          <t>Issues of the manor</t>
        </is>
      </c>
      <c r="B60" t="inlineStr">
        <is>
          <t>2 shilling 6pence from the hide sold of 1 ox dead from murrain.</t>
        </is>
      </c>
      <c r="C60" t="n">
        <v>0.12</v>
      </c>
      <c r="D60" t="n">
        <v>0</v>
      </c>
      <c r="E60" t="n">
        <v>2</v>
      </c>
      <c r="F60" t="n">
        <v>6</v>
      </c>
      <c r="H60" t="n">
        <v>0</v>
      </c>
      <c r="I60" t="n">
        <v>0</v>
      </c>
      <c r="J60" t="n">
        <v>0</v>
      </c>
      <c r="K60" t="n">
        <v>0</v>
      </c>
      <c r="L60" t="n">
        <v>0</v>
      </c>
      <c r="M60" t="n">
        <v>0</v>
      </c>
      <c r="N60" t="n">
        <v>0</v>
      </c>
    </row>
    <row r="61">
      <c r="A61" t="inlineStr">
        <is>
          <t>Issues of the manor</t>
        </is>
      </c>
      <c r="B61" t="inlineStr">
        <is>
          <t>1 shilling 10pence from the hides sold of 1 cow and 1 steer in murrain.</t>
        </is>
      </c>
      <c r="C61" t="n">
        <v>0.09</v>
      </c>
      <c r="D61" t="n">
        <v>0</v>
      </c>
      <c r="E61" t="n">
        <v>1</v>
      </c>
      <c r="F61" t="n">
        <v>10</v>
      </c>
      <c r="H61" t="n">
        <v>0</v>
      </c>
      <c r="I61" t="n">
        <v>0</v>
      </c>
      <c r="J61" t="n">
        <v>0</v>
      </c>
      <c r="K61" t="n">
        <v>0</v>
      </c>
      <c r="L61" t="n">
        <v>0</v>
      </c>
      <c r="M61" t="n">
        <v>0</v>
      </c>
      <c r="N61" t="n">
        <v>0</v>
      </c>
    </row>
    <row r="62">
      <c r="A62" t="inlineStr">
        <is>
          <t>Issues of the manor</t>
        </is>
      </c>
      <c r="B62" t="inlineStr">
        <is>
          <t>2pence from the hide sold of 1 calf in murrain.</t>
        </is>
      </c>
      <c r="C62" t="n">
        <v>0.01</v>
      </c>
      <c r="D62" t="n">
        <v>0</v>
      </c>
      <c r="E62" t="n">
        <v>0</v>
      </c>
      <c r="F62" t="n">
        <v>2</v>
      </c>
      <c r="H62" t="n">
        <v>0</v>
      </c>
      <c r="I62" t="n">
        <v>0</v>
      </c>
      <c r="J62" t="n">
        <v>0</v>
      </c>
      <c r="K62" t="n">
        <v>0</v>
      </c>
      <c r="L62" t="n">
        <v>0</v>
      </c>
      <c r="M62" t="n">
        <v>0</v>
      </c>
      <c r="N62" t="n">
        <v>0</v>
      </c>
    </row>
    <row r="63">
      <c r="A63" t="inlineStr">
        <is>
          <t>Issues of the manor</t>
        </is>
      </c>
      <c r="B63" t="inlineStr">
        <is>
          <t>11 shilling 6pence from the skins of 10 wethers, 10 ewes and 30 hoggs dead from murrain before shearing, at 3pence a skin of wethers and ewes, and 2pence a skin of hoggs, with the skins of 8 wethers, 6 ewes and 13 hoggs dead from murrain after shearing.</t>
        </is>
      </c>
      <c r="C63" t="n">
        <v>0.58</v>
      </c>
      <c r="D63" t="n">
        <v>0</v>
      </c>
      <c r="E63" t="n">
        <v>11</v>
      </c>
      <c r="F63" t="n">
        <v>6</v>
      </c>
      <c r="H63" t="n">
        <v>0</v>
      </c>
      <c r="I63" t="n">
        <v>0</v>
      </c>
      <c r="J63" t="n">
        <v>0</v>
      </c>
      <c r="K63" t="n">
        <v>0</v>
      </c>
      <c r="L63" t="n">
        <v>0</v>
      </c>
      <c r="M63" t="n">
        <v>0</v>
      </c>
      <c r="N63" t="n">
        <v>0</v>
      </c>
    </row>
    <row r="64">
      <c r="A64" t="inlineStr">
        <is>
          <t>Issues of the manor</t>
        </is>
      </c>
      <c r="B64" t="inlineStr">
        <is>
          <t>2 shilling 9pence from the skins of 33 lambs dead from murrain before weaning.</t>
        </is>
      </c>
      <c r="C64" t="n">
        <v>0.14</v>
      </c>
      <c r="D64" t="n">
        <v>0</v>
      </c>
      <c r="E64" t="n">
        <v>2</v>
      </c>
      <c r="F64" t="n">
        <v>9</v>
      </c>
      <c r="H64" t="n">
        <v>0</v>
      </c>
      <c r="I64" t="n">
        <v>0</v>
      </c>
      <c r="J64" t="n">
        <v>0</v>
      </c>
      <c r="K64" t="n">
        <v>0</v>
      </c>
      <c r="L64" t="n">
        <v>0</v>
      </c>
      <c r="M64" t="n">
        <v>0</v>
      </c>
      <c r="N64" t="n">
        <v>0</v>
      </c>
    </row>
    <row r="65">
      <c r="A65" t="inlineStr">
        <is>
          <t>Issues of the manor</t>
        </is>
      </c>
      <c r="B65" t="inlineStr">
        <is>
          <t>8.5pence from the skins sold of 13 rotted sheep.</t>
        </is>
      </c>
      <c r="C65" t="n">
        <v>0.04</v>
      </c>
      <c r="D65" t="n">
        <v>0</v>
      </c>
      <c r="E65" t="n">
        <v>0</v>
      </c>
      <c r="F65" t="n">
        <v>8.5</v>
      </c>
      <c r="H65" t="n">
        <v>0</v>
      </c>
      <c r="I65" t="n">
        <v>0</v>
      </c>
      <c r="J65" t="n">
        <v>0</v>
      </c>
      <c r="K65" t="n">
        <v>0</v>
      </c>
      <c r="L65" t="n">
        <v>0</v>
      </c>
      <c r="M65" t="n">
        <v>0</v>
      </c>
      <c r="N65" t="n">
        <v>0</v>
      </c>
    </row>
    <row r="66">
      <c r="A66" t="inlineStr">
        <is>
          <t>Issues of the manor</t>
        </is>
      </c>
      <c r="B66" t="inlineStr">
        <is>
          <t>nothing from wood this year.</t>
        </is>
      </c>
      <c r="C66" t="n">
        <v>0</v>
      </c>
      <c r="D66" t="n">
        <v>0</v>
      </c>
      <c r="E66" t="n">
        <v>0</v>
      </c>
      <c r="F66" t="n">
        <v>0</v>
      </c>
      <c r="H66" t="n">
        <v>0</v>
      </c>
      <c r="I66" t="n">
        <v>0</v>
      </c>
      <c r="J66" t="n">
        <v>0</v>
      </c>
      <c r="K66" t="n">
        <v>0</v>
      </c>
      <c r="L66" t="n">
        <v>0</v>
      </c>
      <c r="M66" t="n">
        <v>0</v>
      </c>
      <c r="N66" t="n">
        <v>0</v>
      </c>
    </row>
    <row r="67">
      <c r="A67" t="inlineStr">
        <is>
          <t>Issues of the manor</t>
        </is>
      </c>
      <c r="B67" t="inlineStr">
        <is>
          <t>2 shilling from Gilbert le Poller' so that he may take small fry (menis') from the river at Cheriton and Tichborne.</t>
        </is>
      </c>
      <c r="C67" t="n">
        <v>0.1</v>
      </c>
      <c r="D67" t="n">
        <v>0</v>
      </c>
      <c r="E67" t="n">
        <v>2</v>
      </c>
      <c r="F67" t="n">
        <v>0</v>
      </c>
      <c r="H67" t="n">
        <v>0</v>
      </c>
      <c r="I67" t="n">
        <v>0</v>
      </c>
      <c r="J67" t="n">
        <v>0</v>
      </c>
      <c r="K67" t="n">
        <v>0</v>
      </c>
      <c r="L67" t="n">
        <v>0</v>
      </c>
      <c r="M67" t="n">
        <v>0</v>
      </c>
      <c r="N67" t="n">
        <v>0</v>
      </c>
    </row>
    <row r="68">
      <c r="A68" t="inlineStr">
        <is>
          <t>Issues of the manor</t>
        </is>
      </c>
      <c r="B68" t="inlineStr">
        <is>
          <t>£6 9 shilling 4.5pence from 15 steers sold which were bought for pasturing.</t>
        </is>
      </c>
      <c r="C68" t="n">
        <v>6.47</v>
      </c>
      <c r="D68" t="n">
        <v>6</v>
      </c>
      <c r="E68" t="n">
        <v>9</v>
      </c>
      <c r="F68" t="n">
        <v>4.5</v>
      </c>
      <c r="H68" t="n">
        <v>0</v>
      </c>
      <c r="I68" t="n">
        <v>0</v>
      </c>
      <c r="J68" t="n">
        <v>0</v>
      </c>
      <c r="K68" t="n">
        <v>0</v>
      </c>
      <c r="L68" t="n">
        <v>0</v>
      </c>
      <c r="M68" t="n">
        <v>0</v>
      </c>
      <c r="N68" t="n">
        <v>0</v>
      </c>
    </row>
    <row r="69">
      <c r="A69" t="inlineStr">
        <is>
          <t>Issues of the manor</t>
        </is>
      </c>
      <c r="B69" t="inlineStr">
        <is>
          <t>13 shilling from dairy produce sold at the audit.</t>
        </is>
      </c>
      <c r="C69" t="n">
        <v>0.65</v>
      </c>
      <c r="D69" t="n">
        <v>0</v>
      </c>
      <c r="E69" t="n">
        <v>13</v>
      </c>
      <c r="F69" t="n">
        <v>0</v>
      </c>
      <c r="H69" t="n">
        <v>0</v>
      </c>
      <c r="I69" t="n">
        <v>0</v>
      </c>
      <c r="J69" t="n">
        <v>0</v>
      </c>
      <c r="K69" t="n">
        <v>0</v>
      </c>
      <c r="L69" t="n">
        <v>0</v>
      </c>
      <c r="M69" t="n">
        <v>0</v>
      </c>
      <c r="N69" t="n">
        <v>0</v>
      </c>
    </row>
    <row r="70">
      <c r="A70" t="inlineStr">
        <is>
          <t>Issues of the manor</t>
        </is>
      </c>
      <c r="B70" t="inlineStr">
        <is>
          <t>1 shilling from 1 calf sold at the audit.</t>
        </is>
      </c>
      <c r="C70" t="n">
        <v>0.05</v>
      </c>
      <c r="D70" t="n">
        <v>0</v>
      </c>
      <c r="E70" t="n">
        <v>1</v>
      </c>
      <c r="F70" t="n">
        <v>0</v>
      </c>
      <c r="H70" t="n">
        <v>0</v>
      </c>
      <c r="I70" t="n">
        <v>0</v>
      </c>
      <c r="J70" t="n">
        <v>0</v>
      </c>
      <c r="K70" t="n">
        <v>0</v>
      </c>
      <c r="L70" t="n">
        <v>0</v>
      </c>
      <c r="M70" t="n">
        <v>0</v>
      </c>
      <c r="N70" t="n">
        <v>0</v>
      </c>
    </row>
    <row r="71">
      <c r="A71" t="inlineStr">
        <is>
          <t>Issues of the manor</t>
        </is>
      </c>
      <c r="B71" t="inlineStr">
        <is>
          <t>Total, £23 16 shilling 6.5pence</t>
        </is>
      </c>
      <c r="C71" t="n">
        <v>23.83</v>
      </c>
      <c r="D71" t="n">
        <v>23</v>
      </c>
      <c r="E71" t="n">
        <v>16</v>
      </c>
      <c r="F71" t="n">
        <v>6.5</v>
      </c>
      <c r="H71" t="n">
        <v>0</v>
      </c>
      <c r="I71" t="n">
        <v>0</v>
      </c>
      <c r="J71" t="n">
        <v>0</v>
      </c>
      <c r="K71" t="n">
        <v>0</v>
      </c>
      <c r="L71" t="n">
        <v>0</v>
      </c>
      <c r="M71" t="n">
        <v>0</v>
      </c>
      <c r="N71" t="n">
        <v>0</v>
      </c>
    </row>
    <row r="72">
      <c r="A72" t="inlineStr">
        <is>
          <t>Sale of wheat</t>
        </is>
      </c>
      <c r="B72" t="inlineStr">
        <is>
          <t>The same render account for £20 10pence from 60 quarters 1 bushels of wheat sold, at 6 shilling 8pence a quarters.</t>
        </is>
      </c>
      <c r="C72" t="n">
        <v>20.04</v>
      </c>
      <c r="D72" t="n">
        <v>20</v>
      </c>
      <c r="E72" t="n">
        <v>0</v>
      </c>
      <c r="F72" t="n">
        <v>10</v>
      </c>
      <c r="G72" t="inlineStr">
        <is>
          <t>wheat</t>
        </is>
      </c>
      <c r="H72" t="n">
        <v>60</v>
      </c>
      <c r="I72" t="n">
        <v>1</v>
      </c>
      <c r="J72" t="n">
        <v>60.125</v>
      </c>
      <c r="K72" t="n">
        <v>60.125</v>
      </c>
      <c r="L72" t="n">
        <v>0</v>
      </c>
      <c r="M72" t="n">
        <v>60</v>
      </c>
      <c r="N72" t="n">
        <v>1</v>
      </c>
      <c r="W72" t="n">
        <v>6</v>
      </c>
      <c r="X72" t="n">
        <v>8</v>
      </c>
    </row>
    <row r="73">
      <c r="A73" t="inlineStr">
        <is>
          <t>Sale of wheat</t>
        </is>
      </c>
      <c r="B73" t="inlineStr">
        <is>
          <t>8 shilling 9pence from 1 quarters 7 bushels of curall sold.</t>
        </is>
      </c>
      <c r="C73" t="n">
        <v>0.44</v>
      </c>
      <c r="D73" t="n">
        <v>0</v>
      </c>
      <c r="E73" t="n">
        <v>8</v>
      </c>
      <c r="F73" t="n">
        <v>9</v>
      </c>
      <c r="G73" t="inlineStr">
        <is>
          <t>curall</t>
        </is>
      </c>
      <c r="H73" t="n">
        <v>1</v>
      </c>
      <c r="I73" t="n">
        <v>7</v>
      </c>
      <c r="J73" t="n">
        <v>1.875</v>
      </c>
      <c r="K73" t="n">
        <v>1.875</v>
      </c>
      <c r="L73" t="n">
        <v>0</v>
      </c>
      <c r="M73" t="n">
        <v>1</v>
      </c>
      <c r="N73" t="n">
        <v>7</v>
      </c>
    </row>
    <row r="74">
      <c r="A74" t="inlineStr">
        <is>
          <t>Sale of wheat</t>
        </is>
      </c>
      <c r="B74" t="inlineStr">
        <is>
          <t>9 shilling from 3 quarters of winter barley sold, at 3 shilling a quarters.</t>
        </is>
      </c>
      <c r="C74" t="n">
        <v>0.45</v>
      </c>
      <c r="D74" t="n">
        <v>0</v>
      </c>
      <c r="E74" t="n">
        <v>9</v>
      </c>
      <c r="F74" t="n">
        <v>0</v>
      </c>
      <c r="G74" t="inlineStr">
        <is>
          <t>barley</t>
        </is>
      </c>
      <c r="H74" t="n">
        <v>3</v>
      </c>
      <c r="I74" t="n">
        <v>0</v>
      </c>
      <c r="J74" t="n">
        <v>3</v>
      </c>
      <c r="K74" t="n">
        <v>3</v>
      </c>
      <c r="L74" t="n">
        <v>0</v>
      </c>
      <c r="M74" t="n">
        <v>3</v>
      </c>
      <c r="N74" t="n">
        <v>0</v>
      </c>
      <c r="W74" t="n">
        <v>3</v>
      </c>
      <c r="X74" t="n">
        <v>0</v>
      </c>
    </row>
    <row r="75">
      <c r="A75" t="inlineStr">
        <is>
          <t>Sale of wheat</t>
        </is>
      </c>
      <c r="B75" t="inlineStr">
        <is>
          <t>£3 15 shilling 10pence from 16 quarters 2 bushels of barley sold, at 4 shilling 8pence a quarters.</t>
        </is>
      </c>
      <c r="C75" t="n">
        <v>3.79</v>
      </c>
      <c r="D75" t="n">
        <v>3</v>
      </c>
      <c r="E75" t="n">
        <v>15</v>
      </c>
      <c r="F75" t="n">
        <v>10</v>
      </c>
      <c r="G75" t="inlineStr">
        <is>
          <t>barley</t>
        </is>
      </c>
      <c r="H75" t="n">
        <v>16</v>
      </c>
      <c r="I75" t="n">
        <v>2</v>
      </c>
      <c r="J75" t="n">
        <v>16.25</v>
      </c>
      <c r="K75" t="n">
        <v>16.25</v>
      </c>
      <c r="L75" t="n">
        <v>0</v>
      </c>
      <c r="M75" t="n">
        <v>16</v>
      </c>
      <c r="N75" t="n">
        <v>2</v>
      </c>
      <c r="W75" t="n">
        <v>4</v>
      </c>
      <c r="X75" t="n">
        <v>8</v>
      </c>
    </row>
    <row r="76">
      <c r="A76" t="inlineStr">
        <is>
          <t>Sale of wheat</t>
        </is>
      </c>
      <c r="B76" t="inlineStr">
        <is>
          <t>£3 14 shilling 8pence from 32 quarters of oats sold, at 2 shilling 4pence a quarters.</t>
        </is>
      </c>
      <c r="C76" t="n">
        <v>3.73</v>
      </c>
      <c r="D76" t="n">
        <v>3</v>
      </c>
      <c r="E76" t="n">
        <v>14</v>
      </c>
      <c r="F76" t="n">
        <v>8</v>
      </c>
      <c r="G76" t="inlineStr">
        <is>
          <t>oats</t>
        </is>
      </c>
      <c r="H76" t="n">
        <v>32</v>
      </c>
      <c r="I76" t="n">
        <v>0</v>
      </c>
      <c r="J76" t="n">
        <v>32</v>
      </c>
      <c r="K76" t="n">
        <v>32</v>
      </c>
      <c r="L76" t="n">
        <v>0</v>
      </c>
      <c r="M76" t="n">
        <v>32</v>
      </c>
      <c r="N76" t="n">
        <v>0</v>
      </c>
      <c r="W76" t="n">
        <v>2</v>
      </c>
      <c r="X76" t="n">
        <v>4</v>
      </c>
    </row>
    <row r="77">
      <c r="A77" t="inlineStr">
        <is>
          <t>Sale of wheat</t>
        </is>
      </c>
      <c r="B77" t="inlineStr">
        <is>
          <t>1 shilling 3.5pence from 3 bushels of peas sold.</t>
        </is>
      </c>
      <c r="C77" t="n">
        <v>0.06</v>
      </c>
      <c r="D77" t="n">
        <v>0</v>
      </c>
      <c r="E77" t="n">
        <v>1</v>
      </c>
      <c r="F77" t="n">
        <v>3.5</v>
      </c>
      <c r="G77" t="inlineStr">
        <is>
          <t>peas</t>
        </is>
      </c>
      <c r="H77" t="n">
        <v>0</v>
      </c>
      <c r="I77" t="n">
        <v>3</v>
      </c>
      <c r="J77" t="n">
        <v>0.375</v>
      </c>
      <c r="K77" t="n">
        <v>0.375</v>
      </c>
      <c r="L77" t="n">
        <v>0</v>
      </c>
      <c r="M77" t="n">
        <v>0</v>
      </c>
      <c r="N77" t="n">
        <v>3</v>
      </c>
    </row>
    <row r="78">
      <c r="A78" t="inlineStr">
        <is>
          <t>Sale of wheat</t>
        </is>
      </c>
      <c r="B78" t="inlineStr">
        <is>
          <t>1 shilling 3pence from 5 bushels of vetches sold.</t>
        </is>
      </c>
      <c r="C78" t="n">
        <v>0.06</v>
      </c>
      <c r="D78" t="n">
        <v>0</v>
      </c>
      <c r="E78" t="n">
        <v>1</v>
      </c>
      <c r="F78" t="n">
        <v>3</v>
      </c>
      <c r="G78" t="inlineStr">
        <is>
          <t>vetches</t>
        </is>
      </c>
      <c r="H78" t="n">
        <v>0</v>
      </c>
      <c r="I78" t="n">
        <v>5</v>
      </c>
      <c r="J78" t="n">
        <v>0.625</v>
      </c>
      <c r="K78" t="n">
        <v>0.625</v>
      </c>
      <c r="L78" t="n">
        <v>0</v>
      </c>
      <c r="M78" t="n">
        <v>0</v>
      </c>
      <c r="N78" t="n">
        <v>5</v>
      </c>
    </row>
    <row r="79">
      <c r="A79" t="inlineStr">
        <is>
          <t>Sale of wheat</t>
        </is>
      </c>
      <c r="B79" t="inlineStr">
        <is>
          <t>7 shilling 6pence from 1 quarters 7 bushels of barley sold at the audit.</t>
        </is>
      </c>
      <c r="C79" t="n">
        <v>0.38</v>
      </c>
      <c r="D79" t="n">
        <v>0</v>
      </c>
      <c r="E79" t="n">
        <v>7</v>
      </c>
      <c r="F79" t="n">
        <v>6</v>
      </c>
      <c r="G79" t="inlineStr">
        <is>
          <t>barley</t>
        </is>
      </c>
      <c r="H79" t="n">
        <v>1</v>
      </c>
      <c r="I79" t="n">
        <v>7</v>
      </c>
      <c r="J79" t="n">
        <v>1.875</v>
      </c>
      <c r="K79" t="n">
        <v>1.875</v>
      </c>
      <c r="L79" t="n">
        <v>0</v>
      </c>
      <c r="M79" t="n">
        <v>1</v>
      </c>
      <c r="N79" t="n">
        <v>7</v>
      </c>
    </row>
    <row r="80">
      <c r="A80" t="inlineStr">
        <is>
          <t>Sale of wheat</t>
        </is>
      </c>
      <c r="B80" t="inlineStr">
        <is>
          <t>12 shilling 6pence from 6 quarters 2 bushels of oats sold at the audit.</t>
        </is>
      </c>
      <c r="C80" t="n">
        <v>0.62</v>
      </c>
      <c r="D80" t="n">
        <v>0</v>
      </c>
      <c r="E80" t="n">
        <v>12</v>
      </c>
      <c r="F80" t="n">
        <v>6</v>
      </c>
      <c r="G80" t="inlineStr">
        <is>
          <t>oats</t>
        </is>
      </c>
      <c r="H80" t="n">
        <v>6</v>
      </c>
      <c r="I80" t="n">
        <v>2</v>
      </c>
      <c r="J80" t="n">
        <v>6.25</v>
      </c>
      <c r="K80" t="n">
        <v>6.25</v>
      </c>
      <c r="L80" t="n">
        <v>0</v>
      </c>
      <c r="M80" t="n">
        <v>6</v>
      </c>
      <c r="N80" t="n">
        <v>2</v>
      </c>
    </row>
    <row r="81">
      <c r="A81" t="inlineStr">
        <is>
          <t>Sale of wheat</t>
        </is>
      </c>
      <c r="B81" t="inlineStr">
        <is>
          <t>Total, £29 11 shilling 7.5pence</t>
        </is>
      </c>
      <c r="C81" t="n">
        <v>29.58</v>
      </c>
      <c r="D81" t="n">
        <v>29</v>
      </c>
      <c r="E81" t="n">
        <v>11</v>
      </c>
      <c r="F81" t="n">
        <v>7.5</v>
      </c>
      <c r="H81" t="n">
        <v>0</v>
      </c>
      <c r="I81" t="n">
        <v>0</v>
      </c>
      <c r="J81" t="n">
        <v>0</v>
      </c>
      <c r="K81" t="n">
        <v>0</v>
      </c>
      <c r="L81" t="n">
        <v>0</v>
      </c>
      <c r="M81" t="n">
        <v>0</v>
      </c>
      <c r="N81" t="n">
        <v>0</v>
      </c>
    </row>
    <row r="82">
      <c r="A82" t="inlineStr">
        <is>
          <t>Corn from the mill</t>
        </is>
      </c>
      <c r="B82" t="inlineStr">
        <is>
          <t>The same render account for 2 shilling 6pence from 4 bushels of wheat from the issue of the mill sold.</t>
        </is>
      </c>
      <c r="C82" t="n">
        <v>0.12</v>
      </c>
      <c r="D82" t="n">
        <v>0</v>
      </c>
      <c r="E82" t="n">
        <v>2</v>
      </c>
      <c r="F82" t="n">
        <v>6</v>
      </c>
      <c r="G82" t="inlineStr">
        <is>
          <t>wheat</t>
        </is>
      </c>
      <c r="H82" t="n">
        <v>0</v>
      </c>
      <c r="I82" t="n">
        <v>4</v>
      </c>
      <c r="J82" t="n">
        <v>0.5</v>
      </c>
      <c r="K82" t="n">
        <v>0.5</v>
      </c>
      <c r="L82" t="n">
        <v>0</v>
      </c>
      <c r="M82" t="n">
        <v>0</v>
      </c>
      <c r="N82" t="n">
        <v>4</v>
      </c>
    </row>
    <row r="83">
      <c r="A83" t="inlineStr">
        <is>
          <t>Corn from the mill</t>
        </is>
      </c>
      <c r="B83" t="inlineStr">
        <is>
          <t>£2 12 shilling from 14 quarters of barley from the issue of the same mill sold, at 3 shilling a quarters for 4 quarters, and 4 shilling a quarters for 10 quarters.</t>
        </is>
      </c>
      <c r="C83" t="n">
        <v>2.6</v>
      </c>
      <c r="D83" t="n">
        <v>2</v>
      </c>
      <c r="E83" t="n">
        <v>12</v>
      </c>
      <c r="F83" t="n">
        <v>0</v>
      </c>
      <c r="G83" t="inlineStr">
        <is>
          <t>barley</t>
        </is>
      </c>
      <c r="H83" t="n">
        <v>14</v>
      </c>
      <c r="I83" t="n">
        <v>0</v>
      </c>
      <c r="J83" t="n">
        <v>14</v>
      </c>
      <c r="K83" t="n">
        <v>14</v>
      </c>
      <c r="L83" t="n">
        <v>0</v>
      </c>
      <c r="M83" t="n">
        <v>14</v>
      </c>
      <c r="N83" t="n">
        <v>0</v>
      </c>
      <c r="O83" t="n">
        <v>4</v>
      </c>
      <c r="P83" t="n">
        <v>0</v>
      </c>
      <c r="Q83" t="n">
        <v>10</v>
      </c>
      <c r="R83" t="n">
        <v>0</v>
      </c>
      <c r="W83" t="n">
        <v>3</v>
      </c>
      <c r="X83" t="n">
        <v>0</v>
      </c>
      <c r="Y83" t="n">
        <v>4</v>
      </c>
      <c r="Z83" t="n">
        <v>0</v>
      </c>
    </row>
    <row r="84">
      <c r="A84" t="inlineStr">
        <is>
          <t>Corn from the mill</t>
        </is>
      </c>
      <c r="B84" t="inlineStr">
        <is>
          <t>1 shilling 6pence from 4 bushels of malt from the issue of the same mill solpence Total, £2 16 shilling</t>
        </is>
      </c>
      <c r="C84" t="n">
        <v>2.8</v>
      </c>
      <c r="D84" t="n">
        <v>2</v>
      </c>
      <c r="E84" t="n">
        <v>16</v>
      </c>
      <c r="F84" t="n">
        <v>0</v>
      </c>
      <c r="H84" t="n">
        <v>0</v>
      </c>
      <c r="I84" t="n">
        <v>4</v>
      </c>
      <c r="J84" t="n">
        <v>0.5</v>
      </c>
      <c r="K84" t="n">
        <v>0.5</v>
      </c>
      <c r="L84" t="n">
        <v>0</v>
      </c>
      <c r="M84" t="n">
        <v>0</v>
      </c>
      <c r="N84" t="n">
        <v>4</v>
      </c>
    </row>
    <row r="85">
      <c r="A85" t="inlineStr">
        <is>
          <t>Entry and marriage fines with tithingpenny</t>
        </is>
      </c>
      <c r="B85" t="inlineStr">
        <is>
          <t>The same render account for 6 shilling1 8pence from the tithing of Cheriton at the hundred-court of Martinmas.</t>
        </is>
      </c>
      <c r="C85" t="n">
        <v>0.33</v>
      </c>
      <c r="D85" t="n">
        <v>0</v>
      </c>
      <c r="E85" t="n">
        <v>6</v>
      </c>
      <c r="F85" t="n">
        <v>8</v>
      </c>
      <c r="H85" t="n">
        <v>0</v>
      </c>
      <c r="I85" t="n">
        <v>0</v>
      </c>
      <c r="J85" t="n">
        <v>0</v>
      </c>
      <c r="K85" t="n">
        <v>0</v>
      </c>
      <c r="L85" t="n">
        <v>0</v>
      </c>
      <c r="M85" t="n">
        <v>0</v>
      </c>
      <c r="N85" t="n">
        <v>0</v>
      </c>
    </row>
    <row r="86">
      <c r="A86" t="inlineStr">
        <is>
          <t>Entry and marriage fines with tithingpenny</t>
        </is>
      </c>
      <c r="B86" t="inlineStr">
        <is>
          <t>6 shilling 8pence from the same for the same at the hundred-court of Hockday.</t>
        </is>
      </c>
      <c r="C86" t="n">
        <v>0.33</v>
      </c>
      <c r="D86" t="n">
        <v>0</v>
      </c>
      <c r="E86" t="n">
        <v>6</v>
      </c>
      <c r="F86" t="n">
        <v>8</v>
      </c>
      <c r="H86" t="n">
        <v>0</v>
      </c>
      <c r="I86" t="n">
        <v>0</v>
      </c>
      <c r="J86" t="n">
        <v>0</v>
      </c>
      <c r="K86" t="n">
        <v>0</v>
      </c>
      <c r="L86" t="n">
        <v>0</v>
      </c>
      <c r="M86" t="n">
        <v>0</v>
      </c>
      <c r="N86" t="n">
        <v>0</v>
      </c>
    </row>
    <row r="87">
      <c r="A87" t="inlineStr">
        <is>
          <t>Entry and marriage fines with tithingpenny</t>
        </is>
      </c>
      <c r="B87" t="inlineStr">
        <is>
          <t>3 shilling 4pence from Joan la Clodyar' to have 1 cotland which belonged to Richard le Clodyare her brother.</t>
        </is>
      </c>
      <c r="C87" t="n">
        <v>0.17</v>
      </c>
      <c r="D87" t="n">
        <v>0</v>
      </c>
      <c r="E87" t="n">
        <v>3</v>
      </c>
      <c r="F87" t="n">
        <v>4</v>
      </c>
      <c r="H87" t="n">
        <v>0</v>
      </c>
      <c r="I87" t="n">
        <v>0</v>
      </c>
      <c r="J87" t="n">
        <v>0</v>
      </c>
      <c r="K87" t="n">
        <v>0</v>
      </c>
      <c r="L87" t="n">
        <v>0</v>
      </c>
      <c r="M87" t="n">
        <v>0</v>
      </c>
      <c r="N87" t="n">
        <v>0</v>
      </c>
    </row>
    <row r="88">
      <c r="A88" t="inlineStr">
        <is>
          <t>Entry and marriage fines with tithingpenny</t>
        </is>
      </c>
      <c r="B88" t="inlineStr">
        <is>
          <t>3 shilling 4pence from William, son of John Som', to have the said land by surrender of the said Joan Clodiar'.</t>
        </is>
      </c>
      <c r="C88" t="n">
        <v>0.17</v>
      </c>
      <c r="D88" t="n">
        <v>0</v>
      </c>
      <c r="E88" t="n">
        <v>3</v>
      </c>
      <c r="F88" t="n">
        <v>4</v>
      </c>
      <c r="H88" t="n">
        <v>0</v>
      </c>
      <c r="I88" t="n">
        <v>0</v>
      </c>
      <c r="J88" t="n">
        <v>0</v>
      </c>
      <c r="K88" t="n">
        <v>0</v>
      </c>
      <c r="L88" t="n">
        <v>0</v>
      </c>
      <c r="M88" t="n">
        <v>0</v>
      </c>
      <c r="N88" t="n">
        <v>0</v>
      </c>
    </row>
    <row r="89">
      <c r="A89" t="inlineStr">
        <is>
          <t>Entry and marriage fines with tithingpenny</t>
        </is>
      </c>
      <c r="B89" t="inlineStr">
        <is>
          <t>6 shilling 8pence from John ate Med to have 1 cotland with Alveva his wife.</t>
        </is>
      </c>
      <c r="C89" t="n">
        <v>0.33</v>
      </c>
      <c r="D89" t="n">
        <v>0</v>
      </c>
      <c r="E89" t="n">
        <v>6</v>
      </c>
      <c r="F89" t="n">
        <v>8</v>
      </c>
      <c r="H89" t="n">
        <v>0</v>
      </c>
      <c r="I89" t="n">
        <v>0</v>
      </c>
      <c r="J89" t="n">
        <v>0</v>
      </c>
      <c r="K89" t="n">
        <v>0</v>
      </c>
      <c r="L89" t="n">
        <v>0</v>
      </c>
      <c r="M89" t="n">
        <v>0</v>
      </c>
      <c r="N89" t="n">
        <v>0</v>
      </c>
    </row>
    <row r="90">
      <c r="A90" t="inlineStr">
        <is>
          <t>Entry and marriage fines with tithingpenny</t>
        </is>
      </c>
      <c r="B90" t="inlineStr">
        <is>
          <t>5 shilling from Christina, relict of Gang', to retain 1 cotland which belonged to her husband.</t>
        </is>
      </c>
      <c r="C90" t="n">
        <v>0.25</v>
      </c>
      <c r="D90" t="n">
        <v>0</v>
      </c>
      <c r="E90" t="n">
        <v>5</v>
      </c>
      <c r="F90" t="n">
        <v>0</v>
      </c>
      <c r="H90" t="n">
        <v>0</v>
      </c>
      <c r="I90" t="n">
        <v>0</v>
      </c>
      <c r="J90" t="n">
        <v>0</v>
      </c>
      <c r="K90" t="n">
        <v>0</v>
      </c>
      <c r="L90" t="n">
        <v>0</v>
      </c>
      <c r="M90" t="n">
        <v>0</v>
      </c>
      <c r="N90" t="n">
        <v>0</v>
      </c>
    </row>
    <row r="91">
      <c r="A91" t="inlineStr">
        <is>
          <t>Entry and marriage fines with tithingpenny</t>
        </is>
      </c>
      <c r="B91" t="inlineStr">
        <is>
          <t>5 shilling from Alice Lovering to retain 1 cotland after the death of her husband.</t>
        </is>
      </c>
      <c r="C91" t="n">
        <v>0.25</v>
      </c>
      <c r="D91" t="n">
        <v>0</v>
      </c>
      <c r="E91" t="n">
        <v>5</v>
      </c>
      <c r="F91" t="n">
        <v>0</v>
      </c>
      <c r="H91" t="n">
        <v>0</v>
      </c>
      <c r="I91" t="n">
        <v>0</v>
      </c>
      <c r="J91" t="n">
        <v>0</v>
      </c>
      <c r="K91" t="n">
        <v>0</v>
      </c>
      <c r="L91" t="n">
        <v>0</v>
      </c>
      <c r="M91" t="n">
        <v>0</v>
      </c>
      <c r="N91" t="n">
        <v>0</v>
      </c>
    </row>
    <row r="92">
      <c r="A92" t="inlineStr">
        <is>
          <t>Entry and marriage fines with tithingpenny</t>
        </is>
      </c>
      <c r="B92" t="inlineStr">
        <is>
          <t>10 shilling from Robert Jan to have 1 virgate of land, after the mortuary payment for the relict of Cartere, his mother, out of her inheritance.</t>
        </is>
      </c>
      <c r="C92" t="n">
        <v>0.5</v>
      </c>
      <c r="D92" t="n">
        <v>0</v>
      </c>
      <c r="E92" t="n">
        <v>10</v>
      </c>
      <c r="F92" t="n">
        <v>0</v>
      </c>
      <c r="H92" t="n">
        <v>0</v>
      </c>
      <c r="I92" t="n">
        <v>0</v>
      </c>
      <c r="J92" t="n">
        <v>0</v>
      </c>
      <c r="K92" t="n">
        <v>0</v>
      </c>
      <c r="L92" t="n">
        <v>0</v>
      </c>
      <c r="M92" t="n">
        <v>0</v>
      </c>
      <c r="N92" t="n">
        <v>0</v>
      </c>
    </row>
    <row r="93">
      <c r="A93" t="inlineStr">
        <is>
          <t>Entry and marriage fines with tithingpenny</t>
        </is>
      </c>
      <c r="B93" t="inlineStr">
        <is>
          <t>10 shilling from Simon Crech, son of William Crech, to have 0.5 cotland which came into the lord's hands as his escheat because a certain Alice la Schinnere who held the said tenement withdrew and noone succeeded to the said land by inheritance, having been waiting for 1 year.</t>
        </is>
      </c>
      <c r="C93" t="n">
        <v>0.5</v>
      </c>
      <c r="D93" t="n">
        <v>0</v>
      </c>
      <c r="E93" t="n">
        <v>10</v>
      </c>
      <c r="F93" t="n">
        <v>0</v>
      </c>
      <c r="H93" t="n">
        <v>0</v>
      </c>
      <c r="I93" t="n">
        <v>0</v>
      </c>
      <c r="J93" t="n">
        <v>0</v>
      </c>
      <c r="K93" t="n">
        <v>0</v>
      </c>
      <c r="L93" t="n">
        <v>0</v>
      </c>
      <c r="M93" t="n">
        <v>0</v>
      </c>
      <c r="N93" t="n">
        <v>0</v>
      </c>
    </row>
    <row r="94">
      <c r="A94" t="inlineStr">
        <is>
          <t>Entry and marriage fines with tithingpenny</t>
        </is>
      </c>
      <c r="B94" t="inlineStr">
        <is>
          <t>6 shilling 8pence from Joan, relict of le Swon, to retain 1 virgate of land which belonged to Henry her husband.</t>
        </is>
      </c>
      <c r="C94" t="n">
        <v>0.33</v>
      </c>
      <c r="D94" t="n">
        <v>0</v>
      </c>
      <c r="E94" t="n">
        <v>6</v>
      </c>
      <c r="F94" t="n">
        <v>8</v>
      </c>
      <c r="H94" t="n">
        <v>0</v>
      </c>
      <c r="I94" t="n">
        <v>0</v>
      </c>
      <c r="J94" t="n">
        <v>0</v>
      </c>
      <c r="K94" t="n">
        <v>0</v>
      </c>
      <c r="L94" t="n">
        <v>0</v>
      </c>
      <c r="M94" t="n">
        <v>0</v>
      </c>
      <c r="N94" t="n">
        <v>0</v>
      </c>
    </row>
    <row r="95">
      <c r="A95" t="inlineStr">
        <is>
          <t>Entry and marriage fines with tithingpenny</t>
        </is>
      </c>
      <c r="B95" t="inlineStr">
        <is>
          <t>£1 from John de Spin' to have the said Joan le Swon with the land.</t>
        </is>
      </c>
      <c r="C95" t="n">
        <v>1</v>
      </c>
      <c r="D95" t="n">
        <v>1</v>
      </c>
      <c r="E95" t="n">
        <v>0</v>
      </c>
      <c r="F95" t="n">
        <v>0</v>
      </c>
      <c r="H95" t="n">
        <v>0</v>
      </c>
      <c r="I95" t="n">
        <v>0</v>
      </c>
      <c r="J95" t="n">
        <v>0</v>
      </c>
      <c r="K95" t="n">
        <v>0</v>
      </c>
      <c r="L95" t="n">
        <v>0</v>
      </c>
      <c r="M95" t="n">
        <v>0</v>
      </c>
      <c r="N95" t="n">
        <v>0</v>
      </c>
    </row>
    <row r="96">
      <c r="A96" t="inlineStr">
        <is>
          <t>Entry and marriage fines with tithingpenny</t>
        </is>
      </c>
      <c r="B96" t="inlineStr">
        <is>
          <t>3 shilling from Luke ate Med to have 1 virgate of land for his lifetime from the inheritance (ex traditione) of Nicholas his son.</t>
        </is>
      </c>
      <c r="C96" t="n">
        <v>0.15</v>
      </c>
      <c r="D96" t="n">
        <v>0</v>
      </c>
      <c r="E96" t="n">
        <v>3</v>
      </c>
      <c r="F96" t="n">
        <v>0</v>
      </c>
      <c r="H96" t="n">
        <v>0</v>
      </c>
      <c r="I96" t="n">
        <v>0</v>
      </c>
      <c r="J96" t="n">
        <v>0</v>
      </c>
      <c r="K96" t="n">
        <v>0</v>
      </c>
      <c r="L96" t="n">
        <v>0</v>
      </c>
      <c r="M96" t="n">
        <v>0</v>
      </c>
      <c r="N96" t="n">
        <v>0</v>
      </c>
    </row>
    <row r="97">
      <c r="A97" t="inlineStr">
        <is>
          <t>Entry and marriage fines with tithingpenny</t>
        </is>
      </c>
      <c r="B97" t="inlineStr">
        <is>
          <t>Total, £4 6 shilling 4pence</t>
        </is>
      </c>
      <c r="C97" t="n">
        <v>4.32</v>
      </c>
      <c r="D97" t="n">
        <v>4</v>
      </c>
      <c r="E97" t="n">
        <v>6</v>
      </c>
      <c r="F97" t="n">
        <v>4</v>
      </c>
      <c r="H97" t="n">
        <v>0</v>
      </c>
      <c r="I97" t="n">
        <v>0</v>
      </c>
      <c r="J97" t="n">
        <v>0</v>
      </c>
      <c r="K97" t="n">
        <v>0</v>
      </c>
      <c r="L97" t="n">
        <v>0</v>
      </c>
      <c r="M97" t="n">
        <v>0</v>
      </c>
      <c r="N97" t="n">
        <v>0</v>
      </c>
    </row>
    <row r="98">
      <c r="A98" t="inlineStr">
        <is>
          <t>Perquisites</t>
        </is>
      </c>
      <c r="B98" t="inlineStr">
        <is>
          <t>The same render account for 6 shilling 8pence from John de Puteo for transgression against the lord.</t>
        </is>
      </c>
      <c r="C98" t="n">
        <v>0.33</v>
      </c>
      <c r="D98" t="n">
        <v>0</v>
      </c>
      <c r="E98" t="n">
        <v>6</v>
      </c>
      <c r="F98" t="n">
        <v>8</v>
      </c>
      <c r="H98" t="n">
        <v>0</v>
      </c>
      <c r="I98" t="n">
        <v>0</v>
      </c>
      <c r="J98" t="n">
        <v>0</v>
      </c>
      <c r="K98" t="n">
        <v>0</v>
      </c>
      <c r="L98" t="n">
        <v>0</v>
      </c>
      <c r="M98" t="n">
        <v>0</v>
      </c>
      <c r="N98" t="n">
        <v>0</v>
      </c>
    </row>
    <row r="99">
      <c r="A99" t="inlineStr">
        <is>
          <t>Perquisites</t>
        </is>
      </c>
      <c r="B99" t="inlineStr">
        <is>
          <t>3 shilling 4pence from Thomas de Wichurst because he broke the lord's pinfold.</t>
        </is>
      </c>
      <c r="C99" t="n">
        <v>0.17</v>
      </c>
      <c r="D99" t="n">
        <v>0</v>
      </c>
      <c r="E99" t="n">
        <v>3</v>
      </c>
      <c r="F99" t="n">
        <v>4</v>
      </c>
      <c r="H99" t="n">
        <v>0</v>
      </c>
      <c r="I99" t="n">
        <v>0</v>
      </c>
      <c r="J99" t="n">
        <v>0</v>
      </c>
      <c r="K99" t="n">
        <v>0</v>
      </c>
      <c r="L99" t="n">
        <v>0</v>
      </c>
      <c r="M99" t="n">
        <v>0</v>
      </c>
      <c r="N99" t="n">
        <v>0</v>
      </c>
    </row>
    <row r="100">
      <c r="A100" t="inlineStr">
        <is>
          <t>Perquisites</t>
        </is>
      </c>
      <c r="B100" t="inlineStr">
        <is>
          <t>3 shilling 4pence from William Basset for the same.</t>
        </is>
      </c>
      <c r="C100" t="n">
        <v>0.17</v>
      </c>
      <c r="D100" t="n">
        <v>0</v>
      </c>
      <c r="E100" t="n">
        <v>3</v>
      </c>
      <c r="F100" t="n">
        <v>4</v>
      </c>
      <c r="H100" t="n">
        <v>0</v>
      </c>
      <c r="I100" t="n">
        <v>0</v>
      </c>
      <c r="J100" t="n">
        <v>0</v>
      </c>
      <c r="K100" t="n">
        <v>0</v>
      </c>
      <c r="L100" t="n">
        <v>0</v>
      </c>
      <c r="M100" t="n">
        <v>0</v>
      </c>
      <c r="N100" t="n">
        <v>0</v>
      </c>
    </row>
    <row r="101">
      <c r="A101" t="inlineStr">
        <is>
          <t>Perquisites</t>
        </is>
      </c>
      <c r="B101" t="inlineStr">
        <is>
          <t>3 shilling 4pence from Richard Jacob for the same.</t>
        </is>
      </c>
      <c r="C101" t="n">
        <v>0.17</v>
      </c>
      <c r="D101" t="n">
        <v>0</v>
      </c>
      <c r="E101" t="n">
        <v>3</v>
      </c>
      <c r="F101" t="n">
        <v>4</v>
      </c>
      <c r="H101" t="n">
        <v>0</v>
      </c>
      <c r="I101" t="n">
        <v>0</v>
      </c>
      <c r="J101" t="n">
        <v>0</v>
      </c>
      <c r="K101" t="n">
        <v>0</v>
      </c>
      <c r="L101" t="n">
        <v>0</v>
      </c>
      <c r="M101" t="n">
        <v>0</v>
      </c>
      <c r="N101" t="n">
        <v>0</v>
      </c>
    </row>
    <row r="102">
      <c r="A102" t="inlineStr">
        <is>
          <t>Perquisites</t>
        </is>
      </c>
      <c r="B102" t="inlineStr">
        <is>
          <t>6 shilling 8pence from others of the hundred for the same.</t>
        </is>
      </c>
      <c r="C102" t="n">
        <v>0.33</v>
      </c>
      <c r="D102" t="n">
        <v>0</v>
      </c>
      <c r="E102" t="n">
        <v>6</v>
      </c>
      <c r="F102" t="n">
        <v>8</v>
      </c>
      <c r="H102" t="n">
        <v>0</v>
      </c>
      <c r="I102" t="n">
        <v>0</v>
      </c>
      <c r="J102" t="n">
        <v>0</v>
      </c>
      <c r="K102" t="n">
        <v>0</v>
      </c>
      <c r="L102" t="n">
        <v>0</v>
      </c>
      <c r="M102" t="n">
        <v>0</v>
      </c>
      <c r="N102" t="n">
        <v>0</v>
      </c>
    </row>
    <row r="103">
      <c r="A103" t="inlineStr">
        <is>
          <t>Perquisites</t>
        </is>
      </c>
      <c r="B103" t="inlineStr">
        <is>
          <t>3 shilling from John de Molendino because he received the lord's customary tenants at his mill.</t>
        </is>
      </c>
      <c r="C103" t="n">
        <v>0.15</v>
      </c>
      <c r="D103" t="n">
        <v>0</v>
      </c>
      <c r="E103" t="n">
        <v>3</v>
      </c>
      <c r="F103" t="n">
        <v>0</v>
      </c>
      <c r="H103" t="n">
        <v>0</v>
      </c>
      <c r="I103" t="n">
        <v>0</v>
      </c>
      <c r="J103" t="n">
        <v>0</v>
      </c>
      <c r="K103" t="n">
        <v>0</v>
      </c>
      <c r="L103" t="n">
        <v>0</v>
      </c>
      <c r="M103" t="n">
        <v>0</v>
      </c>
      <c r="N103" t="n">
        <v>0</v>
      </c>
    </row>
    <row r="104">
      <c r="A104" t="inlineStr">
        <is>
          <t>Perquisites</t>
        </is>
      </c>
      <c r="B104" t="inlineStr">
        <is>
          <t>£4 19 shilling 2pence from other small perquisites.</t>
        </is>
      </c>
      <c r="C104" t="n">
        <v>4.96</v>
      </c>
      <c r="D104" t="n">
        <v>4</v>
      </c>
      <c r="E104" t="n">
        <v>19</v>
      </c>
      <c r="F104" t="n">
        <v>2</v>
      </c>
      <c r="H104" t="n">
        <v>0</v>
      </c>
      <c r="I104" t="n">
        <v>0</v>
      </c>
      <c r="J104" t="n">
        <v>0</v>
      </c>
      <c r="K104" t="n">
        <v>0</v>
      </c>
      <c r="L104" t="n">
        <v>0</v>
      </c>
      <c r="M104" t="n">
        <v>0</v>
      </c>
      <c r="N104" t="n">
        <v>0</v>
      </c>
    </row>
    <row r="105">
      <c r="A105" t="inlineStr">
        <is>
          <t>Perquisites</t>
        </is>
      </c>
      <c r="B105" t="inlineStr">
        <is>
          <t>Total, £6 5 shilling 6pence</t>
        </is>
      </c>
      <c r="C105" t="n">
        <v>6.28</v>
      </c>
      <c r="D105" t="n">
        <v>6</v>
      </c>
      <c r="E105" t="n">
        <v>5</v>
      </c>
      <c r="F105" t="n">
        <v>6</v>
      </c>
      <c r="H105" t="n">
        <v>0</v>
      </c>
      <c r="I105" t="n">
        <v>0</v>
      </c>
      <c r="J105" t="n">
        <v>0</v>
      </c>
      <c r="K105" t="n">
        <v>0</v>
      </c>
      <c r="L105" t="n">
        <v>0</v>
      </c>
      <c r="M105" t="n">
        <v>0</v>
      </c>
      <c r="N105" t="n">
        <v>0</v>
      </c>
    </row>
    <row r="106">
      <c r="A106" t="inlineStr">
        <is>
          <t>Total of both</t>
        </is>
      </c>
      <c r="B106" t="inlineStr">
        <is>
          <t>Total of both, £10 11 shilling 10pence</t>
        </is>
      </c>
      <c r="C106" t="n">
        <v>10.59</v>
      </c>
      <c r="D106" t="n">
        <v>10</v>
      </c>
      <c r="E106" t="n">
        <v>11</v>
      </c>
      <c r="F106" t="n">
        <v>10</v>
      </c>
      <c r="H106" t="n">
        <v>0</v>
      </c>
      <c r="I106" t="n">
        <v>0</v>
      </c>
      <c r="J106" t="n">
        <v>0</v>
      </c>
      <c r="K106" t="n">
        <v>0</v>
      </c>
      <c r="L106" t="n">
        <v>0</v>
      </c>
      <c r="M106" t="n">
        <v>0</v>
      </c>
      <c r="N106" t="n">
        <v>0</v>
      </c>
    </row>
    <row r="107">
      <c r="A107" t="inlineStr">
        <is>
          <t>Total of all receipts</t>
        </is>
      </c>
      <c r="B107" t="inlineStr">
        <is>
          <t>Total of all receipts, £91 11 s. 10pence</t>
        </is>
      </c>
      <c r="C107" t="n">
        <v>91</v>
      </c>
      <c r="D107" t="n">
        <v>91</v>
      </c>
      <c r="E107" t="n">
        <v>0</v>
      </c>
      <c r="F107" t="n">
        <v>0</v>
      </c>
      <c r="H107" t="n">
        <v>0</v>
      </c>
      <c r="I107" t="n">
        <v>0</v>
      </c>
      <c r="J107" t="n">
        <v>0</v>
      </c>
      <c r="K107" t="n">
        <v>0</v>
      </c>
      <c r="L107" t="n">
        <v>0</v>
      </c>
      <c r="M107" t="n">
        <v>0</v>
      </c>
      <c r="N107" t="n">
        <v>0</v>
      </c>
    </row>
    <row r="108">
      <c r="A108" t="inlineStr">
        <is>
          <t xml:space="preserve">Cost of ploughs </t>
        </is>
      </c>
      <c r="B108" t="inlineStr">
        <is>
          <t>{henceforth the customary tenants should not be made to plough if it is seen that a profit is able to be made}In ironwork of 4 ploughs for the year and 1 plough at the time of the Lenten sowing 12 shilling 8pence.</t>
        </is>
      </c>
      <c r="C108" t="n">
        <v>0.63</v>
      </c>
      <c r="D108" t="n">
        <v>0</v>
      </c>
      <c r="E108" t="n">
        <v>12</v>
      </c>
      <c r="F108" t="n">
        <v>8</v>
      </c>
      <c r="H108" t="n">
        <v>0</v>
      </c>
      <c r="I108" t="n">
        <v>0</v>
      </c>
      <c r="J108" t="n">
        <v>0</v>
      </c>
      <c r="K108" t="n">
        <v>0</v>
      </c>
      <c r="L108" t="n">
        <v>0</v>
      </c>
      <c r="M108" t="n">
        <v>0</v>
      </c>
      <c r="N108" t="n">
        <v>0</v>
      </c>
    </row>
    <row r="109">
      <c r="A109" t="inlineStr">
        <is>
          <t xml:space="preserve">Cost of ploughs </t>
        </is>
      </c>
      <c r="B109" t="inlineStr">
        <is>
          <t>1 ploughshare bought 9pence.</t>
        </is>
      </c>
      <c r="C109" t="n">
        <v>0.04</v>
      </c>
      <c r="D109" t="n">
        <v>0</v>
      </c>
      <c r="E109" t="n">
        <v>0</v>
      </c>
      <c r="F109" t="n">
        <v>9</v>
      </c>
      <c r="H109" t="n">
        <v>0</v>
      </c>
      <c r="I109" t="n">
        <v>0</v>
      </c>
      <c r="J109" t="n">
        <v>0</v>
      </c>
      <c r="K109" t="n">
        <v>0</v>
      </c>
      <c r="L109" t="n">
        <v>0</v>
      </c>
      <c r="M109" t="n">
        <v>0</v>
      </c>
      <c r="N109" t="n">
        <v>0</v>
      </c>
    </row>
    <row r="110">
      <c r="A110" t="inlineStr">
        <is>
          <t xml:space="preserve">Cost of ploughs </t>
        </is>
      </c>
      <c r="B110" t="inlineStr">
        <is>
          <t>4 plough feet bought 1 shilling 4pence.</t>
        </is>
      </c>
      <c r="C110" t="n">
        <v>0.07000000000000001</v>
      </c>
      <c r="D110" t="n">
        <v>0</v>
      </c>
      <c r="E110" t="n">
        <v>1</v>
      </c>
      <c r="F110" t="n">
        <v>4</v>
      </c>
      <c r="H110" t="n">
        <v>0</v>
      </c>
      <c r="I110" t="n">
        <v>0</v>
      </c>
      <c r="J110" t="n">
        <v>0</v>
      </c>
      <c r="K110" t="n">
        <v>0</v>
      </c>
      <c r="L110" t="n">
        <v>0</v>
      </c>
      <c r="M110" t="n">
        <v>0</v>
      </c>
      <c r="N110" t="n">
        <v>0</v>
      </c>
    </row>
    <row r="111">
      <c r="A111" t="inlineStr">
        <is>
          <t xml:space="preserve">Cost of ploughs </t>
        </is>
      </c>
      <c r="B111" t="inlineStr">
        <is>
          <t>3 pairs of wheels bought 9pence.</t>
        </is>
      </c>
      <c r="C111" t="n">
        <v>0.04</v>
      </c>
      <c r="D111" t="n">
        <v>0</v>
      </c>
      <c r="E111" t="n">
        <v>0</v>
      </c>
      <c r="F111" t="n">
        <v>9</v>
      </c>
      <c r="H111" t="n">
        <v>0</v>
      </c>
      <c r="I111" t="n">
        <v>0</v>
      </c>
      <c r="J111" t="n">
        <v>0</v>
      </c>
      <c r="K111" t="n">
        <v>0</v>
      </c>
      <c r="L111" t="n">
        <v>0</v>
      </c>
      <c r="M111" t="n">
        <v>0</v>
      </c>
      <c r="N111" t="n">
        <v>0</v>
      </c>
    </row>
    <row r="112">
      <c r="A112" t="inlineStr">
        <is>
          <t xml:space="preserve">Cost of ploughs </t>
        </is>
      </c>
      <c r="B112" t="inlineStr">
        <is>
          <t>fitting ploughs with iron tyres 3pence.</t>
        </is>
      </c>
      <c r="C112" t="n">
        <v>0.01</v>
      </c>
      <c r="D112" t="n">
        <v>0</v>
      </c>
      <c r="E112" t="n">
        <v>0</v>
      </c>
      <c r="F112" t="n">
        <v>3</v>
      </c>
      <c r="H112" t="n">
        <v>0</v>
      </c>
      <c r="I112" t="n">
        <v>0</v>
      </c>
      <c r="J112" t="n">
        <v>0</v>
      </c>
      <c r="K112" t="n">
        <v>0</v>
      </c>
      <c r="L112" t="n">
        <v>0</v>
      </c>
      <c r="M112" t="n">
        <v>0</v>
      </c>
      <c r="N112" t="n">
        <v>0</v>
      </c>
    </row>
    <row r="113">
      <c r="A113" t="inlineStr">
        <is>
          <t xml:space="preserve">Cost of ploughs </t>
        </is>
      </c>
      <c r="B113" t="inlineStr">
        <is>
          <t>shoeing 8 plough-horses hauling before the oxen 1 shilling 10pence.</t>
        </is>
      </c>
      <c r="C113" t="n">
        <v>0.09</v>
      </c>
      <c r="D113" t="n">
        <v>0</v>
      </c>
      <c r="E113" t="n">
        <v>1</v>
      </c>
      <c r="F113" t="n">
        <v>10</v>
      </c>
      <c r="H113" t="n">
        <v>0</v>
      </c>
      <c r="I113" t="n">
        <v>0</v>
      </c>
      <c r="J113" t="n">
        <v>0</v>
      </c>
      <c r="K113" t="n">
        <v>0</v>
      </c>
      <c r="L113" t="n">
        <v>0</v>
      </c>
      <c r="M113" t="n">
        <v>0</v>
      </c>
      <c r="N113" t="n">
        <v>0</v>
      </c>
    </row>
    <row r="114">
      <c r="A114" t="inlineStr">
        <is>
          <t xml:space="preserve">Cost of ploughs </t>
        </is>
      </c>
      <c r="B114" t="inlineStr">
        <is>
          <t>boon-works of 23 ploughmen in winter and 22 ploughmen in Lent 7 shilling 6pence, and each ploughman ploughed 2 acres in winter and 2 acres in Lent as they lie and will have therefor 2pence Moreover, for 5 ploughmen of Ovington 5pence, and each ploughman ploughed 1 acre in winter and will have therefor 1pence.</t>
        </is>
      </c>
      <c r="C114" t="n">
        <v>0.38</v>
      </c>
      <c r="D114" t="n">
        <v>0</v>
      </c>
      <c r="E114" t="n">
        <v>7</v>
      </c>
      <c r="F114" t="n">
        <v>6</v>
      </c>
      <c r="H114" t="n">
        <v>0</v>
      </c>
      <c r="I114" t="n">
        <v>0</v>
      </c>
      <c r="J114" t="n">
        <v>0</v>
      </c>
      <c r="K114" t="n">
        <v>0</v>
      </c>
      <c r="L114" t="n">
        <v>0</v>
      </c>
      <c r="M114" t="n">
        <v>0</v>
      </c>
      <c r="N114" t="n">
        <v>0</v>
      </c>
    </row>
    <row r="115">
      <c r="A115" t="inlineStr">
        <is>
          <t xml:space="preserve">Cost of ploughs </t>
        </is>
      </c>
      <c r="B115" t="inlineStr">
        <is>
          <t>1 new harrow made and others mended 2pence.</t>
        </is>
      </c>
      <c r="C115" t="n">
        <v>0.01</v>
      </c>
      <c r="D115" t="n">
        <v>0</v>
      </c>
      <c r="E115" t="n">
        <v>0</v>
      </c>
      <c r="F115" t="n">
        <v>2</v>
      </c>
      <c r="H115" t="n">
        <v>0</v>
      </c>
      <c r="I115" t="n">
        <v>0</v>
      </c>
      <c r="J115" t="n">
        <v>0</v>
      </c>
      <c r="K115" t="n">
        <v>0</v>
      </c>
      <c r="L115" t="n">
        <v>0</v>
      </c>
      <c r="M115" t="n">
        <v>0</v>
      </c>
      <c r="N115" t="n">
        <v>0</v>
      </c>
    </row>
    <row r="116">
      <c r="A116" t="inlineStr">
        <is>
          <t xml:space="preserve">Cost of ploughs </t>
        </is>
      </c>
      <c r="B116" t="inlineStr">
        <is>
          <t>spreading dung in the fields 1 shilling 2pence.</t>
        </is>
      </c>
      <c r="C116" t="n">
        <v>0.06</v>
      </c>
      <c r="D116" t="n">
        <v>0</v>
      </c>
      <c r="E116" t="n">
        <v>1</v>
      </c>
      <c r="F116" t="n">
        <v>2</v>
      </c>
      <c r="H116" t="n">
        <v>0</v>
      </c>
      <c r="I116" t="n">
        <v>0</v>
      </c>
      <c r="J116" t="n">
        <v>0</v>
      </c>
      <c r="K116" t="n">
        <v>0</v>
      </c>
      <c r="L116" t="n">
        <v>0</v>
      </c>
      <c r="M116" t="n">
        <v>0</v>
      </c>
      <c r="N116" t="n">
        <v>0</v>
      </c>
    </row>
    <row r="117">
      <c r="A117" t="inlineStr">
        <is>
          <t xml:space="preserve">Cost of ploughs </t>
        </is>
      </c>
      <c r="B117" t="inlineStr">
        <is>
          <t>4 oxen bought £2 6 shilling, at 11 shilling each for 2, and 12 shilling each for 2..</t>
        </is>
      </c>
      <c r="C117" t="n">
        <v>2.3</v>
      </c>
      <c r="D117" t="n">
        <v>2</v>
      </c>
      <c r="E117" t="n">
        <v>6</v>
      </c>
      <c r="F117" t="n">
        <v>0</v>
      </c>
      <c r="H117" t="n">
        <v>0</v>
      </c>
      <c r="I117" t="n">
        <v>0</v>
      </c>
      <c r="J117" t="n">
        <v>0</v>
      </c>
      <c r="K117" t="n">
        <v>0</v>
      </c>
      <c r="L117" t="n">
        <v>0</v>
      </c>
      <c r="M117" t="n">
        <v>0</v>
      </c>
      <c r="N117" t="n">
        <v>0</v>
      </c>
    </row>
    <row r="118">
      <c r="A118" t="inlineStr">
        <is>
          <t xml:space="preserve">Cost of ploughs </t>
        </is>
      </c>
      <c r="B118" t="inlineStr">
        <is>
          <t>forage bought for oxen and other animals 10 shilling Total, £4 2 shilling 10pence</t>
        </is>
      </c>
      <c r="C118" t="n">
        <v>4.14</v>
      </c>
      <c r="D118" t="n">
        <v>4</v>
      </c>
      <c r="E118" t="n">
        <v>2</v>
      </c>
      <c r="F118" t="n">
        <v>10</v>
      </c>
      <c r="H118" t="n">
        <v>0</v>
      </c>
      <c r="I118" t="n">
        <v>0</v>
      </c>
      <c r="J118" t="n">
        <v>0</v>
      </c>
      <c r="K118" t="n">
        <v>0</v>
      </c>
      <c r="L118" t="n">
        <v>0</v>
      </c>
      <c r="M118" t="n">
        <v>0</v>
      </c>
      <c r="N118" t="n">
        <v>0</v>
      </c>
    </row>
    <row r="119">
      <c r="A119" t="inlineStr">
        <is>
          <t>Purchase of corn</t>
        </is>
      </c>
      <c r="B119" t="inlineStr">
        <is>
          <t>In 1 quarters 6 bushels of winter barley bought for sowing 5 shilling 3pence, at 3 shilling a quarters.</t>
        </is>
      </c>
      <c r="C119" t="n">
        <v>0.26</v>
      </c>
      <c r="D119" t="n">
        <v>0</v>
      </c>
      <c r="E119" t="n">
        <v>5</v>
      </c>
      <c r="F119" t="n">
        <v>3</v>
      </c>
      <c r="G119" t="inlineStr">
        <is>
          <t>barley</t>
        </is>
      </c>
      <c r="H119" t="n">
        <v>1</v>
      </c>
      <c r="I119" t="n">
        <v>6</v>
      </c>
      <c r="J119" t="n">
        <v>1.75</v>
      </c>
      <c r="K119" t="n">
        <v>1.75</v>
      </c>
      <c r="L119" t="n">
        <v>0</v>
      </c>
      <c r="M119" t="n">
        <v>1</v>
      </c>
      <c r="N119" t="n">
        <v>6</v>
      </c>
      <c r="W119" t="n">
        <v>3</v>
      </c>
      <c r="X119" t="n">
        <v>0</v>
      </c>
    </row>
    <row r="120">
      <c r="A120" t="inlineStr">
        <is>
          <t>Purchase of corn</t>
        </is>
      </c>
      <c r="B120" t="inlineStr">
        <is>
          <t>.</t>
        </is>
      </c>
      <c r="C120" t="n">
        <v>0</v>
      </c>
      <c r="D120" t="n">
        <v>0</v>
      </c>
      <c r="E120" t="n">
        <v>0</v>
      </c>
      <c r="F120" t="n">
        <v>0</v>
      </c>
      <c r="H120" t="n">
        <v>0</v>
      </c>
      <c r="I120" t="n">
        <v>0</v>
      </c>
      <c r="J120" t="n">
        <v>0</v>
      </c>
      <c r="K120" t="n">
        <v>0</v>
      </c>
      <c r="L120" t="n">
        <v>0</v>
      </c>
      <c r="M120" t="n">
        <v>0</v>
      </c>
      <c r="N120" t="n">
        <v>0</v>
      </c>
    </row>
    <row r="121">
      <c r="A121" t="inlineStr">
        <is>
          <t>Purchase of corn</t>
        </is>
      </c>
      <c r="B121" t="inlineStr">
        <is>
          <t>15 quarters of barley bought for the liveries of the manorial servants £2 15 shilling, at 3 shilling a quarters for 5 quarters, and 4 shilling a quarters for 10 quarters.</t>
        </is>
      </c>
      <c r="C121" t="n">
        <v>2.75</v>
      </c>
      <c r="D121" t="n">
        <v>2</v>
      </c>
      <c r="E121" t="n">
        <v>15</v>
      </c>
      <c r="F121" t="n">
        <v>0</v>
      </c>
      <c r="G121" t="inlineStr">
        <is>
          <t>barley</t>
        </is>
      </c>
      <c r="H121" t="n">
        <v>15</v>
      </c>
      <c r="I121" t="n">
        <v>0</v>
      </c>
      <c r="J121" t="n">
        <v>15</v>
      </c>
      <c r="K121" t="n">
        <v>15</v>
      </c>
      <c r="L121" t="n">
        <v>0</v>
      </c>
      <c r="M121" t="n">
        <v>15</v>
      </c>
      <c r="N121" t="n">
        <v>0</v>
      </c>
      <c r="O121" t="n">
        <v>5</v>
      </c>
      <c r="P121" t="n">
        <v>0</v>
      </c>
      <c r="Q121" t="n">
        <v>10</v>
      </c>
      <c r="R121" t="n">
        <v>0</v>
      </c>
      <c r="W121" t="n">
        <v>3</v>
      </c>
      <c r="X121" t="n">
        <v>0</v>
      </c>
      <c r="Y121" t="n">
        <v>4</v>
      </c>
      <c r="Z121" t="n">
        <v>0</v>
      </c>
    </row>
    <row r="122">
      <c r="A122" t="inlineStr">
        <is>
          <t>Purchase of corn</t>
        </is>
      </c>
      <c r="B122" t="inlineStr">
        <is>
          <t>Total, £3 3pence</t>
        </is>
      </c>
      <c r="C122" t="n">
        <v>3.01</v>
      </c>
      <c r="D122" t="n">
        <v>3</v>
      </c>
      <c r="E122" t="n">
        <v>0</v>
      </c>
      <c r="F122" t="n">
        <v>3</v>
      </c>
      <c r="H122" t="n">
        <v>0</v>
      </c>
      <c r="I122" t="n">
        <v>0</v>
      </c>
      <c r="J122" t="n">
        <v>0</v>
      </c>
      <c r="K122" t="n">
        <v>0</v>
      </c>
      <c r="L122" t="n">
        <v>0</v>
      </c>
      <c r="M122" t="n">
        <v>0</v>
      </c>
      <c r="N122" t="n">
        <v>0</v>
      </c>
    </row>
    <row r="123">
      <c r="A123" t="inlineStr">
        <is>
          <t>Carts</t>
        </is>
      </c>
      <c r="B123" t="inlineStr">
        <is>
          <t>In 1 pair of wheels made from the lord's timber 9pence.</t>
        </is>
      </c>
      <c r="C123" t="n">
        <v>0.04</v>
      </c>
      <c r="D123" t="n">
        <v>0</v>
      </c>
      <c r="E123" t="n">
        <v>0</v>
      </c>
      <c r="F123" t="n">
        <v>9</v>
      </c>
      <c r="H123" t="n">
        <v>0</v>
      </c>
      <c r="I123" t="n">
        <v>0</v>
      </c>
      <c r="J123" t="n">
        <v>0</v>
      </c>
      <c r="K123" t="n">
        <v>0</v>
      </c>
      <c r="L123" t="n">
        <v>0</v>
      </c>
      <c r="M123" t="n">
        <v>0</v>
      </c>
      <c r="N123" t="n">
        <v>0</v>
      </c>
    </row>
    <row r="124">
      <c r="A124" t="inlineStr">
        <is>
          <t>Carts</t>
        </is>
      </c>
      <c r="B124" t="inlineStr">
        <is>
          <t>iron bought and large nails made and old tyres mended and put on the said wheels with the stipend of the smith 5 shilling.</t>
        </is>
      </c>
      <c r="C124" t="n">
        <v>0.25</v>
      </c>
      <c r="D124" t="n">
        <v>0</v>
      </c>
      <c r="E124" t="n">
        <v>5</v>
      </c>
      <c r="F124" t="n">
        <v>0</v>
      </c>
      <c r="H124" t="n">
        <v>0</v>
      </c>
      <c r="I124" t="n">
        <v>0</v>
      </c>
      <c r="J124" t="n">
        <v>0</v>
      </c>
      <c r="K124" t="n">
        <v>0</v>
      </c>
      <c r="L124" t="n">
        <v>0</v>
      </c>
      <c r="M124" t="n">
        <v>0</v>
      </c>
      <c r="N124" t="n">
        <v>0</v>
      </c>
    </row>
    <row r="125">
      <c r="A125" t="inlineStr">
        <is>
          <t>Carts</t>
        </is>
      </c>
      <c r="B125" t="inlineStr">
        <is>
          <t>fitting the cart with axles 6pence.</t>
        </is>
      </c>
      <c r="C125" t="n">
        <v>0.03</v>
      </c>
      <c r="D125" t="n">
        <v>0</v>
      </c>
      <c r="E125" t="n">
        <v>0</v>
      </c>
      <c r="F125" t="n">
        <v>6</v>
      </c>
      <c r="H125" t="n">
        <v>0</v>
      </c>
      <c r="I125" t="n">
        <v>0</v>
      </c>
      <c r="J125" t="n">
        <v>0</v>
      </c>
      <c r="K125" t="n">
        <v>0</v>
      </c>
      <c r="L125" t="n">
        <v>0</v>
      </c>
      <c r="M125" t="n">
        <v>0</v>
      </c>
      <c r="N125" t="n">
        <v>0</v>
      </c>
    </row>
    <row r="126">
      <c r="A126" t="inlineStr">
        <is>
          <t>Carts</t>
        </is>
      </c>
      <c r="B126" t="inlineStr">
        <is>
          <t>clouts, nails and grease bought 1 shilling 1pence.</t>
        </is>
      </c>
      <c r="C126" t="n">
        <v>0.05</v>
      </c>
      <c r="D126" t="n">
        <v>0</v>
      </c>
      <c r="E126" t="n">
        <v>1</v>
      </c>
      <c r="F126" t="n">
        <v>1</v>
      </c>
      <c r="H126" t="n">
        <v>0</v>
      </c>
      <c r="I126" t="n">
        <v>0</v>
      </c>
      <c r="J126" t="n">
        <v>0</v>
      </c>
      <c r="K126" t="n">
        <v>0</v>
      </c>
      <c r="L126" t="n">
        <v>0</v>
      </c>
      <c r="M126" t="n">
        <v>0</v>
      </c>
      <c r="N126" t="n">
        <v>0</v>
      </c>
    </row>
    <row r="127">
      <c r="A127" t="inlineStr">
        <is>
          <t>Carts</t>
        </is>
      </c>
      <c r="B127" t="inlineStr">
        <is>
          <t>white leather bought for harnesses 5pence.</t>
        </is>
      </c>
      <c r="C127" t="n">
        <v>0.02</v>
      </c>
      <c r="D127" t="n">
        <v>0</v>
      </c>
      <c r="E127" t="n">
        <v>0</v>
      </c>
      <c r="F127" t="n">
        <v>5</v>
      </c>
      <c r="H127" t="n">
        <v>0</v>
      </c>
      <c r="I127" t="n">
        <v>0</v>
      </c>
      <c r="J127" t="n">
        <v>0</v>
      </c>
      <c r="K127" t="n">
        <v>0</v>
      </c>
      <c r="L127" t="n">
        <v>0</v>
      </c>
      <c r="M127" t="n">
        <v>0</v>
      </c>
      <c r="N127" t="n">
        <v>0</v>
      </c>
    </row>
    <row r="128">
      <c r="A128" t="inlineStr">
        <is>
          <t>Carts</t>
        </is>
      </c>
      <c r="B128" t="inlineStr">
        <is>
          <t>shoeing 2 cart-horses 3 shilling.</t>
        </is>
      </c>
      <c r="C128" t="n">
        <v>0.15</v>
      </c>
      <c r="D128" t="n">
        <v>0</v>
      </c>
      <c r="E128" t="n">
        <v>3</v>
      </c>
      <c r="F128" t="n">
        <v>0</v>
      </c>
      <c r="H128" t="n">
        <v>0</v>
      </c>
      <c r="I128" t="n">
        <v>0</v>
      </c>
      <c r="J128" t="n">
        <v>0</v>
      </c>
      <c r="K128" t="n">
        <v>0</v>
      </c>
      <c r="L128" t="n">
        <v>0</v>
      </c>
      <c r="M128" t="n">
        <v>0</v>
      </c>
      <c r="N128" t="n">
        <v>0</v>
      </c>
    </row>
    <row r="129">
      <c r="A129" t="inlineStr">
        <is>
          <t>Carts</t>
        </is>
      </c>
      <c r="B129" t="inlineStr">
        <is>
          <t>shoeing 3 plough-horses helping the cart-horses at the time of the summer sowing to clear dung 10pence.</t>
        </is>
      </c>
      <c r="C129" t="n">
        <v>0.04</v>
      </c>
      <c r="D129" t="n">
        <v>0</v>
      </c>
      <c r="E129" t="n">
        <v>0</v>
      </c>
      <c r="F129" t="n">
        <v>10</v>
      </c>
      <c r="H129" t="n">
        <v>0</v>
      </c>
      <c r="I129" t="n">
        <v>0</v>
      </c>
      <c r="J129" t="n">
        <v>0</v>
      </c>
      <c r="K129" t="n">
        <v>0</v>
      </c>
      <c r="L129" t="n">
        <v>0</v>
      </c>
      <c r="M129" t="n">
        <v>0</v>
      </c>
      <c r="N129" t="n">
        <v>0</v>
      </c>
    </row>
    <row r="130">
      <c r="A130" t="inlineStr">
        <is>
          <t>Carts</t>
        </is>
      </c>
      <c r="B130" t="inlineStr">
        <is>
          <t>4 halters made 1pence.</t>
        </is>
      </c>
      <c r="C130" t="n">
        <v>0</v>
      </c>
      <c r="D130" t="n">
        <v>0</v>
      </c>
      <c r="E130" t="n">
        <v>0</v>
      </c>
      <c r="F130" t="n">
        <v>1</v>
      </c>
      <c r="H130" t="n">
        <v>0</v>
      </c>
      <c r="I130" t="n">
        <v>0</v>
      </c>
      <c r="J130" t="n">
        <v>0</v>
      </c>
      <c r="K130" t="n">
        <v>0</v>
      </c>
      <c r="L130" t="n">
        <v>0</v>
      </c>
      <c r="M130" t="n">
        <v>0</v>
      </c>
      <c r="N130" t="n">
        <v>0</v>
      </c>
    </row>
    <row r="131">
      <c r="A131" t="inlineStr">
        <is>
          <t>Carts</t>
        </is>
      </c>
      <c r="B131" t="inlineStr">
        <is>
          <t>1 collar and 1 pair of saddle-pads bought 1 shilling.</t>
        </is>
      </c>
      <c r="C131" t="n">
        <v>0.05</v>
      </c>
      <c r="D131" t="n">
        <v>0</v>
      </c>
      <c r="E131" t="n">
        <v>1</v>
      </c>
      <c r="F131" t="n">
        <v>0</v>
      </c>
      <c r="H131" t="n">
        <v>0</v>
      </c>
      <c r="I131" t="n">
        <v>0</v>
      </c>
      <c r="J131" t="n">
        <v>0</v>
      </c>
      <c r="K131" t="n">
        <v>0</v>
      </c>
      <c r="L131" t="n">
        <v>0</v>
      </c>
      <c r="M131" t="n">
        <v>0</v>
      </c>
      <c r="N131" t="n">
        <v>0</v>
      </c>
    </row>
    <row r="132">
      <c r="A132" t="inlineStr">
        <is>
          <t>Carts</t>
        </is>
      </c>
      <c r="B132" t="inlineStr">
        <is>
          <t>2 ropes bought for tethering horses in the pasture 2pence.</t>
        </is>
      </c>
      <c r="C132" t="n">
        <v>0.01</v>
      </c>
      <c r="D132" t="n">
        <v>0</v>
      </c>
      <c r="E132" t="n">
        <v>0</v>
      </c>
      <c r="F132" t="n">
        <v>2</v>
      </c>
      <c r="H132" t="n">
        <v>0</v>
      </c>
      <c r="I132" t="n">
        <v>0</v>
      </c>
      <c r="J132" t="n">
        <v>0</v>
      </c>
      <c r="K132" t="n">
        <v>0</v>
      </c>
      <c r="L132" t="n">
        <v>0</v>
      </c>
      <c r="M132" t="n">
        <v>0</v>
      </c>
      <c r="N132" t="n">
        <v>0</v>
      </c>
    </row>
    <row r="133">
      <c r="A133" t="inlineStr">
        <is>
          <t>Carts</t>
        </is>
      </c>
      <c r="B133" t="inlineStr">
        <is>
          <t>stipend of 1 carter for the year 3 shilling Total, 14 shilling 10pence</t>
        </is>
      </c>
      <c r="C133" t="n">
        <v>0.19</v>
      </c>
      <c r="D133" t="n">
        <v>0</v>
      </c>
      <c r="E133" t="n">
        <v>3</v>
      </c>
      <c r="F133" t="n">
        <v>10</v>
      </c>
      <c r="H133" t="n">
        <v>0</v>
      </c>
      <c r="I133" t="n">
        <v>0</v>
      </c>
      <c r="J133" t="n">
        <v>0</v>
      </c>
      <c r="K133" t="n">
        <v>0</v>
      </c>
      <c r="L133" t="n">
        <v>0</v>
      </c>
      <c r="M133" t="n">
        <v>0</v>
      </c>
      <c r="N133" t="n">
        <v>0</v>
      </c>
    </row>
    <row r="134">
      <c r="A134" t="inlineStr">
        <is>
          <t>Dairy</t>
        </is>
      </c>
      <c r="B134" t="inlineStr">
        <is>
          <t>In 6 bushels of salt bought 1 shilling 6pence.</t>
        </is>
      </c>
      <c r="C134" t="n">
        <v>0.08</v>
      </c>
      <c r="D134" t="n">
        <v>0</v>
      </c>
      <c r="E134" t="n">
        <v>1</v>
      </c>
      <c r="F134" t="n">
        <v>6</v>
      </c>
      <c r="H134" t="n">
        <v>0</v>
      </c>
      <c r="I134" t="n">
        <v>6</v>
      </c>
      <c r="J134" t="n">
        <v>0.75</v>
      </c>
      <c r="K134" t="n">
        <v>0.75</v>
      </c>
      <c r="L134" t="n">
        <v>0</v>
      </c>
      <c r="M134" t="n">
        <v>0</v>
      </c>
      <c r="N134" t="n">
        <v>6</v>
      </c>
    </row>
    <row r="135">
      <c r="A135" t="inlineStr">
        <is>
          <t>Dairy</t>
        </is>
      </c>
      <c r="B135" t="inlineStr">
        <is>
          <t>a press bought 4pence.</t>
        </is>
      </c>
      <c r="C135" t="n">
        <v>0.02</v>
      </c>
      <c r="D135" t="n">
        <v>0</v>
      </c>
      <c r="E135" t="n">
        <v>0</v>
      </c>
      <c r="F135" t="n">
        <v>4</v>
      </c>
      <c r="H135" t="n">
        <v>0</v>
      </c>
      <c r="I135" t="n">
        <v>0</v>
      </c>
      <c r="J135" t="n">
        <v>0</v>
      </c>
      <c r="K135" t="n">
        <v>0</v>
      </c>
      <c r="L135" t="n">
        <v>0</v>
      </c>
      <c r="M135" t="n">
        <v>0</v>
      </c>
      <c r="N135" t="n">
        <v>0</v>
      </c>
    </row>
    <row r="136">
      <c r="A136" t="inlineStr">
        <is>
          <t>Dairy</t>
        </is>
      </c>
      <c r="B136" t="inlineStr">
        <is>
          <t>earthenware pots and pans bought 5pence.</t>
        </is>
      </c>
      <c r="C136" t="n">
        <v>0.02</v>
      </c>
      <c r="D136" t="n">
        <v>0</v>
      </c>
      <c r="E136" t="n">
        <v>0</v>
      </c>
      <c r="F136" t="n">
        <v>5</v>
      </c>
      <c r="H136" t="n">
        <v>0</v>
      </c>
      <c r="I136" t="n">
        <v>0</v>
      </c>
      <c r="J136" t="n">
        <v>0</v>
      </c>
      <c r="K136" t="n">
        <v>0</v>
      </c>
      <c r="L136" t="n">
        <v>0</v>
      </c>
      <c r="M136" t="n">
        <v>0</v>
      </c>
      <c r="N136" t="n">
        <v>0</v>
      </c>
    </row>
    <row r="137">
      <c r="A137" t="inlineStr">
        <is>
          <t>Dairy</t>
        </is>
      </c>
      <c r="B137" t="inlineStr">
        <is>
          <t>woollen and linen cloth bought 8pence.</t>
        </is>
      </c>
      <c r="C137" t="n">
        <v>0.03</v>
      </c>
      <c r="D137" t="n">
        <v>0</v>
      </c>
      <c r="E137" t="n">
        <v>0</v>
      </c>
      <c r="F137" t="n">
        <v>8</v>
      </c>
      <c r="H137" t="n">
        <v>0</v>
      </c>
      <c r="I137" t="n">
        <v>0</v>
      </c>
      <c r="J137" t="n">
        <v>0</v>
      </c>
      <c r="K137" t="n">
        <v>0</v>
      </c>
      <c r="L137" t="n">
        <v>0</v>
      </c>
      <c r="M137" t="n">
        <v>0</v>
      </c>
      <c r="N137" t="n">
        <v>0</v>
      </c>
    </row>
    <row r="138">
      <c r="A138" t="inlineStr">
        <is>
          <t>Dairy</t>
        </is>
      </c>
      <c r="B138" t="inlineStr">
        <is>
          <t>1 mould bought 6pence.</t>
        </is>
      </c>
      <c r="C138" t="n">
        <v>0.03</v>
      </c>
      <c r="D138" t="n">
        <v>0</v>
      </c>
      <c r="E138" t="n">
        <v>0</v>
      </c>
      <c r="F138" t="n">
        <v>6</v>
      </c>
      <c r="H138" t="n">
        <v>0</v>
      </c>
      <c r="I138" t="n">
        <v>0</v>
      </c>
      <c r="J138" t="n">
        <v>0</v>
      </c>
      <c r="K138" t="n">
        <v>0</v>
      </c>
      <c r="L138" t="n">
        <v>0</v>
      </c>
      <c r="M138" t="n">
        <v>0</v>
      </c>
      <c r="N138" t="n">
        <v>0</v>
      </c>
    </row>
    <row r="139">
      <c r="A139" t="inlineStr">
        <is>
          <t>Dairy</t>
        </is>
      </c>
      <c r="B139" t="inlineStr">
        <is>
          <t>1 tine bought 5pence.</t>
        </is>
      </c>
      <c r="C139" t="n">
        <v>0.02</v>
      </c>
      <c r="D139" t="n">
        <v>0</v>
      </c>
      <c r="E139" t="n">
        <v>0</v>
      </c>
      <c r="F139" t="n">
        <v>5</v>
      </c>
      <c r="H139" t="n">
        <v>0</v>
      </c>
      <c r="I139" t="n">
        <v>0</v>
      </c>
      <c r="J139" t="n">
        <v>0</v>
      </c>
      <c r="K139" t="n">
        <v>0</v>
      </c>
      <c r="L139" t="n">
        <v>0</v>
      </c>
      <c r="M139" t="n">
        <v>0</v>
      </c>
      <c r="N139" t="n">
        <v>0</v>
      </c>
    </row>
    <row r="140">
      <c r="A140" t="inlineStr">
        <is>
          <t>Dairy</t>
        </is>
      </c>
      <c r="B140" t="inlineStr">
        <is>
          <t>mending other utensils of the dairy 4pence.</t>
        </is>
      </c>
      <c r="C140" t="n">
        <v>0.02</v>
      </c>
      <c r="D140" t="n">
        <v>0</v>
      </c>
      <c r="E140" t="n">
        <v>0</v>
      </c>
      <c r="F140" t="n">
        <v>4</v>
      </c>
      <c r="H140" t="n">
        <v>0</v>
      </c>
      <c r="I140" t="n">
        <v>0</v>
      </c>
      <c r="J140" t="n">
        <v>0</v>
      </c>
      <c r="K140" t="n">
        <v>0</v>
      </c>
      <c r="L140" t="n">
        <v>0</v>
      </c>
      <c r="M140" t="n">
        <v>0</v>
      </c>
      <c r="N140" t="n">
        <v>0</v>
      </c>
    </row>
    <row r="141">
      <c r="A141" t="inlineStr">
        <is>
          <t>Dairy</t>
        </is>
      </c>
      <c r="B141" t="inlineStr">
        <is>
          <t>15 ells of canvas bought 3 shilling 9pence.</t>
        </is>
      </c>
      <c r="C141" t="n">
        <v>0.19</v>
      </c>
      <c r="D141" t="n">
        <v>0</v>
      </c>
      <c r="E141" t="n">
        <v>3</v>
      </c>
      <c r="F141" t="n">
        <v>9</v>
      </c>
      <c r="H141" t="n">
        <v>0</v>
      </c>
      <c r="I141" t="n">
        <v>0</v>
      </c>
      <c r="J141" t="n">
        <v>0</v>
      </c>
      <c r="K141" t="n">
        <v>0</v>
      </c>
      <c r="L141" t="n">
        <v>0</v>
      </c>
      <c r="M141" t="n">
        <v>0</v>
      </c>
      <c r="N141" t="n">
        <v>0</v>
      </c>
    </row>
    <row r="142">
      <c r="A142" t="inlineStr">
        <is>
          <t>Dairy</t>
        </is>
      </c>
      <c r="B142" t="inlineStr">
        <is>
          <t>packing wool and making sacks with thread bought for the same 4pence.</t>
        </is>
      </c>
      <c r="C142" t="n">
        <v>0.02</v>
      </c>
      <c r="D142" t="n">
        <v>0</v>
      </c>
      <c r="E142" t="n">
        <v>0</v>
      </c>
      <c r="F142" t="n">
        <v>4</v>
      </c>
      <c r="H142" t="n">
        <v>0</v>
      </c>
      <c r="I142" t="n">
        <v>0</v>
      </c>
      <c r="J142" t="n">
        <v>0</v>
      </c>
      <c r="K142" t="n">
        <v>0</v>
      </c>
      <c r="L142" t="n">
        <v>0</v>
      </c>
      <c r="M142" t="n">
        <v>0</v>
      </c>
      <c r="N142" t="n">
        <v>0</v>
      </c>
    </row>
    <row r="143">
      <c r="A143" t="inlineStr">
        <is>
          <t>Dairy</t>
        </is>
      </c>
      <c r="B143" t="inlineStr">
        <is>
          <t>vinegar, copperas and grease to make well diseased sheep £1 1 shilling.</t>
        </is>
      </c>
      <c r="C143" t="n">
        <v>1.05</v>
      </c>
      <c r="D143" t="n">
        <v>1</v>
      </c>
      <c r="E143" t="n">
        <v>1</v>
      </c>
      <c r="F143" t="n">
        <v>0</v>
      </c>
      <c r="H143" t="n">
        <v>0</v>
      </c>
      <c r="I143" t="n">
        <v>0</v>
      </c>
      <c r="J143" t="n">
        <v>0</v>
      </c>
      <c r="K143" t="n">
        <v>0</v>
      </c>
      <c r="L143" t="n">
        <v>0</v>
      </c>
      <c r="M143" t="n">
        <v>0</v>
      </c>
      <c r="N143" t="n">
        <v>0</v>
      </c>
    </row>
    <row r="144">
      <c r="A144" t="inlineStr">
        <is>
          <t>Dairy</t>
        </is>
      </c>
      <c r="B144" t="inlineStr">
        <is>
          <t>48 hurdles made for the fold 2 shilling.</t>
        </is>
      </c>
      <c r="C144" t="n">
        <v>0.1</v>
      </c>
      <c r="D144" t="n">
        <v>0</v>
      </c>
      <c r="E144" t="n">
        <v>2</v>
      </c>
      <c r="F144" t="n">
        <v>0</v>
      </c>
      <c r="H144" t="n">
        <v>0</v>
      </c>
      <c r="I144" t="n">
        <v>0</v>
      </c>
      <c r="J144" t="n">
        <v>0</v>
      </c>
      <c r="K144" t="n">
        <v>0</v>
      </c>
      <c r="L144" t="n">
        <v>0</v>
      </c>
      <c r="M144" t="n">
        <v>0</v>
      </c>
      <c r="N144" t="n">
        <v>0</v>
      </c>
    </row>
    <row r="145">
      <c r="A145" t="inlineStr">
        <is>
          <t>Dairy</t>
        </is>
      </c>
      <c r="B145" t="inlineStr">
        <is>
          <t>stipend of 1 dairymaid from the Purification (2 February) until Michaelmas (29 September) 2 shilling.</t>
        </is>
      </c>
      <c r="C145" t="n">
        <v>0.1</v>
      </c>
      <c r="D145" t="n">
        <v>0</v>
      </c>
      <c r="E145" t="n">
        <v>2</v>
      </c>
      <c r="F145" t="n">
        <v>0</v>
      </c>
      <c r="H145" t="n">
        <v>0</v>
      </c>
      <c r="I145" t="n">
        <v>0</v>
      </c>
      <c r="J145" t="n">
        <v>0</v>
      </c>
      <c r="K145" t="n">
        <v>0</v>
      </c>
      <c r="L145" t="n">
        <v>0</v>
      </c>
      <c r="M145" t="n">
        <v>0</v>
      </c>
      <c r="N145" t="n">
        <v>0</v>
      </c>
    </row>
    <row r="146">
      <c r="A146" t="inlineStr">
        <is>
          <t>Dairy</t>
        </is>
      </c>
      <c r="B146" t="inlineStr">
        <is>
          <t>1 cratch made for sheep and others mended 1 shilling.</t>
        </is>
      </c>
      <c r="C146" t="n">
        <v>0.05</v>
      </c>
      <c r="D146" t="n">
        <v>0</v>
      </c>
      <c r="E146" t="n">
        <v>1</v>
      </c>
      <c r="F146" t="n">
        <v>0</v>
      </c>
      <c r="H146" t="n">
        <v>0</v>
      </c>
      <c r="I146" t="n">
        <v>0</v>
      </c>
      <c r="J146" t="n">
        <v>0</v>
      </c>
      <c r="K146" t="n">
        <v>0</v>
      </c>
      <c r="L146" t="n">
        <v>0</v>
      </c>
      <c r="M146" t="n">
        <v>0</v>
      </c>
      <c r="N146" t="n">
        <v>0</v>
      </c>
    </row>
    <row r="147">
      <c r="A147" t="inlineStr">
        <is>
          <t>Dairy</t>
        </is>
      </c>
      <c r="B147" t="inlineStr">
        <is>
          <t>roofing the wether-house in places 1 shilling 6pence.</t>
        </is>
      </c>
      <c r="C147" t="n">
        <v>0.08</v>
      </c>
      <c r="D147" t="n">
        <v>0</v>
      </c>
      <c r="E147" t="n">
        <v>1</v>
      </c>
      <c r="F147" t="n">
        <v>6</v>
      </c>
      <c r="H147" t="n">
        <v>0</v>
      </c>
      <c r="I147" t="n">
        <v>0</v>
      </c>
      <c r="J147" t="n">
        <v>0</v>
      </c>
      <c r="K147" t="n">
        <v>0</v>
      </c>
      <c r="L147" t="n">
        <v>0</v>
      </c>
      <c r="M147" t="n">
        <v>0</v>
      </c>
      <c r="N147" t="n">
        <v>0</v>
      </c>
    </row>
    <row r="148">
      <c r="A148" t="inlineStr">
        <is>
          <t>Dairy</t>
        </is>
      </c>
      <c r="B148" t="inlineStr">
        <is>
          <t>39 lambs bought before shearing £1 4 shilling 6pence, at 6pence each for 9, and 8pence each for 30..</t>
        </is>
      </c>
      <c r="C148" t="n">
        <v>1.22</v>
      </c>
      <c r="D148" t="n">
        <v>1</v>
      </c>
      <c r="E148" t="n">
        <v>4</v>
      </c>
      <c r="F148" t="n">
        <v>6</v>
      </c>
      <c r="H148" t="n">
        <v>0</v>
      </c>
      <c r="I148" t="n">
        <v>0</v>
      </c>
      <c r="J148" t="n">
        <v>0</v>
      </c>
      <c r="K148" t="n">
        <v>0</v>
      </c>
      <c r="L148" t="n">
        <v>0</v>
      </c>
      <c r="M148" t="n">
        <v>0</v>
      </c>
      <c r="N148" t="n">
        <v>0</v>
      </c>
    </row>
    <row r="149">
      <c r="A149" t="inlineStr">
        <is>
          <t>Dairy</t>
        </is>
      </c>
      <c r="B149" t="inlineStr">
        <is>
          <t>13 pigs bought 9 shilling 9pence, at 9pence each.</t>
        </is>
      </c>
      <c r="C149" t="n">
        <v>0.49</v>
      </c>
      <c r="D149" t="n">
        <v>0</v>
      </c>
      <c r="E149" t="n">
        <v>9</v>
      </c>
      <c r="F149" t="n">
        <v>9</v>
      </c>
      <c r="H149" t="n">
        <v>0</v>
      </c>
      <c r="I149" t="n">
        <v>0</v>
      </c>
      <c r="J149" t="n">
        <v>0</v>
      </c>
      <c r="K149" t="n">
        <v>0</v>
      </c>
      <c r="L149" t="n">
        <v>0</v>
      </c>
      <c r="M149" t="n">
        <v>0</v>
      </c>
      <c r="N149" t="n">
        <v>0</v>
      </c>
    </row>
    <row r="150">
      <c r="A150" t="inlineStr">
        <is>
          <t>Dairy</t>
        </is>
      </c>
      <c r="B150" t="inlineStr">
        <is>
          <t>.</t>
        </is>
      </c>
      <c r="C150" t="n">
        <v>0</v>
      </c>
      <c r="D150" t="n">
        <v>0</v>
      </c>
      <c r="E150" t="n">
        <v>0</v>
      </c>
      <c r="F150" t="n">
        <v>0</v>
      </c>
      <c r="H150" t="n">
        <v>0</v>
      </c>
      <c r="I150" t="n">
        <v>0</v>
      </c>
      <c r="J150" t="n">
        <v>0</v>
      </c>
      <c r="K150" t="n">
        <v>0</v>
      </c>
      <c r="L150" t="n">
        <v>0</v>
      </c>
      <c r="M150" t="n">
        <v>0</v>
      </c>
      <c r="N150" t="n">
        <v>0</v>
      </c>
    </row>
    <row r="151">
      <c r="A151" t="inlineStr">
        <is>
          <t>Dairy</t>
        </is>
      </c>
      <c r="B151" t="inlineStr">
        <is>
          <t>gelding piglets 2.5pence.</t>
        </is>
      </c>
      <c r="C151" t="n">
        <v>0.01</v>
      </c>
      <c r="D151" t="n">
        <v>0</v>
      </c>
      <c r="E151" t="n">
        <v>0</v>
      </c>
      <c r="F151" t="n">
        <v>2.5</v>
      </c>
      <c r="H151" t="n">
        <v>0</v>
      </c>
      <c r="I151" t="n">
        <v>0</v>
      </c>
      <c r="J151" t="n">
        <v>0</v>
      </c>
      <c r="K151" t="n">
        <v>0</v>
      </c>
      <c r="L151" t="n">
        <v>0</v>
      </c>
      <c r="M151" t="n">
        <v>0</v>
      </c>
      <c r="N151" t="n">
        <v>0</v>
      </c>
    </row>
    <row r="152">
      <c r="A152" t="inlineStr">
        <is>
          <t>Dairy</t>
        </is>
      </c>
      <c r="B152" t="inlineStr">
        <is>
          <t>stipend of 1 cowherd 2 shilling Total, £3 12 shilling 2.5pence</t>
        </is>
      </c>
      <c r="C152" t="n">
        <v>3.61</v>
      </c>
      <c r="D152" t="n">
        <v>3</v>
      </c>
      <c r="E152" t="n">
        <v>12</v>
      </c>
      <c r="F152" t="n">
        <v>2.5</v>
      </c>
      <c r="H152" t="n">
        <v>0</v>
      </c>
      <c r="I152" t="n">
        <v>0</v>
      </c>
      <c r="J152" t="n">
        <v>0</v>
      </c>
      <c r="K152" t="n">
        <v>0</v>
      </c>
      <c r="L152" t="n">
        <v>0</v>
      </c>
      <c r="M152" t="n">
        <v>0</v>
      </c>
      <c r="N152" t="n">
        <v>0</v>
      </c>
    </row>
    <row r="153">
      <c r="A153" t="inlineStr">
        <is>
          <t>Repair of buildings</t>
        </is>
      </c>
      <c r="B153" t="inlineStr">
        <is>
          <t>In collecting stubble and roofing the buildings in the curia in places 4 shilling.</t>
        </is>
      </c>
      <c r="C153" t="n">
        <v>0.2</v>
      </c>
      <c r="D153" t="n">
        <v>0</v>
      </c>
      <c r="E153" t="n">
        <v>4</v>
      </c>
      <c r="F153" t="n">
        <v>0</v>
      </c>
      <c r="H153" t="n">
        <v>0</v>
      </c>
      <c r="I153" t="n">
        <v>0</v>
      </c>
      <c r="J153" t="n">
        <v>0</v>
      </c>
      <c r="K153" t="n">
        <v>0</v>
      </c>
      <c r="L153" t="n">
        <v>0</v>
      </c>
      <c r="M153" t="n">
        <v>0</v>
      </c>
      <c r="N153" t="n">
        <v>0</v>
      </c>
    </row>
    <row r="154">
      <c r="A154" t="inlineStr">
        <is>
          <t>Repair of buildings</t>
        </is>
      </c>
      <c r="B154" t="inlineStr">
        <is>
          <t>wattling and mending the walls around the byre 2 shilling.</t>
        </is>
      </c>
      <c r="C154" t="n">
        <v>0.1</v>
      </c>
      <c r="D154" t="n">
        <v>0</v>
      </c>
      <c r="E154" t="n">
        <v>2</v>
      </c>
      <c r="F154" t="n">
        <v>0</v>
      </c>
      <c r="H154" t="n">
        <v>0</v>
      </c>
      <c r="I154" t="n">
        <v>0</v>
      </c>
      <c r="J154" t="n">
        <v>0</v>
      </c>
      <c r="K154" t="n">
        <v>0</v>
      </c>
      <c r="L154" t="n">
        <v>0</v>
      </c>
      <c r="M154" t="n">
        <v>0</v>
      </c>
      <c r="N154" t="n">
        <v>0</v>
      </c>
    </row>
    <row r="155">
      <c r="A155" t="inlineStr">
        <is>
          <t>Repair of buildings</t>
        </is>
      </c>
      <c r="B155" t="inlineStr">
        <is>
          <t>building 1 new bridge over the water 7pence.</t>
        </is>
      </c>
      <c r="C155" t="n">
        <v>0.03</v>
      </c>
      <c r="D155" t="n">
        <v>0</v>
      </c>
      <c r="E155" t="n">
        <v>0</v>
      </c>
      <c r="F155" t="n">
        <v>7</v>
      </c>
      <c r="H155" t="n">
        <v>0</v>
      </c>
      <c r="I155" t="n">
        <v>0</v>
      </c>
      <c r="J155" t="n">
        <v>0</v>
      </c>
      <c r="K155" t="n">
        <v>0</v>
      </c>
      <c r="L155" t="n">
        <v>0</v>
      </c>
      <c r="M155" t="n">
        <v>0</v>
      </c>
      <c r="N155" t="n">
        <v>0</v>
      </c>
    </row>
    <row r="156">
      <c r="A156" t="inlineStr">
        <is>
          <t>Repair of buildings</t>
        </is>
      </c>
      <c r="B156" t="inlineStr">
        <is>
          <t>1 rope bought for the louver in the hall 1.25pence Total, 6 shilling 8.5pence</t>
        </is>
      </c>
      <c r="C156" t="n">
        <v>0.31</v>
      </c>
      <c r="D156" t="n">
        <v>0</v>
      </c>
      <c r="E156" t="n">
        <v>6</v>
      </c>
      <c r="F156" t="n">
        <v>1.25</v>
      </c>
      <c r="H156" t="n">
        <v>0</v>
      </c>
      <c r="I156" t="n">
        <v>0</v>
      </c>
      <c r="J156" t="n">
        <v>0</v>
      </c>
      <c r="K156" t="n">
        <v>0</v>
      </c>
      <c r="L156" t="n">
        <v>0</v>
      </c>
      <c r="M156" t="n">
        <v>0</v>
      </c>
      <c r="N156" t="n">
        <v>0</v>
      </c>
    </row>
    <row r="157">
      <c r="A157" t="inlineStr">
        <is>
          <t>Threshing of corn</t>
        </is>
      </c>
      <c r="B157" t="inlineStr">
        <is>
          <t>In threshing and winnowing 60 quarters of wheat and curall by piece-work 11 shilling, at 2.25pence a quarters.</t>
        </is>
      </c>
      <c r="C157" t="n">
        <v>0.5600000000000001</v>
      </c>
      <c r="D157" t="n">
        <v>0</v>
      </c>
      <c r="E157" t="n">
        <v>11</v>
      </c>
      <c r="F157" t="n">
        <v>2.25</v>
      </c>
      <c r="G157" t="inlineStr">
        <is>
          <t>curall, wheat</t>
        </is>
      </c>
      <c r="H157" t="n">
        <v>60</v>
      </c>
      <c r="I157" t="n">
        <v>0</v>
      </c>
      <c r="J157" t="n">
        <v>60</v>
      </c>
      <c r="K157" t="n">
        <v>60</v>
      </c>
      <c r="L157" t="n">
        <v>0</v>
      </c>
      <c r="M157" t="n">
        <v>60</v>
      </c>
      <c r="N157" t="n">
        <v>0</v>
      </c>
    </row>
    <row r="158">
      <c r="A158" t="inlineStr">
        <is>
          <t>Threshing of corn</t>
        </is>
      </c>
      <c r="B158" t="inlineStr">
        <is>
          <t>.</t>
        </is>
      </c>
      <c r="C158" t="n">
        <v>0</v>
      </c>
      <c r="D158" t="n">
        <v>0</v>
      </c>
      <c r="E158" t="n">
        <v>0</v>
      </c>
      <c r="F158" t="n">
        <v>0</v>
      </c>
      <c r="H158" t="n">
        <v>0</v>
      </c>
      <c r="I158" t="n">
        <v>0</v>
      </c>
      <c r="J158" t="n">
        <v>0</v>
      </c>
      <c r="K158" t="n">
        <v>0</v>
      </c>
      <c r="L158" t="n">
        <v>0</v>
      </c>
      <c r="M158" t="n">
        <v>0</v>
      </c>
      <c r="N158" t="n">
        <v>0</v>
      </c>
    </row>
    <row r="159">
      <c r="A159" t="inlineStr">
        <is>
          <t>Threshing of corn</t>
        </is>
      </c>
      <c r="B159" t="inlineStr">
        <is>
          <t>threshing and winnowing 7 quarters of winter barley and 20 quarters of barley by piece-work 3 shilling 4.5pence, at 1.5pence a heaped quarter.</t>
        </is>
      </c>
      <c r="C159" t="n">
        <v>0.17</v>
      </c>
      <c r="D159" t="n">
        <v>0</v>
      </c>
      <c r="E159" t="n">
        <v>3</v>
      </c>
      <c r="F159" t="n">
        <v>4.5</v>
      </c>
      <c r="G159" t="inlineStr">
        <is>
          <t>barley</t>
        </is>
      </c>
      <c r="H159" t="n">
        <v>20</v>
      </c>
      <c r="I159" t="n">
        <v>0</v>
      </c>
      <c r="J159" t="n">
        <v>20</v>
      </c>
      <c r="K159" t="n">
        <v>7</v>
      </c>
      <c r="L159" t="n">
        <v>13</v>
      </c>
      <c r="M159" t="n">
        <v>7</v>
      </c>
      <c r="N159" t="n">
        <v>0</v>
      </c>
      <c r="O159" t="n">
        <v>20</v>
      </c>
      <c r="P159" t="n">
        <v>0</v>
      </c>
    </row>
    <row r="160">
      <c r="A160" t="inlineStr">
        <is>
          <t>Threshing of corn</t>
        </is>
      </c>
      <c r="B160" t="inlineStr">
        <is>
          <t>Know that the workers threshed 36.5 quarters 2 bushels of wheat and curall, 16 quarters 1 bushels of barley, 86 quarters of oats, 2.25 quarters of peas and 2 quarters 1 bushels of vetches for their labour service.</t>
        </is>
      </c>
      <c r="C160" t="n">
        <v>0</v>
      </c>
      <c r="D160" t="n">
        <v>0</v>
      </c>
      <c r="E160" t="n">
        <v>0</v>
      </c>
      <c r="F160" t="n">
        <v>0</v>
      </c>
      <c r="G160" t="inlineStr">
        <is>
          <t>peas, wheat, curall, barley, oats, vetches</t>
        </is>
      </c>
      <c r="H160" t="n">
        <v>106.25</v>
      </c>
      <c r="I160" t="n">
        <v>2</v>
      </c>
      <c r="J160" t="n">
        <v>106.5</v>
      </c>
      <c r="K160" t="n">
        <v>36.75</v>
      </c>
      <c r="L160" t="n">
        <v>69.75</v>
      </c>
      <c r="M160" t="n">
        <v>36.5</v>
      </c>
      <c r="N160" t="n">
        <v>2</v>
      </c>
      <c r="O160" t="n">
        <v>16</v>
      </c>
      <c r="P160" t="n">
        <v>1</v>
      </c>
      <c r="Q160" t="n">
        <v>86</v>
      </c>
      <c r="R160" t="n">
        <v>0</v>
      </c>
      <c r="S160" t="n">
        <v>2.25</v>
      </c>
      <c r="T160" t="n">
        <v>0</v>
      </c>
      <c r="U160" t="n">
        <v>2</v>
      </c>
      <c r="V160" t="n">
        <v>1</v>
      </c>
    </row>
    <row r="161">
      <c r="A161" t="inlineStr">
        <is>
          <t>Threshing of corn</t>
        </is>
      </c>
      <c r="B161" t="inlineStr">
        <is>
          <t>.</t>
        </is>
      </c>
      <c r="C161" t="n">
        <v>0</v>
      </c>
      <c r="D161" t="n">
        <v>0</v>
      </c>
      <c r="E161" t="n">
        <v>0</v>
      </c>
      <c r="F161" t="n">
        <v>0</v>
      </c>
      <c r="H161" t="n">
        <v>0</v>
      </c>
      <c r="I161" t="n">
        <v>0</v>
      </c>
      <c r="J161" t="n">
        <v>0</v>
      </c>
      <c r="K161" t="n">
        <v>0</v>
      </c>
      <c r="L161" t="n">
        <v>0</v>
      </c>
      <c r="M161" t="n">
        <v>0</v>
      </c>
      <c r="N161" t="n">
        <v>0</v>
      </c>
    </row>
    <row r="162">
      <c r="A162" t="inlineStr">
        <is>
          <t>Threshing of corn</t>
        </is>
      </c>
      <c r="B162" t="inlineStr">
        <is>
          <t>weeding all the corn except that done by labour service 5 shilling 1.5pence.</t>
        </is>
      </c>
      <c r="C162" t="n">
        <v>0.26</v>
      </c>
      <c r="D162" t="n">
        <v>0</v>
      </c>
      <c r="E162" t="n">
        <v>5</v>
      </c>
      <c r="F162" t="n">
        <v>1.5</v>
      </c>
      <c r="H162" t="n">
        <v>0</v>
      </c>
      <c r="I162" t="n">
        <v>0</v>
      </c>
      <c r="J162" t="n">
        <v>0</v>
      </c>
      <c r="K162" t="n">
        <v>0</v>
      </c>
      <c r="L162" t="n">
        <v>0</v>
      </c>
      <c r="M162" t="n">
        <v>0</v>
      </c>
      <c r="N162" t="n">
        <v>0</v>
      </c>
    </row>
    <row r="163">
      <c r="A163" t="inlineStr">
        <is>
          <t>Threshing of corn</t>
        </is>
      </c>
      <c r="B163" t="inlineStr">
        <is>
          <t>wages of 1 attendant who keeps the barn and who threshed at various times 18 shilling 1pence Total, £1 17 shilling 7pence</t>
        </is>
      </c>
      <c r="C163" t="n">
        <v>1.88</v>
      </c>
      <c r="D163" t="n">
        <v>1</v>
      </c>
      <c r="E163" t="n">
        <v>17</v>
      </c>
      <c r="F163" t="n">
        <v>7</v>
      </c>
      <c r="H163" t="n">
        <v>0</v>
      </c>
      <c r="I163" t="n">
        <v>0</v>
      </c>
      <c r="J163" t="n">
        <v>0</v>
      </c>
      <c r="K163" t="n">
        <v>0</v>
      </c>
      <c r="L163" t="n">
        <v>0</v>
      </c>
      <c r="M163" t="n">
        <v>0</v>
      </c>
      <c r="N163" t="n">
        <v>0</v>
      </c>
    </row>
    <row r="164">
      <c r="A164" t="inlineStr">
        <is>
          <t>Harvest-time</t>
        </is>
      </c>
      <c r="B164" t="inlineStr">
        <is>
          <t>In bread bought for 12.5 boon-works of 1,025 men, with the officials of the curia and 14 men of Ovington, who eat twice a day except this year, and 15 workers who are bound, at the choice of the lord, to reap with the boon-works and have food like the others, each reaping either' acre of wheat or barley or 1 acre of oats and having 1 sheaf as it falls, £2 2 shilling 8.5pence.</t>
        </is>
      </c>
      <c r="C164" t="n">
        <v>2.14</v>
      </c>
      <c r="D164" t="n">
        <v>2</v>
      </c>
      <c r="E164" t="n">
        <v>2</v>
      </c>
      <c r="F164" t="n">
        <v>8.5</v>
      </c>
      <c r="G164" t="inlineStr">
        <is>
          <t>barley, oats, wheat</t>
        </is>
      </c>
      <c r="H164" t="n">
        <v>0</v>
      </c>
      <c r="I164" t="n">
        <v>0</v>
      </c>
      <c r="J164" t="n">
        <v>0</v>
      </c>
      <c r="K164" t="n">
        <v>0</v>
      </c>
      <c r="L164" t="n">
        <v>0</v>
      </c>
      <c r="M164" t="n">
        <v>0</v>
      </c>
      <c r="N164" t="n">
        <v>0</v>
      </c>
    </row>
    <row r="165">
      <c r="A165" t="inlineStr">
        <is>
          <t>Harvest-time</t>
        </is>
      </c>
      <c r="B165" t="inlineStr">
        <is>
          <t>herrings and cheese bought for a want of herrings to eat with the bread 19 shilling 5pence, and each ought to have 4 herrings a day.</t>
        </is>
      </c>
      <c r="C165" t="n">
        <v>0.97</v>
      </c>
      <c r="D165" t="n">
        <v>0</v>
      </c>
      <c r="E165" t="n">
        <v>19</v>
      </c>
      <c r="F165" t="n">
        <v>5</v>
      </c>
      <c r="H165" t="n">
        <v>0</v>
      </c>
      <c r="I165" t="n">
        <v>0</v>
      </c>
      <c r="J165" t="n">
        <v>0</v>
      </c>
      <c r="K165" t="n">
        <v>0</v>
      </c>
      <c r="L165" t="n">
        <v>0</v>
      </c>
      <c r="M165" t="n">
        <v>0</v>
      </c>
      <c r="N165" t="n">
        <v>0</v>
      </c>
    </row>
    <row r="166">
      <c r="A166" t="inlineStr">
        <is>
          <t>Harvest-time</t>
        </is>
      </c>
      <c r="B166" t="inlineStr">
        <is>
          <t>They reaped 245 acres of barley and 210 acres of oats as they lie.</t>
        </is>
      </c>
      <c r="C166" t="n">
        <v>0</v>
      </c>
      <c r="D166" t="n">
        <v>0</v>
      </c>
      <c r="E166" t="n">
        <v>0</v>
      </c>
      <c r="F166" t="n">
        <v>0</v>
      </c>
      <c r="G166" t="inlineStr">
        <is>
          <t>barley, oats</t>
        </is>
      </c>
      <c r="H166" t="n">
        <v>0</v>
      </c>
      <c r="I166" t="n">
        <v>0</v>
      </c>
      <c r="J166" t="n">
        <v>0</v>
      </c>
      <c r="K166" t="n">
        <v>0</v>
      </c>
      <c r="L166" t="n">
        <v>0</v>
      </c>
      <c r="M166" t="n">
        <v>0</v>
      </c>
      <c r="N166" t="n">
        <v>0</v>
      </c>
    </row>
    <row r="167">
      <c r="A167" t="inlineStr">
        <is>
          <t>Harvest-time</t>
        </is>
      </c>
      <c r="B167" t="inlineStr">
        <is>
          <t>.</t>
        </is>
      </c>
      <c r="C167" t="n">
        <v>0</v>
      </c>
      <c r="D167" t="n">
        <v>0</v>
      </c>
      <c r="E167" t="n">
        <v>0</v>
      </c>
      <c r="F167" t="n">
        <v>0</v>
      </c>
      <c r="H167" t="n">
        <v>0</v>
      </c>
      <c r="I167" t="n">
        <v>0</v>
      </c>
      <c r="J167" t="n">
        <v>0</v>
      </c>
      <c r="K167" t="n">
        <v>0</v>
      </c>
      <c r="L167" t="n">
        <v>0</v>
      </c>
      <c r="M167" t="n">
        <v>0</v>
      </c>
      <c r="N167" t="n">
        <v>0</v>
      </c>
    </row>
    <row r="168">
      <c r="A168" t="inlineStr">
        <is>
          <t>Harvest-time</t>
        </is>
      </c>
      <c r="B168" t="inlineStr">
        <is>
          <t>stipend of 1 hayward for the year 6 shilling 8pence Total, £3 8 shilling 9.5pence</t>
        </is>
      </c>
      <c r="C168" t="n">
        <v>3.44</v>
      </c>
      <c r="D168" t="n">
        <v>3</v>
      </c>
      <c r="E168" t="n">
        <v>8</v>
      </c>
      <c r="F168" t="n">
        <v>9.5</v>
      </c>
      <c r="H168" t="n">
        <v>0</v>
      </c>
      <c r="I168" t="n">
        <v>0</v>
      </c>
      <c r="J168" t="n">
        <v>0</v>
      </c>
      <c r="K168" t="n">
        <v>0</v>
      </c>
      <c r="L168" t="n">
        <v>0</v>
      </c>
      <c r="M168" t="n">
        <v>0</v>
      </c>
      <c r="N168" t="n">
        <v>0</v>
      </c>
    </row>
    <row r="169">
      <c r="A169" t="inlineStr">
        <is>
          <t>Expenses of the mill</t>
        </is>
      </c>
      <c r="B169" t="inlineStr">
        <is>
          <t>In iron bought and bands made to hoop the beams 1 shilling.</t>
        </is>
      </c>
      <c r="C169" t="n">
        <v>0.05</v>
      </c>
      <c r="D169" t="n">
        <v>0</v>
      </c>
      <c r="E169" t="n">
        <v>1</v>
      </c>
      <c r="F169" t="n">
        <v>0</v>
      </c>
      <c r="H169" t="n">
        <v>0</v>
      </c>
      <c r="I169" t="n">
        <v>0</v>
      </c>
      <c r="J169" t="n">
        <v>0</v>
      </c>
      <c r="K169" t="n">
        <v>0</v>
      </c>
      <c r="L169" t="n">
        <v>0</v>
      </c>
      <c r="M169" t="n">
        <v>0</v>
      </c>
      <c r="N169" t="n">
        <v>0</v>
      </c>
    </row>
    <row r="170">
      <c r="A170" t="inlineStr">
        <is>
          <t>Expenses of the mill</t>
        </is>
      </c>
      <c r="B170" t="inlineStr">
        <is>
          <t>mending the spindle and bills 1 shilling 2pence Total, 2 shilling 2pence</t>
        </is>
      </c>
      <c r="C170" t="n">
        <v>0.06</v>
      </c>
      <c r="D170" t="n">
        <v>0</v>
      </c>
      <c r="E170" t="n">
        <v>1</v>
      </c>
      <c r="F170" t="n">
        <v>2</v>
      </c>
      <c r="H170" t="n">
        <v>0</v>
      </c>
      <c r="I170" t="n">
        <v>0</v>
      </c>
      <c r="J170" t="n">
        <v>0</v>
      </c>
      <c r="K170" t="n">
        <v>0</v>
      </c>
      <c r="L170" t="n">
        <v>0</v>
      </c>
      <c r="M170" t="n">
        <v>0</v>
      </c>
      <c r="N170" t="n">
        <v>0</v>
      </c>
    </row>
    <row r="171">
      <c r="A171" t="inlineStr">
        <is>
          <t>Expenses of the steward</t>
        </is>
      </c>
      <c r="B171" t="inlineStr">
        <is>
          <t>In expenses of Simon, clerk, holding the place of the steward far the 2 toums 6 shilling 9pence Total, 6 shilling 9pence</t>
        </is>
      </c>
      <c r="C171" t="n">
        <v>0.34</v>
      </c>
      <c r="D171" t="n">
        <v>0</v>
      </c>
      <c r="E171" t="n">
        <v>6</v>
      </c>
      <c r="F171" t="n">
        <v>9</v>
      </c>
      <c r="H171" t="n">
        <v>0</v>
      </c>
      <c r="I171" t="n">
        <v>0</v>
      </c>
      <c r="J171" t="n">
        <v>0</v>
      </c>
      <c r="K171" t="n">
        <v>0</v>
      </c>
      <c r="L171" t="n">
        <v>0</v>
      </c>
      <c r="M171" t="n">
        <v>0</v>
      </c>
      <c r="N171" t="n">
        <v>0</v>
      </c>
    </row>
    <row r="172">
      <c r="A172" t="inlineStr">
        <is>
          <t>Purchase of stock</t>
        </is>
      </c>
      <c r="B172" t="inlineStr">
        <is>
          <t>In 15 animals bought for pasturing £3 19 shilling 4.25pence Total, £3 19 shilling 4.5pence</t>
        </is>
      </c>
      <c r="C172" t="n">
        <v>3.97</v>
      </c>
      <c r="D172" t="n">
        <v>3</v>
      </c>
      <c r="E172" t="n">
        <v>19</v>
      </c>
      <c r="F172" t="n">
        <v>4.25</v>
      </c>
      <c r="H172" t="n">
        <v>0</v>
      </c>
      <c r="I172" t="n">
        <v>0</v>
      </c>
      <c r="J172" t="n">
        <v>0</v>
      </c>
      <c r="K172" t="n">
        <v>0</v>
      </c>
      <c r="L172" t="n">
        <v>0</v>
      </c>
      <c r="M172" t="n">
        <v>0</v>
      </c>
      <c r="N172" t="n">
        <v>0</v>
      </c>
    </row>
    <row r="173">
      <c r="A173" t="inlineStr">
        <is>
          <t>Total of all expenses</t>
        </is>
      </c>
      <c r="B173" t="inlineStr">
        <is>
          <t>Total of all expenses, £21 11 s. 6pence</t>
        </is>
      </c>
      <c r="C173" t="n">
        <v>21</v>
      </c>
      <c r="D173" t="n">
        <v>21</v>
      </c>
      <c r="E173" t="n">
        <v>0</v>
      </c>
      <c r="F173" t="n">
        <v>0</v>
      </c>
      <c r="H173" t="n">
        <v>0</v>
      </c>
      <c r="I173" t="n">
        <v>0</v>
      </c>
      <c r="J173" t="n">
        <v>0</v>
      </c>
      <c r="K173" t="n">
        <v>0</v>
      </c>
      <c r="L173" t="n">
        <v>0</v>
      </c>
      <c r="M173" t="n">
        <v>0</v>
      </c>
      <c r="N173" t="n">
        <v>0</v>
      </c>
    </row>
    <row r="174">
      <c r="A174" t="inlineStr">
        <is>
          <t>Total of all expenses</t>
        </is>
      </c>
      <c r="B174" t="inlineStr">
        <is>
          <t>And thus he owes, £70 4pence</t>
        </is>
      </c>
      <c r="C174" t="n">
        <v>70.02</v>
      </c>
      <c r="D174" t="n">
        <v>70</v>
      </c>
      <c r="E174" t="n">
        <v>0</v>
      </c>
      <c r="F174" t="n">
        <v>4</v>
      </c>
      <c r="H174" t="n">
        <v>0</v>
      </c>
      <c r="I174" t="n">
        <v>0</v>
      </c>
      <c r="J174" t="n">
        <v>0</v>
      </c>
      <c r="K174" t="n">
        <v>0</v>
      </c>
      <c r="L174" t="n">
        <v>0</v>
      </c>
      <c r="M174" t="n">
        <v>0</v>
      </c>
      <c r="N174" t="n">
        <v>0</v>
      </c>
    </row>
    <row r="175">
      <c r="A175" t="inlineStr">
        <is>
          <t>Allowances</t>
        </is>
      </c>
      <c r="B175" t="inlineStr">
        <is>
          <t>in 10 cows bought for the stock of the manor £3 14 shilling 4pence, at 7 shilling 6pence each for 6, and 7 shilling each for 4. Total, £3 14 shilling 4pence</t>
        </is>
      </c>
      <c r="C175" t="n">
        <v>3.72</v>
      </c>
      <c r="D175" t="n">
        <v>3</v>
      </c>
      <c r="E175" t="n">
        <v>14</v>
      </c>
      <c r="F175" t="n">
        <v>4</v>
      </c>
      <c r="H175" t="n">
        <v>0</v>
      </c>
      <c r="I175" t="n">
        <v>0</v>
      </c>
      <c r="J175" t="n">
        <v>0</v>
      </c>
      <c r="K175" t="n">
        <v>0</v>
      </c>
      <c r="L175" t="n">
        <v>0</v>
      </c>
      <c r="M175" t="n">
        <v>0</v>
      </c>
      <c r="N175" t="n">
        <v>0</v>
      </c>
    </row>
    <row r="176">
      <c r="A176" t="inlineStr">
        <is>
          <t>Cash deliveries</t>
        </is>
      </c>
      <c r="B176" t="inlineStr">
        <is>
          <t>Delivered to Sir Geoffrey, treasurer of Wolvesey, by 1 tally, £40 10 shilling 7.5pence</t>
        </is>
      </c>
      <c r="C176" t="n">
        <v>40.53</v>
      </c>
      <c r="D176" t="n">
        <v>40</v>
      </c>
      <c r="E176" t="n">
        <v>10</v>
      </c>
      <c r="F176" t="n">
        <v>7.5</v>
      </c>
      <c r="H176" t="n">
        <v>0</v>
      </c>
      <c r="I176" t="n">
        <v>0</v>
      </c>
      <c r="J176" t="n">
        <v>0</v>
      </c>
      <c r="K176" t="n">
        <v>0</v>
      </c>
      <c r="L176" t="n">
        <v>0</v>
      </c>
      <c r="M176" t="n">
        <v>0</v>
      </c>
      <c r="N176" t="n">
        <v>0</v>
      </c>
    </row>
    <row r="177">
      <c r="A177" t="inlineStr">
        <is>
          <t>Cash deliveries</t>
        </is>
      </c>
      <c r="B177" t="inlineStr">
        <is>
          <t>Total of all allowances and cash deliveries, £44 4 shilling 11.5pence</t>
        </is>
      </c>
      <c r="C177" t="n">
        <v>44.25</v>
      </c>
      <c r="D177" t="n">
        <v>44</v>
      </c>
      <c r="E177" t="n">
        <v>4</v>
      </c>
      <c r="F177" t="n">
        <v>11.5</v>
      </c>
      <c r="H177" t="n">
        <v>0</v>
      </c>
      <c r="I177" t="n">
        <v>0</v>
      </c>
      <c r="J177" t="n">
        <v>0</v>
      </c>
      <c r="K177" t="n">
        <v>0</v>
      </c>
      <c r="L177" t="n">
        <v>0</v>
      </c>
      <c r="M177" t="n">
        <v>0</v>
      </c>
      <c r="N177" t="n">
        <v>0</v>
      </c>
    </row>
    <row r="178">
      <c r="A178" t="inlineStr">
        <is>
          <t>And he owes clear</t>
        </is>
      </c>
      <c r="B178" t="inlineStr">
        <is>
          <t>And he owes clear, £25 15 shilling 4.5pence</t>
        </is>
      </c>
      <c r="C178" t="n">
        <v>25.77</v>
      </c>
      <c r="D178" t="n">
        <v>25</v>
      </c>
      <c r="E178" t="n">
        <v>15</v>
      </c>
      <c r="F178" t="n">
        <v>4.5</v>
      </c>
      <c r="H178" t="n">
        <v>0</v>
      </c>
      <c r="I178" t="n">
        <v>0</v>
      </c>
      <c r="J178" t="n">
        <v>0</v>
      </c>
      <c r="K178" t="n">
        <v>0</v>
      </c>
      <c r="L178" t="n">
        <v>0</v>
      </c>
      <c r="M178" t="n">
        <v>0</v>
      </c>
      <c r="N178" t="n">
        <v>0</v>
      </c>
    </row>
    <row r="179">
      <c r="A179" t="inlineStr">
        <is>
          <t>Wheat</t>
        </is>
      </c>
      <c r="B179" t="inlineStr">
        <is>
          <t>(yield: three-fold less 1 quarters 6 bushels)</t>
        </is>
      </c>
      <c r="C179" t="n">
        <v>0</v>
      </c>
      <c r="D179" t="n">
        <v>0</v>
      </c>
      <c r="E179" t="n">
        <v>0</v>
      </c>
      <c r="F179" t="n">
        <v>0</v>
      </c>
      <c r="H179" t="n">
        <v>1</v>
      </c>
      <c r="I179" t="n">
        <v>6</v>
      </c>
      <c r="J179" t="n">
        <v>1.75</v>
      </c>
      <c r="K179" t="n">
        <v>1.75</v>
      </c>
      <c r="L179" t="n">
        <v>0</v>
      </c>
      <c r="M179" t="n">
        <v>1</v>
      </c>
      <c r="N179" t="n">
        <v>6</v>
      </c>
    </row>
    <row r="180">
      <c r="A180" t="inlineStr">
        <is>
          <t>Wheat</t>
        </is>
      </c>
      <c r="B180" t="inlineStr">
        <is>
          <t>The same render account for 94 quarters of wheat from the whole issue of the grange in the granary without heaped measure.</t>
        </is>
      </c>
      <c r="C180" t="n">
        <v>0</v>
      </c>
      <c r="D180" t="n">
        <v>0</v>
      </c>
      <c r="E180" t="n">
        <v>0</v>
      </c>
      <c r="F180" t="n">
        <v>0</v>
      </c>
      <c r="G180" t="inlineStr">
        <is>
          <t>wheat</t>
        </is>
      </c>
      <c r="H180" t="n">
        <v>94</v>
      </c>
      <c r="I180" t="n">
        <v>0</v>
      </c>
      <c r="J180" t="n">
        <v>94</v>
      </c>
      <c r="K180" t="n">
        <v>94</v>
      </c>
      <c r="L180" t="n">
        <v>0</v>
      </c>
      <c r="M180" t="n">
        <v>94</v>
      </c>
      <c r="N180" t="n">
        <v>0</v>
      </c>
    </row>
    <row r="181">
      <c r="A181" t="inlineStr">
        <is>
          <t>Wheat</t>
        </is>
      </c>
      <c r="B181" t="inlineStr">
        <is>
          <t>Sown over 89 acres in the fields of Peregh' and la Slad', 33 quarters 3 bushels.</t>
        </is>
      </c>
      <c r="C181" t="n">
        <v>0</v>
      </c>
      <c r="D181" t="n">
        <v>0</v>
      </c>
      <c r="E181" t="n">
        <v>0</v>
      </c>
      <c r="F181" t="n">
        <v>0</v>
      </c>
      <c r="H181" t="n">
        <v>33</v>
      </c>
      <c r="I181" t="n">
        <v>3</v>
      </c>
      <c r="J181" t="n">
        <v>33.375</v>
      </c>
      <c r="K181" t="n">
        <v>33.375</v>
      </c>
      <c r="L181" t="n">
        <v>0</v>
      </c>
      <c r="M181" t="n">
        <v>33</v>
      </c>
      <c r="N181" t="n">
        <v>3</v>
      </c>
    </row>
    <row r="182">
      <c r="A182" t="inlineStr">
        <is>
          <t>Wheat</t>
        </is>
      </c>
      <c r="B182" t="inlineStr">
        <is>
          <t>that is, 3 bushels an acre.</t>
        </is>
      </c>
      <c r="C182" t="n">
        <v>0</v>
      </c>
      <c r="D182" t="n">
        <v>0</v>
      </c>
      <c r="E182" t="n">
        <v>0</v>
      </c>
      <c r="F182" t="n">
        <v>0</v>
      </c>
      <c r="H182" t="n">
        <v>0</v>
      </c>
      <c r="I182" t="n">
        <v>3</v>
      </c>
      <c r="J182" t="n">
        <v>0.375</v>
      </c>
      <c r="K182" t="n">
        <v>0.375</v>
      </c>
      <c r="L182" t="n">
        <v>0</v>
      </c>
      <c r="M182" t="n">
        <v>0</v>
      </c>
      <c r="N182" t="n">
        <v>3</v>
      </c>
    </row>
    <row r="183">
      <c r="A183" t="inlineStr">
        <is>
          <t>Wheat</t>
        </is>
      </c>
      <c r="B183" t="inlineStr">
        <is>
          <t>.</t>
        </is>
      </c>
      <c r="C183" t="n">
        <v>0</v>
      </c>
      <c r="D183" t="n">
        <v>0</v>
      </c>
      <c r="E183" t="n">
        <v>0</v>
      </c>
      <c r="F183" t="n">
        <v>0</v>
      </c>
      <c r="H183" t="n">
        <v>0</v>
      </c>
      <c r="I183" t="n">
        <v>0</v>
      </c>
      <c r="J183" t="n">
        <v>0</v>
      </c>
      <c r="K183" t="n">
        <v>0</v>
      </c>
      <c r="L183" t="n">
        <v>0</v>
      </c>
      <c r="M183" t="n">
        <v>0</v>
      </c>
      <c r="N183" t="n">
        <v>0</v>
      </c>
    </row>
    <row r="184">
      <c r="A184" t="inlineStr">
        <is>
          <t>Wheat</t>
        </is>
      </c>
      <c r="B184" t="inlineStr">
        <is>
          <t>provision of Simon, clerk, for 2 tourns, 4 bushels Sold, 60 quarters 1 bushels It balances.</t>
        </is>
      </c>
      <c r="C184" t="n">
        <v>0</v>
      </c>
      <c r="D184" t="n">
        <v>0</v>
      </c>
      <c r="E184" t="n">
        <v>0</v>
      </c>
      <c r="F184" t="n">
        <v>0</v>
      </c>
      <c r="H184" t="n">
        <v>60</v>
      </c>
      <c r="I184" t="n">
        <v>1</v>
      </c>
      <c r="J184" t="n">
        <v>60.125</v>
      </c>
      <c r="K184" t="n">
        <v>0.5</v>
      </c>
      <c r="L184" t="n">
        <v>59.625</v>
      </c>
      <c r="M184" t="n">
        <v>0</v>
      </c>
      <c r="N184" t="n">
        <v>4</v>
      </c>
      <c r="O184" t="n">
        <v>60</v>
      </c>
      <c r="P184" t="n">
        <v>1</v>
      </c>
    </row>
    <row r="185">
      <c r="A185" t="inlineStr">
        <is>
          <t>Curall</t>
        </is>
      </c>
      <c r="B185" t="inlineStr">
        <is>
          <t>The same render account for 3 quarters 2 bushels from the whole issue of curall from the grange in the granary without heaped measure.</t>
        </is>
      </c>
      <c r="C185" t="n">
        <v>0</v>
      </c>
      <c r="D185" t="n">
        <v>0</v>
      </c>
      <c r="E185" t="n">
        <v>0</v>
      </c>
      <c r="F185" t="n">
        <v>0</v>
      </c>
      <c r="G185" t="inlineStr">
        <is>
          <t>curall</t>
        </is>
      </c>
      <c r="H185" t="n">
        <v>3</v>
      </c>
      <c r="I185" t="n">
        <v>2</v>
      </c>
      <c r="J185" t="n">
        <v>3.25</v>
      </c>
      <c r="K185" t="n">
        <v>3.25</v>
      </c>
      <c r="L185" t="n">
        <v>0</v>
      </c>
      <c r="M185" t="n">
        <v>3</v>
      </c>
      <c r="N185" t="n">
        <v>2</v>
      </c>
    </row>
    <row r="186">
      <c r="A186" t="inlineStr">
        <is>
          <t>Curall</t>
        </is>
      </c>
      <c r="B186" t="inlineStr">
        <is>
          <t>Mixed with barley for the liveries of the manorial servants, 1 quarters 3 bushels Sold, 1 quarters 7 bushels Total, 3 quarters 2 bushels It balances.</t>
        </is>
      </c>
      <c r="C186" t="n">
        <v>0</v>
      </c>
      <c r="D186" t="n">
        <v>0</v>
      </c>
      <c r="E186" t="n">
        <v>0</v>
      </c>
      <c r="F186" t="n">
        <v>0</v>
      </c>
      <c r="G186" t="inlineStr">
        <is>
          <t>barley</t>
        </is>
      </c>
      <c r="H186" t="n">
        <v>4</v>
      </c>
      <c r="I186" t="n">
        <v>9</v>
      </c>
      <c r="J186" t="n">
        <v>5.125</v>
      </c>
      <c r="K186" t="n">
        <v>1.375</v>
      </c>
      <c r="L186" t="n">
        <v>3.75</v>
      </c>
      <c r="M186" t="n">
        <v>1</v>
      </c>
      <c r="N186" t="n">
        <v>3</v>
      </c>
      <c r="O186" t="n">
        <v>1</v>
      </c>
      <c r="P186" t="n">
        <v>7</v>
      </c>
      <c r="Q186" t="n">
        <v>3</v>
      </c>
      <c r="R186" t="n">
        <v>2</v>
      </c>
    </row>
    <row r="187">
      <c r="A187" t="inlineStr">
        <is>
          <t>Bere</t>
        </is>
      </c>
      <c r="B187" t="inlineStr">
        <is>
          <t>(yield: three-fold plus 5 bushels)</t>
        </is>
      </c>
      <c r="C187" t="n">
        <v>0</v>
      </c>
      <c r="D187" t="n">
        <v>0</v>
      </c>
      <c r="E187" t="n">
        <v>0</v>
      </c>
      <c r="F187" t="n">
        <v>0</v>
      </c>
      <c r="H187" t="n">
        <v>0</v>
      </c>
      <c r="I187" t="n">
        <v>5</v>
      </c>
      <c r="J187" t="n">
        <v>0.625</v>
      </c>
      <c r="K187" t="n">
        <v>0.625</v>
      </c>
      <c r="L187" t="n">
        <v>0</v>
      </c>
      <c r="M187" t="n">
        <v>0</v>
      </c>
      <c r="N187" t="n">
        <v>5</v>
      </c>
    </row>
    <row r="188">
      <c r="A188" t="inlineStr">
        <is>
          <t>Bere</t>
        </is>
      </c>
      <c r="B188" t="inlineStr">
        <is>
          <t>The same render account for 7 quarters of bere from the whole issue of the grange in the granary without heaped measure.</t>
        </is>
      </c>
      <c r="C188" t="n">
        <v>0</v>
      </c>
      <c r="D188" t="n">
        <v>0</v>
      </c>
      <c r="E188" t="n">
        <v>0</v>
      </c>
      <c r="F188" t="n">
        <v>0</v>
      </c>
      <c r="H188" t="n">
        <v>7</v>
      </c>
      <c r="I188" t="n">
        <v>0</v>
      </c>
      <c r="J188" t="n">
        <v>7</v>
      </c>
      <c r="K188" t="n">
        <v>7</v>
      </c>
      <c r="L188" t="n">
        <v>0</v>
      </c>
      <c r="M188" t="n">
        <v>7</v>
      </c>
      <c r="N188" t="n">
        <v>0</v>
      </c>
    </row>
    <row r="189">
      <c r="A189" t="inlineStr">
        <is>
          <t>Bere</t>
        </is>
      </c>
      <c r="B189" t="inlineStr">
        <is>
          <t>1 quarters 6 bushels bought.</t>
        </is>
      </c>
      <c r="C189" t="n">
        <v>0</v>
      </c>
      <c r="D189" t="n">
        <v>0</v>
      </c>
      <c r="E189" t="n">
        <v>0</v>
      </c>
      <c r="F189" t="n">
        <v>0</v>
      </c>
      <c r="H189" t="n">
        <v>1</v>
      </c>
      <c r="I189" t="n">
        <v>6</v>
      </c>
      <c r="J189" t="n">
        <v>1.75</v>
      </c>
      <c r="K189" t="n">
        <v>1.75</v>
      </c>
      <c r="L189" t="n">
        <v>0</v>
      </c>
      <c r="M189" t="n">
        <v>1</v>
      </c>
      <c r="N189" t="n">
        <v>6</v>
      </c>
    </row>
    <row r="190">
      <c r="A190" t="inlineStr">
        <is>
          <t>Bere</t>
        </is>
      </c>
      <c r="B190" t="inlineStr">
        <is>
          <t>Total, 8 quarters 6 bushels</t>
        </is>
      </c>
      <c r="C190" t="n">
        <v>0</v>
      </c>
      <c r="D190" t="n">
        <v>0</v>
      </c>
      <c r="E190" t="n">
        <v>0</v>
      </c>
      <c r="F190" t="n">
        <v>0</v>
      </c>
      <c r="H190" t="n">
        <v>8</v>
      </c>
      <c r="I190" t="n">
        <v>6</v>
      </c>
      <c r="J190" t="n">
        <v>8.75</v>
      </c>
      <c r="K190" t="n">
        <v>8.75</v>
      </c>
      <c r="L190" t="n">
        <v>0</v>
      </c>
      <c r="M190" t="n">
        <v>8</v>
      </c>
      <c r="N190" t="n">
        <v>6</v>
      </c>
    </row>
    <row r="191">
      <c r="A191" t="inlineStr">
        <is>
          <t>Bere</t>
        </is>
      </c>
      <c r="B191" t="inlineStr">
        <is>
          <t>Sown in the field beside la Hull', 1 quarters 6 bushels Mixed with barley for the liveries of the manorial servants, 4 quarters.</t>
        </is>
      </c>
      <c r="C191" t="n">
        <v>0</v>
      </c>
      <c r="D191" t="n">
        <v>0</v>
      </c>
      <c r="E191" t="n">
        <v>0</v>
      </c>
      <c r="F191" t="n">
        <v>0</v>
      </c>
      <c r="G191" t="inlineStr">
        <is>
          <t>barley</t>
        </is>
      </c>
      <c r="H191" t="n">
        <v>4</v>
      </c>
      <c r="I191" t="n">
        <v>6</v>
      </c>
      <c r="J191" t="n">
        <v>4.75</v>
      </c>
      <c r="K191" t="n">
        <v>1.75</v>
      </c>
      <c r="L191" t="n">
        <v>3</v>
      </c>
      <c r="M191" t="n">
        <v>1</v>
      </c>
      <c r="N191" t="n">
        <v>6</v>
      </c>
      <c r="O191" t="n">
        <v>4</v>
      </c>
      <c r="P191" t="n">
        <v>0</v>
      </c>
    </row>
    <row r="192">
      <c r="A192" t="inlineStr">
        <is>
          <t>Bere</t>
        </is>
      </c>
      <c r="B192" t="inlineStr">
        <is>
          <t>Sold, 3 quarters.</t>
        </is>
      </c>
      <c r="C192" t="n">
        <v>0</v>
      </c>
      <c r="D192" t="n">
        <v>0</v>
      </c>
      <c r="E192" t="n">
        <v>0</v>
      </c>
      <c r="F192" t="n">
        <v>0</v>
      </c>
      <c r="H192" t="n">
        <v>3</v>
      </c>
      <c r="I192" t="n">
        <v>0</v>
      </c>
      <c r="J192" t="n">
        <v>3</v>
      </c>
      <c r="K192" t="n">
        <v>3</v>
      </c>
      <c r="L192" t="n">
        <v>0</v>
      </c>
      <c r="M192" t="n">
        <v>3</v>
      </c>
      <c r="N192" t="n">
        <v>0</v>
      </c>
    </row>
    <row r="193">
      <c r="A193" t="inlineStr">
        <is>
          <t>Bere</t>
        </is>
      </c>
      <c r="B193" t="inlineStr">
        <is>
          <t>It balances.</t>
        </is>
      </c>
      <c r="C193" t="n">
        <v>0</v>
      </c>
      <c r="D193" t="n">
        <v>0</v>
      </c>
      <c r="E193" t="n">
        <v>0</v>
      </c>
      <c r="F193" t="n">
        <v>0</v>
      </c>
      <c r="H193" t="n">
        <v>0</v>
      </c>
      <c r="I193" t="n">
        <v>0</v>
      </c>
      <c r="J193" t="n">
        <v>0</v>
      </c>
      <c r="K193" t="n">
        <v>0</v>
      </c>
      <c r="L193" t="n">
        <v>0</v>
      </c>
      <c r="M193" t="n">
        <v>0</v>
      </c>
      <c r="N193" t="n">
        <v>0</v>
      </c>
    </row>
    <row r="194">
      <c r="A194" t="inlineStr">
        <is>
          <t>Barley</t>
        </is>
      </c>
      <c r="B194" t="inlineStr">
        <is>
          <t>(yield: two-and-a-half-fold less 1 bushels)</t>
        </is>
      </c>
      <c r="C194" t="n">
        <v>0</v>
      </c>
      <c r="D194" t="n">
        <v>0</v>
      </c>
      <c r="E194" t="n">
        <v>0</v>
      </c>
      <c r="F194" t="n">
        <v>0</v>
      </c>
      <c r="H194" t="n">
        <v>0</v>
      </c>
      <c r="I194" t="n">
        <v>1</v>
      </c>
      <c r="J194" t="n">
        <v>0.125</v>
      </c>
      <c r="K194" t="n">
        <v>0.125</v>
      </c>
      <c r="L194" t="n">
        <v>0</v>
      </c>
      <c r="M194" t="n">
        <v>0</v>
      </c>
      <c r="N194" t="n">
        <v>1</v>
      </c>
    </row>
    <row r="195">
      <c r="A195" t="inlineStr">
        <is>
          <t>Barley</t>
        </is>
      </c>
      <c r="B195" t="inlineStr">
        <is>
          <t>The same render account for 36 quarters 1 bushels from the whole issue of barley from the grange in the granary without heaped measure.</t>
        </is>
      </c>
      <c r="C195" t="n">
        <v>0</v>
      </c>
      <c r="D195" t="n">
        <v>0</v>
      </c>
      <c r="E195" t="n">
        <v>0</v>
      </c>
      <c r="F195" t="n">
        <v>0</v>
      </c>
      <c r="G195" t="inlineStr">
        <is>
          <t>barley</t>
        </is>
      </c>
      <c r="H195" t="n">
        <v>36</v>
      </c>
      <c r="I195" t="n">
        <v>1</v>
      </c>
      <c r="J195" t="n">
        <v>36.125</v>
      </c>
      <c r="K195" t="n">
        <v>36.125</v>
      </c>
      <c r="L195" t="n">
        <v>0</v>
      </c>
      <c r="M195" t="n">
        <v>36</v>
      </c>
      <c r="N195" t="n">
        <v>1</v>
      </c>
    </row>
    <row r="196">
      <c r="A196" t="inlineStr">
        <is>
          <t>Barley</t>
        </is>
      </c>
      <c r="B196" t="inlineStr">
        <is>
          <t>4 quarters of winter barley received for the liveries of the manorial servants.</t>
        </is>
      </c>
      <c r="C196" t="n">
        <v>0</v>
      </c>
      <c r="D196" t="n">
        <v>0</v>
      </c>
      <c r="E196" t="n">
        <v>0</v>
      </c>
      <c r="F196" t="n">
        <v>0</v>
      </c>
      <c r="G196" t="inlineStr">
        <is>
          <t>barley</t>
        </is>
      </c>
      <c r="H196" t="n">
        <v>4</v>
      </c>
      <c r="I196" t="n">
        <v>0</v>
      </c>
      <c r="J196" t="n">
        <v>4</v>
      </c>
      <c r="K196" t="n">
        <v>4</v>
      </c>
      <c r="L196" t="n">
        <v>0</v>
      </c>
      <c r="M196" t="n">
        <v>4</v>
      </c>
      <c r="N196" t="n">
        <v>0</v>
      </c>
    </row>
    <row r="197">
      <c r="A197" t="inlineStr">
        <is>
          <t>Barley</t>
        </is>
      </c>
      <c r="B197" t="inlineStr">
        <is>
          <t>1 quarters 3 bushels of curall received for the same.</t>
        </is>
      </c>
      <c r="C197" t="n">
        <v>0</v>
      </c>
      <c r="D197" t="n">
        <v>0</v>
      </c>
      <c r="E197" t="n">
        <v>0</v>
      </c>
      <c r="F197" t="n">
        <v>0</v>
      </c>
      <c r="G197" t="inlineStr">
        <is>
          <t>curall</t>
        </is>
      </c>
      <c r="H197" t="n">
        <v>1</v>
      </c>
      <c r="I197" t="n">
        <v>3</v>
      </c>
      <c r="J197" t="n">
        <v>1.375</v>
      </c>
      <c r="K197" t="n">
        <v>1.375</v>
      </c>
      <c r="L197" t="n">
        <v>0</v>
      </c>
      <c r="M197" t="n">
        <v>1</v>
      </c>
      <c r="N197" t="n">
        <v>3</v>
      </c>
    </row>
    <row r="198">
      <c r="A198" t="inlineStr">
        <is>
          <t>Barley</t>
        </is>
      </c>
      <c r="B198" t="inlineStr">
        <is>
          <t>7 bushels of peas received for the same.</t>
        </is>
      </c>
      <c r="C198" t="n">
        <v>0</v>
      </c>
      <c r="D198" t="n">
        <v>0</v>
      </c>
      <c r="E198" t="n">
        <v>0</v>
      </c>
      <c r="F198" t="n">
        <v>0</v>
      </c>
      <c r="G198" t="inlineStr">
        <is>
          <t>peas</t>
        </is>
      </c>
      <c r="H198" t="n">
        <v>0</v>
      </c>
      <c r="I198" t="n">
        <v>7</v>
      </c>
      <c r="J198" t="n">
        <v>0.875</v>
      </c>
      <c r="K198" t="n">
        <v>0.875</v>
      </c>
      <c r="L198" t="n">
        <v>0</v>
      </c>
      <c r="M198" t="n">
        <v>0</v>
      </c>
      <c r="N198" t="n">
        <v>7</v>
      </c>
    </row>
    <row r="199">
      <c r="A199" t="inlineStr">
        <is>
          <t>Barley</t>
        </is>
      </c>
      <c r="B199" t="inlineStr">
        <is>
          <t>15 quarters bought.</t>
        </is>
      </c>
      <c r="C199" t="n">
        <v>0</v>
      </c>
      <c r="D199" t="n">
        <v>0</v>
      </c>
      <c r="E199" t="n">
        <v>0</v>
      </c>
      <c r="F199" t="n">
        <v>0</v>
      </c>
      <c r="H199" t="n">
        <v>15</v>
      </c>
      <c r="I199" t="n">
        <v>0</v>
      </c>
      <c r="J199" t="n">
        <v>15</v>
      </c>
      <c r="K199" t="n">
        <v>15</v>
      </c>
      <c r="L199" t="n">
        <v>0</v>
      </c>
      <c r="M199" t="n">
        <v>15</v>
      </c>
      <c r="N199" t="n">
        <v>0</v>
      </c>
    </row>
    <row r="200">
      <c r="A200" t="inlineStr">
        <is>
          <t>Barley</t>
        </is>
      </c>
      <c r="B200" t="inlineStr">
        <is>
          <t>Total, 57 quarters 3 bushels</t>
        </is>
      </c>
      <c r="C200" t="n">
        <v>0</v>
      </c>
      <c r="D200" t="n">
        <v>0</v>
      </c>
      <c r="E200" t="n">
        <v>0</v>
      </c>
      <c r="F200" t="n">
        <v>0</v>
      </c>
      <c r="H200" t="n">
        <v>57</v>
      </c>
      <c r="I200" t="n">
        <v>3</v>
      </c>
      <c r="J200" t="n">
        <v>57.375</v>
      </c>
      <c r="K200" t="n">
        <v>57.375</v>
      </c>
      <c r="L200" t="n">
        <v>0</v>
      </c>
      <c r="M200" t="n">
        <v>57</v>
      </c>
      <c r="N200" t="n">
        <v>3</v>
      </c>
    </row>
    <row r="201">
      <c r="A201" t="inlineStr">
        <is>
          <t>Barley</t>
        </is>
      </c>
      <c r="B201" t="inlineStr">
        <is>
          <t>Sown over 33.5 acres measured by the perch in the fields of la Hull' and Buttehegg', 16.5 quarters 2 bushels.</t>
        </is>
      </c>
      <c r="C201" t="n">
        <v>0</v>
      </c>
      <c r="D201" t="n">
        <v>0</v>
      </c>
      <c r="E201" t="n">
        <v>0</v>
      </c>
      <c r="F201" t="n">
        <v>0</v>
      </c>
      <c r="H201" t="n">
        <v>16.5</v>
      </c>
      <c r="I201" t="n">
        <v>2</v>
      </c>
      <c r="J201" t="n">
        <v>16.75</v>
      </c>
      <c r="K201" t="n">
        <v>16.75</v>
      </c>
      <c r="L201" t="n">
        <v>0</v>
      </c>
      <c r="M201" t="n">
        <v>16.5</v>
      </c>
      <c r="N201" t="n">
        <v>2</v>
      </c>
    </row>
    <row r="202">
      <c r="A202" t="inlineStr">
        <is>
          <t>Barley</t>
        </is>
      </c>
      <c r="B202" t="inlineStr">
        <is>
          <t>that is, 0.5 quarters an acre.</t>
        </is>
      </c>
      <c r="C202" t="n">
        <v>0</v>
      </c>
      <c r="D202" t="n">
        <v>0</v>
      </c>
      <c r="E202" t="n">
        <v>0</v>
      </c>
      <c r="F202" t="n">
        <v>0</v>
      </c>
      <c r="H202" t="n">
        <v>0.5</v>
      </c>
      <c r="I202" t="n">
        <v>0</v>
      </c>
      <c r="J202" t="n">
        <v>0.5</v>
      </c>
      <c r="K202" t="n">
        <v>0.5</v>
      </c>
      <c r="L202" t="n">
        <v>0</v>
      </c>
      <c r="M202" t="n">
        <v>0.5</v>
      </c>
      <c r="N202" t="n">
        <v>0</v>
      </c>
    </row>
    <row r="203">
      <c r="A203" t="inlineStr">
        <is>
          <t>Barley</t>
        </is>
      </c>
      <c r="B203" t="inlineStr">
        <is>
          <t>Delivered to the hayward and carter for the year, 13 quarters, taking a quarter every 8 weeks.</t>
        </is>
      </c>
      <c r="C203" t="n">
        <v>0</v>
      </c>
      <c r="D203" t="n">
        <v>0</v>
      </c>
      <c r="E203" t="n">
        <v>0</v>
      </c>
      <c r="F203" t="n">
        <v>0</v>
      </c>
      <c r="H203" t="n">
        <v>13</v>
      </c>
      <c r="I203" t="n">
        <v>0</v>
      </c>
      <c r="J203" t="n">
        <v>13</v>
      </c>
      <c r="K203" t="n">
        <v>13</v>
      </c>
      <c r="L203" t="n">
        <v>0</v>
      </c>
      <c r="M203" t="n">
        <v>13</v>
      </c>
      <c r="N203" t="n">
        <v>0</v>
      </c>
    </row>
    <row r="204">
      <c r="A204" t="inlineStr">
        <is>
          <t>Barley</t>
        </is>
      </c>
      <c r="B204" t="inlineStr">
        <is>
          <t>Delivered to 1 harrower, 4 bushels Delivered to 1 dairymaid from the Purification until Michaelmas, 2 quarters 2 bushels.</t>
        </is>
      </c>
      <c r="C204" t="n">
        <v>0</v>
      </c>
      <c r="D204" t="n">
        <v>0</v>
      </c>
      <c r="E204" t="n">
        <v>0</v>
      </c>
      <c r="F204" t="n">
        <v>0</v>
      </c>
      <c r="H204" t="n">
        <v>2</v>
      </c>
      <c r="I204" t="n">
        <v>2</v>
      </c>
      <c r="J204" t="n">
        <v>2.25</v>
      </c>
      <c r="K204" t="n">
        <v>0.5</v>
      </c>
      <c r="L204" t="n">
        <v>1.75</v>
      </c>
      <c r="M204" t="n">
        <v>0</v>
      </c>
      <c r="N204" t="n">
        <v>4</v>
      </c>
      <c r="O204" t="n">
        <v>2</v>
      </c>
      <c r="P204" t="n">
        <v>2</v>
      </c>
    </row>
    <row r="205">
      <c r="A205" t="inlineStr">
        <is>
          <t>Barley</t>
        </is>
      </c>
      <c r="B205" t="inlineStr">
        <is>
          <t>customary payment to 1 keeper of ewes, 6 bushels.</t>
        </is>
      </c>
      <c r="C205" t="n">
        <v>0</v>
      </c>
      <c r="D205" t="n">
        <v>0</v>
      </c>
      <c r="E205" t="n">
        <v>0</v>
      </c>
      <c r="F205" t="n">
        <v>0</v>
      </c>
      <c r="H205" t="n">
        <v>0</v>
      </c>
      <c r="I205" t="n">
        <v>6</v>
      </c>
      <c r="J205" t="n">
        <v>0.75</v>
      </c>
      <c r="K205" t="n">
        <v>0.75</v>
      </c>
      <c r="L205" t="n">
        <v>0</v>
      </c>
      <c r="M205" t="n">
        <v>0</v>
      </c>
      <c r="N205" t="n">
        <v>6</v>
      </c>
    </row>
    <row r="206">
      <c r="A206" t="inlineStr">
        <is>
          <t>Barley</t>
        </is>
      </c>
      <c r="B206" t="inlineStr">
        <is>
          <t>customary payment to 1 keeper of lambs this year, 6 bushels.</t>
        </is>
      </c>
      <c r="C206" t="n">
        <v>0</v>
      </c>
      <c r="D206" t="n">
        <v>0</v>
      </c>
      <c r="E206" t="n">
        <v>0</v>
      </c>
      <c r="F206" t="n">
        <v>0</v>
      </c>
      <c r="H206" t="n">
        <v>0</v>
      </c>
      <c r="I206" t="n">
        <v>6</v>
      </c>
      <c r="J206" t="n">
        <v>0.75</v>
      </c>
      <c r="K206" t="n">
        <v>0.75</v>
      </c>
      <c r="L206" t="n">
        <v>0</v>
      </c>
      <c r="M206" t="n">
        <v>0</v>
      </c>
      <c r="N206" t="n">
        <v>6</v>
      </c>
    </row>
    <row r="207">
      <c r="A207" t="inlineStr">
        <is>
          <t>Barley</t>
        </is>
      </c>
      <c r="B207" t="inlineStr">
        <is>
          <t>customary payment to 1 swineherd this year because he was not outside the manor during mast, 6 bushels.</t>
        </is>
      </c>
      <c r="C207" t="n">
        <v>0</v>
      </c>
      <c r="D207" t="n">
        <v>0</v>
      </c>
      <c r="E207" t="n">
        <v>0</v>
      </c>
      <c r="F207" t="n">
        <v>0</v>
      </c>
      <c r="H207" t="n">
        <v>0</v>
      </c>
      <c r="I207" t="n">
        <v>6</v>
      </c>
      <c r="J207" t="n">
        <v>0.75</v>
      </c>
      <c r="K207" t="n">
        <v>0.75</v>
      </c>
      <c r="L207" t="n">
        <v>0</v>
      </c>
      <c r="M207" t="n">
        <v>0</v>
      </c>
      <c r="N207" t="n">
        <v>6</v>
      </c>
    </row>
    <row r="208">
      <c r="A208" t="inlineStr">
        <is>
          <t>Barley</t>
        </is>
      </c>
      <c r="B208" t="inlineStr">
        <is>
          <t>supporting pigs and piglets, 1.5 quarters.</t>
        </is>
      </c>
      <c r="C208" t="n">
        <v>0</v>
      </c>
      <c r="D208" t="n">
        <v>0</v>
      </c>
      <c r="E208" t="n">
        <v>0</v>
      </c>
      <c r="F208" t="n">
        <v>0</v>
      </c>
      <c r="H208" t="n">
        <v>1.5</v>
      </c>
      <c r="I208" t="n">
        <v>0</v>
      </c>
      <c r="J208" t="n">
        <v>1.5</v>
      </c>
      <c r="K208" t="n">
        <v>1.5</v>
      </c>
      <c r="L208" t="n">
        <v>0</v>
      </c>
      <c r="M208" t="n">
        <v>1.5</v>
      </c>
      <c r="N208" t="n">
        <v>0</v>
      </c>
    </row>
    <row r="209">
      <c r="A209" t="inlineStr">
        <is>
          <t>Barley</t>
        </is>
      </c>
      <c r="B209" t="inlineStr">
        <is>
          <t>Delivered to 1cowherd from the feast of St Vincent the Martyr (22 January) until Michaelmas (29 September), for 36 weeks, 3 quarters.</t>
        </is>
      </c>
      <c r="C209" t="n">
        <v>0</v>
      </c>
      <c r="D209" t="n">
        <v>0</v>
      </c>
      <c r="E209" t="n">
        <v>0</v>
      </c>
      <c r="F209" t="n">
        <v>0</v>
      </c>
      <c r="H209" t="n">
        <v>3</v>
      </c>
      <c r="I209" t="n">
        <v>0</v>
      </c>
      <c r="J209" t="n">
        <v>3</v>
      </c>
      <c r="K209" t="n">
        <v>3</v>
      </c>
      <c r="L209" t="n">
        <v>0</v>
      </c>
      <c r="M209" t="n">
        <v>3</v>
      </c>
      <c r="N209" t="n">
        <v>0</v>
      </c>
    </row>
    <row r="210">
      <c r="A210" t="inlineStr">
        <is>
          <t>Barley</t>
        </is>
      </c>
      <c r="B210" t="inlineStr">
        <is>
          <t>Sold, 16 quarters 2 bushels</t>
        </is>
      </c>
      <c r="C210" t="n">
        <v>0</v>
      </c>
      <c r="D210" t="n">
        <v>0</v>
      </c>
      <c r="E210" t="n">
        <v>0</v>
      </c>
      <c r="F210" t="n">
        <v>0</v>
      </c>
      <c r="H210" t="n">
        <v>16</v>
      </c>
      <c r="I210" t="n">
        <v>2</v>
      </c>
      <c r="J210" t="n">
        <v>16.25</v>
      </c>
      <c r="K210" t="n">
        <v>16.25</v>
      </c>
      <c r="L210" t="n">
        <v>0</v>
      </c>
      <c r="M210" t="n">
        <v>16</v>
      </c>
      <c r="N210" t="n">
        <v>2</v>
      </c>
    </row>
    <row r="211">
      <c r="A211" t="inlineStr">
        <is>
          <t>Oats</t>
        </is>
      </c>
      <c r="B211" t="inlineStr">
        <is>
          <t>(yield: two-fold less 2 quarters}</t>
        </is>
      </c>
      <c r="C211" t="n">
        <v>0</v>
      </c>
      <c r="D211" t="n">
        <v>0</v>
      </c>
      <c r="E211" t="n">
        <v>0</v>
      </c>
      <c r="F211" t="n">
        <v>0</v>
      </c>
      <c r="H211" t="n">
        <v>2</v>
      </c>
      <c r="I211" t="n">
        <v>0</v>
      </c>
      <c r="J211" t="n">
        <v>2</v>
      </c>
      <c r="K211" t="n">
        <v>2</v>
      </c>
      <c r="L211" t="n">
        <v>0</v>
      </c>
      <c r="M211" t="n">
        <v>2</v>
      </c>
      <c r="N211" t="n">
        <v>0</v>
      </c>
    </row>
    <row r="212">
      <c r="A212" t="inlineStr">
        <is>
          <t>Oats</t>
        </is>
      </c>
      <c r="B212" t="inlineStr">
        <is>
          <t>The same render account for 116 quarters 2 bushels from the whole issue of oats from the grange in the granary without heaped measure.</t>
        </is>
      </c>
      <c r="C212" t="n">
        <v>0</v>
      </c>
      <c r="D212" t="n">
        <v>0</v>
      </c>
      <c r="E212" t="n">
        <v>0</v>
      </c>
      <c r="F212" t="n">
        <v>0</v>
      </c>
      <c r="G212" t="inlineStr">
        <is>
          <t>oats</t>
        </is>
      </c>
      <c r="H212" t="n">
        <v>116</v>
      </c>
      <c r="I212" t="n">
        <v>2</v>
      </c>
      <c r="J212" t="n">
        <v>116.25</v>
      </c>
      <c r="K212" t="n">
        <v>116.25</v>
      </c>
      <c r="L212" t="n">
        <v>0</v>
      </c>
      <c r="M212" t="n">
        <v>116</v>
      </c>
      <c r="N212" t="n">
        <v>2</v>
      </c>
    </row>
    <row r="213">
      <c r="A213" t="inlineStr">
        <is>
          <t>Oats</t>
        </is>
      </c>
      <c r="B213" t="inlineStr">
        <is>
          <t>22 quarters by estimation in sheaves given to oxen.</t>
        </is>
      </c>
      <c r="C213" t="n">
        <v>0</v>
      </c>
      <c r="D213" t="n">
        <v>0</v>
      </c>
      <c r="E213" t="n">
        <v>0</v>
      </c>
      <c r="F213" t="n">
        <v>0</v>
      </c>
      <c r="H213" t="n">
        <v>22</v>
      </c>
      <c r="I213" t="n">
        <v>0</v>
      </c>
      <c r="J213" t="n">
        <v>22</v>
      </c>
      <c r="K213" t="n">
        <v>22</v>
      </c>
      <c r="L213" t="n">
        <v>0</v>
      </c>
      <c r="M213" t="n">
        <v>22</v>
      </c>
      <c r="N213" t="n">
        <v>0</v>
      </c>
    </row>
    <row r="214">
      <c r="A214" t="inlineStr">
        <is>
          <t>Oats</t>
        </is>
      </c>
      <c r="B214" t="inlineStr">
        <is>
          <t>Total 138 quarters 2 bushels</t>
        </is>
      </c>
      <c r="C214" t="n">
        <v>0</v>
      </c>
      <c r="D214" t="n">
        <v>0</v>
      </c>
      <c r="E214" t="n">
        <v>0</v>
      </c>
      <c r="F214" t="n">
        <v>0</v>
      </c>
      <c r="H214" t="n">
        <v>138</v>
      </c>
      <c r="I214" t="n">
        <v>2</v>
      </c>
      <c r="J214" t="n">
        <v>138.25</v>
      </c>
      <c r="K214" t="n">
        <v>138.25</v>
      </c>
      <c r="L214" t="n">
        <v>0</v>
      </c>
      <c r="M214" t="n">
        <v>138</v>
      </c>
      <c r="N214" t="n">
        <v>2</v>
      </c>
    </row>
    <row r="215">
      <c r="A215" t="inlineStr">
        <is>
          <t>Oats</t>
        </is>
      </c>
      <c r="B215" t="inlineStr">
        <is>
          <t>Sown over 85.5 acres which lie in the fields of la Hull' and la Rud', 64 quarters.</t>
        </is>
      </c>
      <c r="C215" t="n">
        <v>0</v>
      </c>
      <c r="D215" t="n">
        <v>0</v>
      </c>
      <c r="E215" t="n">
        <v>0</v>
      </c>
      <c r="F215" t="n">
        <v>0</v>
      </c>
      <c r="H215" t="n">
        <v>64</v>
      </c>
      <c r="I215" t="n">
        <v>0</v>
      </c>
      <c r="J215" t="n">
        <v>64</v>
      </c>
      <c r="K215" t="n">
        <v>64</v>
      </c>
      <c r="L215" t="n">
        <v>0</v>
      </c>
      <c r="M215" t="n">
        <v>64</v>
      </c>
      <c r="N215" t="n">
        <v>0</v>
      </c>
    </row>
    <row r="216">
      <c r="A216" t="inlineStr">
        <is>
          <t>Oats</t>
        </is>
      </c>
      <c r="B216" t="inlineStr">
        <is>
          <t>that is, 6 bushels an acre, less 1 bushels in all.</t>
        </is>
      </c>
      <c r="C216" t="n">
        <v>0</v>
      </c>
      <c r="D216" t="n">
        <v>0</v>
      </c>
      <c r="E216" t="n">
        <v>0</v>
      </c>
      <c r="F216" t="n">
        <v>0</v>
      </c>
      <c r="H216" t="n">
        <v>0</v>
      </c>
      <c r="I216" t="n">
        <v>1</v>
      </c>
      <c r="J216" t="n">
        <v>0.125</v>
      </c>
      <c r="K216" t="n">
        <v>0.75</v>
      </c>
      <c r="L216" t="n">
        <v>-0.625</v>
      </c>
      <c r="M216" t="n">
        <v>0</v>
      </c>
      <c r="N216" t="n">
        <v>6</v>
      </c>
      <c r="O216" t="n">
        <v>0</v>
      </c>
      <c r="P216" t="n">
        <v>1</v>
      </c>
    </row>
    <row r="217">
      <c r="A217" t="inlineStr">
        <is>
          <t>Oats</t>
        </is>
      </c>
      <c r="B217" t="inlineStr">
        <is>
          <t>.</t>
        </is>
      </c>
      <c r="C217" t="n">
        <v>0</v>
      </c>
      <c r="D217" t="n">
        <v>0</v>
      </c>
      <c r="E217" t="n">
        <v>0</v>
      </c>
      <c r="F217" t="n">
        <v>0</v>
      </c>
      <c r="H217" t="n">
        <v>0</v>
      </c>
      <c r="I217" t="n">
        <v>0</v>
      </c>
      <c r="J217" t="n">
        <v>0</v>
      </c>
      <c r="K217" t="n">
        <v>0</v>
      </c>
      <c r="L217" t="n">
        <v>0</v>
      </c>
      <c r="M217" t="n">
        <v>0</v>
      </c>
      <c r="N217" t="n">
        <v>0</v>
      </c>
    </row>
    <row r="218">
      <c r="A218" t="inlineStr">
        <is>
          <t>Oats</t>
        </is>
      </c>
      <c r="B218" t="inlineStr">
        <is>
          <t>fodder of 2 cart-horses and 8 plough-horses helping them at the horse-ploughs at the time of the summer sowing because they ploughed before and after dinner and carried dung when they were not at the ploughs, 9 quarters 6 bushels.</t>
        </is>
      </c>
      <c r="C218" t="n">
        <v>0</v>
      </c>
      <c r="D218" t="n">
        <v>0</v>
      </c>
      <c r="E218" t="n">
        <v>0</v>
      </c>
      <c r="F218" t="n">
        <v>0</v>
      </c>
      <c r="H218" t="n">
        <v>9</v>
      </c>
      <c r="I218" t="n">
        <v>6</v>
      </c>
      <c r="J218" t="n">
        <v>9.75</v>
      </c>
      <c r="K218" t="n">
        <v>9.75</v>
      </c>
      <c r="L218" t="n">
        <v>0</v>
      </c>
      <c r="M218" t="n">
        <v>9</v>
      </c>
      <c r="N218" t="n">
        <v>6</v>
      </c>
    </row>
    <row r="219">
      <c r="A219" t="inlineStr">
        <is>
          <t>Oats</t>
        </is>
      </c>
      <c r="B219" t="inlineStr">
        <is>
          <t>fodder of oxen by estimation in sheaves, 22 quarters.</t>
        </is>
      </c>
      <c r="C219" t="n">
        <v>0</v>
      </c>
      <c r="D219" t="n">
        <v>0</v>
      </c>
      <c r="E219" t="n">
        <v>0</v>
      </c>
      <c r="F219" t="n">
        <v>0</v>
      </c>
      <c r="H219" t="n">
        <v>22</v>
      </c>
      <c r="I219" t="n">
        <v>0</v>
      </c>
      <c r="J219" t="n">
        <v>22</v>
      </c>
      <c r="K219" t="n">
        <v>22</v>
      </c>
      <c r="L219" t="n">
        <v>0</v>
      </c>
      <c r="M219" t="n">
        <v>22</v>
      </c>
      <c r="N219" t="n">
        <v>0</v>
      </c>
    </row>
    <row r="220">
      <c r="A220" t="inlineStr">
        <is>
          <t>Oats</t>
        </is>
      </c>
      <c r="B220" t="inlineStr">
        <is>
          <t>.</t>
        </is>
      </c>
      <c r="C220" t="n">
        <v>0</v>
      </c>
      <c r="D220" t="n">
        <v>0</v>
      </c>
      <c r="E220" t="n">
        <v>0</v>
      </c>
      <c r="F220" t="n">
        <v>0</v>
      </c>
      <c r="H220" t="n">
        <v>0</v>
      </c>
      <c r="I220" t="n">
        <v>0</v>
      </c>
      <c r="J220" t="n">
        <v>0</v>
      </c>
      <c r="K220" t="n">
        <v>0</v>
      </c>
      <c r="L220" t="n">
        <v>0</v>
      </c>
      <c r="M220" t="n">
        <v>0</v>
      </c>
      <c r="N220" t="n">
        <v>0</v>
      </c>
    </row>
    <row r="221">
      <c r="A221" t="inlineStr">
        <is>
          <t>Oats</t>
        </is>
      </c>
      <c r="B221" t="inlineStr">
        <is>
          <t>fodder of the horses of Simon, clerk, 2 bushels Sold, 32 quarters.</t>
        </is>
      </c>
      <c r="C221" t="n">
        <v>0</v>
      </c>
      <c r="D221" t="n">
        <v>0</v>
      </c>
      <c r="E221" t="n">
        <v>0</v>
      </c>
      <c r="F221" t="n">
        <v>0</v>
      </c>
      <c r="H221" t="n">
        <v>32</v>
      </c>
      <c r="I221" t="n">
        <v>2</v>
      </c>
      <c r="J221" t="n">
        <v>32.25</v>
      </c>
      <c r="K221" t="n">
        <v>0.25</v>
      </c>
      <c r="L221" t="n">
        <v>32</v>
      </c>
      <c r="M221" t="n">
        <v>0</v>
      </c>
      <c r="N221" t="n">
        <v>2</v>
      </c>
      <c r="O221" t="n">
        <v>32</v>
      </c>
      <c r="P221" t="n">
        <v>0</v>
      </c>
    </row>
    <row r="222">
      <c r="A222" t="inlineStr">
        <is>
          <t>Oats</t>
        </is>
      </c>
      <c r="B222" t="inlineStr">
        <is>
          <t>Sold at the audit, 6 quarters 2 bushels</t>
        </is>
      </c>
      <c r="C222" t="n">
        <v>0</v>
      </c>
      <c r="D222" t="n">
        <v>0</v>
      </c>
      <c r="E222" t="n">
        <v>0</v>
      </c>
      <c r="F222" t="n">
        <v>0</v>
      </c>
      <c r="H222" t="n">
        <v>6</v>
      </c>
      <c r="I222" t="n">
        <v>2</v>
      </c>
      <c r="J222" t="n">
        <v>6.25</v>
      </c>
      <c r="K222" t="n">
        <v>6.25</v>
      </c>
      <c r="L222" t="n">
        <v>0</v>
      </c>
      <c r="M222" t="n">
        <v>6</v>
      </c>
      <c r="N222" t="n">
        <v>2</v>
      </c>
    </row>
    <row r="223">
      <c r="A223" t="inlineStr">
        <is>
          <t>Peas</t>
        </is>
      </c>
      <c r="B223" t="inlineStr">
        <is>
          <t>(yield: two-fold plus 2 bushels)</t>
        </is>
      </c>
      <c r="C223" t="n">
        <v>0</v>
      </c>
      <c r="D223" t="n">
        <v>0</v>
      </c>
      <c r="E223" t="n">
        <v>0</v>
      </c>
      <c r="F223" t="n">
        <v>0</v>
      </c>
      <c r="H223" t="n">
        <v>0</v>
      </c>
      <c r="I223" t="n">
        <v>2</v>
      </c>
      <c r="J223" t="n">
        <v>0.25</v>
      </c>
      <c r="K223" t="n">
        <v>0.25</v>
      </c>
      <c r="L223" t="n">
        <v>0</v>
      </c>
      <c r="M223" t="n">
        <v>0</v>
      </c>
      <c r="N223" t="n">
        <v>2</v>
      </c>
    </row>
    <row r="224">
      <c r="A224" t="inlineStr">
        <is>
          <t>Peas</t>
        </is>
      </c>
      <c r="B224" t="inlineStr">
        <is>
          <t>The same render account for 2.5 quarters from the whole issue of peas without heaped measure.</t>
        </is>
      </c>
      <c r="C224" t="n">
        <v>0</v>
      </c>
      <c r="D224" t="n">
        <v>0</v>
      </c>
      <c r="E224" t="n">
        <v>0</v>
      </c>
      <c r="F224" t="n">
        <v>0</v>
      </c>
      <c r="G224" t="inlineStr">
        <is>
          <t>peas</t>
        </is>
      </c>
      <c r="H224" t="n">
        <v>2.5</v>
      </c>
      <c r="I224" t="n">
        <v>0</v>
      </c>
      <c r="J224" t="n">
        <v>2.5</v>
      </c>
      <c r="K224" t="n">
        <v>2.5</v>
      </c>
      <c r="L224" t="n">
        <v>0</v>
      </c>
      <c r="M224" t="n">
        <v>2.5</v>
      </c>
      <c r="N224" t="n">
        <v>0</v>
      </c>
    </row>
    <row r="225">
      <c r="A225" t="inlineStr">
        <is>
          <t>Peas</t>
        </is>
      </c>
      <c r="B225" t="inlineStr">
        <is>
          <t>Sown, 5 bushels Mixed with barley for the liveries of the manorial servants, 7 bushels.</t>
        </is>
      </c>
      <c r="C225" t="n">
        <v>0</v>
      </c>
      <c r="D225" t="n">
        <v>0</v>
      </c>
      <c r="E225" t="n">
        <v>0</v>
      </c>
      <c r="F225" t="n">
        <v>0</v>
      </c>
      <c r="G225" t="inlineStr">
        <is>
          <t>barley</t>
        </is>
      </c>
      <c r="H225" t="n">
        <v>0</v>
      </c>
      <c r="I225" t="n">
        <v>7</v>
      </c>
      <c r="J225" t="n">
        <v>0.875</v>
      </c>
      <c r="K225" t="n">
        <v>0.625</v>
      </c>
      <c r="L225" t="n">
        <v>0.25</v>
      </c>
      <c r="M225" t="n">
        <v>0</v>
      </c>
      <c r="N225" t="n">
        <v>5</v>
      </c>
      <c r="O225" t="n">
        <v>0</v>
      </c>
      <c r="P225" t="n">
        <v>7</v>
      </c>
    </row>
    <row r="226">
      <c r="A226" t="inlineStr">
        <is>
          <t>Peas</t>
        </is>
      </c>
      <c r="B226" t="inlineStr">
        <is>
          <t>supporting pigs, 5 bushels Sold, 3 bushels</t>
        </is>
      </c>
      <c r="C226" t="n">
        <v>0</v>
      </c>
      <c r="D226" t="n">
        <v>0</v>
      </c>
      <c r="E226" t="n">
        <v>0</v>
      </c>
      <c r="F226" t="n">
        <v>0</v>
      </c>
      <c r="H226" t="n">
        <v>0</v>
      </c>
      <c r="I226" t="n">
        <v>3</v>
      </c>
      <c r="J226" t="n">
        <v>0.375</v>
      </c>
      <c r="K226" t="n">
        <v>0.625</v>
      </c>
      <c r="L226" t="n">
        <v>-0.25</v>
      </c>
      <c r="M226" t="n">
        <v>0</v>
      </c>
      <c r="N226" t="n">
        <v>5</v>
      </c>
      <c r="O226" t="n">
        <v>0</v>
      </c>
      <c r="P226" t="n">
        <v>3</v>
      </c>
    </row>
    <row r="227">
      <c r="A227" t="inlineStr">
        <is>
          <t>Vetches</t>
        </is>
      </c>
      <c r="B227" t="inlineStr">
        <is>
          <t>(yield: two-fold plus 1 bushels)</t>
        </is>
      </c>
      <c r="C227" t="n">
        <v>0</v>
      </c>
      <c r="D227" t="n">
        <v>0</v>
      </c>
      <c r="E227" t="n">
        <v>0</v>
      </c>
      <c r="F227" t="n">
        <v>0</v>
      </c>
      <c r="H227" t="n">
        <v>0</v>
      </c>
      <c r="I227" t="n">
        <v>1</v>
      </c>
      <c r="J227" t="n">
        <v>0.125</v>
      </c>
      <c r="K227" t="n">
        <v>0.125</v>
      </c>
      <c r="L227" t="n">
        <v>0</v>
      </c>
      <c r="M227" t="n">
        <v>0</v>
      </c>
      <c r="N227" t="n">
        <v>1</v>
      </c>
    </row>
    <row r="228">
      <c r="A228" t="inlineStr">
        <is>
          <t>Vetches</t>
        </is>
      </c>
      <c r="B228" t="inlineStr">
        <is>
          <t>The same render account for 2 quarters 1 bushels from the whole issue of vetches.</t>
        </is>
      </c>
      <c r="C228" t="n">
        <v>0</v>
      </c>
      <c r="D228" t="n">
        <v>0</v>
      </c>
      <c r="E228" t="n">
        <v>0</v>
      </c>
      <c r="F228" t="n">
        <v>0</v>
      </c>
      <c r="G228" t="inlineStr">
        <is>
          <t>vetches</t>
        </is>
      </c>
      <c r="H228" t="n">
        <v>2</v>
      </c>
      <c r="I228" t="n">
        <v>1</v>
      </c>
      <c r="J228" t="n">
        <v>2.125</v>
      </c>
      <c r="K228" t="n">
        <v>2.125</v>
      </c>
      <c r="L228" t="n">
        <v>0</v>
      </c>
      <c r="M228" t="n">
        <v>2</v>
      </c>
      <c r="N228" t="n">
        <v>1</v>
      </c>
    </row>
    <row r="229">
      <c r="A229" t="inlineStr">
        <is>
          <t>Vetches</t>
        </is>
      </c>
      <c r="B229" t="inlineStr">
        <is>
          <t>Sown, 1.5 quarters.</t>
        </is>
      </c>
      <c r="C229" t="n">
        <v>0</v>
      </c>
      <c r="D229" t="n">
        <v>0</v>
      </c>
      <c r="E229" t="n">
        <v>0</v>
      </c>
      <c r="F229" t="n">
        <v>0</v>
      </c>
      <c r="H229" t="n">
        <v>1.5</v>
      </c>
      <c r="I229" t="n">
        <v>0</v>
      </c>
      <c r="J229" t="n">
        <v>1.5</v>
      </c>
      <c r="K229" t="n">
        <v>1.5</v>
      </c>
      <c r="L229" t="n">
        <v>0</v>
      </c>
      <c r="M229" t="n">
        <v>1.5</v>
      </c>
      <c r="N229" t="n">
        <v>0</v>
      </c>
    </row>
    <row r="230">
      <c r="A230" t="inlineStr">
        <is>
          <t>Vetches</t>
        </is>
      </c>
      <c r="B230" t="inlineStr">
        <is>
          <t>Sold, 5 bushels</t>
        </is>
      </c>
      <c r="C230" t="n">
        <v>0</v>
      </c>
      <c r="D230" t="n">
        <v>0</v>
      </c>
      <c r="E230" t="n">
        <v>0</v>
      </c>
      <c r="F230" t="n">
        <v>0</v>
      </c>
      <c r="H230" t="n">
        <v>0</v>
      </c>
      <c r="I230" t="n">
        <v>5</v>
      </c>
      <c r="J230" t="n">
        <v>0.625</v>
      </c>
      <c r="K230" t="n">
        <v>0.625</v>
      </c>
      <c r="L230" t="n">
        <v>0</v>
      </c>
      <c r="M230" t="n">
        <v>0</v>
      </c>
      <c r="N230" t="n">
        <v>5</v>
      </c>
    </row>
    <row r="231">
      <c r="A231" t="inlineStr">
        <is>
          <t>Mill</t>
        </is>
      </c>
      <c r="B231" t="inlineStr">
        <is>
          <t>Wheat: 4 bushels from the whole issue of la Clich' put to farm.</t>
        </is>
      </c>
      <c r="C231" t="n">
        <v>0</v>
      </c>
      <c r="D231" t="n">
        <v>0</v>
      </c>
      <c r="E231" t="n">
        <v>0</v>
      </c>
      <c r="F231" t="n">
        <v>0</v>
      </c>
      <c r="G231" t="inlineStr">
        <is>
          <t>wheat</t>
        </is>
      </c>
      <c r="H231" t="n">
        <v>0</v>
      </c>
      <c r="I231" t="n">
        <v>4</v>
      </c>
      <c r="J231" t="n">
        <v>0.5</v>
      </c>
      <c r="K231" t="n">
        <v>0.5</v>
      </c>
      <c r="L231" t="n">
        <v>0</v>
      </c>
      <c r="M231" t="n">
        <v>0</v>
      </c>
      <c r="N231" t="n">
        <v>4</v>
      </c>
    </row>
    <row r="232">
      <c r="A232" t="inlineStr">
        <is>
          <t>Mill</t>
        </is>
      </c>
      <c r="B232" t="inlineStr">
        <is>
          <t>all solpence</t>
        </is>
      </c>
      <c r="C232" t="n">
        <v>0</v>
      </c>
      <c r="D232" t="n">
        <v>0</v>
      </c>
      <c r="E232" t="n">
        <v>0</v>
      </c>
      <c r="F232" t="n">
        <v>0</v>
      </c>
      <c r="H232" t="n">
        <v>0</v>
      </c>
      <c r="I232" t="n">
        <v>0</v>
      </c>
      <c r="J232" t="n">
        <v>0</v>
      </c>
      <c r="K232" t="n">
        <v>0</v>
      </c>
      <c r="L232" t="n">
        <v>0</v>
      </c>
      <c r="M232" t="n">
        <v>0</v>
      </c>
      <c r="N232" t="n">
        <v>0</v>
      </c>
    </row>
    <row r="233">
      <c r="A233" t="inlineStr">
        <is>
          <t>Mill</t>
        </is>
      </c>
      <c r="B233" t="inlineStr">
        <is>
          <t>Barley: 14 quarters from the whole issue this year.</t>
        </is>
      </c>
      <c r="C233" t="n">
        <v>0</v>
      </c>
      <c r="D233" t="n">
        <v>0</v>
      </c>
      <c r="E233" t="n">
        <v>0</v>
      </c>
      <c r="F233" t="n">
        <v>0</v>
      </c>
      <c r="G233" t="inlineStr">
        <is>
          <t>barley</t>
        </is>
      </c>
      <c r="H233" t="n">
        <v>14</v>
      </c>
      <c r="I233" t="n">
        <v>0</v>
      </c>
      <c r="J233" t="n">
        <v>14</v>
      </c>
      <c r="K233" t="n">
        <v>14</v>
      </c>
      <c r="L233" t="n">
        <v>0</v>
      </c>
      <c r="M233" t="n">
        <v>14</v>
      </c>
      <c r="N233" t="n">
        <v>0</v>
      </c>
    </row>
    <row r="234">
      <c r="A234" t="inlineStr">
        <is>
          <t>Mill</t>
        </is>
      </c>
      <c r="B234" t="inlineStr">
        <is>
          <t>all solpence</t>
        </is>
      </c>
      <c r="C234" t="n">
        <v>0</v>
      </c>
      <c r="D234" t="n">
        <v>0</v>
      </c>
      <c r="E234" t="n">
        <v>0</v>
      </c>
      <c r="F234" t="n">
        <v>0</v>
      </c>
      <c r="H234" t="n">
        <v>0</v>
      </c>
      <c r="I234" t="n">
        <v>0</v>
      </c>
      <c r="J234" t="n">
        <v>0</v>
      </c>
      <c r="K234" t="n">
        <v>0</v>
      </c>
      <c r="L234" t="n">
        <v>0</v>
      </c>
      <c r="M234" t="n">
        <v>0</v>
      </c>
      <c r="N234" t="n">
        <v>0</v>
      </c>
    </row>
    <row r="235">
      <c r="A235" t="inlineStr">
        <is>
          <t>Mill</t>
        </is>
      </c>
      <c r="B235" t="inlineStr">
        <is>
          <t>Malt: 4 bushels from the issue of the same mill.</t>
        </is>
      </c>
      <c r="C235" t="n">
        <v>0</v>
      </c>
      <c r="D235" t="n">
        <v>0</v>
      </c>
      <c r="E235" t="n">
        <v>0</v>
      </c>
      <c r="F235" t="n">
        <v>0</v>
      </c>
      <c r="H235" t="n">
        <v>0</v>
      </c>
      <c r="I235" t="n">
        <v>4</v>
      </c>
      <c r="J235" t="n">
        <v>0.5</v>
      </c>
      <c r="K235" t="n">
        <v>0.5</v>
      </c>
      <c r="L235" t="n">
        <v>0</v>
      </c>
      <c r="M235" t="n">
        <v>0</v>
      </c>
      <c r="N235" t="n">
        <v>4</v>
      </c>
    </row>
    <row r="236">
      <c r="A236" t="inlineStr">
        <is>
          <t>Mill</t>
        </is>
      </c>
      <c r="B236" t="inlineStr">
        <is>
          <t>all solpence</t>
        </is>
      </c>
      <c r="C236" t="n">
        <v>0</v>
      </c>
      <c r="D236" t="n">
        <v>0</v>
      </c>
      <c r="E236" t="n">
        <v>0</v>
      </c>
      <c r="F236" t="n">
        <v>0</v>
      </c>
      <c r="H236" t="n">
        <v>0</v>
      </c>
      <c r="I236" t="n">
        <v>0</v>
      </c>
      <c r="J236" t="n">
        <v>0</v>
      </c>
      <c r="K236" t="n">
        <v>0</v>
      </c>
      <c r="L236" t="n">
        <v>0</v>
      </c>
      <c r="M236" t="n">
        <v>0</v>
      </c>
      <c r="N236" t="n">
        <v>0</v>
      </c>
    </row>
    <row r="237">
      <c r="A237" t="inlineStr">
        <is>
          <t>Stock</t>
        </is>
      </c>
      <c r="B237" t="inlineStr">
        <is>
          <t>Cart-horses: 2 remain from the previous year.</t>
        </is>
      </c>
      <c r="C237" t="n">
        <v>0</v>
      </c>
      <c r="D237" t="n">
        <v>0</v>
      </c>
      <c r="E237" t="n">
        <v>0</v>
      </c>
      <c r="F237" t="n">
        <v>0</v>
      </c>
      <c r="H237" t="n">
        <v>0</v>
      </c>
      <c r="I237" t="n">
        <v>0</v>
      </c>
      <c r="J237" t="n">
        <v>0</v>
      </c>
      <c r="K237" t="n">
        <v>0</v>
      </c>
      <c r="L237" t="n">
        <v>0</v>
      </c>
      <c r="M237" t="n">
        <v>0</v>
      </c>
      <c r="N237" t="n">
        <v>0</v>
      </c>
    </row>
    <row r="238">
      <c r="A238" t="inlineStr">
        <is>
          <t>Stock</t>
        </is>
      </c>
      <c r="B238" t="inlineStr">
        <is>
          <t>2 remain.</t>
        </is>
      </c>
      <c r="C238" t="n">
        <v>0</v>
      </c>
      <c r="D238" t="n">
        <v>0</v>
      </c>
      <c r="E238" t="n">
        <v>0</v>
      </c>
      <c r="F238" t="n">
        <v>0</v>
      </c>
      <c r="H238" t="n">
        <v>0</v>
      </c>
      <c r="I238" t="n">
        <v>0</v>
      </c>
      <c r="J238" t="n">
        <v>0</v>
      </c>
      <c r="K238" t="n">
        <v>0</v>
      </c>
      <c r="L238" t="n">
        <v>0</v>
      </c>
      <c r="M238" t="n">
        <v>0</v>
      </c>
      <c r="N238" t="n">
        <v>0</v>
      </c>
    </row>
    <row r="239">
      <c r="A239" t="inlineStr">
        <is>
          <t>Stock</t>
        </is>
      </c>
      <c r="B239" t="inlineStr">
        <is>
          <t>Plough-horses: 13 remain from the previous year. 2 in murrain.</t>
        </is>
      </c>
      <c r="C239" t="n">
        <v>0</v>
      </c>
      <c r="D239" t="n">
        <v>0</v>
      </c>
      <c r="E239" t="n">
        <v>0</v>
      </c>
      <c r="F239" t="n">
        <v>0</v>
      </c>
      <c r="H239" t="n">
        <v>0</v>
      </c>
      <c r="I239" t="n">
        <v>0</v>
      </c>
      <c r="J239" t="n">
        <v>0</v>
      </c>
      <c r="K239" t="n">
        <v>0</v>
      </c>
      <c r="L239" t="n">
        <v>0</v>
      </c>
      <c r="M239" t="n">
        <v>0</v>
      </c>
      <c r="N239" t="n">
        <v>0</v>
      </c>
    </row>
    <row r="240">
      <c r="A240" t="inlineStr">
        <is>
          <t>Stock</t>
        </is>
      </c>
      <c r="B240" t="inlineStr">
        <is>
          <t>3 solpence Total, 5. 8 remain, 3 of them mares.</t>
        </is>
      </c>
      <c r="C240" t="n">
        <v>0</v>
      </c>
      <c r="D240" t="n">
        <v>0</v>
      </c>
      <c r="E240" t="n">
        <v>0</v>
      </c>
      <c r="F240" t="n">
        <v>0</v>
      </c>
      <c r="H240" t="n">
        <v>0</v>
      </c>
      <c r="I240" t="n">
        <v>0</v>
      </c>
      <c r="J240" t="n">
        <v>0</v>
      </c>
      <c r="K240" t="n">
        <v>0</v>
      </c>
      <c r="L240" t="n">
        <v>0</v>
      </c>
      <c r="M240" t="n">
        <v>0</v>
      </c>
      <c r="N240" t="n">
        <v>0</v>
      </c>
    </row>
    <row r="241">
      <c r="A241" t="inlineStr">
        <is>
          <t>Stock</t>
        </is>
      </c>
      <c r="B241" t="inlineStr">
        <is>
          <t>Colts: 2 remain from the previous year aged 1.5 years.</t>
        </is>
      </c>
      <c r="C241" t="n">
        <v>0</v>
      </c>
      <c r="D241" t="n">
        <v>0</v>
      </c>
      <c r="E241" t="n">
        <v>0</v>
      </c>
      <c r="F241" t="n">
        <v>0</v>
      </c>
      <c r="H241" t="n">
        <v>0</v>
      </c>
      <c r="I241" t="n">
        <v>0</v>
      </c>
      <c r="J241" t="n">
        <v>0</v>
      </c>
      <c r="K241" t="n">
        <v>0</v>
      </c>
      <c r="L241" t="n">
        <v>0</v>
      </c>
      <c r="M241" t="n">
        <v>0</v>
      </c>
      <c r="N241" t="n">
        <v>0</v>
      </c>
    </row>
    <row r="242">
      <c r="A242" t="inlineStr">
        <is>
          <t>Stock</t>
        </is>
      </c>
      <c r="B242" t="inlineStr">
        <is>
          <t>1 in murrain.</t>
        </is>
      </c>
      <c r="C242" t="n">
        <v>0</v>
      </c>
      <c r="D242" t="n">
        <v>0</v>
      </c>
      <c r="E242" t="n">
        <v>0</v>
      </c>
      <c r="F242" t="n">
        <v>0</v>
      </c>
      <c r="H242" t="n">
        <v>0</v>
      </c>
      <c r="I242" t="n">
        <v>0</v>
      </c>
      <c r="J242" t="n">
        <v>0</v>
      </c>
      <c r="K242" t="n">
        <v>0</v>
      </c>
      <c r="L242" t="n">
        <v>0</v>
      </c>
      <c r="M242" t="n">
        <v>0</v>
      </c>
      <c r="N242" t="n">
        <v>0</v>
      </c>
    </row>
    <row r="243">
      <c r="A243" t="inlineStr">
        <is>
          <t>Stock</t>
        </is>
      </c>
      <c r="B243" t="inlineStr">
        <is>
          <t>1 male remains now aged 2.5 years.</t>
        </is>
      </c>
      <c r="C243" t="n">
        <v>0</v>
      </c>
      <c r="D243" t="n">
        <v>0</v>
      </c>
      <c r="E243" t="n">
        <v>0</v>
      </c>
      <c r="F243" t="n">
        <v>0</v>
      </c>
      <c r="H243" t="n">
        <v>0</v>
      </c>
      <c r="I243" t="n">
        <v>0</v>
      </c>
      <c r="J243" t="n">
        <v>0</v>
      </c>
      <c r="K243" t="n">
        <v>0</v>
      </c>
      <c r="L243" t="n">
        <v>0</v>
      </c>
      <c r="M243" t="n">
        <v>0</v>
      </c>
      <c r="N243" t="n">
        <v>0</v>
      </c>
    </row>
    <row r="244">
      <c r="A244" t="inlineStr">
        <is>
          <t>Stock</t>
        </is>
      </c>
      <c r="B244" t="inlineStr">
        <is>
          <t>No foals this year.</t>
        </is>
      </c>
      <c r="C244" t="n">
        <v>0</v>
      </c>
      <c r="D244" t="n">
        <v>0</v>
      </c>
      <c r="E244" t="n">
        <v>0</v>
      </c>
      <c r="F244" t="n">
        <v>0</v>
      </c>
      <c r="H244" t="n">
        <v>0</v>
      </c>
      <c r="I244" t="n">
        <v>0</v>
      </c>
      <c r="J244" t="n">
        <v>0</v>
      </c>
      <c r="K244" t="n">
        <v>0</v>
      </c>
      <c r="L244" t="n">
        <v>0</v>
      </c>
      <c r="M244" t="n">
        <v>0</v>
      </c>
      <c r="N244" t="n">
        <v>0</v>
      </c>
    </row>
    <row r="245">
      <c r="A245" t="inlineStr">
        <is>
          <t>Stock</t>
        </is>
      </c>
      <c r="B245" t="inlineStr">
        <is>
          <t>Oxen: 39 remain from the previous year.</t>
        </is>
      </c>
      <c r="C245" t="n">
        <v>0</v>
      </c>
      <c r="D245" t="n">
        <v>0</v>
      </c>
      <c r="E245" t="n">
        <v>0</v>
      </c>
      <c r="F245" t="n">
        <v>0</v>
      </c>
      <c r="H245" t="n">
        <v>0</v>
      </c>
      <c r="I245" t="n">
        <v>0</v>
      </c>
      <c r="J245" t="n">
        <v>0</v>
      </c>
      <c r="K245" t="n">
        <v>0</v>
      </c>
      <c r="L245" t="n">
        <v>0</v>
      </c>
      <c r="M245" t="n">
        <v>0</v>
      </c>
      <c r="N245" t="n">
        <v>0</v>
      </c>
    </row>
    <row r="246">
      <c r="A246" t="inlineStr">
        <is>
          <t>Stock</t>
        </is>
      </c>
      <c r="B246" t="inlineStr">
        <is>
          <t>1 added from stock.</t>
        </is>
      </c>
      <c r="C246" t="n">
        <v>0</v>
      </c>
      <c r="D246" t="n">
        <v>0</v>
      </c>
      <c r="E246" t="n">
        <v>0</v>
      </c>
      <c r="F246" t="n">
        <v>0</v>
      </c>
      <c r="H246" t="n">
        <v>0</v>
      </c>
      <c r="I246" t="n">
        <v>0</v>
      </c>
      <c r="J246" t="n">
        <v>0</v>
      </c>
      <c r="K246" t="n">
        <v>0</v>
      </c>
      <c r="L246" t="n">
        <v>0</v>
      </c>
      <c r="M246" t="n">
        <v>0</v>
      </c>
      <c r="N246" t="n">
        <v>0</v>
      </c>
    </row>
    <row r="247">
      <c r="A247" t="inlineStr">
        <is>
          <t>Stock</t>
        </is>
      </c>
      <c r="B247" t="inlineStr">
        <is>
          <t>4 bought.</t>
        </is>
      </c>
      <c r="C247" t="n">
        <v>0</v>
      </c>
      <c r="D247" t="n">
        <v>0</v>
      </c>
      <c r="E247" t="n">
        <v>0</v>
      </c>
      <c r="F247" t="n">
        <v>0</v>
      </c>
      <c r="H247" t="n">
        <v>0</v>
      </c>
      <c r="I247" t="n">
        <v>0</v>
      </c>
      <c r="J247" t="n">
        <v>0</v>
      </c>
      <c r="K247" t="n">
        <v>0</v>
      </c>
      <c r="L247" t="n">
        <v>0</v>
      </c>
      <c r="M247" t="n">
        <v>0</v>
      </c>
      <c r="N247" t="n">
        <v>0</v>
      </c>
    </row>
    <row r="248">
      <c r="A248" t="inlineStr">
        <is>
          <t>Stock</t>
        </is>
      </c>
      <c r="B248" t="inlineStr">
        <is>
          <t>Total, 44. 1 in murrain.</t>
        </is>
      </c>
      <c r="C248" t="n">
        <v>0</v>
      </c>
      <c r="D248" t="n">
        <v>0</v>
      </c>
      <c r="E248" t="n">
        <v>0</v>
      </c>
      <c r="F248" t="n">
        <v>0</v>
      </c>
      <c r="H248" t="n">
        <v>0</v>
      </c>
      <c r="I248" t="n">
        <v>0</v>
      </c>
      <c r="J248" t="n">
        <v>0</v>
      </c>
      <c r="K248" t="n">
        <v>0</v>
      </c>
      <c r="L248" t="n">
        <v>0</v>
      </c>
      <c r="M248" t="n">
        <v>0</v>
      </c>
      <c r="N248" t="n">
        <v>0</v>
      </c>
    </row>
    <row r="249">
      <c r="A249" t="inlineStr">
        <is>
          <t>Stock</t>
        </is>
      </c>
      <c r="B249" t="inlineStr">
        <is>
          <t>3 solpence Total, 4. 40 remain.</t>
        </is>
      </c>
      <c r="C249" t="n">
        <v>0</v>
      </c>
      <c r="D249" t="n">
        <v>0</v>
      </c>
      <c r="E249" t="n">
        <v>0</v>
      </c>
      <c r="F249" t="n">
        <v>0</v>
      </c>
      <c r="H249" t="n">
        <v>0</v>
      </c>
      <c r="I249" t="n">
        <v>0</v>
      </c>
      <c r="J249" t="n">
        <v>0</v>
      </c>
      <c r="K249" t="n">
        <v>0</v>
      </c>
      <c r="L249" t="n">
        <v>0</v>
      </c>
      <c r="M249" t="n">
        <v>0</v>
      </c>
      <c r="N249" t="n">
        <v>0</v>
      </c>
    </row>
    <row r="250">
      <c r="A250" t="inlineStr">
        <is>
          <t>Stock</t>
        </is>
      </c>
      <c r="B250" t="inlineStr">
        <is>
          <t>Cows: 10 remain from the previous year.</t>
        </is>
      </c>
      <c r="C250" t="n">
        <v>0</v>
      </c>
      <c r="D250" t="n">
        <v>0</v>
      </c>
      <c r="E250" t="n">
        <v>0</v>
      </c>
      <c r="F250" t="n">
        <v>0</v>
      </c>
      <c r="H250" t="n">
        <v>0</v>
      </c>
      <c r="I250" t="n">
        <v>0</v>
      </c>
      <c r="J250" t="n">
        <v>0</v>
      </c>
      <c r="K250" t="n">
        <v>0</v>
      </c>
      <c r="L250" t="n">
        <v>0</v>
      </c>
      <c r="M250" t="n">
        <v>0</v>
      </c>
      <c r="N250" t="n">
        <v>0</v>
      </c>
    </row>
    <row r="251">
      <c r="A251" t="inlineStr">
        <is>
          <t>Stock</t>
        </is>
      </c>
      <c r="B251" t="inlineStr">
        <is>
          <t>1 from the heriot of Henry le Swon with calf.</t>
        </is>
      </c>
      <c r="C251" t="n">
        <v>0</v>
      </c>
      <c r="D251" t="n">
        <v>0</v>
      </c>
      <c r="E251" t="n">
        <v>0</v>
      </c>
      <c r="F251" t="n">
        <v>0</v>
      </c>
      <c r="H251" t="n">
        <v>0</v>
      </c>
      <c r="I251" t="n">
        <v>0</v>
      </c>
      <c r="J251" t="n">
        <v>0</v>
      </c>
      <c r="K251" t="n">
        <v>0</v>
      </c>
      <c r="L251" t="n">
        <v>0</v>
      </c>
      <c r="M251" t="n">
        <v>0</v>
      </c>
      <c r="N251" t="n">
        <v>0</v>
      </c>
    </row>
    <row r="252">
      <c r="A252" t="inlineStr">
        <is>
          <t>Stock</t>
        </is>
      </c>
      <c r="B252" t="inlineStr">
        <is>
          <t>2 added from stock.</t>
        </is>
      </c>
      <c r="C252" t="n">
        <v>0</v>
      </c>
      <c r="D252" t="n">
        <v>0</v>
      </c>
      <c r="E252" t="n">
        <v>0</v>
      </c>
      <c r="F252" t="n">
        <v>0</v>
      </c>
      <c r="H252" t="n">
        <v>0</v>
      </c>
      <c r="I252" t="n">
        <v>0</v>
      </c>
      <c r="J252" t="n">
        <v>0</v>
      </c>
      <c r="K252" t="n">
        <v>0</v>
      </c>
      <c r="L252" t="n">
        <v>0</v>
      </c>
      <c r="M252" t="n">
        <v>0</v>
      </c>
      <c r="N252" t="n">
        <v>0</v>
      </c>
    </row>
    <row r="253">
      <c r="A253" t="inlineStr">
        <is>
          <t>Stock</t>
        </is>
      </c>
      <c r="B253" t="inlineStr">
        <is>
          <t>10 bought, 4 of them after calving.</t>
        </is>
      </c>
      <c r="C253" t="n">
        <v>0</v>
      </c>
      <c r="D253" t="n">
        <v>0</v>
      </c>
      <c r="E253" t="n">
        <v>0</v>
      </c>
      <c r="F253" t="n">
        <v>0</v>
      </c>
      <c r="H253" t="n">
        <v>0</v>
      </c>
      <c r="I253" t="n">
        <v>0</v>
      </c>
      <c r="J253" t="n">
        <v>0</v>
      </c>
      <c r="K253" t="n">
        <v>0</v>
      </c>
      <c r="L253" t="n">
        <v>0</v>
      </c>
      <c r="M253" t="n">
        <v>0</v>
      </c>
      <c r="N253" t="n">
        <v>0</v>
      </c>
    </row>
    <row r="254">
      <c r="A254" t="inlineStr">
        <is>
          <t>Stock</t>
        </is>
      </c>
      <c r="B254" t="inlineStr">
        <is>
          <t>Total, 23. 1 in murrain before calving.</t>
        </is>
      </c>
      <c r="C254" t="n">
        <v>0</v>
      </c>
      <c r="D254" t="n">
        <v>0</v>
      </c>
      <c r="E254" t="n">
        <v>0</v>
      </c>
      <c r="F254" t="n">
        <v>0</v>
      </c>
      <c r="H254" t="n">
        <v>0</v>
      </c>
      <c r="I254" t="n">
        <v>0</v>
      </c>
      <c r="J254" t="n">
        <v>0</v>
      </c>
      <c r="K254" t="n">
        <v>0</v>
      </c>
      <c r="L254" t="n">
        <v>0</v>
      </c>
      <c r="M254" t="n">
        <v>0</v>
      </c>
      <c r="N254" t="n">
        <v>0</v>
      </c>
    </row>
    <row r="255">
      <c r="A255" t="inlineStr">
        <is>
          <t>Stock</t>
        </is>
      </c>
      <c r="B255" t="inlineStr">
        <is>
          <t>22 remain.</t>
        </is>
      </c>
      <c r="C255" t="n">
        <v>0</v>
      </c>
      <c r="D255" t="n">
        <v>0</v>
      </c>
      <c r="E255" t="n">
        <v>0</v>
      </c>
      <c r="F255" t="n">
        <v>0</v>
      </c>
      <c r="H255" t="n">
        <v>0</v>
      </c>
      <c r="I255" t="n">
        <v>0</v>
      </c>
      <c r="J255" t="n">
        <v>0</v>
      </c>
      <c r="K255" t="n">
        <v>0</v>
      </c>
      <c r="L255" t="n">
        <v>0</v>
      </c>
      <c r="M255" t="n">
        <v>0</v>
      </c>
      <c r="N255" t="n">
        <v>0</v>
      </c>
    </row>
    <row r="256">
      <c r="A256" t="inlineStr">
        <is>
          <t>Stock</t>
        </is>
      </c>
      <c r="B256" t="inlineStr">
        <is>
          <t>Steers: 4 remain from the previous year's bullocks.</t>
        </is>
      </c>
      <c r="C256" t="n">
        <v>0</v>
      </c>
      <c r="D256" t="n">
        <v>0</v>
      </c>
      <c r="E256" t="n">
        <v>0</v>
      </c>
      <c r="F256" t="n">
        <v>0</v>
      </c>
      <c r="H256" t="n">
        <v>0</v>
      </c>
      <c r="I256" t="n">
        <v>0</v>
      </c>
      <c r="J256" t="n">
        <v>0</v>
      </c>
      <c r="K256" t="n">
        <v>0</v>
      </c>
      <c r="L256" t="n">
        <v>0</v>
      </c>
      <c r="M256" t="n">
        <v>0</v>
      </c>
      <c r="N256" t="n">
        <v>0</v>
      </c>
    </row>
    <row r="257">
      <c r="A257" t="inlineStr">
        <is>
          <t>Stock</t>
        </is>
      </c>
      <c r="B257" t="inlineStr">
        <is>
          <t>15 bought.</t>
        </is>
      </c>
      <c r="C257" t="n">
        <v>0</v>
      </c>
      <c r="D257" t="n">
        <v>0</v>
      </c>
      <c r="E257" t="n">
        <v>0</v>
      </c>
      <c r="F257" t="n">
        <v>0</v>
      </c>
      <c r="H257" t="n">
        <v>0</v>
      </c>
      <c r="I257" t="n">
        <v>0</v>
      </c>
      <c r="J257" t="n">
        <v>0</v>
      </c>
      <c r="K257" t="n">
        <v>0</v>
      </c>
      <c r="L257" t="n">
        <v>0</v>
      </c>
      <c r="M257" t="n">
        <v>0</v>
      </c>
      <c r="N257" t="n">
        <v>0</v>
      </c>
    </row>
    <row r="258">
      <c r="A258" t="inlineStr">
        <is>
          <t>Stock</t>
        </is>
      </c>
      <c r="B258" t="inlineStr">
        <is>
          <t>Total, 19. 1 in murrain.</t>
        </is>
      </c>
      <c r="C258" t="n">
        <v>0</v>
      </c>
      <c r="D258" t="n">
        <v>0</v>
      </c>
      <c r="E258" t="n">
        <v>0</v>
      </c>
      <c r="F258" t="n">
        <v>0</v>
      </c>
      <c r="H258" t="n">
        <v>0</v>
      </c>
      <c r="I258" t="n">
        <v>0</v>
      </c>
      <c r="J258" t="n">
        <v>0</v>
      </c>
      <c r="K258" t="n">
        <v>0</v>
      </c>
      <c r="L258" t="n">
        <v>0</v>
      </c>
      <c r="M258" t="n">
        <v>0</v>
      </c>
      <c r="N258" t="n">
        <v>0</v>
      </c>
    </row>
    <row r="259">
      <c r="A259" t="inlineStr">
        <is>
          <t>Stock</t>
        </is>
      </c>
      <c r="B259" t="inlineStr">
        <is>
          <t>1 added to oxen, 2 to cows.</t>
        </is>
      </c>
      <c r="C259" t="n">
        <v>0</v>
      </c>
      <c r="D259" t="n">
        <v>0</v>
      </c>
      <c r="E259" t="n">
        <v>0</v>
      </c>
      <c r="F259" t="n">
        <v>0</v>
      </c>
      <c r="H259" t="n">
        <v>0</v>
      </c>
      <c r="I259" t="n">
        <v>0</v>
      </c>
      <c r="J259" t="n">
        <v>0</v>
      </c>
      <c r="K259" t="n">
        <v>0</v>
      </c>
      <c r="L259" t="n">
        <v>0</v>
      </c>
      <c r="M259" t="n">
        <v>0</v>
      </c>
      <c r="N259" t="n">
        <v>0</v>
      </c>
    </row>
    <row r="260">
      <c r="A260" t="inlineStr">
        <is>
          <t>Stock</t>
        </is>
      </c>
      <c r="B260" t="inlineStr">
        <is>
          <t>15 sold.</t>
        </is>
      </c>
      <c r="C260" t="n">
        <v>0</v>
      </c>
      <c r="D260" t="n">
        <v>0</v>
      </c>
      <c r="E260" t="n">
        <v>0</v>
      </c>
      <c r="F260" t="n">
        <v>0</v>
      </c>
      <c r="H260" t="n">
        <v>0</v>
      </c>
      <c r="I260" t="n">
        <v>0</v>
      </c>
      <c r="J260" t="n">
        <v>0</v>
      </c>
      <c r="K260" t="n">
        <v>0</v>
      </c>
      <c r="L260" t="n">
        <v>0</v>
      </c>
      <c r="M260" t="n">
        <v>0</v>
      </c>
      <c r="N260" t="n">
        <v>0</v>
      </c>
    </row>
    <row r="261">
      <c r="A261" t="inlineStr">
        <is>
          <t>Stock</t>
        </is>
      </c>
      <c r="B261" t="inlineStr">
        <is>
          <t>none remain here.</t>
        </is>
      </c>
      <c r="C261" t="n">
        <v>0</v>
      </c>
      <c r="D261" t="n">
        <v>0</v>
      </c>
      <c r="E261" t="n">
        <v>0</v>
      </c>
      <c r="F261" t="n">
        <v>0</v>
      </c>
      <c r="H261" t="n">
        <v>0</v>
      </c>
      <c r="I261" t="n">
        <v>0</v>
      </c>
      <c r="J261" t="n">
        <v>0</v>
      </c>
      <c r="K261" t="n">
        <v>0</v>
      </c>
      <c r="L261" t="n">
        <v>0</v>
      </c>
      <c r="M261" t="n">
        <v>0</v>
      </c>
      <c r="N261" t="n">
        <v>0</v>
      </c>
    </row>
    <row r="262">
      <c r="A262" t="inlineStr">
        <is>
          <t>Stock</t>
        </is>
      </c>
      <c r="B262" t="inlineStr">
        <is>
          <t>Bullocks: 4 remain from the previous year's yearlings.</t>
        </is>
      </c>
      <c r="C262" t="n">
        <v>0</v>
      </c>
      <c r="D262" t="n">
        <v>0</v>
      </c>
      <c r="E262" t="n">
        <v>0</v>
      </c>
      <c r="F262" t="n">
        <v>0</v>
      </c>
      <c r="H262" t="n">
        <v>0</v>
      </c>
      <c r="I262" t="n">
        <v>0</v>
      </c>
      <c r="J262" t="n">
        <v>0</v>
      </c>
      <c r="K262" t="n">
        <v>0</v>
      </c>
      <c r="L262" t="n">
        <v>0</v>
      </c>
      <c r="M262" t="n">
        <v>0</v>
      </c>
      <c r="N262" t="n">
        <v>0</v>
      </c>
    </row>
    <row r="263">
      <c r="A263" t="inlineStr">
        <is>
          <t>Stock</t>
        </is>
      </c>
      <c r="B263" t="inlineStr">
        <is>
          <t>4 remain, 1 of them male.</t>
        </is>
      </c>
      <c r="C263" t="n">
        <v>0</v>
      </c>
      <c r="D263" t="n">
        <v>0</v>
      </c>
      <c r="E263" t="n">
        <v>0</v>
      </c>
      <c r="F263" t="n">
        <v>0</v>
      </c>
      <c r="H263" t="n">
        <v>0</v>
      </c>
      <c r="I263" t="n">
        <v>0</v>
      </c>
      <c r="J263" t="n">
        <v>0</v>
      </c>
      <c r="K263" t="n">
        <v>0</v>
      </c>
      <c r="L263" t="n">
        <v>0</v>
      </c>
      <c r="M263" t="n">
        <v>0</v>
      </c>
      <c r="N263" t="n">
        <v>0</v>
      </c>
    </row>
    <row r="264">
      <c r="A264" t="inlineStr">
        <is>
          <t>Stock</t>
        </is>
      </c>
      <c r="B264" t="inlineStr">
        <is>
          <t>Yearlings: 4 remain from the previous year's calves.</t>
        </is>
      </c>
      <c r="C264" t="n">
        <v>0</v>
      </c>
      <c r="D264" t="n">
        <v>0</v>
      </c>
      <c r="E264" t="n">
        <v>0</v>
      </c>
      <c r="F264" t="n">
        <v>0</v>
      </c>
      <c r="H264" t="n">
        <v>0</v>
      </c>
      <c r="I264" t="n">
        <v>0</v>
      </c>
      <c r="J264" t="n">
        <v>0</v>
      </c>
      <c r="K264" t="n">
        <v>0</v>
      </c>
      <c r="L264" t="n">
        <v>0</v>
      </c>
      <c r="M264" t="n">
        <v>0</v>
      </c>
      <c r="N264" t="n">
        <v>0</v>
      </c>
    </row>
    <row r="265">
      <c r="A265" t="inlineStr">
        <is>
          <t>Stock</t>
        </is>
      </c>
      <c r="B265" t="inlineStr">
        <is>
          <t>4 males remain.</t>
        </is>
      </c>
      <c r="C265" t="n">
        <v>0</v>
      </c>
      <c r="D265" t="n">
        <v>0</v>
      </c>
      <c r="E265" t="n">
        <v>0</v>
      </c>
      <c r="F265" t="n">
        <v>0</v>
      </c>
      <c r="H265" t="n">
        <v>0</v>
      </c>
      <c r="I265" t="n">
        <v>0</v>
      </c>
      <c r="J265" t="n">
        <v>0</v>
      </c>
      <c r="K265" t="n">
        <v>0</v>
      </c>
      <c r="L265" t="n">
        <v>0</v>
      </c>
      <c r="M265" t="n">
        <v>0</v>
      </c>
      <c r="N265" t="n">
        <v>0</v>
      </c>
    </row>
    <row r="266">
      <c r="A266" t="inlineStr">
        <is>
          <t>Stock</t>
        </is>
      </c>
      <c r="B266" t="inlineStr">
        <is>
          <t>Calves: 14 from the offspring of the said cows because 3 sterile.</t>
        </is>
      </c>
      <c r="C266" t="n">
        <v>0</v>
      </c>
      <c r="D266" t="n">
        <v>0</v>
      </c>
      <c r="E266" t="n">
        <v>0</v>
      </c>
      <c r="F266" t="n">
        <v>0</v>
      </c>
      <c r="H266" t="n">
        <v>0</v>
      </c>
      <c r="I266" t="n">
        <v>0</v>
      </c>
      <c r="J266" t="n">
        <v>0</v>
      </c>
      <c r="K266" t="n">
        <v>0</v>
      </c>
      <c r="L266" t="n">
        <v>0</v>
      </c>
      <c r="M266" t="n">
        <v>0</v>
      </c>
      <c r="N266" t="n">
        <v>0</v>
      </c>
    </row>
    <row r="267">
      <c r="A267" t="inlineStr">
        <is>
          <t>Stock</t>
        </is>
      </c>
      <c r="B267" t="inlineStr">
        <is>
          <t>1 from the heriot of Henry Swon with the cow.</t>
        </is>
      </c>
      <c r="C267" t="n">
        <v>0</v>
      </c>
      <c r="D267" t="n">
        <v>0</v>
      </c>
      <c r="E267" t="n">
        <v>0</v>
      </c>
      <c r="F267" t="n">
        <v>0</v>
      </c>
      <c r="H267" t="n">
        <v>0</v>
      </c>
      <c r="I267" t="n">
        <v>0</v>
      </c>
      <c r="J267" t="n">
        <v>0</v>
      </c>
      <c r="K267" t="n">
        <v>0</v>
      </c>
      <c r="L267" t="n">
        <v>0</v>
      </c>
      <c r="M267" t="n">
        <v>0</v>
      </c>
      <c r="N267" t="n">
        <v>0</v>
      </c>
    </row>
    <row r="268">
      <c r="A268" t="inlineStr">
        <is>
          <t>Stock</t>
        </is>
      </c>
      <c r="B268" t="inlineStr">
        <is>
          <t>Total, 15. 1 in murrain.</t>
        </is>
      </c>
      <c r="C268" t="n">
        <v>0</v>
      </c>
      <c r="D268" t="n">
        <v>0</v>
      </c>
      <c r="E268" t="n">
        <v>0</v>
      </c>
      <c r="F268" t="n">
        <v>0</v>
      </c>
      <c r="H268" t="n">
        <v>0</v>
      </c>
      <c r="I268" t="n">
        <v>0</v>
      </c>
      <c r="J268" t="n">
        <v>0</v>
      </c>
      <c r="K268" t="n">
        <v>0</v>
      </c>
      <c r="L268" t="n">
        <v>0</v>
      </c>
      <c r="M268" t="n">
        <v>0</v>
      </c>
      <c r="N268" t="n">
        <v>0</v>
      </c>
    </row>
    <row r="269">
      <c r="A269" t="inlineStr">
        <is>
          <t>Stock</t>
        </is>
      </c>
      <c r="B269" t="inlineStr">
        <is>
          <t>1 in tithe.</t>
        </is>
      </c>
      <c r="C269" t="n">
        <v>0</v>
      </c>
      <c r="D269" t="n">
        <v>0</v>
      </c>
      <c r="E269" t="n">
        <v>0</v>
      </c>
      <c r="F269" t="n">
        <v>0</v>
      </c>
      <c r="H269" t="n">
        <v>0</v>
      </c>
      <c r="I269" t="n">
        <v>0</v>
      </c>
      <c r="J269" t="n">
        <v>0</v>
      </c>
      <c r="K269" t="n">
        <v>0</v>
      </c>
      <c r="L269" t="n">
        <v>0</v>
      </c>
      <c r="M269" t="n">
        <v>0</v>
      </c>
      <c r="N269" t="n">
        <v>0</v>
      </c>
    </row>
    <row r="270">
      <c r="A270" t="inlineStr">
        <is>
          <t>Stock</t>
        </is>
      </c>
      <c r="B270" t="inlineStr">
        <is>
          <t>4 solpence Total, 6. 1 sold at the audit.</t>
        </is>
      </c>
      <c r="C270" t="n">
        <v>0</v>
      </c>
      <c r="D270" t="n">
        <v>0</v>
      </c>
      <c r="E270" t="n">
        <v>0</v>
      </c>
      <c r="F270" t="n">
        <v>0</v>
      </c>
      <c r="H270" t="n">
        <v>0</v>
      </c>
      <c r="I270" t="n">
        <v>0</v>
      </c>
      <c r="J270" t="n">
        <v>0</v>
      </c>
      <c r="K270" t="n">
        <v>0</v>
      </c>
      <c r="L270" t="n">
        <v>0</v>
      </c>
      <c r="M270" t="n">
        <v>0</v>
      </c>
      <c r="N270" t="n">
        <v>0</v>
      </c>
    </row>
    <row r="271">
      <c r="A271" t="inlineStr">
        <is>
          <t>Stock</t>
        </is>
      </c>
      <c r="B271" t="inlineStr">
        <is>
          <t>8 remain.</t>
        </is>
      </c>
      <c r="C271" t="n">
        <v>0</v>
      </c>
      <c r="D271" t="n">
        <v>0</v>
      </c>
      <c r="E271" t="n">
        <v>0</v>
      </c>
      <c r="F271" t="n">
        <v>0</v>
      </c>
      <c r="H271" t="n">
        <v>0</v>
      </c>
      <c r="I271" t="n">
        <v>0</v>
      </c>
      <c r="J271" t="n">
        <v>0</v>
      </c>
      <c r="K271" t="n">
        <v>0</v>
      </c>
      <c r="L271" t="n">
        <v>0</v>
      </c>
      <c r="M271" t="n">
        <v>0</v>
      </c>
      <c r="N271" t="n">
        <v>0</v>
      </c>
    </row>
    <row r="272">
      <c r="A272" t="inlineStr">
        <is>
          <t>Stock</t>
        </is>
      </c>
      <c r="B272" t="inlineStr">
        <is>
          <t>Wethers: 324 remain from the previous year.</t>
        </is>
      </c>
      <c r="C272" t="n">
        <v>0</v>
      </c>
      <c r="D272" t="n">
        <v>0</v>
      </c>
      <c r="E272" t="n">
        <v>0</v>
      </c>
      <c r="F272" t="n">
        <v>0</v>
      </c>
      <c r="H272" t="n">
        <v>0</v>
      </c>
      <c r="I272" t="n">
        <v>0</v>
      </c>
      <c r="J272" t="n">
        <v>0</v>
      </c>
      <c r="K272" t="n">
        <v>0</v>
      </c>
      <c r="L272" t="n">
        <v>0</v>
      </c>
      <c r="M272" t="n">
        <v>0</v>
      </c>
      <c r="N272" t="n">
        <v>0</v>
      </c>
    </row>
    <row r="273">
      <c r="A273" t="inlineStr">
        <is>
          <t>Stock</t>
        </is>
      </c>
      <c r="B273" t="inlineStr">
        <is>
          <t>53 added from stock.</t>
        </is>
      </c>
      <c r="C273" t="n">
        <v>0</v>
      </c>
      <c r="D273" t="n">
        <v>0</v>
      </c>
      <c r="E273" t="n">
        <v>0</v>
      </c>
      <c r="F273" t="n">
        <v>0</v>
      </c>
      <c r="H273" t="n">
        <v>0</v>
      </c>
      <c r="I273" t="n">
        <v>0</v>
      </c>
      <c r="J273" t="n">
        <v>0</v>
      </c>
      <c r="K273" t="n">
        <v>0</v>
      </c>
      <c r="L273" t="n">
        <v>0</v>
      </c>
      <c r="M273" t="n">
        <v>0</v>
      </c>
      <c r="N273" t="n">
        <v>0</v>
      </c>
    </row>
    <row r="274">
      <c r="A274" t="inlineStr">
        <is>
          <t>Stock</t>
        </is>
      </c>
      <c r="B274" t="inlineStr">
        <is>
          <t>Total, 377. 18 as. 2 in customary payment for the mowing of the meadow after sold at Mar(t)inn. 10 in murrain before shearing, 8 after shearing.</t>
        </is>
      </c>
      <c r="C274" t="n">
        <v>0</v>
      </c>
      <c r="D274" t="n">
        <v>0</v>
      </c>
      <c r="E274" t="n">
        <v>0</v>
      </c>
      <c r="F274" t="n">
        <v>0</v>
      </c>
      <c r="H274" t="n">
        <v>0</v>
      </c>
      <c r="I274" t="n">
        <v>0</v>
      </c>
      <c r="J274" t="n">
        <v>0</v>
      </c>
      <c r="K274" t="n">
        <v>0</v>
      </c>
      <c r="L274" t="n">
        <v>0</v>
      </c>
      <c r="M274" t="n">
        <v>0</v>
      </c>
      <c r="N274" t="n">
        <v>0</v>
      </c>
    </row>
    <row r="275">
      <c r="A275" t="inlineStr">
        <is>
          <t>Stock</t>
        </is>
      </c>
      <c r="B275" t="inlineStr">
        <is>
          <t>Total, 38. 339 remain.</t>
        </is>
      </c>
      <c r="C275" t="n">
        <v>0</v>
      </c>
      <c r="D275" t="n">
        <v>0</v>
      </c>
      <c r="E275" t="n">
        <v>0</v>
      </c>
      <c r="F275" t="n">
        <v>0</v>
      </c>
      <c r="H275" t="n">
        <v>0</v>
      </c>
      <c r="I275" t="n">
        <v>0</v>
      </c>
      <c r="J275" t="n">
        <v>0</v>
      </c>
      <c r="K275" t="n">
        <v>0</v>
      </c>
      <c r="L275" t="n">
        <v>0</v>
      </c>
      <c r="M275" t="n">
        <v>0</v>
      </c>
      <c r="N275" t="n">
        <v>0</v>
      </c>
    </row>
    <row r="276">
      <c r="A276" t="inlineStr">
        <is>
          <t>Stock</t>
        </is>
      </c>
      <c r="B276" t="inlineStr">
        <is>
          <t>Rams: 8 remain from the previous year.</t>
        </is>
      </c>
      <c r="C276" t="n">
        <v>0</v>
      </c>
      <c r="D276" t="n">
        <v>0</v>
      </c>
      <c r="E276" t="n">
        <v>0</v>
      </c>
      <c r="F276" t="n">
        <v>0</v>
      </c>
      <c r="H276" t="n">
        <v>0</v>
      </c>
      <c r="I276" t="n">
        <v>0</v>
      </c>
      <c r="J276" t="n">
        <v>0</v>
      </c>
      <c r="K276" t="n">
        <v>0</v>
      </c>
      <c r="L276" t="n">
        <v>0</v>
      </c>
      <c r="M276" t="n">
        <v>0</v>
      </c>
      <c r="N276" t="n">
        <v>0</v>
      </c>
    </row>
    <row r="277">
      <c r="A277" t="inlineStr">
        <is>
          <t>Stock</t>
        </is>
      </c>
      <c r="B277" t="inlineStr">
        <is>
          <t>2 added from stock.</t>
        </is>
      </c>
      <c r="C277" t="n">
        <v>0</v>
      </c>
      <c r="D277" t="n">
        <v>0</v>
      </c>
      <c r="E277" t="n">
        <v>0</v>
      </c>
      <c r="F277" t="n">
        <v>0</v>
      </c>
      <c r="H277" t="n">
        <v>0</v>
      </c>
      <c r="I277" t="n">
        <v>0</v>
      </c>
      <c r="J277" t="n">
        <v>0</v>
      </c>
      <c r="K277" t="n">
        <v>0</v>
      </c>
      <c r="L277" t="n">
        <v>0</v>
      </c>
      <c r="M277" t="n">
        <v>0</v>
      </c>
      <c r="N277" t="n">
        <v>0</v>
      </c>
    </row>
    <row r="278">
      <c r="A278" t="inlineStr">
        <is>
          <t>Stock</t>
        </is>
      </c>
      <c r="B278" t="inlineStr">
        <is>
          <t>Total 10. 10 remain.</t>
        </is>
      </c>
      <c r="C278" t="n">
        <v>0</v>
      </c>
      <c r="D278" t="n">
        <v>0</v>
      </c>
      <c r="E278" t="n">
        <v>0</v>
      </c>
      <c r="F278" t="n">
        <v>0</v>
      </c>
      <c r="H278" t="n">
        <v>0</v>
      </c>
      <c r="I278" t="n">
        <v>0</v>
      </c>
      <c r="J278" t="n">
        <v>0</v>
      </c>
      <c r="K278" t="n">
        <v>0</v>
      </c>
      <c r="L278" t="n">
        <v>0</v>
      </c>
      <c r="M278" t="n">
        <v>0</v>
      </c>
      <c r="N278" t="n">
        <v>0</v>
      </c>
    </row>
    <row r="279">
      <c r="A279" t="inlineStr">
        <is>
          <t>Stock</t>
        </is>
      </c>
      <c r="B279" t="inlineStr">
        <is>
          <t>Ewes: 288 remain from the previous year.</t>
        </is>
      </c>
      <c r="C279" t="n">
        <v>0</v>
      </c>
      <c r="D279" t="n">
        <v>0</v>
      </c>
      <c r="E279" t="n">
        <v>0</v>
      </c>
      <c r="F279" t="n">
        <v>0</v>
      </c>
      <c r="H279" t="n">
        <v>0</v>
      </c>
      <c r="I279" t="n">
        <v>0</v>
      </c>
      <c r="J279" t="n">
        <v>0</v>
      </c>
      <c r="K279" t="n">
        <v>0</v>
      </c>
      <c r="L279" t="n">
        <v>0</v>
      </c>
      <c r="M279" t="n">
        <v>0</v>
      </c>
      <c r="N279" t="n">
        <v>0</v>
      </c>
    </row>
    <row r="280">
      <c r="A280" t="inlineStr">
        <is>
          <t>Stock</t>
        </is>
      </c>
      <c r="B280" t="inlineStr">
        <is>
          <t>52 added from stock.</t>
        </is>
      </c>
      <c r="C280" t="n">
        <v>0</v>
      </c>
      <c r="D280" t="n">
        <v>0</v>
      </c>
      <c r="E280" t="n">
        <v>0</v>
      </c>
      <c r="F280" t="n">
        <v>0</v>
      </c>
      <c r="H280" t="n">
        <v>0</v>
      </c>
      <c r="I280" t="n">
        <v>0</v>
      </c>
      <c r="J280" t="n">
        <v>0</v>
      </c>
      <c r="K280" t="n">
        <v>0</v>
      </c>
      <c r="L280" t="n">
        <v>0</v>
      </c>
      <c r="M280" t="n">
        <v>0</v>
      </c>
      <c r="N280" t="n">
        <v>0</v>
      </c>
    </row>
    <row r="281">
      <c r="A281" t="inlineStr">
        <is>
          <t>Stock</t>
        </is>
      </c>
      <c r="B281" t="inlineStr">
        <is>
          <t>Total, 340. 22 sold at Martinmas.</t>
        </is>
      </c>
      <c r="C281" t="n">
        <v>0</v>
      </c>
      <c r="D281" t="n">
        <v>0</v>
      </c>
      <c r="E281" t="n">
        <v>0</v>
      </c>
      <c r="F281" t="n">
        <v>0</v>
      </c>
      <c r="H281" t="n">
        <v>0</v>
      </c>
      <c r="I281" t="n">
        <v>0</v>
      </c>
      <c r="J281" t="n">
        <v>0</v>
      </c>
      <c r="K281" t="n">
        <v>0</v>
      </c>
      <c r="L281" t="n">
        <v>0</v>
      </c>
      <c r="M281" t="n">
        <v>0</v>
      </c>
      <c r="N281" t="n">
        <v>0</v>
      </c>
    </row>
    <row r="282">
      <c r="A282" t="inlineStr">
        <is>
          <t>Stock</t>
        </is>
      </c>
      <c r="B282" t="inlineStr">
        <is>
          <t>1 in customary payment to 1 shepherd at Martinmas.</t>
        </is>
      </c>
      <c r="C282" t="n">
        <v>0</v>
      </c>
      <c r="D282" t="n">
        <v>0</v>
      </c>
      <c r="E282" t="n">
        <v>0</v>
      </c>
      <c r="F282" t="n">
        <v>0</v>
      </c>
      <c r="H282" t="n">
        <v>0</v>
      </c>
      <c r="I282" t="n">
        <v>0</v>
      </c>
      <c r="J282" t="n">
        <v>0</v>
      </c>
      <c r="K282" t="n">
        <v>0</v>
      </c>
      <c r="L282" t="n">
        <v>0</v>
      </c>
      <c r="M282" t="n">
        <v>0</v>
      </c>
      <c r="N282" t="n">
        <v>0</v>
      </c>
    </row>
    <row r="283">
      <c r="A283" t="inlineStr">
        <is>
          <t>Stock</t>
        </is>
      </c>
      <c r="B283" t="inlineStr">
        <is>
          <t>10 in murrain before lambing, 6 after shearing.</t>
        </is>
      </c>
      <c r="C283" t="n">
        <v>0</v>
      </c>
      <c r="D283" t="n">
        <v>0</v>
      </c>
      <c r="E283" t="n">
        <v>0</v>
      </c>
      <c r="F283" t="n">
        <v>0</v>
      </c>
      <c r="H283" t="n">
        <v>0</v>
      </c>
      <c r="I283" t="n">
        <v>0</v>
      </c>
      <c r="J283" t="n">
        <v>0</v>
      </c>
      <c r="K283" t="n">
        <v>0</v>
      </c>
      <c r="L283" t="n">
        <v>0</v>
      </c>
      <c r="M283" t="n">
        <v>0</v>
      </c>
      <c r="N283" t="n">
        <v>0</v>
      </c>
    </row>
    <row r="284">
      <c r="A284" t="inlineStr">
        <is>
          <t>Stock</t>
        </is>
      </c>
      <c r="B284" t="inlineStr">
        <is>
          <t>Total 39. 301 remain.</t>
        </is>
      </c>
      <c r="C284" t="n">
        <v>0</v>
      </c>
      <c r="D284" t="n">
        <v>0</v>
      </c>
      <c r="E284" t="n">
        <v>0</v>
      </c>
      <c r="F284" t="n">
        <v>0</v>
      </c>
      <c r="H284" t="n">
        <v>0</v>
      </c>
      <c r="I284" t="n">
        <v>0</v>
      </c>
      <c r="J284" t="n">
        <v>0</v>
      </c>
      <c r="K284" t="n">
        <v>0</v>
      </c>
      <c r="L284" t="n">
        <v>0</v>
      </c>
      <c r="M284" t="n">
        <v>0</v>
      </c>
      <c r="N284" t="n">
        <v>0</v>
      </c>
    </row>
    <row r="285">
      <c r="A285" t="inlineStr">
        <is>
          <t>Stock</t>
        </is>
      </c>
      <c r="B285" t="inlineStr">
        <is>
          <t>Hoggs: 150 remain from the previous year's lambs.</t>
        </is>
      </c>
      <c r="C285" t="n">
        <v>0</v>
      </c>
      <c r="D285" t="n">
        <v>0</v>
      </c>
      <c r="E285" t="n">
        <v>0</v>
      </c>
      <c r="F285" t="n">
        <v>0</v>
      </c>
      <c r="H285" t="n">
        <v>0</v>
      </c>
      <c r="I285" t="n">
        <v>0</v>
      </c>
      <c r="J285" t="n">
        <v>0</v>
      </c>
      <c r="K285" t="n">
        <v>0</v>
      </c>
      <c r="L285" t="n">
        <v>0</v>
      </c>
      <c r="M285" t="n">
        <v>0</v>
      </c>
      <c r="N285" t="n">
        <v>0</v>
      </c>
    </row>
    <row r="286">
      <c r="A286" t="inlineStr">
        <is>
          <t>Stock</t>
        </is>
      </c>
      <c r="B286" t="inlineStr">
        <is>
          <t>30 in murrain before shearing, 13 after shearing.</t>
        </is>
      </c>
      <c r="C286" t="n">
        <v>0</v>
      </c>
      <c r="D286" t="n">
        <v>0</v>
      </c>
      <c r="E286" t="n">
        <v>0</v>
      </c>
      <c r="F286" t="n">
        <v>0</v>
      </c>
      <c r="H286" t="n">
        <v>0</v>
      </c>
      <c r="I286" t="n">
        <v>0</v>
      </c>
      <c r="J286" t="n">
        <v>0</v>
      </c>
      <c r="K286" t="n">
        <v>0</v>
      </c>
      <c r="L286" t="n">
        <v>0</v>
      </c>
      <c r="M286" t="n">
        <v>0</v>
      </c>
      <c r="N286" t="n">
        <v>0</v>
      </c>
    </row>
    <row r="287">
      <c r="A287" t="inlineStr">
        <is>
          <t>Stock</t>
        </is>
      </c>
      <c r="B287" t="inlineStr">
        <is>
          <t>53 added to wethers, 2 to rams, 52 to ewes.</t>
        </is>
      </c>
      <c r="C287" t="n">
        <v>0</v>
      </c>
      <c r="D287" t="n">
        <v>0</v>
      </c>
      <c r="E287" t="n">
        <v>0</v>
      </c>
      <c r="F287" t="n">
        <v>0</v>
      </c>
      <c r="H287" t="n">
        <v>0</v>
      </c>
      <c r="I287" t="n">
        <v>0</v>
      </c>
      <c r="J287" t="n">
        <v>0</v>
      </c>
      <c r="K287" t="n">
        <v>0</v>
      </c>
      <c r="L287" t="n">
        <v>0</v>
      </c>
      <c r="M287" t="n">
        <v>0</v>
      </c>
      <c r="N287" t="n">
        <v>0</v>
      </c>
    </row>
    <row r="288">
      <c r="A288" t="inlineStr">
        <is>
          <t>Stock</t>
        </is>
      </c>
      <c r="B288" t="inlineStr">
        <is>
          <t>none remain here.</t>
        </is>
      </c>
      <c r="C288" t="n">
        <v>0</v>
      </c>
      <c r="D288" t="n">
        <v>0</v>
      </c>
      <c r="E288" t="n">
        <v>0</v>
      </c>
      <c r="F288" t="n">
        <v>0</v>
      </c>
      <c r="H288" t="n">
        <v>0</v>
      </c>
      <c r="I288" t="n">
        <v>0</v>
      </c>
      <c r="J288" t="n">
        <v>0</v>
      </c>
      <c r="K288" t="n">
        <v>0</v>
      </c>
      <c r="L288" t="n">
        <v>0</v>
      </c>
      <c r="M288" t="n">
        <v>0</v>
      </c>
      <c r="N288" t="n">
        <v>0</v>
      </c>
    </row>
    <row r="289">
      <c r="A289" t="inlineStr">
        <is>
          <t>Stock</t>
        </is>
      </c>
      <c r="B289" t="inlineStr">
        <is>
          <t>Lambs: 236 from the offspring of the said ewes this year because 19 were sterile.</t>
        </is>
      </c>
      <c r="C289" t="n">
        <v>0</v>
      </c>
      <c r="D289" t="n">
        <v>0</v>
      </c>
      <c r="E289" t="n">
        <v>0</v>
      </c>
      <c r="F289" t="n">
        <v>0</v>
      </c>
      <c r="H289" t="n">
        <v>0</v>
      </c>
      <c r="I289" t="n">
        <v>0</v>
      </c>
      <c r="J289" t="n">
        <v>0</v>
      </c>
      <c r="K289" t="n">
        <v>0</v>
      </c>
      <c r="L289" t="n">
        <v>0</v>
      </c>
      <c r="M289" t="n">
        <v>0</v>
      </c>
      <c r="N289" t="n">
        <v>0</v>
      </c>
    </row>
    <row r="290">
      <c r="A290" t="inlineStr">
        <is>
          <t>Stock</t>
        </is>
      </c>
      <c r="B290" t="inlineStr">
        <is>
          <t>39 bought before shearing.</t>
        </is>
      </c>
      <c r="C290" t="n">
        <v>0</v>
      </c>
      <c r="D290" t="n">
        <v>0</v>
      </c>
      <c r="E290" t="n">
        <v>0</v>
      </c>
      <c r="F290" t="n">
        <v>0</v>
      </c>
      <c r="H290" t="n">
        <v>0</v>
      </c>
      <c r="I290" t="n">
        <v>0</v>
      </c>
      <c r="J290" t="n">
        <v>0</v>
      </c>
      <c r="K290" t="n">
        <v>0</v>
      </c>
      <c r="L290" t="n">
        <v>0</v>
      </c>
      <c r="M290" t="n">
        <v>0</v>
      </c>
      <c r="N290" t="n">
        <v>0</v>
      </c>
    </row>
    <row r="291">
      <c r="A291" t="inlineStr">
        <is>
          <t>Stock</t>
        </is>
      </c>
      <c r="B291" t="inlineStr">
        <is>
          <t>Total, 275. 23 in tithe, 3 of them skins.</t>
        </is>
      </c>
      <c r="C291" t="n">
        <v>0</v>
      </c>
      <c r="D291" t="n">
        <v>0</v>
      </c>
      <c r="E291" t="n">
        <v>0</v>
      </c>
      <c r="F291" t="n">
        <v>0</v>
      </c>
      <c r="H291" t="n">
        <v>0</v>
      </c>
      <c r="I291" t="n">
        <v>0</v>
      </c>
      <c r="J291" t="n">
        <v>0</v>
      </c>
      <c r="K291" t="n">
        <v>0</v>
      </c>
      <c r="L291" t="n">
        <v>0</v>
      </c>
      <c r="M291" t="n">
        <v>0</v>
      </c>
      <c r="N291" t="n">
        <v>0</v>
      </c>
    </row>
    <row r="292">
      <c r="A292" t="inlineStr">
        <is>
          <t>Stock</t>
        </is>
      </c>
      <c r="B292" t="inlineStr">
        <is>
          <t>3 in customary payment to the reeve, shepherd and smith.</t>
        </is>
      </c>
      <c r="C292" t="n">
        <v>0</v>
      </c>
      <c r="D292" t="n">
        <v>0</v>
      </c>
      <c r="E292" t="n">
        <v>0</v>
      </c>
      <c r="F292" t="n">
        <v>0</v>
      </c>
      <c r="H292" t="n">
        <v>0</v>
      </c>
      <c r="I292" t="n">
        <v>0</v>
      </c>
      <c r="J292" t="n">
        <v>0</v>
      </c>
      <c r="K292" t="n">
        <v>0</v>
      </c>
      <c r="L292" t="n">
        <v>0</v>
      </c>
      <c r="M292" t="n">
        <v>0</v>
      </c>
      <c r="N292" t="n">
        <v>0</v>
      </c>
    </row>
    <row r="293">
      <c r="A293" t="inlineStr">
        <is>
          <t>Stock</t>
        </is>
      </c>
      <c r="B293" t="inlineStr">
        <is>
          <t>33 in murrain before weaning, 13 after weaning and before shearing, 4 after shearing.</t>
        </is>
      </c>
      <c r="C293" t="n">
        <v>0</v>
      </c>
      <c r="D293" t="n">
        <v>0</v>
      </c>
      <c r="E293" t="n">
        <v>0</v>
      </c>
      <c r="F293" t="n">
        <v>0</v>
      </c>
      <c r="H293" t="n">
        <v>0</v>
      </c>
      <c r="I293" t="n">
        <v>0</v>
      </c>
      <c r="J293" t="n">
        <v>0</v>
      </c>
      <c r="K293" t="n">
        <v>0</v>
      </c>
      <c r="L293" t="n">
        <v>0</v>
      </c>
      <c r="M293" t="n">
        <v>0</v>
      </c>
      <c r="N293" t="n">
        <v>0</v>
      </c>
    </row>
    <row r="294">
      <c r="A294" t="inlineStr">
        <is>
          <t>Stock</t>
        </is>
      </c>
      <c r="B294" t="inlineStr">
        <is>
          <t>23 sold on account of feebleness.</t>
        </is>
      </c>
      <c r="C294" t="n">
        <v>0</v>
      </c>
      <c r="D294" t="n">
        <v>0</v>
      </c>
      <c r="E294" t="n">
        <v>0</v>
      </c>
      <c r="F294" t="n">
        <v>0</v>
      </c>
      <c r="H294" t="n">
        <v>0</v>
      </c>
      <c r="I294" t="n">
        <v>0</v>
      </c>
      <c r="J294" t="n">
        <v>0</v>
      </c>
      <c r="K294" t="n">
        <v>0</v>
      </c>
      <c r="L294" t="n">
        <v>0</v>
      </c>
      <c r="M294" t="n">
        <v>0</v>
      </c>
      <c r="N294" t="n">
        <v>0</v>
      </c>
    </row>
    <row r="295">
      <c r="A295" t="inlineStr">
        <is>
          <t>Stock</t>
        </is>
      </c>
      <c r="B295" t="inlineStr">
        <is>
          <t>Total, 99. 176 remain.</t>
        </is>
      </c>
      <c r="C295" t="n">
        <v>0</v>
      </c>
      <c r="D295" t="n">
        <v>0</v>
      </c>
      <c r="E295" t="n">
        <v>0</v>
      </c>
      <c r="F295" t="n">
        <v>0</v>
      </c>
      <c r="H295" t="n">
        <v>0</v>
      </c>
      <c r="I295" t="n">
        <v>0</v>
      </c>
      <c r="J295" t="n">
        <v>0</v>
      </c>
      <c r="K295" t="n">
        <v>0</v>
      </c>
      <c r="L295" t="n">
        <v>0</v>
      </c>
      <c r="M295" t="n">
        <v>0</v>
      </c>
      <c r="N295" t="n">
        <v>0</v>
      </c>
    </row>
    <row r="296">
      <c r="A296" t="inlineStr">
        <is>
          <t>Stock</t>
        </is>
      </c>
      <c r="B296" t="inlineStr">
        <is>
          <t>Sows: 2 remain from the previous year.</t>
        </is>
      </c>
      <c r="C296" t="n">
        <v>0</v>
      </c>
      <c r="D296" t="n">
        <v>0</v>
      </c>
      <c r="E296" t="n">
        <v>0</v>
      </c>
      <c r="F296" t="n">
        <v>0</v>
      </c>
      <c r="H296" t="n">
        <v>0</v>
      </c>
      <c r="I296" t="n">
        <v>0</v>
      </c>
      <c r="J296" t="n">
        <v>0</v>
      </c>
      <c r="K296" t="n">
        <v>0</v>
      </c>
      <c r="L296" t="n">
        <v>0</v>
      </c>
      <c r="M296" t="n">
        <v>0</v>
      </c>
      <c r="N296" t="n">
        <v>0</v>
      </c>
    </row>
    <row r="297">
      <c r="A297" t="inlineStr">
        <is>
          <t>Stock</t>
        </is>
      </c>
      <c r="B297" t="inlineStr">
        <is>
          <t>2 remain.</t>
        </is>
      </c>
      <c r="C297" t="n">
        <v>0</v>
      </c>
      <c r="D297" t="n">
        <v>0</v>
      </c>
      <c r="E297" t="n">
        <v>0</v>
      </c>
      <c r="F297" t="n">
        <v>0</v>
      </c>
      <c r="H297" t="n">
        <v>0</v>
      </c>
      <c r="I297" t="n">
        <v>0</v>
      </c>
      <c r="J297" t="n">
        <v>0</v>
      </c>
      <c r="K297" t="n">
        <v>0</v>
      </c>
      <c r="L297" t="n">
        <v>0</v>
      </c>
      <c r="M297" t="n">
        <v>0</v>
      </c>
      <c r="N297" t="n">
        <v>0</v>
      </c>
    </row>
    <row r="298">
      <c r="A298" t="inlineStr">
        <is>
          <t>Stock</t>
        </is>
      </c>
      <c r="B298" t="inlineStr">
        <is>
          <t>Pigs: 17 remain from the previous year.</t>
        </is>
      </c>
      <c r="C298" t="n">
        <v>0</v>
      </c>
      <c r="D298" t="n">
        <v>0</v>
      </c>
      <c r="E298" t="n">
        <v>0</v>
      </c>
      <c r="F298" t="n">
        <v>0</v>
      </c>
      <c r="H298" t="n">
        <v>0</v>
      </c>
      <c r="I298" t="n">
        <v>0</v>
      </c>
      <c r="J298" t="n">
        <v>0</v>
      </c>
      <c r="K298" t="n">
        <v>0</v>
      </c>
      <c r="L298" t="n">
        <v>0</v>
      </c>
      <c r="M298" t="n">
        <v>0</v>
      </c>
      <c r="N298" t="n">
        <v>0</v>
      </c>
    </row>
    <row r="299">
      <c r="A299" t="inlineStr">
        <is>
          <t>Stock</t>
        </is>
      </c>
      <c r="B299" t="inlineStr">
        <is>
          <t>19 added from stock.</t>
        </is>
      </c>
      <c r="C299" t="n">
        <v>0</v>
      </c>
      <c r="D299" t="n">
        <v>0</v>
      </c>
      <c r="E299" t="n">
        <v>0</v>
      </c>
      <c r="F299" t="n">
        <v>0</v>
      </c>
      <c r="H299" t="n">
        <v>0</v>
      </c>
      <c r="I299" t="n">
        <v>0</v>
      </c>
      <c r="J299" t="n">
        <v>0</v>
      </c>
      <c r="K299" t="n">
        <v>0</v>
      </c>
      <c r="L299" t="n">
        <v>0</v>
      </c>
      <c r="M299" t="n">
        <v>0</v>
      </c>
      <c r="N299" t="n">
        <v>0</v>
      </c>
    </row>
    <row r="300">
      <c r="A300" t="inlineStr">
        <is>
          <t>Stock</t>
        </is>
      </c>
      <c r="B300" t="inlineStr">
        <is>
          <t>13 bought.</t>
        </is>
      </c>
      <c r="C300" t="n">
        <v>0</v>
      </c>
      <c r="D300" t="n">
        <v>0</v>
      </c>
      <c r="E300" t="n">
        <v>0</v>
      </c>
      <c r="F300" t="n">
        <v>0</v>
      </c>
      <c r="H300" t="n">
        <v>0</v>
      </c>
      <c r="I300" t="n">
        <v>0</v>
      </c>
      <c r="J300" t="n">
        <v>0</v>
      </c>
      <c r="K300" t="n">
        <v>0</v>
      </c>
      <c r="L300" t="n">
        <v>0</v>
      </c>
      <c r="M300" t="n">
        <v>0</v>
      </c>
      <c r="N300" t="n">
        <v>0</v>
      </c>
    </row>
    <row r="301">
      <c r="A301" t="inlineStr">
        <is>
          <t>Stock</t>
        </is>
      </c>
      <c r="B301" t="inlineStr">
        <is>
          <t>1 from the heriot of John Gang'.</t>
        </is>
      </c>
      <c r="C301" t="n">
        <v>0</v>
      </c>
      <c r="D301" t="n">
        <v>0</v>
      </c>
      <c r="E301" t="n">
        <v>0</v>
      </c>
      <c r="F301" t="n">
        <v>0</v>
      </c>
      <c r="H301" t="n">
        <v>0</v>
      </c>
      <c r="I301" t="n">
        <v>0</v>
      </c>
      <c r="J301" t="n">
        <v>0</v>
      </c>
      <c r="K301" t="n">
        <v>0</v>
      </c>
      <c r="L301" t="n">
        <v>0</v>
      </c>
      <c r="M301" t="n">
        <v>0</v>
      </c>
      <c r="N301" t="n">
        <v>0</v>
      </c>
    </row>
    <row r="302">
      <c r="A302" t="inlineStr">
        <is>
          <t>Stock</t>
        </is>
      </c>
      <c r="B302" t="inlineStr">
        <is>
          <t>1 from the heriot of Thomas Lovering.</t>
        </is>
      </c>
      <c r="C302" t="n">
        <v>0</v>
      </c>
      <c r="D302" t="n">
        <v>0</v>
      </c>
      <c r="E302" t="n">
        <v>0</v>
      </c>
      <c r="F302" t="n">
        <v>0</v>
      </c>
      <c r="H302" t="n">
        <v>0</v>
      </c>
      <c r="I302" t="n">
        <v>0</v>
      </c>
      <c r="J302" t="n">
        <v>0</v>
      </c>
      <c r="K302" t="n">
        <v>0</v>
      </c>
      <c r="L302" t="n">
        <v>0</v>
      </c>
      <c r="M302" t="n">
        <v>0</v>
      </c>
      <c r="N302" t="n">
        <v>0</v>
      </c>
    </row>
    <row r="303">
      <c r="A303" t="inlineStr">
        <is>
          <t>Stock</t>
        </is>
      </c>
      <c r="B303" t="inlineStr">
        <is>
          <t>Total, 51. 15 sold.</t>
        </is>
      </c>
      <c r="C303" t="n">
        <v>0</v>
      </c>
      <c r="D303" t="n">
        <v>0</v>
      </c>
      <c r="E303" t="n">
        <v>0</v>
      </c>
      <c r="F303" t="n">
        <v>0</v>
      </c>
      <c r="H303" t="n">
        <v>0</v>
      </c>
      <c r="I303" t="n">
        <v>0</v>
      </c>
      <c r="J303" t="n">
        <v>0</v>
      </c>
      <c r="K303" t="n">
        <v>0</v>
      </c>
      <c r="L303" t="n">
        <v>0</v>
      </c>
      <c r="M303" t="n">
        <v>0</v>
      </c>
      <c r="N303" t="n">
        <v>0</v>
      </c>
    </row>
    <row r="304">
      <c r="A304" t="inlineStr">
        <is>
          <t>Stock</t>
        </is>
      </c>
      <c r="B304" t="inlineStr">
        <is>
          <t>36 remain, 1 of them a boar.</t>
        </is>
      </c>
      <c r="C304" t="n">
        <v>0</v>
      </c>
      <c r="D304" t="n">
        <v>0</v>
      </c>
      <c r="E304" t="n">
        <v>0</v>
      </c>
      <c r="F304" t="n">
        <v>0</v>
      </c>
      <c r="H304" t="n">
        <v>0</v>
      </c>
      <c r="I304" t="n">
        <v>0</v>
      </c>
      <c r="J304" t="n">
        <v>0</v>
      </c>
      <c r="K304" t="n">
        <v>0</v>
      </c>
      <c r="L304" t="n">
        <v>0</v>
      </c>
      <c r="M304" t="n">
        <v>0</v>
      </c>
      <c r="N304" t="n">
        <v>0</v>
      </c>
    </row>
    <row r="305">
      <c r="A305" t="inlineStr">
        <is>
          <t>Stock</t>
        </is>
      </c>
      <c r="B305" t="inlineStr">
        <is>
          <t>Hoggets: 21 remain from the previous year's piglets.</t>
        </is>
      </c>
      <c r="C305" t="n">
        <v>0</v>
      </c>
      <c r="D305" t="n">
        <v>0</v>
      </c>
      <c r="E305" t="n">
        <v>0</v>
      </c>
      <c r="F305" t="n">
        <v>0</v>
      </c>
      <c r="H305" t="n">
        <v>0</v>
      </c>
      <c r="I305" t="n">
        <v>0</v>
      </c>
      <c r="J305" t="n">
        <v>0</v>
      </c>
      <c r="K305" t="n">
        <v>0</v>
      </c>
      <c r="L305" t="n">
        <v>0</v>
      </c>
      <c r="M305" t="n">
        <v>0</v>
      </c>
      <c r="N305" t="n">
        <v>0</v>
      </c>
    </row>
    <row r="306">
      <c r="A306" t="inlineStr">
        <is>
          <t>Stock</t>
        </is>
      </c>
      <c r="B306" t="inlineStr">
        <is>
          <t>2 in murrain.</t>
        </is>
      </c>
      <c r="C306" t="n">
        <v>0</v>
      </c>
      <c r="D306" t="n">
        <v>0</v>
      </c>
      <c r="E306" t="n">
        <v>0</v>
      </c>
      <c r="F306" t="n">
        <v>0</v>
      </c>
      <c r="H306" t="n">
        <v>0</v>
      </c>
      <c r="I306" t="n">
        <v>0</v>
      </c>
      <c r="J306" t="n">
        <v>0</v>
      </c>
      <c r="K306" t="n">
        <v>0</v>
      </c>
      <c r="L306" t="n">
        <v>0</v>
      </c>
      <c r="M306" t="n">
        <v>0</v>
      </c>
      <c r="N306" t="n">
        <v>0</v>
      </c>
    </row>
    <row r="307">
      <c r="A307" t="inlineStr">
        <is>
          <t>Stock</t>
        </is>
      </c>
      <c r="B307" t="inlineStr">
        <is>
          <t>19 added to pigs.</t>
        </is>
      </c>
      <c r="C307" t="n">
        <v>0</v>
      </c>
      <c r="D307" t="n">
        <v>0</v>
      </c>
      <c r="E307" t="n">
        <v>0</v>
      </c>
      <c r="F307" t="n">
        <v>0</v>
      </c>
      <c r="H307" t="n">
        <v>0</v>
      </c>
      <c r="I307" t="n">
        <v>0</v>
      </c>
      <c r="J307" t="n">
        <v>0</v>
      </c>
      <c r="K307" t="n">
        <v>0</v>
      </c>
      <c r="L307" t="n">
        <v>0</v>
      </c>
      <c r="M307" t="n">
        <v>0</v>
      </c>
      <c r="N307" t="n">
        <v>0</v>
      </c>
    </row>
    <row r="308">
      <c r="A308" t="inlineStr">
        <is>
          <t>Stock</t>
        </is>
      </c>
      <c r="B308" t="inlineStr">
        <is>
          <t>none remain here.</t>
        </is>
      </c>
      <c r="C308" t="n">
        <v>0</v>
      </c>
      <c r="D308" t="n">
        <v>0</v>
      </c>
      <c r="E308" t="n">
        <v>0</v>
      </c>
      <c r="F308" t="n">
        <v>0</v>
      </c>
      <c r="H308" t="n">
        <v>0</v>
      </c>
      <c r="I308" t="n">
        <v>0</v>
      </c>
      <c r="J308" t="n">
        <v>0</v>
      </c>
      <c r="K308" t="n">
        <v>0</v>
      </c>
      <c r="L308" t="n">
        <v>0</v>
      </c>
      <c r="M308" t="n">
        <v>0</v>
      </c>
      <c r="N308" t="n">
        <v>0</v>
      </c>
    </row>
    <row r="309">
      <c r="A309" t="inlineStr">
        <is>
          <t>Stock</t>
        </is>
      </c>
      <c r="B309" t="inlineStr">
        <is>
          <t>Piglets: 31 from the offspring of the said sows this year. 3 in tithe.</t>
        </is>
      </c>
      <c r="C309" t="n">
        <v>0</v>
      </c>
      <c r="D309" t="n">
        <v>0</v>
      </c>
      <c r="E309" t="n">
        <v>0</v>
      </c>
      <c r="F309" t="n">
        <v>0</v>
      </c>
      <c r="H309" t="n">
        <v>0</v>
      </c>
      <c r="I309" t="n">
        <v>0</v>
      </c>
      <c r="J309" t="n">
        <v>0</v>
      </c>
      <c r="K309" t="n">
        <v>0</v>
      </c>
      <c r="L309" t="n">
        <v>0</v>
      </c>
      <c r="M309" t="n">
        <v>0</v>
      </c>
      <c r="N309" t="n">
        <v>0</v>
      </c>
    </row>
    <row r="310">
      <c r="A310" t="inlineStr">
        <is>
          <t>Stock</t>
        </is>
      </c>
      <c r="B310" t="inlineStr">
        <is>
          <t>1 in customary payment to the swineherd.</t>
        </is>
      </c>
      <c r="C310" t="n">
        <v>0</v>
      </c>
      <c r="D310" t="n">
        <v>0</v>
      </c>
      <c r="E310" t="n">
        <v>0</v>
      </c>
      <c r="F310" t="n">
        <v>0</v>
      </c>
      <c r="H310" t="n">
        <v>0</v>
      </c>
      <c r="I310" t="n">
        <v>0</v>
      </c>
      <c r="J310" t="n">
        <v>0</v>
      </c>
      <c r="K310" t="n">
        <v>0</v>
      </c>
      <c r="L310" t="n">
        <v>0</v>
      </c>
      <c r="M310" t="n">
        <v>0</v>
      </c>
      <c r="N310" t="n">
        <v>0</v>
      </c>
    </row>
    <row r="311">
      <c r="A311" t="inlineStr">
        <is>
          <t>Stock</t>
        </is>
      </c>
      <c r="B311" t="inlineStr">
        <is>
          <t>3 in murrain.</t>
        </is>
      </c>
      <c r="C311" t="n">
        <v>0</v>
      </c>
      <c r="D311" t="n">
        <v>0</v>
      </c>
      <c r="E311" t="n">
        <v>0</v>
      </c>
      <c r="F311" t="n">
        <v>0</v>
      </c>
      <c r="H311" t="n">
        <v>0</v>
      </c>
      <c r="I311" t="n">
        <v>0</v>
      </c>
      <c r="J311" t="n">
        <v>0</v>
      </c>
      <c r="K311" t="n">
        <v>0</v>
      </c>
      <c r="L311" t="n">
        <v>0</v>
      </c>
      <c r="M311" t="n">
        <v>0</v>
      </c>
      <c r="N311" t="n">
        <v>0</v>
      </c>
    </row>
    <row r="312">
      <c r="A312" t="inlineStr">
        <is>
          <t>Stock</t>
        </is>
      </c>
      <c r="B312" t="inlineStr">
        <is>
          <t>Total, 7. 24 remain.</t>
        </is>
      </c>
      <c r="C312" t="n">
        <v>0</v>
      </c>
      <c r="D312" t="n">
        <v>0</v>
      </c>
      <c r="E312" t="n">
        <v>0</v>
      </c>
      <c r="F312" t="n">
        <v>0</v>
      </c>
      <c r="H312" t="n">
        <v>0</v>
      </c>
      <c r="I312" t="n">
        <v>0</v>
      </c>
      <c r="J312" t="n">
        <v>0</v>
      </c>
      <c r="K312" t="n">
        <v>0</v>
      </c>
      <c r="L312" t="n">
        <v>0</v>
      </c>
      <c r="M312" t="n">
        <v>0</v>
      </c>
      <c r="N312" t="n">
        <v>0</v>
      </c>
    </row>
    <row r="313">
      <c r="A313" t="inlineStr">
        <is>
          <t>Stock</t>
        </is>
      </c>
      <c r="B313" t="inlineStr">
        <is>
          <t>Coarse wool: {yield of fleece... plus ... in all): 679 fleeces produced at the shearing this year.</t>
        </is>
      </c>
      <c r="C313" t="n">
        <v>0</v>
      </c>
      <c r="D313" t="n">
        <v>0</v>
      </c>
      <c r="E313" t="n">
        <v>0</v>
      </c>
      <c r="F313" t="n">
        <v>0</v>
      </c>
      <c r="H313" t="n">
        <v>0</v>
      </c>
      <c r="I313" t="n">
        <v>0</v>
      </c>
      <c r="J313" t="n">
        <v>0</v>
      </c>
      <c r="K313" t="n">
        <v>0</v>
      </c>
      <c r="L313" t="n">
        <v>0</v>
      </c>
      <c r="M313" t="n">
        <v>0</v>
      </c>
      <c r="N313" t="n">
        <v>0</v>
      </c>
    </row>
    <row r="314">
      <c r="A314" t="inlineStr">
        <is>
          <t>Stock</t>
        </is>
      </c>
      <c r="B314" t="inlineStr">
        <is>
          <t>2 in customary payment to 2 shepherds.</t>
        </is>
      </c>
      <c r="C314" t="n">
        <v>0</v>
      </c>
      <c r="D314" t="n">
        <v>0</v>
      </c>
      <c r="E314" t="n">
        <v>0</v>
      </c>
      <c r="F314" t="n">
        <v>0</v>
      </c>
      <c r="H314" t="n">
        <v>0</v>
      </c>
      <c r="I314" t="n">
        <v>0</v>
      </c>
      <c r="J314" t="n">
        <v>0</v>
      </c>
      <c r="K314" t="n">
        <v>0</v>
      </c>
      <c r="L314" t="n">
        <v>0</v>
      </c>
      <c r="M314" t="n">
        <v>0</v>
      </c>
      <c r="N314" t="n">
        <v>0</v>
      </c>
    </row>
    <row r="315">
      <c r="A315" t="inlineStr">
        <is>
          <t>Stock</t>
        </is>
      </c>
      <c r="B315" t="inlineStr">
        <is>
          <t>677 sent to Wolvesey, which made 4.5 weys.</t>
        </is>
      </c>
      <c r="C315" t="n">
        <v>0</v>
      </c>
      <c r="D315" t="n">
        <v>0</v>
      </c>
      <c r="E315" t="n">
        <v>0</v>
      </c>
      <c r="F315" t="n">
        <v>0</v>
      </c>
      <c r="H315" t="n">
        <v>0</v>
      </c>
      <c r="I315" t="n">
        <v>0</v>
      </c>
      <c r="J315" t="n">
        <v>0</v>
      </c>
      <c r="K315" t="n">
        <v>0</v>
      </c>
      <c r="L315" t="n">
        <v>0</v>
      </c>
      <c r="M315" t="n">
        <v>0</v>
      </c>
      <c r="N315" t="n">
        <v>0</v>
      </c>
    </row>
    <row r="316">
      <c r="A316" t="inlineStr">
        <is>
          <t>Stock</t>
        </is>
      </c>
      <c r="B316" t="inlineStr">
        <is>
          <t>Lamb's-wool: {[yield of fleece] . . . .75pence less 1 shilling 3pence in all}: 180 fleeces.</t>
        </is>
      </c>
      <c r="C316" t="n">
        <v>0.36</v>
      </c>
      <c r="D316" t="n">
        <v>0</v>
      </c>
      <c r="E316" t="n">
        <v>1</v>
      </c>
      <c r="F316" t="n">
        <v>75</v>
      </c>
      <c r="H316" t="n">
        <v>0</v>
      </c>
      <c r="I316" t="n">
        <v>0</v>
      </c>
      <c r="J316" t="n">
        <v>0</v>
      </c>
      <c r="K316" t="n">
        <v>0</v>
      </c>
      <c r="L316" t="n">
        <v>0</v>
      </c>
      <c r="M316" t="n">
        <v>0</v>
      </c>
      <c r="N316" t="n">
        <v>0</v>
      </c>
    </row>
    <row r="317">
      <c r="A317" t="inlineStr">
        <is>
          <t>Stock</t>
        </is>
      </c>
      <c r="B317" t="inlineStr">
        <is>
          <t>all sent to Wolvesey, which made 13 cloves.</t>
        </is>
      </c>
      <c r="C317" t="n">
        <v>0</v>
      </c>
      <c r="D317" t="n">
        <v>0</v>
      </c>
      <c r="E317" t="n">
        <v>0</v>
      </c>
      <c r="F317" t="n">
        <v>0</v>
      </c>
      <c r="H317" t="n">
        <v>0</v>
      </c>
      <c r="I317" t="n">
        <v>0</v>
      </c>
      <c r="J317" t="n">
        <v>0</v>
      </c>
      <c r="K317" t="n">
        <v>0</v>
      </c>
      <c r="L317" t="n">
        <v>0</v>
      </c>
      <c r="M317" t="n">
        <v>0</v>
      </c>
      <c r="N317" t="n">
        <v>0</v>
      </c>
    </row>
    <row r="318">
      <c r="A318" t="inlineStr">
        <is>
          <t>Stock</t>
        </is>
      </c>
      <c r="B318" t="inlineStr">
        <is>
          <t>Winter cheese: 30 made.</t>
        </is>
      </c>
      <c r="C318" t="n">
        <v>0</v>
      </c>
      <c r="D318" t="n">
        <v>0</v>
      </c>
      <c r="E318" t="n">
        <v>0</v>
      </c>
      <c r="F318" t="n">
        <v>0</v>
      </c>
      <c r="H318" t="n">
        <v>0</v>
      </c>
      <c r="I318" t="n">
        <v>0</v>
      </c>
      <c r="J318" t="n">
        <v>0</v>
      </c>
      <c r="K318" t="n">
        <v>0</v>
      </c>
      <c r="L318" t="n">
        <v>0</v>
      </c>
      <c r="M318" t="n">
        <v>0</v>
      </c>
      <c r="N318" t="n">
        <v>0</v>
      </c>
    </row>
    <row r="319">
      <c r="A319" t="inlineStr">
        <is>
          <t>Stock</t>
        </is>
      </c>
      <c r="B319" t="inlineStr">
        <is>
          <t>all sold, which made 0.5 wey 4 cloves.</t>
        </is>
      </c>
      <c r="C319" t="n">
        <v>0</v>
      </c>
      <c r="D319" t="n">
        <v>0</v>
      </c>
      <c r="E319" t="n">
        <v>0</v>
      </c>
      <c r="F319" t="n">
        <v>0</v>
      </c>
      <c r="H319" t="n">
        <v>0</v>
      </c>
      <c r="I319" t="n">
        <v>0</v>
      </c>
      <c r="J319" t="n">
        <v>0</v>
      </c>
      <c r="K319" t="n">
        <v>0</v>
      </c>
      <c r="L319" t="n">
        <v>0</v>
      </c>
      <c r="M319" t="n">
        <v>0</v>
      </c>
      <c r="N319" t="n">
        <v>0</v>
      </c>
    </row>
    <row r="320">
      <c r="A320" t="inlineStr">
        <is>
          <t>Stock</t>
        </is>
      </c>
      <c r="B320" t="inlineStr">
        <is>
          <t>Summer cheese: (yield of cow 3 shilling and sheep 3pence with 3 cheeses in customary payment valued at 2 shilling this year}: 155 cheeses made between St Alphegus' day (19 April) and Michaelmas (29 September), both days included, at 1 cheese a day.</t>
        </is>
      </c>
      <c r="C320" t="n">
        <v>0.16</v>
      </c>
      <c r="D320" t="n">
        <v>0</v>
      </c>
      <c r="E320" t="n">
        <v>3</v>
      </c>
      <c r="F320" t="n">
        <v>3</v>
      </c>
      <c r="H320" t="n">
        <v>0</v>
      </c>
      <c r="I320" t="n">
        <v>0</v>
      </c>
      <c r="J320" t="n">
        <v>0</v>
      </c>
      <c r="K320" t="n">
        <v>0</v>
      </c>
      <c r="L320" t="n">
        <v>0</v>
      </c>
      <c r="M320" t="n">
        <v>0</v>
      </c>
      <c r="N320" t="n">
        <v>0</v>
      </c>
    </row>
    <row r="321">
      <c r="A321" t="inlineStr">
        <is>
          <t>Stock</t>
        </is>
      </c>
      <c r="B321" t="inlineStr">
        <is>
          <t>15 in tithe.</t>
        </is>
      </c>
      <c r="C321" t="n">
        <v>0</v>
      </c>
      <c r="D321" t="n">
        <v>0</v>
      </c>
      <c r="E321" t="n">
        <v>0</v>
      </c>
      <c r="F321" t="n">
        <v>0</v>
      </c>
      <c r="H321" t="n">
        <v>0</v>
      </c>
      <c r="I321" t="n">
        <v>0</v>
      </c>
      <c r="J321" t="n">
        <v>0</v>
      </c>
      <c r="K321" t="n">
        <v>0</v>
      </c>
      <c r="L321" t="n">
        <v>0</v>
      </c>
      <c r="M321" t="n">
        <v>0</v>
      </c>
      <c r="N321" t="n">
        <v>0</v>
      </c>
    </row>
    <row r="322">
      <c r="A322" t="inlineStr">
        <is>
          <t>Stock</t>
        </is>
      </c>
      <c r="B322" t="inlineStr">
        <is>
          <t>3 in customary payment to the reeve, smith and bartoner.</t>
        </is>
      </c>
      <c r="C322" t="n">
        <v>0</v>
      </c>
      <c r="D322" t="n">
        <v>0</v>
      </c>
      <c r="E322" t="n">
        <v>0</v>
      </c>
      <c r="F322" t="n">
        <v>0</v>
      </c>
      <c r="H322" t="n">
        <v>0</v>
      </c>
      <c r="I322" t="n">
        <v>0</v>
      </c>
      <c r="J322" t="n">
        <v>0</v>
      </c>
      <c r="K322" t="n">
        <v>0</v>
      </c>
      <c r="L322" t="n">
        <v>0</v>
      </c>
      <c r="M322" t="n">
        <v>0</v>
      </c>
      <c r="N322" t="n">
        <v>0</v>
      </c>
    </row>
    <row r="323">
      <c r="A323" t="inlineStr">
        <is>
          <t>Stock</t>
        </is>
      </c>
      <c r="B323" t="inlineStr">
        <is>
          <t>137 sold, which made 10 weys 7 cloves.</t>
        </is>
      </c>
      <c r="C323" t="n">
        <v>0</v>
      </c>
      <c r="D323" t="n">
        <v>0</v>
      </c>
      <c r="E323" t="n">
        <v>0</v>
      </c>
      <c r="F323" t="n">
        <v>0</v>
      </c>
      <c r="H323" t="n">
        <v>0</v>
      </c>
      <c r="I323" t="n">
        <v>0</v>
      </c>
      <c r="J323" t="n">
        <v>0</v>
      </c>
      <c r="K323" t="n">
        <v>0</v>
      </c>
      <c r="L323" t="n">
        <v>0</v>
      </c>
      <c r="M323" t="n">
        <v>0</v>
      </c>
      <c r="N323" t="n">
        <v>0</v>
      </c>
    </row>
    <row r="324">
      <c r="A324" t="inlineStr">
        <is>
          <t>Stock</t>
        </is>
      </c>
      <c r="B324" t="inlineStr">
        <is>
          <t>Butter: 1 wey from the issue of the dairy.</t>
        </is>
      </c>
      <c r="C324" t="n">
        <v>0</v>
      </c>
      <c r="D324" t="n">
        <v>0</v>
      </c>
      <c r="E324" t="n">
        <v>0</v>
      </c>
      <c r="F324" t="n">
        <v>0</v>
      </c>
      <c r="H324" t="n">
        <v>0</v>
      </c>
      <c r="I324" t="n">
        <v>0</v>
      </c>
      <c r="J324" t="n">
        <v>0</v>
      </c>
      <c r="K324" t="n">
        <v>0</v>
      </c>
      <c r="L324" t="n">
        <v>0</v>
      </c>
      <c r="M324" t="n">
        <v>0</v>
      </c>
      <c r="N324" t="n">
        <v>0</v>
      </c>
    </row>
    <row r="325">
      <c r="A325" t="inlineStr">
        <is>
          <t>Stock</t>
        </is>
      </c>
      <c r="B325" t="inlineStr">
        <is>
          <t>all solpence</t>
        </is>
      </c>
      <c r="C325" t="n">
        <v>0</v>
      </c>
      <c r="D325" t="n">
        <v>0</v>
      </c>
      <c r="E325" t="n">
        <v>0</v>
      </c>
      <c r="F325" t="n">
        <v>0</v>
      </c>
      <c r="H325" t="n">
        <v>0</v>
      </c>
      <c r="I325" t="n">
        <v>0</v>
      </c>
      <c r="J325" t="n">
        <v>0</v>
      </c>
      <c r="K325" t="n">
        <v>0</v>
      </c>
      <c r="L325" t="n">
        <v>0</v>
      </c>
      <c r="M325" t="n">
        <v>0</v>
      </c>
      <c r="N325" t="n">
        <v>0</v>
      </c>
    </row>
    <row r="326">
      <c r="A326" t="inlineStr">
        <is>
          <t>Stock</t>
        </is>
      </c>
      <c r="B326" t="inlineStr">
        <is>
          <t>Hides: 2 from plough-horses, 1 from a colt, 1 from an ox, 1 from a cow, 1 from a steer and 1 from a calf dead from murrain.</t>
        </is>
      </c>
      <c r="C326" t="n">
        <v>0</v>
      </c>
      <c r="D326" t="n">
        <v>0</v>
      </c>
      <c r="E326" t="n">
        <v>0</v>
      </c>
      <c r="F326" t="n">
        <v>0</v>
      </c>
      <c r="H326" t="n">
        <v>0</v>
      </c>
      <c r="I326" t="n">
        <v>0</v>
      </c>
      <c r="J326" t="n">
        <v>0</v>
      </c>
      <c r="K326" t="n">
        <v>0</v>
      </c>
      <c r="L326" t="n">
        <v>0</v>
      </c>
      <c r="M326" t="n">
        <v>0</v>
      </c>
      <c r="N326" t="n">
        <v>0</v>
      </c>
    </row>
    <row r="327">
      <c r="A327" t="inlineStr">
        <is>
          <t>Stock</t>
        </is>
      </c>
      <c r="B327" t="inlineStr">
        <is>
          <t>all solpence</t>
        </is>
      </c>
      <c r="C327" t="n">
        <v>0</v>
      </c>
      <c r="D327" t="n">
        <v>0</v>
      </c>
      <c r="E327" t="n">
        <v>0</v>
      </c>
      <c r="F327" t="n">
        <v>0</v>
      </c>
      <c r="H327" t="n">
        <v>0</v>
      </c>
      <c r="I327" t="n">
        <v>0</v>
      </c>
      <c r="J327" t="n">
        <v>0</v>
      </c>
      <c r="K327" t="n">
        <v>0</v>
      </c>
      <c r="L327" t="n">
        <v>0</v>
      </c>
      <c r="M327" t="n">
        <v>0</v>
      </c>
      <c r="N327" t="n">
        <v>0</v>
      </c>
    </row>
    <row r="328">
      <c r="A328" t="inlineStr">
        <is>
          <t>Stock</t>
        </is>
      </c>
      <c r="B328" t="inlineStr">
        <is>
          <t>Woolskin's: 10 from wethers, 10 from ewes and 30 from hoggs dead from murrain before shearing.</t>
        </is>
      </c>
      <c r="C328" t="n">
        <v>0</v>
      </c>
      <c r="D328" t="n">
        <v>0</v>
      </c>
      <c r="E328" t="n">
        <v>0</v>
      </c>
      <c r="F328" t="n">
        <v>0</v>
      </c>
      <c r="H328" t="n">
        <v>0</v>
      </c>
      <c r="I328" t="n">
        <v>0</v>
      </c>
      <c r="J328" t="n">
        <v>0</v>
      </c>
      <c r="K328" t="n">
        <v>0</v>
      </c>
      <c r="L328" t="n">
        <v>0</v>
      </c>
      <c r="M328" t="n">
        <v>0</v>
      </c>
      <c r="N328" t="n">
        <v>0</v>
      </c>
    </row>
    <row r="329">
      <c r="A329" t="inlineStr">
        <is>
          <t>Stock</t>
        </is>
      </c>
      <c r="B329" t="inlineStr">
        <is>
          <t>all solpence</t>
        </is>
      </c>
      <c r="C329" t="n">
        <v>0</v>
      </c>
      <c r="D329" t="n">
        <v>0</v>
      </c>
      <c r="E329" t="n">
        <v>0</v>
      </c>
      <c r="F329" t="n">
        <v>0</v>
      </c>
      <c r="H329" t="n">
        <v>0</v>
      </c>
      <c r="I329" t="n">
        <v>0</v>
      </c>
      <c r="J329" t="n">
        <v>0</v>
      </c>
      <c r="K329" t="n">
        <v>0</v>
      </c>
      <c r="L329" t="n">
        <v>0</v>
      </c>
      <c r="M329" t="n">
        <v>0</v>
      </c>
      <c r="N329" t="n">
        <v>0</v>
      </c>
    </row>
    <row r="330">
      <c r="A330" t="inlineStr">
        <is>
          <t>Stock</t>
        </is>
      </c>
      <c r="B330" t="inlineStr">
        <is>
          <t>Bare skins] 8 from wethers, 6 from ewes and 13 from hoggs dead from murrain after shearing.</t>
        </is>
      </c>
      <c r="C330" t="n">
        <v>0</v>
      </c>
      <c r="D330" t="n">
        <v>0</v>
      </c>
      <c r="E330" t="n">
        <v>0</v>
      </c>
      <c r="F330" t="n">
        <v>0</v>
      </c>
      <c r="H330" t="n">
        <v>0</v>
      </c>
      <c r="I330" t="n">
        <v>0</v>
      </c>
      <c r="J330" t="n">
        <v>0</v>
      </c>
      <c r="K330" t="n">
        <v>0</v>
      </c>
      <c r="L330" t="n">
        <v>0</v>
      </c>
      <c r="M330" t="n">
        <v>0</v>
      </c>
      <c r="N330" t="n">
        <v>0</v>
      </c>
    </row>
    <row r="331">
      <c r="A331" t="inlineStr">
        <is>
          <t>Stock</t>
        </is>
      </c>
      <c r="B331" t="inlineStr">
        <is>
          <t>all solpence</t>
        </is>
      </c>
      <c r="C331" t="n">
        <v>0</v>
      </c>
      <c r="D331" t="n">
        <v>0</v>
      </c>
      <c r="E331" t="n">
        <v>0</v>
      </c>
      <c r="F331" t="n">
        <v>0</v>
      </c>
      <c r="H331" t="n">
        <v>0</v>
      </c>
      <c r="I331" t="n">
        <v>0</v>
      </c>
      <c r="J331" t="n">
        <v>0</v>
      </c>
      <c r="K331" t="n">
        <v>0</v>
      </c>
      <c r="L331" t="n">
        <v>0</v>
      </c>
      <c r="M331" t="n">
        <v>0</v>
      </c>
      <c r="N331" t="n">
        <v>0</v>
      </c>
    </row>
    <row r="332">
      <c r="A332" t="inlineStr">
        <is>
          <t>Stock</t>
        </is>
      </c>
      <c r="B332" t="inlineStr">
        <is>
          <t>Lambskins: 33 from lambs dead from murrain before weaning.</t>
        </is>
      </c>
      <c r="C332" t="n">
        <v>0</v>
      </c>
      <c r="D332" t="n">
        <v>0</v>
      </c>
      <c r="E332" t="n">
        <v>0</v>
      </c>
      <c r="F332" t="n">
        <v>0</v>
      </c>
      <c r="H332" t="n">
        <v>0</v>
      </c>
      <c r="I332" t="n">
        <v>0</v>
      </c>
      <c r="J332" t="n">
        <v>0</v>
      </c>
      <c r="K332" t="n">
        <v>0</v>
      </c>
      <c r="L332" t="n">
        <v>0</v>
      </c>
      <c r="M332" t="n">
        <v>0</v>
      </c>
      <c r="N332" t="n">
        <v>0</v>
      </c>
    </row>
    <row r="333">
      <c r="A333" t="inlineStr">
        <is>
          <t>Stock</t>
        </is>
      </c>
      <c r="B333" t="inlineStr">
        <is>
          <t>17 from rotted sheep.</t>
        </is>
      </c>
      <c r="C333" t="n">
        <v>0</v>
      </c>
      <c r="D333" t="n">
        <v>0</v>
      </c>
      <c r="E333" t="n">
        <v>0</v>
      </c>
      <c r="F333" t="n">
        <v>0</v>
      </c>
      <c r="H333" t="n">
        <v>0</v>
      </c>
      <c r="I333" t="n">
        <v>0</v>
      </c>
      <c r="J333" t="n">
        <v>0</v>
      </c>
      <c r="K333" t="n">
        <v>0</v>
      </c>
      <c r="L333" t="n">
        <v>0</v>
      </c>
      <c r="M333" t="n">
        <v>0</v>
      </c>
      <c r="N333" t="n">
        <v>0</v>
      </c>
    </row>
    <row r="334">
      <c r="A334" t="inlineStr">
        <is>
          <t>Stock</t>
        </is>
      </c>
      <c r="B334" t="inlineStr">
        <is>
          <t>all solpence</t>
        </is>
      </c>
      <c r="C334" t="n">
        <v>0</v>
      </c>
      <c r="D334" t="n">
        <v>0</v>
      </c>
      <c r="E334" t="n">
        <v>0</v>
      </c>
      <c r="F334" t="n">
        <v>0</v>
      </c>
      <c r="H334" t="n">
        <v>0</v>
      </c>
      <c r="I334" t="n">
        <v>0</v>
      </c>
      <c r="J334" t="n">
        <v>0</v>
      </c>
      <c r="K334" t="n">
        <v>0</v>
      </c>
      <c r="L334" t="n">
        <v>0</v>
      </c>
      <c r="M334" t="n">
        <v>0</v>
      </c>
      <c r="N334" t="n">
        <v>0</v>
      </c>
    </row>
    <row r="335">
      <c r="A335" t="inlineStr">
        <is>
          <t>Stock</t>
        </is>
      </c>
      <c r="B335" t="inlineStr">
        <is>
          <t>Hens: 116 from churchscot according to custom.</t>
        </is>
      </c>
      <c r="C335" t="n">
        <v>0</v>
      </c>
      <c r="D335" t="n">
        <v>0</v>
      </c>
      <c r="E335" t="n">
        <v>0</v>
      </c>
      <c r="F335" t="n">
        <v>0</v>
      </c>
      <c r="H335" t="n">
        <v>0</v>
      </c>
      <c r="I335" t="n">
        <v>0</v>
      </c>
      <c r="J335" t="n">
        <v>0</v>
      </c>
      <c r="K335" t="n">
        <v>0</v>
      </c>
      <c r="L335" t="n">
        <v>0</v>
      </c>
      <c r="M335" t="n">
        <v>0</v>
      </c>
      <c r="N335" t="n">
        <v>0</v>
      </c>
    </row>
    <row r="336">
      <c r="A336" t="inlineStr">
        <is>
          <t>Stock</t>
        </is>
      </c>
      <c r="B336" t="inlineStr">
        <is>
          <t>12 from the hayward, forester andecflalt bartoner according to custom.</t>
        </is>
      </c>
      <c r="C336" t="n">
        <v>0</v>
      </c>
      <c r="D336" t="n">
        <v>0</v>
      </c>
      <c r="E336" t="n">
        <v>0</v>
      </c>
      <c r="F336" t="n">
        <v>0</v>
      </c>
      <c r="H336" t="n">
        <v>0</v>
      </c>
      <c r="I336" t="n">
        <v>0</v>
      </c>
      <c r="J336" t="n">
        <v>0</v>
      </c>
      <c r="K336" t="n">
        <v>0</v>
      </c>
      <c r="L336" t="n">
        <v>0</v>
      </c>
      <c r="M336" t="n">
        <v>0</v>
      </c>
      <c r="N336" t="n">
        <v>0</v>
      </c>
    </row>
    <row r="337">
      <c r="A337" t="inlineStr">
        <is>
          <t>Stock</t>
        </is>
      </c>
      <c r="B337" t="inlineStr">
        <is>
          <t>Total, 128. 2 in default of the land of Ponk.</t>
        </is>
      </c>
      <c r="C337" t="n">
        <v>0</v>
      </c>
      <c r="D337" t="n">
        <v>0</v>
      </c>
      <c r="E337" t="n">
        <v>0</v>
      </c>
      <c r="F337" t="n">
        <v>0</v>
      </c>
      <c r="H337" t="n">
        <v>0</v>
      </c>
      <c r="I337" t="n">
        <v>0</v>
      </c>
      <c r="J337" t="n">
        <v>0</v>
      </c>
      <c r="K337" t="n">
        <v>0</v>
      </c>
      <c r="L337" t="n">
        <v>0</v>
      </c>
      <c r="M337" t="n">
        <v>0</v>
      </c>
      <c r="N337" t="n">
        <v>0</v>
      </c>
    </row>
    <row r="338">
      <c r="A338" t="inlineStr">
        <is>
          <t>Stock</t>
        </is>
      </c>
      <c r="B338" t="inlineStr">
        <is>
          <t>2 in Ian d  of the land of John Som' because the land was commuted.</t>
        </is>
      </c>
      <c r="C338" t="n">
        <v>0</v>
      </c>
      <c r="D338" t="n">
        <v>0</v>
      </c>
      <c r="E338" t="n">
        <v>0</v>
      </c>
      <c r="F338" t="n">
        <v>0</v>
      </c>
      <c r="H338" t="n">
        <v>0</v>
      </c>
      <c r="I338" t="n">
        <v>0</v>
      </c>
      <c r="J338" t="n">
        <v>0</v>
      </c>
      <c r="K338" t="n">
        <v>0</v>
      </c>
      <c r="L338" t="n">
        <v>0</v>
      </c>
      <c r="M338" t="n">
        <v>0</v>
      </c>
      <c r="N338" t="n">
        <v>0</v>
      </c>
    </row>
    <row r="339">
      <c r="A339" t="inlineStr">
        <is>
          <t>Stock</t>
        </is>
      </c>
      <c r="B339" t="inlineStr">
        <is>
          <t>2 in default of the of Walter le Poller' because a widower.</t>
        </is>
      </c>
      <c r="C339" t="n">
        <v>0</v>
      </c>
      <c r="D339" t="n">
        <v>0</v>
      </c>
      <c r="E339" t="n">
        <v>0</v>
      </c>
      <c r="F339" t="n">
        <v>0</v>
      </c>
      <c r="H339" t="n">
        <v>0</v>
      </c>
      <c r="I339" t="n">
        <v>0</v>
      </c>
      <c r="J339" t="n">
        <v>0</v>
      </c>
      <c r="K339" t="n">
        <v>0</v>
      </c>
      <c r="L339" t="n">
        <v>0</v>
      </c>
      <c r="M339" t="n">
        <v>0</v>
      </c>
      <c r="N339" t="n">
        <v>0</v>
      </c>
    </row>
    <row r="340">
      <c r="A340" t="inlineStr">
        <is>
          <t>Stock</t>
        </is>
      </c>
      <c r="B340" t="inlineStr">
        <is>
          <t>2 in default of the land of Mabel le Poller' because a widower.</t>
        </is>
      </c>
      <c r="C340" t="n">
        <v>0</v>
      </c>
      <c r="D340" t="n">
        <v>0</v>
      </c>
      <c r="E340" t="n">
        <v>0</v>
      </c>
      <c r="F340" t="n">
        <v>0</v>
      </c>
      <c r="H340" t="n">
        <v>0</v>
      </c>
      <c r="I340" t="n">
        <v>0</v>
      </c>
      <c r="J340" t="n">
        <v>0</v>
      </c>
      <c r="K340" t="n">
        <v>0</v>
      </c>
      <c r="L340" t="n">
        <v>0</v>
      </c>
      <c r="M340" t="n">
        <v>0</v>
      </c>
      <c r="N340" t="n">
        <v>0</v>
      </c>
    </row>
    <row r="341">
      <c r="A341" t="inlineStr">
        <is>
          <t>Stock</t>
        </is>
      </c>
      <c r="B341" t="inlineStr">
        <is>
          <t>2 in default of the land of Roger le Schinere because a widower.</t>
        </is>
      </c>
      <c r="C341" t="n">
        <v>0</v>
      </c>
      <c r="D341" t="n">
        <v>0</v>
      </c>
      <c r="E341" t="n">
        <v>0</v>
      </c>
      <c r="F341" t="n">
        <v>0</v>
      </c>
      <c r="H341" t="n">
        <v>0</v>
      </c>
      <c r="I341" t="n">
        <v>0</v>
      </c>
      <c r="J341" t="n">
        <v>0</v>
      </c>
      <c r="K341" t="n">
        <v>0</v>
      </c>
      <c r="L341" t="n">
        <v>0</v>
      </c>
      <c r="M341" t="n">
        <v>0</v>
      </c>
      <c r="N341" t="n">
        <v>0</v>
      </c>
    </row>
    <row r="342">
      <c r="A342" t="inlineStr">
        <is>
          <t>Stock</t>
        </is>
      </c>
      <c r="B342" t="inlineStr">
        <is>
          <t>3 in default of the land of William Faber for the same.</t>
        </is>
      </c>
      <c r="C342" t="n">
        <v>0</v>
      </c>
      <c r="D342" t="n">
        <v>0</v>
      </c>
      <c r="E342" t="n">
        <v>0</v>
      </c>
      <c r="F342" t="n">
        <v>0</v>
      </c>
      <c r="H342" t="n">
        <v>0</v>
      </c>
      <c r="I342" t="n">
        <v>0</v>
      </c>
      <c r="J342" t="n">
        <v>0</v>
      </c>
      <c r="K342" t="n">
        <v>0</v>
      </c>
      <c r="L342" t="n">
        <v>0</v>
      </c>
      <c r="M342" t="n">
        <v>0</v>
      </c>
      <c r="N342" t="n">
        <v>0</v>
      </c>
    </row>
    <row r="343">
      <c r="A343" t="inlineStr">
        <is>
          <t>Stock</t>
        </is>
      </c>
      <c r="B343" t="inlineStr">
        <is>
          <t>2 in default of the land of Edward Wytegrom for the same.</t>
        </is>
      </c>
      <c r="C343" t="n">
        <v>0</v>
      </c>
      <c r="D343" t="n">
        <v>0</v>
      </c>
      <c r="E343" t="n">
        <v>0</v>
      </c>
      <c r="F343" t="n">
        <v>0</v>
      </c>
      <c r="H343" t="n">
        <v>0</v>
      </c>
      <c r="I343" t="n">
        <v>0</v>
      </c>
      <c r="J343" t="n">
        <v>0</v>
      </c>
      <c r="K343" t="n">
        <v>0</v>
      </c>
      <c r="L343" t="n">
        <v>0</v>
      </c>
      <c r="M343" t="n">
        <v>0</v>
      </c>
      <c r="N343" t="n">
        <v>0</v>
      </c>
    </row>
    <row r="344">
      <c r="A344" t="inlineStr">
        <is>
          <t>Stock</t>
        </is>
      </c>
      <c r="B344" t="inlineStr">
        <is>
          <t>Total, 15. 113 solpence</t>
        </is>
      </c>
      <c r="C344" t="n">
        <v>0</v>
      </c>
      <c r="D344" t="n">
        <v>0</v>
      </c>
      <c r="E344" t="n">
        <v>0</v>
      </c>
      <c r="F344" t="n">
        <v>0</v>
      </c>
      <c r="H344" t="n">
        <v>0</v>
      </c>
      <c r="I344" t="n">
        <v>0</v>
      </c>
      <c r="J344" t="n">
        <v>0</v>
      </c>
      <c r="K344" t="n">
        <v>0</v>
      </c>
      <c r="L344" t="n">
        <v>0</v>
      </c>
      <c r="M344" t="n">
        <v>0</v>
      </c>
      <c r="N344" t="n">
        <v>0</v>
      </c>
    </row>
    <row r="345">
      <c r="A345" t="inlineStr">
        <is>
          <t>Stock</t>
        </is>
      </c>
      <c r="B345" t="inlineStr">
        <is>
          <t>Eggs: 1,050 from the hayward, forester and bartoner according to custom.</t>
        </is>
      </c>
      <c r="C345" t="n">
        <v>0</v>
      </c>
      <c r="D345" t="n">
        <v>0</v>
      </c>
      <c r="E345" t="n">
        <v>0</v>
      </c>
      <c r="F345" t="n">
        <v>0</v>
      </c>
      <c r="H345" t="n">
        <v>0</v>
      </c>
      <c r="I345" t="n">
        <v>0</v>
      </c>
      <c r="J345" t="n">
        <v>0</v>
      </c>
      <c r="K345" t="n">
        <v>0</v>
      </c>
      <c r="L345" t="n">
        <v>0</v>
      </c>
      <c r="M345" t="n">
        <v>0</v>
      </c>
      <c r="N345" t="n">
        <v>0</v>
      </c>
    </row>
    <row r="346">
      <c r="A346" t="inlineStr">
        <is>
          <t>Stock</t>
        </is>
      </c>
      <c r="B346" t="inlineStr">
        <is>
          <t>all solpence Ploughshares: 1 from the rent of the relict of William Faber.</t>
        </is>
      </c>
      <c r="C346" t="n">
        <v>0</v>
      </c>
      <c r="D346" t="n">
        <v>0</v>
      </c>
      <c r="E346" t="n">
        <v>0</v>
      </c>
      <c r="F346" t="n">
        <v>0</v>
      </c>
      <c r="H346" t="n">
        <v>0</v>
      </c>
      <c r="I346" t="n">
        <v>0</v>
      </c>
      <c r="J346" t="n">
        <v>0</v>
      </c>
      <c r="K346" t="n">
        <v>0</v>
      </c>
      <c r="L346" t="n">
        <v>0</v>
      </c>
      <c r="M346" t="n">
        <v>0</v>
      </c>
      <c r="N346" t="n">
        <v>0</v>
      </c>
    </row>
    <row r="347">
      <c r="A347" t="inlineStr">
        <is>
          <t>Stock</t>
        </is>
      </c>
      <c r="B347" t="inlineStr">
        <is>
          <t>delivered to the ploughs.</t>
        </is>
      </c>
      <c r="C347" t="n">
        <v>0</v>
      </c>
      <c r="D347" t="n">
        <v>0</v>
      </c>
      <c r="E347" t="n">
        <v>0</v>
      </c>
      <c r="F347" t="n">
        <v>0</v>
      </c>
      <c r="H347" t="n">
        <v>0</v>
      </c>
      <c r="I347" t="n">
        <v>0</v>
      </c>
      <c r="J347" t="n">
        <v>0</v>
      </c>
      <c r="K347" t="n">
        <v>0</v>
      </c>
      <c r="L347" t="n">
        <v>0</v>
      </c>
      <c r="M347" t="n">
        <v>0</v>
      </c>
      <c r="N347" t="n">
        <v>0</v>
      </c>
    </row>
    <row r="348">
      <c r="A348" t="inlineStr">
        <is>
          <t>Stock</t>
        </is>
      </c>
      <c r="B348" t="inlineStr">
        <is>
          <t>Apples: 8 quarters from the issue of the garden.</t>
        </is>
      </c>
      <c r="C348" t="n">
        <v>0</v>
      </c>
      <c r="D348" t="n">
        <v>0</v>
      </c>
      <c r="E348" t="n">
        <v>0</v>
      </c>
      <c r="F348" t="n">
        <v>0</v>
      </c>
      <c r="H348" t="n">
        <v>8</v>
      </c>
      <c r="I348" t="n">
        <v>0</v>
      </c>
      <c r="J348" t="n">
        <v>8</v>
      </c>
      <c r="K348" t="n">
        <v>8</v>
      </c>
      <c r="L348" t="n">
        <v>0</v>
      </c>
      <c r="M348" t="n">
        <v>8</v>
      </c>
      <c r="N348" t="n">
        <v>0</v>
      </c>
    </row>
    <row r="349">
      <c r="A349" t="inlineStr">
        <is>
          <t>Stock</t>
        </is>
      </c>
      <c r="B349" t="inlineStr">
        <is>
          <t>all sent to Bishops Sutton.</t>
        </is>
      </c>
      <c r="C349" t="n">
        <v>0</v>
      </c>
      <c r="D349" t="n">
        <v>0</v>
      </c>
      <c r="E349" t="n">
        <v>0</v>
      </c>
      <c r="F349" t="n">
        <v>0</v>
      </c>
      <c r="H349" t="n">
        <v>0</v>
      </c>
      <c r="I349" t="n">
        <v>0</v>
      </c>
      <c r="J349" t="n">
        <v>0</v>
      </c>
      <c r="K349" t="n">
        <v>0</v>
      </c>
      <c r="L349" t="n">
        <v>0</v>
      </c>
      <c r="M349" t="n">
        <v>0</v>
      </c>
      <c r="N349" t="n">
        <v>0</v>
      </c>
    </row>
    <row r="350">
      <c r="A350" t="inlineStr">
        <is>
          <t>Stock</t>
        </is>
      </c>
      <c r="B350" t="inlineStr">
        <is>
          <t>Labour services: 120 owed by 2 workers from Christmas until Lammas, at 2 a week.</t>
        </is>
      </c>
      <c r="C350" t="n">
        <v>0</v>
      </c>
      <c r="D350" t="n">
        <v>0</v>
      </c>
      <c r="E350" t="n">
        <v>0</v>
      </c>
      <c r="F350" t="n">
        <v>0</v>
      </c>
      <c r="H350" t="n">
        <v>0</v>
      </c>
      <c r="I350" t="n">
        <v>0</v>
      </c>
      <c r="J350" t="n">
        <v>0</v>
      </c>
      <c r="K350" t="n">
        <v>0</v>
      </c>
      <c r="L350" t="n">
        <v>0</v>
      </c>
      <c r="M350" t="n">
        <v>0</v>
      </c>
      <c r="N350" t="n">
        <v>0</v>
      </c>
    </row>
    <row r="351">
      <c r="A351" t="inlineStr">
        <is>
          <t>Stock</t>
        </is>
      </c>
      <c r="B351" t="inlineStr">
        <is>
          <t>129 owed by 3 workers working every day at harvest-time.</t>
        </is>
      </c>
      <c r="C351" t="n">
        <v>0</v>
      </c>
      <c r="D351" t="n">
        <v>0</v>
      </c>
      <c r="E351" t="n">
        <v>0</v>
      </c>
      <c r="F351" t="n">
        <v>0</v>
      </c>
      <c r="H351" t="n">
        <v>0</v>
      </c>
      <c r="I351" t="n">
        <v>0</v>
      </c>
      <c r="J351" t="n">
        <v>0</v>
      </c>
      <c r="K351" t="n">
        <v>0</v>
      </c>
      <c r="L351" t="n">
        <v>0</v>
      </c>
      <c r="M351" t="n">
        <v>0</v>
      </c>
      <c r="N351" t="n">
        <v>0</v>
      </c>
    </row>
    <row r="352">
      <c r="A352" t="inlineStr">
        <is>
          <t>Stock</t>
        </is>
      </c>
      <c r="B352" t="inlineStr">
        <is>
          <t>Total, 249. 64 in threshing and winnowing 29 quarters 6 bushels of wheat and curall by heaped measure.</t>
        </is>
      </c>
      <c r="C352" t="n">
        <v>0</v>
      </c>
      <c r="D352" t="n">
        <v>0</v>
      </c>
      <c r="E352" t="n">
        <v>0</v>
      </c>
      <c r="F352" t="n">
        <v>0</v>
      </c>
      <c r="G352" t="inlineStr">
        <is>
          <t>curall, wheat</t>
        </is>
      </c>
      <c r="H352" t="n">
        <v>29</v>
      </c>
      <c r="I352" t="n">
        <v>6</v>
      </c>
      <c r="J352" t="n">
        <v>29.75</v>
      </c>
      <c r="K352" t="n">
        <v>29.75</v>
      </c>
      <c r="L352" t="n">
        <v>0</v>
      </c>
      <c r="M352" t="n">
        <v>29</v>
      </c>
      <c r="N352" t="n">
        <v>6</v>
      </c>
    </row>
    <row r="353">
      <c r="A353" t="inlineStr">
        <is>
          <t>Stock</t>
        </is>
      </c>
      <c r="B353" t="inlineStr">
        <is>
          <t>17 in threshing and winnowing 13 quarters of barley, 2 quarters 2 bushels of peas and 1 quarters 5 bushels of vetches by heaped measure.</t>
        </is>
      </c>
      <c r="C353" t="n">
        <v>0</v>
      </c>
      <c r="D353" t="n">
        <v>0</v>
      </c>
      <c r="E353" t="n">
        <v>0</v>
      </c>
      <c r="F353" t="n">
        <v>0</v>
      </c>
      <c r="G353" t="inlineStr">
        <is>
          <t>barley, vetches, peas</t>
        </is>
      </c>
      <c r="H353" t="n">
        <v>3</v>
      </c>
      <c r="I353" t="n">
        <v>7</v>
      </c>
      <c r="J353" t="n">
        <v>3.875</v>
      </c>
      <c r="K353" t="n">
        <v>13</v>
      </c>
      <c r="L353" t="n">
        <v>-9.125</v>
      </c>
      <c r="M353" t="n">
        <v>13</v>
      </c>
      <c r="N353" t="n">
        <v>0</v>
      </c>
      <c r="O353" t="n">
        <v>2</v>
      </c>
      <c r="P353" t="n">
        <v>2</v>
      </c>
      <c r="Q353" t="n">
        <v>1</v>
      </c>
      <c r="R353" t="n">
        <v>5</v>
      </c>
    </row>
    <row r="354">
      <c r="A354" t="inlineStr">
        <is>
          <t>Stock</t>
        </is>
      </c>
      <c r="B354" t="inlineStr">
        <is>
          <t>90 in threshing and winnowing 100 quarters of oats by heaped measure.</t>
        </is>
      </c>
      <c r="C354" t="n">
        <v>0</v>
      </c>
      <c r="D354" t="n">
        <v>0</v>
      </c>
      <c r="E354" t="n">
        <v>0</v>
      </c>
      <c r="F354" t="n">
        <v>0</v>
      </c>
      <c r="G354" t="inlineStr">
        <is>
          <t>oats</t>
        </is>
      </c>
      <c r="H354" t="n">
        <v>100</v>
      </c>
      <c r="I354" t="n">
        <v>0</v>
      </c>
      <c r="J354" t="n">
        <v>100</v>
      </c>
      <c r="K354" t="n">
        <v>100</v>
      </c>
      <c r="L354" t="n">
        <v>0</v>
      </c>
      <c r="M354" t="n">
        <v>100</v>
      </c>
      <c r="N354" t="n">
        <v>0</v>
      </c>
    </row>
    <row r="355">
      <c r="A355" t="inlineStr">
        <is>
          <t>Stock</t>
        </is>
      </c>
      <c r="B355" t="inlineStr">
        <is>
          <t>38 in spreading and making dung.</t>
        </is>
      </c>
      <c r="C355" t="n">
        <v>0</v>
      </c>
      <c r="D355" t="n">
        <v>0</v>
      </c>
      <c r="E355" t="n">
        <v>0</v>
      </c>
      <c r="F355" t="n">
        <v>0</v>
      </c>
      <c r="H355" t="n">
        <v>0</v>
      </c>
      <c r="I355" t="n">
        <v>0</v>
      </c>
      <c r="J355" t="n">
        <v>0</v>
      </c>
      <c r="K355" t="n">
        <v>0</v>
      </c>
      <c r="L355" t="n">
        <v>0</v>
      </c>
      <c r="M355" t="n">
        <v>0</v>
      </c>
      <c r="N355" t="n">
        <v>0</v>
      </c>
    </row>
    <row r="356">
      <c r="A356" t="inlineStr">
        <is>
          <t>Stock</t>
        </is>
      </c>
      <c r="B356" t="inlineStr">
        <is>
          <t>40 in weeding corn.</t>
        </is>
      </c>
      <c r="C356" t="n">
        <v>0</v>
      </c>
      <c r="D356" t="n">
        <v>0</v>
      </c>
      <c r="E356" t="n">
        <v>0</v>
      </c>
      <c r="F356" t="n">
        <v>0</v>
      </c>
      <c r="H356" t="n">
        <v>0</v>
      </c>
      <c r="I356" t="n">
        <v>0</v>
      </c>
      <c r="J356" t="n">
        <v>0</v>
      </c>
      <c r="K356" t="n">
        <v>0</v>
      </c>
      <c r="L356" t="n">
        <v>0</v>
      </c>
      <c r="M356" t="n">
        <v>0</v>
      </c>
      <c r="N35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L54"/>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Wheat</t>
        </is>
      </c>
      <c r="B3" t="inlineStr">
        <is>
          <t>(yield: three-fold less 1 qr 6 bushels)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row>
    <row r="4">
      <c r="A4" t="inlineStr">
        <is>
          <t>Wheat</t>
        </is>
      </c>
      <c r="B4" t="inlineStr">
        <is>
          <t>The same render account for 94 quarters of wheat from the whole issue of the grange in the granary without heaped measure.</t>
        </is>
      </c>
      <c r="C4" t="n">
        <v>0</v>
      </c>
      <c r="D4" t="n">
        <v>0</v>
      </c>
      <c r="E4" t="n">
        <v>0</v>
      </c>
      <c r="F4" t="n">
        <v>0</v>
      </c>
      <c r="G4" t="n">
        <v>0</v>
      </c>
      <c r="H4" t="n">
        <v>0</v>
      </c>
      <c r="I4" t="n">
        <v>0</v>
      </c>
      <c r="J4" t="n">
        <v>0</v>
      </c>
      <c r="K4" t="n">
        <v>0</v>
      </c>
      <c r="L4" t="n">
        <v>0</v>
      </c>
      <c r="M4" t="n">
        <v>0</v>
      </c>
      <c r="N4" t="n">
        <v>0</v>
      </c>
      <c r="O4" t="n">
        <v>0</v>
      </c>
      <c r="P4" t="n">
        <v>0</v>
      </c>
      <c r="Q4" t="n">
        <v>0</v>
      </c>
      <c r="R4" t="n">
        <v>0</v>
      </c>
      <c r="S4" t="n">
        <v>0</v>
      </c>
      <c r="T4" t="n">
        <v>94</v>
      </c>
      <c r="U4" t="n">
        <v>0</v>
      </c>
      <c r="V4" t="n">
        <v>94</v>
      </c>
      <c r="W4" t="n">
        <v>0</v>
      </c>
      <c r="X4" t="n">
        <v>94</v>
      </c>
      <c r="Y4" t="n">
        <v>0</v>
      </c>
      <c r="Z4" t="n">
        <v>94</v>
      </c>
      <c r="AA4" t="n">
        <v>94</v>
      </c>
      <c r="AB4" t="n">
        <v>0</v>
      </c>
      <c r="AC4" t="n">
        <v>94</v>
      </c>
      <c r="AD4" t="n">
        <v>0</v>
      </c>
    </row>
    <row r="5">
      <c r="A5" t="inlineStr">
        <is>
          <t>Wheat</t>
        </is>
      </c>
      <c r="B5" t="inlineStr">
        <is>
          <t>Sown over 89 acres in the fields of Peregh' and la Slad', 33 quarters 3 bushels.</t>
        </is>
      </c>
      <c r="C5" t="n">
        <v>0</v>
      </c>
      <c r="D5" t="n">
        <v>0</v>
      </c>
      <c r="E5" t="n">
        <v>33</v>
      </c>
      <c r="F5" t="n">
        <v>3</v>
      </c>
      <c r="G5" t="n">
        <v>33.375</v>
      </c>
      <c r="H5" t="n">
        <v>0</v>
      </c>
      <c r="I5" t="n">
        <v>0</v>
      </c>
      <c r="J5" t="n">
        <v>0</v>
      </c>
      <c r="K5" t="n">
        <v>0</v>
      </c>
      <c r="L5" t="n">
        <v>0</v>
      </c>
      <c r="M5" t="n">
        <v>0</v>
      </c>
      <c r="N5" t="n">
        <v>0</v>
      </c>
      <c r="O5" t="n">
        <v>0</v>
      </c>
      <c r="P5" t="n">
        <v>0</v>
      </c>
      <c r="Q5" t="n">
        <v>0</v>
      </c>
      <c r="R5" t="n">
        <v>0</v>
      </c>
      <c r="S5" t="n">
        <v>0</v>
      </c>
      <c r="T5" t="n">
        <v>0</v>
      </c>
      <c r="U5" t="n">
        <v>0</v>
      </c>
      <c r="V5" t="n">
        <v>0</v>
      </c>
      <c r="W5" t="n">
        <v>0</v>
      </c>
      <c r="X5" t="n">
        <v>33</v>
      </c>
      <c r="Y5" t="n">
        <v>3</v>
      </c>
      <c r="Z5" t="n">
        <v>33.375</v>
      </c>
      <c r="AA5" t="n">
        <v>33.375</v>
      </c>
      <c r="AB5" t="n">
        <v>0</v>
      </c>
      <c r="AC5" t="n">
        <v>33</v>
      </c>
      <c r="AD5" t="n">
        <v>3</v>
      </c>
    </row>
    <row r="6">
      <c r="A6" t="inlineStr">
        <is>
          <t>Wheat</t>
        </is>
      </c>
      <c r="B6" t="inlineStr">
        <is>
          <t>that is, 3 bushels an acre.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3</v>
      </c>
      <c r="Z6" t="n">
        <v>0.375</v>
      </c>
      <c r="AA6" t="n">
        <v>0.375</v>
      </c>
      <c r="AB6" t="n">
        <v>0</v>
      </c>
      <c r="AC6" t="n">
        <v>0</v>
      </c>
      <c r="AD6" t="n">
        <v>3</v>
      </c>
    </row>
    <row r="7">
      <c r="A7" t="inlineStr">
        <is>
          <t>Wheat</t>
        </is>
      </c>
      <c r="B7" t="inlineStr">
        <is>
          <t>.</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Wheat</t>
        </is>
      </c>
      <c r="B8" t="inlineStr">
        <is>
          <t>provision of Simon, clerk, for 2 tourns, 4 bushels Sold, 60 quarters 1 bushels It balances.</t>
        </is>
      </c>
      <c r="C8" t="n">
        <v>0</v>
      </c>
      <c r="D8" t="n">
        <v>0</v>
      </c>
      <c r="E8" t="n">
        <v>0</v>
      </c>
      <c r="F8" t="n">
        <v>0</v>
      </c>
      <c r="G8" t="n">
        <v>0</v>
      </c>
      <c r="H8" t="n">
        <v>0</v>
      </c>
      <c r="I8" t="n">
        <v>0</v>
      </c>
      <c r="J8" t="n">
        <v>0</v>
      </c>
      <c r="K8" t="n">
        <v>0</v>
      </c>
      <c r="L8" t="n">
        <v>0</v>
      </c>
      <c r="M8" t="n">
        <v>0</v>
      </c>
      <c r="N8" t="n">
        <v>0</v>
      </c>
      <c r="O8" t="n">
        <v>0</v>
      </c>
      <c r="P8" t="n">
        <v>0</v>
      </c>
      <c r="Q8" t="n">
        <v>60</v>
      </c>
      <c r="R8" t="n">
        <v>1</v>
      </c>
      <c r="S8" t="n">
        <v>60.125</v>
      </c>
      <c r="T8" t="n">
        <v>0</v>
      </c>
      <c r="U8" t="n">
        <v>0</v>
      </c>
      <c r="V8" t="n">
        <v>0</v>
      </c>
      <c r="W8" t="n">
        <v>0</v>
      </c>
      <c r="X8" t="n">
        <v>60</v>
      </c>
      <c r="Y8" t="n">
        <v>1</v>
      </c>
      <c r="Z8" t="n">
        <v>60.125</v>
      </c>
      <c r="AA8" t="n">
        <v>0.5</v>
      </c>
      <c r="AB8" t="n">
        <v>59.625</v>
      </c>
      <c r="AC8" t="n">
        <v>0</v>
      </c>
      <c r="AD8" t="n">
        <v>4</v>
      </c>
      <c r="AE8" t="n">
        <v>60</v>
      </c>
      <c r="AF8" t="n">
        <v>1</v>
      </c>
    </row>
    <row r="9">
      <c r="A9" t="inlineStr">
        <is>
          <t>Wheat</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row>
    <row r="10">
      <c r="A10" t="inlineStr">
        <is>
          <t>Curall</t>
        </is>
      </c>
      <c r="B10" t="inlineStr">
        <is>
          <t>The same render account for 3 quarters 2 bushels from the whole issue of curall from the grange in the granary without heaped measure.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3</v>
      </c>
      <c r="U10" t="n">
        <v>2</v>
      </c>
      <c r="V10" t="n">
        <v>3.25</v>
      </c>
      <c r="W10" t="n">
        <v>0</v>
      </c>
      <c r="X10" t="n">
        <v>3</v>
      </c>
      <c r="Y10" t="n">
        <v>2</v>
      </c>
      <c r="Z10" t="n">
        <v>3.25</v>
      </c>
      <c r="AA10" t="n">
        <v>3.25</v>
      </c>
      <c r="AB10" t="n">
        <v>0</v>
      </c>
      <c r="AC10" t="n">
        <v>3</v>
      </c>
      <c r="AD10" t="n">
        <v>2</v>
      </c>
    </row>
    <row r="11">
      <c r="A11" t="inlineStr">
        <is>
          <t>Curall</t>
        </is>
      </c>
      <c r="B11" t="inlineStr">
        <is>
          <t>Mixed with barley for the liveries of the manorial servants, 1 qr 3 bushels Sold, 1 qr 7 bushels Total, 3 quarters 2 bushels It balances.</t>
        </is>
      </c>
      <c r="C11" t="n">
        <v>0</v>
      </c>
      <c r="D11" t="n">
        <v>0</v>
      </c>
      <c r="E11" t="n">
        <v>0</v>
      </c>
      <c r="F11" t="n">
        <v>0</v>
      </c>
      <c r="G11" t="n">
        <v>0</v>
      </c>
      <c r="H11" t="n">
        <v>0</v>
      </c>
      <c r="I11" t="n">
        <v>0</v>
      </c>
      <c r="J11" t="n">
        <v>0</v>
      </c>
      <c r="K11" t="n">
        <v>0</v>
      </c>
      <c r="L11" t="n">
        <v>0</v>
      </c>
      <c r="M11" t="n">
        <v>0</v>
      </c>
      <c r="N11" t="n">
        <v>3</v>
      </c>
      <c r="O11" t="n">
        <v>2</v>
      </c>
      <c r="P11" t="n">
        <v>3.25</v>
      </c>
      <c r="Q11" t="n">
        <v>3</v>
      </c>
      <c r="R11" t="n">
        <v>2</v>
      </c>
      <c r="S11" t="n">
        <v>3.25</v>
      </c>
      <c r="T11" t="n">
        <v>0</v>
      </c>
      <c r="U11" t="n">
        <v>0</v>
      </c>
      <c r="V11" t="n">
        <v>0</v>
      </c>
      <c r="W11" t="n">
        <v>0</v>
      </c>
    </row>
    <row r="12">
      <c r="A12" t="inlineStr">
        <is>
          <t>Curall</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row>
    <row r="13">
      <c r="A13" t="inlineStr">
        <is>
          <t>Barley</t>
        </is>
      </c>
      <c r="B13" t="inlineStr">
        <is>
          <t>(yield: two-and-a-half-fold less 1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1</v>
      </c>
      <c r="Z13" t="n">
        <v>0.125</v>
      </c>
      <c r="AA13" t="n">
        <v>0.125</v>
      </c>
      <c r="AB13" t="n">
        <v>0</v>
      </c>
      <c r="AC13" t="n">
        <v>0</v>
      </c>
      <c r="AD13" t="n">
        <v>1</v>
      </c>
    </row>
    <row r="14">
      <c r="A14" t="inlineStr">
        <is>
          <t>Barley</t>
        </is>
      </c>
      <c r="B14" t="inlineStr">
        <is>
          <t>The same render account for 36 quarters 1 bushels from the whole issue of barley from the grange in the granary without heaped measure.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36</v>
      </c>
      <c r="U14" t="n">
        <v>1</v>
      </c>
      <c r="V14" t="n">
        <v>36.125</v>
      </c>
      <c r="W14" t="n">
        <v>0</v>
      </c>
      <c r="X14" t="n">
        <v>36</v>
      </c>
      <c r="Y14" t="n">
        <v>1</v>
      </c>
      <c r="Z14" t="n">
        <v>36.125</v>
      </c>
      <c r="AA14" t="n">
        <v>36.125</v>
      </c>
      <c r="AB14" t="n">
        <v>0</v>
      </c>
      <c r="AC14" t="n">
        <v>36</v>
      </c>
      <c r="AD14" t="n">
        <v>1</v>
      </c>
    </row>
    <row r="15">
      <c r="A15" t="inlineStr">
        <is>
          <t>Barley</t>
        </is>
      </c>
      <c r="B15" t="inlineStr">
        <is>
          <t>4 quarters of winter barley received for the liveries of the manorial servants.</t>
        </is>
      </c>
      <c r="C15" t="n">
        <v>0</v>
      </c>
      <c r="D15" t="n">
        <v>0</v>
      </c>
      <c r="E15" t="n">
        <v>0</v>
      </c>
      <c r="F15" t="n">
        <v>0</v>
      </c>
      <c r="G15" t="n">
        <v>0</v>
      </c>
      <c r="H15" t="n">
        <v>0</v>
      </c>
      <c r="I15" t="n">
        <v>0</v>
      </c>
      <c r="J15" t="n">
        <v>0</v>
      </c>
      <c r="K15" t="n">
        <v>0</v>
      </c>
      <c r="L15" t="n">
        <v>0</v>
      </c>
      <c r="M15" t="n">
        <v>0</v>
      </c>
      <c r="N15" t="n">
        <v>4</v>
      </c>
      <c r="O15" t="n">
        <v>0</v>
      </c>
      <c r="P15" t="n">
        <v>4</v>
      </c>
      <c r="Q15" t="n">
        <v>0</v>
      </c>
      <c r="R15" t="n">
        <v>0</v>
      </c>
      <c r="S15" t="n">
        <v>0</v>
      </c>
      <c r="T15" t="n">
        <v>0</v>
      </c>
      <c r="U15" t="n">
        <v>0</v>
      </c>
      <c r="V15" t="n">
        <v>0</v>
      </c>
      <c r="W15" t="n">
        <v>0</v>
      </c>
      <c r="X15" t="n">
        <v>4</v>
      </c>
      <c r="Y15" t="n">
        <v>0</v>
      </c>
      <c r="Z15" t="n">
        <v>4</v>
      </c>
      <c r="AA15" t="n">
        <v>4</v>
      </c>
      <c r="AB15" t="n">
        <v>0</v>
      </c>
      <c r="AC15" t="n">
        <v>4</v>
      </c>
      <c r="AD15" t="n">
        <v>0</v>
      </c>
    </row>
    <row r="16">
      <c r="A16" t="inlineStr">
        <is>
          <t>Barley</t>
        </is>
      </c>
      <c r="B16" t="inlineStr">
        <is>
          <t>1 qr 3 bushels of curall received for the same.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row>
    <row r="17">
      <c r="A17" t="inlineStr">
        <is>
          <t>Barley</t>
        </is>
      </c>
      <c r="B17" t="inlineStr">
        <is>
          <t>7 bushels of peas received for the same.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7</v>
      </c>
      <c r="Z17" t="n">
        <v>0.875</v>
      </c>
      <c r="AA17" t="n">
        <v>0.875</v>
      </c>
      <c r="AB17" t="n">
        <v>0</v>
      </c>
      <c r="AC17" t="n">
        <v>0</v>
      </c>
      <c r="AD17" t="n">
        <v>7</v>
      </c>
    </row>
    <row r="18">
      <c r="A18" t="inlineStr">
        <is>
          <t>Barley</t>
        </is>
      </c>
      <c r="B18" t="inlineStr">
        <is>
          <t>15 quarters bought.</t>
        </is>
      </c>
      <c r="C18" t="n">
        <v>0</v>
      </c>
      <c r="D18" t="n">
        <v>0</v>
      </c>
      <c r="E18" t="n">
        <v>0</v>
      </c>
      <c r="F18" t="n">
        <v>0</v>
      </c>
      <c r="G18" t="n">
        <v>0</v>
      </c>
      <c r="H18" t="n">
        <v>15</v>
      </c>
      <c r="I18" t="n">
        <v>0</v>
      </c>
      <c r="J18" t="n">
        <v>15</v>
      </c>
      <c r="K18" t="n">
        <v>0</v>
      </c>
      <c r="L18" t="n">
        <v>0</v>
      </c>
      <c r="M18" t="n">
        <v>0</v>
      </c>
      <c r="N18" t="n">
        <v>0</v>
      </c>
      <c r="O18" t="n">
        <v>0</v>
      </c>
      <c r="P18" t="n">
        <v>0</v>
      </c>
      <c r="Q18" t="n">
        <v>0</v>
      </c>
      <c r="R18" t="n">
        <v>0</v>
      </c>
      <c r="S18" t="n">
        <v>0</v>
      </c>
      <c r="T18" t="n">
        <v>0</v>
      </c>
      <c r="U18" t="n">
        <v>0</v>
      </c>
      <c r="V18" t="n">
        <v>0</v>
      </c>
      <c r="W18" t="n">
        <v>0</v>
      </c>
      <c r="X18" t="n">
        <v>15</v>
      </c>
      <c r="Y18" t="n">
        <v>0</v>
      </c>
      <c r="Z18" t="n">
        <v>15</v>
      </c>
      <c r="AA18" t="n">
        <v>15</v>
      </c>
      <c r="AB18" t="n">
        <v>0</v>
      </c>
      <c r="AC18" t="n">
        <v>15</v>
      </c>
      <c r="AD18" t="n">
        <v>0</v>
      </c>
    </row>
    <row r="19">
      <c r="A19" t="inlineStr">
        <is>
          <t>Barley</t>
        </is>
      </c>
      <c r="B19" t="inlineStr">
        <is>
          <t>Total, 57 quarters 3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57</v>
      </c>
      <c r="Y19" t="n">
        <v>3</v>
      </c>
      <c r="Z19" t="n">
        <v>57.375</v>
      </c>
      <c r="AA19" t="n">
        <v>57.375</v>
      </c>
      <c r="AB19" t="n">
        <v>0</v>
      </c>
      <c r="AC19" t="n">
        <v>57</v>
      </c>
      <c r="AD19" t="n">
        <v>3</v>
      </c>
    </row>
    <row r="20">
      <c r="A20" t="inlineStr">
        <is>
          <t>Barley</t>
        </is>
      </c>
      <c r="B20" t="inlineStr">
        <is>
          <t>Sown over 33.5 acres measured by the perch in the fields of la Hull' and Buttehegg', 16.5 quarters 2 bushels.</t>
        </is>
      </c>
      <c r="C20" t="n">
        <v>0</v>
      </c>
      <c r="D20" t="n">
        <v>0</v>
      </c>
      <c r="E20" t="n">
        <v>16.5</v>
      </c>
      <c r="F20" t="n">
        <v>2</v>
      </c>
      <c r="G20" t="n">
        <v>16.75</v>
      </c>
      <c r="H20" t="n">
        <v>0</v>
      </c>
      <c r="I20" t="n">
        <v>0</v>
      </c>
      <c r="J20" t="n">
        <v>0</v>
      </c>
      <c r="K20" t="n">
        <v>0</v>
      </c>
      <c r="L20" t="n">
        <v>0</v>
      </c>
      <c r="M20" t="n">
        <v>0</v>
      </c>
      <c r="N20" t="n">
        <v>0</v>
      </c>
      <c r="O20" t="n">
        <v>0</v>
      </c>
      <c r="P20" t="n">
        <v>0</v>
      </c>
      <c r="Q20" t="n">
        <v>0</v>
      </c>
      <c r="R20" t="n">
        <v>0</v>
      </c>
      <c r="S20" t="n">
        <v>0</v>
      </c>
      <c r="T20" t="n">
        <v>0</v>
      </c>
      <c r="U20" t="n">
        <v>0</v>
      </c>
      <c r="V20" t="n">
        <v>0</v>
      </c>
      <c r="W20" t="n">
        <v>0</v>
      </c>
      <c r="X20" t="n">
        <v>16.5</v>
      </c>
      <c r="Y20" t="n">
        <v>2</v>
      </c>
      <c r="Z20" t="n">
        <v>16.75</v>
      </c>
      <c r="AA20" t="n">
        <v>16.75</v>
      </c>
      <c r="AB20" t="n">
        <v>0</v>
      </c>
      <c r="AC20" t="n">
        <v>16.5</v>
      </c>
      <c r="AD20" t="n">
        <v>2</v>
      </c>
    </row>
    <row r="21">
      <c r="A21" t="inlineStr">
        <is>
          <t>Barley</t>
        </is>
      </c>
      <c r="B21" t="inlineStr">
        <is>
          <t>that is, 0.5 qr an acre.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row>
    <row r="22">
      <c r="A22" t="inlineStr">
        <is>
          <t>Barley</t>
        </is>
      </c>
      <c r="B22" t="inlineStr">
        <is>
          <t>Delivered to the hayward and carter for the year, 13 quarters, taking a quarter every 8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13</v>
      </c>
      <c r="Y22" t="n">
        <v>0</v>
      </c>
      <c r="Z22" t="n">
        <v>13</v>
      </c>
      <c r="AA22" t="n">
        <v>13</v>
      </c>
      <c r="AB22" t="n">
        <v>0</v>
      </c>
      <c r="AC22" t="n">
        <v>13</v>
      </c>
      <c r="AD22" t="n">
        <v>0</v>
      </c>
    </row>
    <row r="23">
      <c r="A23" t="inlineStr">
        <is>
          <t>Barley</t>
        </is>
      </c>
      <c r="B23" t="inlineStr">
        <is>
          <t>Delivered to 1 harrower, 4 bushels Delivered to 1 dairymaid from the Purification until Michaelmas, 2 quarters 2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2</v>
      </c>
      <c r="Y23" t="n">
        <v>2</v>
      </c>
      <c r="Z23" t="n">
        <v>2.25</v>
      </c>
      <c r="AA23" t="n">
        <v>0.5</v>
      </c>
      <c r="AB23" t="n">
        <v>1.75</v>
      </c>
      <c r="AC23" t="n">
        <v>0</v>
      </c>
      <c r="AD23" t="n">
        <v>4</v>
      </c>
      <c r="AE23" t="n">
        <v>2</v>
      </c>
      <c r="AF23" t="n">
        <v>2</v>
      </c>
    </row>
    <row r="24">
      <c r="A24" t="inlineStr">
        <is>
          <t>Barley</t>
        </is>
      </c>
      <c r="B24" t="inlineStr">
        <is>
          <t>customary payment to 1 keeper of ewes,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6</v>
      </c>
      <c r="Z24" t="n">
        <v>0.75</v>
      </c>
      <c r="AA24" t="n">
        <v>0.75</v>
      </c>
      <c r="AB24" t="n">
        <v>0</v>
      </c>
      <c r="AC24" t="n">
        <v>0</v>
      </c>
      <c r="AD24" t="n">
        <v>6</v>
      </c>
    </row>
    <row r="25">
      <c r="A25" t="inlineStr">
        <is>
          <t>Barley</t>
        </is>
      </c>
      <c r="B25" t="inlineStr">
        <is>
          <t>customary payment to 1 keeper of lambs this year, 6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6</v>
      </c>
      <c r="Z25" t="n">
        <v>0.75</v>
      </c>
      <c r="AA25" t="n">
        <v>0.75</v>
      </c>
      <c r="AB25" t="n">
        <v>0</v>
      </c>
      <c r="AC25" t="n">
        <v>0</v>
      </c>
      <c r="AD25" t="n">
        <v>6</v>
      </c>
    </row>
    <row r="26">
      <c r="A26" t="inlineStr">
        <is>
          <t>Barley</t>
        </is>
      </c>
      <c r="B26" t="inlineStr">
        <is>
          <t>customary payment to 1 swineherd this year because he was not outside the manor during mast, 6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6</v>
      </c>
      <c r="Z26" t="n">
        <v>0.75</v>
      </c>
      <c r="AA26" t="n">
        <v>0.75</v>
      </c>
      <c r="AB26" t="n">
        <v>0</v>
      </c>
      <c r="AC26" t="n">
        <v>0</v>
      </c>
      <c r="AD26" t="n">
        <v>6</v>
      </c>
    </row>
    <row r="27">
      <c r="A27" t="inlineStr">
        <is>
          <t>Barley</t>
        </is>
      </c>
      <c r="B27" t="inlineStr">
        <is>
          <t>supporting pigs and piglets, 1.5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1.5</v>
      </c>
      <c r="Y27" t="n">
        <v>0</v>
      </c>
      <c r="Z27" t="n">
        <v>1.5</v>
      </c>
      <c r="AA27" t="n">
        <v>1.5</v>
      </c>
      <c r="AB27" t="n">
        <v>0</v>
      </c>
      <c r="AC27" t="n">
        <v>1.5</v>
      </c>
      <c r="AD27" t="n">
        <v>0</v>
      </c>
    </row>
    <row r="28">
      <c r="A28" t="inlineStr">
        <is>
          <t>Barley</t>
        </is>
      </c>
      <c r="B28" t="inlineStr">
        <is>
          <t>Delivered to 1cowherd from the feast of St Vincent the Martyr (22 January) until Michaelmas (29 September), for 36 weeks, 3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0</v>
      </c>
      <c r="Z28" t="n">
        <v>3</v>
      </c>
      <c r="AA28" t="n">
        <v>3</v>
      </c>
      <c r="AB28" t="n">
        <v>0</v>
      </c>
      <c r="AC28" t="n">
        <v>3</v>
      </c>
      <c r="AD28" t="n">
        <v>0</v>
      </c>
    </row>
    <row r="29">
      <c r="A29" t="inlineStr">
        <is>
          <t>Barley</t>
        </is>
      </c>
      <c r="B29" t="inlineStr">
        <is>
          <t>Sold, 16 quarters 2 bushels</t>
        </is>
      </c>
      <c r="C29" t="n">
        <v>0</v>
      </c>
      <c r="D29" t="n">
        <v>0</v>
      </c>
      <c r="E29" t="n">
        <v>0</v>
      </c>
      <c r="F29" t="n">
        <v>0</v>
      </c>
      <c r="G29" t="n">
        <v>0</v>
      </c>
      <c r="H29" t="n">
        <v>0</v>
      </c>
      <c r="I29" t="n">
        <v>0</v>
      </c>
      <c r="J29" t="n">
        <v>0</v>
      </c>
      <c r="K29" t="n">
        <v>0</v>
      </c>
      <c r="L29" t="n">
        <v>0</v>
      </c>
      <c r="M29" t="n">
        <v>0</v>
      </c>
      <c r="N29" t="n">
        <v>0</v>
      </c>
      <c r="O29" t="n">
        <v>0</v>
      </c>
      <c r="P29" t="n">
        <v>0</v>
      </c>
      <c r="Q29" t="n">
        <v>16</v>
      </c>
      <c r="R29" t="n">
        <v>2</v>
      </c>
      <c r="S29" t="n">
        <v>16.25</v>
      </c>
      <c r="T29" t="n">
        <v>0</v>
      </c>
      <c r="U29" t="n">
        <v>0</v>
      </c>
      <c r="V29" t="n">
        <v>0</v>
      </c>
      <c r="W29" t="n">
        <v>0</v>
      </c>
      <c r="X29" t="n">
        <v>16</v>
      </c>
      <c r="Y29" t="n">
        <v>2</v>
      </c>
      <c r="Z29" t="n">
        <v>16.25</v>
      </c>
      <c r="AA29" t="n">
        <v>16.25</v>
      </c>
      <c r="AB29" t="n">
        <v>0</v>
      </c>
      <c r="AC29" t="n">
        <v>16</v>
      </c>
      <c r="AD29" t="n">
        <v>2</v>
      </c>
    </row>
    <row r="30">
      <c r="A30" t="inlineStr">
        <is>
          <t>Barley</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row>
    <row r="31">
      <c r="A31" t="inlineStr">
        <is>
          <t>Oats</t>
        </is>
      </c>
      <c r="B31" t="inlineStr">
        <is>
          <t>(yield: two-fold less 2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2</v>
      </c>
      <c r="Y31" t="n">
        <v>0</v>
      </c>
      <c r="Z31" t="n">
        <v>2</v>
      </c>
      <c r="AA31" t="n">
        <v>2</v>
      </c>
      <c r="AB31" t="n">
        <v>0</v>
      </c>
      <c r="AC31" t="n">
        <v>2</v>
      </c>
      <c r="AD31" t="n">
        <v>0</v>
      </c>
    </row>
    <row r="32">
      <c r="A32" t="inlineStr">
        <is>
          <t>Oats</t>
        </is>
      </c>
      <c r="B32" t="inlineStr">
        <is>
          <t>The same render account for 116 quarters 2 bushels from the whole issue of oats from the grange in the granary without heaped measure.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116</v>
      </c>
      <c r="U32" t="n">
        <v>2</v>
      </c>
      <c r="V32" t="n">
        <v>116.25</v>
      </c>
      <c r="W32" t="n">
        <v>0</v>
      </c>
      <c r="X32" t="n">
        <v>116</v>
      </c>
      <c r="Y32" t="n">
        <v>2</v>
      </c>
      <c r="Z32" t="n">
        <v>116.25</v>
      </c>
      <c r="AA32" t="n">
        <v>116.25</v>
      </c>
      <c r="AB32" t="n">
        <v>0</v>
      </c>
      <c r="AC32" t="n">
        <v>116</v>
      </c>
      <c r="AD32" t="n">
        <v>2</v>
      </c>
    </row>
    <row r="33">
      <c r="A33" t="inlineStr">
        <is>
          <t>Oats</t>
        </is>
      </c>
      <c r="B33" t="inlineStr">
        <is>
          <t>22 quarters by estimation in sheaves given to oxen.</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22</v>
      </c>
      <c r="Y33" t="n">
        <v>0</v>
      </c>
      <c r="Z33" t="n">
        <v>22</v>
      </c>
      <c r="AA33" t="n">
        <v>22</v>
      </c>
      <c r="AB33" t="n">
        <v>0</v>
      </c>
      <c r="AC33" t="n">
        <v>22</v>
      </c>
      <c r="AD33" t="n">
        <v>0</v>
      </c>
    </row>
    <row r="34">
      <c r="A34" t="inlineStr">
        <is>
          <t>Oats</t>
        </is>
      </c>
      <c r="B34" t="inlineStr">
        <is>
          <t>Total 138 quarters 2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138</v>
      </c>
      <c r="Y34" t="n">
        <v>2</v>
      </c>
      <c r="Z34" t="n">
        <v>138.25</v>
      </c>
      <c r="AA34" t="n">
        <v>138.25</v>
      </c>
      <c r="AB34" t="n">
        <v>0</v>
      </c>
      <c r="AC34" t="n">
        <v>138</v>
      </c>
      <c r="AD34" t="n">
        <v>2</v>
      </c>
    </row>
    <row r="35">
      <c r="A35" t="inlineStr">
        <is>
          <t>Oats</t>
        </is>
      </c>
      <c r="B35" t="inlineStr">
        <is>
          <t>Sown over 85.5 acres which lie in the fields of la Hull' and la Rud', 64 quarters.</t>
        </is>
      </c>
      <c r="C35" t="n">
        <v>0</v>
      </c>
      <c r="D35" t="n">
        <v>0</v>
      </c>
      <c r="E35" t="n">
        <v>64</v>
      </c>
      <c r="F35" t="n">
        <v>0</v>
      </c>
      <c r="G35" t="n">
        <v>64</v>
      </c>
      <c r="H35" t="n">
        <v>0</v>
      </c>
      <c r="I35" t="n">
        <v>0</v>
      </c>
      <c r="J35" t="n">
        <v>0</v>
      </c>
      <c r="K35" t="n">
        <v>0</v>
      </c>
      <c r="L35" t="n">
        <v>0</v>
      </c>
      <c r="M35" t="n">
        <v>0</v>
      </c>
      <c r="N35" t="n">
        <v>0</v>
      </c>
      <c r="O35" t="n">
        <v>0</v>
      </c>
      <c r="P35" t="n">
        <v>0</v>
      </c>
      <c r="Q35" t="n">
        <v>0</v>
      </c>
      <c r="R35" t="n">
        <v>0</v>
      </c>
      <c r="S35" t="n">
        <v>0</v>
      </c>
      <c r="T35" t="n">
        <v>0</v>
      </c>
      <c r="U35" t="n">
        <v>0</v>
      </c>
      <c r="V35" t="n">
        <v>0</v>
      </c>
      <c r="W35" t="n">
        <v>0</v>
      </c>
      <c r="X35" t="n">
        <v>64</v>
      </c>
      <c r="Y35" t="n">
        <v>0</v>
      </c>
      <c r="Z35" t="n">
        <v>64</v>
      </c>
      <c r="AA35" t="n">
        <v>64</v>
      </c>
      <c r="AB35" t="n">
        <v>0</v>
      </c>
      <c r="AC35" t="n">
        <v>64</v>
      </c>
      <c r="AD35" t="n">
        <v>0</v>
      </c>
    </row>
    <row r="36">
      <c r="A36" t="inlineStr">
        <is>
          <t>Oats</t>
        </is>
      </c>
      <c r="B36" t="inlineStr">
        <is>
          <t>that is, 6 bushels an acre, less 1 bushels in all.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1</v>
      </c>
      <c r="Z36" t="n">
        <v>0.125</v>
      </c>
      <c r="AA36" t="n">
        <v>0.75</v>
      </c>
      <c r="AB36" t="n">
        <v>-0.625</v>
      </c>
      <c r="AC36" t="n">
        <v>0</v>
      </c>
      <c r="AD36" t="n">
        <v>6</v>
      </c>
      <c r="AE36" t="n">
        <v>0</v>
      </c>
      <c r="AF36" t="n">
        <v>1</v>
      </c>
    </row>
    <row r="37">
      <c r="A37" t="inlineStr">
        <is>
          <t>Oats</t>
        </is>
      </c>
      <c r="B37" t="inlineStr">
        <is>
          <t>.</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Oats</t>
        </is>
      </c>
      <c r="B38" t="inlineStr">
        <is>
          <t>.</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Oats</t>
        </is>
      </c>
      <c r="B39" t="inlineStr">
        <is>
          <t>fodder of 2 cart-horses and 8 plough-horses helping them at the horse-ploughs at the time of the summer sowing because they ploughed before and after dinner and carried dung when they were not at the ploughs, 9 quarters 6 bushels.</t>
        </is>
      </c>
      <c r="C39" t="n">
        <v>0</v>
      </c>
      <c r="D39" t="n">
        <v>0</v>
      </c>
      <c r="E39" t="n">
        <v>0</v>
      </c>
      <c r="F39" t="n">
        <v>0</v>
      </c>
      <c r="G39" t="n">
        <v>0</v>
      </c>
      <c r="H39" t="n">
        <v>0</v>
      </c>
      <c r="I39" t="n">
        <v>0</v>
      </c>
      <c r="J39" t="n">
        <v>0</v>
      </c>
      <c r="K39" t="n">
        <v>0</v>
      </c>
      <c r="L39" t="n">
        <v>0</v>
      </c>
      <c r="M39" t="n">
        <v>0</v>
      </c>
      <c r="N39" t="n">
        <v>9</v>
      </c>
      <c r="O39" t="n">
        <v>6</v>
      </c>
      <c r="P39" t="n">
        <v>9.75</v>
      </c>
      <c r="Q39" t="n">
        <v>0</v>
      </c>
      <c r="R39" t="n">
        <v>0</v>
      </c>
      <c r="S39" t="n">
        <v>0</v>
      </c>
      <c r="T39" t="n">
        <v>0</v>
      </c>
      <c r="U39" t="n">
        <v>0</v>
      </c>
      <c r="V39" t="n">
        <v>0</v>
      </c>
      <c r="W39" t="n">
        <v>0</v>
      </c>
      <c r="X39" t="n">
        <v>9</v>
      </c>
      <c r="Y39" t="n">
        <v>6</v>
      </c>
      <c r="Z39" t="n">
        <v>9.75</v>
      </c>
      <c r="AA39" t="n">
        <v>9.75</v>
      </c>
      <c r="AB39" t="n">
        <v>0</v>
      </c>
      <c r="AC39" t="n">
        <v>9</v>
      </c>
      <c r="AD39" t="n">
        <v>6</v>
      </c>
    </row>
    <row r="40">
      <c r="A40" t="inlineStr">
        <is>
          <t>Oats</t>
        </is>
      </c>
      <c r="B40" t="inlineStr">
        <is>
          <t>fodder of oxen by estimation in sheaves, 22 quarters.</t>
        </is>
      </c>
      <c r="C40" t="n">
        <v>0</v>
      </c>
      <c r="D40" t="n">
        <v>0</v>
      </c>
      <c r="E40" t="n">
        <v>0</v>
      </c>
      <c r="F40" t="n">
        <v>0</v>
      </c>
      <c r="G40" t="n">
        <v>0</v>
      </c>
      <c r="H40" t="n">
        <v>0</v>
      </c>
      <c r="I40" t="n">
        <v>0</v>
      </c>
      <c r="J40" t="n">
        <v>0</v>
      </c>
      <c r="K40" t="n">
        <v>0</v>
      </c>
      <c r="L40" t="n">
        <v>0</v>
      </c>
      <c r="M40" t="n">
        <v>0</v>
      </c>
      <c r="N40" t="n">
        <v>22</v>
      </c>
      <c r="O40" t="n">
        <v>0</v>
      </c>
      <c r="P40" t="n">
        <v>22</v>
      </c>
      <c r="Q40" t="n">
        <v>0</v>
      </c>
      <c r="R40" t="n">
        <v>0</v>
      </c>
      <c r="S40" t="n">
        <v>0</v>
      </c>
      <c r="T40" t="n">
        <v>0</v>
      </c>
      <c r="U40" t="n">
        <v>0</v>
      </c>
      <c r="V40" t="n">
        <v>0</v>
      </c>
      <c r="W40" t="n">
        <v>0</v>
      </c>
      <c r="X40" t="n">
        <v>22</v>
      </c>
      <c r="Y40" t="n">
        <v>0</v>
      </c>
      <c r="Z40" t="n">
        <v>22</v>
      </c>
      <c r="AA40" t="n">
        <v>22</v>
      </c>
      <c r="AB40" t="n">
        <v>0</v>
      </c>
      <c r="AC40" t="n">
        <v>22</v>
      </c>
      <c r="AD40" t="n">
        <v>0</v>
      </c>
    </row>
    <row r="41">
      <c r="A41" t="inlineStr">
        <is>
          <t>Oats</t>
        </is>
      </c>
      <c r="B41" t="inlineStr">
        <is>
          <t>.</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row>
    <row r="42">
      <c r="A42" t="inlineStr">
        <is>
          <t>Oats</t>
        </is>
      </c>
      <c r="B42" t="inlineStr">
        <is>
          <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Oats</t>
        </is>
      </c>
      <c r="B43" t="inlineStr">
        <is>
          <t>fodder of the horses of Simon, clerk, 2 bushels Sold, 32 quarters.</t>
        </is>
      </c>
      <c r="C43" t="n">
        <v>0</v>
      </c>
      <c r="D43" t="n">
        <v>0</v>
      </c>
      <c r="E43" t="n">
        <v>0</v>
      </c>
      <c r="F43" t="n">
        <v>0</v>
      </c>
      <c r="G43" t="n">
        <v>0</v>
      </c>
      <c r="H43" t="n">
        <v>0</v>
      </c>
      <c r="I43" t="n">
        <v>0</v>
      </c>
      <c r="J43" t="n">
        <v>0</v>
      </c>
      <c r="K43" t="n">
        <v>0</v>
      </c>
      <c r="L43" t="n">
        <v>0</v>
      </c>
      <c r="M43" t="n">
        <v>0</v>
      </c>
      <c r="N43" t="n">
        <v>32</v>
      </c>
      <c r="O43" t="n">
        <v>0</v>
      </c>
      <c r="P43" t="n">
        <v>32</v>
      </c>
      <c r="Q43" t="n">
        <v>32</v>
      </c>
      <c r="R43" t="n">
        <v>0</v>
      </c>
      <c r="S43" t="n">
        <v>32</v>
      </c>
      <c r="T43" t="n">
        <v>0</v>
      </c>
      <c r="U43" t="n">
        <v>0</v>
      </c>
      <c r="V43" t="n">
        <v>0</v>
      </c>
      <c r="W43" t="n">
        <v>0</v>
      </c>
      <c r="X43" t="n">
        <v>32</v>
      </c>
      <c r="Y43" t="n">
        <v>2</v>
      </c>
      <c r="Z43" t="n">
        <v>32.25</v>
      </c>
      <c r="AA43" t="n">
        <v>0.25</v>
      </c>
      <c r="AB43" t="n">
        <v>32</v>
      </c>
      <c r="AC43" t="n">
        <v>0</v>
      </c>
      <c r="AD43" t="n">
        <v>2</v>
      </c>
      <c r="AE43" t="n">
        <v>32</v>
      </c>
      <c r="AF43" t="n">
        <v>0</v>
      </c>
    </row>
    <row r="44">
      <c r="A44" t="inlineStr">
        <is>
          <t>Oats</t>
        </is>
      </c>
      <c r="B44" t="inlineStr">
        <is>
          <t>Sold at the audit, 6 quarters 2 bushels</t>
        </is>
      </c>
      <c r="C44" t="n">
        <v>0</v>
      </c>
      <c r="D44" t="n">
        <v>0</v>
      </c>
      <c r="E44" t="n">
        <v>0</v>
      </c>
      <c r="F44" t="n">
        <v>0</v>
      </c>
      <c r="G44" t="n">
        <v>0</v>
      </c>
      <c r="H44" t="n">
        <v>0</v>
      </c>
      <c r="I44" t="n">
        <v>0</v>
      </c>
      <c r="J44" t="n">
        <v>0</v>
      </c>
      <c r="K44" t="n">
        <v>0</v>
      </c>
      <c r="L44" t="n">
        <v>0</v>
      </c>
      <c r="M44" t="n">
        <v>0</v>
      </c>
      <c r="N44" t="n">
        <v>0</v>
      </c>
      <c r="O44" t="n">
        <v>0</v>
      </c>
      <c r="P44" t="n">
        <v>0</v>
      </c>
      <c r="Q44" t="n">
        <v>6</v>
      </c>
      <c r="R44" t="n">
        <v>2</v>
      </c>
      <c r="S44" t="n">
        <v>6.25</v>
      </c>
      <c r="T44" t="n">
        <v>0</v>
      </c>
      <c r="U44" t="n">
        <v>0</v>
      </c>
      <c r="V44" t="n">
        <v>0</v>
      </c>
      <c r="W44" t="n">
        <v>0</v>
      </c>
      <c r="X44" t="n">
        <v>6</v>
      </c>
      <c r="Y44" t="n">
        <v>2</v>
      </c>
      <c r="Z44" t="n">
        <v>6.25</v>
      </c>
      <c r="AA44" t="n">
        <v>6.25</v>
      </c>
      <c r="AB44" t="n">
        <v>0</v>
      </c>
      <c r="AC44" t="n">
        <v>6</v>
      </c>
      <c r="AD44" t="n">
        <v>2</v>
      </c>
    </row>
    <row r="45">
      <c r="A45" t="inlineStr">
        <is>
          <t>Oats</t>
        </is>
      </c>
      <c r="B45" t="inlineStr">
        <is>
          <t>Total</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row>
    <row r="46">
      <c r="A46" t="inlineStr">
        <is>
          <t>Peas</t>
        </is>
      </c>
      <c r="B46" t="inlineStr">
        <is>
          <t>(yield: two-fold plus 2 bushels)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2</v>
      </c>
      <c r="Z46" t="n">
        <v>0.25</v>
      </c>
      <c r="AA46" t="n">
        <v>0.25</v>
      </c>
      <c r="AB46" t="n">
        <v>0</v>
      </c>
      <c r="AC46" t="n">
        <v>0</v>
      </c>
      <c r="AD46" t="n">
        <v>2</v>
      </c>
    </row>
    <row r="47">
      <c r="A47" t="inlineStr">
        <is>
          <t>Peas</t>
        </is>
      </c>
      <c r="B47" t="inlineStr">
        <is>
          <t>The same render account for 2.5 quarters from the whole issue of peas without heaped measure.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2.5</v>
      </c>
      <c r="U47" t="n">
        <v>0</v>
      </c>
      <c r="V47" t="n">
        <v>2.5</v>
      </c>
      <c r="W47" t="n">
        <v>0</v>
      </c>
      <c r="X47" t="n">
        <v>2.5</v>
      </c>
      <c r="Y47" t="n">
        <v>0</v>
      </c>
      <c r="Z47" t="n">
        <v>2.5</v>
      </c>
      <c r="AA47" t="n">
        <v>2.5</v>
      </c>
      <c r="AB47" t="n">
        <v>0</v>
      </c>
      <c r="AC47" t="n">
        <v>2.5</v>
      </c>
      <c r="AD47" t="n">
        <v>0</v>
      </c>
    </row>
    <row r="48">
      <c r="A48" t="inlineStr">
        <is>
          <t>Peas</t>
        </is>
      </c>
      <c r="B48" t="inlineStr">
        <is>
          <t>Sown, 5 bushels Mixed with barley for the liveries of the manorial servants, 7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7</v>
      </c>
      <c r="Z48" t="n">
        <v>0.875</v>
      </c>
      <c r="AA48" t="n">
        <v>0.625</v>
      </c>
      <c r="AB48" t="n">
        <v>0.25</v>
      </c>
      <c r="AC48" t="n">
        <v>0</v>
      </c>
      <c r="AD48" t="n">
        <v>5</v>
      </c>
      <c r="AE48" t="n">
        <v>0</v>
      </c>
      <c r="AF48" t="n">
        <v>7</v>
      </c>
    </row>
    <row r="49">
      <c r="A49" t="inlineStr">
        <is>
          <t>Peas</t>
        </is>
      </c>
      <c r="B49" t="inlineStr">
        <is>
          <t>supporting pigs, 5 bushels Sold, 3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3</v>
      </c>
      <c r="Z49" t="n">
        <v>0.375</v>
      </c>
      <c r="AA49" t="n">
        <v>0.625</v>
      </c>
      <c r="AB49" t="n">
        <v>-0.25</v>
      </c>
      <c r="AC49" t="n">
        <v>0</v>
      </c>
      <c r="AD49" t="n">
        <v>5</v>
      </c>
      <c r="AE49" t="n">
        <v>0</v>
      </c>
      <c r="AF49" t="n">
        <v>3</v>
      </c>
    </row>
    <row r="50">
      <c r="A50" t="inlineStr">
        <is>
          <t>Peas</t>
        </is>
      </c>
      <c r="B50" t="inlineStr">
        <is>
          <t>Total</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row>
    <row r="51">
      <c r="A51" t="inlineStr">
        <is>
          <t>Vetches</t>
        </is>
      </c>
      <c r="B51" t="inlineStr">
        <is>
          <t>(yield: two-fold plus 1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1</v>
      </c>
      <c r="Z51" t="n">
        <v>0.125</v>
      </c>
      <c r="AA51" t="n">
        <v>0.125</v>
      </c>
      <c r="AB51" t="n">
        <v>0</v>
      </c>
      <c r="AC51" t="n">
        <v>0</v>
      </c>
      <c r="AD51" t="n">
        <v>1</v>
      </c>
    </row>
    <row r="52">
      <c r="A52" t="inlineStr">
        <is>
          <t>Vetches</t>
        </is>
      </c>
      <c r="B52" t="inlineStr">
        <is>
          <t>The same render account for 2 quarters 1 bushels from the whole issue of vetches.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2</v>
      </c>
      <c r="U52" t="n">
        <v>1</v>
      </c>
      <c r="V52" t="n">
        <v>2.125</v>
      </c>
      <c r="W52" t="n">
        <v>0</v>
      </c>
      <c r="X52" t="n">
        <v>2</v>
      </c>
      <c r="Y52" t="n">
        <v>1</v>
      </c>
      <c r="Z52" t="n">
        <v>2.125</v>
      </c>
      <c r="AA52" t="n">
        <v>2.125</v>
      </c>
      <c r="AB52" t="n">
        <v>0</v>
      </c>
      <c r="AC52" t="n">
        <v>2</v>
      </c>
      <c r="AD52" t="n">
        <v>1</v>
      </c>
    </row>
    <row r="53">
      <c r="A53" t="inlineStr">
        <is>
          <t>Vetches</t>
        </is>
      </c>
      <c r="B53" t="inlineStr">
        <is>
          <t>Sown, 1.5 quarters.</t>
        </is>
      </c>
      <c r="C53" t="n">
        <v>0</v>
      </c>
      <c r="D53" t="n">
        <v>0</v>
      </c>
      <c r="E53" t="n">
        <v>1.5</v>
      </c>
      <c r="F53" t="n">
        <v>0</v>
      </c>
      <c r="G53" t="n">
        <v>1.5</v>
      </c>
      <c r="H53" t="n">
        <v>0</v>
      </c>
      <c r="I53" t="n">
        <v>0</v>
      </c>
      <c r="J53" t="n">
        <v>0</v>
      </c>
      <c r="K53" t="n">
        <v>0</v>
      </c>
      <c r="L53" t="n">
        <v>0</v>
      </c>
      <c r="M53" t="n">
        <v>0</v>
      </c>
      <c r="N53" t="n">
        <v>0</v>
      </c>
      <c r="O53" t="n">
        <v>0</v>
      </c>
      <c r="P53" t="n">
        <v>0</v>
      </c>
      <c r="Q53" t="n">
        <v>0</v>
      </c>
      <c r="R53" t="n">
        <v>0</v>
      </c>
      <c r="S53" t="n">
        <v>0</v>
      </c>
      <c r="T53" t="n">
        <v>0</v>
      </c>
      <c r="U53" t="n">
        <v>0</v>
      </c>
      <c r="V53" t="n">
        <v>0</v>
      </c>
      <c r="W53" t="n">
        <v>0</v>
      </c>
      <c r="X53" t="n">
        <v>1.5</v>
      </c>
      <c r="Y53" t="n">
        <v>0</v>
      </c>
      <c r="Z53" t="n">
        <v>1.5</v>
      </c>
      <c r="AA53" t="n">
        <v>1.5</v>
      </c>
      <c r="AB53" t="n">
        <v>0</v>
      </c>
      <c r="AC53" t="n">
        <v>1.5</v>
      </c>
      <c r="AD53" t="n">
        <v>0</v>
      </c>
    </row>
    <row r="54">
      <c r="A54" t="inlineStr">
        <is>
          <t>Vetches</t>
        </is>
      </c>
      <c r="B54" t="inlineStr">
        <is>
          <t>Sold, 5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5</v>
      </c>
      <c r="Z54" t="n">
        <v>0.625</v>
      </c>
      <c r="AA54" t="n">
        <v>0.625</v>
      </c>
      <c r="AB54" t="n">
        <v>0</v>
      </c>
      <c r="AC54" t="n">
        <v>0</v>
      </c>
      <c r="AD54" t="n">
        <v>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1"/>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2025-12-18T10:16:57Z</dcterms:modified>
  <cp:lastModifiedBy>Kowalski, Kuba</cp:lastModifiedBy>
</cp:coreProperties>
</file>
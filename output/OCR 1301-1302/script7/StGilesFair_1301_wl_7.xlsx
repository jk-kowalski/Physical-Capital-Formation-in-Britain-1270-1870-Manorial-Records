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StGilesFair Overview - Completed" sheetId="1" state="visible" r:id="rId1"/>
    <sheet xmlns:r="http://schemas.openxmlformats.org/officeDocument/2006/relationships" name="Prices" sheetId="2" state="visible" r:id="rId2"/>
    <sheet xmlns:r="http://schemas.openxmlformats.org/officeDocument/2006/relationships" name="Labour Rents" sheetId="3" state="visible" r:id="rId3"/>
    <sheet xmlns:r="http://schemas.openxmlformats.org/officeDocument/2006/relationships" name="Overview" sheetId="4" state="visible" r:id="rId4"/>
    <sheet xmlns:r="http://schemas.openxmlformats.org/officeDocument/2006/relationships" name="Receipts" sheetId="5" state="visible" r:id="rId5"/>
    <sheet xmlns:r="http://schemas.openxmlformats.org/officeDocument/2006/relationships" name="Expenses" sheetId="6" state="visible" r:id="rId6"/>
    <sheet xmlns:r="http://schemas.openxmlformats.org/officeDocument/2006/relationships" name="Issues of the Grange" sheetId="7" state="visible" r:id="rId7"/>
    <sheet xmlns:r="http://schemas.openxmlformats.org/officeDocument/2006/relationships" name="Issues of the Mills" sheetId="8" state="visible" r:id="rId8"/>
    <sheet xmlns:r="http://schemas.openxmlformats.org/officeDocument/2006/relationships" name="Stock" sheetId="9" state="visible" r:id="rId9"/>
    <sheet xmlns:r="http://schemas.openxmlformats.org/officeDocument/2006/relationships" name="raw data" sheetId="10" state="visible" r:id="rId10"/>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31">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
      <name val="Calibri"/>
      <family val="2"/>
      <color rgb="FFFF0000"/>
      <sz val="11"/>
      <scheme val="minor"/>
    </font>
    <font>
      <name val="Calibri (Body)"/>
      <b val="1"/>
      <color rgb="FFFF0000"/>
      <sz val="11"/>
    </font>
    <font>
      <name val="Calibri (Body)"/>
      <color rgb="FFFF0000"/>
      <sz val="11"/>
    </font>
  </fonts>
  <fills count="11">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s>
  <borders count="17">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132">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2" fontId="9" fillId="0" borderId="0" applyAlignment="1" pivotButton="0" quotePrefix="0" xfId="0">
      <alignment horizontal="center"/>
    </xf>
    <xf numFmtId="2" fontId="11" fillId="0" borderId="0" applyAlignment="1" pivotButton="0" quotePrefix="0" xfId="0">
      <alignment horizontal="center" vertical="top"/>
    </xf>
    <xf numFmtId="2" fontId="28" fillId="0" borderId="0" pivotButton="0" quotePrefix="0" xfId="0"/>
    <xf numFmtId="0" fontId="29" fillId="0" borderId="0" applyAlignment="1" pivotButton="0" quotePrefix="0" xfId="0">
      <alignment horizontal="center" vertical="top"/>
    </xf>
    <xf numFmtId="0" fontId="3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STGILESFAIR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c r="D4" s="13" t="n"/>
      <c r="E4" s="13" t="n"/>
    </row>
    <row r="5">
      <c r="A5" s="15" t="inlineStr">
        <is>
          <t>Rents of assize total</t>
        </is>
      </c>
      <c r="B5" s="76" t="n"/>
    </row>
    <row r="6">
      <c r="A6" s="15" t="inlineStr">
        <is>
          <t>Quittances total</t>
        </is>
      </c>
      <c r="B6" s="76" t="n"/>
    </row>
    <row r="7">
      <c r="A7" s="15" t="inlineStr">
        <is>
          <t>Defaults of rent total</t>
        </is>
      </c>
      <c r="B7" s="76" t="n"/>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row>
    <row r="12">
      <c r="A12" s="76" t="inlineStr">
        <is>
          <t>Total of rents remaining clear total</t>
        </is>
      </c>
      <c r="B12" s="76" t="n"/>
    </row>
    <row r="13">
      <c r="A13" s="76" t="inlineStr">
        <is>
          <t>Farms total</t>
        </is>
      </c>
      <c r="B13" s="76" t="n"/>
    </row>
    <row r="14">
      <c r="A14" s="15" t="inlineStr">
        <is>
          <t>Annual recognizances total</t>
        </is>
      </c>
      <c r="B14" s="76" t="n"/>
    </row>
    <row r="15">
      <c r="A15" s="15" t="inlineStr">
        <is>
          <t>Issues of the Manor total</t>
        </is>
      </c>
      <c r="B15" s="76" t="n"/>
    </row>
    <row r="16">
      <c r="A16" s="76" t="inlineStr">
        <is>
          <t>Issues of the tenements in the lord's hands total</t>
        </is>
      </c>
      <c r="B16" s="76" t="n"/>
    </row>
    <row r="17">
      <c r="A17" s="76" t="inlineStr">
        <is>
          <t>Sale of labour services total</t>
        </is>
      </c>
      <c r="B17" s="76" t="n"/>
    </row>
    <row r="18">
      <c r="A18" s="15" t="inlineStr">
        <is>
          <t>Sale of corn total</t>
        </is>
      </c>
      <c r="B18" s="76" t="n"/>
    </row>
    <row r="19">
      <c r="A19" s="15" t="inlineStr">
        <is>
          <t>Entry and marriage fines total</t>
        </is>
      </c>
      <c r="B19" s="76" t="n"/>
    </row>
    <row r="20">
      <c r="A20" s="15" t="inlineStr">
        <is>
          <t>Pleas &amp; perquisites total</t>
        </is>
      </c>
      <c r="B20" s="76" t="n"/>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SUM(B5:B22)</f>
        <v/>
      </c>
      <c r="C23" s="80" t="n"/>
    </row>
    <row r="24">
      <c r="A24" s="82" t="inlineStr">
        <is>
          <t>Total of all receipts (calculated here) incl arrears</t>
        </is>
      </c>
      <c r="B24">
        <f>SUM(B4:B22)</f>
        <v/>
      </c>
      <c r="D24" s="13" t="n"/>
      <c r="E24" s="13" t="n"/>
    </row>
    <row r="25">
      <c r="A25" s="83" t="inlineStr">
        <is>
          <t>Total recorded in the accounts excl. arrears</t>
        </is>
      </c>
      <c r="B25" s="76" t="n"/>
      <c r="C25" s="10">
        <f>B23-B25</f>
        <v/>
      </c>
    </row>
    <row r="26">
      <c r="A26" s="83" t="inlineStr">
        <is>
          <t>Total recorded in the accounts incl. arrears</t>
        </is>
      </c>
      <c r="B26">
        <f>B25+B4</f>
        <v/>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t="n"/>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row>
    <row r="43">
      <c r="A43" s="85" t="inlineStr">
        <is>
          <t>Annual fees</t>
        </is>
      </c>
      <c r="B43" s="86" t="n"/>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row>
    <row r="51">
      <c r="A51" s="15" t="n"/>
    </row>
    <row r="52">
      <c r="A52" s="18" t="inlineStr">
        <is>
          <t>Allowances</t>
        </is>
      </c>
      <c r="B52" s="84" t="n"/>
    </row>
    <row r="53">
      <c r="A53" s="18" t="inlineStr">
        <is>
          <t>Cash deliveries</t>
        </is>
      </c>
      <c r="B53" s="84" t="n"/>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F62" s="13" t="n"/>
    </row>
    <row r="63">
      <c r="A63" s="76" t="inlineStr">
        <is>
          <t>Rye</t>
        </is>
      </c>
      <c r="F63" s="13" t="n"/>
    </row>
    <row r="64">
      <c r="A64" s="76" t="inlineStr">
        <is>
          <t>Dredge</t>
        </is>
      </c>
      <c r="F64" s="13" t="n"/>
    </row>
    <row r="65">
      <c r="A65" s="76" t="inlineStr">
        <is>
          <t>Curall</t>
        </is>
      </c>
      <c r="F65" s="13" t="n"/>
    </row>
    <row r="66">
      <c r="A66" s="76" t="inlineStr">
        <is>
          <t>Barley</t>
        </is>
      </c>
      <c r="F66" s="13" t="n"/>
    </row>
    <row r="67">
      <c r="A67" s="76" t="inlineStr">
        <is>
          <t>Oats</t>
        </is>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t="n"/>
      <c r="C71" s="94" t="n"/>
      <c r="D71" s="93" t="n"/>
      <c r="E71" s="93" t="n"/>
    </row>
    <row r="72">
      <c r="A72" s="17" t="inlineStr">
        <is>
          <t>Total value of net production</t>
        </is>
      </c>
      <c r="B72" s="93" t="n"/>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c r="C87" s="76" t="n"/>
      <c r="D87" s="76">
        <f>C87-B87</f>
        <v/>
      </c>
      <c r="F87" s="84">
        <f>'Stock'!K5*'Stock'!O5</f>
        <v/>
      </c>
      <c r="G87" s="84">
        <f>D87*'Stock'!O5</f>
        <v/>
      </c>
    </row>
    <row r="88">
      <c r="A88" s="22" t="inlineStr">
        <is>
          <t>Mares</t>
        </is>
      </c>
      <c r="B88" s="76" t="n"/>
      <c r="C88" s="76" t="n"/>
      <c r="D88" s="76">
        <f>C88-B88</f>
        <v/>
      </c>
      <c r="F88" s="84">
        <f>'Stock'!K6*'Stock'!O6</f>
        <v/>
      </c>
      <c r="G88" s="84">
        <f>D88*'Stock'!O6</f>
        <v/>
      </c>
    </row>
    <row r="89">
      <c r="A89" s="15" t="inlineStr">
        <is>
          <t>Plough horses</t>
        </is>
      </c>
      <c r="B89" s="76" t="n"/>
      <c r="C89" s="76" t="n"/>
      <c r="D89" s="76">
        <f>C89-B89</f>
        <v/>
      </c>
      <c r="F89" s="84">
        <f>'Stock'!K7*'Stock'!O7</f>
        <v/>
      </c>
      <c r="G89" s="84">
        <f>D89*'Stock'!O7</f>
        <v/>
      </c>
    </row>
    <row r="90">
      <c r="A90" s="15" t="inlineStr">
        <is>
          <t>Colts (2 years)</t>
        </is>
      </c>
      <c r="B90" s="76" t="n"/>
      <c r="C90" s="76" t="n"/>
      <c r="D90" s="76">
        <f>C90-B90</f>
        <v/>
      </c>
      <c r="F90" s="84">
        <f>'Stock'!K8*'Stock'!O8</f>
        <v/>
      </c>
      <c r="G90" s="84">
        <f>D90*'Stock'!O8</f>
        <v/>
      </c>
    </row>
    <row r="91">
      <c r="A91" s="15" t="inlineStr">
        <is>
          <t>Colts (2 years)</t>
        </is>
      </c>
      <c r="B91" s="76" t="n"/>
      <c r="C91" s="76" t="n"/>
      <c r="D91" s="76">
        <f>C91-B91</f>
        <v/>
      </c>
      <c r="F91" s="84">
        <f>'Stock'!K9*'Stock'!O9</f>
        <v/>
      </c>
      <c r="G91" s="84">
        <f>D91*'Stock'!O9</f>
        <v/>
      </c>
    </row>
    <row r="92">
      <c r="A92" s="15" t="inlineStr">
        <is>
          <t>Colts (1 year)</t>
        </is>
      </c>
      <c r="B92" s="76" t="n"/>
      <c r="C92" s="76" t="n"/>
      <c r="D92" s="76">
        <f>C92-B92</f>
        <v/>
      </c>
      <c r="F92" s="84">
        <f>'Stock'!K10*'Stock'!O10</f>
        <v/>
      </c>
      <c r="G92" s="84">
        <f>D92*'Stock'!O10</f>
        <v/>
      </c>
    </row>
    <row r="93">
      <c r="A93" s="15" t="inlineStr">
        <is>
          <t>Foals</t>
        </is>
      </c>
      <c r="B93" s="76" t="n"/>
      <c r="C93" s="76" t="n"/>
      <c r="D93" s="76">
        <f>C93-B93</f>
        <v/>
      </c>
      <c r="F93" s="84">
        <f>'Stock'!K11*'Stock'!O11</f>
        <v/>
      </c>
      <c r="G93" s="84">
        <f>D93*'Stock'!O11</f>
        <v/>
      </c>
    </row>
    <row r="94">
      <c r="A94" s="15" t="inlineStr">
        <is>
          <t>Oxen</t>
        </is>
      </c>
      <c r="B94" s="76" t="n"/>
      <c r="C94" s="76" t="n"/>
      <c r="D94" s="76">
        <f>C94-B94</f>
        <v/>
      </c>
      <c r="F94" s="84">
        <f>'Stock'!K12*'Stock'!O12</f>
        <v/>
      </c>
      <c r="G94" s="84">
        <f>D94*'Stock'!O12</f>
        <v/>
      </c>
    </row>
    <row r="95">
      <c r="A95" s="15" t="inlineStr">
        <is>
          <t>Bulls</t>
        </is>
      </c>
      <c r="B95" s="76" t="n"/>
      <c r="C95" s="76" t="n"/>
      <c r="D95" s="76">
        <f>C95-B95</f>
        <v/>
      </c>
      <c r="F95" s="84">
        <f>'Stock'!K13*'Stock'!O13</f>
        <v/>
      </c>
      <c r="G95" s="84">
        <f>D95*'Stock'!O13</f>
        <v/>
      </c>
    </row>
    <row r="96">
      <c r="A96" s="15" t="inlineStr">
        <is>
          <t>Cows</t>
        </is>
      </c>
      <c r="B96" s="76" t="n"/>
      <c r="C96" s="76" t="n"/>
      <c r="D96" s="76">
        <f>C96-B96</f>
        <v/>
      </c>
      <c r="F96" s="84">
        <f>'Stock'!K14*'Stock'!O14</f>
        <v/>
      </c>
      <c r="G96" s="84">
        <f>D96*'Stock'!O14</f>
        <v/>
      </c>
    </row>
    <row r="97">
      <c r="A97" s="15" t="inlineStr">
        <is>
          <t>Steers</t>
        </is>
      </c>
      <c r="B97" s="76" t="n"/>
      <c r="C97" s="76" t="n"/>
      <c r="D97" s="76">
        <f>C97-B97</f>
        <v/>
      </c>
      <c r="F97" s="84">
        <f>'Stock'!K15*'Stock'!O15</f>
        <v/>
      </c>
      <c r="G97" s="84">
        <f>D97*'Stock'!O15</f>
        <v/>
      </c>
    </row>
    <row r="98">
      <c r="A98" s="15" t="inlineStr">
        <is>
          <t>Bullocks</t>
        </is>
      </c>
      <c r="B98" s="76" t="n"/>
      <c r="C98" s="76" t="n"/>
      <c r="D98" s="76">
        <f>C98-B98</f>
        <v/>
      </c>
      <c r="F98" s="84">
        <f>'Stock'!K16*'Stock'!O16</f>
        <v/>
      </c>
      <c r="G98" s="84">
        <f>D98*'Stock'!O16</f>
        <v/>
      </c>
    </row>
    <row r="99">
      <c r="A99" s="15" t="inlineStr">
        <is>
          <t>Yearlings</t>
        </is>
      </c>
      <c r="B99" s="76" t="n"/>
      <c r="C99" s="76" t="n"/>
      <c r="D99" s="76">
        <f>C99-B99</f>
        <v/>
      </c>
      <c r="F99" s="84">
        <f>'Stock'!K17*'Stock'!O17</f>
        <v/>
      </c>
      <c r="G99" s="84">
        <f>D99*'Stock'!O17</f>
        <v/>
      </c>
    </row>
    <row r="100">
      <c r="A100" s="15" t="inlineStr">
        <is>
          <t>Calves</t>
        </is>
      </c>
      <c r="B100" s="76" t="n"/>
      <c r="C100" s="76" t="n"/>
      <c r="D100" s="76">
        <f>C100-B100</f>
        <v/>
      </c>
      <c r="F100" s="84">
        <f>'Stock'!K18*'Stock'!O18</f>
        <v/>
      </c>
      <c r="G100" s="84">
        <f>D100*'Stock'!O18</f>
        <v/>
      </c>
    </row>
    <row r="101">
      <c r="A101" s="15" t="inlineStr">
        <is>
          <t>Wethers</t>
        </is>
      </c>
      <c r="B101" s="76" t="n"/>
      <c r="C101" s="76" t="n"/>
      <c r="D101" s="76">
        <f>C101-B101</f>
        <v/>
      </c>
      <c r="F101" s="84">
        <f>'Stock'!K19*'Stock'!O19</f>
        <v/>
      </c>
      <c r="G101" s="84">
        <f>D101*'Stock'!O19</f>
        <v/>
      </c>
    </row>
    <row r="102">
      <c r="A102" s="15" t="inlineStr">
        <is>
          <t>Rams</t>
        </is>
      </c>
      <c r="B102" s="76" t="n"/>
      <c r="C102" s="76" t="n"/>
      <c r="D102" s="76">
        <f>C102-B102</f>
        <v/>
      </c>
      <c r="F102" s="84">
        <f>'Stock'!K20*'Stock'!O20</f>
        <v/>
      </c>
      <c r="G102" s="84">
        <f>D102*'Stock'!O20</f>
        <v/>
      </c>
    </row>
    <row r="103">
      <c r="A103" s="15" t="inlineStr">
        <is>
          <t>Ewes</t>
        </is>
      </c>
      <c r="B103" s="76" t="n"/>
      <c r="C103" s="76" t="n"/>
      <c r="D103" s="76">
        <f>C103-B103</f>
        <v/>
      </c>
      <c r="F103" s="84">
        <f>'Stock'!K21*'Stock'!O21</f>
        <v/>
      </c>
      <c r="G103" s="84">
        <f>D103*'Stock'!O21</f>
        <v/>
      </c>
    </row>
    <row r="104">
      <c r="A104" s="15" t="inlineStr">
        <is>
          <t>Hoggs</t>
        </is>
      </c>
      <c r="B104" s="76" t="n"/>
      <c r="C104" s="76" t="n"/>
      <c r="D104" s="76">
        <f>C104-B104</f>
        <v/>
      </c>
      <c r="F104" s="84">
        <f>'Stock'!K22*'Stock'!O22</f>
        <v/>
      </c>
      <c r="G104" s="84">
        <f>D104*'Stock'!O22</f>
        <v/>
      </c>
    </row>
    <row r="105">
      <c r="A105" s="15" t="inlineStr">
        <is>
          <t>Lambs</t>
        </is>
      </c>
      <c r="B105" s="76" t="n"/>
      <c r="C105" s="76" t="n"/>
      <c r="D105" s="76">
        <f>C105-B105</f>
        <v/>
      </c>
      <c r="F105" s="84">
        <f>'Stock'!K23*'Stock'!O23</f>
        <v/>
      </c>
      <c r="G105" s="84">
        <f>D105*'Stock'!O23</f>
        <v/>
      </c>
    </row>
    <row r="106">
      <c r="A106" s="15" t="inlineStr">
        <is>
          <t>Boars</t>
        </is>
      </c>
      <c r="B106" s="76" t="n"/>
      <c r="C106" s="76" t="n"/>
      <c r="D106" s="76">
        <f>C106-B106</f>
        <v/>
      </c>
      <c r="F106" s="84">
        <f>'Stock'!K24*'Stock'!O24</f>
        <v/>
      </c>
      <c r="G106" s="84">
        <f>D106*'Stock'!O24</f>
        <v/>
      </c>
    </row>
    <row r="107">
      <c r="A107" s="15" t="inlineStr">
        <is>
          <t>Sows</t>
        </is>
      </c>
      <c r="B107" s="76" t="n"/>
      <c r="C107" s="76" t="n"/>
      <c r="D107" s="76">
        <f>C107-B107</f>
        <v/>
      </c>
      <c r="F107" s="84">
        <f>'Stock'!K25*'Stock'!O25</f>
        <v/>
      </c>
      <c r="G107" s="84">
        <f>D107*'Stock'!O25</f>
        <v/>
      </c>
    </row>
    <row r="108">
      <c r="A108" s="15" t="inlineStr">
        <is>
          <t>Pigs</t>
        </is>
      </c>
      <c r="B108" s="76" t="n"/>
      <c r="C108" s="76" t="n"/>
      <c r="D108" s="76">
        <f>C108-B108</f>
        <v/>
      </c>
      <c r="F108" s="84">
        <f>'Stock'!K26*'Stock'!O26</f>
        <v/>
      </c>
      <c r="G108" s="84">
        <f>D108*'Stock'!O26</f>
        <v/>
      </c>
    </row>
    <row r="109">
      <c r="A109" s="15" t="inlineStr">
        <is>
          <t>Hoggets</t>
        </is>
      </c>
      <c r="B109" s="76" t="n"/>
      <c r="C109" s="76" t="n"/>
      <c r="D109" s="76">
        <f>C109-B109</f>
        <v/>
      </c>
      <c r="F109" s="84">
        <f>'Stock'!K27*'Stock'!O27</f>
        <v/>
      </c>
      <c r="G109" s="84">
        <f>D109*'Stock'!O27</f>
        <v/>
      </c>
    </row>
    <row r="110">
      <c r="A110" s="15" t="inlineStr">
        <is>
          <t>Piglets</t>
        </is>
      </c>
      <c r="B110" s="76" t="n"/>
      <c r="C110" s="76" t="n"/>
      <c r="D110" s="76">
        <f>C110-B110</f>
        <v/>
      </c>
      <c r="F110" s="84">
        <f>'Stock'!K28*'Stock'!O28</f>
        <v/>
      </c>
      <c r="G110" s="84">
        <f>D110*'Stock'!O28</f>
        <v/>
      </c>
    </row>
    <row r="111">
      <c r="A111" s="15" t="inlineStr">
        <is>
          <t>Swans</t>
        </is>
      </c>
      <c r="B111" s="76" t="n"/>
      <c r="C111" s="76" t="n"/>
      <c r="D111" s="76">
        <f>C111-B111</f>
        <v/>
      </c>
      <c r="F111" s="84">
        <f>'Stock'!K29*'Stock'!O29</f>
        <v/>
      </c>
      <c r="G111" s="84">
        <f>D111*'Stock'!O29</f>
        <v/>
      </c>
    </row>
    <row r="112">
      <c r="A112" s="15" t="inlineStr">
        <is>
          <t>Peacocks</t>
        </is>
      </c>
      <c r="B112" s="76" t="n"/>
      <c r="C112" s="76" t="n"/>
      <c r="D112" s="76">
        <f>C112-B112</f>
        <v/>
      </c>
      <c r="F112" s="84">
        <f>'Stock'!K30*'Stock'!O30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t="n">
        <v>0</v>
      </c>
      <c r="C151" s="76" t="n">
        <v>0</v>
      </c>
      <c r="D151" s="76" t="n">
        <v>0</v>
      </c>
      <c r="F151" s="76" t="n">
        <v>0</v>
      </c>
      <c r="G151" s="96" t="n"/>
    </row>
    <row r="152">
      <c r="A152" s="15" t="inlineStr">
        <is>
          <t>Geese</t>
        </is>
      </c>
      <c r="B152" s="76" t="n">
        <v>0</v>
      </c>
      <c r="C152" s="76" t="n">
        <v>0</v>
      </c>
      <c r="D152" s="76" t="n">
        <v>0</v>
      </c>
      <c r="F152" s="76" t="n">
        <v>0</v>
      </c>
    </row>
    <row r="153">
      <c r="A153" s="15" t="inlineStr">
        <is>
          <t>Capons (from chickens)</t>
        </is>
      </c>
      <c r="B153" s="76" t="n">
        <v>0</v>
      </c>
      <c r="C153" s="76" t="n">
        <v>0</v>
      </c>
      <c r="D153" s="76" t="n">
        <v>0</v>
      </c>
      <c r="F153" s="76" t="n">
        <v>0</v>
      </c>
    </row>
    <row r="154">
      <c r="A154" s="15" t="inlineStr">
        <is>
          <t>Cocks &amp; hens</t>
        </is>
      </c>
      <c r="B154" s="76" t="n">
        <v>0</v>
      </c>
      <c r="C154" s="76" t="n">
        <v>0</v>
      </c>
      <c r="D154" s="76" t="n">
        <v>0</v>
      </c>
      <c r="F154" s="76" t="n">
        <v>0</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F159" t="n">
        <v>0</v>
      </c>
      <c r="G159" s="116" t="n"/>
    </row>
    <row r="160">
      <c r="A160" s="15" t="inlineStr">
        <is>
          <t>Cocks &amp; hens from churchscot of customary tenants</t>
        </is>
      </c>
      <c r="B160" t="n">
        <v>0</v>
      </c>
      <c r="C160" t="n">
        <v>0</v>
      </c>
      <c r="D160" t="n">
        <v>0</v>
      </c>
      <c r="F160" t="n">
        <v>0</v>
      </c>
    </row>
    <row r="161">
      <c r="A161" s="15" t="inlineStr">
        <is>
          <t>Sum of above</t>
        </is>
      </c>
    </row>
    <row r="162">
      <c r="A162" s="17" t="inlineStr">
        <is>
          <t>Total value of stock</t>
        </is>
      </c>
      <c r="B162" s="93" t="n"/>
      <c r="C162" s="94" t="n"/>
      <c r="D162" s="93" t="n"/>
      <c r="E162" s="93" t="n"/>
      <c r="F162" s="93" t="n"/>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F166" t="n">
        <v>0</v>
      </c>
      <c r="G166" s="116" t="n"/>
    </row>
    <row r="167">
      <c r="A167" s="15" t="inlineStr">
        <is>
          <t>Winter Cheese</t>
        </is>
      </c>
      <c r="B167" t="n">
        <v>0</v>
      </c>
      <c r="C167" t="n">
        <v>0</v>
      </c>
      <c r="D167" t="n">
        <v>0</v>
      </c>
      <c r="F167" t="n">
        <v>0</v>
      </c>
    </row>
    <row r="168">
      <c r="A168" s="15" t="inlineStr">
        <is>
          <t>Summer Cheese</t>
        </is>
      </c>
      <c r="B168" t="n">
        <v>0</v>
      </c>
      <c r="C168" t="n">
        <v>0</v>
      </c>
      <c r="D168" t="n">
        <v>0</v>
      </c>
      <c r="F168" t="n">
        <v>0</v>
      </c>
    </row>
    <row r="169">
      <c r="A169" s="17" t="inlineStr">
        <is>
          <t>Total value of production (sum of the above)</t>
        </is>
      </c>
      <c r="B169" s="93" t="n"/>
      <c r="C169" s="94" t="n"/>
      <c r="D169" s="93" t="n"/>
      <c r="E169" s="93" t="n"/>
      <c r="F169" s="93" t="n"/>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F169+F162+F156+F147+F123+F115+D71</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E8"/>
  <sheetViews>
    <sheetView topLeftCell="A1" workbookViewId="0">
      <selection activeCell="A1" sqref="A1"/>
    </sheetView>
  </sheetViews>
  <sheetFormatPr baseColWidth="8" defaultColWidth="12.6328125" defaultRowHeight="14.5"/>
  <sheetData>
    <row r="1" ht="15.5" customHeight="1">
      <c r="A1" s="12" t="inlineStr">
        <is>
          <t>Meat &amp; Dairy Prices</t>
        </is>
      </c>
    </row>
    <row r="2">
      <c r="C2" t="n">
        <v>1301</v>
      </c>
      <c r="D2" t="n">
        <v>1302</v>
      </c>
      <c r="E2" s="28" t="inlineStr">
        <is>
          <t>Average</t>
        </is>
      </c>
    </row>
    <row r="3" ht="15.5" customHeight="1">
      <c r="A3" t="inlineStr">
        <is>
          <t>Beef</t>
        </is>
      </c>
      <c r="B3" t="inlineStr">
        <is>
          <t>£ per lb</t>
        </is>
      </c>
      <c r="C3" s="62" t="n">
        <v>0.003335185413087333</v>
      </c>
      <c r="D3" s="62" t="n">
        <v>0.003260853786849182</v>
      </c>
      <c r="E3" s="63">
        <f>AVERAGE(C3:D3)</f>
        <v/>
      </c>
    </row>
    <row r="4">
      <c r="A4" t="inlineStr">
        <is>
          <t>Mutton</t>
        </is>
      </c>
      <c r="B4" t="inlineStr">
        <is>
          <t>£ per lb</t>
        </is>
      </c>
      <c r="C4" s="63" t="n">
        <v>0.003659397726835158</v>
      </c>
      <c r="D4" s="63" t="n">
        <v>0.003712551295250783</v>
      </c>
      <c r="E4" s="63">
        <f>AVERAGE(C4:D4)</f>
        <v/>
      </c>
    </row>
    <row r="5">
      <c r="A5" t="inlineStr">
        <is>
          <t>Pork</t>
        </is>
      </c>
      <c r="B5" t="inlineStr">
        <is>
          <t>£ per lb</t>
        </is>
      </c>
      <c r="C5" s="63" t="n">
        <v>0.003843132608634785</v>
      </c>
      <c r="D5" s="63" t="n">
        <v>0.003757480310106574</v>
      </c>
      <c r="E5" s="63">
        <f>AVERAGE(C5:D5)</f>
        <v/>
      </c>
    </row>
    <row r="6">
      <c r="A6" t="inlineStr">
        <is>
          <t>Cheese</t>
        </is>
      </c>
      <c r="B6" t="inlineStr">
        <is>
          <t>£ per lb</t>
        </is>
      </c>
      <c r="C6" s="64" t="n">
        <v>0.005576875401355813</v>
      </c>
      <c r="D6" s="63" t="n">
        <v>0.005665489823647453</v>
      </c>
      <c r="E6" s="63">
        <f>AVERAGE(C6:D6)</f>
        <v/>
      </c>
    </row>
    <row r="7">
      <c r="A7" t="inlineStr">
        <is>
          <t>Butter</t>
        </is>
      </c>
      <c r="B7" t="inlineStr">
        <is>
          <t>£ per lb</t>
        </is>
      </c>
      <c r="C7" s="63" t="n">
        <v>0.00366262210285494</v>
      </c>
      <c r="D7" s="63" t="n">
        <v>0.003593507742292381</v>
      </c>
      <c r="E7" s="63">
        <f>AVERAGE(C7:D7)</f>
        <v/>
      </c>
    </row>
    <row r="8">
      <c r="A8" t="inlineStr">
        <is>
          <t>Milk</t>
        </is>
      </c>
      <c r="B8" t="inlineStr">
        <is>
          <t>£ per gallon</t>
        </is>
      </c>
      <c r="C8" s="65" t="n">
        <v>0.005576875401355813</v>
      </c>
      <c r="D8" s="63" t="n">
        <v>0.005665489823647453</v>
      </c>
      <c r="E8" s="63">
        <f>AVERAGE(C8:D8)</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ColWidth="8.81640625" defaultRowHeight="14.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83"/>
  <sheetViews>
    <sheetView topLeftCell="A1" workbookViewId="0">
      <selection activeCell="A1" sqref="A1"/>
    </sheetView>
  </sheetViews>
  <sheetFormatPr baseColWidth="8" defaultRowHeight="15"/>
  <cols>
    <col width="80" customWidth="1" min="1" max="1"/>
  </cols>
  <sheetData>
    <row r="1">
      <c r="A1" s="8" t="inlineStr">
        <is>
          <t>ST GILES FAIR</t>
        </is>
      </c>
      <c r="B1" s="77" t="inlineStr">
        <is>
          <t>Total in £</t>
        </is>
      </c>
      <c r="C1" s="78" t="inlineStr">
        <is>
          <t>Error</t>
        </is>
      </c>
      <c r="D1" s="12" t="inlineStr">
        <is>
          <t>Note</t>
        </is>
      </c>
    </row>
    <row r="2">
      <c r="A2" s="8" t="inlineStr">
        <is>
          <t>CASH ACCOUNT</t>
        </is>
      </c>
    </row>
    <row r="3">
      <c r="A3" s="16" t="inlineStr">
        <is>
          <t>RECEIPTS</t>
        </is>
      </c>
    </row>
    <row r="4">
      <c r="A4" s="15" t="inlineStr">
        <is>
          <t>Arrears total</t>
        </is>
      </c>
    </row>
    <row r="5">
      <c r="A5" s="15" t="inlineStr">
        <is>
          <t>Rents of assize total</t>
        </is>
      </c>
    </row>
    <row r="6">
      <c r="A6" s="15" t="inlineStr">
        <is>
          <t>Quittances total</t>
        </is>
      </c>
    </row>
    <row r="7">
      <c r="A7" s="15" t="inlineStr">
        <is>
          <t>Defaults of rent total</t>
        </is>
      </c>
    </row>
    <row r="8">
      <c r="A8" s="9" t="inlineStr">
        <is>
          <t>Defaults of rent through the pestilence total</t>
        </is>
      </c>
    </row>
    <row r="9">
      <c r="A9" s="9" t="inlineStr">
        <is>
          <t>Cotlands defaults total</t>
        </is>
      </c>
    </row>
    <row r="10">
      <c r="A10" s="9" t="inlineStr">
        <is>
          <t>Cotlands total</t>
        </is>
      </c>
    </row>
    <row r="11">
      <c r="A11" s="9" t="inlineStr">
        <is>
          <t>Total of quittances and defaults of rent total</t>
        </is>
      </c>
    </row>
    <row r="12">
      <c r="A12" s="9" t="inlineStr">
        <is>
          <t>Total of rents remaining clear total</t>
        </is>
      </c>
    </row>
    <row r="13">
      <c r="A13" s="9" t="inlineStr">
        <is>
          <t>Farms total</t>
        </is>
      </c>
    </row>
    <row r="14">
      <c r="A14" s="15" t="inlineStr">
        <is>
          <t>Annual recognizances total</t>
        </is>
      </c>
    </row>
    <row r="15">
      <c r="A15" s="15" t="inlineStr">
        <is>
          <t>Issues of the Manor total</t>
        </is>
      </c>
    </row>
    <row r="16">
      <c r="A16" s="9" t="inlineStr">
        <is>
          <t>Issues of the tenements in the lord's hands total</t>
        </is>
      </c>
    </row>
    <row r="17">
      <c r="A17" s="9" t="inlineStr">
        <is>
          <t>Sale of labour services total</t>
        </is>
      </c>
    </row>
    <row r="18">
      <c r="A18" s="15" t="inlineStr">
        <is>
          <t>Sale of corn total</t>
        </is>
      </c>
    </row>
    <row r="19">
      <c r="A19" s="15" t="inlineStr">
        <is>
          <t>Entry and marriage fines total</t>
        </is>
      </c>
    </row>
    <row r="20">
      <c r="A20" s="15" t="inlineStr">
        <is>
          <t>Pleas &amp; perquisites total</t>
        </is>
      </c>
    </row>
    <row r="21">
      <c r="A21" s="9" t="inlineStr">
        <is>
          <t>Forfeited chattels total</t>
        </is>
      </c>
    </row>
    <row r="22">
      <c r="A22" s="9" t="inlineStr">
        <is>
          <t>Farm of the demesne land total</t>
        </is>
      </c>
    </row>
    <row r="23">
      <c r="A23" s="81" t="inlineStr">
        <is>
          <t>Total of all receipts (calculated here)</t>
        </is>
      </c>
    </row>
    <row r="24">
      <c r="A24" s="82" t="inlineStr">
        <is>
          <t>Total of all receipts (calculated here) incl arrears</t>
        </is>
      </c>
    </row>
    <row r="25">
      <c r="A25" s="83" t="inlineStr">
        <is>
          <t>Total recorded in the accounts excl. arrears</t>
        </is>
      </c>
    </row>
    <row r="26">
      <c r="A26" s="83" t="inlineStr">
        <is>
          <t>Total recorded in the accounts incl. arrears</t>
        </is>
      </c>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row>
    <row r="42">
      <c r="A42" s="15" t="inlineStr">
        <is>
          <t>Steward's expenses total</t>
        </is>
      </c>
    </row>
    <row r="43">
      <c r="A43" s="85" t="inlineStr">
        <is>
          <t>Annual fees</t>
        </is>
      </c>
    </row>
    <row r="44">
      <c r="A44" s="82" t="inlineStr">
        <is>
          <t>Total of all expenses per account</t>
        </is>
      </c>
    </row>
    <row r="45">
      <c r="A45" s="82" t="inlineStr">
        <is>
          <t>Total of all expenses (calculated here)</t>
        </is>
      </c>
    </row>
    <row r="46">
      <c r="A46" s="82" t="inlineStr">
        <is>
          <t>Total fixed investment</t>
        </is>
      </c>
    </row>
    <row r="47">
      <c r="A47" s="82" t="inlineStr">
        <is>
          <t>Total Demesne fixed investment</t>
        </is>
      </c>
    </row>
    <row r="48">
      <c r="A48" s="12" t="n"/>
    </row>
    <row r="49">
      <c r="A49" s="18" t="inlineStr">
        <is>
          <t>Owed by the reeve</t>
        </is>
      </c>
    </row>
    <row r="50">
      <c r="A50" s="18" t="inlineStr">
        <is>
          <t>From accounts</t>
        </is>
      </c>
    </row>
    <row r="51">
      <c r="A51" s="15" t="n"/>
    </row>
    <row r="52">
      <c r="A52" s="18" t="inlineStr">
        <is>
          <t>Allowances</t>
        </is>
      </c>
    </row>
    <row r="53">
      <c r="A53" s="18" t="inlineStr">
        <is>
          <t>Cash deliveries</t>
        </is>
      </c>
    </row>
    <row r="54">
      <c r="A54" s="19" t="inlineStr">
        <is>
          <t>Sum of the above</t>
        </is>
      </c>
    </row>
    <row r="55">
      <c r="A55" s="20" t="inlineStr">
        <is>
          <t>Total of all allowances and cash deliveries in accounts</t>
        </is>
      </c>
    </row>
    <row r="56">
      <c r="A56" s="15" t="n"/>
    </row>
    <row r="57">
      <c r="A57" s="18" t="inlineStr">
        <is>
          <t>Net amount owed</t>
        </is>
      </c>
    </row>
    <row r="58">
      <c r="A58" s="18" t="inlineStr">
        <is>
          <t>Net amount owed in accounts</t>
        </is>
      </c>
    </row>
    <row r="59">
      <c r="A59" s="15" t="n"/>
    </row>
    <row r="60">
      <c r="A60" s="16" t="inlineStr">
        <is>
          <t xml:space="preserve">GRANGE ACCOUNT </t>
        </is>
      </c>
    </row>
    <row r="61">
      <c r="A61" s="8" t="inlineStr">
        <is>
          <t>Grange</t>
        </is>
      </c>
    </row>
    <row r="62">
      <c r="A62" s="9" t="inlineStr">
        <is>
          <t>Wheat</t>
        </is>
      </c>
    </row>
    <row r="63">
      <c r="A63" s="9" t="inlineStr">
        <is>
          <t>Rye</t>
        </is>
      </c>
    </row>
    <row r="64">
      <c r="A64" s="9" t="inlineStr">
        <is>
          <t>Dredge</t>
        </is>
      </c>
    </row>
    <row r="65">
      <c r="A65" s="9" t="inlineStr">
        <is>
          <t>Curall</t>
        </is>
      </c>
    </row>
    <row r="66">
      <c r="A66" s="9" t="inlineStr">
        <is>
          <t>Barley</t>
        </is>
      </c>
    </row>
    <row r="67">
      <c r="A67" s="9" t="inlineStr">
        <is>
          <t>Oats</t>
        </is>
      </c>
    </row>
    <row r="68">
      <c r="A68" s="9" t="inlineStr">
        <is>
          <t>Beans</t>
        </is>
      </c>
    </row>
    <row r="69">
      <c r="A69" s="9" t="inlineStr">
        <is>
          <t>Peas</t>
        </is>
      </c>
    </row>
    <row r="70">
      <c r="A70" s="9" t="inlineStr">
        <is>
          <t>Vetches</t>
        </is>
      </c>
    </row>
    <row r="71">
      <c r="A71" s="17" t="inlineStr">
        <is>
          <t>Total value of gross production (sum of the above)</t>
        </is>
      </c>
    </row>
    <row r="72">
      <c r="A72" s="17" t="inlineStr">
        <is>
          <t>Total value of net production</t>
        </is>
      </c>
    </row>
    <row r="73">
      <c r="A73" s="17" t="inlineStr">
        <is>
          <t>Value of sales</t>
        </is>
      </c>
    </row>
    <row r="74">
      <c r="A74" s="15" t="n"/>
    </row>
    <row r="75">
      <c r="A75" s="16" t="inlineStr">
        <is>
          <t>MILL ACCOUNT</t>
        </is>
      </c>
    </row>
    <row r="76">
      <c r="A76" s="8" t="inlineStr">
        <is>
          <t>Issues of the mill</t>
        </is>
      </c>
    </row>
    <row r="77">
      <c r="A77" s="15" t="inlineStr">
        <is>
          <t>Wheat</t>
        </is>
      </c>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row>
    <row r="83">
      <c r="A83" s="17" t="inlineStr">
        <is>
          <t>Value of sales</t>
        </is>
      </c>
    </row>
    <row r="84">
      <c r="A84" s="15" t="n"/>
    </row>
    <row r="85">
      <c r="A85" s="92" t="inlineStr">
        <is>
          <t>STOCK ACCOUNT</t>
        </is>
      </c>
    </row>
    <row r="86">
      <c r="A86" s="21" t="inlineStr">
        <is>
          <t>Livestock</t>
        </is>
      </c>
    </row>
    <row r="87" ht="17" customHeight="1">
      <c r="A87" s="22" t="inlineStr">
        <is>
          <t>Cart-horses</t>
        </is>
      </c>
    </row>
    <row r="88" ht="17" customHeight="1">
      <c r="A88" s="22" t="inlineStr">
        <is>
          <t>Mares</t>
        </is>
      </c>
    </row>
    <row r="89">
      <c r="A89" s="15" t="inlineStr">
        <is>
          <t>Plough horses</t>
        </is>
      </c>
    </row>
    <row r="90">
      <c r="A90" s="15" t="inlineStr">
        <is>
          <t>Colts (2 years)</t>
        </is>
      </c>
    </row>
    <row r="91">
      <c r="A91" s="15" t="inlineStr">
        <is>
          <t>Colts (2 years)</t>
        </is>
      </c>
    </row>
    <row r="92">
      <c r="A92" s="15" t="inlineStr">
        <is>
          <t>Colts (1 year)</t>
        </is>
      </c>
    </row>
    <row r="93">
      <c r="A93" s="15" t="inlineStr">
        <is>
          <t>Foals</t>
        </is>
      </c>
    </row>
    <row r="94">
      <c r="A94" s="15" t="inlineStr">
        <is>
          <t>Oxen</t>
        </is>
      </c>
    </row>
    <row r="95">
      <c r="A95" s="15" t="inlineStr">
        <is>
          <t>Bulls</t>
        </is>
      </c>
    </row>
    <row r="96">
      <c r="A96" s="15" t="inlineStr">
        <is>
          <t>Cows</t>
        </is>
      </c>
    </row>
    <row r="97">
      <c r="A97" s="15" t="inlineStr">
        <is>
          <t>Steers</t>
        </is>
      </c>
    </row>
    <row r="98">
      <c r="A98" s="15" t="inlineStr">
        <is>
          <t>Bullocks</t>
        </is>
      </c>
    </row>
    <row r="99">
      <c r="A99" s="15" t="inlineStr">
        <is>
          <t>Yearlings</t>
        </is>
      </c>
    </row>
    <row r="100">
      <c r="A100" s="15" t="inlineStr">
        <is>
          <t>Calves</t>
        </is>
      </c>
    </row>
    <row r="101">
      <c r="A101" s="15" t="inlineStr">
        <is>
          <t>Wethers</t>
        </is>
      </c>
    </row>
    <row r="102">
      <c r="A102" s="15" t="inlineStr">
        <is>
          <t>Rams</t>
        </is>
      </c>
    </row>
    <row r="103">
      <c r="A103" s="15" t="inlineStr">
        <is>
          <t>Ewes</t>
        </is>
      </c>
    </row>
    <row r="104">
      <c r="A104" s="15" t="inlineStr">
        <is>
          <t>Hoggs</t>
        </is>
      </c>
    </row>
    <row r="105">
      <c r="A105" s="15" t="inlineStr">
        <is>
          <t>Lambs</t>
        </is>
      </c>
    </row>
    <row r="106">
      <c r="A106" s="15" t="inlineStr">
        <is>
          <t>Boars</t>
        </is>
      </c>
    </row>
    <row r="107">
      <c r="A107" s="15" t="inlineStr">
        <is>
          <t>Sows</t>
        </is>
      </c>
    </row>
    <row r="108">
      <c r="A108" s="15" t="inlineStr">
        <is>
          <t>Pigs</t>
        </is>
      </c>
    </row>
    <row r="109">
      <c r="A109" s="15" t="inlineStr">
        <is>
          <t>Hoggets</t>
        </is>
      </c>
    </row>
    <row r="110">
      <c r="A110" s="15" t="inlineStr">
        <is>
          <t>Piglets</t>
        </is>
      </c>
    </row>
    <row r="111">
      <c r="A111" s="15" t="inlineStr">
        <is>
          <t>Swans</t>
        </is>
      </c>
    </row>
    <row r="112">
      <c r="A112" s="15" t="inlineStr">
        <is>
          <t>Peacocks</t>
        </is>
      </c>
    </row>
    <row r="113">
      <c r="A113" s="17" t="inlineStr">
        <is>
          <t>Total value of stock (sum of the above)</t>
        </is>
      </c>
    </row>
    <row r="114">
      <c r="A114" s="17" t="inlineStr">
        <is>
          <t>Total value of production</t>
        </is>
      </c>
    </row>
    <row r="115">
      <c r="A115" s="17" t="inlineStr">
        <is>
          <t>Value of sales</t>
        </is>
      </c>
    </row>
    <row r="116">
      <c r="A116" s="15" t="n"/>
    </row>
    <row r="117">
      <c r="A117" s="16" t="inlineStr">
        <is>
          <t>Wool</t>
        </is>
      </c>
    </row>
    <row r="118" ht="17" customHeight="1">
      <c r="A118" s="22" t="inlineStr">
        <is>
          <t>Fleeces</t>
        </is>
      </c>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row>
    <row r="124">
      <c r="A124" s="119" t="inlineStr">
        <is>
          <t>Value of sales</t>
        </is>
      </c>
    </row>
    <row r="125">
      <c r="A125" s="8" t="n"/>
    </row>
    <row r="126">
      <c r="A126" s="16" t="inlineStr">
        <is>
          <t>Hides</t>
        </is>
      </c>
    </row>
    <row r="127">
      <c r="A127" s="15" t="inlineStr">
        <is>
          <t>Ox hides</t>
        </is>
      </c>
    </row>
    <row r="128">
      <c r="A128" s="15" t="inlineStr">
        <is>
          <t>Cow hides</t>
        </is>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row>
    <row r="148">
      <c r="A148" s="17" t="inlineStr">
        <is>
          <t>Value of sales</t>
        </is>
      </c>
    </row>
    <row r="149">
      <c r="A149" s="15" t="n"/>
    </row>
    <row r="150">
      <c r="A150" s="16" t="inlineStr">
        <is>
          <t>Poultry stock</t>
        </is>
      </c>
    </row>
    <row r="151" ht="17" customHeight="1">
      <c r="A151" s="22" t="inlineStr">
        <is>
          <t>Hens</t>
        </is>
      </c>
    </row>
    <row r="152">
      <c r="A152" s="15" t="inlineStr">
        <is>
          <t>Geese</t>
        </is>
      </c>
    </row>
    <row r="153">
      <c r="A153" s="15" t="inlineStr">
        <is>
          <t>Capons (from chickens)</t>
        </is>
      </c>
    </row>
    <row r="154">
      <c r="A154" s="15" t="inlineStr">
        <is>
          <t>Cocks &amp; hens</t>
        </is>
      </c>
    </row>
    <row r="155">
      <c r="A155" s="119" t="inlineStr">
        <is>
          <t>Total value of production (sum of the above)</t>
        </is>
      </c>
    </row>
    <row r="156">
      <c r="A156" s="119" t="inlineStr">
        <is>
          <t>Value of sales</t>
        </is>
      </c>
    </row>
    <row r="157">
      <c r="A157" s="15" t="n"/>
    </row>
    <row r="158">
      <c r="A158" s="16" t="inlineStr">
        <is>
          <t>Poultry production</t>
        </is>
      </c>
    </row>
    <row r="159">
      <c r="A159" s="15" t="inlineStr">
        <is>
          <t>Eggs</t>
        </is>
      </c>
    </row>
    <row r="160">
      <c r="A160" s="15" t="inlineStr">
        <is>
          <t>Cocks &amp; hens from churchscot of customary tenants</t>
        </is>
      </c>
    </row>
    <row r="161">
      <c r="A161" s="15" t="inlineStr">
        <is>
          <t>Sum of above</t>
        </is>
      </c>
    </row>
    <row r="162">
      <c r="A162" s="17" t="inlineStr">
        <is>
          <t>Total value of stock</t>
        </is>
      </c>
    </row>
    <row r="163">
      <c r="A163" s="17" t="inlineStr">
        <is>
          <t>Value of sales</t>
        </is>
      </c>
    </row>
    <row r="164">
      <c r="A164" s="15" t="n"/>
    </row>
    <row r="165">
      <c r="A165" s="16" t="inlineStr">
        <is>
          <t>Dairy Production</t>
        </is>
      </c>
    </row>
    <row r="166">
      <c r="A166" s="15" t="inlineStr">
        <is>
          <t>Butter</t>
        </is>
      </c>
    </row>
    <row r="167">
      <c r="A167" s="15" t="inlineStr">
        <is>
          <t>Winter Cheese</t>
        </is>
      </c>
    </row>
    <row r="168">
      <c r="A168" s="15" t="inlineStr">
        <is>
          <t>Summer Cheese</t>
        </is>
      </c>
    </row>
    <row r="169">
      <c r="A169" s="17" t="inlineStr">
        <is>
          <t>Total value of production (sum of the above)</t>
        </is>
      </c>
    </row>
    <row r="170">
      <c r="A170" s="17" t="inlineStr">
        <is>
          <t>Value of sales</t>
        </is>
      </c>
    </row>
    <row r="171">
      <c r="A171" s="15" t="n"/>
    </row>
    <row r="172">
      <c r="A172" s="15" t="n"/>
    </row>
    <row r="173" ht="17" customHeight="1"/>
    <row r="174" ht="17" customHeight="1">
      <c r="A174" s="103" t="n"/>
    </row>
    <row r="175">
      <c r="A175" s="97" t="inlineStr">
        <is>
          <t>Total Production Value of all Output (Grange, Dairy, Livestock Sales, Wools, Skins - NO Mill)</t>
        </is>
      </c>
    </row>
    <row r="176">
      <c r="A176" s="98" t="inlineStr">
        <is>
          <t>Total Sales Value of all Output as defined above</t>
        </is>
      </c>
    </row>
    <row r="177">
      <c r="A177" s="98" t="inlineStr">
        <is>
          <t>Total Sales of Corn + Issues of the Manor as recorded in account</t>
        </is>
      </c>
    </row>
    <row r="178">
      <c r="A178" s="98" t="inlineStr">
        <is>
          <t>Production Value + Cash Receipts (excl. Arrears, Issues, Corn and Mill)</t>
        </is>
      </c>
    </row>
    <row r="179">
      <c r="A179" s="99" t="n"/>
    </row>
    <row r="180">
      <c r="A180" s="100" t="inlineStr">
        <is>
          <t>% of capital expenses in terms of total production</t>
        </is>
      </c>
    </row>
    <row r="181">
      <c r="A181" s="98" t="inlineStr">
        <is>
          <t>% of capital expenses in terms of total production + cash receipts</t>
        </is>
      </c>
    </row>
    <row r="182">
      <c r="A182" s="99" t="n"/>
    </row>
    <row r="183" ht="17" customHeight="1">
      <c r="A183" s="101" t="inlineStr">
        <is>
          <t>% of capital expenses as calculated previously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82"/>
  <sheetViews>
    <sheetView topLeftCell="A1" workbookViewId="0">
      <selection activeCell="A1" sqref="A1"/>
    </sheetView>
  </sheetViews>
  <sheetFormatPr baseColWidth="8" defaultRowHeight="15"/>
  <cols>
    <col width="21" customWidth="1" min="1" max="1"/>
    <col width="8.83203125" customWidth="1" min="6" max="6"/>
    <col width="8.83203125" customWidth="1" min="7" max="7"/>
  </cols>
  <sheetData>
    <row r="1" ht="16" customHeight="1">
      <c r="A1" s="2" t="inlineStr">
        <is>
          <t>ST GILES FAIR RECEIPTS</t>
        </is>
      </c>
    </row>
    <row r="2" ht="16" customHeight="1">
      <c r="A2" s="11" t="inlineStr">
        <is>
          <t>Heading</t>
        </is>
      </c>
      <c r="B2" s="3" t="inlineStr">
        <is>
          <t>£</t>
        </is>
      </c>
      <c r="C2" s="4" t="inlineStr">
        <is>
          <t xml:space="preserve">s </t>
        </is>
      </c>
      <c r="D2" s="4" t="inlineStr">
        <is>
          <t>d</t>
        </is>
      </c>
      <c r="E2" s="4" t="n"/>
      <c r="F2" s="127" t="inlineStr">
        <is>
          <t>Total in £</t>
        </is>
      </c>
      <c r="G2" s="128" t="inlineStr">
        <is>
          <t>Error</t>
        </is>
      </c>
      <c r="H2" s="7" t="inlineStr">
        <is>
          <t>Notes</t>
        </is>
      </c>
    </row>
    <row r="3">
      <c r="A3" t="inlineStr">
        <is>
          <t>South Gate</t>
        </is>
      </c>
      <c r="B3" t="n">
        <v>0</v>
      </c>
      <c r="C3" t="n">
        <v>1</v>
      </c>
      <c r="D3" t="n">
        <v>2</v>
      </c>
      <c r="F3" s="72" t="n">
        <v>0.06</v>
      </c>
      <c r="H3" t="inlineStr">
        <is>
          <t>The first, second, third and fourth day, 1 shilling 2pence.</t>
        </is>
      </c>
    </row>
    <row r="4">
      <c r="A4" t="inlineStr">
        <is>
          <t>South Gate</t>
        </is>
      </c>
      <c r="B4" t="n">
        <v>0</v>
      </c>
      <c r="C4" t="n">
        <v>3</v>
      </c>
      <c r="D4" t="n">
        <v>0</v>
      </c>
      <c r="F4" s="72" t="n">
        <v>0.15</v>
      </c>
      <c r="H4" t="inlineStr">
        <is>
          <t>the fifth day, 3 shilling.</t>
        </is>
      </c>
    </row>
    <row r="5">
      <c r="A5" t="inlineStr">
        <is>
          <t>South Gate</t>
        </is>
      </c>
      <c r="B5" t="n">
        <v>0</v>
      </c>
      <c r="C5" t="n">
        <v>5</v>
      </c>
      <c r="D5" t="n">
        <v>7</v>
      </c>
      <c r="F5" s="72" t="n">
        <v>0.28</v>
      </c>
      <c r="H5" t="inlineStr">
        <is>
          <t>the sixth day, 5 shilling 7pence.</t>
        </is>
      </c>
    </row>
    <row r="6">
      <c r="A6" t="inlineStr">
        <is>
          <t>South Gate</t>
        </is>
      </c>
      <c r="B6" t="n">
        <v>0</v>
      </c>
      <c r="C6" t="n">
        <v>17</v>
      </c>
      <c r="D6" t="n">
        <v>4</v>
      </c>
      <c r="F6" s="72" t="n">
        <v>0.87</v>
      </c>
      <c r="H6" t="inlineStr">
        <is>
          <t>the seventh day, 17 shilling 4pence.</t>
        </is>
      </c>
    </row>
    <row r="7">
      <c r="A7" t="inlineStr">
        <is>
          <t>South Gate</t>
        </is>
      </c>
      <c r="B7" t="n">
        <v>0</v>
      </c>
      <c r="C7" t="n">
        <v>12</v>
      </c>
      <c r="D7" t="n">
        <v>4</v>
      </c>
      <c r="F7" s="72" t="n">
        <v>0.62</v>
      </c>
      <c r="H7" t="inlineStr">
        <is>
          <t>the eighth day, 12 shilling 4pence.</t>
        </is>
      </c>
    </row>
    <row r="8">
      <c r="A8" t="inlineStr">
        <is>
          <t>South Gate</t>
        </is>
      </c>
      <c r="B8" t="n">
        <v>0</v>
      </c>
      <c r="C8" t="n">
        <v>1</v>
      </c>
      <c r="D8" t="n">
        <v>1</v>
      </c>
      <c r="F8" s="72" t="n">
        <v>0.05</v>
      </c>
      <c r="H8" t="inlineStr">
        <is>
          <t>the ninth day, 1 shilling 1pence.</t>
        </is>
      </c>
    </row>
    <row r="9">
      <c r="A9" t="inlineStr">
        <is>
          <t>South Gate</t>
        </is>
      </c>
      <c r="B9" t="n">
        <v>0</v>
      </c>
      <c r="C9" t="n">
        <v>2</v>
      </c>
      <c r="D9" t="n">
        <v>6</v>
      </c>
      <c r="F9" s="72" t="n">
        <v>0.12</v>
      </c>
      <c r="H9" t="inlineStr">
        <is>
          <t>the tenth day, 2 shilling 6pence.</t>
        </is>
      </c>
    </row>
    <row r="10">
      <c r="A10" t="inlineStr">
        <is>
          <t>South Gate</t>
        </is>
      </c>
      <c r="B10" t="n">
        <v>0</v>
      </c>
      <c r="C10" t="n">
        <v>2</v>
      </c>
      <c r="D10" t="n">
        <v>3</v>
      </c>
      <c r="F10" s="72" t="n">
        <v>0.11</v>
      </c>
      <c r="H10" t="inlineStr">
        <is>
          <t>the eleventh day, 2 shilling 3pence.</t>
        </is>
      </c>
    </row>
    <row r="11">
      <c r="A11" t="inlineStr">
        <is>
          <t>South Gate</t>
        </is>
      </c>
      <c r="B11" t="n">
        <v>0</v>
      </c>
      <c r="C11" t="n">
        <v>2</v>
      </c>
      <c r="D11" t="n">
        <v>7</v>
      </c>
      <c r="F11" s="72" t="n">
        <v>0.13</v>
      </c>
      <c r="H11" t="inlineStr">
        <is>
          <t>the twelfth day, 2 shilling 7pence.</t>
        </is>
      </c>
    </row>
    <row r="12">
      <c r="A12" t="inlineStr">
        <is>
          <t>South Gate</t>
        </is>
      </c>
      <c r="B12" t="n">
        <v>0</v>
      </c>
      <c r="C12" t="n">
        <v>3</v>
      </c>
      <c r="D12" t="n">
        <v>2</v>
      </c>
      <c r="F12" s="72" t="n">
        <v>0.16</v>
      </c>
      <c r="H12" t="inlineStr">
        <is>
          <t>the thirteenth day, 3 shilling 2pence.</t>
        </is>
      </c>
    </row>
    <row r="13">
      <c r="A13" t="inlineStr">
        <is>
          <t>South Gate</t>
        </is>
      </c>
      <c r="B13" t="n">
        <v>0</v>
      </c>
      <c r="C13" t="n">
        <v>1</v>
      </c>
      <c r="D13" t="n">
        <v>1</v>
      </c>
      <c r="F13" s="72" t="n">
        <v>0.05</v>
      </c>
      <c r="H13" t="inlineStr">
        <is>
          <t>the fourteenth day, 1 shilling 1pence.</t>
        </is>
      </c>
    </row>
    <row r="14">
      <c r="A14" t="inlineStr">
        <is>
          <t>South Gate</t>
        </is>
      </c>
      <c r="B14" t="n">
        <v>0</v>
      </c>
      <c r="C14" t="n">
        <v>4</v>
      </c>
      <c r="D14" t="n">
        <v>5</v>
      </c>
      <c r="F14" s="72" t="n">
        <v>0.22</v>
      </c>
      <c r="H14" t="inlineStr">
        <is>
          <t>the fifteenth day, 4 shilling 5pence.</t>
        </is>
      </c>
    </row>
    <row r="15">
      <c r="A15" t="inlineStr">
        <is>
          <t>South Gate</t>
        </is>
      </c>
      <c r="B15" t="n">
        <v>0</v>
      </c>
      <c r="C15" t="n">
        <v>3</v>
      </c>
      <c r="D15" t="n">
        <v>0</v>
      </c>
      <c r="F15" s="72">
        <f>B15+C15/20+D15/240</f>
        <v/>
      </c>
      <c r="H15" t="inlineStr">
        <is>
          <t xml:space="preserve">the sixteenth day, 3 shilling </t>
        </is>
      </c>
    </row>
    <row r="16">
      <c r="A16" t="inlineStr">
        <is>
          <t>South Gate</t>
        </is>
      </c>
      <c r="B16" t="n">
        <v>2</v>
      </c>
      <c r="C16" t="n">
        <v>19</v>
      </c>
      <c r="D16" t="n">
        <v>6</v>
      </c>
      <c r="F16" s="72" t="n">
        <v>2.98</v>
      </c>
      <c r="H16" t="inlineStr">
        <is>
          <t>Total, £2 19 shilling 6pence</t>
        </is>
      </c>
    </row>
    <row r="17">
      <c r="A17" t="inlineStr">
        <is>
          <t>South Gate</t>
        </is>
      </c>
      <c r="F17" s="72">
        <f>SUM(F3:F15)</f>
        <v/>
      </c>
      <c r="G17" s="129">
        <f>F17-F16</f>
        <v/>
      </c>
      <c r="H17" t="inlineStr">
        <is>
          <t>Total</t>
        </is>
      </c>
    </row>
    <row r="18"/>
    <row r="19">
      <c r="A19" t="inlineStr">
        <is>
          <t>East gate</t>
        </is>
      </c>
      <c r="B19" t="n">
        <v>0</v>
      </c>
      <c r="C19" t="n">
        <v>0</v>
      </c>
      <c r="D19" t="n">
        <v>0</v>
      </c>
      <c r="F19" s="72" t="n">
        <v>0</v>
      </c>
      <c r="H19" t="inlineStr">
        <is>
          <t>The first, second, third and fourth day, nothing.</t>
        </is>
      </c>
    </row>
    <row r="20">
      <c r="A20" t="inlineStr">
        <is>
          <t>East gate</t>
        </is>
      </c>
      <c r="B20" t="n">
        <v>0</v>
      </c>
      <c r="C20" t="n">
        <v>0</v>
      </c>
      <c r="D20" t="n">
        <v>0</v>
      </c>
      <c r="F20" s="72" t="n">
        <v>0</v>
      </c>
      <c r="H20" t="inlineStr">
        <is>
          <t>the fifth day, nothing.</t>
        </is>
      </c>
    </row>
    <row r="21">
      <c r="A21" t="inlineStr">
        <is>
          <t>East gate</t>
        </is>
      </c>
      <c r="B21" t="n">
        <v>0</v>
      </c>
      <c r="C21" t="n">
        <v>1</v>
      </c>
      <c r="D21" t="n">
        <v>4</v>
      </c>
      <c r="F21" s="72" t="n">
        <v>0.07000000000000001</v>
      </c>
      <c r="H21" t="inlineStr">
        <is>
          <t>the sixth day, 1 shilling 4pence.</t>
        </is>
      </c>
    </row>
    <row r="22">
      <c r="A22" t="inlineStr">
        <is>
          <t>East gate</t>
        </is>
      </c>
      <c r="B22" t="n">
        <v>0</v>
      </c>
      <c r="C22" t="n">
        <v>0</v>
      </c>
      <c r="D22" t="n">
        <v>6</v>
      </c>
      <c r="F22" s="72" t="n">
        <v>0.03</v>
      </c>
      <c r="H22" t="inlineStr">
        <is>
          <t>the seventh day, 6pence.</t>
        </is>
      </c>
    </row>
    <row r="23">
      <c r="A23" t="inlineStr">
        <is>
          <t>East gate</t>
        </is>
      </c>
      <c r="B23" t="n">
        <v>0</v>
      </c>
      <c r="C23" t="n">
        <v>1</v>
      </c>
      <c r="D23" t="n">
        <v>2</v>
      </c>
      <c r="F23" s="72" t="n">
        <v>0.06</v>
      </c>
      <c r="H23" t="inlineStr">
        <is>
          <t>the eighth day, 1 shilling 2pence.</t>
        </is>
      </c>
    </row>
    <row r="24">
      <c r="A24" t="inlineStr">
        <is>
          <t>East gate</t>
        </is>
      </c>
      <c r="B24" t="n">
        <v>0</v>
      </c>
      <c r="C24" t="n">
        <v>2</v>
      </c>
      <c r="D24" t="n">
        <v>6</v>
      </c>
      <c r="F24" s="72" t="n">
        <v>0.12</v>
      </c>
      <c r="H24" t="inlineStr">
        <is>
          <t>the ninth day, 2 shilling 6pence.</t>
        </is>
      </c>
    </row>
    <row r="25">
      <c r="A25" t="inlineStr">
        <is>
          <t>East gate</t>
        </is>
      </c>
      <c r="B25" t="n">
        <v>0</v>
      </c>
      <c r="C25" t="n">
        <v>0</v>
      </c>
      <c r="D25" t="n">
        <v>6</v>
      </c>
      <c r="F25" s="72" t="n">
        <v>0.03</v>
      </c>
      <c r="H25" t="inlineStr">
        <is>
          <t>the tenth day, 6pence.</t>
        </is>
      </c>
    </row>
    <row r="26">
      <c r="A26" t="inlineStr">
        <is>
          <t>East gate</t>
        </is>
      </c>
      <c r="B26" t="n">
        <v>0</v>
      </c>
      <c r="C26" t="n">
        <v>3</v>
      </c>
      <c r="D26" t="n">
        <v>7</v>
      </c>
      <c r="F26" s="72" t="n">
        <v>0.18</v>
      </c>
      <c r="H26" t="inlineStr">
        <is>
          <t>the eleventh day, 3 shilling 7pence.</t>
        </is>
      </c>
    </row>
    <row r="27">
      <c r="A27" t="inlineStr">
        <is>
          <t>East gate</t>
        </is>
      </c>
      <c r="B27" t="n">
        <v>0</v>
      </c>
      <c r="C27" t="n">
        <v>1</v>
      </c>
      <c r="D27" t="n">
        <v>9</v>
      </c>
      <c r="F27" s="72" t="n">
        <v>0.09</v>
      </c>
      <c r="H27" t="inlineStr">
        <is>
          <t>the twelfth day, 1 shilling 9pence.</t>
        </is>
      </c>
    </row>
    <row r="28">
      <c r="A28" t="inlineStr">
        <is>
          <t>East gate</t>
        </is>
      </c>
      <c r="B28" t="n">
        <v>0</v>
      </c>
      <c r="C28" t="n">
        <v>0</v>
      </c>
      <c r="D28" t="n">
        <v>6</v>
      </c>
      <c r="F28" s="72" t="n">
        <v>0.03</v>
      </c>
      <c r="H28" t="inlineStr">
        <is>
          <t>the thirteenth day, 6pence.</t>
        </is>
      </c>
    </row>
    <row r="29">
      <c r="A29" t="inlineStr">
        <is>
          <t>East gate</t>
        </is>
      </c>
      <c r="B29" t="n">
        <v>0</v>
      </c>
      <c r="C29" t="n">
        <v>0</v>
      </c>
      <c r="D29" t="n">
        <v>9</v>
      </c>
      <c r="F29" s="72" t="n">
        <v>0.04</v>
      </c>
      <c r="H29" t="inlineStr">
        <is>
          <t>the fourteenth day, 9pence.</t>
        </is>
      </c>
    </row>
    <row r="30">
      <c r="A30" t="inlineStr">
        <is>
          <t>East gate</t>
        </is>
      </c>
      <c r="B30" t="n">
        <v>0</v>
      </c>
      <c r="C30" t="n">
        <v>0</v>
      </c>
      <c r="D30" t="n">
        <v>6</v>
      </c>
      <c r="F30" s="72" t="n">
        <v>0.03</v>
      </c>
      <c r="H30" t="inlineStr">
        <is>
          <t>the fifteenth day, 6pence.</t>
        </is>
      </c>
    </row>
    <row r="31">
      <c r="A31" t="inlineStr">
        <is>
          <t>East gate</t>
        </is>
      </c>
      <c r="B31" t="n">
        <v>0</v>
      </c>
      <c r="C31" t="n">
        <v>0</v>
      </c>
      <c r="D31" t="n">
        <v>11</v>
      </c>
      <c r="F31" s="72">
        <f>B31+C31/20+D31/240</f>
        <v/>
      </c>
      <c r="H31" t="inlineStr">
        <is>
          <t xml:space="preserve">the sixteenth day, 11pence </t>
        </is>
      </c>
    </row>
    <row r="32">
      <c r="A32" t="inlineStr">
        <is>
          <t>East gate</t>
        </is>
      </c>
      <c r="B32" t="n">
        <v>0</v>
      </c>
      <c r="C32" t="n">
        <v>14</v>
      </c>
      <c r="D32" t="n">
        <v>0</v>
      </c>
      <c r="F32" s="72">
        <f>B32+C32/20+D32/240</f>
        <v/>
      </c>
      <c r="H32" t="inlineStr">
        <is>
          <t>Total, 14 shilling</t>
        </is>
      </c>
    </row>
    <row r="33">
      <c r="F33" s="72">
        <f>SUM(F19:F31)</f>
        <v/>
      </c>
      <c r="G33" s="129">
        <f>F33-F32</f>
        <v/>
      </c>
      <c r="H33" t="inlineStr">
        <is>
          <t>Total</t>
        </is>
      </c>
    </row>
    <row r="34"/>
    <row r="35">
      <c r="A35" t="inlineStr">
        <is>
          <t>West gate</t>
        </is>
      </c>
      <c r="B35" t="n">
        <v>0</v>
      </c>
      <c r="C35" t="n">
        <v>0</v>
      </c>
      <c r="D35" t="n">
        <v>6</v>
      </c>
      <c r="F35" s="72" t="n">
        <v>0.03</v>
      </c>
      <c r="H35" t="inlineStr">
        <is>
          <t>The first, second, third and fourth day, 6pence.</t>
        </is>
      </c>
    </row>
    <row r="36">
      <c r="A36" t="inlineStr">
        <is>
          <t>West gate</t>
        </is>
      </c>
      <c r="B36" t="n">
        <v>0</v>
      </c>
      <c r="C36" t="n">
        <v>0</v>
      </c>
      <c r="D36" t="n">
        <v>2</v>
      </c>
      <c r="F36" s="72" t="n">
        <v>0.01</v>
      </c>
      <c r="H36" t="inlineStr">
        <is>
          <t>the fifth day, 2pence.</t>
        </is>
      </c>
    </row>
    <row r="37">
      <c r="A37" t="inlineStr">
        <is>
          <t>West gate</t>
        </is>
      </c>
      <c r="B37" t="n">
        <v>0</v>
      </c>
      <c r="C37" t="n">
        <v>1</v>
      </c>
      <c r="D37" t="n">
        <v>0</v>
      </c>
      <c r="F37" s="72" t="n">
        <v>0.05</v>
      </c>
      <c r="H37" t="inlineStr">
        <is>
          <t>the sixth day, 1 shilling.</t>
        </is>
      </c>
    </row>
    <row r="38">
      <c r="A38" t="inlineStr">
        <is>
          <t>West gate</t>
        </is>
      </c>
      <c r="B38" t="n">
        <v>0</v>
      </c>
      <c r="C38" t="n">
        <v>2</v>
      </c>
      <c r="D38" t="n">
        <v>11</v>
      </c>
      <c r="F38" s="72" t="n">
        <v>0.15</v>
      </c>
      <c r="H38" t="inlineStr">
        <is>
          <t>the seventh day, 2 shilling 11pence.</t>
        </is>
      </c>
    </row>
    <row r="39">
      <c r="A39" t="inlineStr">
        <is>
          <t>West gate</t>
        </is>
      </c>
      <c r="B39" t="n">
        <v>0</v>
      </c>
      <c r="C39" t="n">
        <v>3</v>
      </c>
      <c r="D39" t="n">
        <v>3</v>
      </c>
      <c r="F39" s="72" t="n">
        <v>0.16</v>
      </c>
      <c r="H39" t="inlineStr">
        <is>
          <t>the eighth day, 3 shilling 3pence.</t>
        </is>
      </c>
    </row>
    <row r="40">
      <c r="A40" t="inlineStr">
        <is>
          <t>West gate</t>
        </is>
      </c>
      <c r="B40" t="n">
        <v>0</v>
      </c>
      <c r="C40" t="n">
        <v>1</v>
      </c>
      <c r="D40" t="n">
        <v>3</v>
      </c>
      <c r="F40" s="72" t="n">
        <v>0.06</v>
      </c>
      <c r="H40" t="inlineStr">
        <is>
          <t>the ninth day, 1 shilling 3pence.</t>
        </is>
      </c>
    </row>
    <row r="41">
      <c r="A41" t="inlineStr">
        <is>
          <t>West gate</t>
        </is>
      </c>
      <c r="B41" t="n">
        <v>0</v>
      </c>
      <c r="C41" t="n">
        <v>0</v>
      </c>
      <c r="D41" t="n">
        <v>4</v>
      </c>
      <c r="F41" s="72" t="n">
        <v>0.02</v>
      </c>
      <c r="H41" t="inlineStr">
        <is>
          <t>the tenth day, 4pence.</t>
        </is>
      </c>
    </row>
    <row r="42">
      <c r="A42" t="inlineStr">
        <is>
          <t>West gate</t>
        </is>
      </c>
      <c r="B42" t="n">
        <v>0</v>
      </c>
      <c r="C42" t="n">
        <v>1</v>
      </c>
      <c r="D42" t="n">
        <v>1</v>
      </c>
      <c r="F42" s="72" t="n">
        <v>0.05</v>
      </c>
      <c r="H42" t="inlineStr">
        <is>
          <t>the eleventh day, 1 shilling 1pence.</t>
        </is>
      </c>
    </row>
    <row r="43">
      <c r="A43" t="inlineStr">
        <is>
          <t>West gate</t>
        </is>
      </c>
      <c r="B43" t="n">
        <v>0</v>
      </c>
      <c r="C43" t="n">
        <v>1</v>
      </c>
      <c r="D43" t="n">
        <v>3</v>
      </c>
      <c r="F43" s="72" t="n">
        <v>0.06</v>
      </c>
      <c r="H43" t="inlineStr">
        <is>
          <t>(m.32) the twelfth day, 1 shilling 3pence.</t>
        </is>
      </c>
    </row>
    <row r="44">
      <c r="A44" t="inlineStr">
        <is>
          <t>West gate</t>
        </is>
      </c>
      <c r="B44" t="n">
        <v>0</v>
      </c>
      <c r="C44" t="n">
        <v>2</v>
      </c>
      <c r="D44" t="n">
        <v>4</v>
      </c>
      <c r="F44" s="72" t="n">
        <v>0.12</v>
      </c>
      <c r="H44" t="inlineStr">
        <is>
          <t>the thirteenth day, 2 shilling 4pence.</t>
        </is>
      </c>
    </row>
    <row r="45">
      <c r="A45" t="inlineStr">
        <is>
          <t>West gate</t>
        </is>
      </c>
      <c r="B45" t="n">
        <v>0</v>
      </c>
      <c r="C45" t="n">
        <v>1</v>
      </c>
      <c r="D45" t="n">
        <v>6</v>
      </c>
      <c r="F45" s="72" t="n">
        <v>0.08</v>
      </c>
      <c r="H45" t="inlineStr">
        <is>
          <t>the fourteenth day, 1 shilling 6pence.</t>
        </is>
      </c>
    </row>
    <row r="46">
      <c r="A46" t="inlineStr">
        <is>
          <t>West gate</t>
        </is>
      </c>
      <c r="B46" t="n">
        <v>0</v>
      </c>
      <c r="C46" t="n">
        <v>1</v>
      </c>
      <c r="D46" t="n">
        <v>0</v>
      </c>
      <c r="F46" s="72" t="n">
        <v>0.05</v>
      </c>
      <c r="H46" t="inlineStr">
        <is>
          <t>the fifteenth day, 1 shilling.</t>
        </is>
      </c>
    </row>
    <row r="47">
      <c r="A47" t="inlineStr">
        <is>
          <t>West gate</t>
        </is>
      </c>
      <c r="B47" t="n">
        <v>0</v>
      </c>
      <c r="C47" t="n">
        <v>1</v>
      </c>
      <c r="D47" t="n">
        <v>3</v>
      </c>
      <c r="F47" s="72" t="n">
        <v>0.06</v>
      </c>
      <c r="H47" t="inlineStr">
        <is>
          <t xml:space="preserve">the sixteenth day, 1 shilling 3pence </t>
        </is>
      </c>
    </row>
    <row r="48">
      <c r="A48" t="inlineStr">
        <is>
          <t>West gate</t>
        </is>
      </c>
      <c r="B48" t="n">
        <v>0</v>
      </c>
      <c r="C48" t="n">
        <v>17</v>
      </c>
      <c r="D48" t="n">
        <v>10</v>
      </c>
      <c r="F48" s="72">
        <f>B48+C48/20+D48/240</f>
        <v/>
      </c>
      <c r="H48" t="inlineStr">
        <is>
          <t>Total, 17 shilling 10pence</t>
        </is>
      </c>
    </row>
    <row r="49">
      <c r="A49" t="inlineStr">
        <is>
          <t>West gate</t>
        </is>
      </c>
      <c r="F49" s="72">
        <f>SUM(F35:F47)</f>
        <v/>
      </c>
      <c r="G49" s="129">
        <f>F49-F48</f>
        <v/>
      </c>
      <c r="H49" t="inlineStr">
        <is>
          <t>Total</t>
        </is>
      </c>
    </row>
    <row r="50"/>
    <row r="51">
      <c r="A51" t="inlineStr">
        <is>
          <t>All Gates</t>
        </is>
      </c>
      <c r="B51" t="n">
        <v>4</v>
      </c>
      <c r="C51" t="n">
        <v>11</v>
      </c>
      <c r="D51" t="n">
        <v>4</v>
      </c>
      <c r="F51" s="72" t="n">
        <v>4.57</v>
      </c>
      <c r="H51" t="inlineStr">
        <is>
          <t>Total of all the gates, £4 11 shilling 4pence</t>
        </is>
      </c>
    </row>
    <row r="52"/>
    <row r="53">
      <c r="A53" t="inlineStr">
        <is>
          <t>West gate</t>
        </is>
      </c>
      <c r="B53" t="n">
        <v>1</v>
      </c>
      <c r="C53" t="n">
        <v>8</v>
      </c>
      <c r="D53" t="n">
        <v>5</v>
      </c>
      <c r="F53" s="72" t="n">
        <v>1.42</v>
      </c>
      <c r="H53" t="inlineStr">
        <is>
          <t xml:space="preserve">From payments for using the tron (de magno pondere) this year, £1 8 shilling 5pence </t>
        </is>
      </c>
    </row>
    <row r="54">
      <c r="F54" s="72">
        <f>F53</f>
        <v/>
      </c>
      <c r="G54" s="129">
        <f>F54-F53</f>
        <v/>
      </c>
      <c r="H54" t="inlineStr">
        <is>
          <t>Total the same.</t>
        </is>
      </c>
    </row>
    <row r="55"/>
    <row r="56">
      <c r="A56" t="inlineStr">
        <is>
          <t>West gate</t>
        </is>
      </c>
      <c r="B56" t="n">
        <v>23</v>
      </c>
      <c r="C56" t="n">
        <v>0</v>
      </c>
      <c r="D56" t="n">
        <v>6.5</v>
      </c>
      <c r="F56" s="72" t="n">
        <v>23.03</v>
      </c>
      <c r="H56" t="inlineStr">
        <is>
          <t>From ground-rents (de terragio) this year, £23 6.5pence</t>
        </is>
      </c>
    </row>
    <row r="57">
      <c r="A57" t="inlineStr">
        <is>
          <t>West gate</t>
        </is>
      </c>
      <c r="B57" t="n">
        <v>1</v>
      </c>
      <c r="C57" t="n">
        <v>0</v>
      </c>
      <c r="D57" t="n">
        <v>10</v>
      </c>
      <c r="F57" s="72" t="n">
        <v>1.04</v>
      </c>
      <c r="H57" t="inlineStr">
        <is>
          <t>From toll on cattle (de boagio) this year, £1 10pence</t>
        </is>
      </c>
    </row>
    <row r="58">
      <c r="A58" t="inlineStr">
        <is>
          <t>West gate</t>
        </is>
      </c>
      <c r="B58" t="n">
        <v>2</v>
      </c>
      <c r="C58" t="n">
        <v>2</v>
      </c>
      <c r="D58" t="n">
        <v>6</v>
      </c>
      <c r="F58" s="72" t="n">
        <v>2.12</v>
      </c>
      <c r="H58" t="inlineStr">
        <is>
          <t>From the seldage of Ireland this year, that is, for 17 windows, £2 2 shilling 6pence, at 2 shilling 6pence a window.</t>
        </is>
      </c>
    </row>
    <row r="59">
      <c r="A59" t="inlineStr">
        <is>
          <t>West gate</t>
        </is>
      </c>
      <c r="B59" t="n">
        <v>2</v>
      </c>
      <c r="C59" t="n">
        <v>0</v>
      </c>
      <c r="D59" t="n">
        <v>0</v>
      </c>
      <c r="F59" s="72" t="n">
        <v>2</v>
      </c>
      <c r="H59" t="inlineStr">
        <is>
          <t>From the seldage of York this year, £2.</t>
        </is>
      </c>
    </row>
    <row r="60">
      <c r="A60" t="inlineStr">
        <is>
          <t>West gate</t>
        </is>
      </c>
      <c r="B60" t="n">
        <v>4</v>
      </c>
      <c r="C60" t="n">
        <v>2</v>
      </c>
      <c r="D60" t="n">
        <v>0</v>
      </c>
      <c r="F60" s="72" t="n">
        <v>4.1</v>
      </c>
      <c r="H60" t="inlineStr">
        <is>
          <t>From the seldage of the burellers this year, £4 2 shilling</t>
        </is>
      </c>
    </row>
    <row r="61">
      <c r="A61" t="inlineStr">
        <is>
          <t>West gate</t>
        </is>
      </c>
      <c r="B61" t="n">
        <v>0</v>
      </c>
      <c r="C61" t="n">
        <v>5</v>
      </c>
      <c r="D61" t="n">
        <v>0</v>
      </c>
      <c r="F61" s="72" t="n">
        <v>0.25</v>
      </c>
      <c r="H61" t="inlineStr">
        <is>
          <t>From the seldage of Lincoln this year, 5 shilling</t>
        </is>
      </c>
    </row>
    <row r="62">
      <c r="A62" t="inlineStr">
        <is>
          <t>West gate</t>
        </is>
      </c>
      <c r="B62" t="n">
        <v>1</v>
      </c>
      <c r="C62" t="n">
        <v>19</v>
      </c>
      <c r="D62" t="n">
        <v>0</v>
      </c>
      <c r="F62" s="72" t="n">
        <v>1.95</v>
      </c>
      <c r="H62" t="inlineStr">
        <is>
          <t>From the seldage of the French and Cornish, for 13 windows, £1 19 shilling, at 3 shilling a window.</t>
        </is>
      </c>
    </row>
    <row r="63">
      <c r="A63" t="inlineStr">
        <is>
          <t>West gate</t>
        </is>
      </c>
      <c r="B63" t="n">
        <v>34</v>
      </c>
      <c r="C63" t="n">
        <v>9</v>
      </c>
      <c r="D63" t="n">
        <v>10.5</v>
      </c>
      <c r="F63" s="72" t="n">
        <v>34.49</v>
      </c>
      <c r="H63" t="inlineStr">
        <is>
          <t>Total, £34 9 shilling 10.5pence</t>
        </is>
      </c>
    </row>
    <row r="64">
      <c r="F64" s="72">
        <f>SUM(F56:F62)</f>
        <v/>
      </c>
      <c r="G64" s="129">
        <f>F64-F63</f>
        <v/>
      </c>
      <c r="H64" t="inlineStr">
        <is>
          <t>Total</t>
        </is>
      </c>
    </row>
    <row r="65"/>
    <row r="66">
      <c r="A66" t="inlineStr">
        <is>
          <t>West gate</t>
        </is>
      </c>
      <c r="B66" t="n">
        <v>0</v>
      </c>
      <c r="C66" t="n">
        <v>7</v>
      </c>
      <c r="D66" t="n">
        <v>5</v>
      </c>
      <c r="F66" s="72" t="n">
        <v>0.37</v>
      </c>
      <c r="H66" t="inlineStr">
        <is>
          <t>From the entry of the fair this year, 7 shilling 5pence</t>
        </is>
      </c>
    </row>
    <row r="67">
      <c r="A67" t="inlineStr">
        <is>
          <t>West gate</t>
        </is>
      </c>
      <c r="B67" t="n">
        <v>2</v>
      </c>
      <c r="C67" t="n">
        <v>0</v>
      </c>
      <c r="D67" t="n">
        <v>0</v>
      </c>
      <c r="F67" s="72" t="n">
        <v>2</v>
      </c>
      <c r="H67" t="inlineStr">
        <is>
          <t>From the Romsey, Redbridge and Crawley roads, £2.</t>
        </is>
      </c>
    </row>
    <row r="68">
      <c r="A68" t="inlineStr">
        <is>
          <t>West gate</t>
        </is>
      </c>
      <c r="B68" t="n">
        <v>0</v>
      </c>
      <c r="C68" t="n">
        <v>3</v>
      </c>
      <c r="D68" t="n">
        <v>0</v>
      </c>
      <c r="F68" s="72" t="n">
        <v>0.15</v>
      </c>
      <c r="H68" t="inlineStr">
        <is>
          <t>From the Cheriton and Alresford roads, 3 shilling</t>
        </is>
      </c>
    </row>
    <row r="69">
      <c r="A69" t="inlineStr">
        <is>
          <t>West gate</t>
        </is>
      </c>
      <c r="B69" t="n">
        <v>5</v>
      </c>
      <c r="C69" t="n">
        <v>13</v>
      </c>
      <c r="D69" t="n">
        <v>4</v>
      </c>
      <c r="F69" s="72" t="n">
        <v>5.67</v>
      </c>
      <c r="H69" t="inlineStr">
        <is>
          <t>From the office of reeve of the city this year, £5 13 shilling 4pence</t>
        </is>
      </c>
    </row>
    <row r="70">
      <c r="A70" t="inlineStr">
        <is>
          <t>West gate</t>
        </is>
      </c>
      <c r="B70" t="n">
        <v>0</v>
      </c>
      <c r="C70" t="n">
        <v>10</v>
      </c>
      <c r="D70" t="n">
        <v>0</v>
      </c>
      <c r="F70" s="72" t="n">
        <v>0.5</v>
      </c>
      <c r="H70" t="inlineStr">
        <is>
          <t>From traders in saddles and ladders this year, 10 shilling</t>
        </is>
      </c>
    </row>
    <row r="71">
      <c r="A71" t="inlineStr">
        <is>
          <t>West gate</t>
        </is>
      </c>
      <c r="B71" t="n">
        <v>0</v>
      </c>
      <c r="C71" t="n">
        <v>0</v>
      </c>
      <c r="D71" t="n">
        <v>10</v>
      </c>
      <c r="F71" s="72" t="n">
        <v>0.04</v>
      </c>
      <c r="H71" t="inlineStr">
        <is>
          <t>From traders in burel this year, 10pence</t>
        </is>
      </c>
    </row>
    <row r="72">
      <c r="A72" t="inlineStr">
        <is>
          <t>West gate</t>
        </is>
      </c>
      <c r="B72" t="n">
        <v>0</v>
      </c>
      <c r="C72" t="n">
        <v>2</v>
      </c>
      <c r="D72" t="n">
        <v>2</v>
      </c>
      <c r="F72" s="72" t="n">
        <v>0.11</v>
      </c>
      <c r="H72" t="inlineStr">
        <is>
          <t>From traders in teasels this year, 2 shilling 2pence</t>
        </is>
      </c>
    </row>
    <row r="73">
      <c r="A73" t="inlineStr">
        <is>
          <t>West gate</t>
        </is>
      </c>
      <c r="B73" t="n">
        <v>0</v>
      </c>
      <c r="C73" t="n">
        <v>0</v>
      </c>
      <c r="D73" t="n">
        <v>7</v>
      </c>
      <c r="F73" s="72" t="n">
        <v>0.03</v>
      </c>
      <c r="H73" t="inlineStr">
        <is>
          <t>From traders in wheels this year, 7pence</t>
        </is>
      </c>
    </row>
    <row r="74">
      <c r="A74" t="inlineStr">
        <is>
          <t>West gate</t>
        </is>
      </c>
      <c r="B74" t="n">
        <v>3</v>
      </c>
      <c r="C74" t="n">
        <v>0</v>
      </c>
      <c r="D74" t="n">
        <v>0</v>
      </c>
      <c r="F74" s="72" t="n">
        <v>3</v>
      </c>
      <c r="H74" t="inlineStr">
        <is>
          <t>From animals in the meadows and fields this year, £3</t>
        </is>
      </c>
    </row>
    <row r="75">
      <c r="A75" t="inlineStr">
        <is>
          <t>West gate</t>
        </is>
      </c>
      <c r="B75" t="n">
        <v>0</v>
      </c>
      <c r="C75" t="n">
        <v>16</v>
      </c>
      <c r="D75" t="n">
        <v>0</v>
      </c>
      <c r="F75" s="72" t="n">
        <v>0.8</v>
      </c>
      <c r="H75" t="inlineStr">
        <is>
          <t>From the official in charge of the animals (de ministr' animal') at the fair this year, 16 shilling</t>
        </is>
      </c>
    </row>
    <row r="76">
      <c r="A76" t="inlineStr">
        <is>
          <t>West gate</t>
        </is>
      </c>
      <c r="B76" t="n">
        <v>2</v>
      </c>
      <c r="C76" t="n">
        <v>1</v>
      </c>
      <c r="D76" t="n">
        <v>4</v>
      </c>
      <c r="F76" s="72" t="n">
        <v>2.07</v>
      </c>
      <c r="H76" t="inlineStr">
        <is>
          <t>From the pleas and perquisites of the Pavilion this year, £2 1 shilling 4pence</t>
        </is>
      </c>
    </row>
    <row r="77">
      <c r="A77" t="inlineStr">
        <is>
          <t>West gate</t>
        </is>
      </c>
      <c r="B77" t="n">
        <v>1</v>
      </c>
      <c r="C77" t="n">
        <v>3</v>
      </c>
      <c r="D77" t="n">
        <v>9</v>
      </c>
      <c r="F77" s="72" t="n">
        <v>1.19</v>
      </c>
      <c r="H77" t="inlineStr">
        <is>
          <t>For the favour of entering the fair after the day of the Nativity of the blessed Mary (8 September), £1 3 shilling 9pence</t>
        </is>
      </c>
    </row>
    <row r="78">
      <c r="A78" t="inlineStr">
        <is>
          <t>West gate</t>
        </is>
      </c>
      <c r="B78" t="n">
        <v>0</v>
      </c>
      <c r="C78" t="n">
        <v>0</v>
      </c>
      <c r="D78" t="n">
        <v>0</v>
      </c>
      <c r="F78" s="72" t="n">
        <v>0</v>
      </c>
      <c r="H78" t="inlineStr">
        <is>
          <t>From the issues of the fair: from the roofing of the toll-house sold, and from hedges, nothing this year.</t>
        </is>
      </c>
    </row>
    <row r="79">
      <c r="A79" t="inlineStr">
        <is>
          <t>West gate</t>
        </is>
      </c>
      <c r="B79" t="n">
        <v>15</v>
      </c>
      <c r="C79" t="n">
        <v>17</v>
      </c>
      <c r="D79" t="n">
        <v>7</v>
      </c>
      <c r="F79" s="72" t="n">
        <v>15.88</v>
      </c>
      <c r="H79" t="inlineStr">
        <is>
          <t>Total, £15 17 shilling 7pence</t>
        </is>
      </c>
    </row>
    <row r="80"/>
    <row r="81">
      <c r="A81" t="inlineStr">
        <is>
          <t>Total of all receipts</t>
        </is>
      </c>
      <c r="B81" t="n">
        <v>56</v>
      </c>
      <c r="C81" t="n">
        <v>7</v>
      </c>
      <c r="D81" t="n">
        <v>2.5</v>
      </c>
      <c r="F81" s="72" t="n">
        <v>56.36</v>
      </c>
      <c r="H81" t="inlineStr">
        <is>
          <t>Total of all receipts, £56 7 shilling 2.5pence</t>
        </is>
      </c>
    </row>
    <row r="82">
      <c r="F82" s="72">
        <f>F79+F63+F51+F54</f>
        <v/>
      </c>
      <c r="G82" s="129">
        <f>F82-F81</f>
        <v/>
      </c>
      <c r="H82" t="inlineStr">
        <is>
          <t>Total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2"/>
  <sheetViews>
    <sheetView topLeftCell="A1" workbookViewId="0">
      <selection activeCell="A1" sqref="A1"/>
    </sheetView>
  </sheetViews>
  <sheetFormatPr baseColWidth="8" defaultRowHeight="15"/>
  <cols>
    <col width="21" customWidth="1" min="1" max="1"/>
    <col width="8.83203125" customWidth="1" min="7" max="7"/>
  </cols>
  <sheetData>
    <row r="1" ht="16" customHeight="1">
      <c r="A1" s="2" t="inlineStr">
        <is>
          <t>ST GILES FAIR RECEIPTS</t>
        </is>
      </c>
    </row>
    <row r="2">
      <c r="A2" s="37" t="inlineStr">
        <is>
          <t>Heading</t>
        </is>
      </c>
      <c r="B2" s="37" t="inlineStr">
        <is>
          <t>Pounds</t>
        </is>
      </c>
      <c r="C2" s="37" t="inlineStr">
        <is>
          <t>Shillings</t>
        </is>
      </c>
      <c r="D2" s="37" t="inlineStr">
        <is>
          <t>Pence</t>
        </is>
      </c>
      <c r="E2" s="37" t="n"/>
      <c r="F2" s="37" t="inlineStr">
        <is>
          <t>Total in Pounds</t>
        </is>
      </c>
      <c r="G2" s="130" t="inlineStr">
        <is>
          <t>Error</t>
        </is>
      </c>
      <c r="H2" s="37" t="inlineStr">
        <is>
          <t>Sentence</t>
        </is>
      </c>
    </row>
    <row r="3">
      <c r="A3" t="inlineStr">
        <is>
          <t>Expenses</t>
        </is>
      </c>
      <c r="B3" t="n">
        <v>0</v>
      </c>
      <c r="C3" t="n">
        <v>2</v>
      </c>
      <c r="D3" t="n">
        <v>8</v>
      </c>
      <c r="F3" t="n">
        <v>0.13</v>
      </c>
      <c r="H3" t="inlineStr">
        <is>
          <t>Keeper of the East Gate from the first day for 16 days, William in the Den' of Chidden, 2 shilling 8pence</t>
        </is>
      </c>
    </row>
    <row r="4">
      <c r="A4" t="inlineStr">
        <is>
          <t>Expenses</t>
        </is>
      </c>
      <c r="B4" t="n">
        <v>0</v>
      </c>
      <c r="C4" t="n">
        <v>2</v>
      </c>
      <c r="D4" t="n">
        <v>8</v>
      </c>
      <c r="F4" t="n">
        <v>0.13</v>
      </c>
      <c r="H4" t="inlineStr">
        <is>
          <t>Keeper of the South Gate for 8 days, Hugh de Hursley and William Kyrie, 2 shilling 8pence</t>
        </is>
      </c>
    </row>
    <row r="5">
      <c r="A5" t="inlineStr">
        <is>
          <t>Expenses</t>
        </is>
      </c>
      <c r="B5" t="n">
        <v>0</v>
      </c>
      <c r="C5" t="n">
        <v>2</v>
      </c>
      <c r="D5" t="n">
        <v>8</v>
      </c>
      <c r="F5" t="n">
        <v>0.13</v>
      </c>
      <c r="H5" t="inlineStr">
        <is>
          <t xml:space="preserve">Keeper of the West Gate from the first day for 16 days, Richard de Frylend', 2 shilling 8pence </t>
        </is>
      </c>
    </row>
    <row r="6">
      <c r="A6" t="inlineStr">
        <is>
          <t>Expenses</t>
        </is>
      </c>
      <c r="B6" t="n">
        <v>0</v>
      </c>
      <c r="C6" t="n">
        <v>0</v>
      </c>
      <c r="D6" t="n">
        <v>0</v>
      </c>
      <c r="F6" t="n">
        <v>0</v>
      </c>
      <c r="H6" t="inlineStr">
        <is>
          <t>Keeper of saddles and ladders, fanned out to John Gentyl and John, sergeant of the Soke</t>
        </is>
      </c>
    </row>
    <row r="7">
      <c r="A7" t="inlineStr">
        <is>
          <t>Expenses</t>
        </is>
      </c>
      <c r="B7" t="n">
        <v>0</v>
      </c>
      <c r="C7" t="n">
        <v>0</v>
      </c>
      <c r="D7" t="n">
        <v>0</v>
      </c>
      <c r="F7" t="n">
        <v>0</v>
      </c>
      <c r="H7" t="inlineStr">
        <is>
          <t>Keeper of animals at the fair, farmed out to Walter Crude.</t>
        </is>
      </c>
    </row>
    <row r="8">
      <c r="A8" t="inlineStr">
        <is>
          <t>Expenses</t>
        </is>
      </c>
      <c r="B8" t="n">
        <v>0</v>
      </c>
      <c r="C8" t="n">
        <v>0</v>
      </c>
      <c r="D8" t="n">
        <v>0</v>
      </c>
      <c r="F8" t="n">
        <v>0</v>
      </c>
      <c r="H8" t="inlineStr">
        <is>
          <t>Keeper of animals in the meadows, farmed out to Hugh Balehorn.</t>
        </is>
      </c>
    </row>
    <row r="9">
      <c r="A9" t="inlineStr">
        <is>
          <t>Expenses</t>
        </is>
      </c>
      <c r="B9" t="n">
        <v>0</v>
      </c>
      <c r="C9" t="n">
        <v>0</v>
      </c>
      <c r="D9" t="n">
        <v>0</v>
      </c>
      <c r="F9" t="n">
        <v>0</v>
      </c>
      <c r="H9" t="inlineStr">
        <is>
          <t>Keeper of the office of reeve of the city, farmed out to Peter de Portesmuth' and Walter de Tysted'; the minor reeve, John Jackemyson'.</t>
        </is>
      </c>
    </row>
    <row r="10">
      <c r="A10" t="inlineStr">
        <is>
          <t>Expenses</t>
        </is>
      </c>
      <c r="B10" t="n">
        <v>0</v>
      </c>
      <c r="C10" t="n">
        <v>0</v>
      </c>
      <c r="D10" t="n">
        <v>0</v>
      </c>
      <c r="F10" t="n">
        <v>0</v>
      </c>
      <c r="H10" t="inlineStr">
        <is>
          <t>Keeper of the Romsey, Redbridge, Hursley and Crawley roads, farmed out to [John Tothull']</t>
        </is>
      </c>
    </row>
    <row r="11">
      <c r="A11" t="inlineStr">
        <is>
          <t>Expenses</t>
        </is>
      </c>
      <c r="B11" t="n">
        <v>0</v>
      </c>
      <c r="C11" t="n">
        <v>0</v>
      </c>
      <c r="D11" t="n">
        <v>0</v>
      </c>
      <c r="F11" t="n">
        <v>0</v>
      </c>
      <c r="H11" t="inlineStr">
        <is>
          <t>[Keeper of the' Cheriton and Alresford roadsl, Hugh le Forster.</t>
        </is>
      </c>
    </row>
    <row r="12">
      <c r="A12" t="inlineStr">
        <is>
          <t>Expenses</t>
        </is>
      </c>
      <c r="B12" t="n">
        <v>0</v>
      </c>
      <c r="C12" t="n">
        <v>0</v>
      </c>
      <c r="D12" t="n">
        <v>0</v>
      </c>
      <c r="F12" t="n">
        <v>0</v>
      </c>
      <c r="H12" t="inlineStr">
        <is>
          <t>Keeper of the traders in burel, William Sarr' and William de Colbrok'.</t>
        </is>
      </c>
    </row>
    <row r="13">
      <c r="A13" t="inlineStr">
        <is>
          <t>Expenses</t>
        </is>
      </c>
      <c r="B13" t="n">
        <v>0</v>
      </c>
      <c r="C13" t="n">
        <v>0</v>
      </c>
      <c r="D13" t="n">
        <v>0</v>
      </c>
      <c r="F13" t="n">
        <v>0</v>
      </c>
      <c r="H13" t="inlineStr">
        <is>
          <t>Teasels, John Masseday, Laurence de Wilehal', Walter ate Yate.</t>
        </is>
      </c>
    </row>
    <row r="14">
      <c r="A14" t="inlineStr">
        <is>
          <t>Expenses</t>
        </is>
      </c>
      <c r="B14" t="n">
        <v>0</v>
      </c>
      <c r="C14" t="n">
        <v>0</v>
      </c>
      <c r="D14" t="n">
        <v>0</v>
      </c>
      <c r="F14" t="n">
        <v>0</v>
      </c>
      <c r="H14" t="inlineStr">
        <is>
          <t>Wheels, Richard Canon, Adam Burgeys.</t>
        </is>
      </c>
    </row>
    <row r="15">
      <c r="A15" t="inlineStr">
        <is>
          <t>Expenses</t>
        </is>
      </c>
      <c r="B15" t="n">
        <v>0</v>
      </c>
      <c r="C15" t="n">
        <v>0</v>
      </c>
      <c r="D15" t="n">
        <v>0</v>
      </c>
      <c r="F15" t="n">
        <v>0</v>
      </c>
      <c r="H15" t="inlineStr">
        <is>
          <t>Keeper of the tron (cust' magni pond'), John de Herierd'.</t>
        </is>
      </c>
    </row>
    <row r="16">
      <c r="A16" t="inlineStr">
        <is>
          <t>Expenses</t>
        </is>
      </c>
      <c r="B16" t="n">
        <v>0</v>
      </c>
      <c r="C16" t="n">
        <v>6</v>
      </c>
      <c r="D16" t="n">
        <v>8</v>
      </c>
      <c r="F16" t="n">
        <v>0.33</v>
      </c>
      <c r="H16" t="inlineStr">
        <is>
          <t>Weigher, William de Wandlesworth', 6 shilling 8pence</t>
        </is>
      </c>
    </row>
    <row r="17">
      <c r="A17" t="inlineStr">
        <is>
          <t>Expenses</t>
        </is>
      </c>
      <c r="B17" t="n">
        <v>0</v>
      </c>
      <c r="C17" t="n">
        <v>2</v>
      </c>
      <c r="D17" t="n">
        <v>8</v>
      </c>
      <c r="F17" t="n">
        <v>0.13</v>
      </c>
      <c r="H17" t="inlineStr">
        <is>
          <t>Door-keeper of the pavilion, Jordan, the bishop's squire, 2 shilling 8pence</t>
        </is>
      </c>
    </row>
    <row r="18">
      <c r="A18" t="inlineStr">
        <is>
          <t>Expenses</t>
        </is>
      </c>
      <c r="B18" t="n">
        <v>0</v>
      </c>
      <c r="C18" t="n">
        <v>5</v>
      </c>
      <c r="D18" t="n">
        <v>0</v>
      </c>
      <c r="F18" t="n">
        <v>0.25</v>
      </c>
      <c r="H18" t="inlineStr">
        <is>
          <t>Chamberlain of the pavilion, Richard le Palmere of Alresford, 5 shilling</t>
        </is>
      </c>
    </row>
    <row r="19">
      <c r="A19" t="inlineStr">
        <is>
          <t>Expenses</t>
        </is>
      </c>
      <c r="B19" t="n">
        <v>0</v>
      </c>
      <c r="C19" t="n">
        <v>2</v>
      </c>
      <c r="D19" t="n">
        <v>0</v>
      </c>
      <c r="F19" t="n">
        <v>0.1</v>
      </c>
      <c r="H19" t="inlineStr">
        <is>
          <t>Crier in the fair and city, G. Marescallus, 2 shilling</t>
        </is>
      </c>
    </row>
    <row r="20"/>
    <row r="21">
      <c r="A21" t="inlineStr">
        <is>
          <t>Expenses</t>
        </is>
      </c>
      <c r="B21" t="n">
        <v>1</v>
      </c>
      <c r="C21" t="n">
        <v>4</v>
      </c>
      <c r="D21" t="n">
        <v>4</v>
      </c>
      <c r="F21" t="n">
        <v>1.22</v>
      </c>
      <c r="H21" t="inlineStr">
        <is>
          <t>Total, £1 4 shilling 4pence</t>
        </is>
      </c>
    </row>
    <row r="22">
      <c r="A22" t="inlineStr">
        <is>
          <t>Expenses</t>
        </is>
      </c>
      <c r="F22">
        <f>SUM(F3:F19)</f>
        <v/>
      </c>
      <c r="G22" s="131">
        <f>F22-F21</f>
        <v/>
      </c>
      <c r="H22" t="inlineStr">
        <is>
          <t>Total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row r="1">
      <c r="A1" t="inlineStr">
        <is>
          <t>no grange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row r="1">
      <c r="A1" t="inlineStr">
        <is>
          <t>no stock account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D109"/>
  <sheetViews>
    <sheetView topLeftCell="A1" workbookViewId="0">
      <selection activeCell="A1" sqref="A1"/>
    </sheetView>
  </sheetViews>
  <sheetFormatPr baseColWidth="8" defaultRowHeight="15"/>
  <cols>
    <col width="18" customWidth="1" min="1" max="1"/>
  </cols>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shilling a quarter 1</t>
        </is>
      </c>
      <c r="P1" s="1" t="inlineStr">
        <is>
          <t>pence a quarter 1</t>
        </is>
      </c>
      <c r="Q1" s="1" t="inlineStr">
        <is>
          <t>shilling a quarter 2</t>
        </is>
      </c>
      <c r="R1" s="1" t="inlineStr">
        <is>
          <t>pence a quarter 2</t>
        </is>
      </c>
      <c r="S1" s="1" t="inlineStr">
        <is>
          <t>shilling a quarter 3</t>
        </is>
      </c>
      <c r="T1" s="1" t="inlineStr">
        <is>
          <t>pence a quarter 3</t>
        </is>
      </c>
      <c r="U1" s="1" t="inlineStr">
        <is>
          <t>shilling a quarter 4</t>
        </is>
      </c>
      <c r="V1" s="1" t="inlineStr">
        <is>
          <t>pence a quarter 4</t>
        </is>
      </c>
      <c r="W1" s="1" t="inlineStr">
        <is>
          <t>shilling a bushel 1</t>
        </is>
      </c>
      <c r="X1" s="1" t="inlineStr">
        <is>
          <t>pence a bushel 1</t>
        </is>
      </c>
      <c r="Y1" s="1" t="inlineStr">
        <is>
          <t>shilling a bushel 2</t>
        </is>
      </c>
      <c r="Z1" s="1" t="inlineStr">
        <is>
          <t>pence a bushel 2</t>
        </is>
      </c>
      <c r="AA1" s="1" t="inlineStr">
        <is>
          <t>shilling a bushel 3</t>
        </is>
      </c>
      <c r="AB1" s="1" t="inlineStr">
        <is>
          <t>pence a bushel 3</t>
        </is>
      </c>
      <c r="AC1" s="1" t="inlineStr">
        <is>
          <t>shilling a bushel 4</t>
        </is>
      </c>
      <c r="AD1" s="1" t="inlineStr">
        <is>
          <t>pence a bushel 4</t>
        </is>
      </c>
    </row>
    <row r="2">
      <c r="A2" t="inlineStr">
        <is>
          <t>South Gate</t>
        </is>
      </c>
      <c r="B2" t="inlineStr">
        <is>
          <t>The first, second, third and fourth day, 1 shilling 2pence.</t>
        </is>
      </c>
      <c r="C2" t="n">
        <v>0.06</v>
      </c>
      <c r="D2" t="n">
        <v>0</v>
      </c>
      <c r="E2" t="n">
        <v>1</v>
      </c>
      <c r="F2" t="n">
        <v>2</v>
      </c>
      <c r="H2" t="n">
        <v>0</v>
      </c>
      <c r="I2" t="n">
        <v>0</v>
      </c>
      <c r="J2" t="n">
        <v>0</v>
      </c>
      <c r="K2" t="n">
        <v>0</v>
      </c>
      <c r="L2" t="n">
        <v>0</v>
      </c>
      <c r="M2" t="n">
        <v>0</v>
      </c>
      <c r="N2" t="n">
        <v>0</v>
      </c>
    </row>
    <row r="3">
      <c r="A3" t="inlineStr">
        <is>
          <t>South Gate</t>
        </is>
      </c>
      <c r="B3" t="inlineStr">
        <is>
          <t>the fifth day, 3 shilling.</t>
        </is>
      </c>
      <c r="C3" t="n">
        <v>0.15</v>
      </c>
      <c r="D3" t="n">
        <v>0</v>
      </c>
      <c r="E3" t="n">
        <v>3</v>
      </c>
      <c r="F3" t="n">
        <v>0</v>
      </c>
      <c r="H3" t="n">
        <v>0</v>
      </c>
      <c r="I3" t="n">
        <v>0</v>
      </c>
      <c r="J3" t="n">
        <v>0</v>
      </c>
      <c r="K3" t="n">
        <v>0</v>
      </c>
      <c r="L3" t="n">
        <v>0</v>
      </c>
      <c r="M3" t="n">
        <v>0</v>
      </c>
      <c r="N3" t="n">
        <v>0</v>
      </c>
    </row>
    <row r="4">
      <c r="A4" t="inlineStr">
        <is>
          <t>South Gate</t>
        </is>
      </c>
      <c r="B4" t="inlineStr">
        <is>
          <t>the sixth day, 5 shilling 7pence.</t>
        </is>
      </c>
      <c r="C4" t="n">
        <v>0.28</v>
      </c>
      <c r="D4" t="n">
        <v>0</v>
      </c>
      <c r="E4" t="n">
        <v>5</v>
      </c>
      <c r="F4" t="n">
        <v>7</v>
      </c>
      <c r="H4" t="n">
        <v>0</v>
      </c>
      <c r="I4" t="n">
        <v>0</v>
      </c>
      <c r="J4" t="n">
        <v>0</v>
      </c>
      <c r="K4" t="n">
        <v>0</v>
      </c>
      <c r="L4" t="n">
        <v>0</v>
      </c>
      <c r="M4" t="n">
        <v>0</v>
      </c>
      <c r="N4" t="n">
        <v>0</v>
      </c>
    </row>
    <row r="5">
      <c r="A5" t="inlineStr">
        <is>
          <t>South Gate</t>
        </is>
      </c>
      <c r="B5" t="inlineStr">
        <is>
          <t>the seventh day, 17 shilling 4pence.</t>
        </is>
      </c>
      <c r="C5" t="n">
        <v>0.87</v>
      </c>
      <c r="D5" t="n">
        <v>0</v>
      </c>
      <c r="E5" t="n">
        <v>17</v>
      </c>
      <c r="F5" t="n">
        <v>4</v>
      </c>
      <c r="H5" t="n">
        <v>0</v>
      </c>
      <c r="I5" t="n">
        <v>0</v>
      </c>
      <c r="J5" t="n">
        <v>0</v>
      </c>
      <c r="K5" t="n">
        <v>0</v>
      </c>
      <c r="L5" t="n">
        <v>0</v>
      </c>
      <c r="M5" t="n">
        <v>0</v>
      </c>
      <c r="N5" t="n">
        <v>0</v>
      </c>
    </row>
    <row r="6">
      <c r="A6" t="inlineStr">
        <is>
          <t>South Gate</t>
        </is>
      </c>
      <c r="B6" t="inlineStr">
        <is>
          <t>the eighth day, 12 shilling 4pence.</t>
        </is>
      </c>
      <c r="C6" t="n">
        <v>0.62</v>
      </c>
      <c r="D6" t="n">
        <v>0</v>
      </c>
      <c r="E6" t="n">
        <v>12</v>
      </c>
      <c r="F6" t="n">
        <v>4</v>
      </c>
      <c r="H6" t="n">
        <v>0</v>
      </c>
      <c r="I6" t="n">
        <v>0</v>
      </c>
      <c r="J6" t="n">
        <v>0</v>
      </c>
      <c r="K6" t="n">
        <v>0</v>
      </c>
      <c r="L6" t="n">
        <v>0</v>
      </c>
      <c r="M6" t="n">
        <v>0</v>
      </c>
      <c r="N6" t="n">
        <v>0</v>
      </c>
    </row>
    <row r="7">
      <c r="A7" t="inlineStr">
        <is>
          <t>South Gate</t>
        </is>
      </c>
      <c r="B7" t="inlineStr">
        <is>
          <t>the ninth day, 1 shilling 1pence.</t>
        </is>
      </c>
      <c r="C7" t="n">
        <v>0.05</v>
      </c>
      <c r="D7" t="n">
        <v>0</v>
      </c>
      <c r="E7" t="n">
        <v>1</v>
      </c>
      <c r="F7" t="n">
        <v>1</v>
      </c>
      <c r="H7" t="n">
        <v>0</v>
      </c>
      <c r="I7" t="n">
        <v>0</v>
      </c>
      <c r="J7" t="n">
        <v>0</v>
      </c>
      <c r="K7" t="n">
        <v>0</v>
      </c>
      <c r="L7" t="n">
        <v>0</v>
      </c>
      <c r="M7" t="n">
        <v>0</v>
      </c>
      <c r="N7" t="n">
        <v>0</v>
      </c>
    </row>
    <row r="8">
      <c r="A8" t="inlineStr">
        <is>
          <t>South Gate</t>
        </is>
      </c>
      <c r="B8" t="inlineStr">
        <is>
          <t>the tenth day, 2 shilling 6pence.</t>
        </is>
      </c>
      <c r="C8" t="n">
        <v>0.12</v>
      </c>
      <c r="D8" t="n">
        <v>0</v>
      </c>
      <c r="E8" t="n">
        <v>2</v>
      </c>
      <c r="F8" t="n">
        <v>6</v>
      </c>
      <c r="H8" t="n">
        <v>0</v>
      </c>
      <c r="I8" t="n">
        <v>0</v>
      </c>
      <c r="J8" t="n">
        <v>0</v>
      </c>
      <c r="K8" t="n">
        <v>0</v>
      </c>
      <c r="L8" t="n">
        <v>0</v>
      </c>
      <c r="M8" t="n">
        <v>0</v>
      </c>
      <c r="N8" t="n">
        <v>0</v>
      </c>
    </row>
    <row r="9">
      <c r="A9" t="inlineStr">
        <is>
          <t>South Gate</t>
        </is>
      </c>
      <c r="B9" t="inlineStr">
        <is>
          <t>the eleventh day, 2 shilling 3pence.</t>
        </is>
      </c>
      <c r="C9" t="n">
        <v>0.11</v>
      </c>
      <c r="D9" t="n">
        <v>0</v>
      </c>
      <c r="E9" t="n">
        <v>2</v>
      </c>
      <c r="F9" t="n">
        <v>3</v>
      </c>
      <c r="H9" t="n">
        <v>0</v>
      </c>
      <c r="I9" t="n">
        <v>0</v>
      </c>
      <c r="J9" t="n">
        <v>0</v>
      </c>
      <c r="K9" t="n">
        <v>0</v>
      </c>
      <c r="L9" t="n">
        <v>0</v>
      </c>
      <c r="M9" t="n">
        <v>0</v>
      </c>
      <c r="N9" t="n">
        <v>0</v>
      </c>
    </row>
    <row r="10">
      <c r="A10" t="inlineStr">
        <is>
          <t>South Gate</t>
        </is>
      </c>
      <c r="B10" t="inlineStr">
        <is>
          <t>the twelfth day, 2 shilling 7pence.</t>
        </is>
      </c>
      <c r="C10" t="n">
        <v>0.13</v>
      </c>
      <c r="D10" t="n">
        <v>0</v>
      </c>
      <c r="E10" t="n">
        <v>2</v>
      </c>
      <c r="F10" t="n">
        <v>7</v>
      </c>
      <c r="H10" t="n">
        <v>0</v>
      </c>
      <c r="I10" t="n">
        <v>0</v>
      </c>
      <c r="J10" t="n">
        <v>0</v>
      </c>
      <c r="K10" t="n">
        <v>0</v>
      </c>
      <c r="L10" t="n">
        <v>0</v>
      </c>
      <c r="M10" t="n">
        <v>0</v>
      </c>
      <c r="N10" t="n">
        <v>0</v>
      </c>
    </row>
    <row r="11">
      <c r="A11" t="inlineStr">
        <is>
          <t>South Gate</t>
        </is>
      </c>
      <c r="B11" t="inlineStr">
        <is>
          <t>the thirteenth day, 3 shilling 2pence.</t>
        </is>
      </c>
      <c r="C11" t="n">
        <v>0.16</v>
      </c>
      <c r="D11" t="n">
        <v>0</v>
      </c>
      <c r="E11" t="n">
        <v>3</v>
      </c>
      <c r="F11" t="n">
        <v>2</v>
      </c>
      <c r="H11" t="n">
        <v>0</v>
      </c>
      <c r="I11" t="n">
        <v>0</v>
      </c>
      <c r="J11" t="n">
        <v>0</v>
      </c>
      <c r="K11" t="n">
        <v>0</v>
      </c>
      <c r="L11" t="n">
        <v>0</v>
      </c>
      <c r="M11" t="n">
        <v>0</v>
      </c>
      <c r="N11" t="n">
        <v>0</v>
      </c>
    </row>
    <row r="12">
      <c r="A12" t="inlineStr">
        <is>
          <t>South Gate</t>
        </is>
      </c>
      <c r="B12" t="inlineStr">
        <is>
          <t>the fourteenth day, 1 shilling 1pence.</t>
        </is>
      </c>
      <c r="C12" t="n">
        <v>0.05</v>
      </c>
      <c r="D12" t="n">
        <v>0</v>
      </c>
      <c r="E12" t="n">
        <v>1</v>
      </c>
      <c r="F12" t="n">
        <v>1</v>
      </c>
      <c r="H12" t="n">
        <v>0</v>
      </c>
      <c r="I12" t="n">
        <v>0</v>
      </c>
      <c r="J12" t="n">
        <v>0</v>
      </c>
      <c r="K12" t="n">
        <v>0</v>
      </c>
      <c r="L12" t="n">
        <v>0</v>
      </c>
      <c r="M12" t="n">
        <v>0</v>
      </c>
      <c r="N12" t="n">
        <v>0</v>
      </c>
    </row>
    <row r="13">
      <c r="A13" t="inlineStr">
        <is>
          <t>South Gate</t>
        </is>
      </c>
      <c r="B13" t="inlineStr">
        <is>
          <t>the fifteenth day, 4 shilling 5pence.</t>
        </is>
      </c>
      <c r="C13" t="n">
        <v>0.22</v>
      </c>
      <c r="D13" t="n">
        <v>0</v>
      </c>
      <c r="E13" t="n">
        <v>4</v>
      </c>
      <c r="F13" t="n">
        <v>5</v>
      </c>
      <c r="H13" t="n">
        <v>0</v>
      </c>
      <c r="I13" t="n">
        <v>0</v>
      </c>
      <c r="J13" t="n">
        <v>0</v>
      </c>
      <c r="K13" t="n">
        <v>0</v>
      </c>
      <c r="L13" t="n">
        <v>0</v>
      </c>
      <c r="M13" t="n">
        <v>0</v>
      </c>
      <c r="N13" t="n">
        <v>0</v>
      </c>
    </row>
    <row r="14">
      <c r="A14" t="inlineStr">
        <is>
          <t>South Gate</t>
        </is>
      </c>
      <c r="B14" t="inlineStr">
        <is>
          <t>the sixteenth day, 3 shilling Total, £2 19 shilling 6pence</t>
        </is>
      </c>
      <c r="C14" t="n">
        <v>2.98</v>
      </c>
      <c r="D14" t="n">
        <v>2</v>
      </c>
      <c r="E14" t="n">
        <v>19</v>
      </c>
      <c r="F14" t="n">
        <v>6</v>
      </c>
      <c r="H14" t="n">
        <v>0</v>
      </c>
      <c r="I14" t="n">
        <v>0</v>
      </c>
      <c r="J14" t="n">
        <v>0</v>
      </c>
      <c r="K14" t="n">
        <v>0</v>
      </c>
      <c r="L14" t="n">
        <v>0</v>
      </c>
      <c r="M14" t="n">
        <v>0</v>
      </c>
      <c r="N14" t="n">
        <v>0</v>
      </c>
    </row>
    <row r="15">
      <c r="A15" t="inlineStr">
        <is>
          <t>East gate</t>
        </is>
      </c>
      <c r="B15" t="inlineStr">
        <is>
          <t>The first, second, third and fourth day, nothing.</t>
        </is>
      </c>
      <c r="C15" t="n">
        <v>0</v>
      </c>
      <c r="D15" t="n">
        <v>0</v>
      </c>
      <c r="E15" t="n">
        <v>0</v>
      </c>
      <c r="F15" t="n">
        <v>0</v>
      </c>
      <c r="H15" t="n">
        <v>0</v>
      </c>
      <c r="I15" t="n">
        <v>0</v>
      </c>
      <c r="J15" t="n">
        <v>0</v>
      </c>
      <c r="K15" t="n">
        <v>0</v>
      </c>
      <c r="L15" t="n">
        <v>0</v>
      </c>
      <c r="M15" t="n">
        <v>0</v>
      </c>
      <c r="N15" t="n">
        <v>0</v>
      </c>
    </row>
    <row r="16">
      <c r="A16" t="inlineStr">
        <is>
          <t>East gate</t>
        </is>
      </c>
      <c r="B16" t="inlineStr">
        <is>
          <t>the fifth day, nothing.</t>
        </is>
      </c>
      <c r="C16" t="n">
        <v>0</v>
      </c>
      <c r="D16" t="n">
        <v>0</v>
      </c>
      <c r="E16" t="n">
        <v>0</v>
      </c>
      <c r="F16" t="n">
        <v>0</v>
      </c>
      <c r="H16" t="n">
        <v>0</v>
      </c>
      <c r="I16" t="n">
        <v>0</v>
      </c>
      <c r="J16" t="n">
        <v>0</v>
      </c>
      <c r="K16" t="n">
        <v>0</v>
      </c>
      <c r="L16" t="n">
        <v>0</v>
      </c>
      <c r="M16" t="n">
        <v>0</v>
      </c>
      <c r="N16" t="n">
        <v>0</v>
      </c>
    </row>
    <row r="17">
      <c r="A17" t="inlineStr">
        <is>
          <t>East gate</t>
        </is>
      </c>
      <c r="B17" t="inlineStr">
        <is>
          <t>the sixth day, 1 shilling 4pence.</t>
        </is>
      </c>
      <c r="C17" t="n">
        <v>0.07000000000000001</v>
      </c>
      <c r="D17" t="n">
        <v>0</v>
      </c>
      <c r="E17" t="n">
        <v>1</v>
      </c>
      <c r="F17" t="n">
        <v>4</v>
      </c>
      <c r="H17" t="n">
        <v>0</v>
      </c>
      <c r="I17" t="n">
        <v>0</v>
      </c>
      <c r="J17" t="n">
        <v>0</v>
      </c>
      <c r="K17" t="n">
        <v>0</v>
      </c>
      <c r="L17" t="n">
        <v>0</v>
      </c>
      <c r="M17" t="n">
        <v>0</v>
      </c>
      <c r="N17" t="n">
        <v>0</v>
      </c>
    </row>
    <row r="18">
      <c r="A18" t="inlineStr">
        <is>
          <t>East gate</t>
        </is>
      </c>
      <c r="B18" t="inlineStr">
        <is>
          <t>the seventh day, 6pence.</t>
        </is>
      </c>
      <c r="C18" t="n">
        <v>0.03</v>
      </c>
      <c r="D18" t="n">
        <v>0</v>
      </c>
      <c r="E18" t="n">
        <v>0</v>
      </c>
      <c r="F18" t="n">
        <v>6</v>
      </c>
      <c r="H18" t="n">
        <v>0</v>
      </c>
      <c r="I18" t="n">
        <v>0</v>
      </c>
      <c r="J18" t="n">
        <v>0</v>
      </c>
      <c r="K18" t="n">
        <v>0</v>
      </c>
      <c r="L18" t="n">
        <v>0</v>
      </c>
      <c r="M18" t="n">
        <v>0</v>
      </c>
      <c r="N18" t="n">
        <v>0</v>
      </c>
    </row>
    <row r="19">
      <c r="A19" t="inlineStr">
        <is>
          <t>East gate</t>
        </is>
      </c>
      <c r="B19" t="inlineStr">
        <is>
          <t>the eighth day, 1 shilling 2pence.</t>
        </is>
      </c>
      <c r="C19" t="n">
        <v>0.06</v>
      </c>
      <c r="D19" t="n">
        <v>0</v>
      </c>
      <c r="E19" t="n">
        <v>1</v>
      </c>
      <c r="F19" t="n">
        <v>2</v>
      </c>
      <c r="H19" t="n">
        <v>0</v>
      </c>
      <c r="I19" t="n">
        <v>0</v>
      </c>
      <c r="J19" t="n">
        <v>0</v>
      </c>
      <c r="K19" t="n">
        <v>0</v>
      </c>
      <c r="L19" t="n">
        <v>0</v>
      </c>
      <c r="M19" t="n">
        <v>0</v>
      </c>
      <c r="N19" t="n">
        <v>0</v>
      </c>
    </row>
    <row r="20">
      <c r="A20" t="inlineStr">
        <is>
          <t>East gate</t>
        </is>
      </c>
      <c r="B20" t="inlineStr">
        <is>
          <t>the ninth day, 2 shilling 6pence.</t>
        </is>
      </c>
      <c r="C20" t="n">
        <v>0.12</v>
      </c>
      <c r="D20" t="n">
        <v>0</v>
      </c>
      <c r="E20" t="n">
        <v>2</v>
      </c>
      <c r="F20" t="n">
        <v>6</v>
      </c>
      <c r="H20" t="n">
        <v>0</v>
      </c>
      <c r="I20" t="n">
        <v>0</v>
      </c>
      <c r="J20" t="n">
        <v>0</v>
      </c>
      <c r="K20" t="n">
        <v>0</v>
      </c>
      <c r="L20" t="n">
        <v>0</v>
      </c>
      <c r="M20" t="n">
        <v>0</v>
      </c>
      <c r="N20" t="n">
        <v>0</v>
      </c>
    </row>
    <row r="21">
      <c r="A21" t="inlineStr">
        <is>
          <t>East gate</t>
        </is>
      </c>
      <c r="B21" t="inlineStr">
        <is>
          <t>the tenth day, 6pence.</t>
        </is>
      </c>
      <c r="C21" t="n">
        <v>0.03</v>
      </c>
      <c r="D21" t="n">
        <v>0</v>
      </c>
      <c r="E21" t="n">
        <v>0</v>
      </c>
      <c r="F21" t="n">
        <v>6</v>
      </c>
      <c r="H21" t="n">
        <v>0</v>
      </c>
      <c r="I21" t="n">
        <v>0</v>
      </c>
      <c r="J21" t="n">
        <v>0</v>
      </c>
      <c r="K21" t="n">
        <v>0</v>
      </c>
      <c r="L21" t="n">
        <v>0</v>
      </c>
      <c r="M21" t="n">
        <v>0</v>
      </c>
      <c r="N21" t="n">
        <v>0</v>
      </c>
    </row>
    <row r="22">
      <c r="A22" t="inlineStr">
        <is>
          <t>East gate</t>
        </is>
      </c>
      <c r="B22" t="inlineStr">
        <is>
          <t>the eleventh day, 3 shilling 7pence.</t>
        </is>
      </c>
      <c r="C22" t="n">
        <v>0.18</v>
      </c>
      <c r="D22" t="n">
        <v>0</v>
      </c>
      <c r="E22" t="n">
        <v>3</v>
      </c>
      <c r="F22" t="n">
        <v>7</v>
      </c>
      <c r="H22" t="n">
        <v>0</v>
      </c>
      <c r="I22" t="n">
        <v>0</v>
      </c>
      <c r="J22" t="n">
        <v>0</v>
      </c>
      <c r="K22" t="n">
        <v>0</v>
      </c>
      <c r="L22" t="n">
        <v>0</v>
      </c>
      <c r="M22" t="n">
        <v>0</v>
      </c>
      <c r="N22" t="n">
        <v>0</v>
      </c>
    </row>
    <row r="23">
      <c r="A23" t="inlineStr">
        <is>
          <t>East gate</t>
        </is>
      </c>
      <c r="B23" t="inlineStr">
        <is>
          <t>the twelfth day, 1 shilling 9pence.</t>
        </is>
      </c>
      <c r="C23" t="n">
        <v>0.09</v>
      </c>
      <c r="D23" t="n">
        <v>0</v>
      </c>
      <c r="E23" t="n">
        <v>1</v>
      </c>
      <c r="F23" t="n">
        <v>9</v>
      </c>
      <c r="H23" t="n">
        <v>0</v>
      </c>
      <c r="I23" t="n">
        <v>0</v>
      </c>
      <c r="J23" t="n">
        <v>0</v>
      </c>
      <c r="K23" t="n">
        <v>0</v>
      </c>
      <c r="L23" t="n">
        <v>0</v>
      </c>
      <c r="M23" t="n">
        <v>0</v>
      </c>
      <c r="N23" t="n">
        <v>0</v>
      </c>
    </row>
    <row r="24">
      <c r="A24" t="inlineStr">
        <is>
          <t>East gate</t>
        </is>
      </c>
      <c r="B24" t="inlineStr">
        <is>
          <t>the thirteenth day, 6pence.</t>
        </is>
      </c>
      <c r="C24" t="n">
        <v>0.03</v>
      </c>
      <c r="D24" t="n">
        <v>0</v>
      </c>
      <c r="E24" t="n">
        <v>0</v>
      </c>
      <c r="F24" t="n">
        <v>6</v>
      </c>
      <c r="H24" t="n">
        <v>0</v>
      </c>
      <c r="I24" t="n">
        <v>0</v>
      </c>
      <c r="J24" t="n">
        <v>0</v>
      </c>
      <c r="K24" t="n">
        <v>0</v>
      </c>
      <c r="L24" t="n">
        <v>0</v>
      </c>
      <c r="M24" t="n">
        <v>0</v>
      </c>
      <c r="N24" t="n">
        <v>0</v>
      </c>
    </row>
    <row r="25">
      <c r="A25" t="inlineStr">
        <is>
          <t>East gate</t>
        </is>
      </c>
      <c r="B25" t="inlineStr">
        <is>
          <t>the fourteenth day, 9pence.</t>
        </is>
      </c>
      <c r="C25" t="n">
        <v>0.04</v>
      </c>
      <c r="D25" t="n">
        <v>0</v>
      </c>
      <c r="E25" t="n">
        <v>0</v>
      </c>
      <c r="F25" t="n">
        <v>9</v>
      </c>
      <c r="H25" t="n">
        <v>0</v>
      </c>
      <c r="I25" t="n">
        <v>0</v>
      </c>
      <c r="J25" t="n">
        <v>0</v>
      </c>
      <c r="K25" t="n">
        <v>0</v>
      </c>
      <c r="L25" t="n">
        <v>0</v>
      </c>
      <c r="M25" t="n">
        <v>0</v>
      </c>
      <c r="N25" t="n">
        <v>0</v>
      </c>
    </row>
    <row r="26">
      <c r="A26" t="inlineStr">
        <is>
          <t>East gate</t>
        </is>
      </c>
      <c r="B26" t="inlineStr">
        <is>
          <t>the fifteenth day, 6pence.</t>
        </is>
      </c>
      <c r="C26" t="n">
        <v>0.03</v>
      </c>
      <c r="D26" t="n">
        <v>0</v>
      </c>
      <c r="E26" t="n">
        <v>0</v>
      </c>
      <c r="F26" t="n">
        <v>6</v>
      </c>
      <c r="H26" t="n">
        <v>0</v>
      </c>
      <c r="I26" t="n">
        <v>0</v>
      </c>
      <c r="J26" t="n">
        <v>0</v>
      </c>
      <c r="K26" t="n">
        <v>0</v>
      </c>
      <c r="L26" t="n">
        <v>0</v>
      </c>
      <c r="M26" t="n">
        <v>0</v>
      </c>
      <c r="N26" t="n">
        <v>0</v>
      </c>
    </row>
    <row r="27">
      <c r="A27" t="inlineStr">
        <is>
          <t>East gate</t>
        </is>
      </c>
      <c r="B27" t="inlineStr">
        <is>
          <t>the sixteenth day, 11pence Total, 14 shilling</t>
        </is>
      </c>
      <c r="C27" t="n">
        <v>0.75</v>
      </c>
      <c r="D27" t="n">
        <v>0</v>
      </c>
      <c r="E27" t="n">
        <v>14</v>
      </c>
      <c r="F27" t="n">
        <v>11</v>
      </c>
      <c r="H27" t="n">
        <v>0</v>
      </c>
      <c r="I27" t="n">
        <v>0</v>
      </c>
      <c r="J27" t="n">
        <v>0</v>
      </c>
      <c r="K27" t="n">
        <v>0</v>
      </c>
      <c r="L27" t="n">
        <v>0</v>
      </c>
      <c r="M27" t="n">
        <v>0</v>
      </c>
      <c r="N27" t="n">
        <v>0</v>
      </c>
    </row>
    <row r="28">
      <c r="A28" t="inlineStr">
        <is>
          <t>West gate</t>
        </is>
      </c>
      <c r="B28" t="inlineStr">
        <is>
          <t>The first, second, third and fourth day, 6pence.</t>
        </is>
      </c>
      <c r="C28" t="n">
        <v>0.03</v>
      </c>
      <c r="D28" t="n">
        <v>0</v>
      </c>
      <c r="E28" t="n">
        <v>0</v>
      </c>
      <c r="F28" t="n">
        <v>6</v>
      </c>
      <c r="H28" t="n">
        <v>0</v>
      </c>
      <c r="I28" t="n">
        <v>0</v>
      </c>
      <c r="J28" t="n">
        <v>0</v>
      </c>
      <c r="K28" t="n">
        <v>0</v>
      </c>
      <c r="L28" t="n">
        <v>0</v>
      </c>
      <c r="M28" t="n">
        <v>0</v>
      </c>
      <c r="N28" t="n">
        <v>0</v>
      </c>
    </row>
    <row r="29">
      <c r="A29" t="inlineStr">
        <is>
          <t>West gate</t>
        </is>
      </c>
      <c r="B29" t="inlineStr">
        <is>
          <t>the fifth day, 2pence.</t>
        </is>
      </c>
      <c r="C29" t="n">
        <v>0.01</v>
      </c>
      <c r="D29" t="n">
        <v>0</v>
      </c>
      <c r="E29" t="n">
        <v>0</v>
      </c>
      <c r="F29" t="n">
        <v>2</v>
      </c>
      <c r="H29" t="n">
        <v>0</v>
      </c>
      <c r="I29" t="n">
        <v>0</v>
      </c>
      <c r="J29" t="n">
        <v>0</v>
      </c>
      <c r="K29" t="n">
        <v>0</v>
      </c>
      <c r="L29" t="n">
        <v>0</v>
      </c>
      <c r="M29" t="n">
        <v>0</v>
      </c>
      <c r="N29" t="n">
        <v>0</v>
      </c>
    </row>
    <row r="30">
      <c r="A30" t="inlineStr">
        <is>
          <t>West gate</t>
        </is>
      </c>
      <c r="B30" t="inlineStr">
        <is>
          <t>the sixth day, 1 shilling.</t>
        </is>
      </c>
      <c r="C30" t="n">
        <v>0.05</v>
      </c>
      <c r="D30" t="n">
        <v>0</v>
      </c>
      <c r="E30" t="n">
        <v>1</v>
      </c>
      <c r="F30" t="n">
        <v>0</v>
      </c>
      <c r="H30" t="n">
        <v>0</v>
      </c>
      <c r="I30" t="n">
        <v>0</v>
      </c>
      <c r="J30" t="n">
        <v>0</v>
      </c>
      <c r="K30" t="n">
        <v>0</v>
      </c>
      <c r="L30" t="n">
        <v>0</v>
      </c>
      <c r="M30" t="n">
        <v>0</v>
      </c>
      <c r="N30" t="n">
        <v>0</v>
      </c>
    </row>
    <row r="31">
      <c r="A31" t="inlineStr">
        <is>
          <t>West gate</t>
        </is>
      </c>
      <c r="B31" t="inlineStr">
        <is>
          <t>the seventh day, 2 shilling 11pence.</t>
        </is>
      </c>
      <c r="C31" t="n">
        <v>0.15</v>
      </c>
      <c r="D31" t="n">
        <v>0</v>
      </c>
      <c r="E31" t="n">
        <v>2</v>
      </c>
      <c r="F31" t="n">
        <v>11</v>
      </c>
      <c r="H31" t="n">
        <v>0</v>
      </c>
      <c r="I31" t="n">
        <v>0</v>
      </c>
      <c r="J31" t="n">
        <v>0</v>
      </c>
      <c r="K31" t="n">
        <v>0</v>
      </c>
      <c r="L31" t="n">
        <v>0</v>
      </c>
      <c r="M31" t="n">
        <v>0</v>
      </c>
      <c r="N31" t="n">
        <v>0</v>
      </c>
    </row>
    <row r="32">
      <c r="A32" t="inlineStr">
        <is>
          <t>West gate</t>
        </is>
      </c>
      <c r="B32" t="inlineStr">
        <is>
          <t>the eighth day, 3 shilling 3pence.</t>
        </is>
      </c>
      <c r="C32" t="n">
        <v>0.16</v>
      </c>
      <c r="D32" t="n">
        <v>0</v>
      </c>
      <c r="E32" t="n">
        <v>3</v>
      </c>
      <c r="F32" t="n">
        <v>3</v>
      </c>
      <c r="H32" t="n">
        <v>0</v>
      </c>
      <c r="I32" t="n">
        <v>0</v>
      </c>
      <c r="J32" t="n">
        <v>0</v>
      </c>
      <c r="K32" t="n">
        <v>0</v>
      </c>
      <c r="L32" t="n">
        <v>0</v>
      </c>
      <c r="M32" t="n">
        <v>0</v>
      </c>
      <c r="N32" t="n">
        <v>0</v>
      </c>
    </row>
    <row r="33">
      <c r="A33" t="inlineStr">
        <is>
          <t>West gate</t>
        </is>
      </c>
      <c r="B33" t="inlineStr">
        <is>
          <t>the ninth day, 1 shilling 3pence.</t>
        </is>
      </c>
      <c r="C33" t="n">
        <v>0.06</v>
      </c>
      <c r="D33" t="n">
        <v>0</v>
      </c>
      <c r="E33" t="n">
        <v>1</v>
      </c>
      <c r="F33" t="n">
        <v>3</v>
      </c>
      <c r="H33" t="n">
        <v>0</v>
      </c>
      <c r="I33" t="n">
        <v>0</v>
      </c>
      <c r="J33" t="n">
        <v>0</v>
      </c>
      <c r="K33" t="n">
        <v>0</v>
      </c>
      <c r="L33" t="n">
        <v>0</v>
      </c>
      <c r="M33" t="n">
        <v>0</v>
      </c>
      <c r="N33" t="n">
        <v>0</v>
      </c>
    </row>
    <row r="34">
      <c r="A34" t="inlineStr">
        <is>
          <t>West gate</t>
        </is>
      </c>
      <c r="B34" t="inlineStr">
        <is>
          <t>the tenth day, 4pence.</t>
        </is>
      </c>
      <c r="C34" t="n">
        <v>0.02</v>
      </c>
      <c r="D34" t="n">
        <v>0</v>
      </c>
      <c r="E34" t="n">
        <v>0</v>
      </c>
      <c r="F34" t="n">
        <v>4</v>
      </c>
      <c r="H34" t="n">
        <v>0</v>
      </c>
      <c r="I34" t="n">
        <v>0</v>
      </c>
      <c r="J34" t="n">
        <v>0</v>
      </c>
      <c r="K34" t="n">
        <v>0</v>
      </c>
      <c r="L34" t="n">
        <v>0</v>
      </c>
      <c r="M34" t="n">
        <v>0</v>
      </c>
      <c r="N34" t="n">
        <v>0</v>
      </c>
    </row>
    <row r="35">
      <c r="A35" t="inlineStr">
        <is>
          <t>West gate</t>
        </is>
      </c>
      <c r="B35" t="inlineStr">
        <is>
          <t>the eleventh day, 1 shilling 1pence.</t>
        </is>
      </c>
      <c r="C35" t="n">
        <v>0.05</v>
      </c>
      <c r="D35" t="n">
        <v>0</v>
      </c>
      <c r="E35" t="n">
        <v>1</v>
      </c>
      <c r="F35" t="n">
        <v>1</v>
      </c>
      <c r="H35" t="n">
        <v>0</v>
      </c>
      <c r="I35" t="n">
        <v>0</v>
      </c>
      <c r="J35" t="n">
        <v>0</v>
      </c>
      <c r="K35" t="n">
        <v>0</v>
      </c>
      <c r="L35" t="n">
        <v>0</v>
      </c>
      <c r="M35" t="n">
        <v>0</v>
      </c>
      <c r="N35" t="n">
        <v>0</v>
      </c>
    </row>
    <row r="36">
      <c r="A36" t="inlineStr">
        <is>
          <t>West gate</t>
        </is>
      </c>
      <c r="B36" t="inlineStr">
        <is>
          <t>(m.32) the twelfth day, 1 shilling 3pence.</t>
        </is>
      </c>
      <c r="C36" t="n">
        <v>0.06</v>
      </c>
      <c r="D36" t="n">
        <v>0</v>
      </c>
      <c r="E36" t="n">
        <v>1</v>
      </c>
      <c r="F36" t="n">
        <v>3</v>
      </c>
      <c r="H36" t="n">
        <v>0</v>
      </c>
      <c r="I36" t="n">
        <v>0</v>
      </c>
      <c r="J36" t="n">
        <v>0</v>
      </c>
      <c r="K36" t="n">
        <v>0</v>
      </c>
      <c r="L36" t="n">
        <v>0</v>
      </c>
      <c r="M36" t="n">
        <v>0</v>
      </c>
      <c r="N36" t="n">
        <v>0</v>
      </c>
    </row>
    <row r="37">
      <c r="A37" t="inlineStr">
        <is>
          <t>West gate</t>
        </is>
      </c>
      <c r="B37" t="inlineStr">
        <is>
          <t>the thirteenth day, 2 shilling 4pence.</t>
        </is>
      </c>
      <c r="C37" t="n">
        <v>0.12</v>
      </c>
      <c r="D37" t="n">
        <v>0</v>
      </c>
      <c r="E37" t="n">
        <v>2</v>
      </c>
      <c r="F37" t="n">
        <v>4</v>
      </c>
      <c r="H37" t="n">
        <v>0</v>
      </c>
      <c r="I37" t="n">
        <v>0</v>
      </c>
      <c r="J37" t="n">
        <v>0</v>
      </c>
      <c r="K37" t="n">
        <v>0</v>
      </c>
      <c r="L37" t="n">
        <v>0</v>
      </c>
      <c r="M37" t="n">
        <v>0</v>
      </c>
      <c r="N37" t="n">
        <v>0</v>
      </c>
    </row>
    <row r="38">
      <c r="A38" t="inlineStr">
        <is>
          <t>West gate</t>
        </is>
      </c>
      <c r="B38" t="inlineStr">
        <is>
          <t>the fourteenth day, 1 shilling 6pence.</t>
        </is>
      </c>
      <c r="C38" t="n">
        <v>0.08</v>
      </c>
      <c r="D38" t="n">
        <v>0</v>
      </c>
      <c r="E38" t="n">
        <v>1</v>
      </c>
      <c r="F38" t="n">
        <v>6</v>
      </c>
      <c r="H38" t="n">
        <v>0</v>
      </c>
      <c r="I38" t="n">
        <v>0</v>
      </c>
      <c r="J38" t="n">
        <v>0</v>
      </c>
      <c r="K38" t="n">
        <v>0</v>
      </c>
      <c r="L38" t="n">
        <v>0</v>
      </c>
      <c r="M38" t="n">
        <v>0</v>
      </c>
      <c r="N38" t="n">
        <v>0</v>
      </c>
    </row>
    <row r="39">
      <c r="A39" t="inlineStr">
        <is>
          <t>West gate</t>
        </is>
      </c>
      <c r="B39" t="inlineStr">
        <is>
          <t>the fifteenth day, 1 shilling.</t>
        </is>
      </c>
      <c r="C39" t="n">
        <v>0.05</v>
      </c>
      <c r="D39" t="n">
        <v>0</v>
      </c>
      <c r="E39" t="n">
        <v>1</v>
      </c>
      <c r="F39" t="n">
        <v>0</v>
      </c>
      <c r="H39" t="n">
        <v>0</v>
      </c>
      <c r="I39" t="n">
        <v>0</v>
      </c>
      <c r="J39" t="n">
        <v>0</v>
      </c>
      <c r="K39" t="n">
        <v>0</v>
      </c>
      <c r="L39" t="n">
        <v>0</v>
      </c>
      <c r="M39" t="n">
        <v>0</v>
      </c>
      <c r="N39" t="n">
        <v>0</v>
      </c>
    </row>
    <row r="40">
      <c r="A40" t="inlineStr">
        <is>
          <t>West gate</t>
        </is>
      </c>
      <c r="B40" t="inlineStr">
        <is>
          <t>the sixteenth day, 1 shilling 3pence Total, 17 shilling 10pence</t>
        </is>
      </c>
      <c r="C40" t="n">
        <v>0.06</v>
      </c>
      <c r="D40" t="n">
        <v>0</v>
      </c>
      <c r="E40" t="n">
        <v>1</v>
      </c>
      <c r="F40" t="n">
        <v>3</v>
      </c>
      <c r="H40" t="n">
        <v>0</v>
      </c>
      <c r="I40" t="n">
        <v>0</v>
      </c>
      <c r="J40" t="n">
        <v>0</v>
      </c>
      <c r="K40" t="n">
        <v>0</v>
      </c>
      <c r="L40" t="n">
        <v>0</v>
      </c>
      <c r="M40" t="n">
        <v>0</v>
      </c>
      <c r="N40" t="n">
        <v>0</v>
      </c>
    </row>
    <row r="41">
      <c r="A41" t="inlineStr">
        <is>
          <t>West gate</t>
        </is>
      </c>
      <c r="B41" t="inlineStr">
        <is>
          <t>Total of all the gates, £4 11 shilling 4pence</t>
        </is>
      </c>
      <c r="C41" t="n">
        <v>4.57</v>
      </c>
      <c r="D41" t="n">
        <v>4</v>
      </c>
      <c r="E41" t="n">
        <v>11</v>
      </c>
      <c r="F41" t="n">
        <v>4</v>
      </c>
      <c r="H41" t="n">
        <v>0</v>
      </c>
      <c r="I41" t="n">
        <v>0</v>
      </c>
      <c r="J41" t="n">
        <v>0</v>
      </c>
      <c r="K41" t="n">
        <v>0</v>
      </c>
      <c r="L41" t="n">
        <v>0</v>
      </c>
      <c r="M41" t="n">
        <v>0</v>
      </c>
      <c r="N41" t="n">
        <v>0</v>
      </c>
    </row>
    <row r="42">
      <c r="A42" t="inlineStr">
        <is>
          <t>West gate</t>
        </is>
      </c>
      <c r="B42" t="inlineStr">
        <is>
          <t>From payments for using the tron (de magno pondere) this year, £1 8 shilling 5pence Total the same.</t>
        </is>
      </c>
      <c r="C42" t="n">
        <v>1.42</v>
      </c>
      <c r="D42" t="n">
        <v>1</v>
      </c>
      <c r="E42" t="n">
        <v>8</v>
      </c>
      <c r="F42" t="n">
        <v>5</v>
      </c>
      <c r="H42" t="n">
        <v>0</v>
      </c>
      <c r="I42" t="n">
        <v>0</v>
      </c>
      <c r="J42" t="n">
        <v>0</v>
      </c>
      <c r="K42" t="n">
        <v>0</v>
      </c>
      <c r="L42" t="n">
        <v>0</v>
      </c>
      <c r="M42" t="n">
        <v>0</v>
      </c>
      <c r="N42" t="n">
        <v>0</v>
      </c>
    </row>
    <row r="43">
      <c r="A43" t="inlineStr">
        <is>
          <t>West gate</t>
        </is>
      </c>
      <c r="B43" t="inlineStr">
        <is>
          <t>From ground-rents (de terragio) this year, £23 6.5pence</t>
        </is>
      </c>
      <c r="C43" t="n">
        <v>23.03</v>
      </c>
      <c r="D43" t="n">
        <v>23</v>
      </c>
      <c r="E43" t="n">
        <v>0</v>
      </c>
      <c r="F43" t="n">
        <v>6.5</v>
      </c>
      <c r="H43" t="n">
        <v>0</v>
      </c>
      <c r="I43" t="n">
        <v>0</v>
      </c>
      <c r="J43" t="n">
        <v>0</v>
      </c>
      <c r="K43" t="n">
        <v>0</v>
      </c>
      <c r="L43" t="n">
        <v>0</v>
      </c>
      <c r="M43" t="n">
        <v>0</v>
      </c>
      <c r="N43" t="n">
        <v>0</v>
      </c>
    </row>
    <row r="44">
      <c r="A44" t="inlineStr">
        <is>
          <t>West gate</t>
        </is>
      </c>
      <c r="B44" t="inlineStr">
        <is>
          <t>From toll on cattle (de boagio) this year, £1 10pence</t>
        </is>
      </c>
      <c r="C44" t="n">
        <v>1.04</v>
      </c>
      <c r="D44" t="n">
        <v>1</v>
      </c>
      <c r="E44" t="n">
        <v>0</v>
      </c>
      <c r="F44" t="n">
        <v>10</v>
      </c>
      <c r="H44" t="n">
        <v>0</v>
      </c>
      <c r="I44" t="n">
        <v>0</v>
      </c>
      <c r="J44" t="n">
        <v>0</v>
      </c>
      <c r="K44" t="n">
        <v>0</v>
      </c>
      <c r="L44" t="n">
        <v>0</v>
      </c>
      <c r="M44" t="n">
        <v>0</v>
      </c>
      <c r="N44" t="n">
        <v>0</v>
      </c>
    </row>
    <row r="45">
      <c r="A45" t="inlineStr">
        <is>
          <t>West gate</t>
        </is>
      </c>
      <c r="B45" t="inlineStr">
        <is>
          <t>From the seldage of Ireland this year, that is, for 17 windows, £2 2 shilling 6pence, at 2 shilling 6pence a window.</t>
        </is>
      </c>
      <c r="C45" t="n">
        <v>2.12</v>
      </c>
      <c r="D45" t="n">
        <v>2</v>
      </c>
      <c r="E45" t="n">
        <v>2</v>
      </c>
      <c r="F45" t="n">
        <v>6</v>
      </c>
      <c r="H45" t="n">
        <v>0</v>
      </c>
      <c r="I45" t="n">
        <v>0</v>
      </c>
      <c r="J45" t="n">
        <v>0</v>
      </c>
      <c r="K45" t="n">
        <v>0</v>
      </c>
      <c r="L45" t="n">
        <v>0</v>
      </c>
      <c r="M45" t="n">
        <v>0</v>
      </c>
      <c r="N45" t="n">
        <v>0</v>
      </c>
    </row>
    <row r="46">
      <c r="A46" t="inlineStr">
        <is>
          <t>West gate</t>
        </is>
      </c>
      <c r="B46" t="inlineStr">
        <is>
          <t>From the seldage of York this year, £2.</t>
        </is>
      </c>
      <c r="C46" t="n">
        <v>2</v>
      </c>
      <c r="D46" t="n">
        <v>2</v>
      </c>
      <c r="E46" t="n">
        <v>0</v>
      </c>
      <c r="F46" t="n">
        <v>0</v>
      </c>
      <c r="H46" t="n">
        <v>0</v>
      </c>
      <c r="I46" t="n">
        <v>0</v>
      </c>
      <c r="J46" t="n">
        <v>0</v>
      </c>
      <c r="K46" t="n">
        <v>0</v>
      </c>
      <c r="L46" t="n">
        <v>0</v>
      </c>
      <c r="M46" t="n">
        <v>0</v>
      </c>
      <c r="N46" t="n">
        <v>0</v>
      </c>
    </row>
    <row r="47">
      <c r="A47" t="inlineStr">
        <is>
          <t>West gate</t>
        </is>
      </c>
      <c r="B47" t="inlineStr">
        <is>
          <t>From the seldage of the burellers this year, £4 2 shilling</t>
        </is>
      </c>
      <c r="C47" t="n">
        <v>4.1</v>
      </c>
      <c r="D47" t="n">
        <v>4</v>
      </c>
      <c r="E47" t="n">
        <v>2</v>
      </c>
      <c r="F47" t="n">
        <v>0</v>
      </c>
      <c r="H47" t="n">
        <v>0</v>
      </c>
      <c r="I47" t="n">
        <v>0</v>
      </c>
      <c r="J47" t="n">
        <v>0</v>
      </c>
      <c r="K47" t="n">
        <v>0</v>
      </c>
      <c r="L47" t="n">
        <v>0</v>
      </c>
      <c r="M47" t="n">
        <v>0</v>
      </c>
      <c r="N47" t="n">
        <v>0</v>
      </c>
    </row>
    <row r="48">
      <c r="A48" t="inlineStr">
        <is>
          <t>West gate</t>
        </is>
      </c>
      <c r="B48" t="inlineStr">
        <is>
          <t>From the seldage of Lincoln this year, 5 shilling</t>
        </is>
      </c>
      <c r="C48" t="n">
        <v>0.25</v>
      </c>
      <c r="D48" t="n">
        <v>0</v>
      </c>
      <c r="E48" t="n">
        <v>5</v>
      </c>
      <c r="F48" t="n">
        <v>0</v>
      </c>
      <c r="H48" t="n">
        <v>0</v>
      </c>
      <c r="I48" t="n">
        <v>0</v>
      </c>
      <c r="J48" t="n">
        <v>0</v>
      </c>
      <c r="K48" t="n">
        <v>0</v>
      </c>
      <c r="L48" t="n">
        <v>0</v>
      </c>
      <c r="M48" t="n">
        <v>0</v>
      </c>
      <c r="N48" t="n">
        <v>0</v>
      </c>
    </row>
    <row r="49">
      <c r="A49" t="inlineStr">
        <is>
          <t>West gate</t>
        </is>
      </c>
      <c r="B49" t="inlineStr">
        <is>
          <t>From the seldage of the French and Cornish, for 13 windows, £1 19 shilling, at 3 shilling a window.</t>
        </is>
      </c>
      <c r="C49" t="n">
        <v>1.95</v>
      </c>
      <c r="D49" t="n">
        <v>1</v>
      </c>
      <c r="E49" t="n">
        <v>19</v>
      </c>
      <c r="F49" t="n">
        <v>0</v>
      </c>
      <c r="H49" t="n">
        <v>0</v>
      </c>
      <c r="I49" t="n">
        <v>0</v>
      </c>
      <c r="J49" t="n">
        <v>0</v>
      </c>
      <c r="K49" t="n">
        <v>0</v>
      </c>
      <c r="L49" t="n">
        <v>0</v>
      </c>
      <c r="M49" t="n">
        <v>0</v>
      </c>
      <c r="N49" t="n">
        <v>0</v>
      </c>
    </row>
    <row r="50">
      <c r="A50" t="inlineStr">
        <is>
          <t>West gate</t>
        </is>
      </c>
      <c r="B50" t="inlineStr">
        <is>
          <t>Total, £34 9 shilling 10.5pence</t>
        </is>
      </c>
      <c r="C50" t="n">
        <v>34.49</v>
      </c>
      <c r="D50" t="n">
        <v>34</v>
      </c>
      <c r="E50" t="n">
        <v>9</v>
      </c>
      <c r="F50" t="n">
        <v>10.5</v>
      </c>
      <c r="H50" t="n">
        <v>0</v>
      </c>
      <c r="I50" t="n">
        <v>0</v>
      </c>
      <c r="J50" t="n">
        <v>0</v>
      </c>
      <c r="K50" t="n">
        <v>0</v>
      </c>
      <c r="L50" t="n">
        <v>0</v>
      </c>
      <c r="M50" t="n">
        <v>0</v>
      </c>
      <c r="N50" t="n">
        <v>0</v>
      </c>
    </row>
    <row r="51">
      <c r="A51" t="inlineStr">
        <is>
          <t>West gate</t>
        </is>
      </c>
      <c r="B51" t="inlineStr">
        <is>
          <t>From the entry of the fair this year, 7 shilling 5pence</t>
        </is>
      </c>
      <c r="C51" t="n">
        <v>0.37</v>
      </c>
      <c r="D51" t="n">
        <v>0</v>
      </c>
      <c r="E51" t="n">
        <v>7</v>
      </c>
      <c r="F51" t="n">
        <v>5</v>
      </c>
      <c r="H51" t="n">
        <v>0</v>
      </c>
      <c r="I51" t="n">
        <v>0</v>
      </c>
      <c r="J51" t="n">
        <v>0</v>
      </c>
      <c r="K51" t="n">
        <v>0</v>
      </c>
      <c r="L51" t="n">
        <v>0</v>
      </c>
      <c r="M51" t="n">
        <v>0</v>
      </c>
      <c r="N51" t="n">
        <v>0</v>
      </c>
    </row>
    <row r="52">
      <c r="A52" t="inlineStr">
        <is>
          <t>West gate</t>
        </is>
      </c>
      <c r="B52" t="inlineStr">
        <is>
          <t>From the Romsey, Redbridge and Crawley roads, £2.</t>
        </is>
      </c>
      <c r="C52" t="n">
        <v>2</v>
      </c>
      <c r="D52" t="n">
        <v>2</v>
      </c>
      <c r="E52" t="n">
        <v>0</v>
      </c>
      <c r="F52" t="n">
        <v>0</v>
      </c>
      <c r="H52" t="n">
        <v>0</v>
      </c>
      <c r="I52" t="n">
        <v>0</v>
      </c>
      <c r="J52" t="n">
        <v>0</v>
      </c>
      <c r="K52" t="n">
        <v>0</v>
      </c>
      <c r="L52" t="n">
        <v>0</v>
      </c>
      <c r="M52" t="n">
        <v>0</v>
      </c>
      <c r="N52" t="n">
        <v>0</v>
      </c>
    </row>
    <row r="53">
      <c r="A53" t="inlineStr">
        <is>
          <t>West gate</t>
        </is>
      </c>
      <c r="B53" t="inlineStr">
        <is>
          <t>From the Cheriton and Alresford roads, 3 shilling</t>
        </is>
      </c>
      <c r="C53" t="n">
        <v>0.15</v>
      </c>
      <c r="D53" t="n">
        <v>0</v>
      </c>
      <c r="E53" t="n">
        <v>3</v>
      </c>
      <c r="F53" t="n">
        <v>0</v>
      </c>
      <c r="H53" t="n">
        <v>0</v>
      </c>
      <c r="I53" t="n">
        <v>0</v>
      </c>
      <c r="J53" t="n">
        <v>0</v>
      </c>
      <c r="K53" t="n">
        <v>0</v>
      </c>
      <c r="L53" t="n">
        <v>0</v>
      </c>
      <c r="M53" t="n">
        <v>0</v>
      </c>
      <c r="N53" t="n">
        <v>0</v>
      </c>
    </row>
    <row r="54">
      <c r="A54" t="inlineStr">
        <is>
          <t>West gate</t>
        </is>
      </c>
      <c r="B54" t="inlineStr">
        <is>
          <t>From the office of reeve of the city this year, £5 13 shilling 4pence</t>
        </is>
      </c>
      <c r="C54" t="n">
        <v>5.67</v>
      </c>
      <c r="D54" t="n">
        <v>5</v>
      </c>
      <c r="E54" t="n">
        <v>13</v>
      </c>
      <c r="F54" t="n">
        <v>4</v>
      </c>
      <c r="H54" t="n">
        <v>0</v>
      </c>
      <c r="I54" t="n">
        <v>0</v>
      </c>
      <c r="J54" t="n">
        <v>0</v>
      </c>
      <c r="K54" t="n">
        <v>0</v>
      </c>
      <c r="L54" t="n">
        <v>0</v>
      </c>
      <c r="M54" t="n">
        <v>0</v>
      </c>
      <c r="N54" t="n">
        <v>0</v>
      </c>
    </row>
    <row r="55">
      <c r="A55" t="inlineStr">
        <is>
          <t>West gate</t>
        </is>
      </c>
      <c r="B55" t="inlineStr">
        <is>
          <t>From traders in saddles and ladders this year, 10 shilling</t>
        </is>
      </c>
      <c r="C55" t="n">
        <v>0.5</v>
      </c>
      <c r="D55" t="n">
        <v>0</v>
      </c>
      <c r="E55" t="n">
        <v>10</v>
      </c>
      <c r="F55" t="n">
        <v>0</v>
      </c>
      <c r="H55" t="n">
        <v>0</v>
      </c>
      <c r="I55" t="n">
        <v>0</v>
      </c>
      <c r="J55" t="n">
        <v>0</v>
      </c>
      <c r="K55" t="n">
        <v>0</v>
      </c>
      <c r="L55" t="n">
        <v>0</v>
      </c>
      <c r="M55" t="n">
        <v>0</v>
      </c>
      <c r="N55" t="n">
        <v>0</v>
      </c>
    </row>
    <row r="56">
      <c r="A56" t="inlineStr">
        <is>
          <t>West gate</t>
        </is>
      </c>
      <c r="B56" t="inlineStr">
        <is>
          <t>From traders in burel this year, 10pence</t>
        </is>
      </c>
      <c r="C56" t="n">
        <v>0.04</v>
      </c>
      <c r="D56" t="n">
        <v>0</v>
      </c>
      <c r="E56" t="n">
        <v>0</v>
      </c>
      <c r="F56" t="n">
        <v>10</v>
      </c>
      <c r="H56" t="n">
        <v>0</v>
      </c>
      <c r="I56" t="n">
        <v>0</v>
      </c>
      <c r="J56" t="n">
        <v>0</v>
      </c>
      <c r="K56" t="n">
        <v>0</v>
      </c>
      <c r="L56" t="n">
        <v>0</v>
      </c>
      <c r="M56" t="n">
        <v>0</v>
      </c>
      <c r="N56" t="n">
        <v>0</v>
      </c>
    </row>
    <row r="57">
      <c r="A57" t="inlineStr">
        <is>
          <t>West gate</t>
        </is>
      </c>
      <c r="B57" t="inlineStr">
        <is>
          <t>From traders in teasels this year, 2 shilling 2pence</t>
        </is>
      </c>
      <c r="C57" t="n">
        <v>0.11</v>
      </c>
      <c r="D57" t="n">
        <v>0</v>
      </c>
      <c r="E57" t="n">
        <v>2</v>
      </c>
      <c r="F57" t="n">
        <v>2</v>
      </c>
      <c r="H57" t="n">
        <v>0</v>
      </c>
      <c r="I57" t="n">
        <v>0</v>
      </c>
      <c r="J57" t="n">
        <v>0</v>
      </c>
      <c r="K57" t="n">
        <v>0</v>
      </c>
      <c r="L57" t="n">
        <v>0</v>
      </c>
      <c r="M57" t="n">
        <v>0</v>
      </c>
      <c r="N57" t="n">
        <v>0</v>
      </c>
    </row>
    <row r="58">
      <c r="A58" t="inlineStr">
        <is>
          <t>West gate</t>
        </is>
      </c>
      <c r="B58" t="inlineStr">
        <is>
          <t>From traders in wheels this year, 7pence</t>
        </is>
      </c>
      <c r="C58" t="n">
        <v>0.03</v>
      </c>
      <c r="D58" t="n">
        <v>0</v>
      </c>
      <c r="E58" t="n">
        <v>0</v>
      </c>
      <c r="F58" t="n">
        <v>7</v>
      </c>
      <c r="H58" t="n">
        <v>0</v>
      </c>
      <c r="I58" t="n">
        <v>0</v>
      </c>
      <c r="J58" t="n">
        <v>0</v>
      </c>
      <c r="K58" t="n">
        <v>0</v>
      </c>
      <c r="L58" t="n">
        <v>0</v>
      </c>
      <c r="M58" t="n">
        <v>0</v>
      </c>
      <c r="N58" t="n">
        <v>0</v>
      </c>
    </row>
    <row r="59">
      <c r="A59" t="inlineStr">
        <is>
          <t>West gate</t>
        </is>
      </c>
      <c r="B59" t="inlineStr">
        <is>
          <t>From animals in the meadows and fields this year, £3</t>
        </is>
      </c>
      <c r="C59" t="n">
        <v>3</v>
      </c>
      <c r="D59" t="n">
        <v>3</v>
      </c>
      <c r="E59" t="n">
        <v>0</v>
      </c>
      <c r="F59" t="n">
        <v>0</v>
      </c>
      <c r="H59" t="n">
        <v>0</v>
      </c>
      <c r="I59" t="n">
        <v>0</v>
      </c>
      <c r="J59" t="n">
        <v>0</v>
      </c>
      <c r="K59" t="n">
        <v>0</v>
      </c>
      <c r="L59" t="n">
        <v>0</v>
      </c>
      <c r="M59" t="n">
        <v>0</v>
      </c>
      <c r="N59" t="n">
        <v>0</v>
      </c>
    </row>
    <row r="60">
      <c r="A60" t="inlineStr">
        <is>
          <t>West gate</t>
        </is>
      </c>
      <c r="B60" t="inlineStr">
        <is>
          <t>From the official in charge of the animals (de ministr' animal') at the fair this year, 16 shilling</t>
        </is>
      </c>
      <c r="C60" t="n">
        <v>0.8</v>
      </c>
      <c r="D60" t="n">
        <v>0</v>
      </c>
      <c r="E60" t="n">
        <v>16</v>
      </c>
      <c r="F60" t="n">
        <v>0</v>
      </c>
      <c r="H60" t="n">
        <v>0</v>
      </c>
      <c r="I60" t="n">
        <v>0</v>
      </c>
      <c r="J60" t="n">
        <v>0</v>
      </c>
      <c r="K60" t="n">
        <v>0</v>
      </c>
      <c r="L60" t="n">
        <v>0</v>
      </c>
      <c r="M60" t="n">
        <v>0</v>
      </c>
      <c r="N60" t="n">
        <v>0</v>
      </c>
    </row>
    <row r="61">
      <c r="A61" t="inlineStr">
        <is>
          <t>West gate</t>
        </is>
      </c>
      <c r="B61" t="inlineStr">
        <is>
          <t>From the pleas and perquisites of the Pavilion this year, £2 1 shilling 4pence</t>
        </is>
      </c>
      <c r="C61" t="n">
        <v>2.07</v>
      </c>
      <c r="D61" t="n">
        <v>2</v>
      </c>
      <c r="E61" t="n">
        <v>1</v>
      </c>
      <c r="F61" t="n">
        <v>4</v>
      </c>
      <c r="H61" t="n">
        <v>0</v>
      </c>
      <c r="I61" t="n">
        <v>0</v>
      </c>
      <c r="J61" t="n">
        <v>0</v>
      </c>
      <c r="K61" t="n">
        <v>0</v>
      </c>
      <c r="L61" t="n">
        <v>0</v>
      </c>
      <c r="M61" t="n">
        <v>0</v>
      </c>
      <c r="N61" t="n">
        <v>0</v>
      </c>
    </row>
    <row r="62">
      <c r="A62" t="inlineStr">
        <is>
          <t>West gate</t>
        </is>
      </c>
      <c r="B62" t="inlineStr">
        <is>
          <t>For the favour of entering the fair after the day of the Nativity of the blessed Mary (8 September), £1 3 shilling 9pence</t>
        </is>
      </c>
      <c r="C62" t="n">
        <v>1.19</v>
      </c>
      <c r="D62" t="n">
        <v>1</v>
      </c>
      <c r="E62" t="n">
        <v>3</v>
      </c>
      <c r="F62" t="n">
        <v>9</v>
      </c>
      <c r="H62" t="n">
        <v>0</v>
      </c>
      <c r="I62" t="n">
        <v>0</v>
      </c>
      <c r="J62" t="n">
        <v>0</v>
      </c>
      <c r="K62" t="n">
        <v>0</v>
      </c>
      <c r="L62" t="n">
        <v>0</v>
      </c>
      <c r="M62" t="n">
        <v>0</v>
      </c>
      <c r="N62" t="n">
        <v>0</v>
      </c>
    </row>
    <row r="63">
      <c r="A63" t="inlineStr">
        <is>
          <t>West gate</t>
        </is>
      </c>
      <c r="B63" t="inlineStr">
        <is>
          <t>From the issues of the fair: from the roofing of the toll-house sold, and from hedges, nothing this year.</t>
        </is>
      </c>
      <c r="C63" t="n">
        <v>0</v>
      </c>
      <c r="D63" t="n">
        <v>0</v>
      </c>
      <c r="E63" t="n">
        <v>0</v>
      </c>
      <c r="F63" t="n">
        <v>0</v>
      </c>
      <c r="H63" t="n">
        <v>0</v>
      </c>
      <c r="I63" t="n">
        <v>0</v>
      </c>
      <c r="J63" t="n">
        <v>0</v>
      </c>
      <c r="K63" t="n">
        <v>0</v>
      </c>
      <c r="L63" t="n">
        <v>0</v>
      </c>
      <c r="M63" t="n">
        <v>0</v>
      </c>
      <c r="N63" t="n">
        <v>0</v>
      </c>
    </row>
    <row r="64">
      <c r="A64" t="inlineStr">
        <is>
          <t>West gate</t>
        </is>
      </c>
      <c r="B64" t="inlineStr">
        <is>
          <t>Total, £15 17 shilling 7pence</t>
        </is>
      </c>
      <c r="C64" t="n">
        <v>15.88</v>
      </c>
      <c r="D64" t="n">
        <v>15</v>
      </c>
      <c r="E64" t="n">
        <v>17</v>
      </c>
      <c r="F64" t="n">
        <v>7</v>
      </c>
      <c r="H64" t="n">
        <v>0</v>
      </c>
      <c r="I64" t="n">
        <v>0</v>
      </c>
      <c r="J64" t="n">
        <v>0</v>
      </c>
      <c r="K64" t="n">
        <v>0</v>
      </c>
      <c r="L64" t="n">
        <v>0</v>
      </c>
      <c r="M64" t="n">
        <v>0</v>
      </c>
      <c r="N64" t="n">
        <v>0</v>
      </c>
    </row>
    <row r="65">
      <c r="A65" t="inlineStr">
        <is>
          <t>Total of all receipts</t>
        </is>
      </c>
      <c r="B65" t="inlineStr">
        <is>
          <t>Total of all receipts, £56 7 shilling 2.5pence</t>
        </is>
      </c>
      <c r="C65" t="n">
        <v>56.36</v>
      </c>
      <c r="D65" t="n">
        <v>56</v>
      </c>
      <c r="E65" t="n">
        <v>7</v>
      </c>
      <c r="F65" t="n">
        <v>2.5</v>
      </c>
      <c r="H65" t="n">
        <v>0</v>
      </c>
      <c r="I65" t="n">
        <v>0</v>
      </c>
      <c r="J65" t="n">
        <v>0</v>
      </c>
      <c r="K65" t="n">
        <v>0</v>
      </c>
      <c r="L65" t="n">
        <v>0</v>
      </c>
      <c r="M65" t="n">
        <v>0</v>
      </c>
      <c r="N65" t="n">
        <v>0</v>
      </c>
    </row>
    <row r="66">
      <c r="A66" t="inlineStr">
        <is>
          <t>Expenses</t>
        </is>
      </c>
      <c r="B66" t="inlineStr">
        <is>
          <t>Keeper of the East Gate from the first day for 16 days, William in the Den' of Chidden, 2 shilling 8pence</t>
        </is>
      </c>
      <c r="C66" t="n">
        <v>0.13</v>
      </c>
      <c r="D66" t="n">
        <v>0</v>
      </c>
      <c r="E66" t="n">
        <v>2</v>
      </c>
      <c r="F66" t="n">
        <v>8</v>
      </c>
      <c r="H66" t="n">
        <v>0</v>
      </c>
      <c r="I66" t="n">
        <v>0</v>
      </c>
      <c r="J66" t="n">
        <v>0</v>
      </c>
      <c r="K66" t="n">
        <v>0</v>
      </c>
      <c r="L66" t="n">
        <v>0</v>
      </c>
      <c r="M66" t="n">
        <v>0</v>
      </c>
      <c r="N66" t="n">
        <v>0</v>
      </c>
    </row>
    <row r="67">
      <c r="A67" t="inlineStr">
        <is>
          <t>Expenses</t>
        </is>
      </c>
      <c r="B67" t="inlineStr">
        <is>
          <t>Keeper of the South Gate for 8 days, Hugh de Hursley and William Kyrie, 2 shilling 8pence Keeper of the West Gate from the first day for 16 days, Richard de Frylend', 2 shilling 8pence Keeper of saddles and ladders, fanned out to John Gentyl and John, sergeant of the Soke.</t>
        </is>
      </c>
      <c r="C67" t="n">
        <v>0.13</v>
      </c>
      <c r="D67" t="n">
        <v>0</v>
      </c>
      <c r="E67" t="n">
        <v>2</v>
      </c>
      <c r="F67" t="n">
        <v>8</v>
      </c>
      <c r="H67" t="n">
        <v>0</v>
      </c>
      <c r="I67" t="n">
        <v>0</v>
      </c>
      <c r="J67" t="n">
        <v>0</v>
      </c>
      <c r="K67" t="n">
        <v>0</v>
      </c>
      <c r="L67" t="n">
        <v>0</v>
      </c>
      <c r="M67" t="n">
        <v>0</v>
      </c>
      <c r="N67" t="n">
        <v>0</v>
      </c>
    </row>
    <row r="68">
      <c r="A68" t="inlineStr">
        <is>
          <t>Expenses</t>
        </is>
      </c>
      <c r="B68" t="inlineStr">
        <is>
          <t>Keeper of animals at the fair, farmed out to Walter Crude.</t>
        </is>
      </c>
      <c r="C68" t="n">
        <v>0</v>
      </c>
      <c r="D68" t="n">
        <v>0</v>
      </c>
      <c r="E68" t="n">
        <v>0</v>
      </c>
      <c r="F68" t="n">
        <v>0</v>
      </c>
      <c r="H68" t="n">
        <v>0</v>
      </c>
      <c r="I68" t="n">
        <v>0</v>
      </c>
      <c r="J68" t="n">
        <v>0</v>
      </c>
      <c r="K68" t="n">
        <v>0</v>
      </c>
      <c r="L68" t="n">
        <v>0</v>
      </c>
      <c r="M68" t="n">
        <v>0</v>
      </c>
      <c r="N68" t="n">
        <v>0</v>
      </c>
    </row>
    <row r="69">
      <c r="A69" t="inlineStr">
        <is>
          <t>Expenses</t>
        </is>
      </c>
      <c r="B69" t="inlineStr">
        <is>
          <t>Keeper of animals in the meadows, farmed out to Hugh Balehorn.</t>
        </is>
      </c>
      <c r="C69" t="n">
        <v>0</v>
      </c>
      <c r="D69" t="n">
        <v>0</v>
      </c>
      <c r="E69" t="n">
        <v>0</v>
      </c>
      <c r="F69" t="n">
        <v>0</v>
      </c>
      <c r="H69" t="n">
        <v>0</v>
      </c>
      <c r="I69" t="n">
        <v>0</v>
      </c>
      <c r="J69" t="n">
        <v>0</v>
      </c>
      <c r="K69" t="n">
        <v>0</v>
      </c>
      <c r="L69" t="n">
        <v>0</v>
      </c>
      <c r="M69" t="n">
        <v>0</v>
      </c>
      <c r="N69" t="n">
        <v>0</v>
      </c>
    </row>
    <row r="70">
      <c r="A70" t="inlineStr">
        <is>
          <t>Expenses</t>
        </is>
      </c>
      <c r="B70" t="inlineStr">
        <is>
          <t>Keeper of the office of reeve of the city, farmed out to Peter de Portesmuth' and</t>
        </is>
      </c>
      <c r="C70" t="n">
        <v>0</v>
      </c>
      <c r="D70" t="n">
        <v>0</v>
      </c>
      <c r="E70" t="n">
        <v>0</v>
      </c>
      <c r="F70" t="n">
        <v>0</v>
      </c>
      <c r="H70" t="n">
        <v>0</v>
      </c>
      <c r="I70" t="n">
        <v>0</v>
      </c>
      <c r="J70" t="n">
        <v>0</v>
      </c>
      <c r="K70" t="n">
        <v>0</v>
      </c>
      <c r="L70" t="n">
        <v>0</v>
      </c>
      <c r="M70" t="n">
        <v>0</v>
      </c>
      <c r="N70" t="n">
        <v>0</v>
      </c>
    </row>
    <row r="71">
      <c r="A71" t="inlineStr">
        <is>
          <t>Expenses</t>
        </is>
      </c>
      <c r="B71" t="inlineStr">
        <is>
          <t>Walter de Tysted'.</t>
        </is>
      </c>
      <c r="C71" t="n">
        <v>0</v>
      </c>
      <c r="D71" t="n">
        <v>0</v>
      </c>
      <c r="E71" t="n">
        <v>0</v>
      </c>
      <c r="F71" t="n">
        <v>0</v>
      </c>
      <c r="H71" t="n">
        <v>0</v>
      </c>
      <c r="I71" t="n">
        <v>0</v>
      </c>
      <c r="J71" t="n">
        <v>0</v>
      </c>
      <c r="K71" t="n">
        <v>0</v>
      </c>
      <c r="L71" t="n">
        <v>0</v>
      </c>
      <c r="M71" t="n">
        <v>0</v>
      </c>
      <c r="N71" t="n">
        <v>0</v>
      </c>
    </row>
    <row r="72">
      <c r="A72" t="inlineStr">
        <is>
          <t>Expenses</t>
        </is>
      </c>
      <c r="B72" t="inlineStr">
        <is>
          <t>the minor reeve, John Jackemyson'.</t>
        </is>
      </c>
      <c r="C72" t="n">
        <v>0</v>
      </c>
      <c r="D72" t="n">
        <v>0</v>
      </c>
      <c r="E72" t="n">
        <v>0</v>
      </c>
      <c r="F72" t="n">
        <v>0</v>
      </c>
      <c r="H72" t="n">
        <v>0</v>
      </c>
      <c r="I72" t="n">
        <v>0</v>
      </c>
      <c r="J72" t="n">
        <v>0</v>
      </c>
      <c r="K72" t="n">
        <v>0</v>
      </c>
      <c r="L72" t="n">
        <v>0</v>
      </c>
      <c r="M72" t="n">
        <v>0</v>
      </c>
      <c r="N72" t="n">
        <v>0</v>
      </c>
    </row>
    <row r="73">
      <c r="A73" t="inlineStr">
        <is>
          <t>Expenses</t>
        </is>
      </c>
      <c r="B73" t="inlineStr">
        <is>
          <t>Keeper of the Romsey, Redbridge, Hursley and Crawley roads, farmed out to [John</t>
        </is>
      </c>
      <c r="C73" t="n">
        <v>0</v>
      </c>
      <c r="D73" t="n">
        <v>0</v>
      </c>
      <c r="E73" t="n">
        <v>0</v>
      </c>
      <c r="F73" t="n">
        <v>0</v>
      </c>
      <c r="H73" t="n">
        <v>0</v>
      </c>
      <c r="I73" t="n">
        <v>0</v>
      </c>
      <c r="J73" t="n">
        <v>0</v>
      </c>
      <c r="K73" t="n">
        <v>0</v>
      </c>
      <c r="L73" t="n">
        <v>0</v>
      </c>
      <c r="M73" t="n">
        <v>0</v>
      </c>
      <c r="N73" t="n">
        <v>0</v>
      </c>
    </row>
    <row r="74">
      <c r="A74" t="inlineStr">
        <is>
          <t>Expenses</t>
        </is>
      </c>
      <c r="B74" t="inlineStr">
        <is>
          <t>Tothull' .1</t>
        </is>
      </c>
      <c r="C74" t="n">
        <v>0</v>
      </c>
      <c r="D74" t="n">
        <v>0</v>
      </c>
      <c r="E74" t="n">
        <v>0</v>
      </c>
      <c r="F74" t="n">
        <v>0</v>
      </c>
      <c r="H74" t="n">
        <v>0</v>
      </c>
      <c r="I74" t="n">
        <v>0</v>
      </c>
      <c r="J74" t="n">
        <v>0</v>
      </c>
      <c r="K74" t="n">
        <v>0</v>
      </c>
      <c r="L74" t="n">
        <v>0</v>
      </c>
      <c r="M74" t="n">
        <v>0</v>
      </c>
      <c r="N74" t="n">
        <v>0</v>
      </c>
    </row>
    <row r="75">
      <c r="A75" t="inlineStr">
        <is>
          <t>Expenses</t>
        </is>
      </c>
      <c r="B75" t="inlineStr">
        <is>
          <t>[Keeper of the' Cheriton and Alresford roadsl, Hugh le Forster.</t>
        </is>
      </c>
      <c r="C75" t="n">
        <v>0</v>
      </c>
      <c r="D75" t="n">
        <v>0</v>
      </c>
      <c r="E75" t="n">
        <v>0</v>
      </c>
      <c r="F75" t="n">
        <v>0</v>
      </c>
      <c r="H75" t="n">
        <v>0</v>
      </c>
      <c r="I75" t="n">
        <v>0</v>
      </c>
      <c r="J75" t="n">
        <v>0</v>
      </c>
      <c r="K75" t="n">
        <v>0</v>
      </c>
      <c r="L75" t="n">
        <v>0</v>
      </c>
      <c r="M75" t="n">
        <v>0</v>
      </c>
      <c r="N75" t="n">
        <v>0</v>
      </c>
    </row>
    <row r="76">
      <c r="A76" t="inlineStr">
        <is>
          <t>Expenses</t>
        </is>
      </c>
      <c r="B76" t="inlineStr">
        <is>
          <t>Keeper of the traders in burel, William Sarr' and William de Colbrok'.</t>
        </is>
      </c>
      <c r="C76" t="n">
        <v>0</v>
      </c>
      <c r="D76" t="n">
        <v>0</v>
      </c>
      <c r="E76" t="n">
        <v>0</v>
      </c>
      <c r="F76" t="n">
        <v>0</v>
      </c>
      <c r="H76" t="n">
        <v>0</v>
      </c>
      <c r="I76" t="n">
        <v>0</v>
      </c>
      <c r="J76" t="n">
        <v>0</v>
      </c>
      <c r="K76" t="n">
        <v>0</v>
      </c>
      <c r="L76" t="n">
        <v>0</v>
      </c>
      <c r="M76" t="n">
        <v>0</v>
      </c>
      <c r="N76" t="n">
        <v>0</v>
      </c>
    </row>
    <row r="77">
      <c r="A77" t="inlineStr">
        <is>
          <t>Expenses</t>
        </is>
      </c>
      <c r="B77" t="inlineStr">
        <is>
          <t>Teasels, John Masseday, Laurence de Wilehal', Walter ate Yate.</t>
        </is>
      </c>
      <c r="C77" t="n">
        <v>0</v>
      </c>
      <c r="D77" t="n">
        <v>0</v>
      </c>
      <c r="E77" t="n">
        <v>0</v>
      </c>
      <c r="F77" t="n">
        <v>0</v>
      </c>
      <c r="H77" t="n">
        <v>0</v>
      </c>
      <c r="I77" t="n">
        <v>0</v>
      </c>
      <c r="J77" t="n">
        <v>0</v>
      </c>
      <c r="K77" t="n">
        <v>0</v>
      </c>
      <c r="L77" t="n">
        <v>0</v>
      </c>
      <c r="M77" t="n">
        <v>0</v>
      </c>
      <c r="N77" t="n">
        <v>0</v>
      </c>
    </row>
    <row r="78">
      <c r="A78" t="inlineStr">
        <is>
          <t>Expenses</t>
        </is>
      </c>
      <c r="B78" t="inlineStr">
        <is>
          <t>Wheels, Richard Canon, Adam Burgeys.</t>
        </is>
      </c>
      <c r="C78" t="n">
        <v>0</v>
      </c>
      <c r="D78" t="n">
        <v>0</v>
      </c>
      <c r="E78" t="n">
        <v>0</v>
      </c>
      <c r="F78" t="n">
        <v>0</v>
      </c>
      <c r="H78" t="n">
        <v>0</v>
      </c>
      <c r="I78" t="n">
        <v>0</v>
      </c>
      <c r="J78" t="n">
        <v>0</v>
      </c>
      <c r="K78" t="n">
        <v>0</v>
      </c>
      <c r="L78" t="n">
        <v>0</v>
      </c>
      <c r="M78" t="n">
        <v>0</v>
      </c>
      <c r="N78" t="n">
        <v>0</v>
      </c>
    </row>
    <row r="79">
      <c r="A79" t="inlineStr">
        <is>
          <t>Expenses</t>
        </is>
      </c>
      <c r="B79" t="inlineStr">
        <is>
          <t>Keeper of the tron (cust' magni pond'), John de Herierd'.</t>
        </is>
      </c>
      <c r="C79" t="n">
        <v>0</v>
      </c>
      <c r="D79" t="n">
        <v>0</v>
      </c>
      <c r="E79" t="n">
        <v>0</v>
      </c>
      <c r="F79" t="n">
        <v>0</v>
      </c>
      <c r="H79" t="n">
        <v>0</v>
      </c>
      <c r="I79" t="n">
        <v>0</v>
      </c>
      <c r="J79" t="n">
        <v>0</v>
      </c>
      <c r="K79" t="n">
        <v>0</v>
      </c>
      <c r="L79" t="n">
        <v>0</v>
      </c>
      <c r="M79" t="n">
        <v>0</v>
      </c>
      <c r="N79" t="n">
        <v>0</v>
      </c>
    </row>
    <row r="80">
      <c r="A80" t="inlineStr">
        <is>
          <t>Expenses</t>
        </is>
      </c>
      <c r="B80" t="inlineStr">
        <is>
          <t>Weigher, William de Wandlesworth', 6 shilling 8pence</t>
        </is>
      </c>
      <c r="C80" t="n">
        <v>0.33</v>
      </c>
      <c r="D80" t="n">
        <v>0</v>
      </c>
      <c r="E80" t="n">
        <v>6</v>
      </c>
      <c r="F80" t="n">
        <v>8</v>
      </c>
      <c r="H80" t="n">
        <v>0</v>
      </c>
      <c r="I80" t="n">
        <v>0</v>
      </c>
      <c r="J80" t="n">
        <v>0</v>
      </c>
      <c r="K80" t="n">
        <v>0</v>
      </c>
      <c r="L80" t="n">
        <v>0</v>
      </c>
      <c r="M80" t="n">
        <v>0</v>
      </c>
      <c r="N80" t="n">
        <v>0</v>
      </c>
    </row>
    <row r="81">
      <c r="A81" t="inlineStr">
        <is>
          <t>Expenses</t>
        </is>
      </c>
      <c r="B81" t="inlineStr">
        <is>
          <t>Door-keeper of the pavilion, Jordan, the bishop's squire, 2 shilling 8pence</t>
        </is>
      </c>
      <c r="C81" t="n">
        <v>0.13</v>
      </c>
      <c r="D81" t="n">
        <v>0</v>
      </c>
      <c r="E81" t="n">
        <v>2</v>
      </c>
      <c r="F81" t="n">
        <v>8</v>
      </c>
      <c r="H81" t="n">
        <v>0</v>
      </c>
      <c r="I81" t="n">
        <v>0</v>
      </c>
      <c r="J81" t="n">
        <v>0</v>
      </c>
      <c r="K81" t="n">
        <v>0</v>
      </c>
      <c r="L81" t="n">
        <v>0</v>
      </c>
      <c r="M81" t="n">
        <v>0</v>
      </c>
      <c r="N81" t="n">
        <v>0</v>
      </c>
    </row>
    <row r="82">
      <c r="A82" t="inlineStr">
        <is>
          <t>Expenses</t>
        </is>
      </c>
      <c r="B82" t="inlineStr">
        <is>
          <t>Chamberlain of the pavilion, Richard le Palmere of Alresford, 5 shilling</t>
        </is>
      </c>
      <c r="C82" t="n">
        <v>0.25</v>
      </c>
      <c r="D82" t="n">
        <v>0</v>
      </c>
      <c r="E82" t="n">
        <v>5</v>
      </c>
      <c r="F82" t="n">
        <v>0</v>
      </c>
      <c r="H82" t="n">
        <v>0</v>
      </c>
      <c r="I82" t="n">
        <v>0</v>
      </c>
      <c r="J82" t="n">
        <v>0</v>
      </c>
      <c r="K82" t="n">
        <v>0</v>
      </c>
      <c r="L82" t="n">
        <v>0</v>
      </c>
      <c r="M82" t="n">
        <v>0</v>
      </c>
      <c r="N82" t="n">
        <v>0</v>
      </c>
    </row>
    <row r="83">
      <c r="A83" t="inlineStr">
        <is>
          <t>Expenses</t>
        </is>
      </c>
      <c r="B83" t="inlineStr">
        <is>
          <t>Crier in the fair and city, G.</t>
        </is>
      </c>
      <c r="C83" t="n">
        <v>0</v>
      </c>
      <c r="D83" t="n">
        <v>0</v>
      </c>
      <c r="E83" t="n">
        <v>0</v>
      </c>
      <c r="F83" t="n">
        <v>0</v>
      </c>
      <c r="H83" t="n">
        <v>0</v>
      </c>
      <c r="I83" t="n">
        <v>0</v>
      </c>
      <c r="J83" t="n">
        <v>0</v>
      </c>
      <c r="K83" t="n">
        <v>0</v>
      </c>
      <c r="L83" t="n">
        <v>0</v>
      </c>
      <c r="M83" t="n">
        <v>0</v>
      </c>
      <c r="N83" t="n">
        <v>0</v>
      </c>
    </row>
    <row r="84">
      <c r="A84" t="inlineStr">
        <is>
          <t>Expenses</t>
        </is>
      </c>
      <c r="B84" t="inlineStr">
        <is>
          <t>Marescallus, 2 shilling</t>
        </is>
      </c>
      <c r="C84" t="n">
        <v>0.1</v>
      </c>
      <c r="D84" t="n">
        <v>0</v>
      </c>
      <c r="E84" t="n">
        <v>2</v>
      </c>
      <c r="F84" t="n">
        <v>0</v>
      </c>
      <c r="H84" t="n">
        <v>0</v>
      </c>
      <c r="I84" t="n">
        <v>0</v>
      </c>
      <c r="J84" t="n">
        <v>0</v>
      </c>
      <c r="K84" t="n">
        <v>0</v>
      </c>
      <c r="L84" t="n">
        <v>0</v>
      </c>
      <c r="M84" t="n">
        <v>0</v>
      </c>
      <c r="N84" t="n">
        <v>0</v>
      </c>
    </row>
    <row r="85">
      <c r="A85" t="inlineStr">
        <is>
          <t>Expenses</t>
        </is>
      </c>
      <c r="B85" t="inlineStr">
        <is>
          <t>Total, £1 4 shilling 4pence</t>
        </is>
      </c>
      <c r="C85" t="n">
        <v>1.22</v>
      </c>
      <c r="D85" t="n">
        <v>1</v>
      </c>
      <c r="E85" t="n">
        <v>4</v>
      </c>
      <c r="F85" t="n">
        <v>4</v>
      </c>
      <c r="H85" t="n">
        <v>0</v>
      </c>
      <c r="I85" t="n">
        <v>0</v>
      </c>
      <c r="J85" t="n">
        <v>0</v>
      </c>
      <c r="K85" t="n">
        <v>0</v>
      </c>
      <c r="L85" t="n">
        <v>0</v>
      </c>
      <c r="M85" t="n">
        <v>0</v>
      </c>
      <c r="N85" t="n">
        <v>0</v>
      </c>
    </row>
    <row r="86">
      <c r="A86" t="inlineStr">
        <is>
          <t>Guardians of the road through Alton (pass' de Aulton'), mounted, with arms and their attendants</t>
        </is>
      </c>
      <c r="B86" t="inlineStr">
        <is>
          <t>[Mounted guardians of the road through Altoni, Hugh de Solrigg', William de Hatfeud, John le Mew, John Dunnyng, John de Hattingely, William Beaumond, Henry Scherewynd', for 16 days, at 6pence each a day, £2 16 shilling</t>
        </is>
      </c>
      <c r="C86" t="n">
        <v>2.8</v>
      </c>
      <c r="D86" t="n">
        <v>2</v>
      </c>
      <c r="E86" t="n">
        <v>16</v>
      </c>
      <c r="F86" t="n">
        <v>0</v>
      </c>
      <c r="H86" t="n">
        <v>0</v>
      </c>
      <c r="I86" t="n">
        <v>0</v>
      </c>
      <c r="J86" t="n">
        <v>0</v>
      </c>
      <c r="K86" t="n">
        <v>0</v>
      </c>
      <c r="L86" t="n">
        <v>0</v>
      </c>
      <c r="M86" t="n">
        <v>0</v>
      </c>
      <c r="N86" t="n">
        <v>0</v>
      </c>
    </row>
    <row r="87">
      <c r="A87" t="inlineStr">
        <is>
          <t>Guardians of the road through Alton (pass' de Aulton'), mounted, with arms and their attendants</t>
        </is>
      </c>
      <c r="B87" t="inlineStr">
        <is>
          <t>Guardians of the same road on foot, Peter Body, William Page, William Reigner, Robert de Langerissch', John Launual, Richard Parcarius of Merdon, for 16 days, at 2pence each a day, 16 shilling</t>
        </is>
      </c>
      <c r="C87" t="n">
        <v>0.8100000000000001</v>
      </c>
      <c r="D87" t="n">
        <v>0</v>
      </c>
      <c r="E87" t="n">
        <v>16</v>
      </c>
      <c r="F87" t="n">
        <v>2</v>
      </c>
      <c r="H87" t="n">
        <v>0</v>
      </c>
      <c r="I87" t="n">
        <v>0</v>
      </c>
      <c r="J87" t="n">
        <v>0</v>
      </c>
      <c r="K87" t="n">
        <v>0</v>
      </c>
      <c r="L87" t="n">
        <v>0</v>
      </c>
      <c r="M87" t="n">
        <v>0</v>
      </c>
      <c r="N87" t="n">
        <v>0</v>
      </c>
    </row>
    <row r="88">
      <c r="A88" t="inlineStr">
        <is>
          <t>Guardians of the road through Alton (pass' de Aulton'), mounted, with arms and their attendants</t>
        </is>
      </c>
      <c r="B88" t="inlineStr">
        <is>
          <t>Total of the road, £3 12 shilling</t>
        </is>
      </c>
      <c r="C88" t="n">
        <v>3.6</v>
      </c>
      <c r="D88" t="n">
        <v>3</v>
      </c>
      <c r="E88" t="n">
        <v>12</v>
      </c>
      <c r="F88" t="n">
        <v>0</v>
      </c>
      <c r="H88" t="n">
        <v>0</v>
      </c>
      <c r="I88" t="n">
        <v>0</v>
      </c>
      <c r="J88" t="n">
        <v>0</v>
      </c>
      <c r="K88" t="n">
        <v>0</v>
      </c>
      <c r="L88" t="n">
        <v>0</v>
      </c>
      <c r="M88" t="n">
        <v>0</v>
      </c>
      <c r="N88" t="n">
        <v>0</v>
      </c>
    </row>
    <row r="89">
      <c r="A89" t="inlineStr">
        <is>
          <t>Armed sergeants guarding the fair, night and day</t>
        </is>
      </c>
      <c r="B89" t="inlineStr">
        <is>
          <t>John Bernard, Nicholas de Langrissch', John de Middelton', Roger Everard',</t>
        </is>
      </c>
      <c r="C89" t="n">
        <v>0</v>
      </c>
      <c r="D89" t="n">
        <v>0</v>
      </c>
      <c r="E89" t="n">
        <v>0</v>
      </c>
      <c r="F89" t="n">
        <v>0</v>
      </c>
      <c r="H89" t="n">
        <v>0</v>
      </c>
      <c r="I89" t="n">
        <v>0</v>
      </c>
      <c r="J89" t="n">
        <v>0</v>
      </c>
      <c r="K89" t="n">
        <v>0</v>
      </c>
      <c r="L89" t="n">
        <v>0</v>
      </c>
      <c r="M89" t="n">
        <v>0</v>
      </c>
      <c r="N89" t="n">
        <v>0</v>
      </c>
    </row>
    <row r="90">
      <c r="A90" t="inlineStr">
        <is>
          <t>Armed sergeants guarding the fair, night and day</t>
        </is>
      </c>
      <c r="B90" t="inlineStr">
        <is>
          <t>William de Stok', Richard de Chalgrave, John Everarpence</t>
        </is>
      </c>
      <c r="C90" t="n">
        <v>0</v>
      </c>
      <c r="D90" t="n">
        <v>0</v>
      </c>
      <c r="E90" t="n">
        <v>0</v>
      </c>
      <c r="F90" t="n">
        <v>0</v>
      </c>
      <c r="H90" t="n">
        <v>0</v>
      </c>
      <c r="I90" t="n">
        <v>0</v>
      </c>
      <c r="J90" t="n">
        <v>0</v>
      </c>
      <c r="K90" t="n">
        <v>0</v>
      </c>
      <c r="L90" t="n">
        <v>0</v>
      </c>
      <c r="M90" t="n">
        <v>0</v>
      </c>
      <c r="N90" t="n">
        <v>0</v>
      </c>
    </row>
    <row r="91">
      <c r="A91" t="inlineStr">
        <is>
          <t>Armed sergeants guarding the fair, night and day</t>
        </is>
      </c>
      <c r="B91" t="inlineStr">
        <is>
          <t>Collectors of ground-rents, Richard Clericus, William de Molendino, John Everarpence</t>
        </is>
      </c>
      <c r="C91" t="n">
        <v>0</v>
      </c>
      <c r="D91" t="n">
        <v>0</v>
      </c>
      <c r="E91" t="n">
        <v>0</v>
      </c>
      <c r="F91" t="n">
        <v>0</v>
      </c>
      <c r="H91" t="n">
        <v>0</v>
      </c>
      <c r="I91" t="n">
        <v>0</v>
      </c>
      <c r="J91" t="n">
        <v>0</v>
      </c>
      <c r="K91" t="n">
        <v>0</v>
      </c>
      <c r="L91" t="n">
        <v>0</v>
      </c>
      <c r="M91" t="n">
        <v>0</v>
      </c>
      <c r="N91" t="n">
        <v>0</v>
      </c>
    </row>
    <row r="92">
      <c r="A92" t="inlineStr">
        <is>
          <t>Minor sergeants</t>
        </is>
      </c>
      <c r="B92" t="inlineStr">
        <is>
          <t>Bartholomew de Farham for 22 days, at 1pence a day, 1 shilling 10pence.</t>
        </is>
      </c>
      <c r="C92" t="n">
        <v>0.05</v>
      </c>
      <c r="D92" t="n">
        <v>0</v>
      </c>
      <c r="E92" t="n">
        <v>1</v>
      </c>
      <c r="F92" t="n">
        <v>1</v>
      </c>
      <c r="H92" t="n">
        <v>0</v>
      </c>
      <c r="I92" t="n">
        <v>0</v>
      </c>
      <c r="J92" t="n">
        <v>0</v>
      </c>
      <c r="K92" t="n">
        <v>0</v>
      </c>
      <c r="L92" t="n">
        <v>0</v>
      </c>
      <c r="M92" t="n">
        <v>0</v>
      </c>
      <c r="N92" t="n">
        <v>0</v>
      </c>
    </row>
    <row r="93">
      <c r="A93" t="inlineStr">
        <is>
          <t>Minor sergeants</t>
        </is>
      </c>
      <c r="B93" t="inlineStr">
        <is>
          <t>Robert le Taillour for 19 days, at 1pence a day, 1 shilling 7pence.</t>
        </is>
      </c>
      <c r="C93" t="n">
        <v>0.05</v>
      </c>
      <c r="D93" t="n">
        <v>0</v>
      </c>
      <c r="E93" t="n">
        <v>1</v>
      </c>
      <c r="F93" t="n">
        <v>1</v>
      </c>
      <c r="H93" t="n">
        <v>0</v>
      </c>
      <c r="I93" t="n">
        <v>0</v>
      </c>
      <c r="J93" t="n">
        <v>0</v>
      </c>
      <c r="K93" t="n">
        <v>0</v>
      </c>
      <c r="L93" t="n">
        <v>0</v>
      </c>
      <c r="M93" t="n">
        <v>0</v>
      </c>
      <c r="N93" t="n">
        <v>0</v>
      </c>
    </row>
    <row r="94">
      <c r="A94" t="inlineStr">
        <is>
          <t>Minor sergeants</t>
        </is>
      </c>
      <c r="B94" t="inlineStr">
        <is>
          <t>Richard Pieres for 18 days, at 1pence a day, 1 shilling 6pence.</t>
        </is>
      </c>
      <c r="C94" t="n">
        <v>0.05</v>
      </c>
      <c r="D94" t="n">
        <v>0</v>
      </c>
      <c r="E94" t="n">
        <v>1</v>
      </c>
      <c r="F94" t="n">
        <v>1</v>
      </c>
      <c r="H94" t="n">
        <v>0</v>
      </c>
      <c r="I94" t="n">
        <v>0</v>
      </c>
      <c r="J94" t="n">
        <v>0</v>
      </c>
      <c r="K94" t="n">
        <v>0</v>
      </c>
      <c r="L94" t="n">
        <v>0</v>
      </c>
      <c r="M94" t="n">
        <v>0</v>
      </c>
      <c r="N94" t="n">
        <v>0</v>
      </c>
    </row>
    <row r="95">
      <c r="A95" t="inlineStr">
        <is>
          <t>Minor sergeants</t>
        </is>
      </c>
      <c r="B95" t="inlineStr">
        <is>
          <t>Robert de Cosham, Thomas de Kent, John de Alresford, for 17 days, at 1pence each a day, 4 shilling 3pence.</t>
        </is>
      </c>
      <c r="C95" t="n">
        <v>0.2</v>
      </c>
      <c r="D95" t="n">
        <v>0</v>
      </c>
      <c r="E95" t="n">
        <v>4</v>
      </c>
      <c r="F95" t="n">
        <v>1</v>
      </c>
      <c r="H95" t="n">
        <v>0</v>
      </c>
      <c r="I95" t="n">
        <v>0</v>
      </c>
      <c r="J95" t="n">
        <v>0</v>
      </c>
      <c r="K95" t="n">
        <v>0</v>
      </c>
      <c r="L95" t="n">
        <v>0</v>
      </c>
      <c r="M95" t="n">
        <v>0</v>
      </c>
      <c r="N95" t="n">
        <v>0</v>
      </c>
    </row>
    <row r="96">
      <c r="A96" t="inlineStr">
        <is>
          <t>Minor sergeants</t>
        </is>
      </c>
      <c r="B96" t="inlineStr">
        <is>
          <t>John Freir', William Horn, Robert Molendinarius, for 12 days, at 1pence each a day, 3 shilling Total of minor sergeants, 12 shilling 2pence</t>
        </is>
      </c>
      <c r="C96" t="n">
        <v>0.15</v>
      </c>
      <c r="D96" t="n">
        <v>0</v>
      </c>
      <c r="E96" t="n">
        <v>3</v>
      </c>
      <c r="F96" t="n">
        <v>1</v>
      </c>
      <c r="H96" t="n">
        <v>0</v>
      </c>
      <c r="I96" t="n">
        <v>0</v>
      </c>
      <c r="J96" t="n">
        <v>0</v>
      </c>
      <c r="K96" t="n">
        <v>0</v>
      </c>
      <c r="L96" t="n">
        <v>0</v>
      </c>
      <c r="M96" t="n">
        <v>0</v>
      </c>
      <c r="N96" t="n">
        <v>0</v>
      </c>
    </row>
    <row r="97">
      <c r="A97" t="inlineStr">
        <is>
          <t>Minor sergeants</t>
        </is>
      </c>
      <c r="B97" t="inlineStr">
        <is>
          <t>Total of all the preceding totals, £5 8 shilling 6pence</t>
        </is>
      </c>
      <c r="C97" t="n">
        <v>5.43</v>
      </c>
      <c r="D97" t="n">
        <v>5</v>
      </c>
      <c r="E97" t="n">
        <v>8</v>
      </c>
      <c r="F97" t="n">
        <v>6</v>
      </c>
      <c r="H97" t="n">
        <v>0</v>
      </c>
      <c r="I97" t="n">
        <v>0</v>
      </c>
      <c r="J97" t="n">
        <v>0</v>
      </c>
      <c r="K97" t="n">
        <v>0</v>
      </c>
      <c r="L97" t="n">
        <v>0</v>
      </c>
      <c r="M97" t="n">
        <v>0</v>
      </c>
      <c r="N97" t="n">
        <v>0</v>
      </c>
    </row>
    <row r="98">
      <c r="A98" t="inlineStr">
        <is>
          <t>Minor sergeants</t>
        </is>
      </c>
      <c r="B98" t="inlineStr">
        <is>
          <t>In collecting stubble to thatch the toll-house at South Gate and roofing the same 2 shilling 11.5pence.</t>
        </is>
      </c>
      <c r="C98" t="n">
        <v>0.15</v>
      </c>
      <c r="D98" t="n">
        <v>0</v>
      </c>
      <c r="E98" t="n">
        <v>2</v>
      </c>
      <c r="F98" t="n">
        <v>11.5</v>
      </c>
      <c r="H98" t="n">
        <v>0</v>
      </c>
      <c r="I98" t="n">
        <v>0</v>
      </c>
      <c r="J98" t="n">
        <v>0</v>
      </c>
      <c r="K98" t="n">
        <v>0</v>
      </c>
      <c r="L98" t="n">
        <v>0</v>
      </c>
      <c r="M98" t="n">
        <v>0</v>
      </c>
      <c r="N98" t="n">
        <v>0</v>
      </c>
    </row>
    <row r="99">
      <c r="A99" t="inlineStr">
        <is>
          <t>Minor sergeants</t>
        </is>
      </c>
      <c r="B99" t="inlineStr">
        <is>
          <t>re-roofing in places the selds for hire which had been unroofed 2 shilling 8.5pence.</t>
        </is>
      </c>
      <c r="C99" t="n">
        <v>0.14</v>
      </c>
      <c r="D99" t="n">
        <v>0</v>
      </c>
      <c r="E99" t="n">
        <v>2</v>
      </c>
      <c r="F99" t="n">
        <v>8.5</v>
      </c>
      <c r="H99" t="n">
        <v>0</v>
      </c>
      <c r="I99" t="n">
        <v>0</v>
      </c>
      <c r="J99" t="n">
        <v>0</v>
      </c>
      <c r="K99" t="n">
        <v>0</v>
      </c>
      <c r="L99" t="n">
        <v>0</v>
      </c>
      <c r="M99" t="n">
        <v>0</v>
      </c>
      <c r="N99" t="n">
        <v>0</v>
      </c>
    </row>
    <row r="100">
      <c r="A100" t="inlineStr">
        <is>
          <t>Minor sergeants</t>
        </is>
      </c>
      <c r="B100" t="inlineStr">
        <is>
          <t>re-roofing the pavilion which had been unroofed by the wind, with nails bought for the same, 3 shilling 11.5pence.</t>
        </is>
      </c>
      <c r="C100" t="n">
        <v>0.2</v>
      </c>
      <c r="D100" t="n">
        <v>0</v>
      </c>
      <c r="E100" t="n">
        <v>3</v>
      </c>
      <c r="F100" t="n">
        <v>11.5</v>
      </c>
      <c r="H100" t="n">
        <v>0</v>
      </c>
      <c r="I100" t="n">
        <v>0</v>
      </c>
      <c r="J100" t="n">
        <v>0</v>
      </c>
      <c r="K100" t="n">
        <v>0</v>
      </c>
      <c r="L100" t="n">
        <v>0</v>
      </c>
      <c r="M100" t="n">
        <v>0</v>
      </c>
      <c r="N100" t="n">
        <v>0</v>
      </c>
    </row>
    <row r="101">
      <c r="A101" t="inlineStr">
        <is>
          <t>Minor sergeants</t>
        </is>
      </c>
      <c r="B101" t="inlineStr">
        <is>
          <t>cleaning the pavilion in preparation for the fair and collecting greenwood and spreading it there 3pence.</t>
        </is>
      </c>
      <c r="C101" t="n">
        <v>0.01</v>
      </c>
      <c r="D101" t="n">
        <v>0</v>
      </c>
      <c r="E101" t="n">
        <v>0</v>
      </c>
      <c r="F101" t="n">
        <v>3</v>
      </c>
      <c r="H101" t="n">
        <v>0</v>
      </c>
      <c r="I101" t="n">
        <v>0</v>
      </c>
      <c r="J101" t="n">
        <v>0</v>
      </c>
      <c r="K101" t="n">
        <v>0</v>
      </c>
      <c r="L101" t="n">
        <v>0</v>
      </c>
      <c r="M101" t="n">
        <v>0</v>
      </c>
      <c r="N101" t="n">
        <v>0</v>
      </c>
    </row>
    <row r="102">
      <c r="A102" t="inlineStr">
        <is>
          <t>Minor sergeants</t>
        </is>
      </c>
      <c r="B102" t="inlineStr">
        <is>
          <t>rope bought for bearing the measures taken in the town 2pence.</t>
        </is>
      </c>
      <c r="C102" t="n">
        <v>0.01</v>
      </c>
      <c r="D102" t="n">
        <v>0</v>
      </c>
      <c r="E102" t="n">
        <v>0</v>
      </c>
      <c r="F102" t="n">
        <v>2</v>
      </c>
      <c r="H102" t="n">
        <v>0</v>
      </c>
      <c r="I102" t="n">
        <v>0</v>
      </c>
      <c r="J102" t="n">
        <v>0</v>
      </c>
      <c r="K102" t="n">
        <v>0</v>
      </c>
      <c r="L102" t="n">
        <v>0</v>
      </c>
      <c r="M102" t="n">
        <v>0</v>
      </c>
      <c r="N102" t="n">
        <v>0</v>
      </c>
    </row>
    <row r="103">
      <c r="A103" t="inlineStr">
        <is>
          <t>Minor sergeants</t>
        </is>
      </c>
      <c r="B103" t="inlineStr">
        <is>
          <t>hiring a certain house at West Gate for collecting tolls there 2 shilling.</t>
        </is>
      </c>
      <c r="C103" t="n">
        <v>0.1</v>
      </c>
      <c r="D103" t="n">
        <v>0</v>
      </c>
      <c r="E103" t="n">
        <v>2</v>
      </c>
      <c r="F103" t="n">
        <v>0</v>
      </c>
      <c r="H103" t="n">
        <v>0</v>
      </c>
      <c r="I103" t="n">
        <v>0</v>
      </c>
      <c r="J103" t="n">
        <v>0</v>
      </c>
      <c r="K103" t="n">
        <v>0</v>
      </c>
      <c r="L103" t="n">
        <v>0</v>
      </c>
      <c r="M103" t="n">
        <v>0</v>
      </c>
      <c r="N103" t="n">
        <v>0</v>
      </c>
    </row>
    <row r="104">
      <c r="A104" t="inlineStr">
        <is>
          <t>Minor sergeants</t>
        </is>
      </c>
      <c r="B104" t="inlineStr">
        <is>
          <t>allowance of the chamberlain for the amercements which he was unable to levy, with 3pence pardoned to the prior of Southwick for fixing the treasurer's jurisdiction badly, 3 shilling, as made clear from the details in the chamberlain's account.</t>
        </is>
      </c>
      <c r="C104" t="n">
        <v>0.16</v>
      </c>
      <c r="D104" t="n">
        <v>0</v>
      </c>
      <c r="E104" t="n">
        <v>3</v>
      </c>
      <c r="F104" t="n">
        <v>3</v>
      </c>
      <c r="H104" t="n">
        <v>0</v>
      </c>
      <c r="I104" t="n">
        <v>0</v>
      </c>
      <c r="J104" t="n">
        <v>0</v>
      </c>
      <c r="K104" t="n">
        <v>0</v>
      </c>
      <c r="L104" t="n">
        <v>0</v>
      </c>
      <c r="M104" t="n">
        <v>0</v>
      </c>
      <c r="N104" t="n">
        <v>0</v>
      </c>
    </row>
    <row r="105">
      <c r="A105" t="inlineStr">
        <is>
          <t>Minor sergeants</t>
        </is>
      </c>
      <c r="B105" t="inlineStr">
        <is>
          <t>Total, 15 shilling .5pence</t>
        </is>
      </c>
      <c r="C105" t="n">
        <v>0.77</v>
      </c>
      <c r="D105" t="n">
        <v>0</v>
      </c>
      <c r="E105" t="n">
        <v>15</v>
      </c>
      <c r="F105" t="n">
        <v>5</v>
      </c>
      <c r="H105" t="n">
        <v>0</v>
      </c>
      <c r="I105" t="n">
        <v>0</v>
      </c>
      <c r="J105" t="n">
        <v>0</v>
      </c>
      <c r="K105" t="n">
        <v>0</v>
      </c>
      <c r="L105" t="n">
        <v>0</v>
      </c>
      <c r="M105" t="n">
        <v>0</v>
      </c>
      <c r="N105" t="n">
        <v>0</v>
      </c>
    </row>
    <row r="106">
      <c r="A106" t="inlineStr">
        <is>
          <t>Minor sergeants</t>
        </is>
      </c>
      <c r="B106" t="inlineStr">
        <is>
          <t>In expenses of the aforesaid sergeants guarding the fair and pavilion, as made clear in the chamberlain's account, £l. 11 shilling 91⁄2pence.</t>
        </is>
      </c>
      <c r="C106" t="n">
        <v>0.5600000000000001</v>
      </c>
      <c r="D106" t="n">
        <v>0</v>
      </c>
      <c r="E106" t="n">
        <v>11</v>
      </c>
      <c r="F106" t="n">
        <v>2</v>
      </c>
      <c r="H106" t="n">
        <v>0</v>
      </c>
      <c r="I106" t="n">
        <v>0</v>
      </c>
      <c r="J106" t="n">
        <v>0</v>
      </c>
      <c r="K106" t="n">
        <v>0</v>
      </c>
      <c r="L106" t="n">
        <v>0</v>
      </c>
      <c r="M106" t="n">
        <v>0</v>
      </c>
      <c r="N106" t="n">
        <v>0</v>
      </c>
    </row>
    <row r="107">
      <c r="A107" t="inlineStr">
        <is>
          <t>Minor sergeants</t>
        </is>
      </c>
      <c r="B107" t="inlineStr">
        <is>
          <t>expenses of the household at Wolvesey, for 9 days at the time of the fair, £5 13 shilling 101⁄2pence, and not more because the bishop was at Wolvesey for 8 days at the time of the fair.</t>
        </is>
      </c>
      <c r="C107" t="n">
        <v>5.65</v>
      </c>
      <c r="D107" t="n">
        <v>5</v>
      </c>
      <c r="E107" t="n">
        <v>13</v>
      </c>
      <c r="F107" t="n">
        <v>0</v>
      </c>
      <c r="H107" t="n">
        <v>0</v>
      </c>
      <c r="I107" t="n">
        <v>0</v>
      </c>
      <c r="J107" t="n">
        <v>0</v>
      </c>
      <c r="K107" t="n">
        <v>0</v>
      </c>
      <c r="L107" t="n">
        <v>0</v>
      </c>
      <c r="M107" t="n">
        <v>0</v>
      </c>
      <c r="N107" t="n">
        <v>0</v>
      </c>
    </row>
    <row r="108">
      <c r="A108" t="inlineStr">
        <is>
          <t>Minor sergeants</t>
        </is>
      </c>
      <c r="B108" t="inlineStr">
        <is>
          <t>Total, £7 5 shilling 8pence</t>
        </is>
      </c>
      <c r="C108" t="n">
        <v>7.28</v>
      </c>
      <c r="D108" t="n">
        <v>7</v>
      </c>
      <c r="E108" t="n">
        <v>5</v>
      </c>
      <c r="F108" t="n">
        <v>8</v>
      </c>
      <c r="H108" t="n">
        <v>0</v>
      </c>
      <c r="I108" t="n">
        <v>0</v>
      </c>
      <c r="J108" t="n">
        <v>0</v>
      </c>
      <c r="K108" t="n">
        <v>0</v>
      </c>
      <c r="L108" t="n">
        <v>0</v>
      </c>
      <c r="M108" t="n">
        <v>0</v>
      </c>
      <c r="N108" t="n">
        <v>0</v>
      </c>
    </row>
    <row r="109">
      <c r="A109" t="inlineStr">
        <is>
          <t>Minor sergeants</t>
        </is>
      </c>
      <c r="B109" t="inlineStr">
        <is>
          <t>Total of all expenses, £13 9 shilling 2.5pence</t>
        </is>
      </c>
      <c r="C109" t="n">
        <v>13.46</v>
      </c>
      <c r="D109" t="n">
        <v>13</v>
      </c>
      <c r="E109" t="n">
        <v>9</v>
      </c>
      <c r="F109" t="n">
        <v>2.5</v>
      </c>
      <c r="H109" t="n">
        <v>0</v>
      </c>
      <c r="I109" t="n">
        <v>0</v>
      </c>
      <c r="J109" t="n">
        <v>0</v>
      </c>
      <c r="K109" t="n">
        <v>0</v>
      </c>
      <c r="L109" t="n">
        <v>0</v>
      </c>
      <c r="M109" t="n">
        <v>0</v>
      </c>
      <c r="N10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2025-12-18T10:17:20Z</dcterms:modified>
  <cp:lastModifiedBy>Kowalski, Kuba</cp:lastModifiedBy>
</cp:coreProperties>
</file>
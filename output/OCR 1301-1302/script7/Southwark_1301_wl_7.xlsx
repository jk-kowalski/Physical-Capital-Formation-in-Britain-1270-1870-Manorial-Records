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Southwark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8">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29"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0"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SOUTHWARK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8.199999999999999</v>
      </c>
      <c r="D4" s="13" t="n"/>
      <c r="E4" s="13" t="n"/>
    </row>
    <row r="5">
      <c r="A5" s="15" t="inlineStr">
        <is>
          <t>Rents of assize total</t>
        </is>
      </c>
      <c r="B5" s="76" t="n">
        <v>16.18</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14.9</v>
      </c>
    </row>
    <row r="13">
      <c r="A13" s="76" t="inlineStr">
        <is>
          <t>Farms total</t>
        </is>
      </c>
      <c r="B13" s="76" t="n"/>
    </row>
    <row r="14">
      <c r="A14" s="15" t="inlineStr">
        <is>
          <t>Annual recognizances total</t>
        </is>
      </c>
      <c r="B14" s="76" t="n"/>
    </row>
    <row r="15">
      <c r="A15" s="15" t="inlineStr">
        <is>
          <t>Issues of the Manor total</t>
        </is>
      </c>
      <c r="B15" s="76" t="n">
        <v>4.58</v>
      </c>
    </row>
    <row r="16">
      <c r="A16" s="76" t="inlineStr">
        <is>
          <t>Issues of the tenements in the lord's hands total</t>
        </is>
      </c>
      <c r="B16" s="76" t="n"/>
    </row>
    <row r="17">
      <c r="A17" s="76" t="inlineStr">
        <is>
          <t>Sale of labour services total</t>
        </is>
      </c>
      <c r="B17" s="76" t="n"/>
    </row>
    <row r="18">
      <c r="A18" s="15" t="inlineStr">
        <is>
          <t>Sale of corn total</t>
        </is>
      </c>
      <c r="B18" s="76" t="n">
        <v>6.92</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23.57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1</v>
      </c>
      <c r="C87" s="76" t="n">
        <v>1</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C119*'Stock'!O35</f>
        <v/>
      </c>
    </row>
    <row r="120">
      <c r="A120" s="15" t="inlineStr">
        <is>
          <t>Lamb's wool</t>
        </is>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C152*'Stock'!O68</f>
        <v/>
      </c>
    </row>
    <row r="153">
      <c r="A153" s="15" t="inlineStr">
        <is>
          <t>Capons (from chickens)</t>
        </is>
      </c>
      <c r="B153" s="76" t="n">
        <v>0</v>
      </c>
      <c r="C153" s="76" t="n">
        <v>0</v>
      </c>
      <c r="D153" s="76" t="n">
        <v>0</v>
      </c>
      <c r="F153" s="76">
        <f>C153*'Stock'!O69</f>
        <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f>C160*'Stock'!O76</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f>C167*'Stock'!O88</f>
        <v/>
      </c>
    </row>
    <row r="168">
      <c r="A168" s="15" t="inlineStr">
        <is>
          <t>Summer Cheese</t>
        </is>
      </c>
      <c r="B168" t="n">
        <v>0</v>
      </c>
      <c r="C168" t="n">
        <v>0</v>
      </c>
      <c r="D168" t="n">
        <v>0</v>
      </c>
      <c r="F168">
        <f>C168*'Stock'!O89</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SOUTHWARK</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2"/>
  <sheetViews>
    <sheetView topLeftCell="A1" workbookViewId="0">
      <selection activeCell="A1" sqref="A1"/>
    </sheetView>
  </sheetViews>
  <sheetFormatPr baseColWidth="8" defaultRowHeight="15"/>
  <cols>
    <col width="23.33203125" customWidth="1" min="1" max="1"/>
    <col width="8.83203125" customWidth="1" min="6" max="6"/>
    <col width="8.83203125" customWidth="1" min="7" max="7"/>
  </cols>
  <sheetData>
    <row r="1" ht="16" customHeight="1">
      <c r="A1" s="2" t="inlineStr">
        <is>
          <t>SOUTHWARK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Arrears</t>
        </is>
      </c>
      <c r="B3" t="n">
        <v>8</v>
      </c>
      <c r="C3" t="n">
        <v>4</v>
      </c>
      <c r="D3" t="n">
        <v>0.75</v>
      </c>
      <c r="F3" s="72" t="n">
        <v>8.199999999999999</v>
      </c>
      <c r="H3" t="inlineStr">
        <is>
          <t>The same render account for £8 4 shilling 0.75pence of arrears from the previous year.</t>
        </is>
      </c>
    </row>
    <row r="4">
      <c r="A4" t="inlineStr">
        <is>
          <t>Arrears</t>
        </is>
      </c>
      <c r="B4" t="n">
        <v>0</v>
      </c>
      <c r="C4" t="n">
        <v>0</v>
      </c>
      <c r="D4" t="n">
        <v>0</v>
      </c>
      <c r="F4" s="72" t="n">
        <v>0</v>
      </c>
      <c r="H4" t="inlineStr">
        <is>
          <t>Delivered to Sir Geoffrey by 1 tally.</t>
        </is>
      </c>
    </row>
    <row r="5">
      <c r="A5" t="inlineStr">
        <is>
          <t>Arrears</t>
        </is>
      </c>
      <c r="B5" t="n">
        <v>0</v>
      </c>
      <c r="C5" t="n">
        <v>0</v>
      </c>
      <c r="D5" t="n">
        <v>0</v>
      </c>
      <c r="F5" s="72" t="n">
        <v>0</v>
      </c>
      <c r="H5" t="inlineStr">
        <is>
          <t>They are quit.</t>
        </is>
      </c>
    </row>
    <row r="6">
      <c r="A6" t="inlineStr">
        <is>
          <t>Arrears</t>
        </is>
      </c>
      <c r="F6" s="72" t="n">
        <v>8.199999999999999</v>
      </c>
      <c r="G6" s="129" t="n">
        <v>8.199999999999999</v>
      </c>
      <c r="H6" t="inlineStr">
        <is>
          <t>Total</t>
        </is>
      </c>
    </row>
    <row r="7"/>
    <row r="8">
      <c r="A8" t="inlineStr">
        <is>
          <t>Rents of assize</t>
        </is>
      </c>
      <c r="B8" t="n">
        <v>8</v>
      </c>
      <c r="C8" t="n">
        <v>1</v>
      </c>
      <c r="D8" t="n">
        <v>10.5</v>
      </c>
      <c r="F8" s="72" t="n">
        <v>8.09</v>
      </c>
      <c r="H8" t="inlineStr">
        <is>
          <t>The same render account for £8 1 shilling 10.5pence for all rents of assize in London and Southwark at Easter (22 April).</t>
        </is>
      </c>
    </row>
    <row r="9">
      <c r="A9" t="inlineStr">
        <is>
          <t>Rents of assize</t>
        </is>
      </c>
      <c r="B9" t="n">
        <v>8</v>
      </c>
      <c r="C9" t="n">
        <v>1</v>
      </c>
      <c r="D9" t="n">
        <v>10.5</v>
      </c>
      <c r="F9" s="72" t="n">
        <v>8.09</v>
      </c>
      <c r="H9" t="inlineStr">
        <is>
          <t>£8 1 shilling 10.5pence at Michaelmas (29 September).</t>
        </is>
      </c>
    </row>
    <row r="10">
      <c r="A10" t="inlineStr">
        <is>
          <t>Rents of assize</t>
        </is>
      </c>
      <c r="B10" t="n">
        <v>16</v>
      </c>
      <c r="C10" t="n">
        <v>3</v>
      </c>
      <c r="D10" t="n">
        <v>9</v>
      </c>
      <c r="F10" s="72" t="n">
        <v>16.19</v>
      </c>
      <c r="H10" t="inlineStr">
        <is>
          <t>Total, £16 3 shilling 9pence</t>
        </is>
      </c>
    </row>
    <row r="11">
      <c r="A11" t="inlineStr">
        <is>
          <t>Rents of assize</t>
        </is>
      </c>
      <c r="F11" s="72" t="n">
        <v>16.18</v>
      </c>
      <c r="G11" s="129" t="n">
        <v>-0.01000000000000156</v>
      </c>
      <c r="H11" t="inlineStr">
        <is>
          <t>Total</t>
        </is>
      </c>
    </row>
    <row r="12"/>
    <row r="13">
      <c r="A13" t="inlineStr">
        <is>
          <t>Total of rents remaining clear</t>
        </is>
      </c>
      <c r="B13" t="n">
        <v>14</v>
      </c>
      <c r="C13" t="n">
        <v>18</v>
      </c>
      <c r="D13" t="n">
        <v>1</v>
      </c>
      <c r="F13" s="72" t="n">
        <v>14.9</v>
      </c>
      <c r="H13" t="inlineStr">
        <is>
          <t>Total of rents remaining clear, £14 18 shilling 1 pence</t>
        </is>
      </c>
    </row>
    <row r="14">
      <c r="A14" t="inlineStr">
        <is>
          <t>Total of rents remaining clear</t>
        </is>
      </c>
      <c r="F14" s="72" t="n">
        <v>14.9</v>
      </c>
      <c r="G14" s="129">
        <f>F14-E13</f>
        <v/>
      </c>
      <c r="H14" t="inlineStr">
        <is>
          <t>Total</t>
        </is>
      </c>
    </row>
    <row r="15"/>
    <row r="16">
      <c r="A16" t="inlineStr">
        <is>
          <t>Pepper</t>
        </is>
      </c>
      <c r="B16" t="n">
        <v>0</v>
      </c>
      <c r="C16" t="n">
        <v>0</v>
      </c>
      <c r="D16" t="n">
        <v>0</v>
      </c>
      <c r="F16" s="72" t="n">
        <v>0</v>
      </c>
      <c r="H16" t="inlineStr">
        <is>
          <t>The same render account for 1 lb of pepper from the rent of 1 seld in Eldefhystrate this year.</t>
        </is>
      </c>
    </row>
    <row r="17">
      <c r="A17" t="inlineStr">
        <is>
          <t>Pepper</t>
        </is>
      </c>
      <c r="B17" t="n">
        <v>0</v>
      </c>
      <c r="C17" t="n">
        <v>0</v>
      </c>
      <c r="D17" t="n">
        <v>0</v>
      </c>
      <c r="F17" s="72" t="n">
        <v>0</v>
      </c>
      <c r="H17" t="inlineStr">
        <is>
          <t>Total, 1 lb.</t>
        </is>
      </c>
    </row>
    <row r="18">
      <c r="A18" t="inlineStr">
        <is>
          <t>Pepper</t>
        </is>
      </c>
      <c r="B18" t="n">
        <v>0</v>
      </c>
      <c r="C18" t="n">
        <v>0</v>
      </c>
      <c r="D18" t="n">
        <v>0</v>
      </c>
      <c r="F18" s="72" t="n">
        <v>0</v>
      </c>
      <c r="H18" t="inlineStr">
        <is>
          <t>All delivered to Sir Geoffrey by 1 tally.</t>
        </is>
      </c>
    </row>
    <row r="19">
      <c r="A19" t="inlineStr">
        <is>
          <t>Pepper</t>
        </is>
      </c>
      <c r="B19" t="n">
        <v>0</v>
      </c>
      <c r="C19" t="n">
        <v>0</v>
      </c>
      <c r="D19" t="n">
        <v>0</v>
      </c>
      <c r="F19" s="72" t="n">
        <v>0</v>
      </c>
      <c r="H19" t="inlineStr">
        <is>
          <t>They are quit.</t>
        </is>
      </c>
    </row>
    <row r="20">
      <c r="A20" t="inlineStr">
        <is>
          <t>Pepper</t>
        </is>
      </c>
      <c r="F20" s="72" t="n">
        <v>0</v>
      </c>
      <c r="G20" s="129" t="n">
        <v>0</v>
      </c>
      <c r="H20" t="inlineStr">
        <is>
          <t>Total</t>
        </is>
      </c>
    </row>
    <row r="21"/>
    <row r="22">
      <c r="A22" t="inlineStr">
        <is>
          <t>Issues of the manor</t>
        </is>
      </c>
      <c r="B22" t="n">
        <v>3</v>
      </c>
      <c r="C22" t="n">
        <v>6</v>
      </c>
      <c r="D22" t="n">
        <v>8</v>
      </c>
      <c r="F22" s="72" t="n">
        <v>3.33</v>
      </c>
      <c r="H22" t="inlineStr">
        <is>
          <t>The same render account for £3 6 shilling 8pence from the herbage in the great field sold.</t>
        </is>
      </c>
    </row>
    <row r="23">
      <c r="A23" t="inlineStr">
        <is>
          <t>Issues of the manor</t>
        </is>
      </c>
      <c r="B23" t="n">
        <v>0</v>
      </c>
      <c r="C23" t="n">
        <v>8</v>
      </c>
      <c r="D23" t="n">
        <v>0</v>
      </c>
      <c r="F23" s="72" t="n">
        <v>0.4</v>
      </c>
      <c r="H23" t="inlineStr">
        <is>
          <t>8 shilling from nettles in la Wild' sold.</t>
        </is>
      </c>
    </row>
    <row r="24">
      <c r="A24" t="inlineStr">
        <is>
          <t>Issues of the manor</t>
        </is>
      </c>
      <c r="B24" t="n">
        <v>0</v>
      </c>
      <c r="C24" t="n">
        <v>5</v>
      </c>
      <c r="D24" t="n">
        <v>0</v>
      </c>
      <c r="F24" s="72" t="n">
        <v>0.25</v>
      </c>
      <c r="H24" t="inlineStr">
        <is>
          <t>5 shilling from 1 garden hired this year to make a curtilage.</t>
        </is>
      </c>
    </row>
    <row r="25">
      <c r="A25" t="inlineStr">
        <is>
          <t>Issues of the manor</t>
        </is>
      </c>
      <c r="B25" t="n">
        <v>0</v>
      </c>
      <c r="C25" t="n">
        <v>9</v>
      </c>
      <c r="D25" t="n">
        <v>0</v>
      </c>
      <c r="F25" s="72" t="n">
        <v>0.45</v>
      </c>
      <c r="H25" t="inlineStr">
        <is>
          <t>9 shilling from fruit sold this year.</t>
        </is>
      </c>
    </row>
    <row r="26">
      <c r="A26" t="inlineStr">
        <is>
          <t>Issues of the manor</t>
        </is>
      </c>
      <c r="B26" t="n">
        <v>0</v>
      </c>
      <c r="C26" t="n">
        <v>3</v>
      </c>
      <c r="D26" t="n">
        <v>0</v>
      </c>
      <c r="F26" s="72" t="n">
        <v>0.15</v>
      </c>
      <c r="H26" t="inlineStr">
        <is>
          <t>3 shilling from 1 plot behind the kitchen, and not more this year because part of the bishops hay was stacked there which it was not possible to stack in other buildings because of the sojourn of the count of Savoy there.</t>
        </is>
      </c>
    </row>
    <row r="27">
      <c r="A27" t="inlineStr">
        <is>
          <t>Issues of the manor</t>
        </is>
      </c>
      <c r="B27" t="n">
        <v>0</v>
      </c>
      <c r="C27" t="n">
        <v>0</v>
      </c>
      <c r="D27" t="n">
        <v>0</v>
      </c>
      <c r="F27" s="72" t="n">
        <v>0</v>
      </c>
      <c r="H27" t="inlineStr">
        <is>
          <t>nothing from hay this year because all was in provision of the bishop's horses.</t>
        </is>
      </c>
    </row>
    <row r="28">
      <c r="A28" t="inlineStr">
        <is>
          <t>Issues of the manor</t>
        </is>
      </c>
      <c r="B28" t="n">
        <v>0</v>
      </c>
      <c r="C28" t="n">
        <v>0</v>
      </c>
      <c r="D28" t="n">
        <v>0</v>
      </c>
      <c r="F28" s="72" t="n">
        <v>0</v>
      </c>
      <c r="H28" t="inlineStr">
        <is>
          <t xml:space="preserve">nothing from the pinfold this year because it is submergepence </t>
        </is>
      </c>
    </row>
    <row r="29">
      <c r="A29" t="inlineStr">
        <is>
          <t>Issues of the manor</t>
        </is>
      </c>
      <c r="B29" t="n">
        <v>4</v>
      </c>
      <c r="C29" t="n">
        <v>11</v>
      </c>
      <c r="D29" t="n">
        <v>8</v>
      </c>
      <c r="F29" s="72" t="n">
        <v>4.58</v>
      </c>
      <c r="H29" t="inlineStr">
        <is>
          <t>Total, £4 11 shilling 8pence</t>
        </is>
      </c>
    </row>
    <row r="30">
      <c r="A30" t="inlineStr">
        <is>
          <t>Issues of the manor</t>
        </is>
      </c>
      <c r="F30" s="72">
        <f>SUM(F22:F28)</f>
        <v/>
      </c>
      <c r="G30" s="129">
        <f>F30-F29</f>
        <v/>
      </c>
      <c r="H30" t="inlineStr">
        <is>
          <t>Total</t>
        </is>
      </c>
    </row>
    <row r="31"/>
    <row r="32">
      <c r="A32" t="inlineStr">
        <is>
          <t>Sale of corn</t>
        </is>
      </c>
      <c r="B32" t="n">
        <v>2</v>
      </c>
      <c r="C32" t="n">
        <v>16</v>
      </c>
      <c r="D32" t="n">
        <v>8</v>
      </c>
      <c r="F32" s="72" t="n">
        <v>2.83</v>
      </c>
      <c r="H32" t="inlineStr">
        <is>
          <t>The same render account for £2 16 shilling 8pence from 10 quarters of wheat sold from the issue of the mill, at 5 shilling 8pence a qr.</t>
        </is>
      </c>
    </row>
    <row r="33">
      <c r="A33" t="inlineStr">
        <is>
          <t>Sale of corn</t>
        </is>
      </c>
      <c r="B33" t="n">
        <v>2</v>
      </c>
      <c r="C33" t="n">
        <v>13</v>
      </c>
      <c r="D33" t="n">
        <v>4</v>
      </c>
      <c r="F33" s="72" t="n">
        <v>2.67</v>
      </c>
      <c r="H33" t="inlineStr">
        <is>
          <t>£2 13 shilling 4pence from 10 quarters of wheat sold from the same issue, at 5 shilling 4pence a qr.</t>
        </is>
      </c>
    </row>
    <row r="34">
      <c r="A34" t="inlineStr">
        <is>
          <t>Sale of corn</t>
        </is>
      </c>
      <c r="B34" t="n">
        <v>1</v>
      </c>
      <c r="C34" t="n">
        <v>8</v>
      </c>
      <c r="D34" t="n">
        <v>4</v>
      </c>
      <c r="F34" s="72" t="n">
        <v>1.42</v>
      </c>
      <c r="H34" t="inlineStr">
        <is>
          <t>£1 8 shilling 4pence from 8.5 quarters of maslin sold from the issue of the mill, at 3 shilling 4pence a qr.</t>
        </is>
      </c>
    </row>
    <row r="35">
      <c r="A35" t="inlineStr">
        <is>
          <t>Sale of corn</t>
        </is>
      </c>
      <c r="B35" t="n">
        <v>6</v>
      </c>
      <c r="C35" t="n">
        <v>18</v>
      </c>
      <c r="D35" t="n">
        <v>4</v>
      </c>
      <c r="F35" s="72" t="n">
        <v>6.92</v>
      </c>
      <c r="H35" t="inlineStr">
        <is>
          <t>Total, £6 18 shilling 4pence</t>
        </is>
      </c>
    </row>
    <row r="36">
      <c r="A36" t="inlineStr">
        <is>
          <t>Sale of corn</t>
        </is>
      </c>
      <c r="F36" s="72" t="n">
        <v>6.92</v>
      </c>
      <c r="G36" s="129" t="n">
        <v>0</v>
      </c>
      <c r="H36" t="inlineStr">
        <is>
          <t>Total</t>
        </is>
      </c>
    </row>
    <row r="37"/>
    <row r="38">
      <c r="A38" t="inlineStr">
        <is>
          <t>Perquisites</t>
        </is>
      </c>
      <c r="B38" t="n">
        <v>0</v>
      </c>
      <c r="C38" t="n">
        <v>0</v>
      </c>
      <c r="D38" t="n">
        <v>6</v>
      </c>
      <c r="F38" s="72" t="n">
        <v>0.03</v>
      </c>
      <c r="H38" t="inlineStr">
        <is>
          <t>The same render account for 6pence from John Baldewyn' and his pledges.</t>
        </is>
      </c>
    </row>
    <row r="39">
      <c r="A39" t="inlineStr">
        <is>
          <t>Perquisites</t>
        </is>
      </c>
      <c r="B39" t="n">
        <v>0</v>
      </c>
      <c r="C39" t="n">
        <v>0</v>
      </c>
      <c r="D39" t="n">
        <v>6</v>
      </c>
      <c r="F39" s="72" t="n">
        <v>0.03</v>
      </c>
      <c r="H39" t="inlineStr">
        <is>
          <t>6pence from Emma, wife of Roginald Pistor'.</t>
        </is>
      </c>
    </row>
    <row r="40">
      <c r="A40" t="inlineStr">
        <is>
          <t>Perquisites</t>
        </is>
      </c>
      <c r="B40" t="n">
        <v>0</v>
      </c>
      <c r="C40" t="n">
        <v>0</v>
      </c>
      <c r="D40" t="n">
        <v>3</v>
      </c>
      <c r="F40" s="72" t="n">
        <v>0.01</v>
      </c>
      <c r="H40" t="inlineStr">
        <is>
          <t>3pence from John de Wynton' for many transgressions.</t>
        </is>
      </c>
    </row>
    <row r="41">
      <c r="A41" t="inlineStr">
        <is>
          <t>Perquisites</t>
        </is>
      </c>
      <c r="B41" t="n">
        <v>0</v>
      </c>
      <c r="C41" t="n">
        <v>0</v>
      </c>
      <c r="D41" t="n">
        <v>3</v>
      </c>
      <c r="F41" s="72" t="n">
        <v>0.01</v>
      </c>
      <c r="H41" t="inlineStr">
        <is>
          <t>3pence from Simon de Merton' for the same.</t>
        </is>
      </c>
    </row>
    <row r="42">
      <c r="A42" t="inlineStr">
        <is>
          <t>Perquisites</t>
        </is>
      </c>
      <c r="B42" t="n">
        <v>0</v>
      </c>
      <c r="C42" t="n">
        <v>1</v>
      </c>
      <c r="D42" t="n">
        <v>0</v>
      </c>
      <c r="F42" s="72" t="n">
        <v>0.05</v>
      </c>
      <c r="H42" t="inlineStr">
        <is>
          <t>1 shilling from the whole tithing for concealment.</t>
        </is>
      </c>
    </row>
    <row r="43">
      <c r="A43" t="inlineStr">
        <is>
          <t>Perquisites</t>
        </is>
      </c>
      <c r="B43" t="n">
        <v>0</v>
      </c>
      <c r="C43" t="n">
        <v>0</v>
      </c>
      <c r="D43" t="n">
        <v>3</v>
      </c>
      <c r="F43" s="72" t="n">
        <v>0.01</v>
      </c>
      <c r="H43" t="inlineStr">
        <is>
          <t>3pence from William le Lech' for breaking the assize of ale.</t>
        </is>
      </c>
    </row>
    <row r="44">
      <c r="A44" t="inlineStr">
        <is>
          <t>Perquisites</t>
        </is>
      </c>
      <c r="B44" t="n">
        <v>0</v>
      </c>
      <c r="C44" t="n">
        <v>0</v>
      </c>
      <c r="D44" t="n">
        <v>3</v>
      </c>
      <c r="F44" s="72" t="n">
        <v>0.01</v>
      </c>
      <c r="H44" t="inlineStr">
        <is>
          <t>3pence from John le Sthalou' for the same.</t>
        </is>
      </c>
    </row>
    <row r="45">
      <c r="A45" t="inlineStr">
        <is>
          <t>Perquisites</t>
        </is>
      </c>
      <c r="B45" t="n">
        <v>0</v>
      </c>
      <c r="C45" t="n">
        <v>0</v>
      </c>
      <c r="D45" t="n">
        <v>3</v>
      </c>
      <c r="F45" s="72" t="n">
        <v>0.01</v>
      </c>
      <c r="H45" t="inlineStr">
        <is>
          <t>3pence from Roger le Horsdrivare for the same.</t>
        </is>
      </c>
    </row>
    <row r="46">
      <c r="A46" t="inlineStr">
        <is>
          <t>Perquisites</t>
        </is>
      </c>
      <c r="B46" t="n">
        <v>0</v>
      </c>
      <c r="C46" t="n">
        <v>0</v>
      </c>
      <c r="D46" t="n">
        <v>3</v>
      </c>
      <c r="F46" s="72" t="n">
        <v>0.01</v>
      </c>
      <c r="H46" t="inlineStr">
        <is>
          <t>3pence from Stephen Bost for the same.</t>
        </is>
      </c>
    </row>
    <row r="47">
      <c r="A47" t="inlineStr">
        <is>
          <t>Perquisites</t>
        </is>
      </c>
      <c r="B47" t="n">
        <v>0</v>
      </c>
      <c r="C47" t="n">
        <v>0</v>
      </c>
      <c r="D47" t="n">
        <v>3</v>
      </c>
      <c r="F47" s="72" t="n">
        <v>0.01</v>
      </c>
      <c r="H47" t="inlineStr">
        <is>
          <t>3pence from John Wynterman.</t>
        </is>
      </c>
    </row>
    <row r="48">
      <c r="A48" t="inlineStr">
        <is>
          <t>Perquisites</t>
        </is>
      </c>
      <c r="B48" t="n">
        <v>0</v>
      </c>
      <c r="C48" t="n">
        <v>2</v>
      </c>
      <c r="D48" t="n">
        <v>0</v>
      </c>
      <c r="F48" s="72" t="n">
        <v>0.1</v>
      </c>
      <c r="H48" t="inlineStr">
        <is>
          <t>2 shilling from the whole tithing.</t>
        </is>
      </c>
    </row>
    <row r="49">
      <c r="A49" t="inlineStr">
        <is>
          <t>Perquisites</t>
        </is>
      </c>
      <c r="B49" t="n">
        <v>0</v>
      </c>
      <c r="C49" t="n">
        <v>0</v>
      </c>
      <c r="D49" t="n">
        <v>3</v>
      </c>
      <c r="F49" s="72" t="n">
        <v>0.01</v>
      </c>
      <c r="H49" t="inlineStr">
        <is>
          <t>3pence from Thomas Seman.</t>
        </is>
      </c>
    </row>
    <row r="50">
      <c r="A50" t="inlineStr">
        <is>
          <t>Perquisites</t>
        </is>
      </c>
      <c r="B50" t="n">
        <v>0</v>
      </c>
      <c r="C50" t="n">
        <v>0</v>
      </c>
      <c r="D50" t="n">
        <v>3</v>
      </c>
      <c r="F50" s="72" t="n">
        <v>0.01</v>
      </c>
      <c r="H50" t="inlineStr">
        <is>
          <t>3pence from John de Wynton' for false complaint.</t>
        </is>
      </c>
    </row>
    <row r="51">
      <c r="A51" t="inlineStr">
        <is>
          <t>Perquisites</t>
        </is>
      </c>
      <c r="B51" t="n">
        <v>0</v>
      </c>
      <c r="C51" t="n">
        <v>0</v>
      </c>
      <c r="D51" t="n">
        <v>3</v>
      </c>
      <c r="F51" s="72" t="n">
        <v>0.01</v>
      </c>
      <c r="H51" t="inlineStr">
        <is>
          <t>3pence from the same for bail.</t>
        </is>
      </c>
    </row>
    <row r="52">
      <c r="A52" t="inlineStr">
        <is>
          <t>Perquisites</t>
        </is>
      </c>
      <c r="B52" t="n">
        <v>0</v>
      </c>
      <c r="C52" t="n">
        <v>0</v>
      </c>
      <c r="D52" t="n">
        <v>6</v>
      </c>
      <c r="F52" s="72" t="n">
        <v>0.03</v>
      </c>
      <c r="H52" t="inlineStr">
        <is>
          <t>6pence from James Copin.</t>
        </is>
      </c>
    </row>
    <row r="53">
      <c r="A53" t="inlineStr">
        <is>
          <t>Perquisites</t>
        </is>
      </c>
      <c r="B53" t="n">
        <v>0</v>
      </c>
      <c r="C53" t="n">
        <v>0</v>
      </c>
      <c r="D53" t="n">
        <v>3</v>
      </c>
      <c r="F53" s="72" t="n">
        <v>0.01</v>
      </c>
      <c r="H53" t="inlineStr">
        <is>
          <t>3pence from John Wynterman for harbouring.</t>
        </is>
      </c>
    </row>
    <row r="54">
      <c r="A54" t="inlineStr">
        <is>
          <t>Perquisites</t>
        </is>
      </c>
      <c r="B54" t="n">
        <v>0</v>
      </c>
      <c r="C54" t="n">
        <v>0</v>
      </c>
      <c r="D54" t="n">
        <v>3</v>
      </c>
      <c r="F54" s="72" t="n">
        <v>0.01</v>
      </c>
      <c r="H54" t="inlineStr">
        <is>
          <t>3pence from William de Barton'.</t>
        </is>
      </c>
    </row>
    <row r="55">
      <c r="A55" t="inlineStr">
        <is>
          <t>Perquisites</t>
        </is>
      </c>
      <c r="B55" t="n">
        <v>0</v>
      </c>
      <c r="C55" t="n">
        <v>0</v>
      </c>
      <c r="D55" t="n">
        <v>3</v>
      </c>
      <c r="F55" s="72" t="n">
        <v>0.01</v>
      </c>
      <c r="H55" t="inlineStr">
        <is>
          <t>3pence from Nicholas de Wynton for his false complaint.</t>
        </is>
      </c>
    </row>
    <row r="56">
      <c r="A56" t="inlineStr">
        <is>
          <t>Perquisites</t>
        </is>
      </c>
      <c r="B56" t="n">
        <v>0</v>
      </c>
      <c r="C56" t="n">
        <v>7</v>
      </c>
      <c r="D56" t="n">
        <v>9</v>
      </c>
      <c r="F56" s="72" t="n">
        <v>0.39</v>
      </c>
      <c r="H56" t="inlineStr">
        <is>
          <t>Total, 7 shilling 9pence</t>
        </is>
      </c>
    </row>
    <row r="57">
      <c r="F57" s="72">
        <f>SUM(F38:F55)</f>
        <v/>
      </c>
      <c r="G57" s="129">
        <f>F57-F56</f>
        <v/>
      </c>
      <c r="H57" t="inlineStr">
        <is>
          <t>Total</t>
        </is>
      </c>
    </row>
    <row r="58"/>
    <row r="59">
      <c r="A59" t="inlineStr">
        <is>
          <t>Foreign receipts</t>
        </is>
      </c>
      <c r="B59" t="n">
        <v>1</v>
      </c>
      <c r="C59" t="n">
        <v>0</v>
      </c>
      <c r="D59" t="n">
        <v>0</v>
      </c>
      <c r="F59" s="72" t="n">
        <v>1</v>
      </c>
      <c r="G59" s="129" t="n">
        <v>0</v>
      </c>
      <c r="H59" t="inlineStr">
        <is>
          <t>The same render account for £1 received from the lord's wardrobe.</t>
        </is>
      </c>
    </row>
    <row r="60">
      <c r="A60" t="inlineStr">
        <is>
          <t>Foreign receipts</t>
        </is>
      </c>
      <c r="B60" t="n">
        <v>1</v>
      </c>
      <c r="C60" t="n">
        <v>0</v>
      </c>
      <c r="D60" t="n">
        <v>0</v>
      </c>
      <c r="F60" s="72" t="n">
        <v>1</v>
      </c>
      <c r="G60" s="129" t="n">
        <v>0</v>
      </c>
      <c r="H60" t="inlineStr">
        <is>
          <t xml:space="preserve">Total, £1. </t>
        </is>
      </c>
    </row>
    <row r="61"/>
    <row r="62">
      <c r="A62" t="inlineStr">
        <is>
          <t>Total of all receipts</t>
        </is>
      </c>
      <c r="B62" t="n">
        <v>25</v>
      </c>
      <c r="C62" t="n">
        <v>15</v>
      </c>
      <c r="D62" t="n">
        <v>10</v>
      </c>
      <c r="F62" s="72">
        <f>B62+C62/20+D62/240</f>
        <v/>
      </c>
      <c r="H62" t="inlineStr">
        <is>
          <t>Total of all receipts of the year within as well as foreign, £25 15 shilling 10pence.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1"/>
  <sheetViews>
    <sheetView topLeftCell="A1" workbookViewId="0">
      <selection activeCell="A1" sqref="A1"/>
    </sheetView>
  </sheetViews>
  <sheetFormatPr baseColWidth="8" defaultRowHeight="15"/>
  <cols>
    <col width="21.83203125" customWidth="1" min="1" max="1"/>
    <col width="8.83203125" customWidth="1" min="6" max="6"/>
    <col width="8.83203125" customWidth="1" min="7" max="7"/>
  </cols>
  <sheetData>
    <row r="1" ht="16" customHeight="1">
      <c r="A1" s="2" t="inlineStr">
        <is>
          <t>SOUTHWARK EXPENSES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Cost of the mill</t>
        </is>
      </c>
      <c r="B3" t="n">
        <v>0</v>
      </c>
      <c r="C3" t="n">
        <v>1</v>
      </c>
      <c r="D3" t="n">
        <v>0</v>
      </c>
      <c r="F3" s="72" t="n">
        <v>0.05</v>
      </c>
      <c r="H3" t="inlineStr">
        <is>
          <t>In 1 measure of steel bought for the mill bills 1 shilling.</t>
        </is>
      </c>
    </row>
    <row r="4">
      <c r="A4" t="inlineStr">
        <is>
          <t>Cost of the mill</t>
        </is>
      </c>
      <c r="B4" t="n">
        <v>0</v>
      </c>
      <c r="C4" t="n">
        <v>1</v>
      </c>
      <c r="D4" t="n">
        <v>0</v>
      </c>
      <c r="F4" s="72" t="n">
        <v>0.05</v>
      </c>
      <c r="H4" t="inlineStr">
        <is>
          <t>forging the same 1 shilling.</t>
        </is>
      </c>
    </row>
    <row r="5">
      <c r="A5" t="inlineStr">
        <is>
          <t>Cost of the mill</t>
        </is>
      </c>
      <c r="B5" t="n">
        <v>0</v>
      </c>
      <c r="C5" t="n">
        <v>2</v>
      </c>
      <c r="D5" t="n">
        <v>0</v>
      </c>
      <c r="F5" s="72" t="n">
        <v>0.1</v>
      </c>
      <c r="H5" t="inlineStr">
        <is>
          <t>sharpening the bills for the year 2 shilling.</t>
        </is>
      </c>
    </row>
    <row r="6">
      <c r="A6" t="inlineStr">
        <is>
          <t>Cost of the mill</t>
        </is>
      </c>
      <c r="B6" t="n">
        <v>0</v>
      </c>
      <c r="C6" t="n">
        <v>5</v>
      </c>
      <c r="D6" t="n">
        <v>0</v>
      </c>
      <c r="F6" s="72" t="n">
        <v>0.25</v>
      </c>
      <c r="H6" t="inlineStr">
        <is>
          <t>repairing the mill spindle this year 5 shilling.</t>
        </is>
      </c>
    </row>
    <row r="7">
      <c r="A7" t="inlineStr">
        <is>
          <t>Cost of the mill</t>
        </is>
      </c>
      <c r="B7" t="n">
        <v>0</v>
      </c>
      <c r="C7" t="n">
        <v>0</v>
      </c>
      <c r="D7" t="n">
        <v>6</v>
      </c>
      <c r="F7" s="72" t="n">
        <v>0.03</v>
      </c>
      <c r="H7" t="inlineStr">
        <is>
          <t>shoeing 1 horse for the year 6pence.</t>
        </is>
      </c>
    </row>
    <row r="8">
      <c r="A8" t="inlineStr">
        <is>
          <t>Cost of the mill</t>
        </is>
      </c>
      <c r="B8" t="n">
        <v>0</v>
      </c>
      <c r="C8" t="n">
        <v>0</v>
      </c>
      <c r="D8" t="n">
        <v>8</v>
      </c>
      <c r="F8" s="72" t="n">
        <v>0.03</v>
      </c>
      <c r="H8" t="inlineStr">
        <is>
          <t>mending 1 saddle-pad and surcingle 8pence.</t>
        </is>
      </c>
    </row>
    <row r="9">
      <c r="A9" t="inlineStr">
        <is>
          <t>Cost of the mill</t>
        </is>
      </c>
      <c r="B9" t="n">
        <v>0</v>
      </c>
      <c r="C9" t="n">
        <v>4</v>
      </c>
      <c r="D9" t="n">
        <v>0</v>
      </c>
      <c r="F9" s="72" t="n">
        <v>0.2</v>
      </c>
      <c r="H9" t="inlineStr">
        <is>
          <t>cogs and rungs bought 4 shilling.</t>
        </is>
      </c>
    </row>
    <row r="10">
      <c r="A10" t="inlineStr">
        <is>
          <t>Cost of the mill</t>
        </is>
      </c>
      <c r="B10" t="n">
        <v>0</v>
      </c>
      <c r="C10" t="n">
        <v>1</v>
      </c>
      <c r="D10" t="n">
        <v>4</v>
      </c>
      <c r="F10" s="72" t="n">
        <v>0.07000000000000001</v>
      </c>
      <c r="H10" t="inlineStr">
        <is>
          <t>tallow for the same 1 shilling 4pence.</t>
        </is>
      </c>
    </row>
    <row r="11">
      <c r="A11" t="inlineStr">
        <is>
          <t>Cost of the mill</t>
        </is>
      </c>
      <c r="B11" t="n">
        <v>0</v>
      </c>
      <c r="C11" t="n">
        <v>4</v>
      </c>
      <c r="D11" t="n">
        <v>8</v>
      </c>
      <c r="F11" s="72" t="n">
        <v>0.23</v>
      </c>
      <c r="H11" t="inlineStr">
        <is>
          <t>carrying 224 quarters of corn from London to the mill by boat and from the mill to London 4 shilling 8pence.</t>
        </is>
      </c>
    </row>
    <row r="12">
      <c r="A12" t="inlineStr">
        <is>
          <t>Cost of the mill</t>
        </is>
      </c>
      <c r="B12" t="n">
        <v>0</v>
      </c>
      <c r="C12" t="n">
        <v>8</v>
      </c>
      <c r="D12" t="n">
        <v>0</v>
      </c>
      <c r="F12" s="72" t="n">
        <v>0.4</v>
      </c>
      <c r="H12" t="inlineStr">
        <is>
          <t>stipend of 1 miller for the year 8 shilling.</t>
        </is>
      </c>
    </row>
    <row r="13">
      <c r="A13" t="inlineStr">
        <is>
          <t>Cost of the mill</t>
        </is>
      </c>
      <c r="B13" t="n">
        <v>0</v>
      </c>
      <c r="C13" t="n">
        <v>6</v>
      </c>
      <c r="D13" t="n">
        <v>0</v>
      </c>
      <c r="F13" s="72" t="n">
        <v>0.3</v>
      </c>
      <c r="H13" t="inlineStr">
        <is>
          <t>stipend of 1 man driving 1 mill-horse for the year 6 shilling.</t>
        </is>
      </c>
    </row>
    <row r="14">
      <c r="A14" t="inlineStr">
        <is>
          <t>Cost of the mill</t>
        </is>
      </c>
      <c r="B14" t="n">
        <v>0</v>
      </c>
      <c r="C14" t="n">
        <v>16</v>
      </c>
      <c r="D14" t="n">
        <v>0</v>
      </c>
      <c r="F14" s="72">
        <f>B14+C14/20+D14/240</f>
        <v/>
      </c>
      <c r="H14" t="inlineStr">
        <is>
          <t>12 quarters of oats bought for the fodder of the mill-horse 16 shilling, at 1 shilling 4pence a qr.</t>
        </is>
      </c>
    </row>
    <row r="15">
      <c r="A15" t="inlineStr">
        <is>
          <t>Cost of the mill</t>
        </is>
      </c>
      <c r="B15" t="n">
        <v>0</v>
      </c>
      <c r="C15" t="n">
        <v>16</v>
      </c>
      <c r="D15" t="n">
        <v>1.5</v>
      </c>
      <c r="F15" s="72" t="n">
        <v>0.8100000000000001</v>
      </c>
      <c r="H15" t="inlineStr">
        <is>
          <t>10 quarters 6 bushels of oats bought for the same 16 shilling 1.5pence, at 1 shilling 6pence a qr.</t>
        </is>
      </c>
    </row>
    <row r="16">
      <c r="A16" t="inlineStr">
        <is>
          <t>Cost of the mill</t>
        </is>
      </c>
      <c r="B16" t="n">
        <v>3</v>
      </c>
      <c r="C16" t="n">
        <v>12</v>
      </c>
      <c r="D16" t="n">
        <v>5.5</v>
      </c>
      <c r="F16" s="72" t="n">
        <v>3.62</v>
      </c>
      <c r="H16" t="inlineStr">
        <is>
          <t>Total, £3 12 shilling 5.5pence</t>
        </is>
      </c>
    </row>
    <row r="17">
      <c r="A17" t="inlineStr">
        <is>
          <t>Cost of the mill</t>
        </is>
      </c>
      <c r="F17" s="72">
        <f>SUM(F3:F15)</f>
        <v/>
      </c>
      <c r="G17" s="129">
        <f>F17-F16</f>
        <v/>
      </c>
      <c r="H17" t="inlineStr">
        <is>
          <t>Total</t>
        </is>
      </c>
    </row>
    <row r="18"/>
    <row r="19">
      <c r="A19" t="inlineStr">
        <is>
          <t>Cost of hay</t>
        </is>
      </c>
      <c r="B19" t="n">
        <v>0</v>
      </c>
      <c r="C19" t="n">
        <v>16</v>
      </c>
      <c r="D19" t="n">
        <v>6</v>
      </c>
      <c r="F19" s="72" t="n">
        <v>0.83</v>
      </c>
      <c r="H19" t="inlineStr">
        <is>
          <t>In mowing 32 acres of meadow by piece-work this year 16 shilling, at 6pence an acre.</t>
        </is>
      </c>
    </row>
    <row r="20">
      <c r="A20" t="inlineStr">
        <is>
          <t>Cost of hay</t>
        </is>
      </c>
      <c r="B20" t="n">
        <v>0</v>
      </c>
      <c r="C20" t="n">
        <v>1</v>
      </c>
      <c r="D20" t="n">
        <v>6</v>
      </c>
      <c r="F20" s="72" t="n">
        <v>0.08</v>
      </c>
      <c r="H20" t="inlineStr">
        <is>
          <t>spreading the said hay 1 shilling 6pence.</t>
        </is>
      </c>
    </row>
    <row r="21">
      <c r="A21" t="inlineStr">
        <is>
          <t>Cost of hay</t>
        </is>
      </c>
      <c r="B21" t="n">
        <v>0</v>
      </c>
      <c r="C21" t="n">
        <v>8</v>
      </c>
      <c r="D21" t="n">
        <v>6</v>
      </c>
      <c r="F21" s="72" t="n">
        <v>0.43</v>
      </c>
      <c r="H21" t="inlineStr">
        <is>
          <t>haulage and porterage from the water to the land 8 shilling 6pence.</t>
        </is>
      </c>
    </row>
    <row r="22">
      <c r="A22" t="inlineStr">
        <is>
          <t>Cost of hay</t>
        </is>
      </c>
      <c r="B22" t="n">
        <v>0</v>
      </c>
      <c r="C22" t="n">
        <v>16</v>
      </c>
      <c r="D22" t="n">
        <v>0</v>
      </c>
      <c r="F22" s="72" t="n">
        <v>0.8</v>
      </c>
      <c r="H22" t="inlineStr">
        <is>
          <t>tossing the said hay and making haycocks therefrom 16 shilling.</t>
        </is>
      </c>
    </row>
    <row r="23">
      <c r="A23" t="inlineStr">
        <is>
          <t>Cost of hay</t>
        </is>
      </c>
      <c r="B23" t="n">
        <v>2</v>
      </c>
      <c r="C23" t="n">
        <v>2</v>
      </c>
      <c r="D23" t="n">
        <v>6</v>
      </c>
      <c r="F23" s="72" t="n">
        <v>2.12</v>
      </c>
      <c r="H23" t="inlineStr">
        <is>
          <t>carrying the said hay to the curia this year £2 2 shilling 6pence.</t>
        </is>
      </c>
    </row>
    <row r="24">
      <c r="A24" t="inlineStr">
        <is>
          <t>Cost of hay</t>
        </is>
      </c>
      <c r="B24" t="n">
        <v>0</v>
      </c>
      <c r="C24" t="n">
        <v>7</v>
      </c>
      <c r="D24" t="n">
        <v>6</v>
      </c>
      <c r="F24" s="72" t="n">
        <v>0.38</v>
      </c>
      <c r="H24" t="inlineStr">
        <is>
          <t>mowing 18 acres of rowen meadow 7 shilling 6pence, at 5pence an acre.</t>
        </is>
      </c>
    </row>
    <row r="25">
      <c r="A25" t="inlineStr">
        <is>
          <t>Cost of hay</t>
        </is>
      </c>
      <c r="B25" t="n">
        <v>0</v>
      </c>
      <c r="C25" t="n">
        <v>0</v>
      </c>
      <c r="D25" t="n">
        <v>9</v>
      </c>
      <c r="F25" s="72" t="n">
        <v>0.04</v>
      </c>
      <c r="H25" t="inlineStr">
        <is>
          <t>tedding 9pence.</t>
        </is>
      </c>
    </row>
    <row r="26">
      <c r="A26" t="inlineStr">
        <is>
          <t>Cost of hay</t>
        </is>
      </c>
      <c r="B26" t="n">
        <v>0</v>
      </c>
      <c r="C26" t="n">
        <v>7</v>
      </c>
      <c r="D26" t="n">
        <v>6</v>
      </c>
      <c r="F26" s="72" t="n">
        <v>0.38</v>
      </c>
      <c r="H26" t="inlineStr">
        <is>
          <t>the haulage and porterage of the aforesaid hay 7 shilling 6pence.</t>
        </is>
      </c>
    </row>
    <row r="27">
      <c r="A27" t="inlineStr">
        <is>
          <t>Cost of hay</t>
        </is>
      </c>
      <c r="B27" t="n">
        <v>0</v>
      </c>
      <c r="C27" t="n">
        <v>14</v>
      </c>
      <c r="D27" t="n">
        <v>0</v>
      </c>
      <c r="F27" s="72">
        <f>B27+C27/20+D27/240</f>
        <v/>
      </c>
      <c r="H27" t="inlineStr">
        <is>
          <t xml:space="preserve">tossing the said hay and making haycocks therefrom 14 shilling </t>
        </is>
      </c>
    </row>
    <row r="28">
      <c r="A28" t="inlineStr">
        <is>
          <t>Cost of hay</t>
        </is>
      </c>
      <c r="B28" t="n">
        <v>5</v>
      </c>
      <c r="C28" t="n">
        <v>14</v>
      </c>
      <c r="D28" t="n">
        <v>6</v>
      </c>
      <c r="F28" s="72" t="n">
        <v>5.73</v>
      </c>
      <c r="H28" t="inlineStr">
        <is>
          <t>Total, £5 14 shilling 6pence</t>
        </is>
      </c>
    </row>
    <row r="29">
      <c r="A29" t="inlineStr">
        <is>
          <t>Cost of hay</t>
        </is>
      </c>
      <c r="F29" s="72">
        <f>SUM(F19:F27)</f>
        <v/>
      </c>
      <c r="G29" s="129">
        <f>F29-F28</f>
        <v/>
      </c>
      <c r="H29" t="inlineStr">
        <is>
          <t>Total</t>
        </is>
      </c>
    </row>
    <row r="30"/>
    <row r="31">
      <c r="A31" t="inlineStr">
        <is>
          <t>Small expenses</t>
        </is>
      </c>
      <c r="B31" t="n">
        <v>0</v>
      </c>
      <c r="C31" t="n">
        <v>6</v>
      </c>
      <c r="D31" t="n">
        <v>8</v>
      </c>
      <c r="F31" s="72" t="n">
        <v>0.33</v>
      </c>
      <c r="H31" t="inlineStr">
        <is>
          <t>In quittance of tithe of the said meadow next to the chapel of the blessed Margaret 6 shilling 8pence.</t>
        </is>
      </c>
    </row>
    <row r="32">
      <c r="A32" t="inlineStr">
        <is>
          <t>Small expenses</t>
        </is>
      </c>
      <c r="B32" t="n">
        <v>0</v>
      </c>
      <c r="C32" t="n">
        <v>2</v>
      </c>
      <c r="D32" t="n">
        <v>0</v>
      </c>
      <c r="F32" s="72" t="n">
        <v>0.1</v>
      </c>
      <c r="H32" t="inlineStr">
        <is>
          <t>tithe for the garden 2 shilling.</t>
        </is>
      </c>
    </row>
    <row r="33">
      <c r="A33" t="inlineStr">
        <is>
          <t>Small expenses</t>
        </is>
      </c>
      <c r="B33" t="n">
        <v>0</v>
      </c>
      <c r="C33" t="n">
        <v>9</v>
      </c>
      <c r="D33" t="n">
        <v>0</v>
      </c>
      <c r="F33" s="72" t="n">
        <v>0.45</v>
      </c>
      <c r="H33" t="inlineStr">
        <is>
          <t>removing hay from behind the hall to the palfreys' stable by order of the bishop 9 shilling.</t>
        </is>
      </c>
    </row>
    <row r="34">
      <c r="A34" t="inlineStr">
        <is>
          <t>Small expenses</t>
        </is>
      </c>
      <c r="B34" t="n">
        <v>0</v>
      </c>
      <c r="C34" t="n">
        <v>8</v>
      </c>
      <c r="D34" t="n">
        <v>0</v>
      </c>
      <c r="F34" s="72" t="n">
        <v>0.4</v>
      </c>
      <c r="H34" t="inlineStr">
        <is>
          <t>2 weys of lead bought for the guttering of the bishop's chamber 8 shilling.</t>
        </is>
      </c>
    </row>
    <row r="35">
      <c r="A35" t="inlineStr">
        <is>
          <t>Small expenses</t>
        </is>
      </c>
      <c r="B35" t="n">
        <v>0</v>
      </c>
      <c r="C35" t="n">
        <v>3</v>
      </c>
      <c r="D35" t="n">
        <v>0</v>
      </c>
      <c r="F35" s="72" t="n">
        <v>0.15</v>
      </c>
      <c r="H35" t="inlineStr">
        <is>
          <t>1 man making the aforesaid gutters for 6 days 3 shilling, and for his mate 2 shilling.</t>
        </is>
      </c>
    </row>
    <row r="36">
      <c r="A36" t="inlineStr">
        <is>
          <t>Small expenses</t>
        </is>
      </c>
      <c r="B36" t="n">
        <v>0</v>
      </c>
      <c r="C36" t="n">
        <v>1</v>
      </c>
      <c r="D36" t="n">
        <v>6</v>
      </c>
      <c r="F36" s="72" t="n">
        <v>0.08</v>
      </c>
      <c r="H36" t="inlineStr">
        <is>
          <t>tin for the same 1 shilling 6pence.</t>
        </is>
      </c>
    </row>
    <row r="37">
      <c r="A37" t="inlineStr">
        <is>
          <t>Small expenses</t>
        </is>
      </c>
      <c r="B37" t="n">
        <v>0</v>
      </c>
      <c r="C37" t="n">
        <v>0</v>
      </c>
      <c r="D37" t="n">
        <v>6</v>
      </c>
      <c r="F37" s="72" t="n">
        <v>0.03</v>
      </c>
      <c r="H37" t="inlineStr">
        <is>
          <t>3 bushels of charcoal for the same 6pence.</t>
        </is>
      </c>
    </row>
    <row r="38">
      <c r="A38" t="inlineStr">
        <is>
          <t>Small expenses</t>
        </is>
      </c>
      <c r="B38" t="n">
        <v>0</v>
      </c>
      <c r="C38" t="n">
        <v>0</v>
      </c>
      <c r="D38" t="n">
        <v>1.5</v>
      </c>
      <c r="F38" s="72" t="n">
        <v>0.01</v>
      </c>
      <c r="H38" t="inlineStr">
        <is>
          <t>tallow 1.5pence.</t>
        </is>
      </c>
    </row>
    <row r="39">
      <c r="A39" t="inlineStr">
        <is>
          <t>Small expenses</t>
        </is>
      </c>
      <c r="B39" t="n">
        <v>0</v>
      </c>
      <c r="C39" t="n">
        <v>1</v>
      </c>
      <c r="D39" t="n">
        <v>6</v>
      </c>
      <c r="F39" s="72" t="n">
        <v>0.08</v>
      </c>
      <c r="H39" t="inlineStr">
        <is>
          <t>1 beam (jupa) bought for the hall 1 shilling 6pence.</t>
        </is>
      </c>
    </row>
    <row r="40">
      <c r="A40" t="inlineStr">
        <is>
          <t>Small expenses</t>
        </is>
      </c>
      <c r="B40" t="n">
        <v>0</v>
      </c>
      <c r="C40" t="n">
        <v>0</v>
      </c>
      <c r="D40" t="n">
        <v>8</v>
      </c>
      <c r="F40" s="72" t="n">
        <v>0.03</v>
      </c>
      <c r="H40" t="inlineStr">
        <is>
          <t>1 iron gudgeon for the same 8pence.</t>
        </is>
      </c>
    </row>
    <row r="41">
      <c r="A41" t="inlineStr">
        <is>
          <t>Small expenses</t>
        </is>
      </c>
      <c r="B41" t="n">
        <v>0</v>
      </c>
      <c r="C41" t="n">
        <v>0</v>
      </c>
      <c r="D41" t="n">
        <v>8</v>
      </c>
      <c r="F41" s="72" t="n">
        <v>0.03</v>
      </c>
      <c r="H41" t="inlineStr">
        <is>
          <t>iron for the same 8pence.</t>
        </is>
      </c>
    </row>
    <row r="42">
      <c r="A42" t="inlineStr">
        <is>
          <t>Small expenses</t>
        </is>
      </c>
      <c r="B42" t="n">
        <v>0</v>
      </c>
      <c r="C42" t="n">
        <v>1</v>
      </c>
      <c r="D42" t="n">
        <v>0</v>
      </c>
      <c r="F42" s="72" t="n">
        <v>0.05</v>
      </c>
      <c r="H42" t="inlineStr">
        <is>
          <t>carpentry for the same 1 shilling.</t>
        </is>
      </c>
    </row>
    <row r="43">
      <c r="A43" t="inlineStr">
        <is>
          <t>Small expenses</t>
        </is>
      </c>
      <c r="B43" t="n">
        <v>0</v>
      </c>
      <c r="C43" t="n">
        <v>0</v>
      </c>
      <c r="D43" t="n">
        <v>10</v>
      </c>
      <c r="F43" s="72">
        <f>B43+C43/20+D43/240</f>
        <v/>
      </c>
      <c r="H43" t="inlineStr">
        <is>
          <t xml:space="preserve">3 locks bought for the bishop's gates 10pence </t>
        </is>
      </c>
    </row>
    <row r="44">
      <c r="A44" t="inlineStr">
        <is>
          <t>Small expenses</t>
        </is>
      </c>
      <c r="B44" t="n">
        <v>1</v>
      </c>
      <c r="C44" t="n">
        <v>16</v>
      </c>
      <c r="D44" t="n">
        <v>9.5</v>
      </c>
      <c r="F44" s="72" t="n">
        <v>1.84</v>
      </c>
      <c r="H44" t="inlineStr">
        <is>
          <t>Total, £1 16 shilling 9.5pence</t>
        </is>
      </c>
    </row>
    <row r="45">
      <c r="A45" t="inlineStr">
        <is>
          <t>Small expenses</t>
        </is>
      </c>
      <c r="F45" s="72">
        <f>SUM(F31:F43)</f>
        <v/>
      </c>
      <c r="G45" s="129">
        <f>F45-F44</f>
        <v/>
      </c>
      <c r="H45" t="inlineStr">
        <is>
          <t>Total</t>
        </is>
      </c>
    </row>
    <row r="46"/>
    <row r="47">
      <c r="A47" t="inlineStr">
        <is>
          <t>Wages and fees</t>
        </is>
      </c>
      <c r="B47" t="n">
        <v>5</v>
      </c>
      <c r="C47" t="n">
        <v>0</v>
      </c>
      <c r="D47" t="n">
        <v>0</v>
      </c>
      <c r="F47" s="72" t="n">
        <v>5</v>
      </c>
      <c r="H47" t="inlineStr">
        <is>
          <t>In fee of the bailiff for the year £5.</t>
        </is>
      </c>
    </row>
    <row r="48">
      <c r="A48" t="inlineStr">
        <is>
          <t>Wages and fees</t>
        </is>
      </c>
      <c r="B48" t="n">
        <v>0</v>
      </c>
      <c r="C48" t="n">
        <v>15</v>
      </c>
      <c r="D48" t="n">
        <v>2.5</v>
      </c>
      <c r="F48" s="72" t="n">
        <v>0.76</v>
      </c>
      <c r="H48" t="inlineStr">
        <is>
          <t>wages of 1 door-keeper for the year 15 shilling 2.5pence, at .5pence a day.</t>
        </is>
      </c>
    </row>
    <row r="49">
      <c r="A49" t="inlineStr">
        <is>
          <t>Wages and fees</t>
        </is>
      </c>
      <c r="B49" t="n">
        <v>0</v>
      </c>
      <c r="C49" t="n">
        <v>6</v>
      </c>
      <c r="D49" t="n">
        <v>0</v>
      </c>
      <c r="F49" s="72">
        <f>B49+C49/20+D49/240</f>
        <v/>
      </c>
      <c r="H49" t="inlineStr">
        <is>
          <t xml:space="preserve">2 furs for the bailiff 6 shilling </t>
        </is>
      </c>
    </row>
    <row r="50">
      <c r="A50" t="inlineStr">
        <is>
          <t>Wages and fees</t>
        </is>
      </c>
      <c r="B50" t="n">
        <v>6</v>
      </c>
      <c r="C50" t="n">
        <v>1</v>
      </c>
      <c r="D50" t="n">
        <v>2.5</v>
      </c>
      <c r="F50" s="72" t="n">
        <v>6.06</v>
      </c>
      <c r="H50" t="inlineStr">
        <is>
          <t>Total, £6 1 shilling 2.5pence</t>
        </is>
      </c>
    </row>
    <row r="51">
      <c r="A51" t="inlineStr">
        <is>
          <t>Wages and fees</t>
        </is>
      </c>
      <c r="F51" s="72">
        <f>SUM(F47:F49)</f>
        <v/>
      </c>
      <c r="G51" s="129">
        <f>F51-F50</f>
        <v/>
      </c>
      <c r="H51" t="inlineStr">
        <is>
          <t>Total</t>
        </is>
      </c>
    </row>
    <row r="52"/>
    <row r="53">
      <c r="A53" t="inlineStr">
        <is>
          <t>Payment of rents</t>
        </is>
      </c>
      <c r="B53" t="n">
        <v>3</v>
      </c>
      <c r="C53" t="n">
        <v>3</v>
      </c>
      <c r="D53" t="n">
        <v>4</v>
      </c>
      <c r="F53" s="72" t="n">
        <v>3.17</v>
      </c>
      <c r="H53" t="inlineStr">
        <is>
          <t>The same paid £3 3 shilling 4pence to Bermondsey for the rents of assize at Easter.</t>
        </is>
      </c>
    </row>
    <row r="54">
      <c r="A54" t="inlineStr">
        <is>
          <t>Payment of rents</t>
        </is>
      </c>
      <c r="B54" t="n">
        <v>3</v>
      </c>
      <c r="C54" t="n">
        <v>3</v>
      </c>
      <c r="D54" t="n">
        <v>4</v>
      </c>
      <c r="F54" s="72" t="n">
        <v>3.17</v>
      </c>
      <c r="H54" t="inlineStr">
        <is>
          <t>£3 3 shilling 4pence at Michaelmas.</t>
        </is>
      </c>
    </row>
    <row r="55">
      <c r="A55" t="inlineStr">
        <is>
          <t>Payment of rents</t>
        </is>
      </c>
      <c r="B55" t="n">
        <v>6</v>
      </c>
      <c r="C55" t="n">
        <v>6</v>
      </c>
      <c r="D55" t="n">
        <v>8</v>
      </c>
      <c r="F55" s="72" t="n">
        <v>6.33</v>
      </c>
      <c r="H55" t="inlineStr">
        <is>
          <t>Total, £6 6 shilling 8pence</t>
        </is>
      </c>
    </row>
    <row r="56">
      <c r="A56" t="inlineStr">
        <is>
          <t>Payment of rents</t>
        </is>
      </c>
      <c r="F56" s="72">
        <f>SUM(F53:F54)</f>
        <v/>
      </c>
      <c r="G56" s="129">
        <f>F56-F55</f>
        <v/>
      </c>
      <c r="H56" t="inlineStr">
        <is>
          <t>Total</t>
        </is>
      </c>
    </row>
    <row r="57"/>
    <row r="58">
      <c r="A58" t="inlineStr">
        <is>
          <t>Total of all expenses</t>
        </is>
      </c>
      <c r="B58" t="n">
        <v>23</v>
      </c>
      <c r="C58" t="n">
        <v>11</v>
      </c>
      <c r="D58" t="n">
        <v>4.5</v>
      </c>
      <c r="F58" s="72" t="n">
        <v>23.57</v>
      </c>
      <c r="H58" t="inlineStr">
        <is>
          <t>Total of all expenses, £23 11 shilling 4.5pence</t>
        </is>
      </c>
    </row>
    <row r="59">
      <c r="A59" t="inlineStr">
        <is>
          <t>Total of all expenses</t>
        </is>
      </c>
      <c r="B59" t="n">
        <v>4</v>
      </c>
      <c r="C59" t="n">
        <v>4</v>
      </c>
      <c r="D59" t="n">
        <v>5.5</v>
      </c>
      <c r="F59" s="72" t="n">
        <v>4.22</v>
      </c>
      <c r="H59" t="inlineStr">
        <is>
          <t xml:space="preserve">And he owes, £4 4 shilling 5.5pence </t>
        </is>
      </c>
    </row>
    <row r="60"/>
    <row r="61">
      <c r="A61" t="inlineStr">
        <is>
          <t>And he owes</t>
        </is>
      </c>
      <c r="H61" t="inlineStr">
        <is>
          <t>And he owes it all clear.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cols>
    <col width="23.5" customWidth="1" min="1" max="1"/>
  </cols>
  <sheetData>
    <row r="1">
      <c r="A1" t="inlineStr">
        <is>
          <t>no grange - all in mill account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
  <sheetViews>
    <sheetView topLeftCell="A1" workbookViewId="0">
      <selection activeCell="A1" sqref="A1"/>
    </sheetView>
  </sheetViews>
  <sheetFormatPr baseColWidth="8" defaultRowHeight="15"/>
  <cols>
    <col width="30" customWidth="1" min="1" max="1"/>
    <col width="12.1640625" customWidth="1" min="2" max="2"/>
    <col width="19.1640625" customWidth="1" min="3" max="3"/>
    <col width="20" customWidth="1" min="4" max="4"/>
    <col width="21.5" customWidth="1" min="5" max="5"/>
    <col width="15.83203125" customWidth="1" min="6" max="6"/>
    <col width="19.83203125" customWidth="1" min="7" max="7"/>
    <col width="17.33203125" customWidth="1" min="8" max="8"/>
    <col width="18.1640625" customWidth="1" min="9" max="9"/>
    <col width="16.83203125" customWidth="1" min="10" max="10"/>
    <col width="18.33203125" customWidth="1" min="11" max="11"/>
    <col width="20.1640625" customWidth="1" min="12" max="12"/>
    <col width="13" customWidth="1" min="13" max="13"/>
    <col width="8.1640625" customWidth="1" min="14" max="14"/>
    <col width="10.5" customWidth="1" min="15" max="15"/>
    <col width="20.1640625" customWidth="1" min="16" max="16"/>
    <col width="23.5" customWidth="1" min="17" max="17"/>
  </cols>
  <sheetData>
    <row r="1" ht="32" customHeight="1">
      <c r="A1" s="37" t="inlineStr">
        <is>
          <t>Gross Output</t>
        </is>
      </c>
      <c r="B1" s="37" t="inlineStr">
        <is>
          <t>Total Quantity</t>
        </is>
      </c>
      <c r="C1" s="37" t="inlineStr">
        <is>
          <t>Account Total Quarters</t>
        </is>
      </c>
      <c r="D1" s="37" t="inlineStr">
        <is>
          <t>Bought in Total Quarters</t>
        </is>
      </c>
      <c r="E1" s="37" t="inlineStr">
        <is>
          <t>Received from churchscot</t>
        </is>
      </c>
      <c r="F1" s="37" t="inlineStr">
        <is>
          <t>Sold Total Quarters</t>
        </is>
      </c>
      <c r="G1" s="130" t="inlineStr">
        <is>
          <t>Difference Produced+Bought-Sold</t>
        </is>
      </c>
      <c r="H1" s="130" t="inlineStr">
        <is>
          <t>Weighted Average Price per Quarter</t>
        </is>
      </c>
      <c r="I1" s="131" t="inlineStr">
        <is>
          <t>Value of Total Production weighted</t>
        </is>
      </c>
    </row>
    <row r="2">
      <c r="A2" t="inlineStr">
        <is>
          <t>wheat</t>
        </is>
      </c>
      <c r="B2" t="n">
        <v>36.625</v>
      </c>
      <c r="C2" t="n">
        <v>36.625</v>
      </c>
      <c r="D2" t="n">
        <v>0</v>
      </c>
      <c r="F2" t="n">
        <v>20</v>
      </c>
      <c r="G2" s="72">
        <f>B2-F2</f>
        <v/>
      </c>
      <c r="H2" s="72" t="n">
        <v>0.275</v>
      </c>
      <c r="I2" s="72">
        <f>H2*B2</f>
        <v/>
      </c>
    </row>
    <row r="3">
      <c r="A3" t="inlineStr">
        <is>
          <t>maslin</t>
        </is>
      </c>
      <c r="B3" t="n">
        <v>9.375</v>
      </c>
      <c r="C3" t="n">
        <v>9.375</v>
      </c>
      <c r="D3" t="n">
        <v>0</v>
      </c>
      <c r="F3" t="n">
        <v>8.5</v>
      </c>
      <c r="G3" s="72">
        <f>B3-F3</f>
        <v/>
      </c>
      <c r="H3" s="72" t="n">
        <v>0.1666666666666667</v>
      </c>
      <c r="I3" s="72">
        <f>H3*B3</f>
        <v/>
      </c>
    </row>
    <row r="4">
      <c r="A4" t="inlineStr">
        <is>
          <t>oats</t>
        </is>
      </c>
      <c r="B4" t="n">
        <v>22.75</v>
      </c>
      <c r="C4" t="n">
        <v>0</v>
      </c>
      <c r="D4" t="n">
        <v>22.75</v>
      </c>
      <c r="F4" t="n">
        <v>0</v>
      </c>
      <c r="G4" s="72">
        <f>B4-F4</f>
        <v/>
      </c>
      <c r="H4" s="72" t="n"/>
      <c r="I4" s="72">
        <f>H4*B4</f>
        <v/>
      </c>
    </row>
    <row r="5"/>
    <row r="6">
      <c r="A6" s="132" t="inlineStr">
        <is>
          <t>Total Production</t>
        </is>
      </c>
    </row>
    <row r="7">
      <c r="A7" s="132" t="inlineStr">
        <is>
          <t>Sales of corn (as recorded in accounts)</t>
        </is>
      </c>
    </row>
    <row r="8"/>
    <row r="9"/>
    <row r="10" ht="32" customHeight="1">
      <c r="A10" s="38" t="inlineStr">
        <is>
          <t>Net output</t>
        </is>
      </c>
      <c r="B10" s="133" t="inlineStr">
        <is>
          <t>Gross output</t>
        </is>
      </c>
      <c r="C10" s="134" t="inlineStr">
        <is>
          <t>Seed quarters</t>
        </is>
      </c>
      <c r="D10" s="134" t="inlineStr">
        <is>
          <t>Seed bushels</t>
        </is>
      </c>
      <c r="E10" s="134" t="inlineStr">
        <is>
          <t>Seed total quarters</t>
        </is>
      </c>
      <c r="F10" s="38" t="inlineStr">
        <is>
          <t>tithe quarters</t>
        </is>
      </c>
      <c r="G10" s="134" t="inlineStr">
        <is>
          <t>tithe bushels</t>
        </is>
      </c>
      <c r="H10" s="134" t="inlineStr">
        <is>
          <t>tithe total</t>
        </is>
      </c>
      <c r="I10" s="134" t="inlineStr">
        <is>
          <t>manorial servants quarters</t>
        </is>
      </c>
      <c r="J10" s="134" t="inlineStr">
        <is>
          <t>manorial servants bushels</t>
        </is>
      </c>
      <c r="K10" s="135" t="inlineStr">
        <is>
          <t>manorial servants total quarters</t>
        </is>
      </c>
      <c r="L10" s="134" t="inlineStr">
        <is>
          <t>output net of tithe, seed, liveries</t>
        </is>
      </c>
      <c r="M10" s="134" t="inlineStr">
        <is>
          <t>in stock from last year</t>
        </is>
      </c>
      <c r="N10" s="136" t="inlineStr">
        <is>
          <t>Price in £</t>
        </is>
      </c>
      <c r="O10" s="136" t="inlineStr">
        <is>
          <t>Value of net output in £</t>
        </is>
      </c>
      <c r="P10" s="133" t="inlineStr">
        <is>
          <t>Value of sales (in "Sale of Corn") in £</t>
        </is>
      </c>
    </row>
    <row r="11">
      <c r="A11" t="inlineStr">
        <is>
          <t>wheat</t>
        </is>
      </c>
      <c r="B11">
        <f>B2</f>
        <v/>
      </c>
      <c r="F11" t="n">
        <v>3</v>
      </c>
      <c r="G11" t="n">
        <v>5</v>
      </c>
      <c r="H11">
        <f>F11+G11/8</f>
        <v/>
      </c>
      <c r="I11" t="n">
        <v>13</v>
      </c>
      <c r="K11" s="137">
        <f>I11+J11/8</f>
        <v/>
      </c>
      <c r="L11">
        <f>B11-E11-H11-K11</f>
        <v/>
      </c>
      <c r="N11" s="72">
        <f>H2</f>
        <v/>
      </c>
      <c r="O11" s="72">
        <f>L11*N11</f>
        <v/>
      </c>
    </row>
    <row r="12">
      <c r="A12" t="inlineStr">
        <is>
          <t>maslin</t>
        </is>
      </c>
      <c r="B12">
        <f>B3</f>
        <v/>
      </c>
      <c r="G12" t="n">
        <v>7</v>
      </c>
      <c r="H12">
        <f>F12+G12/8</f>
        <v/>
      </c>
      <c r="K12" s="137">
        <f>I12+J12/8</f>
        <v/>
      </c>
      <c r="L12">
        <f>B12-E12-H12-K12</f>
        <v/>
      </c>
      <c r="N12" s="72">
        <f>H3</f>
        <v/>
      </c>
      <c r="O12" s="72">
        <f>L12*N12</f>
        <v/>
      </c>
    </row>
    <row r="13">
      <c r="A13" t="inlineStr">
        <is>
          <t>oats</t>
        </is>
      </c>
      <c r="B13">
        <f>B4</f>
        <v/>
      </c>
      <c r="H13">
        <f>F13+G13/8</f>
        <v/>
      </c>
      <c r="I13" t="n">
        <v>22</v>
      </c>
      <c r="J13" t="n">
        <v>6</v>
      </c>
      <c r="K13" s="137">
        <f>I13+J13/8</f>
        <v/>
      </c>
      <c r="L13">
        <f>B13-E13-H13-K13</f>
        <v/>
      </c>
      <c r="N13" s="72">
        <f>H4</f>
        <v/>
      </c>
      <c r="O13" s="72">
        <f>L13*N13</f>
        <v/>
      </c>
    </row>
    <row r="14">
      <c r="K14" s="137" t="n"/>
    </row>
    <row r="15">
      <c r="A15" s="42" t="inlineStr">
        <is>
          <t>Total</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3203125" customWidth="1" min="1" max="1"/>
    <col width="16.33203125" customWidth="1" min="10" max="10"/>
    <col width="12" customWidth="1" min="11" max="11"/>
    <col width="11.5" customWidth="1" min="14" max="14"/>
    <col width="19.6640625" customWidth="1" min="16" max="16"/>
    <col width="16.6640625" customWidth="1" min="17" max="17"/>
    <col width="14.33203125" customWidth="1" min="19" max="19"/>
    <col width="15" customWidth="1" min="20" max="20"/>
  </cols>
  <sheetData>
    <row r="1" ht="16" customHeight="1">
      <c r="A1" s="12" t="inlineStr">
        <is>
          <t>SOUTHWARK STOCK ACCOUNT</t>
        </is>
      </c>
    </row>
    <row r="2" ht="16" customHeight="1">
      <c r="A2" s="12" t="n"/>
    </row>
    <row r="3">
      <c r="A3" s="44" t="n"/>
      <c r="B3" s="44" t="n"/>
      <c r="C3" s="125" t="inlineStr">
        <is>
          <t>added</t>
        </is>
      </c>
      <c r="G3" s="126" t="inlineStr">
        <is>
          <t>subtracted</t>
        </is>
      </c>
      <c r="K3" s="44" t="n"/>
      <c r="L3" s="44" t="n"/>
      <c r="M3" s="44" t="n"/>
      <c r="N3" s="44" t="n"/>
      <c r="O3" s="44"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1</v>
      </c>
      <c r="K5" t="n">
        <v>1</v>
      </c>
    </row>
    <row r="6" ht="16" customHeight="1">
      <c r="A6" s="44" t="inlineStr">
        <is>
          <t>Mares</t>
        </is>
      </c>
    </row>
    <row r="7">
      <c r="A7" t="inlineStr">
        <is>
          <t>Plough horses</t>
        </is>
      </c>
    </row>
    <row r="8">
      <c r="A8" t="inlineStr">
        <is>
          <t>Colts (unspecified years)</t>
        </is>
      </c>
    </row>
    <row r="9">
      <c r="A9" t="inlineStr">
        <is>
          <t>Colts (2 years)</t>
        </is>
      </c>
    </row>
    <row r="10">
      <c r="A10" t="inlineStr">
        <is>
          <t>Colts (1 year)</t>
        </is>
      </c>
    </row>
    <row r="11">
      <c r="A11" t="inlineStr">
        <is>
          <t>Foals</t>
        </is>
      </c>
    </row>
    <row r="12">
      <c r="A12" t="inlineStr">
        <is>
          <t>Oxen</t>
        </is>
      </c>
    </row>
    <row r="13">
      <c r="A13" t="inlineStr">
        <is>
          <t>Bulls</t>
        </is>
      </c>
    </row>
    <row r="14">
      <c r="A14" t="inlineStr">
        <is>
          <t>Cows</t>
        </is>
      </c>
    </row>
    <row r="15">
      <c r="A15" t="inlineStr">
        <is>
          <t>Steers</t>
        </is>
      </c>
    </row>
    <row r="16">
      <c r="A16" t="inlineStr">
        <is>
          <t>Bullocks</t>
        </is>
      </c>
    </row>
    <row r="17">
      <c r="A17" t="inlineStr">
        <is>
          <t>Yearlings</t>
        </is>
      </c>
    </row>
    <row r="18">
      <c r="A18" t="inlineStr">
        <is>
          <t>Calves</t>
        </is>
      </c>
    </row>
    <row r="19">
      <c r="A19" t="inlineStr">
        <is>
          <t>Wethers</t>
        </is>
      </c>
    </row>
    <row r="20">
      <c r="A20" t="inlineStr">
        <is>
          <t>Rams</t>
        </is>
      </c>
    </row>
    <row r="21">
      <c r="A21" t="inlineStr">
        <is>
          <t>Ewes</t>
        </is>
      </c>
    </row>
    <row r="22">
      <c r="A22" t="inlineStr">
        <is>
          <t>Hoggs</t>
        </is>
      </c>
    </row>
    <row r="23">
      <c r="A23" t="inlineStr">
        <is>
          <t>Lambs</t>
        </is>
      </c>
    </row>
    <row r="24">
      <c r="A24" t="inlineStr">
        <is>
          <t>Boars</t>
        </is>
      </c>
    </row>
    <row r="25">
      <c r="A25" t="inlineStr">
        <is>
          <t>Sows</t>
        </is>
      </c>
    </row>
    <row r="26">
      <c r="A26" t="inlineStr">
        <is>
          <t>Pigs</t>
        </is>
      </c>
    </row>
    <row r="27">
      <c r="A27" t="inlineStr">
        <is>
          <t>Hoggets</t>
        </is>
      </c>
    </row>
    <row r="28">
      <c r="A28" t="inlineStr">
        <is>
          <t>Piglets</t>
        </is>
      </c>
    </row>
    <row r="29">
      <c r="A29" t="inlineStr">
        <is>
          <t>Swans</t>
        </is>
      </c>
    </row>
    <row r="30">
      <c r="A30" t="inlineStr">
        <is>
          <t>Peacocks</t>
        </is>
      </c>
    </row>
    <row r="31" ht="16" customHeight="1">
      <c r="A31" s="67" t="inlineStr">
        <is>
          <t>Total Value</t>
        </is>
      </c>
    </row>
    <row r="32"/>
    <row r="33"/>
    <row r="34" ht="17" customHeight="1">
      <c r="A34" s="66" t="inlineStr">
        <is>
          <t>Wool</t>
        </is>
      </c>
    </row>
    <row r="35">
      <c r="A35" t="inlineStr">
        <is>
          <t>Coarse wool</t>
        </is>
      </c>
    </row>
    <row r="36">
      <c r="A36" t="inlineStr">
        <is>
          <t>Lamb's wool</t>
        </is>
      </c>
    </row>
    <row r="37">
      <c r="A37" t="inlineStr">
        <is>
          <t>Wool locks</t>
        </is>
      </c>
    </row>
    <row r="38">
      <c r="A38" t="inlineStr">
        <is>
          <t>Wool sold at shearing</t>
        </is>
      </c>
    </row>
    <row r="39" ht="16" customHeight="1">
      <c r="A39" s="67" t="inlineStr">
        <is>
          <t>Total wool</t>
        </is>
      </c>
    </row>
    <row r="40"/>
    <row r="41"/>
    <row r="42" ht="17" customHeight="1">
      <c r="A42" s="66" t="inlineStr">
        <is>
          <t>Hides</t>
        </is>
      </c>
    </row>
    <row r="43">
      <c r="A43" t="inlineStr">
        <is>
          <t>Ox hides</t>
        </is>
      </c>
    </row>
    <row r="44">
      <c r="A44" t="inlineStr">
        <is>
          <t>Mare</t>
        </is>
      </c>
    </row>
    <row r="45">
      <c r="A45" t="inlineStr">
        <is>
          <t>Steer</t>
        </is>
      </c>
    </row>
    <row r="46">
      <c r="A46" t="inlineStr">
        <is>
          <t>calves</t>
        </is>
      </c>
    </row>
    <row r="47">
      <c r="A47" s="68" t="inlineStr">
        <is>
          <t>pigs</t>
        </is>
      </c>
    </row>
    <row r="48">
      <c r="A48" t="inlineStr">
        <is>
          <t>Woolskins (incl. 10 in tithe)</t>
        </is>
      </c>
    </row>
    <row r="49">
      <c r="A49" s="28" t="inlineStr">
        <is>
          <t>wethers</t>
        </is>
      </c>
    </row>
    <row r="50">
      <c r="A50" s="28" t="inlineStr">
        <is>
          <t>rams</t>
        </is>
      </c>
    </row>
    <row r="51">
      <c r="A51" s="28" t="inlineStr">
        <is>
          <t>ewes</t>
        </is>
      </c>
    </row>
    <row r="52">
      <c r="A52" s="28" t="inlineStr">
        <is>
          <t>hoggs</t>
        </is>
      </c>
    </row>
    <row r="53">
      <c r="A53" s="69" t="inlineStr">
        <is>
          <t>Woolskins (excl. 10 in tithe)</t>
        </is>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row>
    <row r="60">
      <c r="A60" t="inlineStr">
        <is>
          <t>Lambskins (excl. 8 in tithe)</t>
        </is>
      </c>
    </row>
    <row r="61">
      <c r="A61" t="inlineStr">
        <is>
          <t>Rotted skins</t>
        </is>
      </c>
    </row>
    <row r="62">
      <c r="A62" t="inlineStr">
        <is>
          <t>Shorn skins</t>
        </is>
      </c>
    </row>
    <row r="63">
      <c r="A63" s="39" t="inlineStr">
        <is>
          <t xml:space="preserve">Total </t>
        </is>
      </c>
    </row>
    <row r="64"/>
    <row r="65"/>
    <row r="66" ht="17" customHeight="1">
      <c r="A66" s="66" t="inlineStr">
        <is>
          <t>Poultry stock</t>
        </is>
      </c>
    </row>
    <row r="67" ht="16" customHeight="1">
      <c r="A67" s="44" t="inlineStr">
        <is>
          <t>Hens</t>
        </is>
      </c>
    </row>
    <row r="68">
      <c r="A68" t="inlineStr">
        <is>
          <t>Geese</t>
        </is>
      </c>
    </row>
    <row r="69">
      <c r="A69" t="inlineStr">
        <is>
          <t>Capons (from chickens)</t>
        </is>
      </c>
    </row>
    <row r="70">
      <c r="A70" t="inlineStr">
        <is>
          <t>Cocks &amp; hens</t>
        </is>
      </c>
    </row>
    <row r="71">
      <c r="A71" s="70" t="inlineStr">
        <is>
          <t>Total poultry stock</t>
        </is>
      </c>
    </row>
    <row r="72">
      <c r="A72" s="71" t="inlineStr">
        <is>
          <t>Total poultry excluding churchscot</t>
        </is>
      </c>
    </row>
    <row r="73"/>
    <row r="74" ht="16" customHeight="1">
      <c r="A74" s="12" t="inlineStr">
        <is>
          <t>Poultry production</t>
        </is>
      </c>
    </row>
    <row r="75">
      <c r="A75" t="inlineStr">
        <is>
          <t>Eggs</t>
        </is>
      </c>
    </row>
    <row r="76">
      <c r="A76" t="inlineStr">
        <is>
          <t>Cocks &amp; hens from churchscot of customary tenants</t>
        </is>
      </c>
    </row>
    <row r="77">
      <c r="A77" t="inlineStr">
        <is>
          <t>Sum of above</t>
        </is>
      </c>
    </row>
    <row r="78">
      <c r="A78" s="70" t="inlineStr">
        <is>
          <t>Total</t>
        </is>
      </c>
    </row>
    <row r="79"/>
    <row r="80"/>
    <row r="81" ht="16" customHeight="1">
      <c r="A81" s="12" t="inlineStr">
        <is>
          <t>Meat</t>
        </is>
      </c>
    </row>
    <row r="82">
      <c r="A82" t="inlineStr">
        <is>
          <t>Beef</t>
        </is>
      </c>
    </row>
    <row r="83">
      <c r="A83" t="inlineStr">
        <is>
          <t>Mutton</t>
        </is>
      </c>
    </row>
    <row r="84">
      <c r="A84" t="inlineStr">
        <is>
          <t>Pork</t>
        </is>
      </c>
    </row>
    <row r="85" ht="16" customHeight="1">
      <c r="A85" s="57" t="inlineStr">
        <is>
          <t xml:space="preserve">Total </t>
        </is>
      </c>
    </row>
    <row r="86"/>
    <row r="87" ht="16" customHeight="1">
      <c r="A87" s="12" t="inlineStr">
        <is>
          <t>Cheese</t>
        </is>
      </c>
    </row>
    <row r="88">
      <c r="A88" t="inlineStr">
        <is>
          <t>Winter cheese</t>
        </is>
      </c>
    </row>
    <row r="89">
      <c r="A89" t="inlineStr">
        <is>
          <t>Summer cheese</t>
        </is>
      </c>
    </row>
    <row r="90" ht="16" customHeight="1">
      <c r="A90" s="57" t="inlineStr">
        <is>
          <t>Total</t>
        </is>
      </c>
    </row>
    <row r="91"/>
    <row r="92" ht="16" customHeight="1">
      <c r="A92" s="12" t="inlineStr">
        <is>
          <t>Butter</t>
        </is>
      </c>
    </row>
    <row r="93">
      <c r="A93" t="inlineStr">
        <is>
          <t>Butter</t>
        </is>
      </c>
    </row>
    <row r="94" ht="16" customHeight="1">
      <c r="A94" s="57" t="inlineStr">
        <is>
          <t>Total</t>
        </is>
      </c>
    </row>
    <row r="95" ht="16" customHeight="1">
      <c r="A95" s="13" t="n"/>
    </row>
    <row r="96" ht="16" customHeight="1">
      <c r="A96" s="57" t="inlineStr">
        <is>
          <t>Total Dairy Sales</t>
        </is>
      </c>
    </row>
    <row r="97"/>
    <row r="98"/>
    <row r="99" ht="16" customHeight="1">
      <c r="A99" s="12" t="inlineStr">
        <is>
          <t>Cider</t>
        </is>
      </c>
    </row>
    <row r="100"/>
    <row r="101"/>
    <row r="102" ht="16" customHeight="1">
      <c r="A102" s="13" t="inlineStr">
        <is>
          <t>Additional Information (not necessarily useful)</t>
        </is>
      </c>
    </row>
    <row r="103" ht="16"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F115"/>
  <sheetViews>
    <sheetView topLeftCell="A1" workbookViewId="0">
      <selection activeCell="A1" sqref="A1"/>
    </sheetView>
  </sheetViews>
  <sheetFormatPr baseColWidth="8" defaultRowHeight="15"/>
  <cols>
    <col width="23.33203125" customWidth="1" min="1" max="1"/>
    <col width="14.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Arrears</t>
        </is>
      </c>
      <c r="B2" t="inlineStr">
        <is>
          <t>The same render account for £8 4 shilling 0.75pence of arrears from the previous year.</t>
        </is>
      </c>
      <c r="C2" t="n">
        <v>8.199999999999999</v>
      </c>
      <c r="D2" t="n">
        <v>8</v>
      </c>
      <c r="E2" t="n">
        <v>4</v>
      </c>
      <c r="F2" t="n">
        <v>0.75</v>
      </c>
      <c r="H2" t="n">
        <v>0</v>
      </c>
      <c r="I2" t="n">
        <v>0</v>
      </c>
      <c r="J2" t="n">
        <v>0</v>
      </c>
      <c r="K2" t="n">
        <v>0</v>
      </c>
      <c r="L2" t="n">
        <v>0</v>
      </c>
      <c r="M2" t="n">
        <v>0</v>
      </c>
      <c r="N2" t="n">
        <v>0</v>
      </c>
    </row>
    <row r="3">
      <c r="A3" t="inlineStr">
        <is>
          <t>Arrears</t>
        </is>
      </c>
      <c r="B3" t="inlineStr">
        <is>
          <t>Delivered</t>
        </is>
      </c>
      <c r="C3" t="n">
        <v>0</v>
      </c>
      <c r="D3" t="n">
        <v>0</v>
      </c>
      <c r="E3" t="n">
        <v>0</v>
      </c>
      <c r="F3" t="n">
        <v>0</v>
      </c>
      <c r="H3" t="n">
        <v>0</v>
      </c>
      <c r="I3" t="n">
        <v>0</v>
      </c>
      <c r="J3" t="n">
        <v>0</v>
      </c>
      <c r="K3" t="n">
        <v>0</v>
      </c>
      <c r="L3" t="n">
        <v>0</v>
      </c>
      <c r="M3" t="n">
        <v>0</v>
      </c>
      <c r="N3" t="n">
        <v>0</v>
      </c>
    </row>
    <row r="4">
      <c r="A4" t="inlineStr">
        <is>
          <t>Arrears</t>
        </is>
      </c>
      <c r="B4" t="inlineStr">
        <is>
          <t>to Sir Geoffrey by 1 tally.</t>
        </is>
      </c>
      <c r="C4" t="n">
        <v>0</v>
      </c>
      <c r="D4" t="n">
        <v>0</v>
      </c>
      <c r="E4" t="n">
        <v>0</v>
      </c>
      <c r="F4" t="n">
        <v>0</v>
      </c>
      <c r="H4" t="n">
        <v>0</v>
      </c>
      <c r="I4" t="n">
        <v>0</v>
      </c>
      <c r="J4" t="n">
        <v>0</v>
      </c>
      <c r="K4" t="n">
        <v>0</v>
      </c>
      <c r="L4" t="n">
        <v>0</v>
      </c>
      <c r="M4" t="n">
        <v>0</v>
      </c>
      <c r="N4" t="n">
        <v>0</v>
      </c>
    </row>
    <row r="5">
      <c r="A5" t="inlineStr">
        <is>
          <t>Arrears</t>
        </is>
      </c>
      <c r="B5" t="inlineStr">
        <is>
          <t>They are quit.</t>
        </is>
      </c>
      <c r="C5" t="n">
        <v>0</v>
      </c>
      <c r="D5" t="n">
        <v>0</v>
      </c>
      <c r="E5" t="n">
        <v>0</v>
      </c>
      <c r="F5" t="n">
        <v>0</v>
      </c>
      <c r="H5" t="n">
        <v>0</v>
      </c>
      <c r="I5" t="n">
        <v>0</v>
      </c>
      <c r="J5" t="n">
        <v>0</v>
      </c>
      <c r="K5" t="n">
        <v>0</v>
      </c>
      <c r="L5" t="n">
        <v>0</v>
      </c>
      <c r="M5" t="n">
        <v>0</v>
      </c>
      <c r="N5" t="n">
        <v>0</v>
      </c>
    </row>
    <row r="6">
      <c r="A6" t="inlineStr">
        <is>
          <t>Rents of assize</t>
        </is>
      </c>
      <c r="B6" t="inlineStr">
        <is>
          <t>The same render account for £8 1 shilling 10.5pence for all rents of assize in London and Southwark at Easter (22 April).</t>
        </is>
      </c>
      <c r="C6" t="n">
        <v>8.09</v>
      </c>
      <c r="D6" t="n">
        <v>8</v>
      </c>
      <c r="E6" t="n">
        <v>1</v>
      </c>
      <c r="F6" t="n">
        <v>10.5</v>
      </c>
      <c r="H6" t="n">
        <v>0</v>
      </c>
      <c r="I6" t="n">
        <v>0</v>
      </c>
      <c r="J6" t="n">
        <v>0</v>
      </c>
      <c r="K6" t="n">
        <v>0</v>
      </c>
      <c r="L6" t="n">
        <v>0</v>
      </c>
      <c r="M6" t="n">
        <v>0</v>
      </c>
      <c r="N6" t="n">
        <v>0</v>
      </c>
    </row>
    <row r="7">
      <c r="A7" t="inlineStr">
        <is>
          <t>Rents of assize</t>
        </is>
      </c>
      <c r="B7" t="inlineStr">
        <is>
          <t>£8 1 shilling 10.5pence at Michaelmas (29 September).</t>
        </is>
      </c>
      <c r="C7" t="n">
        <v>8.09</v>
      </c>
      <c r="D7" t="n">
        <v>8</v>
      </c>
      <c r="E7" t="n">
        <v>1</v>
      </c>
      <c r="F7" t="n">
        <v>10.5</v>
      </c>
      <c r="H7" t="n">
        <v>0</v>
      </c>
      <c r="I7" t="n">
        <v>0</v>
      </c>
      <c r="J7" t="n">
        <v>0</v>
      </c>
      <c r="K7" t="n">
        <v>0</v>
      </c>
      <c r="L7" t="n">
        <v>0</v>
      </c>
      <c r="M7" t="n">
        <v>0</v>
      </c>
      <c r="N7" t="n">
        <v>0</v>
      </c>
    </row>
    <row r="8">
      <c r="A8" t="inlineStr">
        <is>
          <t>Rents of assize</t>
        </is>
      </c>
      <c r="B8" t="inlineStr">
        <is>
          <t>Total, £16 3 shilling 9pence</t>
        </is>
      </c>
      <c r="C8" t="n">
        <v>16.19</v>
      </c>
      <c r="D8" t="n">
        <v>16</v>
      </c>
      <c r="E8" t="n">
        <v>3</v>
      </c>
      <c r="F8" t="n">
        <v>9</v>
      </c>
      <c r="H8" t="n">
        <v>0</v>
      </c>
      <c r="I8" t="n">
        <v>0</v>
      </c>
      <c r="J8" t="n">
        <v>0</v>
      </c>
      <c r="K8" t="n">
        <v>0</v>
      </c>
      <c r="L8" t="n">
        <v>0</v>
      </c>
      <c r="M8" t="n">
        <v>0</v>
      </c>
      <c r="N8" t="n">
        <v>0</v>
      </c>
    </row>
    <row r="9">
      <c r="A9" t="inlineStr">
        <is>
          <t>Decayed rents</t>
        </is>
      </c>
      <c r="B9" t="inlineStr">
        <is>
          <t>In default of the rent of the tenement of Richard de Holebrok', because it is not built upon, nor enclosed, nor is there anything growing on it from which it would be possible to levy a rent, 10 shilling 2pence.</t>
        </is>
      </c>
      <c r="C9" t="n">
        <v>0.51</v>
      </c>
      <c r="D9" t="n">
        <v>0</v>
      </c>
      <c r="E9" t="n">
        <v>10</v>
      </c>
      <c r="F9" t="n">
        <v>2</v>
      </c>
      <c r="H9" t="n">
        <v>0</v>
      </c>
      <c r="I9" t="n">
        <v>0</v>
      </c>
      <c r="J9" t="n">
        <v>0</v>
      </c>
      <c r="K9" t="n">
        <v>0</v>
      </c>
      <c r="L9" t="n">
        <v>0</v>
      </c>
      <c r="M9" t="n">
        <v>0</v>
      </c>
      <c r="N9" t="n">
        <v>0</v>
      </c>
    </row>
    <row r="10">
      <c r="A10" t="inlineStr">
        <is>
          <t>Decayed rents</t>
        </is>
      </c>
      <c r="B10" t="inlineStr">
        <is>
          <t>the tenement which belonged to William Wellyng', 2 shilling this year, because it is not possible to levy a rent.</t>
        </is>
      </c>
      <c r="C10" t="n">
        <v>0.1</v>
      </c>
      <c r="D10" t="n">
        <v>0</v>
      </c>
      <c r="E10" t="n">
        <v>2</v>
      </c>
      <c r="F10" t="n">
        <v>0</v>
      </c>
      <c r="H10" t="n">
        <v>0</v>
      </c>
      <c r="I10" t="n">
        <v>0</v>
      </c>
      <c r="J10" t="n">
        <v>0</v>
      </c>
      <c r="K10" t="n">
        <v>0</v>
      </c>
      <c r="L10" t="n">
        <v>0</v>
      </c>
      <c r="M10" t="n">
        <v>0</v>
      </c>
      <c r="N10" t="n">
        <v>0</v>
      </c>
    </row>
    <row r="11">
      <c r="A11" t="inlineStr">
        <is>
          <t>Decayed rents</t>
        </is>
      </c>
      <c r="B11" t="inlineStr">
        <is>
          <t>the queen's garden 10 shilling 6pence.</t>
        </is>
      </c>
      <c r="C11" t="n">
        <v>0.53</v>
      </c>
      <c r="D11" t="n">
        <v>0</v>
      </c>
      <c r="E11" t="n">
        <v>10</v>
      </c>
      <c r="F11" t="n">
        <v>6</v>
      </c>
      <c r="H11" t="n">
        <v>0</v>
      </c>
      <c r="I11" t="n">
        <v>0</v>
      </c>
      <c r="J11" t="n">
        <v>0</v>
      </c>
      <c r="K11" t="n">
        <v>0</v>
      </c>
      <c r="L11" t="n">
        <v>0</v>
      </c>
      <c r="M11" t="n">
        <v>0</v>
      </c>
      <c r="N11" t="n">
        <v>0</v>
      </c>
    </row>
    <row r="12">
      <c r="A12" t="inlineStr">
        <is>
          <t>Decayed rents</t>
        </is>
      </c>
      <c r="B12" t="inlineStr">
        <is>
          <t>the tenement of the earl of Lancaster 2 shilling.</t>
        </is>
      </c>
      <c r="C12" t="n">
        <v>0.1</v>
      </c>
      <c r="D12" t="n">
        <v>0</v>
      </c>
      <c r="E12" t="n">
        <v>2</v>
      </c>
      <c r="F12" t="n">
        <v>0</v>
      </c>
      <c r="H12" t="n">
        <v>0</v>
      </c>
      <c r="I12" t="n">
        <v>0</v>
      </c>
      <c r="J12" t="n">
        <v>0</v>
      </c>
      <c r="K12" t="n">
        <v>0</v>
      </c>
      <c r="L12" t="n">
        <v>0</v>
      </c>
      <c r="M12" t="n">
        <v>0</v>
      </c>
      <c r="N12" t="n">
        <v>0</v>
      </c>
    </row>
    <row r="13">
      <c r="A13" t="inlineStr">
        <is>
          <t>Decayed rents</t>
        </is>
      </c>
      <c r="B13" t="inlineStr">
        <is>
          <t>the tenement of Laurence Hardel 1 shilling, because it is not possible to levy a rent this year.</t>
        </is>
      </c>
      <c r="C13" t="n">
        <v>0.05</v>
      </c>
      <c r="D13" t="n">
        <v>0</v>
      </c>
      <c r="E13" t="n">
        <v>1</v>
      </c>
      <c r="F13" t="n">
        <v>0</v>
      </c>
      <c r="H13" t="n">
        <v>0</v>
      </c>
      <c r="I13" t="n">
        <v>0</v>
      </c>
      <c r="J13" t="n">
        <v>0</v>
      </c>
      <c r="K13" t="n">
        <v>0</v>
      </c>
      <c r="L13" t="n">
        <v>0</v>
      </c>
      <c r="M13" t="n">
        <v>0</v>
      </c>
      <c r="N13" t="n">
        <v>0</v>
      </c>
    </row>
    <row r="14">
      <c r="A14" t="inlineStr">
        <is>
          <t>Decayed rents</t>
        </is>
      </c>
      <c r="B14" t="inlineStr">
        <is>
          <t>Total, £1 5 shilling 8pence</t>
        </is>
      </c>
      <c r="C14" t="n">
        <v>1.28</v>
      </c>
      <c r="D14" t="n">
        <v>1</v>
      </c>
      <c r="E14" t="n">
        <v>5</v>
      </c>
      <c r="F14" t="n">
        <v>8</v>
      </c>
      <c r="H14" t="n">
        <v>0</v>
      </c>
      <c r="I14" t="n">
        <v>0</v>
      </c>
      <c r="J14" t="n">
        <v>0</v>
      </c>
      <c r="K14" t="n">
        <v>0</v>
      </c>
      <c r="L14" t="n">
        <v>0</v>
      </c>
      <c r="M14" t="n">
        <v>0</v>
      </c>
      <c r="N14" t="n">
        <v>0</v>
      </c>
    </row>
    <row r="15">
      <c r="A15" t="inlineStr">
        <is>
          <t>Total of rents remaining clear</t>
        </is>
      </c>
      <c r="B15" t="inlineStr">
        <is>
          <t>Total of rents remaining clear, £14 18 shilling 1 pence</t>
        </is>
      </c>
      <c r="C15" t="n">
        <v>14.9</v>
      </c>
      <c r="D15" t="n">
        <v>14</v>
      </c>
      <c r="E15" t="n">
        <v>18</v>
      </c>
      <c r="F15" t="n">
        <v>1</v>
      </c>
      <c r="H15" t="n">
        <v>0</v>
      </c>
      <c r="I15" t="n">
        <v>0</v>
      </c>
      <c r="J15" t="n">
        <v>0</v>
      </c>
      <c r="K15" t="n">
        <v>0</v>
      </c>
      <c r="L15" t="n">
        <v>0</v>
      </c>
      <c r="M15" t="n">
        <v>0</v>
      </c>
      <c r="N15" t="n">
        <v>0</v>
      </c>
    </row>
    <row r="16">
      <c r="A16" t="inlineStr">
        <is>
          <t>Nutmeg</t>
        </is>
      </c>
      <c r="B16" t="inlineStr">
        <is>
          <t>The same render account for 3 nutmegs from the rent of Gilbert Coleman this year.</t>
        </is>
      </c>
      <c r="C16" t="n">
        <v>0</v>
      </c>
      <c r="D16" t="n">
        <v>0</v>
      </c>
      <c r="E16" t="n">
        <v>0</v>
      </c>
      <c r="F16" t="n">
        <v>0</v>
      </c>
      <c r="H16" t="n">
        <v>0</v>
      </c>
      <c r="I16" t="n">
        <v>0</v>
      </c>
      <c r="J16" t="n">
        <v>0</v>
      </c>
      <c r="K16" t="n">
        <v>0</v>
      </c>
      <c r="L16" t="n">
        <v>0</v>
      </c>
      <c r="M16" t="n">
        <v>0</v>
      </c>
      <c r="N16" t="n">
        <v>0</v>
      </c>
    </row>
    <row r="17">
      <c r="A17" t="inlineStr">
        <is>
          <t>Nutmeg</t>
        </is>
      </c>
      <c r="B17" t="inlineStr">
        <is>
          <t>Total, 3 nuts.</t>
        </is>
      </c>
      <c r="C17" t="n">
        <v>0</v>
      </c>
      <c r="D17" t="n">
        <v>0</v>
      </c>
      <c r="E17" t="n">
        <v>0</v>
      </c>
      <c r="F17" t="n">
        <v>0</v>
      </c>
      <c r="H17" t="n">
        <v>0</v>
      </c>
      <c r="I17" t="n">
        <v>0</v>
      </c>
      <c r="J17" t="n">
        <v>0</v>
      </c>
      <c r="K17" t="n">
        <v>0</v>
      </c>
      <c r="L17" t="n">
        <v>0</v>
      </c>
      <c r="M17" t="n">
        <v>0</v>
      </c>
      <c r="N17" t="n">
        <v>0</v>
      </c>
    </row>
    <row r="18">
      <c r="A18" t="inlineStr">
        <is>
          <t>Pepper</t>
        </is>
      </c>
      <c r="B18" t="inlineStr">
        <is>
          <t>The same render account for 1 lb of pepper from the rent of 1 seld in Eldefhystrate this year.</t>
        </is>
      </c>
      <c r="C18" t="n">
        <v>0</v>
      </c>
      <c r="D18" t="n">
        <v>0</v>
      </c>
      <c r="E18" t="n">
        <v>0</v>
      </c>
      <c r="F18" t="n">
        <v>0</v>
      </c>
      <c r="H18" t="n">
        <v>0</v>
      </c>
      <c r="I18" t="n">
        <v>0</v>
      </c>
      <c r="J18" t="n">
        <v>0</v>
      </c>
      <c r="K18" t="n">
        <v>0</v>
      </c>
      <c r="L18" t="n">
        <v>0</v>
      </c>
      <c r="M18" t="n">
        <v>0</v>
      </c>
      <c r="N18" t="n">
        <v>0</v>
      </c>
    </row>
    <row r="19">
      <c r="A19" t="inlineStr">
        <is>
          <t>Pepper</t>
        </is>
      </c>
      <c r="B19" t="inlineStr">
        <is>
          <t>Total, 1 lb.</t>
        </is>
      </c>
      <c r="C19" t="n">
        <v>0</v>
      </c>
      <c r="D19" t="n">
        <v>0</v>
      </c>
      <c r="E19" t="n">
        <v>0</v>
      </c>
      <c r="F19" t="n">
        <v>0</v>
      </c>
      <c r="H19" t="n">
        <v>0</v>
      </c>
      <c r="I19" t="n">
        <v>0</v>
      </c>
      <c r="J19" t="n">
        <v>0</v>
      </c>
      <c r="K19" t="n">
        <v>0</v>
      </c>
      <c r="L19" t="n">
        <v>0</v>
      </c>
      <c r="M19" t="n">
        <v>0</v>
      </c>
      <c r="N19" t="n">
        <v>0</v>
      </c>
    </row>
    <row r="20">
      <c r="A20" t="inlineStr">
        <is>
          <t>Pepper</t>
        </is>
      </c>
      <c r="B20" t="inlineStr">
        <is>
          <t>All delivered to Sir Geoffrey by 1 tally.</t>
        </is>
      </c>
      <c r="C20" t="n">
        <v>0</v>
      </c>
      <c r="D20" t="n">
        <v>0</v>
      </c>
      <c r="E20" t="n">
        <v>0</v>
      </c>
      <c r="F20" t="n">
        <v>0</v>
      </c>
      <c r="H20" t="n">
        <v>0</v>
      </c>
      <c r="I20" t="n">
        <v>0</v>
      </c>
      <c r="J20" t="n">
        <v>0</v>
      </c>
      <c r="K20" t="n">
        <v>0</v>
      </c>
      <c r="L20" t="n">
        <v>0</v>
      </c>
      <c r="M20" t="n">
        <v>0</v>
      </c>
      <c r="N20" t="n">
        <v>0</v>
      </c>
    </row>
    <row r="21">
      <c r="A21" t="inlineStr">
        <is>
          <t>Pepper</t>
        </is>
      </c>
      <c r="B21" t="inlineStr">
        <is>
          <t>They are quit.</t>
        </is>
      </c>
      <c r="C21" t="n">
        <v>0</v>
      </c>
      <c r="D21" t="n">
        <v>0</v>
      </c>
      <c r="E21" t="n">
        <v>0</v>
      </c>
      <c r="F21" t="n">
        <v>0</v>
      </c>
      <c r="H21" t="n">
        <v>0</v>
      </c>
      <c r="I21" t="n">
        <v>0</v>
      </c>
      <c r="J21" t="n">
        <v>0</v>
      </c>
      <c r="K21" t="n">
        <v>0</v>
      </c>
      <c r="L21" t="n">
        <v>0</v>
      </c>
      <c r="M21" t="n">
        <v>0</v>
      </c>
      <c r="N21" t="n">
        <v>0</v>
      </c>
    </row>
    <row r="22">
      <c r="A22" t="inlineStr">
        <is>
          <t>Issues of the manor</t>
        </is>
      </c>
      <c r="B22" t="inlineStr">
        <is>
          <t>The same render account for £3 6 shilling 8pence from the herbage in the great field sold.</t>
        </is>
      </c>
      <c r="C22" t="n">
        <v>3.33</v>
      </c>
      <c r="D22" t="n">
        <v>3</v>
      </c>
      <c r="E22" t="n">
        <v>6</v>
      </c>
      <c r="F22" t="n">
        <v>8</v>
      </c>
      <c r="H22" t="n">
        <v>0</v>
      </c>
      <c r="I22" t="n">
        <v>0</v>
      </c>
      <c r="J22" t="n">
        <v>0</v>
      </c>
      <c r="K22" t="n">
        <v>0</v>
      </c>
      <c r="L22" t="n">
        <v>0</v>
      </c>
      <c r="M22" t="n">
        <v>0</v>
      </c>
      <c r="N22" t="n">
        <v>0</v>
      </c>
    </row>
    <row r="23">
      <c r="A23" t="inlineStr">
        <is>
          <t>Issues of the manor</t>
        </is>
      </c>
      <c r="B23" t="inlineStr">
        <is>
          <t>8 shilling from nettles in la Wild' sold.</t>
        </is>
      </c>
      <c r="C23" t="n">
        <v>0.4</v>
      </c>
      <c r="D23" t="n">
        <v>0</v>
      </c>
      <c r="E23" t="n">
        <v>8</v>
      </c>
      <c r="F23" t="n">
        <v>0</v>
      </c>
      <c r="H23" t="n">
        <v>0</v>
      </c>
      <c r="I23" t="n">
        <v>0</v>
      </c>
      <c r="J23" t="n">
        <v>0</v>
      </c>
      <c r="K23" t="n">
        <v>0</v>
      </c>
      <c r="L23" t="n">
        <v>0</v>
      </c>
      <c r="M23" t="n">
        <v>0</v>
      </c>
      <c r="N23" t="n">
        <v>0</v>
      </c>
    </row>
    <row r="24">
      <c r="A24" t="inlineStr">
        <is>
          <t>Issues of the manor</t>
        </is>
      </c>
      <c r="B24" t="inlineStr">
        <is>
          <t>5 shilling from 1 garden hired this year to make a curtilage.</t>
        </is>
      </c>
      <c r="C24" t="n">
        <v>0.25</v>
      </c>
      <c r="D24" t="n">
        <v>0</v>
      </c>
      <c r="E24" t="n">
        <v>5</v>
      </c>
      <c r="F24" t="n">
        <v>0</v>
      </c>
      <c r="H24" t="n">
        <v>0</v>
      </c>
      <c r="I24" t="n">
        <v>0</v>
      </c>
      <c r="J24" t="n">
        <v>0</v>
      </c>
      <c r="K24" t="n">
        <v>0</v>
      </c>
      <c r="L24" t="n">
        <v>0</v>
      </c>
      <c r="M24" t="n">
        <v>0</v>
      </c>
      <c r="N24" t="n">
        <v>0</v>
      </c>
    </row>
    <row r="25">
      <c r="A25" t="inlineStr">
        <is>
          <t>Issues of the manor</t>
        </is>
      </c>
      <c r="B25" t="inlineStr">
        <is>
          <t>9 shilling from fruit sold this year.</t>
        </is>
      </c>
      <c r="C25" t="n">
        <v>0.45</v>
      </c>
      <c r="D25" t="n">
        <v>0</v>
      </c>
      <c r="E25" t="n">
        <v>9</v>
      </c>
      <c r="F25" t="n">
        <v>0</v>
      </c>
      <c r="H25" t="n">
        <v>0</v>
      </c>
      <c r="I25" t="n">
        <v>0</v>
      </c>
      <c r="J25" t="n">
        <v>0</v>
      </c>
      <c r="K25" t="n">
        <v>0</v>
      </c>
      <c r="L25" t="n">
        <v>0</v>
      </c>
      <c r="M25" t="n">
        <v>0</v>
      </c>
      <c r="N25" t="n">
        <v>0</v>
      </c>
    </row>
    <row r="26">
      <c r="A26" t="inlineStr">
        <is>
          <t>Issues of the manor</t>
        </is>
      </c>
      <c r="B26" t="inlineStr">
        <is>
          <t>3 shilling from 1 plot behind the kitchen, and not more this year because part of the bishops hay was stacked there which it was not possible to stack in other buildings because of the sojourn of the count of Savoy there.</t>
        </is>
      </c>
      <c r="C26" t="n">
        <v>0.15</v>
      </c>
      <c r="D26" t="n">
        <v>0</v>
      </c>
      <c r="E26" t="n">
        <v>3</v>
      </c>
      <c r="F26" t="n">
        <v>0</v>
      </c>
      <c r="H26" t="n">
        <v>0</v>
      </c>
      <c r="I26" t="n">
        <v>0</v>
      </c>
      <c r="J26" t="n">
        <v>0</v>
      </c>
      <c r="K26" t="n">
        <v>0</v>
      </c>
      <c r="L26" t="n">
        <v>0</v>
      </c>
      <c r="M26" t="n">
        <v>0</v>
      </c>
      <c r="N26" t="n">
        <v>0</v>
      </c>
    </row>
    <row r="27">
      <c r="A27" t="inlineStr">
        <is>
          <t>Issues of the manor</t>
        </is>
      </c>
      <c r="B27" t="inlineStr">
        <is>
          <t>nothing from hay this year because all was in provision of the bishop's horses.</t>
        </is>
      </c>
      <c r="C27" t="n">
        <v>0</v>
      </c>
      <c r="D27" t="n">
        <v>0</v>
      </c>
      <c r="E27" t="n">
        <v>0</v>
      </c>
      <c r="F27" t="n">
        <v>0</v>
      </c>
      <c r="H27" t="n">
        <v>0</v>
      </c>
      <c r="I27" t="n">
        <v>0</v>
      </c>
      <c r="J27" t="n">
        <v>0</v>
      </c>
      <c r="K27" t="n">
        <v>0</v>
      </c>
      <c r="L27" t="n">
        <v>0</v>
      </c>
      <c r="M27" t="n">
        <v>0</v>
      </c>
      <c r="N27" t="n">
        <v>0</v>
      </c>
    </row>
    <row r="28">
      <c r="A28" t="inlineStr">
        <is>
          <t>Issues of the manor</t>
        </is>
      </c>
      <c r="B28" t="inlineStr">
        <is>
          <t>nothing from the pinfold this year because it is submergepence Total, £4 11 shilling 8pence</t>
        </is>
      </c>
      <c r="C28" t="n">
        <v>4.58</v>
      </c>
      <c r="D28" t="n">
        <v>4</v>
      </c>
      <c r="E28" t="n">
        <v>11</v>
      </c>
      <c r="F28" t="n">
        <v>8</v>
      </c>
      <c r="H28" t="n">
        <v>0</v>
      </c>
      <c r="I28" t="n">
        <v>0</v>
      </c>
      <c r="J28" t="n">
        <v>0</v>
      </c>
      <c r="K28" t="n">
        <v>0</v>
      </c>
      <c r="L28" t="n">
        <v>0</v>
      </c>
      <c r="M28" t="n">
        <v>0</v>
      </c>
      <c r="N28" t="n">
        <v>0</v>
      </c>
    </row>
    <row r="29">
      <c r="A29" t="inlineStr">
        <is>
          <t>Sale of corn</t>
        </is>
      </c>
      <c r="B29" t="inlineStr">
        <is>
          <t>The same render account for £2 16 shilling 8pence from 10 quarters of wheat sold from the issue of the mill, at 5 shilling 8pence a quarters.</t>
        </is>
      </c>
      <c r="C29" t="n">
        <v>2.83</v>
      </c>
      <c r="D29" t="n">
        <v>2</v>
      </c>
      <c r="E29" t="n">
        <v>16</v>
      </c>
      <c r="F29" t="n">
        <v>8</v>
      </c>
      <c r="G29" t="inlineStr">
        <is>
          <t>wheat</t>
        </is>
      </c>
      <c r="H29" t="n">
        <v>10</v>
      </c>
      <c r="I29" t="n">
        <v>0</v>
      </c>
      <c r="J29" t="n">
        <v>10</v>
      </c>
      <c r="K29" t="n">
        <v>10</v>
      </c>
      <c r="L29" t="n">
        <v>0</v>
      </c>
      <c r="M29" t="n">
        <v>10</v>
      </c>
      <c r="N29" t="n">
        <v>0</v>
      </c>
      <c r="Q29" t="n">
        <v>5</v>
      </c>
      <c r="R29" t="n">
        <v>8</v>
      </c>
    </row>
    <row r="30">
      <c r="A30" t="inlineStr">
        <is>
          <t>Sale of corn</t>
        </is>
      </c>
      <c r="B30" t="inlineStr">
        <is>
          <t>£2 13 shilling 4pence from 10 quarters of wheat sold from the same issue, at 5 shilling 4pence a quarters.</t>
        </is>
      </c>
      <c r="C30" t="n">
        <v>2.67</v>
      </c>
      <c r="D30" t="n">
        <v>2</v>
      </c>
      <c r="E30" t="n">
        <v>13</v>
      </c>
      <c r="F30" t="n">
        <v>4</v>
      </c>
      <c r="G30" t="inlineStr">
        <is>
          <t>wheat</t>
        </is>
      </c>
      <c r="H30" t="n">
        <v>10</v>
      </c>
      <c r="I30" t="n">
        <v>0</v>
      </c>
      <c r="J30" t="n">
        <v>10</v>
      </c>
      <c r="K30" t="n">
        <v>10</v>
      </c>
      <c r="L30" t="n">
        <v>0</v>
      </c>
      <c r="M30" t="n">
        <v>10</v>
      </c>
      <c r="N30" t="n">
        <v>0</v>
      </c>
      <c r="Q30" t="n">
        <v>5</v>
      </c>
      <c r="R30" t="n">
        <v>4</v>
      </c>
    </row>
    <row r="31">
      <c r="A31" t="inlineStr">
        <is>
          <t>Sale of corn</t>
        </is>
      </c>
      <c r="B31" t="inlineStr">
        <is>
          <t>£1 8 shilling 4pence from 8.5 quarters of maslin sold from the issue of the mill, at 3 shilling 4pence a quarters.</t>
        </is>
      </c>
      <c r="C31" t="n">
        <v>1.42</v>
      </c>
      <c r="D31" t="n">
        <v>1</v>
      </c>
      <c r="E31" t="n">
        <v>8</v>
      </c>
      <c r="F31" t="n">
        <v>4</v>
      </c>
      <c r="G31" t="inlineStr">
        <is>
          <t>maslin</t>
        </is>
      </c>
      <c r="H31" t="n">
        <v>8.5</v>
      </c>
      <c r="I31" t="n">
        <v>0</v>
      </c>
      <c r="J31" t="n">
        <v>8.5</v>
      </c>
      <c r="K31" t="n">
        <v>8.5</v>
      </c>
      <c r="L31" t="n">
        <v>0</v>
      </c>
      <c r="M31" t="n">
        <v>8.5</v>
      </c>
      <c r="N31" t="n">
        <v>0</v>
      </c>
      <c r="Q31" t="n">
        <v>3</v>
      </c>
      <c r="R31" t="n">
        <v>4</v>
      </c>
    </row>
    <row r="32">
      <c r="A32" t="inlineStr">
        <is>
          <t>Sale of corn</t>
        </is>
      </c>
      <c r="B32" t="inlineStr">
        <is>
          <t>Total, £6 18 shilling 4pence</t>
        </is>
      </c>
      <c r="C32" t="n">
        <v>6.92</v>
      </c>
      <c r="D32" t="n">
        <v>6</v>
      </c>
      <c r="E32" t="n">
        <v>18</v>
      </c>
      <c r="F32" t="n">
        <v>4</v>
      </c>
      <c r="H32" t="n">
        <v>0</v>
      </c>
      <c r="I32" t="n">
        <v>0</v>
      </c>
      <c r="J32" t="n">
        <v>0</v>
      </c>
      <c r="K32" t="n">
        <v>0</v>
      </c>
      <c r="L32" t="n">
        <v>0</v>
      </c>
      <c r="M32" t="n">
        <v>0</v>
      </c>
      <c r="N32" t="n">
        <v>0</v>
      </c>
    </row>
    <row r="33">
      <c r="A33" t="inlineStr">
        <is>
          <t>Perquisites</t>
        </is>
      </c>
      <c r="B33" t="inlineStr">
        <is>
          <t>The same render account for 6pence from John Baldewyn' and his pledges.</t>
        </is>
      </c>
      <c r="C33" t="n">
        <v>0.03</v>
      </c>
      <c r="D33" t="n">
        <v>0</v>
      </c>
      <c r="E33" t="n">
        <v>0</v>
      </c>
      <c r="F33" t="n">
        <v>6</v>
      </c>
      <c r="H33" t="n">
        <v>0</v>
      </c>
      <c r="I33" t="n">
        <v>0</v>
      </c>
      <c r="J33" t="n">
        <v>0</v>
      </c>
      <c r="K33" t="n">
        <v>0</v>
      </c>
      <c r="L33" t="n">
        <v>0</v>
      </c>
      <c r="M33" t="n">
        <v>0</v>
      </c>
      <c r="N33" t="n">
        <v>0</v>
      </c>
    </row>
    <row r="34">
      <c r="A34" t="inlineStr">
        <is>
          <t>Perquisites</t>
        </is>
      </c>
      <c r="B34" t="inlineStr">
        <is>
          <t>6pence from Emma, wife of Roginald Pistor'.</t>
        </is>
      </c>
      <c r="C34" t="n">
        <v>0.03</v>
      </c>
      <c r="D34" t="n">
        <v>0</v>
      </c>
      <c r="E34" t="n">
        <v>0</v>
      </c>
      <c r="F34" t="n">
        <v>6</v>
      </c>
      <c r="H34" t="n">
        <v>0</v>
      </c>
      <c r="I34" t="n">
        <v>0</v>
      </c>
      <c r="J34" t="n">
        <v>0</v>
      </c>
      <c r="K34" t="n">
        <v>0</v>
      </c>
      <c r="L34" t="n">
        <v>0</v>
      </c>
      <c r="M34" t="n">
        <v>0</v>
      </c>
      <c r="N34" t="n">
        <v>0</v>
      </c>
    </row>
    <row r="35">
      <c r="A35" t="inlineStr">
        <is>
          <t>Perquisites</t>
        </is>
      </c>
      <c r="B35" t="inlineStr">
        <is>
          <t>3pence from John de Wynton' for many transgressions.</t>
        </is>
      </c>
      <c r="C35" t="n">
        <v>0.01</v>
      </c>
      <c r="D35" t="n">
        <v>0</v>
      </c>
      <c r="E35" t="n">
        <v>0</v>
      </c>
      <c r="F35" t="n">
        <v>3</v>
      </c>
      <c r="H35" t="n">
        <v>0</v>
      </c>
      <c r="I35" t="n">
        <v>0</v>
      </c>
      <c r="J35" t="n">
        <v>0</v>
      </c>
      <c r="K35" t="n">
        <v>0</v>
      </c>
      <c r="L35" t="n">
        <v>0</v>
      </c>
      <c r="M35" t="n">
        <v>0</v>
      </c>
      <c r="N35" t="n">
        <v>0</v>
      </c>
    </row>
    <row r="36">
      <c r="A36" t="inlineStr">
        <is>
          <t>Perquisites</t>
        </is>
      </c>
      <c r="B36" t="inlineStr">
        <is>
          <t>3pence from Simon de Merton' for the same.</t>
        </is>
      </c>
      <c r="C36" t="n">
        <v>0.01</v>
      </c>
      <c r="D36" t="n">
        <v>0</v>
      </c>
      <c r="E36" t="n">
        <v>0</v>
      </c>
      <c r="F36" t="n">
        <v>3</v>
      </c>
      <c r="H36" t="n">
        <v>0</v>
      </c>
      <c r="I36" t="n">
        <v>0</v>
      </c>
      <c r="J36" t="n">
        <v>0</v>
      </c>
      <c r="K36" t="n">
        <v>0</v>
      </c>
      <c r="L36" t="n">
        <v>0</v>
      </c>
      <c r="M36" t="n">
        <v>0</v>
      </c>
      <c r="N36" t="n">
        <v>0</v>
      </c>
    </row>
    <row r="37">
      <c r="A37" t="inlineStr">
        <is>
          <t>Perquisites</t>
        </is>
      </c>
      <c r="B37" t="inlineStr">
        <is>
          <t>1 shilling from the whole tithing for concealment.</t>
        </is>
      </c>
      <c r="C37" t="n">
        <v>0.05</v>
      </c>
      <c r="D37" t="n">
        <v>0</v>
      </c>
      <c r="E37" t="n">
        <v>1</v>
      </c>
      <c r="F37" t="n">
        <v>0</v>
      </c>
      <c r="H37" t="n">
        <v>0</v>
      </c>
      <c r="I37" t="n">
        <v>0</v>
      </c>
      <c r="J37" t="n">
        <v>0</v>
      </c>
      <c r="K37" t="n">
        <v>0</v>
      </c>
      <c r="L37" t="n">
        <v>0</v>
      </c>
      <c r="M37" t="n">
        <v>0</v>
      </c>
      <c r="N37" t="n">
        <v>0</v>
      </c>
    </row>
    <row r="38">
      <c r="A38" t="inlineStr">
        <is>
          <t>Perquisites</t>
        </is>
      </c>
      <c r="B38" t="inlineStr">
        <is>
          <t>3pence from William le Lech' for breaking the assize of ale.</t>
        </is>
      </c>
      <c r="C38" t="n">
        <v>0.01</v>
      </c>
      <c r="D38" t="n">
        <v>0</v>
      </c>
      <c r="E38" t="n">
        <v>0</v>
      </c>
      <c r="F38" t="n">
        <v>3</v>
      </c>
      <c r="H38" t="n">
        <v>0</v>
      </c>
      <c r="I38" t="n">
        <v>0</v>
      </c>
      <c r="J38" t="n">
        <v>0</v>
      </c>
      <c r="K38" t="n">
        <v>0</v>
      </c>
      <c r="L38" t="n">
        <v>0</v>
      </c>
      <c r="M38" t="n">
        <v>0</v>
      </c>
      <c r="N38" t="n">
        <v>0</v>
      </c>
    </row>
    <row r="39">
      <c r="A39" t="inlineStr">
        <is>
          <t>Perquisites</t>
        </is>
      </c>
      <c r="B39" t="inlineStr">
        <is>
          <t>3pence from John le Sthalou' for the same.</t>
        </is>
      </c>
      <c r="C39" t="n">
        <v>0.01</v>
      </c>
      <c r="D39" t="n">
        <v>0</v>
      </c>
      <c r="E39" t="n">
        <v>0</v>
      </c>
      <c r="F39" t="n">
        <v>3</v>
      </c>
      <c r="H39" t="n">
        <v>0</v>
      </c>
      <c r="I39" t="n">
        <v>0</v>
      </c>
      <c r="J39" t="n">
        <v>0</v>
      </c>
      <c r="K39" t="n">
        <v>0</v>
      </c>
      <c r="L39" t="n">
        <v>0</v>
      </c>
      <c r="M39" t="n">
        <v>0</v>
      </c>
      <c r="N39" t="n">
        <v>0</v>
      </c>
    </row>
    <row r="40">
      <c r="A40" t="inlineStr">
        <is>
          <t>Perquisites</t>
        </is>
      </c>
      <c r="B40" t="inlineStr">
        <is>
          <t>3pence from Roger le Horsdrivare for the same.</t>
        </is>
      </c>
      <c r="C40" t="n">
        <v>0.01</v>
      </c>
      <c r="D40" t="n">
        <v>0</v>
      </c>
      <c r="E40" t="n">
        <v>0</v>
      </c>
      <c r="F40" t="n">
        <v>3</v>
      </c>
      <c r="H40" t="n">
        <v>0</v>
      </c>
      <c r="I40" t="n">
        <v>0</v>
      </c>
      <c r="J40" t="n">
        <v>0</v>
      </c>
      <c r="K40" t="n">
        <v>0</v>
      </c>
      <c r="L40" t="n">
        <v>0</v>
      </c>
      <c r="M40" t="n">
        <v>0</v>
      </c>
      <c r="N40" t="n">
        <v>0</v>
      </c>
    </row>
    <row r="41">
      <c r="A41" t="inlineStr">
        <is>
          <t>Perquisites</t>
        </is>
      </c>
      <c r="B41" t="inlineStr">
        <is>
          <t>3pence from Stephen Bost for the same.</t>
        </is>
      </c>
      <c r="C41" t="n">
        <v>0.01</v>
      </c>
      <c r="D41" t="n">
        <v>0</v>
      </c>
      <c r="E41" t="n">
        <v>0</v>
      </c>
      <c r="F41" t="n">
        <v>3</v>
      </c>
      <c r="H41" t="n">
        <v>0</v>
      </c>
      <c r="I41" t="n">
        <v>0</v>
      </c>
      <c r="J41" t="n">
        <v>0</v>
      </c>
      <c r="K41" t="n">
        <v>0</v>
      </c>
      <c r="L41" t="n">
        <v>0</v>
      </c>
      <c r="M41" t="n">
        <v>0</v>
      </c>
      <c r="N41" t="n">
        <v>0</v>
      </c>
    </row>
    <row r="42">
      <c r="A42" t="inlineStr">
        <is>
          <t>Perquisites</t>
        </is>
      </c>
      <c r="B42" t="inlineStr">
        <is>
          <t>3pence from John Wynterman.</t>
        </is>
      </c>
      <c r="C42" t="n">
        <v>0.01</v>
      </c>
      <c r="D42" t="n">
        <v>0</v>
      </c>
      <c r="E42" t="n">
        <v>0</v>
      </c>
      <c r="F42" t="n">
        <v>3</v>
      </c>
      <c r="H42" t="n">
        <v>0</v>
      </c>
      <c r="I42" t="n">
        <v>0</v>
      </c>
      <c r="J42" t="n">
        <v>0</v>
      </c>
      <c r="K42" t="n">
        <v>0</v>
      </c>
      <c r="L42" t="n">
        <v>0</v>
      </c>
      <c r="M42" t="n">
        <v>0</v>
      </c>
      <c r="N42" t="n">
        <v>0</v>
      </c>
    </row>
    <row r="43">
      <c r="A43" t="inlineStr">
        <is>
          <t>Perquisites</t>
        </is>
      </c>
      <c r="B43" t="inlineStr">
        <is>
          <t>2 shilling from the whole tithing.</t>
        </is>
      </c>
      <c r="C43" t="n">
        <v>0.1</v>
      </c>
      <c r="D43" t="n">
        <v>0</v>
      </c>
      <c r="E43" t="n">
        <v>2</v>
      </c>
      <c r="F43" t="n">
        <v>0</v>
      </c>
      <c r="H43" t="n">
        <v>0</v>
      </c>
      <c r="I43" t="n">
        <v>0</v>
      </c>
      <c r="J43" t="n">
        <v>0</v>
      </c>
      <c r="K43" t="n">
        <v>0</v>
      </c>
      <c r="L43" t="n">
        <v>0</v>
      </c>
      <c r="M43" t="n">
        <v>0</v>
      </c>
      <c r="N43" t="n">
        <v>0</v>
      </c>
    </row>
    <row r="44">
      <c r="A44" t="inlineStr">
        <is>
          <t>Perquisites</t>
        </is>
      </c>
      <c r="B44" t="inlineStr">
        <is>
          <t>3pence from Thomas Seman.</t>
        </is>
      </c>
      <c r="C44" t="n">
        <v>0.01</v>
      </c>
      <c r="D44" t="n">
        <v>0</v>
      </c>
      <c r="E44" t="n">
        <v>0</v>
      </c>
      <c r="F44" t="n">
        <v>3</v>
      </c>
      <c r="H44" t="n">
        <v>0</v>
      </c>
      <c r="I44" t="n">
        <v>0</v>
      </c>
      <c r="J44" t="n">
        <v>0</v>
      </c>
      <c r="K44" t="n">
        <v>0</v>
      </c>
      <c r="L44" t="n">
        <v>0</v>
      </c>
      <c r="M44" t="n">
        <v>0</v>
      </c>
      <c r="N44" t="n">
        <v>0</v>
      </c>
    </row>
    <row r="45">
      <c r="A45" t="inlineStr">
        <is>
          <t>Perquisites</t>
        </is>
      </c>
      <c r="B45" t="inlineStr">
        <is>
          <t>3pence from John de Wynton' for false complaint.</t>
        </is>
      </c>
      <c r="C45" t="n">
        <v>0.01</v>
      </c>
      <c r="D45" t="n">
        <v>0</v>
      </c>
      <c r="E45" t="n">
        <v>0</v>
      </c>
      <c r="F45" t="n">
        <v>3</v>
      </c>
      <c r="H45" t="n">
        <v>0</v>
      </c>
      <c r="I45" t="n">
        <v>0</v>
      </c>
      <c r="J45" t="n">
        <v>0</v>
      </c>
      <c r="K45" t="n">
        <v>0</v>
      </c>
      <c r="L45" t="n">
        <v>0</v>
      </c>
      <c r="M45" t="n">
        <v>0</v>
      </c>
      <c r="N45" t="n">
        <v>0</v>
      </c>
    </row>
    <row r="46">
      <c r="A46" t="inlineStr">
        <is>
          <t>Perquisites</t>
        </is>
      </c>
      <c r="B46" t="inlineStr">
        <is>
          <t>3pence from the same for bail.</t>
        </is>
      </c>
      <c r="C46" t="n">
        <v>0.01</v>
      </c>
      <c r="D46" t="n">
        <v>0</v>
      </c>
      <c r="E46" t="n">
        <v>0</v>
      </c>
      <c r="F46" t="n">
        <v>3</v>
      </c>
      <c r="H46" t="n">
        <v>0</v>
      </c>
      <c r="I46" t="n">
        <v>0</v>
      </c>
      <c r="J46" t="n">
        <v>0</v>
      </c>
      <c r="K46" t="n">
        <v>0</v>
      </c>
      <c r="L46" t="n">
        <v>0</v>
      </c>
      <c r="M46" t="n">
        <v>0</v>
      </c>
      <c r="N46" t="n">
        <v>0</v>
      </c>
    </row>
    <row r="47">
      <c r="A47" t="inlineStr">
        <is>
          <t>Perquisites</t>
        </is>
      </c>
      <c r="B47" t="inlineStr">
        <is>
          <t>6pence from James Copin.</t>
        </is>
      </c>
      <c r="C47" t="n">
        <v>0.03</v>
      </c>
      <c r="D47" t="n">
        <v>0</v>
      </c>
      <c r="E47" t="n">
        <v>0</v>
      </c>
      <c r="F47" t="n">
        <v>6</v>
      </c>
      <c r="H47" t="n">
        <v>0</v>
      </c>
      <c r="I47" t="n">
        <v>0</v>
      </c>
      <c r="J47" t="n">
        <v>0</v>
      </c>
      <c r="K47" t="n">
        <v>0</v>
      </c>
      <c r="L47" t="n">
        <v>0</v>
      </c>
      <c r="M47" t="n">
        <v>0</v>
      </c>
      <c r="N47" t="n">
        <v>0</v>
      </c>
    </row>
    <row r="48">
      <c r="A48" t="inlineStr">
        <is>
          <t>Perquisites</t>
        </is>
      </c>
      <c r="B48" t="inlineStr">
        <is>
          <t>3pence from John Wynterman for harbouring.</t>
        </is>
      </c>
      <c r="C48" t="n">
        <v>0.01</v>
      </c>
      <c r="D48" t="n">
        <v>0</v>
      </c>
      <c r="E48" t="n">
        <v>0</v>
      </c>
      <c r="F48" t="n">
        <v>3</v>
      </c>
      <c r="H48" t="n">
        <v>0</v>
      </c>
      <c r="I48" t="n">
        <v>0</v>
      </c>
      <c r="J48" t="n">
        <v>0</v>
      </c>
      <c r="K48" t="n">
        <v>0</v>
      </c>
      <c r="L48" t="n">
        <v>0</v>
      </c>
      <c r="M48" t="n">
        <v>0</v>
      </c>
      <c r="N48" t="n">
        <v>0</v>
      </c>
    </row>
    <row r="49">
      <c r="A49" t="inlineStr">
        <is>
          <t>Perquisites</t>
        </is>
      </c>
      <c r="B49" t="inlineStr">
        <is>
          <t>3pence from William de Barton'.</t>
        </is>
      </c>
      <c r="C49" t="n">
        <v>0.01</v>
      </c>
      <c r="D49" t="n">
        <v>0</v>
      </c>
      <c r="E49" t="n">
        <v>0</v>
      </c>
      <c r="F49" t="n">
        <v>3</v>
      </c>
      <c r="H49" t="n">
        <v>0</v>
      </c>
      <c r="I49" t="n">
        <v>0</v>
      </c>
      <c r="J49" t="n">
        <v>0</v>
      </c>
      <c r="K49" t="n">
        <v>0</v>
      </c>
      <c r="L49" t="n">
        <v>0</v>
      </c>
      <c r="M49" t="n">
        <v>0</v>
      </c>
      <c r="N49" t="n">
        <v>0</v>
      </c>
    </row>
    <row r="50">
      <c r="A50" t="inlineStr">
        <is>
          <t>Perquisites</t>
        </is>
      </c>
      <c r="B50" t="inlineStr">
        <is>
          <t>3pence from Nicholas de Wynton for his false complaint.</t>
        </is>
      </c>
      <c r="C50" t="n">
        <v>0.01</v>
      </c>
      <c r="D50" t="n">
        <v>0</v>
      </c>
      <c r="E50" t="n">
        <v>0</v>
      </c>
      <c r="F50" t="n">
        <v>3</v>
      </c>
      <c r="H50" t="n">
        <v>0</v>
      </c>
      <c r="I50" t="n">
        <v>0</v>
      </c>
      <c r="J50" t="n">
        <v>0</v>
      </c>
      <c r="K50" t="n">
        <v>0</v>
      </c>
      <c r="L50" t="n">
        <v>0</v>
      </c>
      <c r="M50" t="n">
        <v>0</v>
      </c>
      <c r="N50" t="n">
        <v>0</v>
      </c>
    </row>
    <row r="51">
      <c r="A51" t="inlineStr">
        <is>
          <t>Perquisites</t>
        </is>
      </c>
      <c r="B51" t="inlineStr">
        <is>
          <t>Total, 7 shilling 9pence</t>
        </is>
      </c>
      <c r="C51" t="n">
        <v>0.39</v>
      </c>
      <c r="D51" t="n">
        <v>0</v>
      </c>
      <c r="E51" t="n">
        <v>7</v>
      </c>
      <c r="F51" t="n">
        <v>9</v>
      </c>
      <c r="H51" t="n">
        <v>0</v>
      </c>
      <c r="I51" t="n">
        <v>0</v>
      </c>
      <c r="J51" t="n">
        <v>0</v>
      </c>
      <c r="K51" t="n">
        <v>0</v>
      </c>
      <c r="L51" t="n">
        <v>0</v>
      </c>
      <c r="M51" t="n">
        <v>0</v>
      </c>
      <c r="N51" t="n">
        <v>0</v>
      </c>
    </row>
    <row r="52">
      <c r="A52" t="inlineStr">
        <is>
          <t>Foreign receipts</t>
        </is>
      </c>
      <c r="B52" t="inlineStr">
        <is>
          <t>The same render account for £1 received from the lord's wardrobe.</t>
        </is>
      </c>
      <c r="C52" t="n">
        <v>1</v>
      </c>
      <c r="D52" t="n">
        <v>1</v>
      </c>
      <c r="E52" t="n">
        <v>0</v>
      </c>
      <c r="F52" t="n">
        <v>0</v>
      </c>
      <c r="H52" t="n">
        <v>0</v>
      </c>
      <c r="I52" t="n">
        <v>0</v>
      </c>
      <c r="J52" t="n">
        <v>0</v>
      </c>
      <c r="K52" t="n">
        <v>0</v>
      </c>
      <c r="L52" t="n">
        <v>0</v>
      </c>
      <c r="M52" t="n">
        <v>0</v>
      </c>
      <c r="N52" t="n">
        <v>0</v>
      </c>
    </row>
    <row r="53">
      <c r="A53" t="inlineStr">
        <is>
          <t>Foreign receipts</t>
        </is>
      </c>
      <c r="B53" t="inlineStr">
        <is>
          <t>Total, £1. Total of all receipts of the year within as well as foreign, £25 15 shilling 10pence1</t>
        </is>
      </c>
      <c r="C53" t="n">
        <v>1</v>
      </c>
      <c r="D53" t="n">
        <v>1</v>
      </c>
      <c r="E53" t="n">
        <v>0</v>
      </c>
      <c r="F53" t="n">
        <v>0</v>
      </c>
      <c r="H53" t="n">
        <v>0</v>
      </c>
      <c r="I53" t="n">
        <v>0</v>
      </c>
      <c r="J53" t="n">
        <v>0</v>
      </c>
      <c r="K53" t="n">
        <v>0</v>
      </c>
      <c r="L53" t="n">
        <v>0</v>
      </c>
      <c r="M53" t="n">
        <v>0</v>
      </c>
      <c r="N53" t="n">
        <v>0</v>
      </c>
    </row>
    <row r="54">
      <c r="A54" t="inlineStr">
        <is>
          <t>Cost of the mill</t>
        </is>
      </c>
      <c r="B54" t="inlineStr">
        <is>
          <t>In 1 measure of steel bought for the mill bills 1 shilling.</t>
        </is>
      </c>
      <c r="C54" t="n">
        <v>0.05</v>
      </c>
      <c r="D54" t="n">
        <v>0</v>
      </c>
      <c r="E54" t="n">
        <v>1</v>
      </c>
      <c r="F54" t="n">
        <v>0</v>
      </c>
      <c r="H54" t="n">
        <v>0</v>
      </c>
      <c r="I54" t="n">
        <v>0</v>
      </c>
      <c r="J54" t="n">
        <v>0</v>
      </c>
      <c r="K54" t="n">
        <v>0</v>
      </c>
      <c r="L54" t="n">
        <v>0</v>
      </c>
      <c r="M54" t="n">
        <v>0</v>
      </c>
      <c r="N54" t="n">
        <v>0</v>
      </c>
    </row>
    <row r="55">
      <c r="A55" t="inlineStr">
        <is>
          <t>Cost of the mill</t>
        </is>
      </c>
      <c r="B55" t="inlineStr">
        <is>
          <t>forging the same 1 shilling.</t>
        </is>
      </c>
      <c r="C55" t="n">
        <v>0.05</v>
      </c>
      <c r="D55" t="n">
        <v>0</v>
      </c>
      <c r="E55" t="n">
        <v>1</v>
      </c>
      <c r="F55" t="n">
        <v>0</v>
      </c>
      <c r="H55" t="n">
        <v>0</v>
      </c>
      <c r="I55" t="n">
        <v>0</v>
      </c>
      <c r="J55" t="n">
        <v>0</v>
      </c>
      <c r="K55" t="n">
        <v>0</v>
      </c>
      <c r="L55" t="n">
        <v>0</v>
      </c>
      <c r="M55" t="n">
        <v>0</v>
      </c>
      <c r="N55" t="n">
        <v>0</v>
      </c>
    </row>
    <row r="56">
      <c r="A56" t="inlineStr">
        <is>
          <t>Cost of the mill</t>
        </is>
      </c>
      <c r="B56" t="inlineStr">
        <is>
          <t>sharpening the bills for the year 2 shilling.</t>
        </is>
      </c>
      <c r="C56" t="n">
        <v>0.1</v>
      </c>
      <c r="D56" t="n">
        <v>0</v>
      </c>
      <c r="E56" t="n">
        <v>2</v>
      </c>
      <c r="F56" t="n">
        <v>0</v>
      </c>
      <c r="H56" t="n">
        <v>0</v>
      </c>
      <c r="I56" t="n">
        <v>0</v>
      </c>
      <c r="J56" t="n">
        <v>0</v>
      </c>
      <c r="K56" t="n">
        <v>0</v>
      </c>
      <c r="L56" t="n">
        <v>0</v>
      </c>
      <c r="M56" t="n">
        <v>0</v>
      </c>
      <c r="N56" t="n">
        <v>0</v>
      </c>
    </row>
    <row r="57">
      <c r="A57" t="inlineStr">
        <is>
          <t>Cost of the mill</t>
        </is>
      </c>
      <c r="B57" t="inlineStr">
        <is>
          <t>repairing the mill spindle this year 5 shilling.</t>
        </is>
      </c>
      <c r="C57" t="n">
        <v>0.25</v>
      </c>
      <c r="D57" t="n">
        <v>0</v>
      </c>
      <c r="E57" t="n">
        <v>5</v>
      </c>
      <c r="F57" t="n">
        <v>0</v>
      </c>
      <c r="H57" t="n">
        <v>0</v>
      </c>
      <c r="I57" t="n">
        <v>0</v>
      </c>
      <c r="J57" t="n">
        <v>0</v>
      </c>
      <c r="K57" t="n">
        <v>0</v>
      </c>
      <c r="L57" t="n">
        <v>0</v>
      </c>
      <c r="M57" t="n">
        <v>0</v>
      </c>
      <c r="N57" t="n">
        <v>0</v>
      </c>
    </row>
    <row r="58">
      <c r="A58" t="inlineStr">
        <is>
          <t>Cost of the mill</t>
        </is>
      </c>
      <c r="B58" t="inlineStr">
        <is>
          <t>shoeing 1 horse for the year 6pence.</t>
        </is>
      </c>
      <c r="C58" t="n">
        <v>0.03</v>
      </c>
      <c r="D58" t="n">
        <v>0</v>
      </c>
      <c r="E58" t="n">
        <v>0</v>
      </c>
      <c r="F58" t="n">
        <v>6</v>
      </c>
      <c r="H58" t="n">
        <v>0</v>
      </c>
      <c r="I58" t="n">
        <v>0</v>
      </c>
      <c r="J58" t="n">
        <v>0</v>
      </c>
      <c r="K58" t="n">
        <v>0</v>
      </c>
      <c r="L58" t="n">
        <v>0</v>
      </c>
      <c r="M58" t="n">
        <v>0</v>
      </c>
      <c r="N58" t="n">
        <v>0</v>
      </c>
    </row>
    <row r="59">
      <c r="A59" t="inlineStr">
        <is>
          <t>Cost of the mill</t>
        </is>
      </c>
      <c r="B59" t="inlineStr">
        <is>
          <t>mending 1 saddle-pad and surcingle 8pence.</t>
        </is>
      </c>
      <c r="C59" t="n">
        <v>0.03</v>
      </c>
      <c r="D59" t="n">
        <v>0</v>
      </c>
      <c r="E59" t="n">
        <v>0</v>
      </c>
      <c r="F59" t="n">
        <v>8</v>
      </c>
      <c r="H59" t="n">
        <v>0</v>
      </c>
      <c r="I59" t="n">
        <v>0</v>
      </c>
      <c r="J59" t="n">
        <v>0</v>
      </c>
      <c r="K59" t="n">
        <v>0</v>
      </c>
      <c r="L59" t="n">
        <v>0</v>
      </c>
      <c r="M59" t="n">
        <v>0</v>
      </c>
      <c r="N59" t="n">
        <v>0</v>
      </c>
    </row>
    <row r="60">
      <c r="A60" t="inlineStr">
        <is>
          <t>Cost of the mill</t>
        </is>
      </c>
      <c r="B60" t="inlineStr">
        <is>
          <t>cogs and rungs bought 4 shilling.</t>
        </is>
      </c>
      <c r="C60" t="n">
        <v>0.2</v>
      </c>
      <c r="D60" t="n">
        <v>0</v>
      </c>
      <c r="E60" t="n">
        <v>4</v>
      </c>
      <c r="F60" t="n">
        <v>0</v>
      </c>
      <c r="H60" t="n">
        <v>0</v>
      </c>
      <c r="I60" t="n">
        <v>0</v>
      </c>
      <c r="J60" t="n">
        <v>0</v>
      </c>
      <c r="K60" t="n">
        <v>0</v>
      </c>
      <c r="L60" t="n">
        <v>0</v>
      </c>
      <c r="M60" t="n">
        <v>0</v>
      </c>
      <c r="N60" t="n">
        <v>0</v>
      </c>
    </row>
    <row r="61">
      <c r="A61" t="inlineStr">
        <is>
          <t>Cost of the mill</t>
        </is>
      </c>
      <c r="B61" t="inlineStr">
        <is>
          <t>tallow for the same 1 shilling 4pence.</t>
        </is>
      </c>
      <c r="C61" t="n">
        <v>0.07000000000000001</v>
      </c>
      <c r="D61" t="n">
        <v>0</v>
      </c>
      <c r="E61" t="n">
        <v>1</v>
      </c>
      <c r="F61" t="n">
        <v>4</v>
      </c>
      <c r="H61" t="n">
        <v>0</v>
      </c>
      <c r="I61" t="n">
        <v>0</v>
      </c>
      <c r="J61" t="n">
        <v>0</v>
      </c>
      <c r="K61" t="n">
        <v>0</v>
      </c>
      <c r="L61" t="n">
        <v>0</v>
      </c>
      <c r="M61" t="n">
        <v>0</v>
      </c>
      <c r="N61" t="n">
        <v>0</v>
      </c>
    </row>
    <row r="62">
      <c r="A62" t="inlineStr">
        <is>
          <t>Cost of the mill</t>
        </is>
      </c>
      <c r="B62" t="inlineStr">
        <is>
          <t>carrying 224 quarters of corn from London to the mill by boat and from the mill to London 4 shilling 8pence.</t>
        </is>
      </c>
      <c r="C62" t="n">
        <v>0.23</v>
      </c>
      <c r="D62" t="n">
        <v>0</v>
      </c>
      <c r="E62" t="n">
        <v>4</v>
      </c>
      <c r="F62" t="n">
        <v>8</v>
      </c>
      <c r="H62" t="n">
        <v>224</v>
      </c>
      <c r="I62" t="n">
        <v>0</v>
      </c>
      <c r="J62" t="n">
        <v>224</v>
      </c>
      <c r="K62" t="n">
        <v>224</v>
      </c>
      <c r="L62" t="n">
        <v>0</v>
      </c>
      <c r="M62" t="n">
        <v>224</v>
      </c>
      <c r="N62" t="n">
        <v>0</v>
      </c>
    </row>
    <row r="63">
      <c r="A63" t="inlineStr">
        <is>
          <t>Cost of the mill</t>
        </is>
      </c>
      <c r="B63" t="inlineStr">
        <is>
          <t>stipend of 1 miller for the year 8 shilling.</t>
        </is>
      </c>
      <c r="C63" t="n">
        <v>0.4</v>
      </c>
      <c r="D63" t="n">
        <v>0</v>
      </c>
      <c r="E63" t="n">
        <v>8</v>
      </c>
      <c r="F63" t="n">
        <v>0</v>
      </c>
      <c r="H63" t="n">
        <v>0</v>
      </c>
      <c r="I63" t="n">
        <v>0</v>
      </c>
      <c r="J63" t="n">
        <v>0</v>
      </c>
      <c r="K63" t="n">
        <v>0</v>
      </c>
      <c r="L63" t="n">
        <v>0</v>
      </c>
      <c r="M63" t="n">
        <v>0</v>
      </c>
      <c r="N63" t="n">
        <v>0</v>
      </c>
    </row>
    <row r="64">
      <c r="A64" t="inlineStr">
        <is>
          <t>Cost of the mill</t>
        </is>
      </c>
      <c r="B64" t="inlineStr">
        <is>
          <t>stipend of 1 man driving 1 mill-horse for the year 6 shilling.</t>
        </is>
      </c>
      <c r="C64" t="n">
        <v>0.3</v>
      </c>
      <c r="D64" t="n">
        <v>0</v>
      </c>
      <c r="E64" t="n">
        <v>6</v>
      </c>
      <c r="F64" t="n">
        <v>0</v>
      </c>
      <c r="H64" t="n">
        <v>0</v>
      </c>
      <c r="I64" t="n">
        <v>0</v>
      </c>
      <c r="J64" t="n">
        <v>0</v>
      </c>
      <c r="K64" t="n">
        <v>0</v>
      </c>
      <c r="L64" t="n">
        <v>0</v>
      </c>
      <c r="M64" t="n">
        <v>0</v>
      </c>
      <c r="N64" t="n">
        <v>0</v>
      </c>
    </row>
    <row r="65">
      <c r="A65" t="inlineStr">
        <is>
          <t>Cost of the mill</t>
        </is>
      </c>
      <c r="B65" t="inlineStr">
        <is>
          <t>12 quarters of oats bought for the fodder of the mill-horse 16 shilling, at 1 shilling 4pence a quarters.</t>
        </is>
      </c>
      <c r="C65" t="n">
        <v>0.82</v>
      </c>
      <c r="D65" t="n">
        <v>0</v>
      </c>
      <c r="E65" t="n">
        <v>16</v>
      </c>
      <c r="F65" t="n">
        <v>4</v>
      </c>
      <c r="G65" t="inlineStr">
        <is>
          <t>oats</t>
        </is>
      </c>
      <c r="H65" t="n">
        <v>12</v>
      </c>
      <c r="I65" t="n">
        <v>0</v>
      </c>
      <c r="J65" t="n">
        <v>12</v>
      </c>
      <c r="K65" t="n">
        <v>12</v>
      </c>
      <c r="L65" t="n">
        <v>0</v>
      </c>
      <c r="M65" t="n">
        <v>12</v>
      </c>
      <c r="N65" t="n">
        <v>0</v>
      </c>
      <c r="Q65" t="n">
        <v>1</v>
      </c>
      <c r="R65" t="n">
        <v>4</v>
      </c>
    </row>
    <row r="66">
      <c r="A66" t="inlineStr">
        <is>
          <t>Cost of the mill</t>
        </is>
      </c>
      <c r="B66" t="inlineStr">
        <is>
          <t>.</t>
        </is>
      </c>
      <c r="C66" t="n">
        <v>0</v>
      </c>
      <c r="D66" t="n">
        <v>0</v>
      </c>
      <c r="E66" t="n">
        <v>0</v>
      </c>
      <c r="F66" t="n">
        <v>0</v>
      </c>
      <c r="H66" t="n">
        <v>0</v>
      </c>
      <c r="I66" t="n">
        <v>0</v>
      </c>
      <c r="J66" t="n">
        <v>0</v>
      </c>
      <c r="K66" t="n">
        <v>0</v>
      </c>
      <c r="L66" t="n">
        <v>0</v>
      </c>
      <c r="M66" t="n">
        <v>0</v>
      </c>
      <c r="N66" t="n">
        <v>0</v>
      </c>
    </row>
    <row r="67">
      <c r="A67" t="inlineStr">
        <is>
          <t>Cost of the mill</t>
        </is>
      </c>
      <c r="B67" t="inlineStr">
        <is>
          <t>10 quarters 6 bushels of oats bought for the same 16 shilling 1.5pence, at 1 shilling 6pence a quarters.</t>
        </is>
      </c>
      <c r="C67" t="n">
        <v>0.8100000000000001</v>
      </c>
      <c r="D67" t="n">
        <v>0</v>
      </c>
      <c r="E67" t="n">
        <v>16</v>
      </c>
      <c r="F67" t="n">
        <v>1.5</v>
      </c>
      <c r="G67" t="inlineStr">
        <is>
          <t>oats</t>
        </is>
      </c>
      <c r="H67" t="n">
        <v>10</v>
      </c>
      <c r="I67" t="n">
        <v>6</v>
      </c>
      <c r="J67" t="n">
        <v>10.75</v>
      </c>
      <c r="K67" t="n">
        <v>10.75</v>
      </c>
      <c r="L67" t="n">
        <v>0</v>
      </c>
      <c r="M67" t="n">
        <v>10</v>
      </c>
      <c r="N67" t="n">
        <v>6</v>
      </c>
      <c r="Q67" t="n">
        <v>1</v>
      </c>
      <c r="R67" t="n">
        <v>6</v>
      </c>
    </row>
    <row r="68">
      <c r="A68" t="inlineStr">
        <is>
          <t>Cost of the mill</t>
        </is>
      </c>
      <c r="B68" t="inlineStr">
        <is>
          <t>Total, £3 12 shilling 5.5pence</t>
        </is>
      </c>
      <c r="C68" t="n">
        <v>3.62</v>
      </c>
      <c r="D68" t="n">
        <v>3</v>
      </c>
      <c r="E68" t="n">
        <v>12</v>
      </c>
      <c r="F68" t="n">
        <v>5.5</v>
      </c>
      <c r="H68" t="n">
        <v>0</v>
      </c>
      <c r="I68" t="n">
        <v>0</v>
      </c>
      <c r="J68" t="n">
        <v>0</v>
      </c>
      <c r="K68" t="n">
        <v>0</v>
      </c>
      <c r="L68" t="n">
        <v>0</v>
      </c>
      <c r="M68" t="n">
        <v>0</v>
      </c>
      <c r="N68" t="n">
        <v>0</v>
      </c>
    </row>
    <row r="69">
      <c r="A69" t="inlineStr">
        <is>
          <t>Cost of hay</t>
        </is>
      </c>
      <c r="B69" t="inlineStr">
        <is>
          <t>In mowing 32 acres of meadow by piece-work this year 16 shilling, at 6pence an acre.</t>
        </is>
      </c>
      <c r="C69" t="n">
        <v>0.83</v>
      </c>
      <c r="D69" t="n">
        <v>0</v>
      </c>
      <c r="E69" t="n">
        <v>16</v>
      </c>
      <c r="F69" t="n">
        <v>6</v>
      </c>
      <c r="H69" t="n">
        <v>0</v>
      </c>
      <c r="I69" t="n">
        <v>0</v>
      </c>
      <c r="J69" t="n">
        <v>0</v>
      </c>
      <c r="K69" t="n">
        <v>0</v>
      </c>
      <c r="L69" t="n">
        <v>0</v>
      </c>
      <c r="M69" t="n">
        <v>0</v>
      </c>
      <c r="N69" t="n">
        <v>0</v>
      </c>
    </row>
    <row r="70">
      <c r="A70" t="inlineStr">
        <is>
          <t>Cost of hay</t>
        </is>
      </c>
      <c r="B70" t="inlineStr">
        <is>
          <t>.</t>
        </is>
      </c>
      <c r="C70" t="n">
        <v>0</v>
      </c>
      <c r="D70" t="n">
        <v>0</v>
      </c>
      <c r="E70" t="n">
        <v>0</v>
      </c>
      <c r="F70" t="n">
        <v>0</v>
      </c>
      <c r="H70" t="n">
        <v>0</v>
      </c>
      <c r="I70" t="n">
        <v>0</v>
      </c>
      <c r="J70" t="n">
        <v>0</v>
      </c>
      <c r="K70" t="n">
        <v>0</v>
      </c>
      <c r="L70" t="n">
        <v>0</v>
      </c>
      <c r="M70" t="n">
        <v>0</v>
      </c>
      <c r="N70" t="n">
        <v>0</v>
      </c>
    </row>
    <row r="71">
      <c r="A71" t="inlineStr">
        <is>
          <t>Cost of hay</t>
        </is>
      </c>
      <c r="B71" t="inlineStr">
        <is>
          <t>spreading the said hay 1 shilling 6pence.</t>
        </is>
      </c>
      <c r="C71" t="n">
        <v>0.08</v>
      </c>
      <c r="D71" t="n">
        <v>0</v>
      </c>
      <c r="E71" t="n">
        <v>1</v>
      </c>
      <c r="F71" t="n">
        <v>6</v>
      </c>
      <c r="H71" t="n">
        <v>0</v>
      </c>
      <c r="I71" t="n">
        <v>0</v>
      </c>
      <c r="J71" t="n">
        <v>0</v>
      </c>
      <c r="K71" t="n">
        <v>0</v>
      </c>
      <c r="L71" t="n">
        <v>0</v>
      </c>
      <c r="M71" t="n">
        <v>0</v>
      </c>
      <c r="N71" t="n">
        <v>0</v>
      </c>
    </row>
    <row r="72">
      <c r="A72" t="inlineStr">
        <is>
          <t>Cost of hay</t>
        </is>
      </c>
      <c r="B72" t="inlineStr">
        <is>
          <t>haulage and porterage from the water to the land 8 shilling 6pence.</t>
        </is>
      </c>
      <c r="C72" t="n">
        <v>0.43</v>
      </c>
      <c r="D72" t="n">
        <v>0</v>
      </c>
      <c r="E72" t="n">
        <v>8</v>
      </c>
      <c r="F72" t="n">
        <v>6</v>
      </c>
      <c r="H72" t="n">
        <v>0</v>
      </c>
      <c r="I72" t="n">
        <v>0</v>
      </c>
      <c r="J72" t="n">
        <v>0</v>
      </c>
      <c r="K72" t="n">
        <v>0</v>
      </c>
      <c r="L72" t="n">
        <v>0</v>
      </c>
      <c r="M72" t="n">
        <v>0</v>
      </c>
      <c r="N72" t="n">
        <v>0</v>
      </c>
    </row>
    <row r="73">
      <c r="A73" t="inlineStr">
        <is>
          <t>Cost of hay</t>
        </is>
      </c>
      <c r="B73" t="inlineStr">
        <is>
          <t>tossing the said hay and making haycocks therefrom 16 shilling.</t>
        </is>
      </c>
      <c r="C73" t="n">
        <v>0.8</v>
      </c>
      <c r="D73" t="n">
        <v>0</v>
      </c>
      <c r="E73" t="n">
        <v>16</v>
      </c>
      <c r="F73" t="n">
        <v>0</v>
      </c>
      <c r="H73" t="n">
        <v>0</v>
      </c>
      <c r="I73" t="n">
        <v>0</v>
      </c>
      <c r="J73" t="n">
        <v>0</v>
      </c>
      <c r="K73" t="n">
        <v>0</v>
      </c>
      <c r="L73" t="n">
        <v>0</v>
      </c>
      <c r="M73" t="n">
        <v>0</v>
      </c>
      <c r="N73" t="n">
        <v>0</v>
      </c>
    </row>
    <row r="74">
      <c r="A74" t="inlineStr">
        <is>
          <t>Cost of hay</t>
        </is>
      </c>
      <c r="B74" t="inlineStr">
        <is>
          <t>carrying the said hay to the curia this year £2 2 shilling 6pence.</t>
        </is>
      </c>
      <c r="C74" t="n">
        <v>2.12</v>
      </c>
      <c r="D74" t="n">
        <v>2</v>
      </c>
      <c r="E74" t="n">
        <v>2</v>
      </c>
      <c r="F74" t="n">
        <v>6</v>
      </c>
      <c r="H74" t="n">
        <v>0</v>
      </c>
      <c r="I74" t="n">
        <v>0</v>
      </c>
      <c r="J74" t="n">
        <v>0</v>
      </c>
      <c r="K74" t="n">
        <v>0</v>
      </c>
      <c r="L74" t="n">
        <v>0</v>
      </c>
      <c r="M74" t="n">
        <v>0</v>
      </c>
      <c r="N74" t="n">
        <v>0</v>
      </c>
    </row>
    <row r="75">
      <c r="A75" t="inlineStr">
        <is>
          <t>Cost of hay</t>
        </is>
      </c>
      <c r="B75" t="inlineStr">
        <is>
          <t>mowing 18 acres of rowen meadow 7 shilling 6pence, at 5pence an acre.</t>
        </is>
      </c>
      <c r="C75" t="n">
        <v>0.38</v>
      </c>
      <c r="D75" t="n">
        <v>0</v>
      </c>
      <c r="E75" t="n">
        <v>7</v>
      </c>
      <c r="F75" t="n">
        <v>6</v>
      </c>
      <c r="H75" t="n">
        <v>0</v>
      </c>
      <c r="I75" t="n">
        <v>0</v>
      </c>
      <c r="J75" t="n">
        <v>0</v>
      </c>
      <c r="K75" t="n">
        <v>0</v>
      </c>
      <c r="L75" t="n">
        <v>0</v>
      </c>
      <c r="M75" t="n">
        <v>0</v>
      </c>
      <c r="N75" t="n">
        <v>0</v>
      </c>
    </row>
    <row r="76">
      <c r="A76" t="inlineStr">
        <is>
          <t>Cost of hay</t>
        </is>
      </c>
      <c r="B76" t="inlineStr">
        <is>
          <t>.</t>
        </is>
      </c>
      <c r="C76" t="n">
        <v>0</v>
      </c>
      <c r="D76" t="n">
        <v>0</v>
      </c>
      <c r="E76" t="n">
        <v>0</v>
      </c>
      <c r="F76" t="n">
        <v>0</v>
      </c>
      <c r="H76" t="n">
        <v>0</v>
      </c>
      <c r="I76" t="n">
        <v>0</v>
      </c>
      <c r="J76" t="n">
        <v>0</v>
      </c>
      <c r="K76" t="n">
        <v>0</v>
      </c>
      <c r="L76" t="n">
        <v>0</v>
      </c>
      <c r="M76" t="n">
        <v>0</v>
      </c>
      <c r="N76" t="n">
        <v>0</v>
      </c>
    </row>
    <row r="77">
      <c r="A77" t="inlineStr">
        <is>
          <t>Cost of hay</t>
        </is>
      </c>
      <c r="B77" t="inlineStr">
        <is>
          <t>tedding 9pence.</t>
        </is>
      </c>
      <c r="C77" t="n">
        <v>0.04</v>
      </c>
      <c r="D77" t="n">
        <v>0</v>
      </c>
      <c r="E77" t="n">
        <v>0</v>
      </c>
      <c r="F77" t="n">
        <v>9</v>
      </c>
      <c r="H77" t="n">
        <v>0</v>
      </c>
      <c r="I77" t="n">
        <v>0</v>
      </c>
      <c r="J77" t="n">
        <v>0</v>
      </c>
      <c r="K77" t="n">
        <v>0</v>
      </c>
      <c r="L77" t="n">
        <v>0</v>
      </c>
      <c r="M77" t="n">
        <v>0</v>
      </c>
      <c r="N77" t="n">
        <v>0</v>
      </c>
    </row>
    <row r="78">
      <c r="A78" t="inlineStr">
        <is>
          <t>Cost of hay</t>
        </is>
      </c>
      <c r="B78" t="inlineStr">
        <is>
          <t>the haulage and porterage of the aforesaid hay 7 shilling 6pence.</t>
        </is>
      </c>
      <c r="C78" t="n">
        <v>0.38</v>
      </c>
      <c r="D78" t="n">
        <v>0</v>
      </c>
      <c r="E78" t="n">
        <v>7</v>
      </c>
      <c r="F78" t="n">
        <v>6</v>
      </c>
      <c r="H78" t="n">
        <v>0</v>
      </c>
      <c r="I78" t="n">
        <v>0</v>
      </c>
      <c r="J78" t="n">
        <v>0</v>
      </c>
      <c r="K78" t="n">
        <v>0</v>
      </c>
      <c r="L78" t="n">
        <v>0</v>
      </c>
      <c r="M78" t="n">
        <v>0</v>
      </c>
      <c r="N78" t="n">
        <v>0</v>
      </c>
    </row>
    <row r="79">
      <c r="A79" t="inlineStr">
        <is>
          <t>Cost of hay</t>
        </is>
      </c>
      <c r="B79" t="inlineStr">
        <is>
          <t>tossing the said hay and making haycocks therefrom 14 shilling Total, £5 14 shilling 6pence</t>
        </is>
      </c>
      <c r="C79" t="n">
        <v>5.73</v>
      </c>
      <c r="D79" t="n">
        <v>5</v>
      </c>
      <c r="E79" t="n">
        <v>14</v>
      </c>
      <c r="F79" t="n">
        <v>6</v>
      </c>
      <c r="H79" t="n">
        <v>0</v>
      </c>
      <c r="I79" t="n">
        <v>0</v>
      </c>
      <c r="J79" t="n">
        <v>0</v>
      </c>
      <c r="K79" t="n">
        <v>0</v>
      </c>
      <c r="L79" t="n">
        <v>0</v>
      </c>
      <c r="M79" t="n">
        <v>0</v>
      </c>
      <c r="N79" t="n">
        <v>0</v>
      </c>
    </row>
    <row r="80">
      <c r="A80" t="inlineStr">
        <is>
          <t>Small expenses</t>
        </is>
      </c>
      <c r="B80" t="inlineStr">
        <is>
          <t>In quittance of tithe of the said meadow next to the chapel of the blessed Margaret 6 shilling 8pence.</t>
        </is>
      </c>
      <c r="C80" t="n">
        <v>0.33</v>
      </c>
      <c r="D80" t="n">
        <v>0</v>
      </c>
      <c r="E80" t="n">
        <v>6</v>
      </c>
      <c r="F80" t="n">
        <v>8</v>
      </c>
      <c r="H80" t="n">
        <v>0</v>
      </c>
      <c r="I80" t="n">
        <v>0</v>
      </c>
      <c r="J80" t="n">
        <v>0</v>
      </c>
      <c r="K80" t="n">
        <v>0</v>
      </c>
      <c r="L80" t="n">
        <v>0</v>
      </c>
      <c r="M80" t="n">
        <v>0</v>
      </c>
      <c r="N80" t="n">
        <v>0</v>
      </c>
    </row>
    <row r="81">
      <c r="A81" t="inlineStr">
        <is>
          <t>Small expenses</t>
        </is>
      </c>
      <c r="B81" t="inlineStr">
        <is>
          <t>tithe for the garden 2 shilling.</t>
        </is>
      </c>
      <c r="C81" t="n">
        <v>0.1</v>
      </c>
      <c r="D81" t="n">
        <v>0</v>
      </c>
      <c r="E81" t="n">
        <v>2</v>
      </c>
      <c r="F81" t="n">
        <v>0</v>
      </c>
      <c r="H81" t="n">
        <v>0</v>
      </c>
      <c r="I81" t="n">
        <v>0</v>
      </c>
      <c r="J81" t="n">
        <v>0</v>
      </c>
      <c r="K81" t="n">
        <v>0</v>
      </c>
      <c r="L81" t="n">
        <v>0</v>
      </c>
      <c r="M81" t="n">
        <v>0</v>
      </c>
      <c r="N81" t="n">
        <v>0</v>
      </c>
    </row>
    <row r="82">
      <c r="A82" t="inlineStr">
        <is>
          <t>Small expenses</t>
        </is>
      </c>
      <c r="B82" t="inlineStr">
        <is>
          <t>removing hay from behind the hall to the palfreys' stable by order of the bishop 9 shilling.</t>
        </is>
      </c>
      <c r="C82" t="n">
        <v>0.45</v>
      </c>
      <c r="D82" t="n">
        <v>0</v>
      </c>
      <c r="E82" t="n">
        <v>9</v>
      </c>
      <c r="F82" t="n">
        <v>0</v>
      </c>
      <c r="H82" t="n">
        <v>0</v>
      </c>
      <c r="I82" t="n">
        <v>0</v>
      </c>
      <c r="J82" t="n">
        <v>0</v>
      </c>
      <c r="K82" t="n">
        <v>0</v>
      </c>
      <c r="L82" t="n">
        <v>0</v>
      </c>
      <c r="M82" t="n">
        <v>0</v>
      </c>
      <c r="N82" t="n">
        <v>0</v>
      </c>
    </row>
    <row r="83">
      <c r="A83" t="inlineStr">
        <is>
          <t>Small expenses</t>
        </is>
      </c>
      <c r="B83" t="inlineStr">
        <is>
          <t>2 weys of lead bought for the guttering of the bishop's chamber 8 shilling.</t>
        </is>
      </c>
      <c r="C83" t="n">
        <v>0.4</v>
      </c>
      <c r="D83" t="n">
        <v>0</v>
      </c>
      <c r="E83" t="n">
        <v>8</v>
      </c>
      <c r="F83" t="n">
        <v>0</v>
      </c>
      <c r="H83" t="n">
        <v>0</v>
      </c>
      <c r="I83" t="n">
        <v>0</v>
      </c>
      <c r="J83" t="n">
        <v>0</v>
      </c>
      <c r="K83" t="n">
        <v>0</v>
      </c>
      <c r="L83" t="n">
        <v>0</v>
      </c>
      <c r="M83" t="n">
        <v>0</v>
      </c>
      <c r="N83" t="n">
        <v>0</v>
      </c>
    </row>
    <row r="84">
      <c r="A84" t="inlineStr">
        <is>
          <t>Small expenses</t>
        </is>
      </c>
      <c r="B84" t="inlineStr">
        <is>
          <t>1 man making the aforesaid gutters for 6 days 3 shilling, and for his mate 2 shilling.</t>
        </is>
      </c>
      <c r="C84" t="n">
        <v>0.15</v>
      </c>
      <c r="D84" t="n">
        <v>0</v>
      </c>
      <c r="E84" t="n">
        <v>3</v>
      </c>
      <c r="F84" t="n">
        <v>0</v>
      </c>
      <c r="H84" t="n">
        <v>0</v>
      </c>
      <c r="I84" t="n">
        <v>0</v>
      </c>
      <c r="J84" t="n">
        <v>0</v>
      </c>
      <c r="K84" t="n">
        <v>0</v>
      </c>
      <c r="L84" t="n">
        <v>0</v>
      </c>
      <c r="M84" t="n">
        <v>0</v>
      </c>
      <c r="N84" t="n">
        <v>0</v>
      </c>
    </row>
    <row r="85">
      <c r="A85" t="inlineStr">
        <is>
          <t>Small expenses</t>
        </is>
      </c>
      <c r="B85" t="inlineStr">
        <is>
          <t>tin for the same 1 shilling 6pence.</t>
        </is>
      </c>
      <c r="C85" t="n">
        <v>0.08</v>
      </c>
      <c r="D85" t="n">
        <v>0</v>
      </c>
      <c r="E85" t="n">
        <v>1</v>
      </c>
      <c r="F85" t="n">
        <v>6</v>
      </c>
      <c r="H85" t="n">
        <v>0</v>
      </c>
      <c r="I85" t="n">
        <v>0</v>
      </c>
      <c r="J85" t="n">
        <v>0</v>
      </c>
      <c r="K85" t="n">
        <v>0</v>
      </c>
      <c r="L85" t="n">
        <v>0</v>
      </c>
      <c r="M85" t="n">
        <v>0</v>
      </c>
      <c r="N85" t="n">
        <v>0</v>
      </c>
    </row>
    <row r="86">
      <c r="A86" t="inlineStr">
        <is>
          <t>Small expenses</t>
        </is>
      </c>
      <c r="B86" t="inlineStr">
        <is>
          <t>3 bushels of charcoal for the same 6pence.</t>
        </is>
      </c>
      <c r="C86" t="n">
        <v>0.03</v>
      </c>
      <c r="D86" t="n">
        <v>0</v>
      </c>
      <c r="E86" t="n">
        <v>0</v>
      </c>
      <c r="F86" t="n">
        <v>6</v>
      </c>
      <c r="H86" t="n">
        <v>0</v>
      </c>
      <c r="I86" t="n">
        <v>3</v>
      </c>
      <c r="J86" t="n">
        <v>0.375</v>
      </c>
      <c r="K86" t="n">
        <v>0.375</v>
      </c>
      <c r="L86" t="n">
        <v>0</v>
      </c>
      <c r="M86" t="n">
        <v>0</v>
      </c>
      <c r="N86" t="n">
        <v>3</v>
      </c>
    </row>
    <row r="87">
      <c r="A87" t="inlineStr">
        <is>
          <t>Small expenses</t>
        </is>
      </c>
      <c r="B87" t="inlineStr">
        <is>
          <t>tallow 1.5pence.</t>
        </is>
      </c>
      <c r="C87" t="n">
        <v>0.01</v>
      </c>
      <c r="D87" t="n">
        <v>0</v>
      </c>
      <c r="E87" t="n">
        <v>0</v>
      </c>
      <c r="F87" t="n">
        <v>1.5</v>
      </c>
      <c r="H87" t="n">
        <v>0</v>
      </c>
      <c r="I87" t="n">
        <v>0</v>
      </c>
      <c r="J87" t="n">
        <v>0</v>
      </c>
      <c r="K87" t="n">
        <v>0</v>
      </c>
      <c r="L87" t="n">
        <v>0</v>
      </c>
      <c r="M87" t="n">
        <v>0</v>
      </c>
      <c r="N87" t="n">
        <v>0</v>
      </c>
    </row>
    <row r="88">
      <c r="A88" t="inlineStr">
        <is>
          <t>Small expenses</t>
        </is>
      </c>
      <c r="B88" t="inlineStr">
        <is>
          <t>1 beam (jupa) bought for the hall 1 shilling 6pence.</t>
        </is>
      </c>
      <c r="C88" t="n">
        <v>0.08</v>
      </c>
      <c r="D88" t="n">
        <v>0</v>
      </c>
      <c r="E88" t="n">
        <v>1</v>
      </c>
      <c r="F88" t="n">
        <v>6</v>
      </c>
      <c r="H88" t="n">
        <v>0</v>
      </c>
      <c r="I88" t="n">
        <v>0</v>
      </c>
      <c r="J88" t="n">
        <v>0</v>
      </c>
      <c r="K88" t="n">
        <v>0</v>
      </c>
      <c r="L88" t="n">
        <v>0</v>
      </c>
      <c r="M88" t="n">
        <v>0</v>
      </c>
      <c r="N88" t="n">
        <v>0</v>
      </c>
    </row>
    <row r="89">
      <c r="A89" t="inlineStr">
        <is>
          <t>Small expenses</t>
        </is>
      </c>
      <c r="B89" t="inlineStr">
        <is>
          <t>1 iron gudgeon for the same 8pence.</t>
        </is>
      </c>
      <c r="C89" t="n">
        <v>0.03</v>
      </c>
      <c r="D89" t="n">
        <v>0</v>
      </c>
      <c r="E89" t="n">
        <v>0</v>
      </c>
      <c r="F89" t="n">
        <v>8</v>
      </c>
      <c r="H89" t="n">
        <v>0</v>
      </c>
      <c r="I89" t="n">
        <v>0</v>
      </c>
      <c r="J89" t="n">
        <v>0</v>
      </c>
      <c r="K89" t="n">
        <v>0</v>
      </c>
      <c r="L89" t="n">
        <v>0</v>
      </c>
      <c r="M89" t="n">
        <v>0</v>
      </c>
      <c r="N89" t="n">
        <v>0</v>
      </c>
    </row>
    <row r="90">
      <c r="A90" t="inlineStr">
        <is>
          <t>Small expenses</t>
        </is>
      </c>
      <c r="B90" t="inlineStr">
        <is>
          <t>iron for the same 8pence.</t>
        </is>
      </c>
      <c r="C90" t="n">
        <v>0.03</v>
      </c>
      <c r="D90" t="n">
        <v>0</v>
      </c>
      <c r="E90" t="n">
        <v>0</v>
      </c>
      <c r="F90" t="n">
        <v>8</v>
      </c>
      <c r="H90" t="n">
        <v>0</v>
      </c>
      <c r="I90" t="n">
        <v>0</v>
      </c>
      <c r="J90" t="n">
        <v>0</v>
      </c>
      <c r="K90" t="n">
        <v>0</v>
      </c>
      <c r="L90" t="n">
        <v>0</v>
      </c>
      <c r="M90" t="n">
        <v>0</v>
      </c>
      <c r="N90" t="n">
        <v>0</v>
      </c>
    </row>
    <row r="91">
      <c r="A91" t="inlineStr">
        <is>
          <t>Small expenses</t>
        </is>
      </c>
      <c r="B91" t="inlineStr">
        <is>
          <t>carpentry for the same 1 shilling.</t>
        </is>
      </c>
      <c r="C91" t="n">
        <v>0.05</v>
      </c>
      <c r="D91" t="n">
        <v>0</v>
      </c>
      <c r="E91" t="n">
        <v>1</v>
      </c>
      <c r="F91" t="n">
        <v>0</v>
      </c>
      <c r="H91" t="n">
        <v>0</v>
      </c>
      <c r="I91" t="n">
        <v>0</v>
      </c>
      <c r="J91" t="n">
        <v>0</v>
      </c>
      <c r="K91" t="n">
        <v>0</v>
      </c>
      <c r="L91" t="n">
        <v>0</v>
      </c>
      <c r="M91" t="n">
        <v>0</v>
      </c>
      <c r="N91" t="n">
        <v>0</v>
      </c>
    </row>
    <row r="92">
      <c r="A92" t="inlineStr">
        <is>
          <t>Small expenses</t>
        </is>
      </c>
      <c r="B92" t="inlineStr">
        <is>
          <t>3 locks bought for the bishop's gates 10pence Total, £1 16 shilling 9.5pence</t>
        </is>
      </c>
      <c r="C92" t="n">
        <v>1.84</v>
      </c>
      <c r="D92" t="n">
        <v>1</v>
      </c>
      <c r="E92" t="n">
        <v>16</v>
      </c>
      <c r="F92" t="n">
        <v>9.5</v>
      </c>
      <c r="H92" t="n">
        <v>0</v>
      </c>
      <c r="I92" t="n">
        <v>0</v>
      </c>
      <c r="J92" t="n">
        <v>0</v>
      </c>
      <c r="K92" t="n">
        <v>0</v>
      </c>
      <c r="L92" t="n">
        <v>0</v>
      </c>
      <c r="M92" t="n">
        <v>0</v>
      </c>
      <c r="N92" t="n">
        <v>0</v>
      </c>
    </row>
    <row r="93">
      <c r="A93" t="inlineStr">
        <is>
          <t>Wages and fees</t>
        </is>
      </c>
      <c r="B93" t="inlineStr">
        <is>
          <t>In fee of the bailiff for the year £5..</t>
        </is>
      </c>
      <c r="C93" t="n">
        <v>5</v>
      </c>
      <c r="D93" t="n">
        <v>5</v>
      </c>
      <c r="E93" t="n">
        <v>0</v>
      </c>
      <c r="F93" t="n">
        <v>0</v>
      </c>
      <c r="H93" t="n">
        <v>0</v>
      </c>
      <c r="I93" t="n">
        <v>0</v>
      </c>
      <c r="J93" t="n">
        <v>0</v>
      </c>
      <c r="K93" t="n">
        <v>0</v>
      </c>
      <c r="L93" t="n">
        <v>0</v>
      </c>
      <c r="M93" t="n">
        <v>0</v>
      </c>
      <c r="N93" t="n">
        <v>0</v>
      </c>
    </row>
    <row r="94">
      <c r="A94" t="inlineStr">
        <is>
          <t>Wages and fees</t>
        </is>
      </c>
      <c r="B94" t="inlineStr">
        <is>
          <t>wages of 1 door-keeper for the year 15 shilling 2.5pence, at .5pence a day.</t>
        </is>
      </c>
      <c r="C94" t="n">
        <v>0.76</v>
      </c>
      <c r="D94" t="n">
        <v>0</v>
      </c>
      <c r="E94" t="n">
        <v>15</v>
      </c>
      <c r="F94" t="n">
        <v>2.5</v>
      </c>
      <c r="H94" t="n">
        <v>0</v>
      </c>
      <c r="I94" t="n">
        <v>0</v>
      </c>
      <c r="J94" t="n">
        <v>0</v>
      </c>
      <c r="K94" t="n">
        <v>0</v>
      </c>
      <c r="L94" t="n">
        <v>0</v>
      </c>
      <c r="M94" t="n">
        <v>0</v>
      </c>
      <c r="N94" t="n">
        <v>0</v>
      </c>
    </row>
    <row r="95">
      <c r="A95" t="inlineStr">
        <is>
          <t>Wages and fees</t>
        </is>
      </c>
      <c r="B95" t="inlineStr">
        <is>
          <t>.</t>
        </is>
      </c>
      <c r="C95" t="n">
        <v>0</v>
      </c>
      <c r="D95" t="n">
        <v>0</v>
      </c>
      <c r="E95" t="n">
        <v>0</v>
      </c>
      <c r="F95" t="n">
        <v>0</v>
      </c>
      <c r="H95" t="n">
        <v>0</v>
      </c>
      <c r="I95" t="n">
        <v>0</v>
      </c>
      <c r="J95" t="n">
        <v>0</v>
      </c>
      <c r="K95" t="n">
        <v>0</v>
      </c>
      <c r="L95" t="n">
        <v>0</v>
      </c>
      <c r="M95" t="n">
        <v>0</v>
      </c>
      <c r="N95" t="n">
        <v>0</v>
      </c>
    </row>
    <row r="96">
      <c r="A96" t="inlineStr">
        <is>
          <t>Wages and fees</t>
        </is>
      </c>
      <c r="B96" t="inlineStr">
        <is>
          <t>2 furs for the bailiff 6 shilling Total, £6 1 shilling 2.5pence</t>
        </is>
      </c>
      <c r="C96" t="n">
        <v>6.06</v>
      </c>
      <c r="D96" t="n">
        <v>6</v>
      </c>
      <c r="E96" t="n">
        <v>1</v>
      </c>
      <c r="F96" t="n">
        <v>2.5</v>
      </c>
      <c r="H96" t="n">
        <v>0</v>
      </c>
      <c r="I96" t="n">
        <v>0</v>
      </c>
      <c r="J96" t="n">
        <v>0</v>
      </c>
      <c r="K96" t="n">
        <v>0</v>
      </c>
      <c r="L96" t="n">
        <v>0</v>
      </c>
      <c r="M96" t="n">
        <v>0</v>
      </c>
      <c r="N96" t="n">
        <v>0</v>
      </c>
    </row>
    <row r="97">
      <c r="A97" t="inlineStr">
        <is>
          <t>Payment of rents</t>
        </is>
      </c>
      <c r="B97" t="inlineStr">
        <is>
          <t>The same paid £3 3 shilling 4pence to Bermondsey for the rents of assize at Easter.</t>
        </is>
      </c>
      <c r="C97" t="n">
        <v>3.17</v>
      </c>
      <c r="D97" t="n">
        <v>3</v>
      </c>
      <c r="E97" t="n">
        <v>3</v>
      </c>
      <c r="F97" t="n">
        <v>4</v>
      </c>
      <c r="H97" t="n">
        <v>0</v>
      </c>
      <c r="I97" t="n">
        <v>0</v>
      </c>
      <c r="J97" t="n">
        <v>0</v>
      </c>
      <c r="K97" t="n">
        <v>0</v>
      </c>
      <c r="L97" t="n">
        <v>0</v>
      </c>
      <c r="M97" t="n">
        <v>0</v>
      </c>
      <c r="N97" t="n">
        <v>0</v>
      </c>
    </row>
    <row r="98">
      <c r="A98" t="inlineStr">
        <is>
          <t>Payment of rents</t>
        </is>
      </c>
      <c r="B98" t="inlineStr">
        <is>
          <t>£3 3 shilling 4pence at Michaelmas.</t>
        </is>
      </c>
      <c r="C98" t="n">
        <v>3.17</v>
      </c>
      <c r="D98" t="n">
        <v>3</v>
      </c>
      <c r="E98" t="n">
        <v>3</v>
      </c>
      <c r="F98" t="n">
        <v>4</v>
      </c>
      <c r="H98" t="n">
        <v>0</v>
      </c>
      <c r="I98" t="n">
        <v>0</v>
      </c>
      <c r="J98" t="n">
        <v>0</v>
      </c>
      <c r="K98" t="n">
        <v>0</v>
      </c>
      <c r="L98" t="n">
        <v>0</v>
      </c>
      <c r="M98" t="n">
        <v>0</v>
      </c>
      <c r="N98" t="n">
        <v>0</v>
      </c>
    </row>
    <row r="99">
      <c r="A99" t="inlineStr">
        <is>
          <t>Payment of rents</t>
        </is>
      </c>
      <c r="B99" t="inlineStr">
        <is>
          <t>Total, £6 6 shilling 8pence</t>
        </is>
      </c>
      <c r="C99" t="n">
        <v>6.33</v>
      </c>
      <c r="D99" t="n">
        <v>6</v>
      </c>
      <c r="E99" t="n">
        <v>6</v>
      </c>
      <c r="F99" t="n">
        <v>8</v>
      </c>
      <c r="H99" t="n">
        <v>0</v>
      </c>
      <c r="I99" t="n">
        <v>0</v>
      </c>
      <c r="J99" t="n">
        <v>0</v>
      </c>
      <c r="K99" t="n">
        <v>0</v>
      </c>
      <c r="L99" t="n">
        <v>0</v>
      </c>
      <c r="M99" t="n">
        <v>0</v>
      </c>
      <c r="N99" t="n">
        <v>0</v>
      </c>
    </row>
    <row r="100">
      <c r="A100" t="inlineStr">
        <is>
          <t>Total of all expenses</t>
        </is>
      </c>
      <c r="B100" t="inlineStr">
        <is>
          <t>Total of all expenses, £23 11 shilling 4.5pence</t>
        </is>
      </c>
      <c r="C100" t="n">
        <v>23.57</v>
      </c>
      <c r="D100" t="n">
        <v>23</v>
      </c>
      <c r="E100" t="n">
        <v>11</v>
      </c>
      <c r="F100" t="n">
        <v>4.5</v>
      </c>
      <c r="H100" t="n">
        <v>0</v>
      </c>
      <c r="I100" t="n">
        <v>0</v>
      </c>
      <c r="J100" t="n">
        <v>0</v>
      </c>
      <c r="K100" t="n">
        <v>0</v>
      </c>
      <c r="L100" t="n">
        <v>0</v>
      </c>
      <c r="M100" t="n">
        <v>0</v>
      </c>
      <c r="N100" t="n">
        <v>0</v>
      </c>
    </row>
    <row r="101">
      <c r="A101" t="inlineStr">
        <is>
          <t>Total of all expenses</t>
        </is>
      </c>
      <c r="B101" t="inlineStr">
        <is>
          <t>And he owes, £4 4 shilling 5.5pence And he owes it all clear.</t>
        </is>
      </c>
      <c r="C101" t="n">
        <v>4.22</v>
      </c>
      <c r="D101" t="n">
        <v>4</v>
      </c>
      <c r="E101" t="n">
        <v>4</v>
      </c>
      <c r="F101" t="n">
        <v>5.5</v>
      </c>
      <c r="H101" t="n">
        <v>0</v>
      </c>
      <c r="I101" t="n">
        <v>0</v>
      </c>
      <c r="J101" t="n">
        <v>0</v>
      </c>
      <c r="K101" t="n">
        <v>0</v>
      </c>
      <c r="L101" t="n">
        <v>0</v>
      </c>
      <c r="M101" t="n">
        <v>0</v>
      </c>
      <c r="N101" t="n">
        <v>0</v>
      </c>
    </row>
    <row r="102">
      <c r="A102" t="inlineStr">
        <is>
          <t>Wheat</t>
        </is>
      </c>
      <c r="B102" t="inlineStr">
        <is>
          <t>The same render account for.36 quarters 5 bushels of wheat from the issue of the mill by 1 tally against John le Fennere and John Molendinarius.</t>
        </is>
      </c>
      <c r="C102" t="n">
        <v>0</v>
      </c>
      <c r="D102" t="n">
        <v>0</v>
      </c>
      <c r="E102" t="n">
        <v>0</v>
      </c>
      <c r="F102" t="n">
        <v>0</v>
      </c>
      <c r="G102" t="inlineStr">
        <is>
          <t>wheat</t>
        </is>
      </c>
      <c r="H102" t="n">
        <v>36</v>
      </c>
      <c r="I102" t="n">
        <v>5</v>
      </c>
      <c r="J102" t="n">
        <v>36.625</v>
      </c>
      <c r="K102" t="n">
        <v>36.625</v>
      </c>
      <c r="L102" t="n">
        <v>0</v>
      </c>
      <c r="M102" t="n">
        <v>36</v>
      </c>
      <c r="N102" t="n">
        <v>5</v>
      </c>
    </row>
    <row r="103">
      <c r="A103" t="inlineStr">
        <is>
          <t>Wheat</t>
        </is>
      </c>
      <c r="B103" t="inlineStr">
        <is>
          <t>Total, 36 quarters 5 bushels.</t>
        </is>
      </c>
      <c r="C103" t="n">
        <v>0</v>
      </c>
      <c r="D103" t="n">
        <v>0</v>
      </c>
      <c r="E103" t="n">
        <v>0</v>
      </c>
      <c r="F103" t="n">
        <v>0</v>
      </c>
      <c r="H103" t="n">
        <v>36</v>
      </c>
      <c r="I103" t="n">
        <v>5</v>
      </c>
      <c r="J103" t="n">
        <v>36.625</v>
      </c>
      <c r="K103" t="n">
        <v>36.625</v>
      </c>
      <c r="L103" t="n">
        <v>0</v>
      </c>
      <c r="M103" t="n">
        <v>36</v>
      </c>
      <c r="N103" t="n">
        <v>5</v>
      </c>
    </row>
    <row r="104">
      <c r="A104" t="inlineStr">
        <is>
          <t>Wheat</t>
        </is>
      </c>
      <c r="B104" t="inlineStr">
        <is>
          <t>tithe, 3 quarters 5 bushels Delivered to 1 miller and 1 man driving 1 mill-horse for the year, 13 quarters.</t>
        </is>
      </c>
      <c r="C104" t="n">
        <v>0</v>
      </c>
      <c r="D104" t="n">
        <v>0</v>
      </c>
      <c r="E104" t="n">
        <v>0</v>
      </c>
      <c r="F104" t="n">
        <v>0</v>
      </c>
      <c r="H104" t="n">
        <v>13</v>
      </c>
      <c r="I104" t="n">
        <v>5</v>
      </c>
      <c r="J104" t="n">
        <v>13.625</v>
      </c>
      <c r="K104" t="n">
        <v>3.625</v>
      </c>
      <c r="L104" t="n">
        <v>10</v>
      </c>
      <c r="M104" t="n">
        <v>3</v>
      </c>
      <c r="N104" t="n">
        <v>5</v>
      </c>
      <c r="O104" t="n">
        <v>13</v>
      </c>
      <c r="P104" t="n">
        <v>0</v>
      </c>
    </row>
    <row r="105">
      <c r="A105" t="inlineStr">
        <is>
          <t>Wheat</t>
        </is>
      </c>
      <c r="B105" t="inlineStr">
        <is>
          <t>Sold as noted within (ut infra), 20 quarters.</t>
        </is>
      </c>
      <c r="C105" t="n">
        <v>0</v>
      </c>
      <c r="D105" t="n">
        <v>0</v>
      </c>
      <c r="E105" t="n">
        <v>0</v>
      </c>
      <c r="F105" t="n">
        <v>0</v>
      </c>
      <c r="H105" t="n">
        <v>20</v>
      </c>
      <c r="I105" t="n">
        <v>0</v>
      </c>
      <c r="J105" t="n">
        <v>20</v>
      </c>
      <c r="K105" t="n">
        <v>20</v>
      </c>
      <c r="L105" t="n">
        <v>0</v>
      </c>
      <c r="M105" t="n">
        <v>20</v>
      </c>
      <c r="N105" t="n">
        <v>0</v>
      </c>
    </row>
    <row r="106">
      <c r="A106" t="inlineStr">
        <is>
          <t>Wheat</t>
        </is>
      </c>
      <c r="B106" t="inlineStr">
        <is>
          <t>Total as above.</t>
        </is>
      </c>
      <c r="C106" t="n">
        <v>0</v>
      </c>
      <c r="D106" t="n">
        <v>0</v>
      </c>
      <c r="E106" t="n">
        <v>0</v>
      </c>
      <c r="F106" t="n">
        <v>0</v>
      </c>
      <c r="H106" t="n">
        <v>0</v>
      </c>
      <c r="I106" t="n">
        <v>0</v>
      </c>
      <c r="J106" t="n">
        <v>0</v>
      </c>
      <c r="K106" t="n">
        <v>0</v>
      </c>
      <c r="L106" t="n">
        <v>0</v>
      </c>
      <c r="M106" t="n">
        <v>0</v>
      </c>
      <c r="N106" t="n">
        <v>0</v>
      </c>
    </row>
    <row r="107">
      <c r="A107" t="inlineStr">
        <is>
          <t>Wheat</t>
        </is>
      </c>
      <c r="B107" t="inlineStr">
        <is>
          <t>It balances.</t>
        </is>
      </c>
      <c r="C107" t="n">
        <v>0</v>
      </c>
      <c r="D107" t="n">
        <v>0</v>
      </c>
      <c r="E107" t="n">
        <v>0</v>
      </c>
      <c r="F107" t="n">
        <v>0</v>
      </c>
      <c r="H107" t="n">
        <v>0</v>
      </c>
      <c r="I107" t="n">
        <v>0</v>
      </c>
      <c r="J107" t="n">
        <v>0</v>
      </c>
      <c r="K107" t="n">
        <v>0</v>
      </c>
      <c r="L107" t="n">
        <v>0</v>
      </c>
      <c r="M107" t="n">
        <v>0</v>
      </c>
      <c r="N107" t="n">
        <v>0</v>
      </c>
    </row>
    <row r="108">
      <c r="A108" t="inlineStr">
        <is>
          <t>Maslin</t>
        </is>
      </c>
      <c r="B108" t="inlineStr">
        <is>
          <t>The same render account for 9 quarters 3 bushels of marlin from the issue of the mill by tally against the aforesaipence Total, 9 quarters 3 bushels</t>
        </is>
      </c>
      <c r="C108" t="n">
        <v>0</v>
      </c>
      <c r="D108" t="n">
        <v>0</v>
      </c>
      <c r="E108" t="n">
        <v>0</v>
      </c>
      <c r="F108" t="n">
        <v>0</v>
      </c>
      <c r="H108" t="n">
        <v>9</v>
      </c>
      <c r="I108" t="n">
        <v>3</v>
      </c>
      <c r="J108" t="n">
        <v>9.375</v>
      </c>
      <c r="K108" t="n">
        <v>9.375</v>
      </c>
      <c r="L108" t="n">
        <v>0</v>
      </c>
      <c r="M108" t="n">
        <v>9</v>
      </c>
      <c r="N108" t="n">
        <v>3</v>
      </c>
      <c r="O108" t="n">
        <v>9</v>
      </c>
      <c r="P108" t="n">
        <v>3</v>
      </c>
    </row>
    <row r="109">
      <c r="A109" t="inlineStr">
        <is>
          <t>Maslin</t>
        </is>
      </c>
      <c r="B109" t="inlineStr">
        <is>
          <t>In tithe, 7 bushels Sold as noted within, 8 quarters 4 bushels Total as above.</t>
        </is>
      </c>
      <c r="C109" t="n">
        <v>0</v>
      </c>
      <c r="D109" t="n">
        <v>0</v>
      </c>
      <c r="E109" t="n">
        <v>0</v>
      </c>
      <c r="F109" t="n">
        <v>0</v>
      </c>
      <c r="H109" t="n">
        <v>8</v>
      </c>
      <c r="I109" t="n">
        <v>4</v>
      </c>
      <c r="J109" t="n">
        <v>8.5</v>
      </c>
      <c r="K109" t="n">
        <v>0.875</v>
      </c>
      <c r="L109" t="n">
        <v>7.625</v>
      </c>
      <c r="M109" t="n">
        <v>0</v>
      </c>
      <c r="N109" t="n">
        <v>7</v>
      </c>
      <c r="O109" t="n">
        <v>8</v>
      </c>
      <c r="P109" t="n">
        <v>4</v>
      </c>
    </row>
    <row r="110">
      <c r="A110" t="inlineStr">
        <is>
          <t>Maslin</t>
        </is>
      </c>
      <c r="B110" t="inlineStr">
        <is>
          <t>It balances.</t>
        </is>
      </c>
      <c r="C110" t="n">
        <v>0</v>
      </c>
      <c r="D110" t="n">
        <v>0</v>
      </c>
      <c r="E110" t="n">
        <v>0</v>
      </c>
      <c r="F110" t="n">
        <v>0</v>
      </c>
      <c r="H110" t="n">
        <v>0</v>
      </c>
      <c r="I110" t="n">
        <v>0</v>
      </c>
      <c r="J110" t="n">
        <v>0</v>
      </c>
      <c r="K110" t="n">
        <v>0</v>
      </c>
      <c r="L110" t="n">
        <v>0</v>
      </c>
      <c r="M110" t="n">
        <v>0</v>
      </c>
      <c r="N110" t="n">
        <v>0</v>
      </c>
    </row>
    <row r="111">
      <c r="A111" t="inlineStr">
        <is>
          <t>Oats</t>
        </is>
      </c>
      <c r="B111" t="inlineStr">
        <is>
          <t>The same render account for 22 quarters 6 bushels of oats bought as noted within.</t>
        </is>
      </c>
      <c r="C111" t="n">
        <v>0</v>
      </c>
      <c r="D111" t="n">
        <v>0</v>
      </c>
      <c r="E111" t="n">
        <v>0</v>
      </c>
      <c r="F111" t="n">
        <v>0</v>
      </c>
      <c r="G111" t="inlineStr">
        <is>
          <t>oats</t>
        </is>
      </c>
      <c r="H111" t="n">
        <v>22</v>
      </c>
      <c r="I111" t="n">
        <v>6</v>
      </c>
      <c r="J111" t="n">
        <v>22.75</v>
      </c>
      <c r="K111" t="n">
        <v>22.75</v>
      </c>
      <c r="L111" t="n">
        <v>0</v>
      </c>
      <c r="M111" t="n">
        <v>22</v>
      </c>
      <c r="N111" t="n">
        <v>6</v>
      </c>
    </row>
    <row r="112">
      <c r="A112" t="inlineStr">
        <is>
          <t>Oats</t>
        </is>
      </c>
      <c r="B112" t="inlineStr">
        <is>
          <t>Total, 22 quarters 6 bushels All in fodder of the mill-horse.</t>
        </is>
      </c>
      <c r="C112" t="n">
        <v>0</v>
      </c>
      <c r="D112" t="n">
        <v>0</v>
      </c>
      <c r="E112" t="n">
        <v>0</v>
      </c>
      <c r="F112" t="n">
        <v>0</v>
      </c>
      <c r="H112" t="n">
        <v>22</v>
      </c>
      <c r="I112" t="n">
        <v>6</v>
      </c>
      <c r="J112" t="n">
        <v>22.75</v>
      </c>
      <c r="K112" t="n">
        <v>22.75</v>
      </c>
      <c r="L112" t="n">
        <v>0</v>
      </c>
      <c r="M112" t="n">
        <v>22</v>
      </c>
      <c r="N112" t="n">
        <v>6</v>
      </c>
    </row>
    <row r="113">
      <c r="A113" t="inlineStr">
        <is>
          <t>Oats</t>
        </is>
      </c>
      <c r="B113" t="inlineStr">
        <is>
          <t>None remains.</t>
        </is>
      </c>
      <c r="C113" t="n">
        <v>0</v>
      </c>
      <c r="D113" t="n">
        <v>0</v>
      </c>
      <c r="E113" t="n">
        <v>0</v>
      </c>
      <c r="F113" t="n">
        <v>0</v>
      </c>
      <c r="H113" t="n">
        <v>0</v>
      </c>
      <c r="I113" t="n">
        <v>0</v>
      </c>
      <c r="J113" t="n">
        <v>0</v>
      </c>
      <c r="K113" t="n">
        <v>0</v>
      </c>
      <c r="L113" t="n">
        <v>0</v>
      </c>
      <c r="M113" t="n">
        <v>0</v>
      </c>
      <c r="N113" t="n">
        <v>0</v>
      </c>
    </row>
    <row r="114">
      <c r="A114" t="inlineStr">
        <is>
          <t>Oats</t>
        </is>
      </c>
      <c r="B114" t="inlineStr">
        <is>
          <t>Horses: 1 remains.</t>
        </is>
      </c>
      <c r="C114" t="n">
        <v>0</v>
      </c>
      <c r="D114" t="n">
        <v>0</v>
      </c>
      <c r="E114" t="n">
        <v>0</v>
      </c>
      <c r="F114" t="n">
        <v>0</v>
      </c>
      <c r="H114" t="n">
        <v>0</v>
      </c>
      <c r="I114" t="n">
        <v>0</v>
      </c>
      <c r="J114" t="n">
        <v>0</v>
      </c>
      <c r="K114" t="n">
        <v>0</v>
      </c>
      <c r="L114" t="n">
        <v>0</v>
      </c>
      <c r="M114" t="n">
        <v>0</v>
      </c>
      <c r="N114" t="n">
        <v>0</v>
      </c>
    </row>
    <row r="115">
      <c r="A115" t="inlineStr">
        <is>
          <t>Oats</t>
        </is>
      </c>
      <c r="B115" t="inlineStr">
        <is>
          <t>Total, 1. 1 remains.</t>
        </is>
      </c>
      <c r="C115" t="n">
        <v>0</v>
      </c>
      <c r="D115" t="n">
        <v>0</v>
      </c>
      <c r="E115" t="n">
        <v>0</v>
      </c>
      <c r="F115" t="n">
        <v>0</v>
      </c>
      <c r="H115" t="n">
        <v>0</v>
      </c>
      <c r="I115" t="n">
        <v>0</v>
      </c>
      <c r="J115" t="n">
        <v>0</v>
      </c>
      <c r="K115" t="n">
        <v>0</v>
      </c>
      <c r="L115" t="n">
        <v>0</v>
      </c>
      <c r="M115" t="n">
        <v>0</v>
      </c>
      <c r="N11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9"/>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row>
    <row r="2">
      <c r="A2" t="inlineStr">
        <is>
          <t>Total of all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The same render account for.36 quarters 5 bushels of wheat from the issue of the mill by 1 tally against John le Fennere and John Molendinarius.</t>
        </is>
      </c>
      <c r="C3" t="n">
        <v>0</v>
      </c>
      <c r="D3" t="n">
        <v>0</v>
      </c>
      <c r="E3" t="n">
        <v>0</v>
      </c>
      <c r="F3" t="n">
        <v>0</v>
      </c>
      <c r="G3" t="n">
        <v>0</v>
      </c>
      <c r="H3" t="n">
        <v>0</v>
      </c>
      <c r="I3" t="n">
        <v>0</v>
      </c>
      <c r="J3" t="n">
        <v>0</v>
      </c>
      <c r="K3" t="n">
        <v>0</v>
      </c>
      <c r="L3" t="n">
        <v>0</v>
      </c>
      <c r="M3" t="n">
        <v>0</v>
      </c>
      <c r="N3" t="n">
        <v>0</v>
      </c>
      <c r="O3" t="n">
        <v>0</v>
      </c>
      <c r="P3" t="n">
        <v>0</v>
      </c>
      <c r="Q3" t="n">
        <v>0</v>
      </c>
      <c r="R3" t="n">
        <v>0</v>
      </c>
      <c r="S3" t="n">
        <v>0</v>
      </c>
      <c r="T3" t="n">
        <v>36</v>
      </c>
      <c r="U3" t="n">
        <v>5</v>
      </c>
      <c r="V3" t="n">
        <v>36.625</v>
      </c>
      <c r="W3" t="n">
        <v>0</v>
      </c>
      <c r="X3" t="n">
        <v>36</v>
      </c>
      <c r="Y3" t="n">
        <v>5</v>
      </c>
      <c r="Z3" t="n">
        <v>36.625</v>
      </c>
      <c r="AA3" t="n">
        <v>36.625</v>
      </c>
      <c r="AB3" t="n">
        <v>0</v>
      </c>
      <c r="AC3" t="n">
        <v>36</v>
      </c>
      <c r="AD3" t="n">
        <v>5</v>
      </c>
    </row>
    <row r="4">
      <c r="A4" t="inlineStr">
        <is>
          <t>Wheat</t>
        </is>
      </c>
      <c r="B4" t="inlineStr">
        <is>
          <t>Total, 36 quarters 5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36</v>
      </c>
      <c r="Y4" t="n">
        <v>5</v>
      </c>
      <c r="Z4" t="n">
        <v>36.625</v>
      </c>
      <c r="AA4" t="n">
        <v>36.625</v>
      </c>
      <c r="AB4" t="n">
        <v>0</v>
      </c>
      <c r="AC4" t="n">
        <v>36</v>
      </c>
      <c r="AD4" t="n">
        <v>5</v>
      </c>
    </row>
    <row r="5">
      <c r="A5" t="inlineStr">
        <is>
          <t>Wheat</t>
        </is>
      </c>
      <c r="B5" t="inlineStr">
        <is>
          <t>tithe, 3 quarters 5 bushels Delivered to 1 miller and 1 man driving 1 mill-horse for the year, 13 quarters.</t>
        </is>
      </c>
      <c r="C5" t="n">
        <v>0</v>
      </c>
      <c r="D5" t="n">
        <v>0</v>
      </c>
      <c r="E5" t="n">
        <v>0</v>
      </c>
      <c r="F5" t="n">
        <v>0</v>
      </c>
      <c r="G5" t="n">
        <v>0</v>
      </c>
      <c r="H5" t="n">
        <v>0</v>
      </c>
      <c r="I5" t="n">
        <v>0</v>
      </c>
      <c r="J5" t="n">
        <v>0</v>
      </c>
      <c r="K5" t="n">
        <v>16</v>
      </c>
      <c r="L5" t="n">
        <v>5</v>
      </c>
      <c r="M5" t="n">
        <v>16.625</v>
      </c>
      <c r="N5" t="n">
        <v>0</v>
      </c>
      <c r="O5" t="n">
        <v>0</v>
      </c>
      <c r="P5" t="n">
        <v>0</v>
      </c>
      <c r="Q5" t="n">
        <v>0</v>
      </c>
      <c r="R5" t="n">
        <v>0</v>
      </c>
      <c r="S5" t="n">
        <v>0</v>
      </c>
      <c r="T5" t="n">
        <v>0</v>
      </c>
      <c r="U5" t="n">
        <v>0</v>
      </c>
      <c r="V5" t="n">
        <v>0</v>
      </c>
      <c r="W5" t="n">
        <v>0</v>
      </c>
      <c r="X5" t="n">
        <v>13</v>
      </c>
      <c r="Y5" t="n">
        <v>5</v>
      </c>
      <c r="Z5" t="n">
        <v>13.625</v>
      </c>
      <c r="AA5" t="n">
        <v>3.625</v>
      </c>
      <c r="AB5" t="n">
        <v>10</v>
      </c>
      <c r="AC5" t="n">
        <v>3</v>
      </c>
      <c r="AD5" t="n">
        <v>5</v>
      </c>
      <c r="AE5" t="n">
        <v>13</v>
      </c>
      <c r="AF5" t="n">
        <v>0</v>
      </c>
    </row>
    <row r="6">
      <c r="A6" t="inlineStr">
        <is>
          <t>Wheat</t>
        </is>
      </c>
      <c r="B6" t="inlineStr">
        <is>
          <t>Sold as noted within (ut infra), 20 quarters.</t>
        </is>
      </c>
      <c r="C6" t="n">
        <v>0</v>
      </c>
      <c r="D6" t="n">
        <v>0</v>
      </c>
      <c r="E6" t="n">
        <v>0</v>
      </c>
      <c r="F6" t="n">
        <v>0</v>
      </c>
      <c r="G6" t="n">
        <v>0</v>
      </c>
      <c r="H6" t="n">
        <v>0</v>
      </c>
      <c r="I6" t="n">
        <v>0</v>
      </c>
      <c r="J6" t="n">
        <v>0</v>
      </c>
      <c r="K6" t="n">
        <v>0</v>
      </c>
      <c r="L6" t="n">
        <v>0</v>
      </c>
      <c r="M6" t="n">
        <v>0</v>
      </c>
      <c r="N6" t="n">
        <v>0</v>
      </c>
      <c r="O6" t="n">
        <v>0</v>
      </c>
      <c r="P6" t="n">
        <v>0</v>
      </c>
      <c r="Q6" t="n">
        <v>20</v>
      </c>
      <c r="R6" t="n">
        <v>0</v>
      </c>
      <c r="S6" t="n">
        <v>20</v>
      </c>
      <c r="T6" t="n">
        <v>0</v>
      </c>
      <c r="U6" t="n">
        <v>0</v>
      </c>
      <c r="V6" t="n">
        <v>0</v>
      </c>
      <c r="W6" t="n">
        <v>0</v>
      </c>
      <c r="X6" t="n">
        <v>20</v>
      </c>
      <c r="Y6" t="n">
        <v>0</v>
      </c>
      <c r="Z6" t="n">
        <v>20</v>
      </c>
      <c r="AA6" t="n">
        <v>20</v>
      </c>
      <c r="AB6" t="n">
        <v>0</v>
      </c>
      <c r="AC6" t="n">
        <v>20</v>
      </c>
      <c r="AD6" t="n">
        <v>0</v>
      </c>
    </row>
    <row r="7">
      <c r="A7" t="inlineStr">
        <is>
          <t>Wheat</t>
        </is>
      </c>
      <c r="B7" t="inlineStr">
        <is>
          <t>Total as above.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Wheat</t>
        </is>
      </c>
      <c r="B8" t="inlineStr">
        <is>
          <t>It balances.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t="inlineStr">
        <is>
          <t>Maslin</t>
        </is>
      </c>
      <c r="B10" t="inlineStr">
        <is>
          <t>The same render account for 9 quarters 3 bushels of marlin from the issue of the mill by tally against the aforesaipence Total, 9 quarters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18</v>
      </c>
      <c r="U10" t="n">
        <v>6</v>
      </c>
      <c r="V10" t="n">
        <v>18.75</v>
      </c>
      <c r="W10" t="n">
        <v>0</v>
      </c>
      <c r="X10" t="n">
        <v>9</v>
      </c>
      <c r="Y10" t="n">
        <v>3</v>
      </c>
      <c r="Z10" t="n">
        <v>9.375</v>
      </c>
      <c r="AA10" t="n">
        <v>9.375</v>
      </c>
      <c r="AB10" t="n">
        <v>0</v>
      </c>
      <c r="AC10" t="n">
        <v>9</v>
      </c>
      <c r="AD10" t="n">
        <v>3</v>
      </c>
      <c r="AE10" t="n">
        <v>9</v>
      </c>
      <c r="AF10" t="n">
        <v>3</v>
      </c>
    </row>
    <row r="11">
      <c r="A11" t="inlineStr">
        <is>
          <t>Maslin</t>
        </is>
      </c>
      <c r="B11" t="inlineStr">
        <is>
          <t>In tithe, 7 bushels Sold as noted within, 8 quarters 4 bushels Total as above.</t>
        </is>
      </c>
      <c r="C11" t="n">
        <v>0</v>
      </c>
      <c r="D11" t="n">
        <v>0</v>
      </c>
      <c r="E11" t="n">
        <v>0</v>
      </c>
      <c r="F11" t="n">
        <v>0</v>
      </c>
      <c r="G11" t="n">
        <v>0</v>
      </c>
      <c r="H11" t="n">
        <v>0</v>
      </c>
      <c r="I11" t="n">
        <v>0</v>
      </c>
      <c r="J11" t="n">
        <v>0</v>
      </c>
      <c r="K11" t="n">
        <v>8</v>
      </c>
      <c r="L11" t="n">
        <v>4</v>
      </c>
      <c r="M11" t="n">
        <v>8.5</v>
      </c>
      <c r="N11" t="n">
        <v>0</v>
      </c>
      <c r="O11" t="n">
        <v>0</v>
      </c>
      <c r="P11" t="n">
        <v>0</v>
      </c>
      <c r="Q11" t="n">
        <v>8</v>
      </c>
      <c r="R11" t="n">
        <v>4</v>
      </c>
      <c r="S11" t="n">
        <v>8.5</v>
      </c>
      <c r="T11" t="n">
        <v>0</v>
      </c>
      <c r="U11" t="n">
        <v>0</v>
      </c>
      <c r="V11" t="n">
        <v>0</v>
      </c>
      <c r="W11" t="n">
        <v>0</v>
      </c>
      <c r="X11" t="n">
        <v>8</v>
      </c>
      <c r="Y11" t="n">
        <v>4</v>
      </c>
      <c r="Z11" t="n">
        <v>8.5</v>
      </c>
      <c r="AA11" t="n">
        <v>0.875</v>
      </c>
      <c r="AB11" t="n">
        <v>7.625</v>
      </c>
      <c r="AC11" t="n">
        <v>0</v>
      </c>
      <c r="AD11" t="n">
        <v>7</v>
      </c>
      <c r="AE11" t="n">
        <v>8</v>
      </c>
      <c r="AF11" t="n">
        <v>4</v>
      </c>
    </row>
    <row r="12">
      <c r="A12" t="inlineStr">
        <is>
          <t>Maslin</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Maslin</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row>
    <row r="14">
      <c r="A14" t="inlineStr">
        <is>
          <t>Oats</t>
        </is>
      </c>
      <c r="B14" t="inlineStr">
        <is>
          <t>The same render account for 22 quarters 6 bushels of oats bought as noted within.</t>
        </is>
      </c>
      <c r="C14" t="n">
        <v>0</v>
      </c>
      <c r="D14" t="n">
        <v>0</v>
      </c>
      <c r="E14" t="n">
        <v>0</v>
      </c>
      <c r="F14" t="n">
        <v>0</v>
      </c>
      <c r="G14" t="n">
        <v>0</v>
      </c>
      <c r="H14" t="n">
        <v>22</v>
      </c>
      <c r="I14" t="n">
        <v>6</v>
      </c>
      <c r="J14" t="n">
        <v>22.75</v>
      </c>
      <c r="K14" t="n">
        <v>0</v>
      </c>
      <c r="L14" t="n">
        <v>0</v>
      </c>
      <c r="M14" t="n">
        <v>0</v>
      </c>
      <c r="N14" t="n">
        <v>0</v>
      </c>
      <c r="O14" t="n">
        <v>0</v>
      </c>
      <c r="P14" t="n">
        <v>0</v>
      </c>
      <c r="Q14" t="n">
        <v>0</v>
      </c>
      <c r="R14" t="n">
        <v>0</v>
      </c>
      <c r="S14" t="n">
        <v>0</v>
      </c>
      <c r="T14" t="n">
        <v>22</v>
      </c>
      <c r="U14" t="n">
        <v>6</v>
      </c>
      <c r="V14" t="n">
        <v>22.75</v>
      </c>
      <c r="W14" t="n">
        <v>1</v>
      </c>
      <c r="X14" t="n">
        <v>22</v>
      </c>
      <c r="Y14" t="n">
        <v>6</v>
      </c>
      <c r="Z14" t="n">
        <v>22.75</v>
      </c>
      <c r="AA14" t="n">
        <v>22.75</v>
      </c>
      <c r="AB14" t="n">
        <v>0</v>
      </c>
      <c r="AC14" t="n">
        <v>22</v>
      </c>
      <c r="AD14" t="n">
        <v>6</v>
      </c>
    </row>
    <row r="15">
      <c r="A15" t="inlineStr">
        <is>
          <t>Oats</t>
        </is>
      </c>
      <c r="B15" t="inlineStr">
        <is>
          <t>Total, 22 quarters 6 bushels All in fodder of the mill-horse.</t>
        </is>
      </c>
      <c r="C15" t="n">
        <v>0</v>
      </c>
      <c r="D15" t="n">
        <v>0</v>
      </c>
      <c r="E15" t="n">
        <v>0</v>
      </c>
      <c r="F15" t="n">
        <v>0</v>
      </c>
      <c r="G15" t="n">
        <v>0</v>
      </c>
      <c r="H15" t="n">
        <v>0</v>
      </c>
      <c r="I15" t="n">
        <v>0</v>
      </c>
      <c r="J15" t="n">
        <v>0</v>
      </c>
      <c r="K15" t="n">
        <v>0</v>
      </c>
      <c r="L15" t="n">
        <v>0</v>
      </c>
      <c r="M15" t="n">
        <v>0</v>
      </c>
      <c r="N15" t="n">
        <v>22</v>
      </c>
      <c r="O15" t="n">
        <v>6</v>
      </c>
      <c r="P15" t="n">
        <v>22.75</v>
      </c>
      <c r="Q15" t="n">
        <v>0</v>
      </c>
      <c r="R15" t="n">
        <v>0</v>
      </c>
      <c r="S15" t="n">
        <v>0</v>
      </c>
      <c r="T15" t="n">
        <v>0</v>
      </c>
      <c r="U15" t="n">
        <v>0</v>
      </c>
      <c r="V15" t="n">
        <v>0</v>
      </c>
      <c r="W15" t="n">
        <v>0</v>
      </c>
      <c r="X15" t="n">
        <v>22</v>
      </c>
      <c r="Y15" t="n">
        <v>6</v>
      </c>
      <c r="Z15" t="n">
        <v>22.75</v>
      </c>
      <c r="AA15" t="n">
        <v>22.75</v>
      </c>
      <c r="AB15" t="n">
        <v>0</v>
      </c>
      <c r="AC15" t="n">
        <v>22</v>
      </c>
      <c r="AD15" t="n">
        <v>6</v>
      </c>
    </row>
    <row r="16">
      <c r="A16" t="inlineStr">
        <is>
          <t>Oats</t>
        </is>
      </c>
      <c r="B16" t="inlineStr">
        <is>
          <t>None remains.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Oats</t>
        </is>
      </c>
      <c r="B17" t="inlineStr">
        <is>
          <t>Horses: 1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Oats</t>
        </is>
      </c>
      <c r="B18" t="inlineStr">
        <is>
          <t>Total, 1. 1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Oats</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5"/>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The same render account for £2 16 shilling 8pence from 10 quarters of wheat sold from the issue of the mill, at 5 shilling 8pence a quarters.</t>
        </is>
      </c>
      <c r="C2" t="n">
        <v>2.83</v>
      </c>
      <c r="D2" t="n">
        <v>2</v>
      </c>
      <c r="E2" t="n">
        <v>16</v>
      </c>
      <c r="F2" t="n">
        <v>8</v>
      </c>
      <c r="G2" t="inlineStr">
        <is>
          <t>wheat</t>
        </is>
      </c>
      <c r="H2" t="n">
        <v>10</v>
      </c>
      <c r="I2" t="n">
        <v>0</v>
      </c>
      <c r="J2" t="n">
        <v>10</v>
      </c>
      <c r="K2" t="n">
        <v>10</v>
      </c>
      <c r="L2" t="n">
        <v>0</v>
      </c>
      <c r="M2" t="n">
        <v>10</v>
      </c>
      <c r="N2" t="n">
        <v>0</v>
      </c>
      <c r="O2" t="n">
        <v>5</v>
      </c>
      <c r="P2" t="n">
        <v>8</v>
      </c>
      <c r="Y2" t="n">
        <v>0.2833333333333333</v>
      </c>
      <c r="AC2" t="n">
        <v>10</v>
      </c>
      <c r="AD2" t="n">
        <v>0.2833333333333333</v>
      </c>
      <c r="AE2" t="n">
        <v>0.2833333333333333</v>
      </c>
      <c r="AF2" t="inlineStr">
        <is>
          <t>wheat</t>
        </is>
      </c>
    </row>
    <row r="3">
      <c r="A3" t="inlineStr">
        <is>
          <t>Sale of corn</t>
        </is>
      </c>
      <c r="B3" t="inlineStr">
        <is>
          <t>£2 13 shilling 4pence from 10 quarters of wheat sold from the same issue, at 5 shilling 4pence a quarters.</t>
        </is>
      </c>
      <c r="C3" t="n">
        <v>2.67</v>
      </c>
      <c r="D3" t="n">
        <v>2</v>
      </c>
      <c r="E3" t="n">
        <v>13</v>
      </c>
      <c r="F3" t="n">
        <v>4</v>
      </c>
      <c r="G3" t="inlineStr">
        <is>
          <t>wheat</t>
        </is>
      </c>
      <c r="H3" t="n">
        <v>10</v>
      </c>
      <c r="I3" t="n">
        <v>0</v>
      </c>
      <c r="J3" t="n">
        <v>10</v>
      </c>
      <c r="K3" t="n">
        <v>10</v>
      </c>
      <c r="L3" t="n">
        <v>0</v>
      </c>
      <c r="M3" t="n">
        <v>10</v>
      </c>
      <c r="N3" t="n">
        <v>0</v>
      </c>
      <c r="O3" t="n">
        <v>5</v>
      </c>
      <c r="P3" t="n">
        <v>4</v>
      </c>
      <c r="Y3" t="n">
        <v>0.2666666666666667</v>
      </c>
      <c r="AC3" t="n">
        <v>10</v>
      </c>
      <c r="AD3" t="n">
        <v>0.2666666666666667</v>
      </c>
      <c r="AE3" t="n">
        <v>0.2666666666666667</v>
      </c>
      <c r="AF3" t="inlineStr">
        <is>
          <t>wheat</t>
        </is>
      </c>
    </row>
    <row r="4">
      <c r="A4" t="inlineStr">
        <is>
          <t>Sale of corn</t>
        </is>
      </c>
      <c r="B4" t="inlineStr">
        <is>
          <t>£1 8 shilling 4pence from 8.5 quarters of maslin sold from the issue of the mill, at 3 shilling 4pence a quarters.</t>
        </is>
      </c>
      <c r="C4" t="n">
        <v>1.42</v>
      </c>
      <c r="D4" t="n">
        <v>1</v>
      </c>
      <c r="E4" t="n">
        <v>8</v>
      </c>
      <c r="F4" t="n">
        <v>4</v>
      </c>
      <c r="G4" t="inlineStr">
        <is>
          <t>maslin</t>
        </is>
      </c>
      <c r="H4" t="n">
        <v>8.5</v>
      </c>
      <c r="I4" t="n">
        <v>0</v>
      </c>
      <c r="J4" t="n">
        <v>8.5</v>
      </c>
      <c r="K4" t="n">
        <v>8.5</v>
      </c>
      <c r="L4" t="n">
        <v>0</v>
      </c>
      <c r="M4" t="n">
        <v>8.5</v>
      </c>
      <c r="N4" t="n">
        <v>0</v>
      </c>
      <c r="O4" t="n">
        <v>3</v>
      </c>
      <c r="P4" t="n">
        <v>4</v>
      </c>
      <c r="Y4" t="n">
        <v>0.1666666666666667</v>
      </c>
      <c r="AC4" t="n">
        <v>8.5</v>
      </c>
      <c r="AD4" t="n">
        <v>0.1666666666666667</v>
      </c>
      <c r="AE4" t="n">
        <v>0.1666666666666667</v>
      </c>
      <c r="AF4" t="inlineStr">
        <is>
          <t>maslin</t>
        </is>
      </c>
    </row>
    <row r="5">
      <c r="A5" t="inlineStr">
        <is>
          <t>Sale of corn</t>
        </is>
      </c>
      <c r="B5" t="inlineStr">
        <is>
          <t>Total, £6 18 shilling 4pence</t>
        </is>
      </c>
      <c r="C5" t="n">
        <v>6.92</v>
      </c>
      <c r="D5" t="n">
        <v>6</v>
      </c>
      <c r="E5" t="n">
        <v>18</v>
      </c>
      <c r="F5" t="n">
        <v>4</v>
      </c>
      <c r="H5" t="n">
        <v>0</v>
      </c>
      <c r="I5" t="n">
        <v>0</v>
      </c>
      <c r="J5" t="n">
        <v>0</v>
      </c>
      <c r="K5" t="n">
        <v>0</v>
      </c>
      <c r="L5" t="n">
        <v>0</v>
      </c>
      <c r="M5" t="n">
        <v>0</v>
      </c>
      <c r="N5" t="n">
        <v>0</v>
      </c>
      <c r="Y5" t="inlineStr">
        <is>
          <t>inf</t>
        </is>
      </c>
      <c r="AC5" t="n">
        <v>0</v>
      </c>
      <c r="AD5" t="inlineStr">
        <is>
          <t>inf</t>
        </is>
      </c>
      <c r="AE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2025-12-18T10:17:19Z</dcterms:modified>
  <cp:lastModifiedBy>Kowalski, Kuba</cp:lastModifiedBy>
</cp:coreProperties>
</file>
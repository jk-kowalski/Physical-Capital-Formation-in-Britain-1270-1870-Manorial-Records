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victoriagierok/Dropbox/Physical Capital England/kuba25-26/output/OCR 1301-1302_unifinished/script7/"/>
    </mc:Choice>
  </mc:AlternateContent>
  <xr:revisionPtr revIDLastSave="0" documentId="8_{99A9AD2A-5857-2A42-AB5D-15485B2DACD6}" xr6:coauthVersionLast="47" xr6:coauthVersionMax="47" xr10:uidLastSave="{00000000-0000-0000-0000-000000000000}"/>
  <bookViews>
    <workbookView xWindow="0" yWindow="500" windowWidth="28800" windowHeight="16600" xr2:uid="{00000000-000D-0000-FFFF-FFFF00000000}"/>
  </bookViews>
  <sheets>
    <sheet name="BishopsFonthill 1301 Overview -" sheetId="1" r:id="rId1"/>
    <sheet name="Issues of the Mills" sheetId="2" r:id="rId2"/>
    <sheet name="raw data" sheetId="3" r:id="rId3"/>
    <sheet name="Prices" sheetId="4" r:id="rId4"/>
    <sheet name="Labour Rents" sheetId="5" r:id="rId5"/>
    <sheet name="Bishops Fonthill Overview" sheetId="6" r:id="rId6"/>
    <sheet name="Bishops Fonthill Receipts" sheetId="7" r:id="rId7"/>
    <sheet name="Bishops Fonthill Expenses" sheetId="8" r:id="rId8"/>
    <sheet name="Issues of the Grange" sheetId="9" r:id="rId9"/>
    <sheet name="Stock" sheetId="10" r:id="rId10"/>
    <sheet name="Assumptions" sheetId="11" r:id="rId1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1" l="1"/>
  <c r="E7" i="11" s="1"/>
  <c r="P37" i="10" s="1"/>
  <c r="F6" i="11"/>
  <c r="E6" i="11"/>
  <c r="D6" i="11"/>
  <c r="F5" i="11"/>
  <c r="E5" i="11"/>
  <c r="E4" i="11"/>
  <c r="D4" i="11"/>
  <c r="Q97" i="10"/>
  <c r="S97" i="10" s="1"/>
  <c r="S96" i="10"/>
  <c r="R96" i="10"/>
  <c r="Q96" i="10"/>
  <c r="Q95" i="10"/>
  <c r="S95" i="10" s="1"/>
  <c r="K95" i="10"/>
  <c r="S94" i="10"/>
  <c r="Q94" i="10"/>
  <c r="R94" i="10" s="1"/>
  <c r="K94" i="10"/>
  <c r="Q93" i="10"/>
  <c r="S93" i="10" s="1"/>
  <c r="K93" i="10"/>
  <c r="S92" i="10"/>
  <c r="Q92" i="10"/>
  <c r="R92" i="10" s="1"/>
  <c r="K92" i="10"/>
  <c r="Q91" i="10"/>
  <c r="S91" i="10" s="1"/>
  <c r="K91" i="10"/>
  <c r="S90" i="10"/>
  <c r="Q90" i="10"/>
  <c r="R90" i="10" s="1"/>
  <c r="K90" i="10"/>
  <c r="Q89" i="10"/>
  <c r="S89" i="10" s="1"/>
  <c r="F148" i="6" s="1"/>
  <c r="K89" i="10"/>
  <c r="S88" i="10"/>
  <c r="Q88" i="10"/>
  <c r="R88" i="10" s="1"/>
  <c r="K88" i="10"/>
  <c r="Q87" i="10"/>
  <c r="S87" i="10" s="1"/>
  <c r="K87" i="10"/>
  <c r="S86" i="10"/>
  <c r="Q86" i="10"/>
  <c r="R86" i="10" s="1"/>
  <c r="G150" i="6" s="1"/>
  <c r="K86" i="10"/>
  <c r="Q85" i="10"/>
  <c r="S85" i="10" s="1"/>
  <c r="F149" i="6" s="1"/>
  <c r="K85" i="10"/>
  <c r="S84" i="10"/>
  <c r="Q84" i="10"/>
  <c r="R84" i="10" s="1"/>
  <c r="K84" i="10"/>
  <c r="Q83" i="10"/>
  <c r="S83" i="10" s="1"/>
  <c r="K83" i="10"/>
  <c r="S82" i="10"/>
  <c r="Q82" i="10"/>
  <c r="R82" i="10" s="1"/>
  <c r="K82" i="10"/>
  <c r="Q81" i="10"/>
  <c r="S81" i="10" s="1"/>
  <c r="K81" i="10"/>
  <c r="S80" i="10"/>
  <c r="Q80" i="10"/>
  <c r="R80" i="10" s="1"/>
  <c r="K80" i="10"/>
  <c r="Q79" i="10"/>
  <c r="S79" i="10" s="1"/>
  <c r="K79" i="10"/>
  <c r="S78" i="10"/>
  <c r="Q78" i="10"/>
  <c r="R78" i="10" s="1"/>
  <c r="K78" i="10"/>
  <c r="Q77" i="10"/>
  <c r="S77" i="10" s="1"/>
  <c r="K77" i="10"/>
  <c r="S76" i="10"/>
  <c r="Q76" i="10"/>
  <c r="R76" i="10" s="1"/>
  <c r="K76" i="10"/>
  <c r="Q75" i="10"/>
  <c r="S75" i="10" s="1"/>
  <c r="F142" i="6" s="1"/>
  <c r="K75" i="10"/>
  <c r="S74" i="10"/>
  <c r="Q74" i="10"/>
  <c r="R74" i="10" s="1"/>
  <c r="G141" i="6" s="1"/>
  <c r="K74" i="10"/>
  <c r="Q73" i="10"/>
  <c r="S73" i="10" s="1"/>
  <c r="K73" i="10"/>
  <c r="S72" i="10"/>
  <c r="Q72" i="10"/>
  <c r="R72" i="10" s="1"/>
  <c r="K72" i="10"/>
  <c r="Q71" i="10"/>
  <c r="R71" i="10" s="1"/>
  <c r="K71" i="10"/>
  <c r="S70" i="10"/>
  <c r="Q70" i="10"/>
  <c r="R70" i="10" s="1"/>
  <c r="G136" i="6" s="1"/>
  <c r="K70" i="10"/>
  <c r="Q69" i="10"/>
  <c r="S69" i="10" s="1"/>
  <c r="F135" i="6" s="1"/>
  <c r="K69" i="10"/>
  <c r="S68" i="10"/>
  <c r="Q68" i="10"/>
  <c r="R68" i="10" s="1"/>
  <c r="G134" i="6" s="1"/>
  <c r="K68" i="10"/>
  <c r="K67" i="10"/>
  <c r="S66" i="10"/>
  <c r="R66" i="10"/>
  <c r="Q66" i="10"/>
  <c r="K66" i="10"/>
  <c r="R65" i="10"/>
  <c r="Q65" i="10"/>
  <c r="S65" i="10" s="1"/>
  <c r="K65" i="10"/>
  <c r="S64" i="10"/>
  <c r="R64" i="10"/>
  <c r="Q64" i="10"/>
  <c r="K64" i="10"/>
  <c r="Q62" i="10"/>
  <c r="S62" i="10" s="1"/>
  <c r="F128" i="6" s="1"/>
  <c r="K62" i="10"/>
  <c r="S61" i="10"/>
  <c r="Q61" i="10"/>
  <c r="R61" i="10" s="1"/>
  <c r="K61" i="10"/>
  <c r="Q60" i="10"/>
  <c r="S60" i="10" s="1"/>
  <c r="F126" i="6" s="1"/>
  <c r="K60" i="10"/>
  <c r="S59" i="10"/>
  <c r="Q59" i="10"/>
  <c r="R59" i="10" s="1"/>
  <c r="K59" i="10"/>
  <c r="Q58" i="10"/>
  <c r="S58" i="10" s="1"/>
  <c r="K58" i="10"/>
  <c r="S57" i="10"/>
  <c r="Q57" i="10"/>
  <c r="R57" i="10" s="1"/>
  <c r="G123" i="6" s="1"/>
  <c r="K57" i="10"/>
  <c r="Q56" i="10"/>
  <c r="S56" i="10" s="1"/>
  <c r="F122" i="6" s="1"/>
  <c r="K56" i="10"/>
  <c r="S55" i="10"/>
  <c r="Q55" i="10"/>
  <c r="R55" i="10" s="1"/>
  <c r="G121" i="6" s="1"/>
  <c r="K55" i="10"/>
  <c r="K54" i="10"/>
  <c r="Q53" i="10"/>
  <c r="S53" i="10" s="1"/>
  <c r="F119" i="6" s="1"/>
  <c r="K53" i="10"/>
  <c r="S52" i="10"/>
  <c r="Q52" i="10"/>
  <c r="R52" i="10" s="1"/>
  <c r="G118" i="6" s="1"/>
  <c r="K52" i="10"/>
  <c r="Q51" i="10"/>
  <c r="S51" i="10" s="1"/>
  <c r="F117" i="6" s="1"/>
  <c r="K51" i="10"/>
  <c r="S50" i="10"/>
  <c r="Q50" i="10"/>
  <c r="R50" i="10" s="1"/>
  <c r="G116" i="6" s="1"/>
  <c r="K50" i="10"/>
  <c r="Q49" i="10"/>
  <c r="S49" i="10" s="1"/>
  <c r="F115" i="6" s="1"/>
  <c r="K49" i="10"/>
  <c r="S48" i="10"/>
  <c r="Q48" i="10"/>
  <c r="R48" i="10" s="1"/>
  <c r="G114" i="6" s="1"/>
  <c r="K48" i="10"/>
  <c r="Q47" i="10"/>
  <c r="S47" i="10" s="1"/>
  <c r="F113" i="6" s="1"/>
  <c r="K47" i="10"/>
  <c r="S46" i="10"/>
  <c r="Q46" i="10"/>
  <c r="R46" i="10" s="1"/>
  <c r="G112" i="6" s="1"/>
  <c r="K46" i="10"/>
  <c r="Q45" i="10"/>
  <c r="S45" i="10" s="1"/>
  <c r="F111" i="6" s="1"/>
  <c r="K45" i="10"/>
  <c r="S44" i="10"/>
  <c r="Q44" i="10"/>
  <c r="R44" i="10" s="1"/>
  <c r="G110" i="6" s="1"/>
  <c r="K44" i="10"/>
  <c r="Q43" i="10"/>
  <c r="S43" i="10" s="1"/>
  <c r="F109" i="6" s="1"/>
  <c r="K43" i="10"/>
  <c r="S42" i="10"/>
  <c r="Q42" i="10"/>
  <c r="R42" i="10" s="1"/>
  <c r="K42" i="10"/>
  <c r="Q41" i="10"/>
  <c r="S41" i="10" s="1"/>
  <c r="K41" i="10"/>
  <c r="S40" i="10"/>
  <c r="Q40" i="10"/>
  <c r="R40" i="10" s="1"/>
  <c r="K40" i="10"/>
  <c r="Q39" i="10"/>
  <c r="R39" i="10" s="1"/>
  <c r="K39" i="10"/>
  <c r="S38" i="10"/>
  <c r="Q38" i="10"/>
  <c r="R38" i="10" s="1"/>
  <c r="G104" i="6" s="1"/>
  <c r="K38" i="10"/>
  <c r="L37" i="10"/>
  <c r="L36" i="10"/>
  <c r="Q36" i="10" s="1"/>
  <c r="K36" i="10"/>
  <c r="S35" i="10"/>
  <c r="Q35" i="10"/>
  <c r="R35" i="10" s="1"/>
  <c r="K35" i="10"/>
  <c r="S34" i="10"/>
  <c r="R34" i="10"/>
  <c r="P34" i="10"/>
  <c r="K34" i="10"/>
  <c r="S33" i="10"/>
  <c r="Q33" i="10"/>
  <c r="R33" i="10" s="1"/>
  <c r="K33" i="10"/>
  <c r="Q32" i="10"/>
  <c r="S32" i="10" s="1"/>
  <c r="K32" i="10"/>
  <c r="S31" i="10"/>
  <c r="Q31" i="10"/>
  <c r="R31" i="10" s="1"/>
  <c r="K31" i="10"/>
  <c r="S29" i="10"/>
  <c r="R29" i="10"/>
  <c r="Q29" i="10"/>
  <c r="K29" i="10"/>
  <c r="Q28" i="10"/>
  <c r="S28" i="10" s="1"/>
  <c r="K28" i="10"/>
  <c r="S27" i="10"/>
  <c r="R27" i="10"/>
  <c r="Q27" i="10"/>
  <c r="K27" i="10"/>
  <c r="Q26" i="10"/>
  <c r="S26" i="10" s="1"/>
  <c r="F92" i="6" s="1"/>
  <c r="K26" i="10"/>
  <c r="K25" i="10"/>
  <c r="Q24" i="10"/>
  <c r="S24" i="10" s="1"/>
  <c r="F90" i="6" s="1"/>
  <c r="K24" i="10"/>
  <c r="S23" i="10"/>
  <c r="Q23" i="10"/>
  <c r="R23" i="10" s="1"/>
  <c r="K23" i="10"/>
  <c r="Q22" i="10"/>
  <c r="S22" i="10" s="1"/>
  <c r="K22" i="10"/>
  <c r="S21" i="10"/>
  <c r="Q21" i="10"/>
  <c r="R21" i="10" s="1"/>
  <c r="G87" i="6" s="1"/>
  <c r="K21" i="10"/>
  <c r="Q20" i="10"/>
  <c r="S20" i="10" s="1"/>
  <c r="F86" i="6" s="1"/>
  <c r="K20" i="10"/>
  <c r="S19" i="10"/>
  <c r="Q19" i="10"/>
  <c r="R19" i="10" s="1"/>
  <c r="G85" i="6" s="1"/>
  <c r="K19" i="10"/>
  <c r="L18" i="10"/>
  <c r="Q18" i="10" s="1"/>
  <c r="K18" i="10"/>
  <c r="S17" i="10"/>
  <c r="R17" i="10"/>
  <c r="Q17" i="10"/>
  <c r="K17" i="10"/>
  <c r="Q16" i="10"/>
  <c r="S16" i="10" s="1"/>
  <c r="F82" i="6" s="1"/>
  <c r="K16" i="10"/>
  <c r="S15" i="10"/>
  <c r="R15" i="10"/>
  <c r="Q15" i="10"/>
  <c r="K15" i="10"/>
  <c r="Q14" i="10"/>
  <c r="S14" i="10" s="1"/>
  <c r="K14" i="10"/>
  <c r="S13" i="10"/>
  <c r="R13" i="10"/>
  <c r="Q13" i="10"/>
  <c r="K13" i="10"/>
  <c r="Q12" i="10"/>
  <c r="S12" i="10" s="1"/>
  <c r="K12" i="10"/>
  <c r="K11" i="10"/>
  <c r="Q10" i="10"/>
  <c r="S10" i="10" s="1"/>
  <c r="F76" i="6" s="1"/>
  <c r="K10" i="10"/>
  <c r="S9" i="10"/>
  <c r="Q9" i="10"/>
  <c r="R9" i="10" s="1"/>
  <c r="K9" i="10"/>
  <c r="Q8" i="10"/>
  <c r="S8" i="10" s="1"/>
  <c r="K8" i="10"/>
  <c r="S7" i="10"/>
  <c r="Q7" i="10"/>
  <c r="R7" i="10" s="1"/>
  <c r="G74" i="6" s="1"/>
  <c r="K7" i="10"/>
  <c r="Q6" i="10"/>
  <c r="S6" i="10" s="1"/>
  <c r="K6" i="10"/>
  <c r="S5" i="10"/>
  <c r="Q5" i="10"/>
  <c r="R5" i="10" s="1"/>
  <c r="G71" i="6" s="1"/>
  <c r="K5" i="10"/>
  <c r="Q4" i="10"/>
  <c r="S4" i="10" s="1"/>
  <c r="K4" i="10"/>
  <c r="I23" i="9"/>
  <c r="J23" i="9" s="1"/>
  <c r="B53" i="6" s="1"/>
  <c r="E23" i="9"/>
  <c r="B23" i="9"/>
  <c r="N22" i="9"/>
  <c r="I22" i="9"/>
  <c r="E22" i="9"/>
  <c r="I21" i="9"/>
  <c r="E21" i="9"/>
  <c r="B21" i="9"/>
  <c r="J21" i="9" s="1"/>
  <c r="B51" i="6" s="1"/>
  <c r="I20" i="9"/>
  <c r="E20" i="9"/>
  <c r="B20" i="9"/>
  <c r="J20" i="9" s="1"/>
  <c r="B50" i="6" s="1"/>
  <c r="I19" i="9"/>
  <c r="E19" i="9"/>
  <c r="E25" i="9" s="1"/>
  <c r="B19" i="9"/>
  <c r="J19" i="9" s="1"/>
  <c r="B49" i="6" s="1"/>
  <c r="J18" i="9"/>
  <c r="I18" i="9"/>
  <c r="E18" i="9"/>
  <c r="B18" i="9"/>
  <c r="I10" i="9"/>
  <c r="L10" i="9" s="1"/>
  <c r="F10" i="9"/>
  <c r="I9" i="9"/>
  <c r="L9" i="9" s="1"/>
  <c r="O9" i="9" s="1"/>
  <c r="F9" i="9"/>
  <c r="J9" i="9" s="1"/>
  <c r="L8" i="9"/>
  <c r="I8" i="9"/>
  <c r="F8" i="9"/>
  <c r="J8" i="9" s="1"/>
  <c r="L7" i="9"/>
  <c r="I7" i="9"/>
  <c r="F7" i="9"/>
  <c r="J7" i="9" s="1"/>
  <c r="L6" i="9"/>
  <c r="J6" i="9"/>
  <c r="I6" i="9"/>
  <c r="F6" i="9"/>
  <c r="L5" i="9"/>
  <c r="K5" i="9"/>
  <c r="I5" i="9"/>
  <c r="I12" i="9" s="1"/>
  <c r="F5" i="9"/>
  <c r="F77" i="8"/>
  <c r="F76" i="8"/>
  <c r="F75" i="8"/>
  <c r="B74" i="8"/>
  <c r="F74" i="8" s="1"/>
  <c r="G74" i="8" s="1"/>
  <c r="F73" i="8"/>
  <c r="F71" i="8"/>
  <c r="D71" i="8"/>
  <c r="D74" i="8" s="1"/>
  <c r="C71" i="8"/>
  <c r="B71" i="8"/>
  <c r="F70" i="8"/>
  <c r="G71" i="8" s="1"/>
  <c r="F69" i="8"/>
  <c r="G66" i="8"/>
  <c r="F66" i="8"/>
  <c r="D66" i="8"/>
  <c r="C66" i="8"/>
  <c r="B66" i="8"/>
  <c r="F65" i="8"/>
  <c r="F64" i="8"/>
  <c r="F63" i="8"/>
  <c r="F62" i="8"/>
  <c r="F61" i="8"/>
  <c r="D58" i="8"/>
  <c r="C58" i="8"/>
  <c r="B58" i="8"/>
  <c r="F58" i="8" s="1"/>
  <c r="G58" i="8" s="1"/>
  <c r="F57" i="8"/>
  <c r="F56" i="8"/>
  <c r="F55" i="8"/>
  <c r="F54" i="8"/>
  <c r="F53" i="8"/>
  <c r="D50" i="8"/>
  <c r="C50" i="8"/>
  <c r="B50" i="8"/>
  <c r="F50" i="8" s="1"/>
  <c r="G49" i="8"/>
  <c r="F49" i="8"/>
  <c r="D49" i="8"/>
  <c r="C49" i="8"/>
  <c r="B49" i="8"/>
  <c r="F48" i="8"/>
  <c r="F47" i="8"/>
  <c r="F46" i="8"/>
  <c r="F45" i="8"/>
  <c r="F44" i="8"/>
  <c r="D41" i="8"/>
  <c r="C41" i="8"/>
  <c r="B41" i="8"/>
  <c r="D40" i="8"/>
  <c r="C40" i="8"/>
  <c r="F40" i="8" s="1"/>
  <c r="B40" i="8"/>
  <c r="F39" i="8"/>
  <c r="F38" i="8"/>
  <c r="F37" i="8"/>
  <c r="F36" i="8"/>
  <c r="F35" i="8"/>
  <c r="F34" i="8"/>
  <c r="F33" i="8"/>
  <c r="F30" i="8"/>
  <c r="D30" i="8"/>
  <c r="C30" i="8"/>
  <c r="B30" i="8"/>
  <c r="D29" i="8"/>
  <c r="C29" i="8"/>
  <c r="C74" i="8" s="1"/>
  <c r="B29" i="8"/>
  <c r="F28" i="8"/>
  <c r="F27" i="8"/>
  <c r="F26" i="8"/>
  <c r="F25" i="8"/>
  <c r="F24" i="8"/>
  <c r="F23" i="8"/>
  <c r="F22" i="8"/>
  <c r="F21" i="8"/>
  <c r="F20" i="8"/>
  <c r="F19" i="8"/>
  <c r="F18" i="8"/>
  <c r="D15" i="8"/>
  <c r="D78" i="8" s="1"/>
  <c r="C15" i="8"/>
  <c r="C78" i="8" s="1"/>
  <c r="B15" i="8"/>
  <c r="F15" i="8" s="1"/>
  <c r="F14" i="8"/>
  <c r="D14" i="8"/>
  <c r="C14" i="8"/>
  <c r="B14" i="8"/>
  <c r="F13" i="8"/>
  <c r="G14" i="8" s="1"/>
  <c r="F12" i="8"/>
  <c r="F11" i="8"/>
  <c r="F10" i="8"/>
  <c r="F9" i="8"/>
  <c r="F8" i="8"/>
  <c r="F7" i="8"/>
  <c r="F6" i="8"/>
  <c r="F5" i="8"/>
  <c r="F4" i="8"/>
  <c r="F80" i="7"/>
  <c r="D76" i="7"/>
  <c r="C76" i="7"/>
  <c r="B76" i="7"/>
  <c r="F76" i="7" s="1"/>
  <c r="F75" i="7"/>
  <c r="F74" i="7"/>
  <c r="D71" i="7"/>
  <c r="F71" i="7" s="1"/>
  <c r="G71" i="7" s="1"/>
  <c r="C71" i="7"/>
  <c r="B71" i="7"/>
  <c r="F70" i="7"/>
  <c r="F69" i="7"/>
  <c r="F68" i="7"/>
  <c r="F67" i="7"/>
  <c r="D64" i="7"/>
  <c r="C64" i="7"/>
  <c r="B64" i="7"/>
  <c r="F64" i="7" s="1"/>
  <c r="F63" i="7"/>
  <c r="F62" i="7"/>
  <c r="K10" i="9" s="1"/>
  <c r="O10" i="9" s="1"/>
  <c r="P10" i="9" s="1"/>
  <c r="F61" i="7"/>
  <c r="K8" i="9" s="1"/>
  <c r="F60" i="7"/>
  <c r="K7" i="9" s="1"/>
  <c r="F59" i="7"/>
  <c r="K6" i="9" s="1"/>
  <c r="F58" i="7"/>
  <c r="D55" i="7"/>
  <c r="C55" i="7"/>
  <c r="F55" i="7" s="1"/>
  <c r="B55" i="7"/>
  <c r="F54" i="7"/>
  <c r="F53" i="7"/>
  <c r="F52" i="7"/>
  <c r="F51" i="7"/>
  <c r="F50" i="7"/>
  <c r="F49" i="7"/>
  <c r="F48" i="7"/>
  <c r="L67" i="10" s="1"/>
  <c r="Q67" i="10" s="1"/>
  <c r="F47" i="7"/>
  <c r="N54" i="10" s="1"/>
  <c r="F46" i="7"/>
  <c r="L54" i="10" s="1"/>
  <c r="F45" i="7"/>
  <c r="F44" i="7"/>
  <c r="L11" i="10" s="1"/>
  <c r="Q11" i="10" s="1"/>
  <c r="F43" i="7"/>
  <c r="L25" i="10" s="1"/>
  <c r="Q25" i="10" s="1"/>
  <c r="F42" i="7"/>
  <c r="F41" i="7"/>
  <c r="G38" i="7"/>
  <c r="F38" i="7"/>
  <c r="D38" i="7"/>
  <c r="C38" i="7"/>
  <c r="B38" i="7"/>
  <c r="F37" i="7"/>
  <c r="F36" i="7"/>
  <c r="F35" i="7"/>
  <c r="F34" i="7"/>
  <c r="D31" i="7"/>
  <c r="F31" i="7" s="1"/>
  <c r="G31" i="7" s="1"/>
  <c r="C31" i="7"/>
  <c r="B31" i="7"/>
  <c r="F30" i="7"/>
  <c r="F29" i="7"/>
  <c r="F26" i="7"/>
  <c r="D24" i="7"/>
  <c r="F24" i="7" s="1"/>
  <c r="G24" i="7" s="1"/>
  <c r="C24" i="7"/>
  <c r="B24" i="7"/>
  <c r="F23" i="7"/>
  <c r="F22" i="7"/>
  <c r="F21" i="7"/>
  <c r="F20" i="7"/>
  <c r="F19" i="7"/>
  <c r="F18" i="7"/>
  <c r="F17" i="7"/>
  <c r="D14" i="7"/>
  <c r="D79" i="7" s="1"/>
  <c r="D78" i="7" s="1"/>
  <c r="C14" i="7"/>
  <c r="C79" i="7" s="1"/>
  <c r="C78" i="7" s="1"/>
  <c r="B14" i="7"/>
  <c r="B79" i="7" s="1"/>
  <c r="F13" i="7"/>
  <c r="F12" i="7"/>
  <c r="F11" i="7"/>
  <c r="F10" i="7"/>
  <c r="F9" i="7"/>
  <c r="F6" i="7"/>
  <c r="F5" i="7"/>
  <c r="F150" i="6"/>
  <c r="C150" i="6"/>
  <c r="D150" i="6" s="1"/>
  <c r="B150" i="6"/>
  <c r="C149" i="6"/>
  <c r="D149" i="6" s="1"/>
  <c r="B149" i="6"/>
  <c r="C148" i="6"/>
  <c r="D148" i="6" s="1"/>
  <c r="B148" i="6"/>
  <c r="G143" i="6"/>
  <c r="F143" i="6"/>
  <c r="C142" i="6"/>
  <c r="B142" i="6"/>
  <c r="D142" i="6" s="1"/>
  <c r="F141" i="6"/>
  <c r="D141" i="6"/>
  <c r="D143" i="6" s="1"/>
  <c r="C141" i="6"/>
  <c r="C143" i="6" s="1"/>
  <c r="B141" i="6"/>
  <c r="B143" i="6" s="1"/>
  <c r="F136" i="6"/>
  <c r="C136" i="6"/>
  <c r="D136" i="6" s="1"/>
  <c r="B136" i="6"/>
  <c r="C135" i="6"/>
  <c r="D135" i="6" s="1"/>
  <c r="B135" i="6"/>
  <c r="F134" i="6"/>
  <c r="C134" i="6"/>
  <c r="D134" i="6" s="1"/>
  <c r="B134" i="6"/>
  <c r="C133" i="6"/>
  <c r="B133" i="6"/>
  <c r="C128" i="6"/>
  <c r="B128" i="6"/>
  <c r="D128" i="6" s="1"/>
  <c r="G127" i="6"/>
  <c r="F127" i="6"/>
  <c r="D127" i="6"/>
  <c r="C127" i="6"/>
  <c r="B127" i="6"/>
  <c r="C126" i="6"/>
  <c r="D126" i="6" s="1"/>
  <c r="B126" i="6"/>
  <c r="G125" i="6"/>
  <c r="F125" i="6"/>
  <c r="D125" i="6"/>
  <c r="C125" i="6"/>
  <c r="B125" i="6"/>
  <c r="F124" i="6"/>
  <c r="C124" i="6"/>
  <c r="D124" i="6" s="1"/>
  <c r="B124" i="6"/>
  <c r="F123" i="6"/>
  <c r="C123" i="6"/>
  <c r="D123" i="6" s="1"/>
  <c r="B123" i="6"/>
  <c r="C122" i="6"/>
  <c r="D122" i="6" s="1"/>
  <c r="B122" i="6"/>
  <c r="F121" i="6"/>
  <c r="D121" i="6"/>
  <c r="C121" i="6"/>
  <c r="B121" i="6"/>
  <c r="C120" i="6"/>
  <c r="B120" i="6"/>
  <c r="D120" i="6" s="1"/>
  <c r="D119" i="6"/>
  <c r="C119" i="6"/>
  <c r="B119" i="6"/>
  <c r="F118" i="6"/>
  <c r="C118" i="6"/>
  <c r="D118" i="6" s="1"/>
  <c r="B118" i="6"/>
  <c r="D117" i="6"/>
  <c r="C117" i="6"/>
  <c r="B117" i="6"/>
  <c r="F116" i="6"/>
  <c r="C116" i="6"/>
  <c r="D116" i="6" s="1"/>
  <c r="B116" i="6"/>
  <c r="C115" i="6"/>
  <c r="D115" i="6" s="1"/>
  <c r="B115" i="6"/>
  <c r="F114" i="6"/>
  <c r="C114" i="6"/>
  <c r="D114" i="6" s="1"/>
  <c r="B114" i="6"/>
  <c r="D113" i="6"/>
  <c r="C113" i="6"/>
  <c r="B113" i="6"/>
  <c r="F112" i="6"/>
  <c r="C112" i="6"/>
  <c r="D112" i="6" s="1"/>
  <c r="B112" i="6"/>
  <c r="D111" i="6"/>
  <c r="C111" i="6"/>
  <c r="B111" i="6"/>
  <c r="F110" i="6"/>
  <c r="C110" i="6"/>
  <c r="D110" i="6" s="1"/>
  <c r="B110" i="6"/>
  <c r="D109" i="6"/>
  <c r="C109" i="6"/>
  <c r="B109" i="6"/>
  <c r="F104" i="6"/>
  <c r="C104" i="6"/>
  <c r="D104" i="6" s="1"/>
  <c r="B104" i="6"/>
  <c r="C103" i="6"/>
  <c r="B103" i="6"/>
  <c r="D103" i="6" s="1"/>
  <c r="C102" i="6"/>
  <c r="D102" i="6" s="1"/>
  <c r="B102" i="6"/>
  <c r="G101" i="6"/>
  <c r="F101" i="6"/>
  <c r="D101" i="6"/>
  <c r="C101" i="6"/>
  <c r="B101" i="6"/>
  <c r="G100" i="6"/>
  <c r="F100" i="6"/>
  <c r="C100" i="6"/>
  <c r="D100" i="6" s="1"/>
  <c r="B100" i="6"/>
  <c r="G95" i="6"/>
  <c r="F95" i="6"/>
  <c r="C95" i="6"/>
  <c r="B95" i="6"/>
  <c r="F94" i="6"/>
  <c r="C94" i="6"/>
  <c r="D94" i="6" s="1"/>
  <c r="B94" i="6"/>
  <c r="G93" i="6"/>
  <c r="F93" i="6"/>
  <c r="C93" i="6"/>
  <c r="B93" i="6"/>
  <c r="D93" i="6" s="1"/>
  <c r="C92" i="6"/>
  <c r="D92" i="6" s="1"/>
  <c r="B92" i="6"/>
  <c r="D91" i="6"/>
  <c r="C91" i="6"/>
  <c r="B91" i="6"/>
  <c r="C90" i="6"/>
  <c r="D90" i="6" s="1"/>
  <c r="B90" i="6"/>
  <c r="G89" i="6"/>
  <c r="F89" i="6"/>
  <c r="D89" i="6"/>
  <c r="C89" i="6"/>
  <c r="B89" i="6"/>
  <c r="F88" i="6"/>
  <c r="C88" i="6"/>
  <c r="D88" i="6" s="1"/>
  <c r="B88" i="6"/>
  <c r="F87" i="6"/>
  <c r="C87" i="6"/>
  <c r="D87" i="6" s="1"/>
  <c r="B87" i="6"/>
  <c r="C86" i="6"/>
  <c r="D86" i="6" s="1"/>
  <c r="B86" i="6"/>
  <c r="F85" i="6"/>
  <c r="C85" i="6"/>
  <c r="B85" i="6"/>
  <c r="D85" i="6" s="1"/>
  <c r="C84" i="6"/>
  <c r="D84" i="6" s="1"/>
  <c r="B84" i="6"/>
  <c r="G83" i="6"/>
  <c r="F83" i="6"/>
  <c r="D83" i="6"/>
  <c r="C83" i="6"/>
  <c r="B83" i="6"/>
  <c r="C82" i="6"/>
  <c r="D82" i="6" s="1"/>
  <c r="B82" i="6"/>
  <c r="G81" i="6"/>
  <c r="F81" i="6"/>
  <c r="D81" i="6"/>
  <c r="C81" i="6"/>
  <c r="B81" i="6"/>
  <c r="F80" i="6"/>
  <c r="C80" i="6"/>
  <c r="D80" i="6" s="1"/>
  <c r="B80" i="6"/>
  <c r="G79" i="6"/>
  <c r="F79" i="6"/>
  <c r="C79" i="6"/>
  <c r="B79" i="6"/>
  <c r="F78" i="6"/>
  <c r="C78" i="6"/>
  <c r="D78" i="6" s="1"/>
  <c r="B78" i="6"/>
  <c r="D77" i="6"/>
  <c r="C77" i="6"/>
  <c r="B77" i="6"/>
  <c r="C76" i="6"/>
  <c r="D76" i="6" s="1"/>
  <c r="B76" i="6"/>
  <c r="G75" i="6"/>
  <c r="F75" i="6"/>
  <c r="D75" i="6"/>
  <c r="C75" i="6"/>
  <c r="B75" i="6"/>
  <c r="F74" i="6"/>
  <c r="C74" i="6"/>
  <c r="D74" i="6" s="1"/>
  <c r="B74" i="6"/>
  <c r="F73" i="6"/>
  <c r="D73" i="6"/>
  <c r="C73" i="6"/>
  <c r="B73" i="6"/>
  <c r="F72" i="6"/>
  <c r="C72" i="6"/>
  <c r="D72" i="6" s="1"/>
  <c r="B72" i="6"/>
  <c r="F71" i="6"/>
  <c r="C71" i="6"/>
  <c r="B71" i="6"/>
  <c r="F70" i="6"/>
  <c r="C70" i="6"/>
  <c r="D70" i="6" s="1"/>
  <c r="B70" i="6"/>
  <c r="G53" i="6"/>
  <c r="F53" i="6"/>
  <c r="B48" i="6"/>
  <c r="G43" i="6"/>
  <c r="H44" i="6" s="1"/>
  <c r="E40" i="6"/>
  <c r="D40" i="6"/>
  <c r="C40" i="6"/>
  <c r="B40" i="6"/>
  <c r="G38" i="6"/>
  <c r="G40" i="6" s="1"/>
  <c r="G35" i="6"/>
  <c r="G32" i="6"/>
  <c r="G30" i="6"/>
  <c r="G29" i="6"/>
  <c r="G28" i="6"/>
  <c r="G26" i="6"/>
  <c r="G21" i="6"/>
  <c r="G16" i="6"/>
  <c r="G10" i="6"/>
  <c r="G9" i="6"/>
  <c r="G7" i="6"/>
  <c r="G5" i="6"/>
  <c r="E8" i="4"/>
  <c r="E7" i="4"/>
  <c r="E6" i="4"/>
  <c r="E5" i="4"/>
  <c r="E4" i="4"/>
  <c r="E3" i="4"/>
  <c r="B177" i="1"/>
  <c r="F166" i="1"/>
  <c r="F154" i="1"/>
  <c r="F153" i="1"/>
  <c r="F155" i="1" s="1"/>
  <c r="F152" i="1"/>
  <c r="F122" i="1"/>
  <c r="F121" i="1"/>
  <c r="F120" i="1"/>
  <c r="F119" i="1"/>
  <c r="F114" i="1"/>
  <c r="G112" i="1"/>
  <c r="F112" i="1"/>
  <c r="D112" i="1"/>
  <c r="F111" i="1"/>
  <c r="D111" i="1"/>
  <c r="G111" i="1" s="1"/>
  <c r="F110" i="1"/>
  <c r="D110" i="1"/>
  <c r="G110" i="1" s="1"/>
  <c r="G109" i="1"/>
  <c r="F109" i="1"/>
  <c r="G108" i="1"/>
  <c r="F108" i="1"/>
  <c r="G107" i="1"/>
  <c r="F107" i="1"/>
  <c r="D107" i="1"/>
  <c r="G106" i="1"/>
  <c r="F106" i="1"/>
  <c r="D106" i="1"/>
  <c r="F105" i="1"/>
  <c r="D105" i="1"/>
  <c r="G105" i="1" s="1"/>
  <c r="F104" i="1"/>
  <c r="D104" i="1"/>
  <c r="G104" i="1" s="1"/>
  <c r="F103" i="1"/>
  <c r="D103" i="1"/>
  <c r="G103" i="1" s="1"/>
  <c r="F102" i="1"/>
  <c r="D102" i="1"/>
  <c r="G102" i="1" s="1"/>
  <c r="G101" i="1"/>
  <c r="F101" i="1"/>
  <c r="F100" i="1"/>
  <c r="D100" i="1"/>
  <c r="G100" i="1" s="1"/>
  <c r="F99" i="1"/>
  <c r="D99" i="1"/>
  <c r="G99" i="1" s="1"/>
  <c r="F98" i="1"/>
  <c r="D98" i="1"/>
  <c r="G98" i="1" s="1"/>
  <c r="F97" i="1"/>
  <c r="D97" i="1"/>
  <c r="G97" i="1" s="1"/>
  <c r="G96" i="1"/>
  <c r="F96" i="1"/>
  <c r="D96" i="1"/>
  <c r="G95" i="1"/>
  <c r="F95" i="1"/>
  <c r="D95" i="1"/>
  <c r="G94" i="1"/>
  <c r="F94" i="1"/>
  <c r="G93" i="1"/>
  <c r="F93" i="1"/>
  <c r="D93" i="1"/>
  <c r="G92" i="1"/>
  <c r="F92" i="1"/>
  <c r="D92" i="1"/>
  <c r="G91" i="1"/>
  <c r="F91" i="1"/>
  <c r="D91" i="1"/>
  <c r="F90" i="1"/>
  <c r="D90" i="1"/>
  <c r="G90" i="1" s="1"/>
  <c r="G89" i="1"/>
  <c r="F89" i="1"/>
  <c r="G88" i="1"/>
  <c r="F88" i="1"/>
  <c r="D88" i="1"/>
  <c r="F87" i="1"/>
  <c r="D87" i="1"/>
  <c r="G87" i="1" s="1"/>
  <c r="B54" i="1"/>
  <c r="B57" i="1" s="1"/>
  <c r="B49" i="1"/>
  <c r="B26" i="1"/>
  <c r="C25" i="1"/>
  <c r="B24" i="1"/>
  <c r="B23" i="1"/>
  <c r="G113" i="1" l="1"/>
  <c r="Q54" i="10"/>
  <c r="D71" i="6"/>
  <c r="S67" i="10"/>
  <c r="R67" i="10"/>
  <c r="D95" i="6"/>
  <c r="G152" i="6"/>
  <c r="G55" i="7"/>
  <c r="G11" i="6"/>
  <c r="L22" i="9"/>
  <c r="P9" i="9"/>
  <c r="F52" i="6" s="1"/>
  <c r="S36" i="10"/>
  <c r="F102" i="6" s="1"/>
  <c r="R36" i="10"/>
  <c r="G102" i="6" s="1"/>
  <c r="G13" i="6"/>
  <c r="F113" i="1"/>
  <c r="D133" i="6"/>
  <c r="S25" i="10"/>
  <c r="F91" i="6" s="1"/>
  <c r="R25" i="10"/>
  <c r="G91" i="6" s="1"/>
  <c r="O6" i="9"/>
  <c r="N19" i="9"/>
  <c r="G40" i="8"/>
  <c r="G27" i="6"/>
  <c r="D79" i="6"/>
  <c r="S11" i="10"/>
  <c r="F77" i="6" s="1"/>
  <c r="G97" i="6" s="1"/>
  <c r="R11" i="10"/>
  <c r="G77" i="6" s="1"/>
  <c r="O7" i="9"/>
  <c r="N20" i="9"/>
  <c r="G14" i="6"/>
  <c r="G76" i="7"/>
  <c r="F13" i="9"/>
  <c r="S18" i="10"/>
  <c r="F84" i="6" s="1"/>
  <c r="R18" i="10"/>
  <c r="G84" i="6" s="1"/>
  <c r="G12" i="6"/>
  <c r="G64" i="7"/>
  <c r="G73" i="6"/>
  <c r="B78" i="7"/>
  <c r="F78" i="7" s="1"/>
  <c r="G80" i="7" s="1"/>
  <c r="F79" i="7"/>
  <c r="O8" i="9"/>
  <c r="N21" i="9"/>
  <c r="G37" i="10"/>
  <c r="D37" i="10"/>
  <c r="M37" i="10"/>
  <c r="Q37" i="10" s="1"/>
  <c r="F12" i="9"/>
  <c r="J5" i="9"/>
  <c r="B22" i="9"/>
  <c r="J22" i="9" s="1"/>
  <c r="B52" i="6" s="1"/>
  <c r="B78" i="8"/>
  <c r="F78" i="8" s="1"/>
  <c r="G33" i="6" s="1"/>
  <c r="J10" i="9"/>
  <c r="N18" i="9"/>
  <c r="R4" i="10"/>
  <c r="G70" i="6" s="1"/>
  <c r="R6" i="10"/>
  <c r="R8" i="10"/>
  <c r="R10" i="10"/>
  <c r="G76" i="6" s="1"/>
  <c r="R32" i="10"/>
  <c r="R56" i="10"/>
  <c r="G122" i="6" s="1"/>
  <c r="R58" i="10"/>
  <c r="G124" i="6" s="1"/>
  <c r="R60" i="10"/>
  <c r="G126" i="6" s="1"/>
  <c r="R62" i="10"/>
  <c r="G128" i="6" s="1"/>
  <c r="R97" i="10"/>
  <c r="F14" i="7"/>
  <c r="F29" i="8"/>
  <c r="O5" i="9"/>
  <c r="R12" i="10"/>
  <c r="G78" i="6" s="1"/>
  <c r="R14" i="10"/>
  <c r="G80" i="6" s="1"/>
  <c r="R16" i="10"/>
  <c r="G82" i="6" s="1"/>
  <c r="R20" i="10"/>
  <c r="G86" i="6" s="1"/>
  <c r="R22" i="10"/>
  <c r="G88" i="6" s="1"/>
  <c r="R24" i="10"/>
  <c r="G90" i="6" s="1"/>
  <c r="R41" i="10"/>
  <c r="R43" i="10"/>
  <c r="G109" i="6" s="1"/>
  <c r="R45" i="10"/>
  <c r="G111" i="6" s="1"/>
  <c r="R47" i="10"/>
  <c r="G113" i="6" s="1"/>
  <c r="R49" i="10"/>
  <c r="G115" i="6" s="1"/>
  <c r="R51" i="10"/>
  <c r="G117" i="6" s="1"/>
  <c r="R53" i="10"/>
  <c r="G119" i="6" s="1"/>
  <c r="R69" i="10"/>
  <c r="G135" i="6" s="1"/>
  <c r="R73" i="10"/>
  <c r="R75" i="10"/>
  <c r="G142" i="6" s="1"/>
  <c r="R77" i="10"/>
  <c r="R79" i="10"/>
  <c r="R81" i="10"/>
  <c r="R83" i="10"/>
  <c r="R85" i="10"/>
  <c r="G149" i="6" s="1"/>
  <c r="R87" i="10"/>
  <c r="R89" i="10"/>
  <c r="G148" i="6" s="1"/>
  <c r="R91" i="10"/>
  <c r="R93" i="10"/>
  <c r="R95" i="10"/>
  <c r="R26" i="10"/>
  <c r="G92" i="6" s="1"/>
  <c r="R28" i="10"/>
  <c r="G94" i="6" s="1"/>
  <c r="D7" i="11"/>
  <c r="F4" i="11"/>
  <c r="G72" i="6" l="1"/>
  <c r="F115" i="1"/>
  <c r="S37" i="10"/>
  <c r="S30" i="10"/>
  <c r="G96" i="6"/>
  <c r="R37" i="10"/>
  <c r="G103" i="6" s="1"/>
  <c r="G105" i="6" s="1"/>
  <c r="K37" i="10"/>
  <c r="P6" i="9"/>
  <c r="F49" i="6" s="1"/>
  <c r="L19" i="9"/>
  <c r="M19" i="9" s="1"/>
  <c r="G49" i="6" s="1"/>
  <c r="G133" i="6"/>
  <c r="G137" i="6" s="1"/>
  <c r="F156" i="1"/>
  <c r="L20" i="9"/>
  <c r="M20" i="9" s="1"/>
  <c r="G50" i="6" s="1"/>
  <c r="P7" i="9"/>
  <c r="F50" i="6" s="1"/>
  <c r="M22" i="9"/>
  <c r="G52" i="6" s="1"/>
  <c r="S71" i="10"/>
  <c r="F133" i="6"/>
  <c r="G138" i="6" s="1"/>
  <c r="N25" i="9"/>
  <c r="F56" i="6" s="1"/>
  <c r="B158" i="6"/>
  <c r="G15" i="6"/>
  <c r="B25" i="9"/>
  <c r="L21" i="9"/>
  <c r="M21" i="9" s="1"/>
  <c r="G51" i="6" s="1"/>
  <c r="P8" i="9"/>
  <c r="F51" i="6" s="1"/>
  <c r="J25" i="9"/>
  <c r="S54" i="10"/>
  <c r="R54" i="10"/>
  <c r="G120" i="6" s="1"/>
  <c r="G129" i="6" s="1"/>
  <c r="G151" i="6"/>
  <c r="P5" i="9"/>
  <c r="L18" i="9"/>
  <c r="M18" i="9" s="1"/>
  <c r="G29" i="8"/>
  <c r="G23" i="6"/>
  <c r="G31" i="6" s="1"/>
  <c r="H32" i="6" s="1"/>
  <c r="J12" i="9"/>
  <c r="G14" i="7"/>
  <c r="G6" i="6"/>
  <c r="M25" i="9" l="1"/>
  <c r="G48" i="6"/>
  <c r="F55" i="6" s="1"/>
  <c r="B176" i="1"/>
  <c r="B175" i="1"/>
  <c r="F103" i="6"/>
  <c r="G106" i="6" s="1"/>
  <c r="S39" i="10"/>
  <c r="F48" i="6"/>
  <c r="F54" i="6" s="1"/>
  <c r="P12" i="9"/>
  <c r="F120" i="6"/>
  <c r="G130" i="6" s="1"/>
  <c r="S63" i="10"/>
  <c r="B156" i="6"/>
  <c r="B159" i="6" l="1"/>
  <c r="B162" i="6" s="1"/>
  <c r="B161" i="6"/>
  <c r="B180" i="1"/>
  <c r="B178" i="1"/>
  <c r="B181" i="1" s="1"/>
  <c r="B15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F86" authorId="0" shapeId="0" xr:uid="{00000000-0006-0000-0000-000001000000}">
      <text>
        <r>
          <rPr>
            <sz val="11"/>
            <color theme="1"/>
            <rFont val="Calibri"/>
            <family val="2"/>
            <scheme val="minor"/>
          </rPr>
          <t>Victoria Gierok:
valued at sales prices where available</t>
        </r>
      </text>
    </comment>
    <comment ref="F117" authorId="0" shapeId="0" xr:uid="{00000000-0006-0000-0000-000002000000}">
      <text>
        <r>
          <rPr>
            <sz val="11"/>
            <color theme="1"/>
            <rFont val="Calibri"/>
            <family val="2"/>
            <scheme val="minor"/>
          </rPr>
          <t>Victoria Gierok:
valued at sales prices where available</t>
        </r>
      </text>
    </comment>
    <comment ref="F126" authorId="0" shapeId="0" xr:uid="{00000000-0006-0000-0000-000003000000}">
      <text>
        <r>
          <rPr>
            <sz val="11"/>
            <color theme="1"/>
            <rFont val="Calibri"/>
            <family val="2"/>
            <scheme val="minor"/>
          </rPr>
          <t>Victoria Gierok:
valued at sales prices where available</t>
        </r>
      </text>
    </comment>
    <comment ref="F150" authorId="0" shapeId="0" xr:uid="{00000000-0006-0000-0000-000004000000}">
      <text>
        <r>
          <rPr>
            <sz val="11"/>
            <color theme="1"/>
            <rFont val="Calibri"/>
            <family val="2"/>
            <scheme val="minor"/>
          </rPr>
          <t>Victoria Gierok:
valued at sales prices where available</t>
        </r>
      </text>
    </comment>
    <comment ref="F158" authorId="0" shapeId="0" xr:uid="{00000000-0006-0000-0000-000005000000}">
      <text>
        <r>
          <rPr>
            <sz val="11"/>
            <color theme="1"/>
            <rFont val="Calibri"/>
            <family val="2"/>
            <scheme val="minor"/>
          </rPr>
          <t>Victoria Gierok:
valued at sales prices where available</t>
        </r>
      </text>
    </comment>
    <comment ref="F165" authorId="0" shapeId="0" xr:uid="{00000000-0006-0000-0000-000006000000}">
      <text>
        <r>
          <rPr>
            <sz val="11"/>
            <color theme="1"/>
            <rFont val="Calibri"/>
            <family val="2"/>
            <scheme val="minor"/>
          </rPr>
          <t>Victoria Gierok:
valued at sales prices where available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C16" authorId="0" shapeId="0" xr:uid="{00000000-0006-0000-0800-000001000000}">
      <text>
        <r>
          <rPr>
            <sz val="11"/>
            <color theme="1"/>
            <rFont val="Calibri"/>
            <family val="2"/>
            <scheme val="minor"/>
          </rPr>
          <t xml:space="preserve">Victoria Gierok:
from Issue of the grange </t>
        </r>
      </text>
    </comment>
  </commentList>
</comments>
</file>

<file path=xl/sharedStrings.xml><?xml version="1.0" encoding="utf-8"?>
<sst xmlns="http://schemas.openxmlformats.org/spreadsheetml/2006/main" count="1311" uniqueCount="688">
  <si>
    <t>BISHOPSFONTHILL 1301 OVERVIEW - COMPLETED</t>
  </si>
  <si>
    <t>Total in £</t>
  </si>
  <si>
    <t>Error</t>
  </si>
  <si>
    <t>Note</t>
  </si>
  <si>
    <t>CASH ACCOUNT</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</si>
  <si>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</si>
  <si>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</si>
  <si>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</si>
  <si>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</si>
  <si>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</si>
  <si>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</si>
  <si>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</si>
  <si>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</si>
  <si>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</si>
  <si>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</si>
  <si>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</si>
  <si>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</si>
  <si>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</si>
  <si>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</si>
  <si>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</si>
  <si>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</si>
  <si>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</si>
  <si>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</si>
  <si>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</si>
  <si>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</si>
  <si>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</si>
  <si>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</si>
  <si>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</si>
  <si>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</si>
  <si>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</si>
  <si>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</si>
  <si>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</si>
  <si>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</si>
  <si>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</si>
  <si>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</si>
  <si>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</si>
  <si>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</si>
  <si>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</si>
  <si>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</si>
  <si>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</si>
  <si>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</si>
  <si>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</si>
  <si>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</si>
  <si>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</si>
  <si>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</si>
  <si>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</si>
  <si>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</si>
  <si>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</si>
  <si>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</si>
  <si>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</si>
  <si>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Allowances</t>
  </si>
  <si>
    <t>Cash deliveries</t>
  </si>
  <si>
    <t>Sum of the above</t>
  </si>
  <si>
    <t>Total of all allowances and cash deliveries in accounts</t>
  </si>
  <si>
    <t>Net amount owed</t>
  </si>
  <si>
    <t>Net amount owed in accounts</t>
  </si>
  <si>
    <t xml:space="preserve">GRANGE ACCOUNT </t>
  </si>
  <si>
    <t>Total Production</t>
  </si>
  <si>
    <t>Value of total gross production in £</t>
  </si>
  <si>
    <t>Value of total net production in £</t>
  </si>
  <si>
    <t>Grange</t>
  </si>
  <si>
    <t>qrs</t>
  </si>
  <si>
    <t>bus</t>
  </si>
  <si>
    <t>Wheat</t>
  </si>
  <si>
    <t>Rye</t>
  </si>
  <si>
    <t>Dredge</t>
  </si>
  <si>
    <t>Curall</t>
  </si>
  <si>
    <t>Barley</t>
  </si>
  <si>
    <t>Oats</t>
  </si>
  <si>
    <t>Beans</t>
  </si>
  <si>
    <t>Peas</t>
  </si>
  <si>
    <t>Vetches</t>
  </si>
  <si>
    <t>Total value of gross production (sum of the above)</t>
  </si>
  <si>
    <t>Total value of net production</t>
  </si>
  <si>
    <t>Value of sales</t>
  </si>
  <si>
    <t>MILL ACCOUNT</t>
  </si>
  <si>
    <t>Issues of the mill</t>
  </si>
  <si>
    <t>Oatmeal</t>
  </si>
  <si>
    <t>1st grade malt</t>
  </si>
  <si>
    <t>2nd grade malt</t>
  </si>
  <si>
    <t>Maslin</t>
  </si>
  <si>
    <t>Total value of production (sum of the above)</t>
  </si>
  <si>
    <t>STOCK ACCOUNT</t>
  </si>
  <si>
    <t>Livestock</t>
  </si>
  <si>
    <t>Begin stock</t>
  </si>
  <si>
    <t>End stock</t>
  </si>
  <si>
    <t>Stockbuilding</t>
  </si>
  <si>
    <t>Value of stock in £</t>
  </si>
  <si>
    <t>Value of stockbuilding</t>
  </si>
  <si>
    <t>Cart-horses</t>
  </si>
  <si>
    <t>Mares</t>
  </si>
  <si>
    <t>Plough horses</t>
  </si>
  <si>
    <t>Colts (2 years)</t>
  </si>
  <si>
    <t>Colts (1 year)</t>
  </si>
  <si>
    <t>Foals</t>
  </si>
  <si>
    <t>Oxen</t>
  </si>
  <si>
    <t>Bulls</t>
  </si>
  <si>
    <t>Cows</t>
  </si>
  <si>
    <t>Steers</t>
  </si>
  <si>
    <t>Bullocks</t>
  </si>
  <si>
    <t>Yearlings</t>
  </si>
  <si>
    <t>Calves</t>
  </si>
  <si>
    <t>Wethers</t>
  </si>
  <si>
    <t>Rams</t>
  </si>
  <si>
    <t>Ewes</t>
  </si>
  <si>
    <t>Hoggs</t>
  </si>
  <si>
    <t>Lambs</t>
  </si>
  <si>
    <t>Boars</t>
  </si>
  <si>
    <t>Sows</t>
  </si>
  <si>
    <t>Pigs</t>
  </si>
  <si>
    <t>Hoggets</t>
  </si>
  <si>
    <t>Piglets</t>
  </si>
  <si>
    <t>Swans</t>
  </si>
  <si>
    <t>Peacocks</t>
  </si>
  <si>
    <t>Total value of stock (sum of the above)</t>
  </si>
  <si>
    <t>Total value of production</t>
  </si>
  <si>
    <t>Wool</t>
  </si>
  <si>
    <t>Fleeces</t>
  </si>
  <si>
    <t>Coarse wool</t>
  </si>
  <si>
    <t>Lamb's wool</t>
  </si>
  <si>
    <t>Wool locks</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</si>
  <si>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</si>
  <si>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</si>
  <si>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</si>
  <si>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</si>
  <si>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</si>
  <si>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</si>
  <si>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</si>
  <si>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</si>
  <si>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</si>
  <si>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</si>
  <si>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</si>
  <si>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</si>
  <si>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</si>
  <si>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</si>
  <si>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</si>
  <si>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</si>
  <si>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</si>
  <si>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</si>
  <si>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</si>
  <si>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Lambskins</t>
  </si>
  <si>
    <t>Rotted skins</t>
  </si>
  <si>
    <t>Shorn skins</t>
  </si>
  <si>
    <t>Poultry stock</t>
  </si>
  <si>
    <t>Hens</t>
  </si>
  <si>
    <t>Geese</t>
  </si>
  <si>
    <t>Capons (from chickens)</t>
  </si>
  <si>
    <t>Cocks &amp; hens</t>
  </si>
  <si>
    <t>Poultry production</t>
  </si>
  <si>
    <t>Eggs</t>
  </si>
  <si>
    <t>Cocks &amp; hens from churchscot of customary tenants</t>
  </si>
  <si>
    <t>Sum of above</t>
  </si>
  <si>
    <t>Total value of stock</t>
  </si>
  <si>
    <t>Dairy Production</t>
  </si>
  <si>
    <t>Butter</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</si>
  <si>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</si>
  <si>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</si>
  <si>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</si>
  <si>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</si>
  <si>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</si>
  <si>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</si>
  <si>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</si>
  <si>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</si>
  <si>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t>% of capital expenses as calculated previously</t>
  </si>
  <si>
    <t>n/a</t>
  </si>
  <si>
    <t>No mill account for Adderbury</t>
  </si>
  <si>
    <t>Heading</t>
  </si>
  <si>
    <t>Sentence</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</si>
  <si>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</si>
  <si>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</si>
  <si>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</si>
  <si>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</si>
  <si>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</si>
  <si>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</si>
  <si>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</si>
  <si>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</si>
  <si>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</si>
  <si>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</si>
  <si>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</si>
  <si>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</si>
  <si>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</si>
  <si>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</si>
  <si>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</si>
  <si>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</si>
  <si>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</si>
  <si>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</si>
  <si>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</si>
  <si>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</si>
  <si>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</si>
  <si>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</si>
  <si>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</si>
  <si>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</si>
  <si>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</si>
  <si>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</si>
  <si>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</si>
  <si>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</si>
  <si>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Adderbury</t>
  </si>
  <si>
    <t>The account2 of William Jakeman, reeve there, for the sixth year of the translation of Henry Beaufort', lord bishop of Winchester, and the eleventh year of the reign of King Henry the Fourth.</t>
  </si>
  <si>
    <t xml:space="preserve">Arrears </t>
  </si>
  <si>
    <t>None.</t>
  </si>
  <si>
    <t>Rents of assize</t>
  </si>
  <si>
    <t>And for £6 9 shilling 6.25pence for all rents of assize at St Thomas the Apostle (21 December).</t>
  </si>
  <si>
    <t>£6 9 shilling 8.5pence at Easter (23 March).</t>
  </si>
  <si>
    <t>£6 9 shilling 6.25pence at the Nativity of St John the Baptist (24 June).</t>
  </si>
  <si>
    <t>£6 10 shilling 1.5pence at Michaelmas (29 September).</t>
  </si>
  <si>
    <t>Total, £25 18 shilling 10.5pence.</t>
  </si>
  <si>
    <t>Quittances of rent</t>
  </si>
  <si>
    <t>In quittance of rent of 1 reeve for the year 5 shilling.</t>
  </si>
  <si>
    <t>nothing this year of the 4 shilling for 1 smith forging the ironwork of 2 ploughs for the year.</t>
  </si>
  <si>
    <t>nothing this year of the 4 shilling for 1 shepherd keeping the lord's wethers for the year.</t>
  </si>
  <si>
    <t>nothing this year of the 4 shilling for 1 swineherd for the year.</t>
  </si>
  <si>
    <t>nothing this year of the 4 shilling for 1 cowherd for the year.</t>
  </si>
  <si>
    <t>nothing this year of the 2 shilling 7.5pence for 1 customary tenant who was accustomed to provide all the necessaries pertaining to 1 plough, apart from iron and steel, with 1 man.</t>
  </si>
  <si>
    <t>nothing this year of the 5 shilling 4pence for 2 drovers for the year.</t>
  </si>
  <si>
    <t>37 virgaters working every other day between the Nativity of St John the Baptist and Michaelmas £1 7 shilling 9pence, or 9pence a virgate.</t>
  </si>
  <si>
    <t>2 cotlanders holding in tenure working for the same time 1 shilling, or 6pence each, and not more because 6 cotlands are in the lord's hands.</t>
  </si>
  <si>
    <t>And note that the aforesaid workers are to weed the lord's corn, mow the meadows, make the hay and make haycocks therefrom, clean the curia, collect dung inside the curia and carry it outside, reap and bind all the lord's corn with the hired reapers as made clear elsewhere, stack all the lord's corn, collect the stubble and do other work in the manor when it was necessary.</t>
  </si>
  <si>
    <t>Total, £1 13 shilling 9pence.</t>
  </si>
  <si>
    <t>Defaults of rent</t>
  </si>
  <si>
    <t>Default of the meadow which John Bryddesthorn' held for his life drawn into demesne, 10 shilling for the year.</t>
  </si>
  <si>
    <t>1 toft and 1 curtilage of villein land called Cokpedehall', in the lord's hands from a want of tenants because noone wished to hold it, 6pence.</t>
  </si>
  <si>
    <t>Total, 10 shilling6pence.</t>
  </si>
  <si>
    <t>Defaults of rent through the pestilence</t>
  </si>
  <si>
    <t>In default of 1 messuage and 1 acreland formerly of Richard Bolt, in the lord's hands from a want of tenants, 4 shilling 10pence for the year, and demised at farm as made clear below.</t>
  </si>
  <si>
    <t>1 messuage and 1 acreland formerly of John Stephen' and afterwards of Mabel Dawe in the lord's hands, 2 shilling 6pence for the year, and at farm as made clear below.</t>
  </si>
  <si>
    <t>1 messuage and 1 acreland formerly of Richard Dolphin in the lord's hands, 2 shilling 9pence for the year, and at farm as made clear below.</t>
  </si>
  <si>
    <t>1 messuage and 1 acreland formerly of Richard Acreman and afterwards of Alan Acreman in the lord's hands, 5 shilling 6pence for the year, and at farm as made clear below.</t>
  </si>
  <si>
    <t>1 messuage and 1 acreland formerly of John Osbarn' and afterwards of John Dolphyn in the lord's hands, 2 shilling 6pence for the year, and at farm as made clear below.</t>
  </si>
  <si>
    <t>1 messuage and 1 acreland formerly of John Buryman in the lord's hands, 2 shilling 6pence for the year, and at farm as made clear below.</t>
  </si>
  <si>
    <t>1 messuage and 1 acreland formerly of John Geffray and afterwards of Richard Smyth' in the lord's hands, 2 shilling 9pence for the year, and at farm as made clear below.</t>
  </si>
  <si>
    <t>Cotlands</t>
  </si>
  <si>
    <t>In default of 1 messuage and 1 cotland formerly of Gilbert Buryman and afterwards of William Som' in the lord's hands, 4 shilling for the year, and at farm as made clear below.</t>
  </si>
  <si>
    <t>1 messuage and 1 cotland formerly of Richard Janekyn and afterwards of William Smyth in the lord's hands, 4 shilling for the year,' and at farm as made clear below.</t>
  </si>
  <si>
    <t>1 messuage and 1 cotland formerly of Walter Bolt and afterwards of William Bolt in the lord's hands, 4 shilling for the year, and at farm as made clear below.</t>
  </si>
  <si>
    <t>1 messuage and 1 cotland formerly of Richard Skreveyn and afterwards of Richard Andrew in the lord's hands, 4 shilling for the year, and at farm as made clear below.</t>
  </si>
  <si>
    <t>1 messuage and 1 cotland formerly of John Gylot and afterwards of William Gylot in the lord's hands, 4 shilling for the year, and at farm as made clear below.</t>
  </si>
  <si>
    <t>1 messuage and 1 cotland formerly of Alice atte Halle and afterwards of Thomas Benne in the lord's hands, 4 shilling for the year, and at farm as made clear below.</t>
  </si>
  <si>
    <t>Total, £2 7 shilling 4pence.</t>
  </si>
  <si>
    <t>Total of quittances and defaults of rent</t>
  </si>
  <si>
    <t>Total of quittances and defaults of rent, £4 11 shilling 7pence.</t>
  </si>
  <si>
    <t>Total of rents remaining clear</t>
  </si>
  <si>
    <t>Total of rents remaining clear, £21 7 shilling 3.5pence.</t>
  </si>
  <si>
    <t>Farms</t>
  </si>
  <si>
    <t>And for 16 shilling from William Bourton' for the farm of 15 acres of demesne land lying beside Bodicote called Goldwelleforlong', with the small pasture annexed to the said furlong (cultur') and 1.5 acres in the meadow of Sweteneye, demised to the same William for 20 years, this year being the sixth, to be paid at the four terms of the year.</t>
  </si>
  <si>
    <t>6 shilling 8pence from John Jakeman for the farm of 6 selions in le Estfeld' and 6 selions in le Westfeld', with the small pasture annexed to the said furlong called Wyneswell , in severalty every other year whilst it pleases the lord, to be paid as before.</t>
  </si>
  <si>
    <t>16 shilling from Robert Box, William Lemburgh' and William Malle for the farm of 13 acres of demesne land in le Westfeld' called Newelond' and 4 acres at the headland of Wyneswell' whilst it pleases the lord, to be paid as before.</t>
  </si>
  <si>
    <t>1 shilling 10pence from William Smyth' for 1 parcel of waste land annexed to his tenement, 14 feet long and 8 feet wide, for shoeing the horses at 1 tourn whilst it pleases the lord, and also for 5 acres 1 rood of demesne land, of which 3 acres lie at Cotmannethurne beside the land of John Wyght and 2 acres 1 rood lie beside the land called Nyneacres, for 12 years, this year being the seventh, to be paid as before.</t>
  </si>
  <si>
    <t>1 shilling from Thomas Shiperde for the farm of 3 acres of demesne land demised to him whilst it pleases the lord, to be paid as before.</t>
  </si>
  <si>
    <t>1 shilling 8pence from John Spencer for the farm of 5 acres of demesne land lying in Middelfurlong',.</t>
  </si>
  <si>
    <t>demised to the same for 8 years, this year being the sixth, to be paid as before.</t>
  </si>
  <si>
    <t>8pence from William Webbe for the farm of 2 acres of demesne land lying in Middelfurlong', demised to him for 8 years, this year being the sixth, to be paid as before.</t>
  </si>
  <si>
    <t>8pence from William Rundell' for the farm of 2 acres of demesne land lying in Middelfurlong' demised to him this year.</t>
  </si>
  <si>
    <t>Total, £2 4 shilling 6pence.</t>
  </si>
  <si>
    <t>Annual recognizance</t>
  </si>
  <si>
    <t>And for 2pence from Robert Coupere so that he may dwell within the lord's liberty as long as it pleases the lord and come to the 2 tourns.</t>
  </si>
  <si>
    <t>2pence from John Balfr' for the same, coming to the tourn of Hockday.</t>
  </si>
  <si>
    <t>3pence from Thomas Shiperde for the same, coming to the 2 tourns for the year.</t>
  </si>
  <si>
    <t>3pence from Philip Berners for the same.</t>
  </si>
  <si>
    <t>2pence from Roger Grynder' for the same.</t>
  </si>
  <si>
    <t>2pence from John Aubry for the same, coming to the tourn of Hockday for the year.</t>
  </si>
  <si>
    <t>2pence from William Ropere, coming to the tourn of Martinmas.</t>
  </si>
  <si>
    <t>2pence from William Carpis' for the same, coming to the tourn of Hockday.</t>
  </si>
  <si>
    <t>2pence from Hubert Beverle for the same, coming to the tourn of Martinmas.</t>
  </si>
  <si>
    <t>2pence from William Glovere for the same, coming to the tourn of Hockday.</t>
  </si>
  <si>
    <t>2pence from Thomas Gentylman for the same, coming to the tourn of Hockday.</t>
  </si>
  <si>
    <t>1 shilling from William Buryman' so that he may dwell outside the lord's liberty as long as it pleases the lord and come to the tourn of Hockday and remain the lord's villein as before.</t>
  </si>
  <si>
    <t>1 shilling from Richard Somer for the same, remaining the lord's villein as before.</t>
  </si>
  <si>
    <t>3pence from John Spycer so that he may dwell within the lord's liberty as long as it pleases the lord and himself and come to the tourn of Hockday for the year.</t>
  </si>
  <si>
    <t>2pence from William Shenston for the same.</t>
  </si>
  <si>
    <t>2pence from William Wener' for the same.</t>
  </si>
  <si>
    <t>4pence from John Boys and Simon Bailly for the same.</t>
  </si>
  <si>
    <t>Total, 4 shilling 11pence.</t>
  </si>
  <si>
    <t>Issues of the manor</t>
  </si>
  <si>
    <t>And for 5 shilling 6.5pence from the pannage of the pigs of the customary tenants at Martinmas.</t>
  </si>
  <si>
    <t>nothing from the pasturage in le Wymore because it pertains to the farmer.</t>
  </si>
  <si>
    <t>nothing from the pasturage in Mykelham, Buryhok', Halywellesturton', Fulput and Slopet for the aforesaid reason.</t>
  </si>
  <si>
    <t>nothing from the agistment of cattle with the lord's cattle for the aforesaid reason.</t>
  </si>
  <si>
    <t>nothing from winter and summer pasturage in Goldwellefurlong' because it is demised to William Bourton' as made clear in the farms above.</t>
  </si>
  <si>
    <t>nothing of the 3 shilling for the winter pasturage in Wynesterwell' because it is demised to John Jakeman as made clear in the farms above.</t>
  </si>
  <si>
    <t>nothing from the pasturage in Sweteneye because it pertains to the fanner.</t>
  </si>
  <si>
    <t>£1 from refusals to stack this year.</t>
  </si>
  <si>
    <t>nothing of the 13 shilling 4pence for the farm of the fishery in the Cherwell because it pertains to the farmer.</t>
  </si>
  <si>
    <t>3 shilling from John Eadburbury for oven-dues.</t>
  </si>
  <si>
    <t>nothing of the 13 shilling 4pence for the farm of the oven-dues which belonged to John Benne because that rent is discharged by council of Adam, recently lord bishop of Winchester, as is made clear at the foot of the account for the sixth year of the same Adam (1338-9).</t>
  </si>
  <si>
    <t>nothing from the herbage in Mikelham and Longmore because it is demised to the farmer.</t>
  </si>
  <si>
    <t>6 shilling from John Eadburbury for release of his labour services.</t>
  </si>
  <si>
    <t>nothing from geese sold.</t>
  </si>
  <si>
    <t>1 shilling 6pence from 61 capons sold as made clear elsewhere, at 3pence each.</t>
  </si>
  <si>
    <t>1 shilling 8pence from 10 cocks and hens sold, at 2pence each.</t>
  </si>
  <si>
    <t>nothing from hens' eggs sold.</t>
  </si>
  <si>
    <t>nothing from the milking of cows or ewes.</t>
  </si>
  <si>
    <t>nothing for the farm of the lands and tenements in the lord's hands here because they are given separately below.</t>
  </si>
  <si>
    <t>nothing from wool sold this year.</t>
  </si>
  <si>
    <t>nothing from hay sold this year.</t>
  </si>
  <si>
    <t>1 shilling from 250 stone slates sold because unsuitable (inutil') for the use of the lord.</t>
  </si>
  <si>
    <t>3 shilling 4pence from 400 laths sold, at 10pence a 100.</t>
  </si>
  <si>
    <t>6pence from 6 worn out hurdles sold.</t>
  </si>
  <si>
    <t>Total, £2 2 shilling 7.5pence.</t>
  </si>
  <si>
    <t>Issues of the tenements in the lord's hands</t>
  </si>
  <si>
    <t>And for 10 shilling from Richard atte Mulle for the farm of 1 toft and 1 acreland formerly of Richard Bolt in the lord's hands.</t>
  </si>
  <si>
    <t>7 shilling 1pence from John Jakeman for the farm for the year of 1 messuage and 1 acreland formerly of John Stephen' and afterwards of Mabel Dawe in the lord's hands.</t>
  </si>
  <si>
    <t>10 shilling 8pence from William atte Lee for the farm of 1 messuage and 1 acreland formerly of Richard Dolphin in the lord's hands.</t>
  </si>
  <si>
    <t>19 shilling 1pence from John Andrew of Bodicote for the farm of 1 messuage and 2 acrelands formerly of Richard Acreman and afterwards of Alan Acreman demised to the same at farm.</t>
  </si>
  <si>
    <t>12 shilling from Richard atte Mulle for the farm of 1 toft and 1 acreland formerly of John Osebam' and afterwards of John Dolphyn demised to the same.</t>
  </si>
  <si>
    <t>12 shilling 8pence from John Stoketon' for the farm of 1 messuage and 1 acreland formerly of John Buryman in the lord's hands.</t>
  </si>
  <si>
    <t>14 shilling from Thomas Lanure for 1 messuage and 1 acreland formerly of John Geffrey and afterwards of Richard Smyth' in the lord's hands.</t>
  </si>
  <si>
    <t>And for 14 shilling from John Knyght for the farm of 1 messuage and 1 cotland formerly of Gilbert Buryman and afterwards of William Somer in the lord's hands.</t>
  </si>
  <si>
    <t>13 shilling 4pence from William Rundell' for the farm of 1 messuage and 1 cotland formerly of Richard Janekyn and afterwards of William Smyth' demised to the same at farm.</t>
  </si>
  <si>
    <t>12 shilling from John Berewyk for the farm of 1 messuage and 1 cotland formerly of Walter Bolt and afterwards of Thomas Bolt demised to the same at farm.</t>
  </si>
  <si>
    <t>18 shilling from John Yonge for the farm of 1 messuage and 1 cotland formerly of Richard Scryveyn and afterwards of Richard Andrew demised to the same at farm.</t>
  </si>
  <si>
    <t>12 shilling from Richard Clerk for the farm of 1 messuage and 1 cotland formerly of John Gylot and William Gylot demised to the same as above.</t>
  </si>
  <si>
    <t>10 shilling from Henry Gille for the farm of 1 messuage and 1 cotland formerly of Alice atte Halle and afterwards of Thomas Benne demised to the same as above.</t>
  </si>
  <si>
    <t>Total, £8 3 shilling 10pence.</t>
  </si>
  <si>
    <t>Sale of labour services</t>
  </si>
  <si>
    <t>And for £1 1 shilling for release of the labour services of 3.5 hides in Bodicote this year, at 6 shillinga hide.</t>
  </si>
  <si>
    <t>£16 13 shilling for release of the labour services of 37 virgates for the year, at 9 shilling a virgate, and not more because of the 38 customary tenants to hold of the same tenure 1 is reeve and is quit by reason of his office.</t>
  </si>
  <si>
    <t>6 shilling 8pence from 40 cottars for 40 labour services making hay sold to the same this year, at 2pence a labour service.</t>
  </si>
  <si>
    <t>3 shilling 6pence from 21 cottars for 21 labour services weeding corn sold to the same this year, at 2pence a labour service.</t>
  </si>
  <si>
    <t>8 shilling from 16 cottars for 32 boon-works sold to the same this year, at 3pence a labour service.</t>
  </si>
  <si>
    <t>16 shilling for release of the labour services of 2 cotlands, at 8 shilling a cotland, and not more because of the 8 customary tenants to hold of the same tenure 6 are in the lord's hands, as made clear under the heading, issues of the tenements.</t>
  </si>
  <si>
    <t>Total, £19 8 shilling 2pence.</t>
  </si>
  <si>
    <t>Sale of corn</t>
  </si>
  <si>
    <t>Nothing from the sale of corn for the reason made clear elsewhere.</t>
  </si>
  <si>
    <t>Sale of stock</t>
  </si>
  <si>
    <t>And for 10 shilling 6pence from 1 horse sold as made clear elsewhere.</t>
  </si>
  <si>
    <t>5 shilling from 1 colt sold as made clear elsewhere.</t>
  </si>
  <si>
    <t>£1 10 shilling from 3 cows sold as made clear elsewhere.</t>
  </si>
  <si>
    <t>8pence from 1 ewe sold as made clear elsewhere.</t>
  </si>
  <si>
    <t>Total, £2 6 shilling 2pence.</t>
  </si>
  <si>
    <t>Entry and marriage fines</t>
  </si>
  <si>
    <t>And for £1 from fixed payments (certus visus) and tithingpenny at Martinmas.</t>
  </si>
  <si>
    <t>£1 from fixed payments and tithingpenny at Hockday.</t>
  </si>
  <si>
    <t>3 shilling 4pence from Thomas Mason' to have 3.5 acres of arable land and 1 acre of meadow in Bodicote by surrender of Richard Umfray and Alice his wife, and she is examined about this in court.</t>
  </si>
  <si>
    <t>£1 from Robert Clerk' to have 1 messuage with a curtilage and 1 cotland of villein land in Adderbury which belonged to William Gylot and which came into the lord's hands as his escheat because noone of the kin of the said William took steps to fine for the same although a proclamation was made according to the custom of the manor.</t>
  </si>
  <si>
    <t>£1 6 shilling 8pence from Thomas Ingram to have 1 messuage and 1 virgate of villein land in Adderbury by surrender of Richard Asser, for which William, son and heir of the aforesaid Richard, refused to make fine in full court and remised and released all his right and claim which he had or will be able to have in the same to the aforesaid Thomas.</t>
  </si>
  <si>
    <t>£2 from Richard atte Mulle to have 1 toft called Boltes and 1 other toft called Osebarnes with 2 acrelands of villein land in Adderbury which belonged to Richard Bolt and John Osbarn and which came into the lord's hands as his escheat because noone of the kin of the said Richard took steps to fine for the same although a proclamation was made according to the custom of the manor.</t>
  </si>
  <si>
    <t>6 shilling 8pence from Amice, daughter of Thomas Hogg', for marrying herself outside.</t>
  </si>
  <si>
    <t>10 shilling from William, son of Thomas Benne, to have 1 messuage and .5 virgate of villein land in Adderbury which belonged to the aforesaid Thomas his father.</t>
  </si>
  <si>
    <t>£1 from William atte Lee to have 1 messuage with a curtilage and 1 acreland of villein land in Adderbury which belonged to Richard Dolphin and which came into the lord's hands as his escheat because noone of the kin of the said Richard took steps to fine for the same although a proclamation was made according to the custom of the manor.</t>
  </si>
  <si>
    <t>£2 from Simon Holte to have 1 messuage 16 acres of land, 2 cottages, 9 acres of land and 1 acre of meadow, 1 messuage and 1 virgate of villein land and 1 water-mill in Bodicote.</t>
  </si>
  <si>
    <t>£4 6 shilling 8pence from Richard Verdon' and Alice his wife to have 1 messuage 36 acres of land and 7 acres of meadow in the meadow of Bodicote together with common pasture for 3 cattle in the common pasture of Bodicote and 5 cattle in the several pasture of the aforesaid vill by surrender of Agnes Hammeye.</t>
  </si>
  <si>
    <t>£3 6 shilling 8pence from John Appuldor, of Bodicote to have 1 messuage and 1 virgate of villein land in Bodicote by surrender of Adam Chapeleyn.</t>
  </si>
  <si>
    <t>£1 from William Verneye to have the reversion of the moiety of 1 messuage 2.5 virgates of land and 6 acres of meadow in Bodicote, for which Emma, who was wife of John Whyte, had the estate for the term of her life.</t>
  </si>
  <si>
    <t>£1 from John White to have the reversion of the moiety of 1 messuage 2.5 virgates of land and 6 acres of meadow in Bodicote by surrender of William Verneye.</t>
  </si>
  <si>
    <t>2 shilling from William to have 1 toft with a croft and 2 acres of villein land in Adderbury by 'surrender of John Rundell' and Agnes his wife, and she is examined about this in court.</t>
  </si>
  <si>
    <t>£3 6 shilling 8pence from John Whityng to have 1 messuage and 1 virgate of villein land n Adderbury which belonged to John Dicon' and about which Robert Box and Margery his wife are examined in full court, having remised and released all right and claim which they have or will be able to have in the same to the aforesaid John whytyng'.</t>
  </si>
  <si>
    <t>8pence from Adam Taillour to have 1 pig-sty of purpresture in Adderbury by surrender of John Coupere.</t>
  </si>
  <si>
    <t>6 shilling 8pence from Emma atte Mulle, otherwise known as Emmeline, making fine with the lord to have licence to demise to Richard atte Mulle, her son, 1 messuage and 1 virgate of land, with 1 mill with its appurtenances, and 1 cottage called Sybfordesplace in Adderbury for the next 15 years.</t>
  </si>
  <si>
    <t>Total, £24 16 shilling.</t>
  </si>
  <si>
    <t>Perquisites</t>
  </si>
  <si>
    <t>And for 2 shilling 5pence from the perquisites of the tourn of Martinmas (11 November).</t>
  </si>
  <si>
    <t>14 shilling 4pence from the perquisites of the courts held by the bailiff between the 2 tourns.</t>
  </si>
  <si>
    <t>12 shilling 2pence from the perquisites of the tourn of Hockday (1 April).</t>
  </si>
  <si>
    <t>8 shilling 1pence from the perquisites of the courts held by the bailiff after the said tourn of Hockday.</t>
  </si>
  <si>
    <t>Total, £1 17 shilling.</t>
  </si>
  <si>
    <t>Forfeited chattels</t>
  </si>
  <si>
    <t>And for 3 shilling from the chattels of a waif as made clear at the tourn of Hockday.</t>
  </si>
  <si>
    <t>Total, 3 shilling.</t>
  </si>
  <si>
    <t>Farm of the demesne land</t>
  </si>
  <si>
    <t>And for £15 16 shilling for the farm of the demesne land demised to John Eadburbury for 12 years, this year being the fifth.</t>
  </si>
  <si>
    <t>Total, £15 16 shilling.</t>
  </si>
  <si>
    <t>Total of all receipts</t>
  </si>
  <si>
    <t>Total of all receipts, £981 10 shilling 6pence.</t>
  </si>
  <si>
    <t>Cost of buildings</t>
  </si>
  <si>
    <t>In 6,200 lath-nails bought for mending and making the barn, the hall and half of the kitchen 9 shilling 4.5pence, at 1 shilling 6pence a 1,000..</t>
  </si>
  <si>
    <t>board-nails and clout-nails bought for the same 1 shilling 4pence.</t>
  </si>
  <si>
    <t>4 quarters 4 bushels of limestone bought at Walton' 5 shilling 3pence, at 1 shilling 2pence a quarters.</t>
  </si>
  <si>
    <t>carrying the same 4pence.</t>
  </si>
  <si>
    <t>8 quarters of limestone bought at Witney 10 shilling 4pence, at 1 shilling 31 pence a quarters.</t>
  </si>
  <si>
    <t>carrying the same from Witney to Adderbury 3 shilling 8pence.</t>
  </si>
  <si>
    <t>1,500 stone slates bought 6 shilling, at 4 shilling a 1,000..</t>
  </si>
  <si>
    <t>500 eaves-stones bought 2 shilling 6pence, at 6pence a 100..</t>
  </si>
  <si>
    <t>6,000 pins bought 2 shilling, at 4pence a 1,000..</t>
  </si>
  <si>
    <t>50 ridge-tiles bought 6 shilling 3pence, at 1.5pence each.</t>
  </si>
  <si>
    <t>sand bought and dug and quarried at Tadmarton 10pence.</t>
  </si>
  <si>
    <t>stipend of 1 man going to Walton' to quarry lime there 2pence.</t>
  </si>
  <si>
    <t>expenses of 12 men coming for a boon-work with 6 carts to quarry sand at Newotele and carry it to Adderbury, with the digging, 2 shilling 3pence.</t>
  </si>
  <si>
    <t>hiring 1 man to carry sand and lime from the warrener's chamber to the barn by piece-work 4pence.</t>
  </si>
  <si>
    <t>carrying the ridge-tiles bought above 8pence.</t>
  </si>
  <si>
    <t>expenses of various men coming for a boon-work to buy slates at Aynho and carry them to Adderbury with the expenses of 1 man there mending the said slates 2d 1 shilling 9.5pence.</t>
  </si>
  <si>
    <t>1 tine bought 8pence.</t>
  </si>
  <si>
    <t>1 bucket bought 3.5pence.</t>
  </si>
  <si>
    <t>1 riddle (redell') bought 2pence.</t>
  </si>
  <si>
    <t>1 ladder bought 1 shilling 4pence.</t>
  </si>
  <si>
    <t>1 table bought to make 2 hawk-boards therefrom zd n agreement made with a certain slater to mend, remove and cover with laths various defects on the corn barn, hall and half of the kitchen by piece-work £6 13 shilling 4pence.</t>
  </si>
  <si>
    <t>Total, £9 9 shilling 1.5pence.</t>
  </si>
  <si>
    <t>In wages of Thomas Bekyngham, bailiff, in part payment of his wages, £3 6 shilling 8pence.</t>
  </si>
  <si>
    <t>Total, £3 6 shilling 8pence.</t>
  </si>
  <si>
    <t>Expenses of the steward</t>
  </si>
  <si>
    <t>In expenses of Richard Wyot', steward, coming there to hold the tourns of Martinmas and Hockday, by 2 sealed bills, 14 shilling 9pence.</t>
  </si>
  <si>
    <t>Paid to John Wylkotes for the annual fee granted to him for the term of his life as made clear by the lord's letters patent and the quittance of the payment made therefor £20..</t>
  </si>
  <si>
    <t>Total, £20..</t>
  </si>
  <si>
    <t>Total of all expenses</t>
  </si>
  <si>
    <t>Total of all expenses, £33 10 shilling 6.5pence.</t>
  </si>
  <si>
    <t>And he owes</t>
  </si>
  <si>
    <t>And he owes, £64 19 shilling 11.5pence.</t>
  </si>
  <si>
    <t>Allowances without writ</t>
  </si>
  <si>
    <t>In allowance to the reeve for 6 shilling 8pence for the reward made to the warrener for summoning the courts and raising the money from the estreat of the courts this year, which was not allowed to him above.</t>
  </si>
  <si>
    <t>Total, 6 shilling 8pence.</t>
  </si>
  <si>
    <t>Delivered to John Arnold', receiver of Wolvesey, by 1 tally, £64 13 shilling 3.5pence.</t>
  </si>
  <si>
    <t>Total, £64 13 shilling 3.5pence.</t>
  </si>
  <si>
    <t>Total of all allowances</t>
  </si>
  <si>
    <t>Total of all allowances and cash deliveries, £64 19 shilling 11.5pence He is quit.</t>
  </si>
  <si>
    <t>William Jakeman, reeve there, answers for 3 quarters of wheat remaining..</t>
  </si>
  <si>
    <t>wheat</t>
  </si>
  <si>
    <t>Total, 3 quarters..</t>
  </si>
  <si>
    <t>3 quarters remain in the keeping of John Eadburbury, farmer there, to be handed back and restored at the end of his farm of 12 years, this year being the fifth.</t>
  </si>
  <si>
    <t>And for 34 quarters of rye remaining..</t>
  </si>
  <si>
    <t>rye</t>
  </si>
  <si>
    <t>Total, 34 quarters..</t>
  </si>
  <si>
    <t>34 quarters remain in the keeping of the said John Eadburbury, farmer there, to be handed back and restored at the end of his farm as before.</t>
  </si>
  <si>
    <t>And for 30 quarters of dredge remaining..</t>
  </si>
  <si>
    <t>dredge</t>
  </si>
  <si>
    <t>Total, 30 quarters..</t>
  </si>
  <si>
    <t>30 quarters remain in the keeping of the said John Eadburbury, farmer there, to be handed back and restored as before.</t>
  </si>
  <si>
    <t>Pulses</t>
  </si>
  <si>
    <t>None remain.</t>
  </si>
  <si>
    <t>And for 10 quarters of oats..</t>
  </si>
  <si>
    <t>oats</t>
  </si>
  <si>
    <t>Total, 10 quarters..</t>
  </si>
  <si>
    <t>10 quarters remain in the keeping of the said John Eadburbury, farmer there, to be handed back and restored as before.</t>
  </si>
  <si>
    <t>Eadburbury, farmer, to be handed back and restored at the end of his farm or the value of the same as before.</t>
  </si>
  <si>
    <t>Stock</t>
  </si>
  <si>
    <t>Horses: 4 remain.</t>
  </si>
  <si>
    <t>1 from the heriot of William Rundell'.</t>
  </si>
  <si>
    <t>Total 5. 1 sold within.</t>
  </si>
  <si>
    <t>4 cart-horses remain, of which 2 are worth £1 6s 8pence, 1 is worth £1, and 1 feeble one is worth 2 shilling, in the keeping of the said John Eadburbury, farmer there, to be handed back and restored at the end of his farm or the value of the same at the choice of the lord bishop or his attorney.</t>
  </si>
  <si>
    <t>Plough-horses: 6 remain.</t>
  </si>
  <si>
    <t>Total, 6. 6 remain, worth £2, in the keeping of John.</t>
  </si>
  <si>
    <t>Colts: 1 from the heriot of John Diconurn.</t>
  </si>
  <si>
    <t>sold within.</t>
  </si>
  <si>
    <t>none remain.</t>
  </si>
  <si>
    <t>Bulls: 2 remain.</t>
  </si>
  <si>
    <t>Total, 2. 2 remain, worth 10 shilling each, in the keeping of the said John, to be handed back and restored at the end of his farm as before.</t>
  </si>
  <si>
    <t>Oxen: none.</t>
  </si>
  <si>
    <t>Cows: 19 remain.</t>
  </si>
  <si>
    <t>1 from the heriot of Adam Chapeleyn.</t>
  </si>
  <si>
    <t>1 from the heriot of John Rundell'.</t>
  </si>
  <si>
    <t>1 from the heriot of John Forde.</t>
  </si>
  <si>
    <t>Total, 22. 3 sold within.</t>
  </si>
  <si>
    <t>Total, 3. 19 remain, worth 10 shilling each, in the keeping of the said John, to be handed back and restored at the end of his farm as before.</t>
  </si>
  <si>
    <t>Yearlings: 10 remain.</t>
  </si>
  <si>
    <t>Total, 10. 10 remain, worth 3 shilling 4pence each, in the keeping of the said John, farmer, to be handed back and restored at the end of his farm as before.</t>
  </si>
  <si>
    <t>No calves this year.</t>
  </si>
  <si>
    <t>No wethers.</t>
  </si>
  <si>
    <t>No rams.</t>
  </si>
  <si>
    <t>Ewes: 1 from the heriot of Richard Asser.</t>
  </si>
  <si>
    <t>None: No hoggs.</t>
  </si>
  <si>
    <t>No lambs.</t>
  </si>
  <si>
    <t>No boars.</t>
  </si>
  <si>
    <t>No sows.</t>
  </si>
  <si>
    <t>No pigs.</t>
  </si>
  <si>
    <t>No hoggets.</t>
  </si>
  <si>
    <t>No piglets.</t>
  </si>
  <si>
    <t>No hides.</t>
  </si>
  <si>
    <t>No wool.</t>
  </si>
  <si>
    <t>No skins.</t>
  </si>
  <si>
    <t>No milking.</t>
  </si>
  <si>
    <t>No geese.</t>
  </si>
  <si>
    <t>Capons: none from stock.</t>
  </si>
  <si>
    <t>6 for the rent of Emma atte Mulle.</t>
  </si>
  <si>
    <t>Total, 6. Sold within.</t>
  </si>
  <si>
    <t>Cocks and hens: none from stock.</t>
  </si>
  <si>
    <t>28 from churchscot at Martinmas, of which 4 are from William Prew, 3 from William Tut, 4 from Richard Smyth' and John Buryman, 6 from Alice Aylon, and 4 from Alan Acreman for 2 cotlands.</t>
  </si>
  <si>
    <t>Total, 28. 4 in default of the churchscot of 1 cotland of John Dawe which formerly belonged to William Gilot and William Gille because their tenements are in the lord's hands and at farm as made clear within.</t>
  </si>
  <si>
    <t>1 in default of 1 messuage and 1 acreland, containing 12 acres of land, and 1 acre of meadow formerly of Richard Smyth' and now of Gregory Benet, because he pays a fixed rent this year.</t>
  </si>
  <si>
    <t>6 in default of the churchscot of 2 acrelands formerly of Richard Bolt, Mabel Dawe and John Dolphyn and now of Richard White, Alice Wylot and Richard atte Mulle for the aforesaid reason.</t>
  </si>
  <si>
    <t>4 in default of 2 acrelands formerly of Alan Acreman and now of William Jakeman and Robert atte Style for the aforesaid reason.</t>
  </si>
  <si>
    <t>1 in default of 1 acreland formerly of Richard Buryman and now of John Scot for the aforesaid reason.</t>
  </si>
  <si>
    <t>2 in default of 1 cotland formerly of Alice Aylon and now of Henry Gille for the aforesaid reason.</t>
  </si>
  <si>
    <t>10 sold within.</t>
  </si>
  <si>
    <t>Total as before.</t>
  </si>
  <si>
    <t>Laths: 2,700 laths remain.</t>
  </si>
  <si>
    <t>Total, 2,700. 2,000 used to repair the lord's barn, hall and kitchen.</t>
  </si>
  <si>
    <t>400 sold within.</t>
  </si>
  <si>
    <t>Total, 2,400. 300 remain.</t>
  </si>
  <si>
    <t>Lime: 6 quarters of limestone remain.</t>
  </si>
  <si>
    <t>4 quarters 4 bushels bought at Walton'.</t>
  </si>
  <si>
    <t>8 quarters bought at wi.t ney.</t>
  </si>
  <si>
    <t>Total, 18 quarters 4 bushels Used to repair the lord's barn, hall and kitchen.</t>
  </si>
  <si>
    <t>none remains.</t>
  </si>
  <si>
    <t>Stone slates: 3,000 stone slates remain.</t>
  </si>
  <si>
    <t>200 large stones remain.</t>
  </si>
  <si>
    <t>1,500 stone slates bought.</t>
  </si>
  <si>
    <t>500 eaves-stones bought.</t>
  </si>
  <si>
    <t>Total, 5,200. 250 sold within because unsuitable for the use of the lord.</t>
  </si>
  <si>
    <t>4,950 used in mending the lord's barn, hall and kitchen.</t>
  </si>
  <si>
    <t>Hurdles: 6 remain.</t>
  </si>
  <si>
    <t>Total, 6. Sold because useless for the stock.</t>
  </si>
  <si>
    <t>none remain. mid.</t>
  </si>
  <si>
    <t>Meat &amp; Dairy Prices</t>
  </si>
  <si>
    <t>Average</t>
  </si>
  <si>
    <t>Beef</t>
  </si>
  <si>
    <t>£ per lb</t>
  </si>
  <si>
    <t>Mutton</t>
  </si>
  <si>
    <t>Pork</t>
  </si>
  <si>
    <t>Cheese</t>
  </si>
  <si>
    <t>Milk</t>
  </si>
  <si>
    <t>£ per gallon</t>
  </si>
  <si>
    <t>BISHOPS FONTHILL</t>
  </si>
  <si>
    <t>£</t>
  </si>
  <si>
    <t xml:space="preserve">s </t>
  </si>
  <si>
    <t>d</t>
  </si>
  <si>
    <t>Arrears</t>
  </si>
  <si>
    <t>Quittances</t>
  </si>
  <si>
    <t>none</t>
  </si>
  <si>
    <t>Total of rents remaining</t>
  </si>
  <si>
    <t>Annual reconizances</t>
  </si>
  <si>
    <t>Issues of the Manor</t>
  </si>
  <si>
    <t>Pleas &amp; Perquisites</t>
  </si>
  <si>
    <t>Sum of the above (incl. arrears)</t>
  </si>
  <si>
    <t>not feasible</t>
  </si>
  <si>
    <t>Cost of ploughs</t>
  </si>
  <si>
    <t>Purchase of corn</t>
  </si>
  <si>
    <t>Cost of carts and wagons</t>
  </si>
  <si>
    <t>Cost of dairy</t>
  </si>
  <si>
    <t>Purchase of stock</t>
  </si>
  <si>
    <t>Sheepcote</t>
  </si>
  <si>
    <t>Threshing</t>
  </si>
  <si>
    <t>Expenses of the harvest</t>
  </si>
  <si>
    <t>Stewards expenses</t>
  </si>
  <si>
    <t>Cash delivers (Hindon Borough)</t>
  </si>
  <si>
    <t>Net Production</t>
  </si>
  <si>
    <t>Bere</t>
  </si>
  <si>
    <t>Inherited stock</t>
  </si>
  <si>
    <t>End-period  stock</t>
  </si>
  <si>
    <t>Sales in (£)</t>
  </si>
  <si>
    <t>Value of production (£) at sales prices</t>
  </si>
  <si>
    <t>Total</t>
  </si>
  <si>
    <t>Weather woolskins</t>
  </si>
  <si>
    <t>BISHOPS FONTHILL RECEIPTS</t>
  </si>
  <si>
    <t>Notes</t>
  </si>
  <si>
    <t>arrears from previous year</t>
  </si>
  <si>
    <t>of which delivered to treasurer of Wolvesey</t>
  </si>
  <si>
    <t>Christmas</t>
  </si>
  <si>
    <t>Easter</t>
  </si>
  <si>
    <t>Feast of John Baptist</t>
  </si>
  <si>
    <t>Michaelmas</t>
  </si>
  <si>
    <t>Total recorded in accounts</t>
  </si>
  <si>
    <t>1 reeve for the year</t>
  </si>
  <si>
    <t>1 bartoner for the year</t>
  </si>
  <si>
    <t>1 smith for the year for ironwork of 3 ploughs</t>
  </si>
  <si>
    <t>1 swineherd for the year who oversees harvest</t>
  </si>
  <si>
    <t>2 shepherds, one keeps sheep in pinfold</t>
  </si>
  <si>
    <t>5 ploughmen for the year</t>
  </si>
  <si>
    <t>not included in receipts</t>
  </si>
  <si>
    <t>Wax</t>
  </si>
  <si>
    <t>Annual recognizances</t>
  </si>
  <si>
    <t>from Thomas Tritur</t>
  </si>
  <si>
    <t>from John le Charectyr</t>
  </si>
  <si>
    <t>from John of Fontel</t>
  </si>
  <si>
    <t>from pannage of pigs</t>
  </si>
  <si>
    <t>from residue of Peter's pence</t>
  </si>
  <si>
    <t>from 22 pigs sold</t>
  </si>
  <si>
    <t>from 2 oxen sold</t>
  </si>
  <si>
    <t>from 51 wethers sold</t>
  </si>
  <si>
    <t>from skins of 11 wethers and 1 hogg</t>
  </si>
  <si>
    <t>from skins of 9 wethers and 1 hogg after shearing</t>
  </si>
  <si>
    <t>from 34 hens from churchshot sold</t>
  </si>
  <si>
    <t>from reeve for release from labour service</t>
  </si>
  <si>
    <t>from the labour service and churchscot of the lands of William son of John (reeve)</t>
  </si>
  <si>
    <t>for release of labour at harvest time</t>
  </si>
  <si>
    <t>from2 stone of wool locks sold</t>
  </si>
  <si>
    <t>from the fleeces of 10 lambs sold</t>
  </si>
  <si>
    <t>from 59 qrs 3 bus of wheat</t>
  </si>
  <si>
    <t>from 1 qr 1 bus of curall sold</t>
  </si>
  <si>
    <t>from 29 qrs 6 bus of barley sold</t>
  </si>
  <si>
    <t>from 25 qrs of oats sold</t>
  </si>
  <si>
    <t>from 3 qrs of vetches sold</t>
  </si>
  <si>
    <t>from tithingpenny at martinmas</t>
  </si>
  <si>
    <t>from same tithing at Hockday</t>
  </si>
  <si>
    <t>from Alice Stevenes for marrying herself to a certain Thomas, son of Robert de Burton'</t>
  </si>
  <si>
    <t>Pleas and perquisites</t>
  </si>
  <si>
    <t>from details in court rolls</t>
  </si>
  <si>
    <t>Total of all receipts (sum of above excl. arrears)</t>
  </si>
  <si>
    <t>Total of all receipts (sum of above incl. arrears)</t>
  </si>
  <si>
    <t>Total of all receipts in account excl.  arrears</t>
  </si>
  <si>
    <t>Total of all receipts in account incl. arrears</t>
  </si>
  <si>
    <t>BISHOPS FONTHILL EXPENSES</t>
  </si>
  <si>
    <t>Cost of Ploughs</t>
  </si>
  <si>
    <t>in iron and steel for 3 ploughs</t>
  </si>
  <si>
    <t>in 3 pairs of wheels bought</t>
  </si>
  <si>
    <t>in 9 yokes bought</t>
  </si>
  <si>
    <t>in 3 plough feet bought</t>
  </si>
  <si>
    <t>in 2 ploughshares bought</t>
  </si>
  <si>
    <t>in stipend of 1 carpenter making 3 ploughs</t>
  </si>
  <si>
    <t>given to the smith in place of 2 trunks</t>
  </si>
  <si>
    <t>in stipend of 1 oxherd for the year</t>
  </si>
  <si>
    <t>in 6 oxen bought for ploughs</t>
  </si>
  <si>
    <t>Total capital expenses</t>
  </si>
  <si>
    <t>Cost of Carts and Wagons</t>
  </si>
  <si>
    <t>in clouts and nails bought for the cart</t>
  </si>
  <si>
    <t>in 2 axles bought</t>
  </si>
  <si>
    <t>in grease</t>
  </si>
  <si>
    <t>in stipend of 1 making 2 collars</t>
  </si>
  <si>
    <t>in 2 halters</t>
  </si>
  <si>
    <t>in shoeing 2 plough-horses</t>
  </si>
  <si>
    <t>in 2 ropes bought for tethering plough horses</t>
  </si>
  <si>
    <t>in stipend of 1 carter</t>
  </si>
  <si>
    <t>in 1 pair of traces</t>
  </si>
  <si>
    <t>in re-covering 1 saddle</t>
  </si>
  <si>
    <t>Cost of Buildings</t>
  </si>
  <si>
    <t>in stipend of 1 man re-roofing</t>
  </si>
  <si>
    <t>in 1 cask bought and others repaired</t>
  </si>
  <si>
    <t>in stipend of 1 man repairing the press</t>
  </si>
  <si>
    <t>in grease bought for the same</t>
  </si>
  <si>
    <t>in stipend of 1 man making anew gate</t>
  </si>
  <si>
    <t>in 1 shovel bought</t>
  </si>
  <si>
    <t>in grease bought</t>
  </si>
  <si>
    <t>in making anew 9 hurdles</t>
  </si>
  <si>
    <t>in 8 ells of canvas bought for packing wool</t>
  </si>
  <si>
    <t>in packing the said wool</t>
  </si>
  <si>
    <t>in threshing and winnowing 72 qrs 2 bus of wheat, 1 qr 1 bus of curall and 7 qrs of bere by piecework</t>
  </si>
  <si>
    <t>in threshing and winnowing 58 qrs 7 bus of barley and 5 qrs 2 bus of vetches</t>
  </si>
  <si>
    <t>in threshing and winnowing 55 qrs 6 bus of oats</t>
  </si>
  <si>
    <t>in 1 sack bought</t>
  </si>
  <si>
    <t>Expenses of the Harvest</t>
  </si>
  <si>
    <t>in weeding the corn (wheat barley and oats)</t>
  </si>
  <si>
    <t>in customary payment to 1 overseer of the harvest</t>
  </si>
  <si>
    <t>in mowing and tossing the meadow</t>
  </si>
  <si>
    <t>in stipend of 1 overseer of the harvest for the year</t>
  </si>
  <si>
    <t>Bailiff's Expenses</t>
  </si>
  <si>
    <t>in expense for his visits</t>
  </si>
  <si>
    <t>Total of all Expenses</t>
  </si>
  <si>
    <t>Total of all Expenses (calculated)</t>
  </si>
  <si>
    <t>And thus he owes</t>
  </si>
  <si>
    <t>Delivered to Sir Geoffrey, treasurer of Wolvesey</t>
  </si>
  <si>
    <t>and thus he owes clear</t>
  </si>
  <si>
    <t>The issue of the grange account gives the total "yield" at the top of each heading in curly brackets, measurements used: fold, qrs, bus</t>
  </si>
  <si>
    <t>In "Issues of the grange" (p.xx)</t>
  </si>
  <si>
    <t>In "Sale of Corn" (p.x)</t>
  </si>
  <si>
    <t>Value of Total Production</t>
  </si>
  <si>
    <t>Gross output</t>
  </si>
  <si>
    <t>Quantity</t>
  </si>
  <si>
    <t>Additional bought-in</t>
  </si>
  <si>
    <t>Quantity noted as sold</t>
  </si>
  <si>
    <t>Difference Produced vs. Sold</t>
  </si>
  <si>
    <t>Price 1</t>
  </si>
  <si>
    <t>Quantity 1</t>
  </si>
  <si>
    <t>Price 2</t>
  </si>
  <si>
    <t>Quantity 2</t>
  </si>
  <si>
    <t>Unit price</t>
  </si>
  <si>
    <t>Value</t>
  </si>
  <si>
    <t>£ per qr</t>
  </si>
  <si>
    <t>Production value is significantly more, as much less was sold than what was produced</t>
  </si>
  <si>
    <t>Sales of corn (as recorded in accounts)</t>
  </si>
  <si>
    <t>Net output</t>
  </si>
  <si>
    <t>Seed</t>
  </si>
  <si>
    <t>tithe</t>
  </si>
  <si>
    <t>to manorial servants &amp; livestock</t>
  </si>
  <si>
    <t>Output net of tithe &amp; seed &amp; liveries to manorial servants</t>
  </si>
  <si>
    <t>in stock from last year</t>
  </si>
  <si>
    <t xml:space="preserve">Price </t>
  </si>
  <si>
    <t>Value of net output</t>
  </si>
  <si>
    <t>Value of sales (in "Sale of Corn")</t>
  </si>
  <si>
    <t>Liveries of manorial servants</t>
  </si>
  <si>
    <t>EAST KNOYLE STOCK ACCOUNT</t>
  </si>
  <si>
    <t>bought</t>
  </si>
  <si>
    <t>produced</t>
  </si>
  <si>
    <t>strays</t>
  </si>
  <si>
    <t>herbage</t>
  </si>
  <si>
    <t>sold</t>
  </si>
  <si>
    <t>in murrain</t>
  </si>
  <si>
    <t>accounted for elsewhere</t>
  </si>
  <si>
    <t>cross-check</t>
  </si>
  <si>
    <t>price 1</t>
  </si>
  <si>
    <t>units 1</t>
  </si>
  <si>
    <t>price 2</t>
  </si>
  <si>
    <t>units 2</t>
  </si>
  <si>
    <t>Weight (weys)</t>
  </si>
  <si>
    <t>Unit price (£)</t>
  </si>
  <si>
    <t>Details</t>
  </si>
  <si>
    <t>Sold doesn’t match receipts</t>
  </si>
  <si>
    <t>unit price from overview sheet (UnitPricesStocks_averages)</t>
  </si>
  <si>
    <t>Meat</t>
  </si>
  <si>
    <t>Winter cheese</t>
  </si>
  <si>
    <t>Summer cheese</t>
  </si>
  <si>
    <t>Cider</t>
  </si>
  <si>
    <t>ASSUMPTIONS</t>
  </si>
  <si>
    <t>Weights</t>
  </si>
  <si>
    <t>Value (in lbs)</t>
  </si>
  <si>
    <t>Value (in cloves)</t>
  </si>
  <si>
    <t>Value (in weys)</t>
  </si>
  <si>
    <t>Value (in stone)</t>
  </si>
  <si>
    <t>Lbs</t>
  </si>
  <si>
    <t>Cloves</t>
  </si>
  <si>
    <t>Wey</t>
  </si>
  <si>
    <t>Stone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</si>
</sst>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
    <numFmt numFmtId="166" formatCode="0.000"/>
  </numFmts>
  <fonts count="24"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name val="Calibri"/>
      <family val="2"/>
    </font>
    <font>
      <sz val="12"/>
      <color rgb="FFFF0000"/>
      <name val="Calibri"/>
      <family val="2"/>
      <scheme val="minor"/>
    </font>
    <font>
      <b/>
      <sz val="12"/>
      <color theme="1"/>
      <name val="Calibri"/>
      <family val="2"/>
      <scheme val="minor"/>
    </font>
    <font>
      <b/>
      <sz val="12"/>
      <color rgb="FF000000"/>
      <name val="Calibri"/>
      <family val="2"/>
      <scheme val="minor"/>
    </font>
    <font>
      <i/>
      <sz val="12"/>
      <color theme="1"/>
      <name val="Calibri"/>
      <family val="2"/>
      <scheme val="minor"/>
    </font>
    <font>
      <b/>
      <i/>
      <sz val="12"/>
      <color theme="1"/>
      <name val="Calibri"/>
      <family val="2"/>
      <scheme val="minor"/>
    </font>
    <font>
      <sz val="12"/>
      <color rgb="FF000000"/>
      <name val="Calibri"/>
      <family val="2"/>
      <scheme val="minor"/>
    </font>
    <font>
      <i/>
      <sz val="12"/>
      <color rgb="FF000000"/>
      <name val="Calibri"/>
      <family val="2"/>
      <scheme val="minor"/>
    </font>
    <font>
      <b/>
      <i/>
      <sz val="12"/>
      <color rgb="FF000000"/>
      <name val="Calibri"/>
      <family val="2"/>
      <scheme val="minor"/>
    </font>
    <font>
      <b/>
      <sz val="11"/>
      <color theme="1"/>
      <name val="Calibri"/>
      <family val="2"/>
      <scheme val="minor"/>
    </font>
    <font>
      <i/>
      <sz val="12"/>
      <color rgb="FFFF0000"/>
      <name val="Calibri"/>
      <family val="2"/>
      <scheme val="minor"/>
    </font>
    <font>
      <i/>
      <sz val="11"/>
      <color theme="1"/>
      <name val="Calibri"/>
      <family val="2"/>
      <scheme val="minor"/>
    </font>
    <font>
      <sz val="12"/>
      <name val="Calibri"/>
      <family val="2"/>
      <scheme val="minor"/>
    </font>
    <font>
      <b/>
      <sz val="12"/>
      <color rgb="FFFF0000"/>
      <name val="Calibri"/>
      <family val="2"/>
      <scheme val="minor"/>
    </font>
    <font>
      <b/>
      <sz val="14"/>
      <color rgb="FF000000"/>
      <name val="Calibri"/>
      <family val="2"/>
      <scheme val="minor"/>
    </font>
    <font>
      <sz val="14"/>
      <color rgb="FF000000"/>
      <name val="Calibri"/>
      <family val="2"/>
      <scheme val="minor"/>
    </font>
    <font>
      <b/>
      <sz val="14"/>
      <color rgb="FFFF0000"/>
      <name val="Calibri"/>
      <family val="2"/>
      <scheme val="minor"/>
    </font>
    <font>
      <sz val="11"/>
      <color rgb="FF000000"/>
      <name val="Calibri"/>
      <family val="2"/>
      <scheme val="minor"/>
    </font>
  </fonts>
  <fills count="11">
    <fill>
      <patternFill patternType="none"/>
    </fill>
    <fill>
      <patternFill patternType="gray125"/>
    </fill>
    <fill>
      <patternFill patternType="solid">
        <fgColor rgb="FFF2F2F2"/>
        <bgColor rgb="FF000000"/>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tint="-4.9989318521683403E-2"/>
        <bgColor rgb="FF000000"/>
      </patternFill>
    </fill>
    <fill>
      <patternFill patternType="solid">
        <fgColor rgb="FFEDEDED"/>
        <bgColor rgb="FF000000"/>
      </patternFill>
    </fill>
  </fills>
  <borders count="16">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s>
  <cellStyleXfs count="1">
    <xf numFmtId="0" fontId="0" fillId="0" borderId="0"/>
  </cellStyleXfs>
  <cellXfs count="147">
    <xf numFmtId="0" fontId="0" fillId="0" borderId="0" xfId="0"/>
    <xf numFmtId="0" fontId="6" fillId="0" borderId="1" xfId="0" applyFont="1" applyBorder="1" applyAlignment="1">
      <alignment horizontal="center" vertical="top"/>
    </xf>
    <xf numFmtId="4" fontId="8" fillId="0" borderId="0" xfId="0" applyNumberFormat="1" applyFont="1" applyAlignment="1">
      <alignment horizontal="center"/>
    </xf>
    <xf numFmtId="0" fontId="9" fillId="0" borderId="0" xfId="0" applyFont="1"/>
    <xf numFmtId="0" fontId="5" fillId="0" borderId="0" xfId="0" applyFont="1"/>
    <xf numFmtId="0" fontId="7" fillId="0" borderId="0" xfId="0" applyFont="1"/>
    <xf numFmtId="0" fontId="8" fillId="0" borderId="0" xfId="0" applyFont="1"/>
    <xf numFmtId="0" fontId="10" fillId="0" borderId="0" xfId="0" applyFont="1"/>
    <xf numFmtId="0" fontId="12" fillId="0" borderId="0" xfId="0" applyFont="1"/>
    <xf numFmtId="0" fontId="9" fillId="2" borderId="0" xfId="0" applyFont="1" applyFill="1"/>
    <xf numFmtId="0" fontId="13" fillId="2" borderId="0" xfId="0" applyFont="1" applyFill="1"/>
    <xf numFmtId="0" fontId="12" fillId="3" borderId="0" xfId="0" applyFont="1" applyFill="1"/>
    <xf numFmtId="0" fontId="13" fillId="3" borderId="0" xfId="0" applyFont="1" applyFill="1"/>
    <xf numFmtId="0" fontId="13" fillId="4" borderId="0" xfId="0" applyFont="1" applyFill="1"/>
    <xf numFmtId="0" fontId="9" fillId="5" borderId="0" xfId="0" applyFont="1" applyFill="1"/>
    <xf numFmtId="0" fontId="12" fillId="0" borderId="0" xfId="0" applyFont="1" applyAlignment="1">
      <alignment wrapText="1"/>
    </xf>
    <xf numFmtId="0" fontId="12" fillId="0" borderId="2" xfId="0" applyFont="1" applyBorder="1"/>
    <xf numFmtId="0" fontId="12" fillId="0" borderId="0" xfId="0" applyFont="1" applyAlignment="1">
      <alignment horizontal="right"/>
    </xf>
    <xf numFmtId="0" fontId="12" fillId="0" borderId="2" xfId="0" applyFont="1" applyBorder="1" applyAlignment="1">
      <alignment horizontal="left"/>
    </xf>
    <xf numFmtId="2" fontId="5" fillId="0" borderId="0" xfId="0" applyNumberFormat="1" applyFont="1"/>
    <xf numFmtId="0" fontId="0" fillId="0" borderId="0" xfId="0" applyAlignment="1">
      <alignment horizontal="right"/>
    </xf>
    <xf numFmtId="0" fontId="15" fillId="0" borderId="0" xfId="0" applyFont="1"/>
    <xf numFmtId="0" fontId="16" fillId="0" borderId="0" xfId="0" applyFont="1"/>
    <xf numFmtId="0" fontId="8" fillId="5" borderId="0" xfId="0" applyFont="1" applyFill="1"/>
    <xf numFmtId="0" fontId="5" fillId="5" borderId="0" xfId="0" applyFont="1" applyFill="1"/>
    <xf numFmtId="2" fontId="5" fillId="5" borderId="0" xfId="0" applyNumberFormat="1" applyFont="1" applyFill="1"/>
    <xf numFmtId="0" fontId="10" fillId="5" borderId="0" xfId="0" applyFont="1" applyFill="1"/>
    <xf numFmtId="0" fontId="17" fillId="0" borderId="0" xfId="0" applyFont="1"/>
    <xf numFmtId="164" fontId="18" fillId="0" borderId="0" xfId="0" applyNumberFormat="1" applyFont="1" applyAlignment="1">
      <alignment horizontal="right"/>
    </xf>
    <xf numFmtId="164" fontId="0" fillId="0" borderId="0" xfId="0" applyNumberFormat="1" applyAlignment="1">
      <alignment horizontal="right"/>
    </xf>
    <xf numFmtId="165" fontId="0" fillId="0" borderId="0" xfId="0" applyNumberFormat="1"/>
    <xf numFmtId="164" fontId="0" fillId="0" borderId="0" xfId="0" applyNumberFormat="1"/>
    <xf numFmtId="0" fontId="10" fillId="6" borderId="0" xfId="0" applyFont="1" applyFill="1"/>
    <xf numFmtId="0" fontId="4" fillId="0" borderId="0" xfId="0" applyFont="1"/>
    <xf numFmtId="2" fontId="9" fillId="0" borderId="0" xfId="0" applyNumberFormat="1" applyFont="1" applyAlignment="1">
      <alignment horizontal="right"/>
    </xf>
    <xf numFmtId="2" fontId="19" fillId="0" borderId="0" xfId="0" applyNumberFormat="1" applyFont="1" applyAlignment="1">
      <alignment horizontal="right"/>
    </xf>
    <xf numFmtId="0" fontId="4" fillId="0" borderId="6" xfId="0" applyFont="1" applyBorder="1"/>
    <xf numFmtId="0" fontId="7" fillId="0" borderId="6" xfId="0" applyFont="1" applyBorder="1"/>
    <xf numFmtId="0" fontId="11" fillId="5" borderId="6" xfId="0" applyFont="1" applyFill="1" applyBorder="1"/>
    <xf numFmtId="0" fontId="11" fillId="5" borderId="0" xfId="0" applyFont="1" applyFill="1"/>
    <xf numFmtId="0" fontId="14" fillId="2" borderId="0" xfId="0" applyFont="1" applyFill="1"/>
    <xf numFmtId="2" fontId="4" fillId="0" borderId="0" xfId="0" applyNumberFormat="1" applyFont="1"/>
    <xf numFmtId="0" fontId="12" fillId="0" borderId="4" xfId="0" applyFont="1" applyBorder="1"/>
    <xf numFmtId="2" fontId="4" fillId="0" borderId="4" xfId="0" applyNumberFormat="1" applyFont="1" applyBorder="1"/>
    <xf numFmtId="0" fontId="7" fillId="0" borderId="4" xfId="0" applyFont="1" applyBorder="1"/>
    <xf numFmtId="0" fontId="4" fillId="0" borderId="4" xfId="0" applyFont="1" applyBorder="1"/>
    <xf numFmtId="4" fontId="8" fillId="0" borderId="0" xfId="0" applyNumberFormat="1" applyFont="1" applyAlignment="1">
      <alignment horizontal="right"/>
    </xf>
    <xf numFmtId="0" fontId="8" fillId="0" borderId="0" xfId="0" applyFont="1" applyAlignment="1">
      <alignment horizontal="right"/>
    </xf>
    <xf numFmtId="2" fontId="9" fillId="5" borderId="0" xfId="0" applyNumberFormat="1" applyFont="1" applyFill="1" applyAlignment="1">
      <alignment horizontal="right"/>
    </xf>
    <xf numFmtId="0" fontId="9" fillId="9" borderId="0" xfId="0" applyFont="1" applyFill="1"/>
    <xf numFmtId="0" fontId="4" fillId="5" borderId="0" xfId="0" applyFont="1" applyFill="1"/>
    <xf numFmtId="0" fontId="7" fillId="5" borderId="0" xfId="0" applyFont="1" applyFill="1"/>
    <xf numFmtId="0" fontId="8" fillId="5" borderId="0" xfId="0" applyFont="1" applyFill="1" applyAlignment="1">
      <alignment horizontal="right"/>
    </xf>
    <xf numFmtId="0" fontId="3" fillId="0" borderId="0" xfId="0" applyFont="1"/>
    <xf numFmtId="0" fontId="13" fillId="2" borderId="7" xfId="0" applyFont="1" applyFill="1" applyBorder="1"/>
    <xf numFmtId="0" fontId="13" fillId="4" borderId="7" xfId="0" applyFont="1" applyFill="1" applyBorder="1"/>
    <xf numFmtId="0" fontId="12" fillId="0" borderId="7" xfId="0" applyFont="1" applyBorder="1"/>
    <xf numFmtId="10" fontId="13" fillId="2" borderId="7" xfId="0" applyNumberFormat="1" applyFont="1" applyFill="1" applyBorder="1"/>
    <xf numFmtId="10" fontId="13" fillId="4" borderId="9" xfId="0" applyNumberFormat="1" applyFont="1" applyFill="1" applyBorder="1"/>
    <xf numFmtId="0" fontId="7" fillId="0" borderId="10" xfId="0" applyFont="1" applyBorder="1"/>
    <xf numFmtId="0" fontId="12" fillId="5" borderId="12" xfId="0" applyFont="1" applyFill="1" applyBorder="1"/>
    <xf numFmtId="2" fontId="9" fillId="5" borderId="13" xfId="0" applyNumberFormat="1" applyFont="1" applyFill="1" applyBorder="1" applyAlignment="1">
      <alignment horizontal="right"/>
    </xf>
    <xf numFmtId="0" fontId="7" fillId="5" borderId="13" xfId="0" applyFont="1" applyFill="1" applyBorder="1"/>
    <xf numFmtId="0" fontId="3" fillId="0" borderId="10" xfId="0" applyFont="1" applyBorder="1"/>
    <xf numFmtId="2" fontId="4" fillId="5" borderId="0" xfId="0" applyNumberFormat="1" applyFont="1" applyFill="1"/>
    <xf numFmtId="0" fontId="2" fillId="5" borderId="13" xfId="0" applyFont="1" applyFill="1" applyBorder="1"/>
    <xf numFmtId="0" fontId="2" fillId="5" borderId="14" xfId="0" applyFont="1" applyFill="1" applyBorder="1"/>
    <xf numFmtId="2" fontId="2" fillId="0" borderId="0" xfId="0" applyNumberFormat="1" applyFont="1"/>
    <xf numFmtId="0" fontId="2" fillId="0" borderId="0" xfId="0" applyFont="1"/>
    <xf numFmtId="0" fontId="2" fillId="0" borderId="8" xfId="0" applyFont="1" applyBorder="1"/>
    <xf numFmtId="10" fontId="2" fillId="0" borderId="0" xfId="0" applyNumberFormat="1" applyFont="1"/>
    <xf numFmtId="0" fontId="2" fillId="0" borderId="10" xfId="0" applyFont="1" applyBorder="1"/>
    <xf numFmtId="0" fontId="2" fillId="0" borderId="11" xfId="0" applyFont="1" applyBorder="1"/>
    <xf numFmtId="0" fontId="1" fillId="0" borderId="0" xfId="0" applyFont="1"/>
    <xf numFmtId="2" fontId="8" fillId="5" borderId="0" xfId="0" applyNumberFormat="1" applyFont="1" applyFill="1"/>
    <xf numFmtId="0" fontId="13" fillId="9" borderId="0" xfId="0" applyFont="1" applyFill="1"/>
    <xf numFmtId="0" fontId="20" fillId="0" borderId="0" xfId="0" applyFont="1"/>
    <xf numFmtId="4" fontId="20" fillId="0" borderId="0" xfId="0" applyNumberFormat="1" applyFont="1" applyAlignment="1">
      <alignment horizontal="right"/>
    </xf>
    <xf numFmtId="0" fontId="20" fillId="0" borderId="0" xfId="0" applyFont="1" applyAlignment="1">
      <alignment horizontal="right"/>
    </xf>
    <xf numFmtId="0" fontId="21" fillId="0" borderId="0" xfId="0" applyFont="1"/>
    <xf numFmtId="2" fontId="20" fillId="0" borderId="0" xfId="0" applyNumberFormat="1" applyFont="1" applyAlignment="1">
      <alignment horizontal="right"/>
    </xf>
    <xf numFmtId="0" fontId="22" fillId="0" borderId="0" xfId="0" applyFont="1" applyAlignment="1">
      <alignment horizontal="right"/>
    </xf>
    <xf numFmtId="2" fontId="12" fillId="0" borderId="0" xfId="0" applyNumberFormat="1" applyFont="1"/>
    <xf numFmtId="0" fontId="12" fillId="2" borderId="0" xfId="0" applyFont="1" applyFill="1"/>
    <xf numFmtId="2" fontId="12" fillId="2" borderId="0" xfId="0" applyNumberFormat="1" applyFont="1" applyFill="1"/>
    <xf numFmtId="2" fontId="13" fillId="2" borderId="0" xfId="0" applyNumberFormat="1" applyFont="1" applyFill="1"/>
    <xf numFmtId="4" fontId="7" fillId="0" borderId="0" xfId="0" applyNumberFormat="1" applyFont="1"/>
    <xf numFmtId="2" fontId="12" fillId="10" borderId="0" xfId="0" applyNumberFormat="1" applyFont="1" applyFill="1"/>
    <xf numFmtId="4" fontId="9" fillId="0" borderId="0" xfId="0" applyNumberFormat="1" applyFont="1" applyAlignment="1">
      <alignment horizontal="right"/>
    </xf>
    <xf numFmtId="0" fontId="9" fillId="0" borderId="0" xfId="0" applyFont="1" applyAlignment="1">
      <alignment horizontal="right"/>
    </xf>
    <xf numFmtId="0" fontId="9" fillId="5" borderId="0" xfId="0" applyFont="1" applyFill="1" applyAlignment="1">
      <alignment horizontal="right" wrapText="1"/>
    </xf>
    <xf numFmtId="0" fontId="9" fillId="5" borderId="0" xfId="0" applyFont="1" applyFill="1" applyAlignment="1">
      <alignment horizontal="right"/>
    </xf>
    <xf numFmtId="0" fontId="12" fillId="5" borderId="0" xfId="0" applyFont="1" applyFill="1"/>
    <xf numFmtId="2" fontId="9" fillId="5" borderId="0" xfId="0" applyNumberFormat="1" applyFont="1" applyFill="1" applyAlignment="1">
      <alignment wrapText="1"/>
    </xf>
    <xf numFmtId="0" fontId="5" fillId="5" borderId="13" xfId="0" applyFont="1" applyFill="1" applyBorder="1"/>
    <xf numFmtId="0" fontId="5" fillId="5" borderId="14" xfId="0" applyFont="1" applyFill="1" applyBorder="1"/>
    <xf numFmtId="0" fontId="5" fillId="0" borderId="8" xfId="0" applyFont="1" applyBorder="1"/>
    <xf numFmtId="2" fontId="7" fillId="0" borderId="0" xfId="0" applyNumberFormat="1" applyFont="1"/>
    <xf numFmtId="9" fontId="12" fillId="0" borderId="0" xfId="0" applyNumberFormat="1" applyFont="1"/>
    <xf numFmtId="10" fontId="5" fillId="0" borderId="0" xfId="0" applyNumberFormat="1" applyFont="1"/>
    <xf numFmtId="10" fontId="5" fillId="0" borderId="10" xfId="0" applyNumberFormat="1" applyFont="1" applyBorder="1"/>
    <xf numFmtId="0" fontId="5" fillId="0" borderId="10" xfId="0" applyFont="1" applyBorder="1"/>
    <xf numFmtId="0" fontId="5" fillId="0" borderId="11" xfId="0" applyFont="1" applyBorder="1"/>
    <xf numFmtId="4" fontId="5" fillId="0" borderId="0" xfId="0" applyNumberFormat="1" applyFont="1"/>
    <xf numFmtId="0" fontId="19" fillId="0" borderId="0" xfId="0" applyFont="1"/>
    <xf numFmtId="4" fontId="8" fillId="0" borderId="0" xfId="0" applyNumberFormat="1" applyFont="1"/>
    <xf numFmtId="166" fontId="12" fillId="0" borderId="0" xfId="0" applyNumberFormat="1" applyFont="1"/>
    <xf numFmtId="166" fontId="9" fillId="0" borderId="0" xfId="0" applyNumberFormat="1" applyFont="1" applyAlignment="1">
      <alignment horizontal="center"/>
    </xf>
    <xf numFmtId="0" fontId="5" fillId="0" borderId="0" xfId="0" applyFont="1" applyAlignment="1">
      <alignment horizontal="right"/>
    </xf>
    <xf numFmtId="0" fontId="5" fillId="0" borderId="0" xfId="0" applyFont="1" applyAlignment="1">
      <alignment horizontal="center"/>
    </xf>
    <xf numFmtId="0" fontId="5" fillId="7" borderId="0" xfId="0" applyFont="1" applyFill="1"/>
    <xf numFmtId="0" fontId="5" fillId="3" borderId="0" xfId="0" applyFont="1" applyFill="1"/>
    <xf numFmtId="0" fontId="5" fillId="3" borderId="3" xfId="0" applyFont="1" applyFill="1" applyBorder="1"/>
    <xf numFmtId="0" fontId="5" fillId="8" borderId="0" xfId="0" applyFont="1" applyFill="1"/>
    <xf numFmtId="0" fontId="5" fillId="0" borderId="3" xfId="0" applyFont="1" applyBorder="1" applyAlignment="1">
      <alignment horizontal="right"/>
    </xf>
    <xf numFmtId="0" fontId="5" fillId="0" borderId="4" xfId="0" applyFont="1" applyBorder="1" applyAlignment="1">
      <alignment horizontal="right"/>
    </xf>
    <xf numFmtId="0" fontId="5" fillId="0" borderId="5" xfId="0" applyFont="1" applyBorder="1" applyAlignment="1">
      <alignment horizontal="right"/>
    </xf>
    <xf numFmtId="0" fontId="5" fillId="0" borderId="4" xfId="0" applyFont="1" applyBorder="1" applyAlignment="1">
      <alignment horizontal="center"/>
    </xf>
    <xf numFmtId="0" fontId="5" fillId="0" borderId="4" xfId="0" applyFont="1" applyBorder="1"/>
    <xf numFmtId="2" fontId="5" fillId="0" borderId="15" xfId="0" applyNumberFormat="1" applyFont="1" applyBorder="1"/>
    <xf numFmtId="2" fontId="5" fillId="0" borderId="3" xfId="0" applyNumberFormat="1" applyFont="1" applyBorder="1"/>
    <xf numFmtId="0" fontId="5" fillId="6" borderId="0" xfId="0" applyFont="1" applyFill="1"/>
    <xf numFmtId="4" fontId="5" fillId="5" borderId="0" xfId="0" applyNumberFormat="1" applyFont="1" applyFill="1"/>
    <xf numFmtId="0" fontId="5" fillId="0" borderId="0" xfId="0" applyFont="1" applyAlignment="1">
      <alignment horizontal="right" wrapText="1"/>
    </xf>
    <xf numFmtId="4" fontId="5" fillId="0" borderId="0" xfId="0" applyNumberFormat="1" applyFont="1" applyAlignment="1">
      <alignment horizontal="right" wrapText="1"/>
    </xf>
    <xf numFmtId="0" fontId="5" fillId="0" borderId="3" xfId="0" applyFont="1" applyBorder="1"/>
    <xf numFmtId="4" fontId="5" fillId="0" borderId="0" xfId="0" applyNumberFormat="1" applyFont="1" applyAlignment="1">
      <alignment horizontal="right"/>
    </xf>
    <xf numFmtId="166" fontId="5" fillId="0" borderId="0" xfId="0" applyNumberFormat="1" applyFont="1"/>
    <xf numFmtId="0" fontId="9" fillId="0" borderId="0" xfId="0" applyFont="1" applyAlignment="1">
      <alignment wrapText="1"/>
    </xf>
    <xf numFmtId="0" fontId="9" fillId="0" borderId="0" xfId="0" applyFont="1" applyAlignment="1">
      <alignment horizontal="right" wrapText="1"/>
    </xf>
    <xf numFmtId="2" fontId="9" fillId="0" borderId="0" xfId="0" applyNumberFormat="1" applyFont="1" applyAlignment="1">
      <alignment horizontal="right" wrapText="1"/>
    </xf>
    <xf numFmtId="2" fontId="9" fillId="0" borderId="0" xfId="0" applyNumberFormat="1" applyFont="1" applyAlignment="1">
      <alignment wrapText="1"/>
    </xf>
    <xf numFmtId="2" fontId="12" fillId="0" borderId="0" xfId="0" applyNumberFormat="1" applyFont="1" applyAlignment="1">
      <alignment horizontal="right" wrapText="1"/>
    </xf>
    <xf numFmtId="0" fontId="12" fillId="0" borderId="0" xfId="0" applyFont="1" applyAlignment="1">
      <alignment horizontal="right" wrapText="1"/>
    </xf>
    <xf numFmtId="0" fontId="12" fillId="8" borderId="0" xfId="0" applyFont="1" applyFill="1"/>
    <xf numFmtId="0" fontId="9" fillId="8" borderId="0" xfId="0" applyFont="1" applyFill="1" applyAlignment="1">
      <alignment horizontal="right" wrapText="1"/>
    </xf>
    <xf numFmtId="2" fontId="12" fillId="8" borderId="0" xfId="0" applyNumberFormat="1" applyFont="1" applyFill="1"/>
    <xf numFmtId="0" fontId="13" fillId="0" borderId="0" xfId="0" applyFont="1"/>
    <xf numFmtId="2" fontId="23" fillId="0" borderId="0" xfId="0" applyNumberFormat="1" applyFont="1"/>
    <xf numFmtId="4" fontId="12" fillId="0" borderId="0" xfId="0" applyNumberFormat="1" applyFont="1"/>
    <xf numFmtId="0" fontId="8" fillId="5" borderId="0" xfId="0" applyFont="1" applyFill="1" applyAlignment="1">
      <alignment horizontal="center"/>
    </xf>
    <xf numFmtId="0" fontId="7" fillId="0" borderId="0" xfId="0" applyFont="1"/>
    <xf numFmtId="0" fontId="9" fillId="2" borderId="0" xfId="0" applyFont="1" applyFill="1" applyAlignment="1">
      <alignment horizontal="center"/>
    </xf>
    <xf numFmtId="0" fontId="0" fillId="0" borderId="0" xfId="0"/>
    <xf numFmtId="0" fontId="5" fillId="0" borderId="0" xfId="0" applyFont="1" applyAlignment="1">
      <alignment horizontal="center" wrapText="1"/>
    </xf>
    <xf numFmtId="0" fontId="5" fillId="0" borderId="3" xfId="0" applyFont="1" applyBorder="1" applyAlignment="1">
      <alignment horizontal="center" wrapText="1"/>
    </xf>
    <xf numFmtId="0" fontId="5"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3"/>
  <sheetViews>
    <sheetView tabSelected="1" workbookViewId="0"/>
  </sheetViews>
  <sheetFormatPr baseColWidth="10" defaultColWidth="10.83203125" defaultRowHeight="16" x14ac:dyDescent="0.2"/>
  <cols>
    <col min="1" max="1" width="80" style="33" bestFit="1" customWidth="1"/>
    <col min="2" max="2" width="10.83203125" style="33" customWidth="1"/>
    <col min="3" max="3" width="10.83203125" style="5" customWidth="1"/>
    <col min="4" max="4" width="30.83203125" style="33" bestFit="1" customWidth="1"/>
    <col min="5" max="5" width="29.33203125" style="33" bestFit="1" customWidth="1"/>
    <col min="6" max="6" width="35.5" style="33" bestFit="1" customWidth="1"/>
    <col min="7" max="7" width="21.1640625" style="33" customWidth="1"/>
    <col min="8" max="8" width="10.83203125" style="33" customWidth="1"/>
    <col min="9" max="16384" width="10.83203125" style="33"/>
  </cols>
  <sheetData>
    <row r="1" spans="1:5" x14ac:dyDescent="0.2">
      <c r="A1" s="3" t="s">
        <v>0</v>
      </c>
      <c r="B1" s="34" t="s">
        <v>1</v>
      </c>
      <c r="C1" s="35" t="s">
        <v>2</v>
      </c>
      <c r="D1" s="6" t="s">
        <v>3</v>
      </c>
      <c r="E1" s="6"/>
    </row>
    <row r="2" spans="1:5" x14ac:dyDescent="0.2">
      <c r="A2" s="3" t="s">
        <v>4</v>
      </c>
    </row>
    <row r="3" spans="1:5" x14ac:dyDescent="0.2">
      <c r="A3" s="9" t="s">
        <v>5</v>
      </c>
    </row>
    <row r="4" spans="1:5" x14ac:dyDescent="0.2">
      <c r="A4" s="8" t="s">
        <v>6</v>
      </c>
      <c r="D4" s="7"/>
      <c r="E4" s="7"/>
    </row>
    <row r="5" spans="1:5" x14ac:dyDescent="0.2">
      <c r="A5" s="8" t="s">
        <v>7</v>
      </c>
    </row>
    <row r="6" spans="1:5" x14ac:dyDescent="0.2">
      <c r="A6" s="8" t="s">
        <v>8</v>
      </c>
    </row>
    <row r="7" spans="1:5" x14ac:dyDescent="0.2">
      <c r="A7" s="8" t="s">
        <v>9</v>
      </c>
    </row>
    <row r="8" spans="1:5" x14ac:dyDescent="0.2">
      <c r="A8" s="33" t="s">
        <v>10</v>
      </c>
    </row>
    <row r="9" spans="1:5" x14ac:dyDescent="0.2">
      <c r="A9" s="33" t="s">
        <v>11</v>
      </c>
    </row>
    <row r="10" spans="1:5" x14ac:dyDescent="0.2">
      <c r="A10" s="33" t="s">
        <v>12</v>
      </c>
    </row>
    <row r="11" spans="1:5" x14ac:dyDescent="0.2">
      <c r="A11" s="33" t="s">
        <v>13</v>
      </c>
    </row>
    <row r="12" spans="1:5" x14ac:dyDescent="0.2">
      <c r="A12" s="33" t="s">
        <v>14</v>
      </c>
    </row>
    <row r="13" spans="1:5" x14ac:dyDescent="0.2">
      <c r="A13" s="33" t="s">
        <v>15</v>
      </c>
    </row>
    <row r="14" spans="1:5" x14ac:dyDescent="0.2">
      <c r="A14" s="8" t="s">
        <v>16</v>
      </c>
    </row>
    <row r="15" spans="1:5" x14ac:dyDescent="0.2">
      <c r="A15" s="8" t="s">
        <v>17</v>
      </c>
    </row>
    <row r="16" spans="1:5" x14ac:dyDescent="0.2">
      <c r="A16" s="33" t="s">
        <v>18</v>
      </c>
    </row>
    <row r="17" spans="1:5" x14ac:dyDescent="0.2">
      <c r="A17" s="33" t="s">
        <v>19</v>
      </c>
    </row>
    <row r="18" spans="1:5" x14ac:dyDescent="0.2">
      <c r="A18" s="8" t="s">
        <v>20</v>
      </c>
    </row>
    <row r="19" spans="1:5" x14ac:dyDescent="0.2">
      <c r="A19" s="8" t="s">
        <v>21</v>
      </c>
    </row>
    <row r="20" spans="1:5" x14ac:dyDescent="0.2">
      <c r="A20" s="8" t="s">
        <v>22</v>
      </c>
    </row>
    <row r="21" spans="1:5" x14ac:dyDescent="0.2">
      <c r="A21" s="33" t="s">
        <v>23</v>
      </c>
    </row>
    <row r="22" spans="1:5" x14ac:dyDescent="0.2">
      <c r="A22" s="33" t="s">
        <v>24</v>
      </c>
      <c r="D22" s="45"/>
    </row>
    <row r="23" spans="1:5" x14ac:dyDescent="0.2">
      <c r="A23" s="38" t="s">
        <v>25</v>
      </c>
      <c r="B23" s="36">
        <f>SUM(B5:B22)</f>
        <v>0</v>
      </c>
      <c r="C23" s="37"/>
    </row>
    <row r="24" spans="1:5" x14ac:dyDescent="0.2">
      <c r="A24" s="39" t="s">
        <v>26</v>
      </c>
      <c r="B24">
        <f>SUM(B4:B22)</f>
        <v>0</v>
      </c>
      <c r="D24" s="7"/>
      <c r="E24" s="7"/>
    </row>
    <row r="25" spans="1:5" x14ac:dyDescent="0.2">
      <c r="A25" s="40" t="s">
        <v>27</v>
      </c>
      <c r="C25" s="5">
        <f>B23-B25</f>
        <v>0</v>
      </c>
    </row>
    <row r="26" spans="1:5" x14ac:dyDescent="0.2">
      <c r="A26" s="40" t="s">
        <v>28</v>
      </c>
      <c r="B26">
        <f>B25+B4</f>
        <v>0</v>
      </c>
      <c r="D26" s="7"/>
      <c r="E26" s="7"/>
    </row>
    <row r="27" spans="1:5" x14ac:dyDescent="0.2">
      <c r="A27" s="8"/>
    </row>
    <row r="28" spans="1:5" x14ac:dyDescent="0.2">
      <c r="A28" s="8"/>
    </row>
    <row r="29" spans="1:5" x14ac:dyDescent="0.2">
      <c r="A29" s="9" t="s">
        <v>29</v>
      </c>
    </row>
    <row r="30" spans="1:5" x14ac:dyDescent="0.2">
      <c r="A30" s="8" t="s">
        <v>30</v>
      </c>
    </row>
    <row r="31" spans="1:5" x14ac:dyDescent="0.2">
      <c r="A31" s="8" t="s">
        <v>31</v>
      </c>
    </row>
    <row r="32" spans="1:5" x14ac:dyDescent="0.2">
      <c r="A32" s="8" t="s">
        <v>32</v>
      </c>
    </row>
    <row r="33" spans="1:4" x14ac:dyDescent="0.2">
      <c r="A33" s="8" t="s">
        <v>33</v>
      </c>
    </row>
    <row r="34" spans="1:4" x14ac:dyDescent="0.2">
      <c r="A34" s="8" t="s">
        <v>34</v>
      </c>
    </row>
    <row r="35" spans="1:4" x14ac:dyDescent="0.2">
      <c r="A35" s="8" t="s">
        <v>35</v>
      </c>
    </row>
    <row r="36" spans="1:4" x14ac:dyDescent="0.2">
      <c r="A36" s="8" t="s">
        <v>36</v>
      </c>
      <c r="B36" s="41"/>
    </row>
    <row r="37" spans="1:4" x14ac:dyDescent="0.2">
      <c r="A37" s="8" t="s">
        <v>37</v>
      </c>
    </row>
    <row r="38" spans="1:4" x14ac:dyDescent="0.2">
      <c r="A38" s="8" t="s">
        <v>38</v>
      </c>
    </row>
    <row r="39" spans="1:4" x14ac:dyDescent="0.2">
      <c r="A39" s="8" t="s">
        <v>39</v>
      </c>
    </row>
    <row r="40" spans="1:4" x14ac:dyDescent="0.2">
      <c r="A40" s="8" t="s">
        <v>40</v>
      </c>
    </row>
    <row r="41" spans="1:4" x14ac:dyDescent="0.2">
      <c r="A41" s="8" t="s">
        <v>41</v>
      </c>
      <c r="B41" s="41"/>
    </row>
    <row r="42" spans="1:4" x14ac:dyDescent="0.2">
      <c r="A42" s="8" t="s">
        <v>42</v>
      </c>
      <c r="B42" s="41"/>
    </row>
    <row r="43" spans="1:4" x14ac:dyDescent="0.2">
      <c r="A43" s="42" t="s">
        <v>43</v>
      </c>
      <c r="B43" s="43"/>
      <c r="C43" s="44"/>
      <c r="D43" s="45"/>
    </row>
    <row r="44" spans="1:4" x14ac:dyDescent="0.2">
      <c r="A44" s="39" t="s">
        <v>44</v>
      </c>
      <c r="B44" s="41"/>
    </row>
    <row r="45" spans="1:4" x14ac:dyDescent="0.2">
      <c r="A45" s="39" t="s">
        <v>45</v>
      </c>
      <c r="B45" s="41"/>
    </row>
    <row r="46" spans="1:4" x14ac:dyDescent="0.2">
      <c r="A46" s="39" t="s">
        <v>46</v>
      </c>
      <c r="B46" s="41"/>
    </row>
    <row r="47" spans="1:4" x14ac:dyDescent="0.2">
      <c r="A47" s="39" t="s">
        <v>47</v>
      </c>
      <c r="B47" s="41"/>
    </row>
    <row r="48" spans="1:4" x14ac:dyDescent="0.2">
      <c r="A48" s="6"/>
    </row>
    <row r="49" spans="1:6" x14ac:dyDescent="0.2">
      <c r="A49" s="11" t="s">
        <v>48</v>
      </c>
      <c r="B49" s="41">
        <f>B23-B45</f>
        <v>0</v>
      </c>
    </row>
    <row r="50" spans="1:6" x14ac:dyDescent="0.2">
      <c r="A50" s="11" t="s">
        <v>49</v>
      </c>
      <c r="B50" s="41">
        <v>6.8208333333333329</v>
      </c>
    </row>
    <row r="51" spans="1:6" x14ac:dyDescent="0.2">
      <c r="A51" s="8"/>
    </row>
    <row r="52" spans="1:6" x14ac:dyDescent="0.2">
      <c r="A52" s="11" t="s">
        <v>50</v>
      </c>
      <c r="B52" s="41"/>
    </row>
    <row r="53" spans="1:6" x14ac:dyDescent="0.2">
      <c r="A53" s="11" t="s">
        <v>51</v>
      </c>
      <c r="B53" s="41"/>
    </row>
    <row r="54" spans="1:6" x14ac:dyDescent="0.2">
      <c r="A54" s="12" t="s">
        <v>52</v>
      </c>
      <c r="B54" s="41">
        <f>SUM(B52:B53)</f>
        <v>0</v>
      </c>
    </row>
    <row r="55" spans="1:6" x14ac:dyDescent="0.2">
      <c r="A55" s="13" t="s">
        <v>53</v>
      </c>
    </row>
    <row r="56" spans="1:6" x14ac:dyDescent="0.2">
      <c r="A56" s="8"/>
    </row>
    <row r="57" spans="1:6" x14ac:dyDescent="0.2">
      <c r="A57" s="11" t="s">
        <v>54</v>
      </c>
      <c r="B57" s="41">
        <f>B50-B54</f>
        <v>6.8208333333333329</v>
      </c>
    </row>
    <row r="58" spans="1:6" x14ac:dyDescent="0.2">
      <c r="A58" s="11" t="s">
        <v>55</v>
      </c>
    </row>
    <row r="59" spans="1:6" x14ac:dyDescent="0.2">
      <c r="A59" s="8"/>
    </row>
    <row r="60" spans="1:6" x14ac:dyDescent="0.2">
      <c r="A60" s="9" t="s">
        <v>56</v>
      </c>
      <c r="B60" s="140" t="s">
        <v>57</v>
      </c>
      <c r="C60" s="141"/>
      <c r="D60" s="74" t="s">
        <v>58</v>
      </c>
      <c r="E60" s="74" t="s">
        <v>59</v>
      </c>
    </row>
    <row r="61" spans="1:6" x14ac:dyDescent="0.2">
      <c r="A61" s="3" t="s">
        <v>60</v>
      </c>
      <c r="B61" s="46" t="s">
        <v>61</v>
      </c>
      <c r="C61" s="47" t="s">
        <v>62</v>
      </c>
    </row>
    <row r="62" spans="1:6" x14ac:dyDescent="0.2">
      <c r="A62" s="33" t="s">
        <v>63</v>
      </c>
      <c r="B62">
        <v>81</v>
      </c>
      <c r="F62" s="7"/>
    </row>
    <row r="63" spans="1:6" x14ac:dyDescent="0.2">
      <c r="A63" s="33" t="s">
        <v>64</v>
      </c>
      <c r="F63" s="7"/>
    </row>
    <row r="64" spans="1:6" x14ac:dyDescent="0.2">
      <c r="A64" s="33" t="s">
        <v>65</v>
      </c>
      <c r="F64" s="7"/>
    </row>
    <row r="65" spans="1:6" x14ac:dyDescent="0.2">
      <c r="A65" s="33" t="s">
        <v>66</v>
      </c>
      <c r="B65">
        <v>1</v>
      </c>
      <c r="F65" s="7"/>
    </row>
    <row r="66" spans="1:6" x14ac:dyDescent="0.2">
      <c r="A66" s="33" t="s">
        <v>67</v>
      </c>
      <c r="B66">
        <v>64</v>
      </c>
      <c r="F66" s="7"/>
    </row>
    <row r="67" spans="1:6" x14ac:dyDescent="0.2">
      <c r="A67" s="33" t="s">
        <v>68</v>
      </c>
      <c r="B67">
        <v>59</v>
      </c>
      <c r="F67" s="7"/>
    </row>
    <row r="68" spans="1:6" x14ac:dyDescent="0.2">
      <c r="A68" s="33" t="s">
        <v>69</v>
      </c>
      <c r="F68" s="7"/>
    </row>
    <row r="69" spans="1:6" x14ac:dyDescent="0.2">
      <c r="A69" s="33" t="s">
        <v>70</v>
      </c>
      <c r="F69" s="7"/>
    </row>
    <row r="70" spans="1:6" x14ac:dyDescent="0.2">
      <c r="A70" s="33" t="s">
        <v>71</v>
      </c>
    </row>
    <row r="71" spans="1:6" x14ac:dyDescent="0.2">
      <c r="A71" s="10" t="s">
        <v>72</v>
      </c>
      <c r="B71" s="50"/>
      <c r="C71" s="51"/>
      <c r="D71" s="50"/>
      <c r="E71" s="50"/>
    </row>
    <row r="72" spans="1:6" x14ac:dyDescent="0.2">
      <c r="A72" s="10" t="s">
        <v>73</v>
      </c>
      <c r="B72" s="50"/>
      <c r="C72" s="51"/>
      <c r="D72" s="50"/>
      <c r="E72" s="50"/>
    </row>
    <row r="73" spans="1:6" x14ac:dyDescent="0.2">
      <c r="A73" s="10" t="s">
        <v>74</v>
      </c>
      <c r="B73" s="50"/>
      <c r="C73" s="51"/>
      <c r="D73" s="50"/>
      <c r="E73" s="50"/>
    </row>
    <row r="74" spans="1:6" x14ac:dyDescent="0.2">
      <c r="A74" s="8"/>
    </row>
    <row r="75" spans="1:6" x14ac:dyDescent="0.2">
      <c r="A75" s="9" t="s">
        <v>75</v>
      </c>
      <c r="B75" s="140" t="s">
        <v>57</v>
      </c>
      <c r="C75" s="141"/>
      <c r="D75" s="48" t="s">
        <v>1</v>
      </c>
      <c r="E75" s="48"/>
    </row>
    <row r="76" spans="1:6" x14ac:dyDescent="0.2">
      <c r="A76" s="3" t="s">
        <v>76</v>
      </c>
      <c r="B76" s="46" t="s">
        <v>61</v>
      </c>
      <c r="C76" s="47" t="s">
        <v>62</v>
      </c>
    </row>
    <row r="77" spans="1:6" x14ac:dyDescent="0.2">
      <c r="A77" s="8" t="s">
        <v>63</v>
      </c>
      <c r="F77" s="7"/>
    </row>
    <row r="78" spans="1:6" x14ac:dyDescent="0.2">
      <c r="A78" s="8" t="s">
        <v>77</v>
      </c>
    </row>
    <row r="79" spans="1:6" x14ac:dyDescent="0.2">
      <c r="A79" s="8" t="s">
        <v>78</v>
      </c>
    </row>
    <row r="80" spans="1:6" x14ac:dyDescent="0.2">
      <c r="A80" s="8" t="s">
        <v>79</v>
      </c>
    </row>
    <row r="81" spans="1:7" x14ac:dyDescent="0.2">
      <c r="A81" s="8" t="s">
        <v>80</v>
      </c>
    </row>
    <row r="82" spans="1:7" x14ac:dyDescent="0.2">
      <c r="A82" s="10" t="s">
        <v>81</v>
      </c>
      <c r="B82" s="50"/>
      <c r="C82" s="51"/>
      <c r="D82" s="50"/>
      <c r="E82" s="50"/>
    </row>
    <row r="83" spans="1:7" x14ac:dyDescent="0.2">
      <c r="A83" s="10" t="s">
        <v>74</v>
      </c>
      <c r="B83" s="50"/>
      <c r="C83" s="51"/>
      <c r="D83" s="50"/>
      <c r="E83" s="50"/>
    </row>
    <row r="84" spans="1:7" x14ac:dyDescent="0.2">
      <c r="A84" s="8"/>
    </row>
    <row r="85" spans="1:7" x14ac:dyDescent="0.2">
      <c r="A85" s="49" t="s">
        <v>82</v>
      </c>
      <c r="B85" s="50"/>
      <c r="C85" s="51"/>
      <c r="D85" s="50"/>
      <c r="E85" s="50"/>
      <c r="F85" s="50"/>
      <c r="G85" s="50"/>
    </row>
    <row r="86" spans="1:7" x14ac:dyDescent="0.2">
      <c r="A86" s="14" t="s">
        <v>83</v>
      </c>
      <c r="B86" s="52" t="s">
        <v>84</v>
      </c>
      <c r="C86" s="52" t="s">
        <v>85</v>
      </c>
      <c r="D86" s="52" t="s">
        <v>86</v>
      </c>
      <c r="E86" s="52"/>
      <c r="F86" s="52" t="s">
        <v>87</v>
      </c>
      <c r="G86" s="23" t="s">
        <v>88</v>
      </c>
    </row>
    <row r="87" spans="1:7" ht="17" x14ac:dyDescent="0.2">
      <c r="A87" s="15" t="s">
        <v>89</v>
      </c>
      <c r="C87" s="33"/>
      <c r="D87" s="33">
        <f>C87-B87</f>
        <v>0</v>
      </c>
      <c r="F87" s="41">
        <f>Stock!K5*Stock!O5</f>
        <v>0</v>
      </c>
      <c r="G87" s="41">
        <f>D87*Stock!O5</f>
        <v>0</v>
      </c>
    </row>
    <row r="88" spans="1:7" ht="17" x14ac:dyDescent="0.2">
      <c r="A88" s="15" t="s">
        <v>90</v>
      </c>
      <c r="C88" s="33">
        <v>0</v>
      </c>
      <c r="D88" s="33">
        <f>C88-B88</f>
        <v>0</v>
      </c>
      <c r="F88" s="41">
        <f>Stock!K5*Stock!O5</f>
        <v>0</v>
      </c>
      <c r="G88" s="41">
        <f>D88*Stock!O5</f>
        <v>0</v>
      </c>
    </row>
    <row r="89" spans="1:7" x14ac:dyDescent="0.2">
      <c r="A89" s="8" t="s">
        <v>91</v>
      </c>
      <c r="B89" s="33">
        <v>2</v>
      </c>
      <c r="C89" s="33">
        <v>2</v>
      </c>
      <c r="D89" s="33">
        <v>0</v>
      </c>
      <c r="F89" s="41">
        <f>Stock!K6*Stock!O6</f>
        <v>0</v>
      </c>
      <c r="G89" s="41">
        <f>D89*Stock!O6</f>
        <v>0</v>
      </c>
    </row>
    <row r="90" spans="1:7" x14ac:dyDescent="0.2">
      <c r="A90" s="8" t="s">
        <v>92</v>
      </c>
      <c r="C90" s="33">
        <v>0</v>
      </c>
      <c r="D90" s="33">
        <f>C90-B90</f>
        <v>0</v>
      </c>
      <c r="F90" s="41">
        <f>Stock!K8*Stock!O8</f>
        <v>0</v>
      </c>
      <c r="G90" s="41">
        <f>D90*Stock!O8</f>
        <v>0</v>
      </c>
    </row>
    <row r="91" spans="1:7" x14ac:dyDescent="0.2">
      <c r="A91" s="8" t="s">
        <v>92</v>
      </c>
      <c r="C91" s="33">
        <v>0</v>
      </c>
      <c r="D91" s="33">
        <f>C91-B91</f>
        <v>0</v>
      </c>
      <c r="F91" s="41">
        <f>Stock!K8*Stock!O8</f>
        <v>0</v>
      </c>
      <c r="G91" s="41">
        <f>D91*Stock!O8</f>
        <v>0</v>
      </c>
    </row>
    <row r="92" spans="1:7" x14ac:dyDescent="0.2">
      <c r="A92" s="8" t="s">
        <v>93</v>
      </c>
      <c r="C92" s="33">
        <v>0</v>
      </c>
      <c r="D92" s="33">
        <f>C92-B92</f>
        <v>0</v>
      </c>
      <c r="F92" s="41">
        <f>Stock!K9*Stock!O9</f>
        <v>0</v>
      </c>
      <c r="G92" s="41">
        <f>D92*Stock!O9</f>
        <v>0</v>
      </c>
    </row>
    <row r="93" spans="1:7" x14ac:dyDescent="0.2">
      <c r="A93" s="8" t="s">
        <v>94</v>
      </c>
      <c r="C93" s="33">
        <v>0</v>
      </c>
      <c r="D93" s="33">
        <f>C93-B93</f>
        <v>0</v>
      </c>
      <c r="F93" s="41">
        <f>Stock!K10*Stock!O10</f>
        <v>0</v>
      </c>
      <c r="G93" s="41">
        <f>D93*Stock!O10</f>
        <v>0</v>
      </c>
    </row>
    <row r="94" spans="1:7" x14ac:dyDescent="0.2">
      <c r="A94" s="8" t="s">
        <v>95</v>
      </c>
      <c r="B94" s="33">
        <v>24</v>
      </c>
      <c r="C94" s="33">
        <v>28</v>
      </c>
      <c r="D94" s="33">
        <v>4</v>
      </c>
      <c r="F94" s="41">
        <f>Stock!K11*Stock!O11</f>
        <v>0</v>
      </c>
      <c r="G94" s="41">
        <f>D94*Stock!O11</f>
        <v>0</v>
      </c>
    </row>
    <row r="95" spans="1:7" x14ac:dyDescent="0.2">
      <c r="A95" s="8" t="s">
        <v>96</v>
      </c>
      <c r="C95" s="33">
        <v>0</v>
      </c>
      <c r="D95" s="33">
        <f t="shared" ref="D95:D100" si="0">C95-B95</f>
        <v>0</v>
      </c>
      <c r="F95" s="41">
        <f>Stock!K12*Stock!O12</f>
        <v>0</v>
      </c>
      <c r="G95" s="41">
        <f>D95*Stock!O12</f>
        <v>0</v>
      </c>
    </row>
    <row r="96" spans="1:7" x14ac:dyDescent="0.2">
      <c r="A96" s="8" t="s">
        <v>97</v>
      </c>
      <c r="C96" s="33">
        <v>0</v>
      </c>
      <c r="D96" s="33">
        <f t="shared" si="0"/>
        <v>0</v>
      </c>
      <c r="F96" s="41">
        <f>Stock!K13*Stock!O13</f>
        <v>0</v>
      </c>
      <c r="G96" s="41">
        <f>D96*Stock!O13</f>
        <v>0</v>
      </c>
    </row>
    <row r="97" spans="1:7" x14ac:dyDescent="0.2">
      <c r="A97" s="8" t="s">
        <v>98</v>
      </c>
      <c r="C97" s="33">
        <v>0</v>
      </c>
      <c r="D97" s="33">
        <f t="shared" si="0"/>
        <v>0</v>
      </c>
      <c r="F97" s="41">
        <f>Stock!K14*Stock!O14</f>
        <v>0</v>
      </c>
      <c r="G97" s="41">
        <f>D97*Stock!O14</f>
        <v>0</v>
      </c>
    </row>
    <row r="98" spans="1:7" x14ac:dyDescent="0.2">
      <c r="A98" s="8" t="s">
        <v>99</v>
      </c>
      <c r="C98" s="33">
        <v>0</v>
      </c>
      <c r="D98" s="33">
        <f t="shared" si="0"/>
        <v>0</v>
      </c>
      <c r="F98" s="41">
        <f>Stock!K15*Stock!O15</f>
        <v>0</v>
      </c>
      <c r="G98" s="41">
        <f>D98*Stock!O15</f>
        <v>0</v>
      </c>
    </row>
    <row r="99" spans="1:7" x14ac:dyDescent="0.2">
      <c r="A99" s="8" t="s">
        <v>100</v>
      </c>
      <c r="C99" s="33">
        <v>0</v>
      </c>
      <c r="D99" s="33">
        <f t="shared" si="0"/>
        <v>0</v>
      </c>
      <c r="F99" s="41">
        <f>Stock!K16*Stock!O16</f>
        <v>0</v>
      </c>
      <c r="G99" s="41">
        <f>D99*Stock!O16</f>
        <v>0</v>
      </c>
    </row>
    <row r="100" spans="1:7" x14ac:dyDescent="0.2">
      <c r="A100" s="8" t="s">
        <v>101</v>
      </c>
      <c r="C100" s="33">
        <v>0</v>
      </c>
      <c r="D100" s="33">
        <f t="shared" si="0"/>
        <v>0</v>
      </c>
      <c r="F100" s="41">
        <f>Stock!K17*Stock!O17</f>
        <v>0</v>
      </c>
      <c r="G100" s="41">
        <f>D100*Stock!O17</f>
        <v>0</v>
      </c>
    </row>
    <row r="101" spans="1:7" x14ac:dyDescent="0.2">
      <c r="A101" s="8" t="s">
        <v>102</v>
      </c>
      <c r="B101" s="33">
        <v>323</v>
      </c>
      <c r="C101" s="33">
        <v>285</v>
      </c>
      <c r="D101" s="33">
        <v>-38</v>
      </c>
      <c r="F101" s="41">
        <f>Stock!K18*Stock!O18</f>
        <v>0</v>
      </c>
      <c r="G101" s="41">
        <f>D101*Stock!O18</f>
        <v>0</v>
      </c>
    </row>
    <row r="102" spans="1:7" x14ac:dyDescent="0.2">
      <c r="A102" s="8" t="s">
        <v>103</v>
      </c>
      <c r="C102" s="33">
        <v>0</v>
      </c>
      <c r="D102" s="33">
        <f t="shared" ref="D102:D107" si="1">C102-B102</f>
        <v>0</v>
      </c>
      <c r="F102" s="41">
        <f>Stock!K19*Stock!O19</f>
        <v>0</v>
      </c>
      <c r="G102" s="41">
        <f>D102*Stock!O19</f>
        <v>0</v>
      </c>
    </row>
    <row r="103" spans="1:7" x14ac:dyDescent="0.2">
      <c r="A103" s="8" t="s">
        <v>104</v>
      </c>
      <c r="C103" s="33">
        <v>0</v>
      </c>
      <c r="D103" s="33">
        <f t="shared" si="1"/>
        <v>0</v>
      </c>
      <c r="F103" s="41">
        <f>Stock!K20*Stock!O20</f>
        <v>0</v>
      </c>
      <c r="G103" s="41">
        <f>D103*Stock!O20</f>
        <v>0</v>
      </c>
    </row>
    <row r="104" spans="1:7" x14ac:dyDescent="0.2">
      <c r="A104" s="8" t="s">
        <v>105</v>
      </c>
      <c r="C104" s="33">
        <v>0</v>
      </c>
      <c r="D104" s="33">
        <f t="shared" si="1"/>
        <v>0</v>
      </c>
      <c r="F104" s="41">
        <f>Stock!K21*Stock!O21</f>
        <v>0</v>
      </c>
      <c r="G104" s="41">
        <f>D104*Stock!O21</f>
        <v>0</v>
      </c>
    </row>
    <row r="105" spans="1:7" x14ac:dyDescent="0.2">
      <c r="A105" s="8" t="s">
        <v>106</v>
      </c>
      <c r="C105" s="33">
        <v>10</v>
      </c>
      <c r="D105" s="33">
        <f t="shared" si="1"/>
        <v>10</v>
      </c>
      <c r="F105" s="41">
        <f>Stock!K22*Stock!O22</f>
        <v>0</v>
      </c>
      <c r="G105" s="41">
        <f>D105*Stock!O22</f>
        <v>0</v>
      </c>
    </row>
    <row r="106" spans="1:7" x14ac:dyDescent="0.2">
      <c r="A106" s="8" t="s">
        <v>107</v>
      </c>
      <c r="C106" s="33">
        <v>0</v>
      </c>
      <c r="D106" s="33">
        <f t="shared" si="1"/>
        <v>0</v>
      </c>
      <c r="F106" s="41">
        <f>Stock!K23*Stock!O23</f>
        <v>0</v>
      </c>
      <c r="G106" s="41">
        <f>D106*Stock!O23</f>
        <v>0</v>
      </c>
    </row>
    <row r="107" spans="1:7" x14ac:dyDescent="0.2">
      <c r="A107" s="8" t="s">
        <v>108</v>
      </c>
      <c r="C107" s="33">
        <v>0</v>
      </c>
      <c r="D107" s="33">
        <f t="shared" si="1"/>
        <v>0</v>
      </c>
      <c r="F107" s="41">
        <f>Stock!K24*Stock!O24</f>
        <v>0</v>
      </c>
      <c r="G107" s="41">
        <f>D107*Stock!O24</f>
        <v>0</v>
      </c>
    </row>
    <row r="108" spans="1:7" x14ac:dyDescent="0.2">
      <c r="A108" s="8" t="s">
        <v>109</v>
      </c>
      <c r="B108" s="33">
        <v>40</v>
      </c>
      <c r="C108" s="33">
        <v>26</v>
      </c>
      <c r="D108" s="33">
        <v>-14</v>
      </c>
      <c r="F108" s="41">
        <f>Stock!K25*Stock!O25</f>
        <v>0</v>
      </c>
      <c r="G108" s="41">
        <f>D108*Stock!O25</f>
        <v>0</v>
      </c>
    </row>
    <row r="109" spans="1:7" x14ac:dyDescent="0.2">
      <c r="A109" s="8" t="s">
        <v>110</v>
      </c>
      <c r="B109" s="33">
        <v>28</v>
      </c>
      <c r="C109" s="33">
        <v>0</v>
      </c>
      <c r="D109" s="33">
        <v>-28</v>
      </c>
      <c r="F109" s="41">
        <f>Stock!K26*Stock!O26</f>
        <v>0</v>
      </c>
      <c r="G109" s="41">
        <f>D109*Stock!O26</f>
        <v>0</v>
      </c>
    </row>
    <row r="110" spans="1:7" x14ac:dyDescent="0.2">
      <c r="A110" s="8" t="s">
        <v>111</v>
      </c>
      <c r="C110" s="33">
        <v>13</v>
      </c>
      <c r="D110" s="33">
        <f>C110-B110</f>
        <v>13</v>
      </c>
      <c r="F110" s="41">
        <f>Stock!K27*Stock!O27</f>
        <v>0</v>
      </c>
      <c r="G110" s="41">
        <f>D110*Stock!O27</f>
        <v>0</v>
      </c>
    </row>
    <row r="111" spans="1:7" x14ac:dyDescent="0.2">
      <c r="A111" s="8" t="s">
        <v>112</v>
      </c>
      <c r="C111" s="33">
        <v>0</v>
      </c>
      <c r="D111" s="33">
        <f>C111-B111</f>
        <v>0</v>
      </c>
      <c r="F111" s="41">
        <f>Stock!K28*Stock!O28</f>
        <v>0</v>
      </c>
      <c r="G111" s="41">
        <f>D111*Stock!O28</f>
        <v>0</v>
      </c>
    </row>
    <row r="112" spans="1:7" x14ac:dyDescent="0.2">
      <c r="A112" s="8" t="s">
        <v>113</v>
      </c>
      <c r="C112" s="33">
        <v>0</v>
      </c>
      <c r="D112" s="33">
        <f>C112-B112</f>
        <v>0</v>
      </c>
      <c r="F112" s="41">
        <f>Stock!K29*Stock!O29</f>
        <v>0</v>
      </c>
      <c r="G112" s="41">
        <f>D112*Stock!O29</f>
        <v>0</v>
      </c>
    </row>
    <row r="113" spans="1:7" x14ac:dyDescent="0.2">
      <c r="A113" s="10" t="s">
        <v>114</v>
      </c>
      <c r="B113" s="50"/>
      <c r="C113" s="51"/>
      <c r="D113" s="50"/>
      <c r="E113" s="50"/>
      <c r="F113" s="64">
        <f>SUM(F87:F112)</f>
        <v>0</v>
      </c>
      <c r="G113" s="64">
        <f>SUM(G87:G112)</f>
        <v>0</v>
      </c>
    </row>
    <row r="114" spans="1:7" x14ac:dyDescent="0.2">
      <c r="A114" s="10" t="s">
        <v>115</v>
      </c>
      <c r="B114" s="50"/>
      <c r="C114" s="51"/>
      <c r="D114" s="50"/>
      <c r="E114" s="50"/>
      <c r="F114" s="64">
        <f>SUM(Stock!T5:T30)</f>
        <v>0</v>
      </c>
      <c r="G114" s="64"/>
    </row>
    <row r="115" spans="1:7" x14ac:dyDescent="0.2">
      <c r="A115" s="10" t="s">
        <v>74</v>
      </c>
      <c r="B115" s="50"/>
      <c r="C115" s="51"/>
      <c r="D115" s="50"/>
      <c r="E115" s="50"/>
      <c r="F115" s="64">
        <f>SUM(Stock!R5:R30)</f>
        <v>7.5787878787878791</v>
      </c>
      <c r="G115" s="64"/>
    </row>
    <row r="116" spans="1:7" x14ac:dyDescent="0.2">
      <c r="A116" s="8"/>
    </row>
    <row r="117" spans="1:7" x14ac:dyDescent="0.2">
      <c r="A117" s="9" t="s">
        <v>116</v>
      </c>
      <c r="B117" s="52" t="s">
        <v>84</v>
      </c>
      <c r="C117" s="52" t="s">
        <v>85</v>
      </c>
      <c r="D117" s="52" t="s">
        <v>86</v>
      </c>
      <c r="E117" s="52"/>
      <c r="F117" s="52" t="s">
        <v>87</v>
      </c>
    </row>
    <row r="118" spans="1:7" ht="17" x14ac:dyDescent="0.2">
      <c r="A118" s="15" t="s">
        <v>117</v>
      </c>
      <c r="G118" s="53"/>
    </row>
    <row r="119" spans="1:7" x14ac:dyDescent="0.2">
      <c r="A119" s="8" t="s">
        <v>118</v>
      </c>
      <c r="C119">
        <v>0</v>
      </c>
      <c r="F119">
        <f>C119*Stock!O35</f>
        <v>0</v>
      </c>
    </row>
    <row r="120" spans="1:7" x14ac:dyDescent="0.2">
      <c r="A120" s="8" t="s">
        <v>119</v>
      </c>
      <c r="C120">
        <v>0</v>
      </c>
      <c r="F120">
        <f>C120*Stock!O36</f>
        <v>0</v>
      </c>
    </row>
    <row r="121" spans="1:7" x14ac:dyDescent="0.2">
      <c r="A121" s="8" t="s">
        <v>120</v>
      </c>
      <c r="C121">
        <v>0</v>
      </c>
      <c r="F121">
        <f>C121*Stock!O37</f>
        <v>0</v>
      </c>
    </row>
    <row r="122" spans="1:7" x14ac:dyDescent="0.2">
      <c r="A122" s="8" t="s">
        <v>121</v>
      </c>
      <c r="C122">
        <v>0</v>
      </c>
      <c r="F122">
        <f>C122*Stock!O38</f>
        <v>0</v>
      </c>
    </row>
    <row r="123" spans="1:7" x14ac:dyDescent="0.2">
      <c r="A123" s="75" t="s">
        <v>81</v>
      </c>
      <c r="B123" s="50"/>
      <c r="C123" s="51"/>
      <c r="D123" s="50"/>
      <c r="E123" s="50"/>
      <c r="F123" s="50"/>
    </row>
    <row r="124" spans="1:7" x14ac:dyDescent="0.2">
      <c r="A124" s="75" t="s">
        <v>74</v>
      </c>
      <c r="B124" s="50"/>
      <c r="C124" s="51"/>
      <c r="D124" s="50"/>
      <c r="E124" s="50"/>
      <c r="F124" s="50"/>
    </row>
    <row r="125" spans="1:7" x14ac:dyDescent="0.2">
      <c r="A125" s="3"/>
    </row>
    <row r="126" spans="1:7" x14ac:dyDescent="0.2">
      <c r="A126" s="9" t="s">
        <v>122</v>
      </c>
      <c r="B126" s="52" t="s">
        <v>84</v>
      </c>
      <c r="C126" s="52" t="s">
        <v>85</v>
      </c>
      <c r="D126" s="52" t="s">
        <v>86</v>
      </c>
      <c r="E126" s="52"/>
      <c r="F126" s="52" t="s">
        <v>87</v>
      </c>
    </row>
    <row r="127" spans="1:7" x14ac:dyDescent="0.2">
      <c r="A127" s="8" t="s">
        <v>123</v>
      </c>
      <c r="G127" s="53"/>
    </row>
    <row r="128" spans="1:7" x14ac:dyDescent="0.2">
      <c r="A128" s="8" t="s">
        <v>124</v>
      </c>
    </row>
    <row r="129" spans="1:1" x14ac:dyDescent="0.2">
      <c r="A129" s="8" t="s">
        <v>125</v>
      </c>
    </row>
    <row r="130" spans="1:1" x14ac:dyDescent="0.2">
      <c r="A130" s="8" t="s">
        <v>126</v>
      </c>
    </row>
    <row r="131" spans="1:1" x14ac:dyDescent="0.2">
      <c r="A131" s="8" t="s">
        <v>127</v>
      </c>
    </row>
    <row r="132" spans="1:1" x14ac:dyDescent="0.2">
      <c r="A132" s="8" t="s">
        <v>128</v>
      </c>
    </row>
    <row r="133" spans="1:1" x14ac:dyDescent="0.2">
      <c r="A133" s="16" t="s">
        <v>129</v>
      </c>
    </row>
    <row r="134" spans="1:1" x14ac:dyDescent="0.2">
      <c r="A134" s="17" t="s">
        <v>130</v>
      </c>
    </row>
    <row r="135" spans="1:1" x14ac:dyDescent="0.2">
      <c r="A135" s="17" t="s">
        <v>131</v>
      </c>
    </row>
    <row r="136" spans="1:1" x14ac:dyDescent="0.2">
      <c r="A136" s="17" t="s">
        <v>132</v>
      </c>
    </row>
    <row r="137" spans="1:1" x14ac:dyDescent="0.2">
      <c r="A137" s="17" t="s">
        <v>133</v>
      </c>
    </row>
    <row r="138" spans="1:1" x14ac:dyDescent="0.2">
      <c r="A138" s="18" t="s">
        <v>134</v>
      </c>
    </row>
    <row r="139" spans="1:1" x14ac:dyDescent="0.2">
      <c r="A139" s="17" t="s">
        <v>135</v>
      </c>
    </row>
    <row r="140" spans="1:1" x14ac:dyDescent="0.2">
      <c r="A140" s="17" t="s">
        <v>136</v>
      </c>
    </row>
    <row r="141" spans="1:1" x14ac:dyDescent="0.2">
      <c r="A141" s="17" t="s">
        <v>137</v>
      </c>
    </row>
    <row r="142" spans="1:1" x14ac:dyDescent="0.2">
      <c r="A142" s="17" t="s">
        <v>138</v>
      </c>
    </row>
    <row r="143" spans="1:1" x14ac:dyDescent="0.2">
      <c r="A143" s="18" t="s">
        <v>139</v>
      </c>
    </row>
    <row r="144" spans="1:1" x14ac:dyDescent="0.2">
      <c r="A144" s="8" t="s">
        <v>140</v>
      </c>
    </row>
    <row r="145" spans="1:7" x14ac:dyDescent="0.2">
      <c r="A145" s="8" t="s">
        <v>141</v>
      </c>
    </row>
    <row r="146" spans="1:7" x14ac:dyDescent="0.2">
      <c r="A146" s="8" t="s">
        <v>142</v>
      </c>
    </row>
    <row r="147" spans="1:7" x14ac:dyDescent="0.2">
      <c r="A147" s="10" t="s">
        <v>81</v>
      </c>
      <c r="B147" s="50"/>
      <c r="C147" s="51"/>
      <c r="D147" s="50"/>
      <c r="E147" s="50"/>
      <c r="F147" s="50"/>
    </row>
    <row r="148" spans="1:7" x14ac:dyDescent="0.2">
      <c r="A148" s="10" t="s">
        <v>74</v>
      </c>
      <c r="B148" s="50"/>
      <c r="C148" s="51"/>
      <c r="D148" s="50"/>
      <c r="E148" s="50"/>
      <c r="F148" s="50"/>
    </row>
    <row r="149" spans="1:7" x14ac:dyDescent="0.2">
      <c r="A149" s="8"/>
    </row>
    <row r="150" spans="1:7" x14ac:dyDescent="0.2">
      <c r="A150" s="9" t="s">
        <v>143</v>
      </c>
      <c r="B150" s="52" t="s">
        <v>84</v>
      </c>
      <c r="C150" s="52" t="s">
        <v>85</v>
      </c>
      <c r="D150" s="52" t="s">
        <v>86</v>
      </c>
      <c r="E150" s="52"/>
      <c r="F150" s="52" t="s">
        <v>87</v>
      </c>
    </row>
    <row r="151" spans="1:7" ht="17" x14ac:dyDescent="0.2">
      <c r="A151" s="15" t="s">
        <v>144</v>
      </c>
      <c r="B151" s="33">
        <v>0</v>
      </c>
      <c r="C151" s="33">
        <v>0</v>
      </c>
      <c r="D151" s="33">
        <v>0</v>
      </c>
      <c r="F151" s="33">
        <v>0</v>
      </c>
      <c r="G151" s="53"/>
    </row>
    <row r="152" spans="1:7" x14ac:dyDescent="0.2">
      <c r="A152" s="8" t="s">
        <v>145</v>
      </c>
      <c r="B152" s="33">
        <v>0</v>
      </c>
      <c r="C152" s="33">
        <v>0</v>
      </c>
      <c r="D152" s="33">
        <v>0</v>
      </c>
      <c r="F152" s="33">
        <f>C152*Stock!O68</f>
        <v>0</v>
      </c>
    </row>
    <row r="153" spans="1:7" x14ac:dyDescent="0.2">
      <c r="A153" s="8" t="s">
        <v>146</v>
      </c>
      <c r="B153" s="33">
        <v>0</v>
      </c>
      <c r="C153" s="33">
        <v>0</v>
      </c>
      <c r="D153" s="33">
        <v>0</v>
      </c>
      <c r="F153" s="33">
        <f>C153*Stock!O69</f>
        <v>0</v>
      </c>
    </row>
    <row r="154" spans="1:7" x14ac:dyDescent="0.2">
      <c r="A154" s="8" t="s">
        <v>147</v>
      </c>
      <c r="B154" s="33">
        <v>0</v>
      </c>
      <c r="C154" s="33">
        <v>0</v>
      </c>
      <c r="D154" s="33">
        <v>0</v>
      </c>
      <c r="F154" s="33">
        <f>C154*Stock!O70</f>
        <v>0</v>
      </c>
    </row>
    <row r="155" spans="1:7" x14ac:dyDescent="0.2">
      <c r="A155" s="75" t="s">
        <v>81</v>
      </c>
      <c r="B155" s="50"/>
      <c r="C155" s="50"/>
      <c r="D155" s="50"/>
      <c r="E155" s="50"/>
      <c r="F155" s="50">
        <f>SUM(F151:F154)</f>
        <v>0</v>
      </c>
    </row>
    <row r="156" spans="1:7" x14ac:dyDescent="0.2">
      <c r="A156" s="75" t="s">
        <v>74</v>
      </c>
      <c r="B156" s="50"/>
      <c r="C156" s="51"/>
      <c r="D156" s="50"/>
      <c r="E156" s="50"/>
      <c r="F156" s="50">
        <f>SUM(Stock!R67:R70)</f>
        <v>0.2</v>
      </c>
    </row>
    <row r="157" spans="1:7" x14ac:dyDescent="0.2">
      <c r="A157" s="8"/>
    </row>
    <row r="158" spans="1:7" x14ac:dyDescent="0.2">
      <c r="A158" s="9" t="s">
        <v>148</v>
      </c>
      <c r="B158" s="52" t="s">
        <v>84</v>
      </c>
      <c r="C158" s="52" t="s">
        <v>85</v>
      </c>
      <c r="D158" s="52" t="s">
        <v>86</v>
      </c>
      <c r="E158" s="52"/>
      <c r="F158" s="52" t="s">
        <v>87</v>
      </c>
    </row>
    <row r="159" spans="1:7" x14ac:dyDescent="0.2">
      <c r="A159" s="8" t="s">
        <v>149</v>
      </c>
      <c r="B159">
        <v>0</v>
      </c>
      <c r="C159">
        <v>0</v>
      </c>
      <c r="D159">
        <v>0</v>
      </c>
      <c r="F159">
        <v>0</v>
      </c>
      <c r="G159" s="73"/>
    </row>
    <row r="160" spans="1:7" x14ac:dyDescent="0.2">
      <c r="A160" s="8" t="s">
        <v>150</v>
      </c>
      <c r="B160">
        <v>0</v>
      </c>
      <c r="C160">
        <v>0</v>
      </c>
      <c r="D160">
        <v>0</v>
      </c>
      <c r="F160">
        <v>0</v>
      </c>
    </row>
    <row r="161" spans="1:7" x14ac:dyDescent="0.2">
      <c r="A161" s="8" t="s">
        <v>151</v>
      </c>
    </row>
    <row r="162" spans="1:7" x14ac:dyDescent="0.2">
      <c r="A162" s="10" t="s">
        <v>152</v>
      </c>
      <c r="B162" s="50"/>
      <c r="C162" s="51"/>
      <c r="D162" s="50"/>
      <c r="E162" s="50"/>
      <c r="F162" s="50"/>
    </row>
    <row r="163" spans="1:7" x14ac:dyDescent="0.2">
      <c r="A163" s="10" t="s">
        <v>74</v>
      </c>
      <c r="B163" s="50"/>
      <c r="C163" s="51"/>
      <c r="D163" s="50"/>
      <c r="E163" s="50"/>
      <c r="F163" s="50"/>
    </row>
    <row r="164" spans="1:7" x14ac:dyDescent="0.2">
      <c r="A164" s="8"/>
    </row>
    <row r="165" spans="1:7" x14ac:dyDescent="0.2">
      <c r="A165" s="9" t="s">
        <v>153</v>
      </c>
      <c r="B165" s="52" t="s">
        <v>84</v>
      </c>
      <c r="C165" s="52" t="s">
        <v>85</v>
      </c>
      <c r="D165" s="52" t="s">
        <v>86</v>
      </c>
      <c r="E165" s="52"/>
      <c r="F165" s="52" t="s">
        <v>87</v>
      </c>
    </row>
    <row r="166" spans="1:7" x14ac:dyDescent="0.2">
      <c r="A166" s="8" t="s">
        <v>154</v>
      </c>
      <c r="B166">
        <v>0</v>
      </c>
      <c r="C166">
        <v>0</v>
      </c>
      <c r="D166">
        <v>0</v>
      </c>
      <c r="F166">
        <f>C166*Stock!O89</f>
        <v>0</v>
      </c>
      <c r="G166" s="73"/>
    </row>
    <row r="167" spans="1:7" x14ac:dyDescent="0.2">
      <c r="A167" s="8" t="s">
        <v>155</v>
      </c>
      <c r="B167">
        <v>0</v>
      </c>
      <c r="C167">
        <v>0</v>
      </c>
      <c r="D167">
        <v>0</v>
      </c>
      <c r="F167">
        <v>0</v>
      </c>
    </row>
    <row r="168" spans="1:7" x14ac:dyDescent="0.2">
      <c r="A168" s="8" t="s">
        <v>156</v>
      </c>
      <c r="B168">
        <v>0</v>
      </c>
      <c r="C168">
        <v>0</v>
      </c>
      <c r="D168">
        <v>0</v>
      </c>
      <c r="F168">
        <v>0</v>
      </c>
    </row>
    <row r="169" spans="1:7" x14ac:dyDescent="0.2">
      <c r="A169" s="10" t="s">
        <v>81</v>
      </c>
      <c r="B169" s="50"/>
      <c r="C169" s="51"/>
      <c r="D169" s="50"/>
      <c r="E169" s="50"/>
      <c r="F169" s="50"/>
    </row>
    <row r="170" spans="1:7" x14ac:dyDescent="0.2">
      <c r="A170" s="10" t="s">
        <v>74</v>
      </c>
      <c r="B170" s="50"/>
      <c r="C170" s="51"/>
      <c r="D170" s="50"/>
      <c r="E170" s="50"/>
      <c r="F170" s="50"/>
    </row>
    <row r="171" spans="1:7" x14ac:dyDescent="0.2">
      <c r="A171" s="8"/>
    </row>
    <row r="172" spans="1:7" x14ac:dyDescent="0.2">
      <c r="A172" s="8"/>
    </row>
    <row r="173" spans="1:7" ht="16" customHeight="1" thickBot="1" x14ac:dyDescent="0.25"/>
    <row r="174" spans="1:7" ht="16" customHeight="1" thickBot="1" x14ac:dyDescent="0.25">
      <c r="A174" s="60"/>
      <c r="B174" s="61" t="s">
        <v>1</v>
      </c>
      <c r="C174" s="62"/>
      <c r="D174" s="65"/>
      <c r="E174" s="65"/>
      <c r="F174" s="66"/>
    </row>
    <row r="175" spans="1:7" x14ac:dyDescent="0.2">
      <c r="A175" s="54" t="s">
        <v>157</v>
      </c>
      <c r="B175" s="67">
        <f>F169+F162+F156+F147+F123+F115+D71</f>
        <v>7.7787878787878793</v>
      </c>
      <c r="D175" s="68"/>
      <c r="E175" s="68"/>
      <c r="F175" s="69"/>
    </row>
    <row r="176" spans="1:7" x14ac:dyDescent="0.2">
      <c r="A176" s="55" t="s">
        <v>158</v>
      </c>
      <c r="B176" s="67">
        <f>F170+F163+F156+F148+F124+F115+D73</f>
        <v>7.7787878787878793</v>
      </c>
      <c r="D176" s="68"/>
      <c r="E176" s="68"/>
      <c r="F176" s="69"/>
    </row>
    <row r="177" spans="1:6" x14ac:dyDescent="0.2">
      <c r="A177" s="55" t="s">
        <v>159</v>
      </c>
      <c r="B177" s="67">
        <f>B15+B18</f>
        <v>0</v>
      </c>
      <c r="D177" s="68"/>
      <c r="E177" s="68"/>
      <c r="F177" s="69"/>
    </row>
    <row r="178" spans="1:6" x14ac:dyDescent="0.2">
      <c r="A178" s="55" t="s">
        <v>160</v>
      </c>
      <c r="B178" s="67">
        <f>B175+B12+B13+B14+B16+B17+B19+B20+B21+B22</f>
        <v>7.7787878787878793</v>
      </c>
      <c r="D178" s="68"/>
      <c r="E178" s="68"/>
      <c r="F178" s="69"/>
    </row>
    <row r="179" spans="1:6" x14ac:dyDescent="0.2">
      <c r="A179" s="56"/>
      <c r="B179" s="68"/>
      <c r="D179" s="68"/>
      <c r="E179" s="68"/>
      <c r="F179" s="69"/>
    </row>
    <row r="180" spans="1:6" x14ac:dyDescent="0.2">
      <c r="A180" s="57" t="s">
        <v>161</v>
      </c>
      <c r="B180" s="70">
        <f>B47/B175</f>
        <v>0</v>
      </c>
      <c r="C180" s="7"/>
      <c r="F180" s="69"/>
    </row>
    <row r="181" spans="1:6" x14ac:dyDescent="0.2">
      <c r="A181" s="55" t="s">
        <v>162</v>
      </c>
      <c r="B181" s="70">
        <f>B47/B178</f>
        <v>0</v>
      </c>
      <c r="D181" s="68"/>
      <c r="E181" s="68"/>
      <c r="F181" s="69"/>
    </row>
    <row r="182" spans="1:6" x14ac:dyDescent="0.2">
      <c r="A182" s="56"/>
      <c r="D182" s="68"/>
      <c r="E182" s="68"/>
      <c r="F182" s="69"/>
    </row>
    <row r="183" spans="1:6" ht="16" customHeight="1" thickBot="1" x14ac:dyDescent="0.25">
      <c r="A183" s="58" t="s">
        <v>163</v>
      </c>
      <c r="B183" s="63" t="s">
        <v>164</v>
      </c>
      <c r="C183" s="59"/>
      <c r="D183" s="71"/>
      <c r="E183" s="71"/>
      <c r="F183" s="72"/>
    </row>
  </sheetData>
  <mergeCells count="2">
    <mergeCell ref="B60:C60"/>
    <mergeCell ref="B75:C7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5" x14ac:dyDescent="0.2"/>
  <sheetData>
    <row r="1" spans="1:1" x14ac:dyDescent="0.2">
      <c r="A1" s="27" t="s">
        <v>165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268"/>
  <sheetViews>
    <sheetView workbookViewId="0"/>
  </sheetViews>
  <sheetFormatPr baseColWidth="10" defaultColWidth="8.83203125" defaultRowHeight="15" x14ac:dyDescent="0.2"/>
  <cols>
    <col min="1" max="1" width="33.1640625" bestFit="1" customWidth="1"/>
    <col min="2" max="2" width="26.83203125" customWidth="1"/>
  </cols>
  <sheetData>
    <row r="1" spans="1:30" x14ac:dyDescent="0.2">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c r="Q1" s="1" t="s">
        <v>182</v>
      </c>
      <c r="R1" s="1" t="s">
        <v>183</v>
      </c>
      <c r="S1" s="1" t="s">
        <v>184</v>
      </c>
      <c r="T1" s="1" t="s">
        <v>185</v>
      </c>
      <c r="U1" s="1" t="s">
        <v>186</v>
      </c>
      <c r="V1" s="1" t="s">
        <v>187</v>
      </c>
      <c r="W1" s="1" t="s">
        <v>188</v>
      </c>
      <c r="X1" s="1" t="s">
        <v>189</v>
      </c>
      <c r="Y1" s="1" t="s">
        <v>190</v>
      </c>
      <c r="Z1" s="1" t="s">
        <v>191</v>
      </c>
      <c r="AA1" s="1" t="s">
        <v>192</v>
      </c>
      <c r="AB1" s="1" t="s">
        <v>193</v>
      </c>
      <c r="AC1" s="1" t="s">
        <v>194</v>
      </c>
      <c r="AD1" s="1" t="s">
        <v>195</v>
      </c>
    </row>
    <row r="2" spans="1:30" x14ac:dyDescent="0.2">
      <c r="A2" t="s">
        <v>196</v>
      </c>
      <c r="B2" t="s">
        <v>197</v>
      </c>
      <c r="C2">
        <v>0</v>
      </c>
      <c r="D2">
        <v>0</v>
      </c>
      <c r="E2">
        <v>0</v>
      </c>
      <c r="F2">
        <v>0</v>
      </c>
      <c r="H2">
        <v>0</v>
      </c>
      <c r="I2">
        <v>0</v>
      </c>
      <c r="J2">
        <v>0</v>
      </c>
      <c r="K2">
        <v>0</v>
      </c>
      <c r="L2">
        <v>0</v>
      </c>
      <c r="M2">
        <v>0</v>
      </c>
      <c r="N2">
        <v>0</v>
      </c>
    </row>
    <row r="3" spans="1:30" x14ac:dyDescent="0.2">
      <c r="A3" t="s">
        <v>198</v>
      </c>
      <c r="B3" t="s">
        <v>199</v>
      </c>
      <c r="C3">
        <v>0</v>
      </c>
      <c r="D3">
        <v>0</v>
      </c>
      <c r="E3">
        <v>0</v>
      </c>
      <c r="F3">
        <v>0</v>
      </c>
      <c r="H3">
        <v>0</v>
      </c>
      <c r="I3">
        <v>0</v>
      </c>
      <c r="J3">
        <v>0</v>
      </c>
      <c r="K3">
        <v>0</v>
      </c>
      <c r="L3">
        <v>0</v>
      </c>
      <c r="M3">
        <v>0</v>
      </c>
      <c r="N3">
        <v>0</v>
      </c>
    </row>
    <row r="4" spans="1:30" x14ac:dyDescent="0.2">
      <c r="A4" t="s">
        <v>200</v>
      </c>
      <c r="B4" t="s">
        <v>201</v>
      </c>
      <c r="C4">
        <v>6.48</v>
      </c>
      <c r="D4">
        <v>6</v>
      </c>
      <c r="E4">
        <v>9</v>
      </c>
      <c r="F4">
        <v>6.25</v>
      </c>
      <c r="H4">
        <v>0</v>
      </c>
      <c r="I4">
        <v>0</v>
      </c>
      <c r="J4">
        <v>0</v>
      </c>
      <c r="K4">
        <v>0</v>
      </c>
      <c r="L4">
        <v>0</v>
      </c>
      <c r="M4">
        <v>0</v>
      </c>
      <c r="N4">
        <v>0</v>
      </c>
    </row>
    <row r="5" spans="1:30" x14ac:dyDescent="0.2">
      <c r="A5" t="s">
        <v>200</v>
      </c>
      <c r="B5" t="s">
        <v>202</v>
      </c>
      <c r="C5">
        <v>6.49</v>
      </c>
      <c r="D5">
        <v>6</v>
      </c>
      <c r="E5">
        <v>9</v>
      </c>
      <c r="F5">
        <v>8.5</v>
      </c>
      <c r="H5">
        <v>0</v>
      </c>
      <c r="I5">
        <v>0</v>
      </c>
      <c r="J5">
        <v>0</v>
      </c>
      <c r="K5">
        <v>0</v>
      </c>
      <c r="L5">
        <v>0</v>
      </c>
      <c r="M5">
        <v>0</v>
      </c>
      <c r="N5">
        <v>0</v>
      </c>
    </row>
    <row r="6" spans="1:30" x14ac:dyDescent="0.2">
      <c r="A6" t="s">
        <v>200</v>
      </c>
      <c r="B6" t="s">
        <v>203</v>
      </c>
      <c r="C6">
        <v>6.48</v>
      </c>
      <c r="D6">
        <v>6</v>
      </c>
      <c r="E6">
        <v>9</v>
      </c>
      <c r="F6">
        <v>6.25</v>
      </c>
      <c r="H6">
        <v>0</v>
      </c>
      <c r="I6">
        <v>0</v>
      </c>
      <c r="J6">
        <v>0</v>
      </c>
      <c r="K6">
        <v>0</v>
      </c>
      <c r="L6">
        <v>0</v>
      </c>
      <c r="M6">
        <v>0</v>
      </c>
      <c r="N6">
        <v>0</v>
      </c>
    </row>
    <row r="7" spans="1:30" x14ac:dyDescent="0.2">
      <c r="A7" t="s">
        <v>200</v>
      </c>
      <c r="B7" t="s">
        <v>204</v>
      </c>
      <c r="C7">
        <v>6.51</v>
      </c>
      <c r="D7">
        <v>6</v>
      </c>
      <c r="E7">
        <v>10</v>
      </c>
      <c r="F7">
        <v>1.5</v>
      </c>
      <c r="H7">
        <v>0</v>
      </c>
      <c r="I7">
        <v>0</v>
      </c>
      <c r="J7">
        <v>0</v>
      </c>
      <c r="K7">
        <v>0</v>
      </c>
      <c r="L7">
        <v>0</v>
      </c>
      <c r="M7">
        <v>0</v>
      </c>
      <c r="N7">
        <v>0</v>
      </c>
    </row>
    <row r="8" spans="1:30" x14ac:dyDescent="0.2">
      <c r="A8" t="s">
        <v>200</v>
      </c>
      <c r="B8" t="s">
        <v>205</v>
      </c>
      <c r="C8">
        <v>25.94</v>
      </c>
      <c r="D8">
        <v>25</v>
      </c>
      <c r="E8">
        <v>18</v>
      </c>
      <c r="F8">
        <v>10.5</v>
      </c>
      <c r="H8">
        <v>0</v>
      </c>
      <c r="I8">
        <v>0</v>
      </c>
      <c r="J8">
        <v>0</v>
      </c>
      <c r="K8">
        <v>0</v>
      </c>
      <c r="L8">
        <v>0</v>
      </c>
      <c r="M8">
        <v>0</v>
      </c>
      <c r="N8">
        <v>0</v>
      </c>
    </row>
    <row r="9" spans="1:30" x14ac:dyDescent="0.2">
      <c r="A9" t="s">
        <v>206</v>
      </c>
      <c r="B9" t="s">
        <v>207</v>
      </c>
      <c r="C9">
        <v>0.25</v>
      </c>
      <c r="D9">
        <v>0</v>
      </c>
      <c r="E9">
        <v>5</v>
      </c>
      <c r="F9">
        <v>0</v>
      </c>
      <c r="H9">
        <v>0</v>
      </c>
      <c r="I9">
        <v>0</v>
      </c>
      <c r="J9">
        <v>0</v>
      </c>
      <c r="K9">
        <v>0</v>
      </c>
      <c r="L9">
        <v>0</v>
      </c>
      <c r="M9">
        <v>0</v>
      </c>
      <c r="N9">
        <v>0</v>
      </c>
    </row>
    <row r="10" spans="1:30" x14ac:dyDescent="0.2">
      <c r="A10" t="s">
        <v>206</v>
      </c>
      <c r="B10" t="s">
        <v>208</v>
      </c>
      <c r="C10">
        <v>0.2</v>
      </c>
      <c r="D10">
        <v>0</v>
      </c>
      <c r="E10">
        <v>4</v>
      </c>
      <c r="F10">
        <v>0</v>
      </c>
      <c r="H10">
        <v>0</v>
      </c>
      <c r="I10">
        <v>0</v>
      </c>
      <c r="J10">
        <v>0</v>
      </c>
      <c r="K10">
        <v>0</v>
      </c>
      <c r="L10">
        <v>0</v>
      </c>
      <c r="M10">
        <v>0</v>
      </c>
      <c r="N10">
        <v>0</v>
      </c>
    </row>
    <row r="11" spans="1:30" x14ac:dyDescent="0.2">
      <c r="A11" t="s">
        <v>206</v>
      </c>
      <c r="B11" t="s">
        <v>209</v>
      </c>
      <c r="C11">
        <v>0.2</v>
      </c>
      <c r="D11">
        <v>0</v>
      </c>
      <c r="E11">
        <v>4</v>
      </c>
      <c r="F11">
        <v>0</v>
      </c>
      <c r="H11">
        <v>0</v>
      </c>
      <c r="I11">
        <v>0</v>
      </c>
      <c r="J11">
        <v>0</v>
      </c>
      <c r="K11">
        <v>0</v>
      </c>
      <c r="L11">
        <v>0</v>
      </c>
      <c r="M11">
        <v>0</v>
      </c>
      <c r="N11">
        <v>0</v>
      </c>
    </row>
    <row r="12" spans="1:30" x14ac:dyDescent="0.2">
      <c r="A12" t="s">
        <v>206</v>
      </c>
      <c r="B12" t="s">
        <v>210</v>
      </c>
      <c r="C12">
        <v>0.2</v>
      </c>
      <c r="D12">
        <v>0</v>
      </c>
      <c r="E12">
        <v>4</v>
      </c>
      <c r="F12">
        <v>0</v>
      </c>
      <c r="H12">
        <v>0</v>
      </c>
      <c r="I12">
        <v>0</v>
      </c>
      <c r="J12">
        <v>0</v>
      </c>
      <c r="K12">
        <v>0</v>
      </c>
      <c r="L12">
        <v>0</v>
      </c>
      <c r="M12">
        <v>0</v>
      </c>
      <c r="N12">
        <v>0</v>
      </c>
    </row>
    <row r="13" spans="1:30" x14ac:dyDescent="0.2">
      <c r="A13" t="s">
        <v>206</v>
      </c>
      <c r="B13" t="s">
        <v>211</v>
      </c>
      <c r="C13">
        <v>0.2</v>
      </c>
      <c r="D13">
        <v>0</v>
      </c>
      <c r="E13">
        <v>4</v>
      </c>
      <c r="F13">
        <v>0</v>
      </c>
      <c r="H13">
        <v>0</v>
      </c>
      <c r="I13">
        <v>0</v>
      </c>
      <c r="J13">
        <v>0</v>
      </c>
      <c r="K13">
        <v>0</v>
      </c>
      <c r="L13">
        <v>0</v>
      </c>
      <c r="M13">
        <v>0</v>
      </c>
      <c r="N13">
        <v>0</v>
      </c>
    </row>
    <row r="14" spans="1:30" x14ac:dyDescent="0.2">
      <c r="A14" t="s">
        <v>206</v>
      </c>
      <c r="B14" t="s">
        <v>212</v>
      </c>
      <c r="C14">
        <v>0.13</v>
      </c>
      <c r="D14">
        <v>0</v>
      </c>
      <c r="E14">
        <v>2</v>
      </c>
      <c r="F14">
        <v>7.5</v>
      </c>
      <c r="H14">
        <v>0</v>
      </c>
      <c r="I14">
        <v>0</v>
      </c>
      <c r="J14">
        <v>0</v>
      </c>
      <c r="K14">
        <v>0</v>
      </c>
      <c r="L14">
        <v>0</v>
      </c>
      <c r="M14">
        <v>0</v>
      </c>
      <c r="N14">
        <v>0</v>
      </c>
    </row>
    <row r="15" spans="1:30" x14ac:dyDescent="0.2">
      <c r="A15" t="s">
        <v>206</v>
      </c>
      <c r="B15" t="s">
        <v>213</v>
      </c>
      <c r="C15">
        <v>0.27</v>
      </c>
      <c r="D15">
        <v>0</v>
      </c>
      <c r="E15">
        <v>5</v>
      </c>
      <c r="F15">
        <v>4</v>
      </c>
      <c r="H15">
        <v>0</v>
      </c>
      <c r="I15">
        <v>0</v>
      </c>
      <c r="J15">
        <v>0</v>
      </c>
      <c r="K15">
        <v>0</v>
      </c>
      <c r="L15">
        <v>0</v>
      </c>
      <c r="M15">
        <v>0</v>
      </c>
      <c r="N15">
        <v>0</v>
      </c>
    </row>
    <row r="16" spans="1:30" x14ac:dyDescent="0.2">
      <c r="A16" t="s">
        <v>206</v>
      </c>
      <c r="B16" t="s">
        <v>214</v>
      </c>
      <c r="C16">
        <v>1.39</v>
      </c>
      <c r="D16">
        <v>1</v>
      </c>
      <c r="E16">
        <v>7</v>
      </c>
      <c r="F16">
        <v>9</v>
      </c>
      <c r="H16">
        <v>0</v>
      </c>
      <c r="I16">
        <v>0</v>
      </c>
      <c r="J16">
        <v>0</v>
      </c>
      <c r="K16">
        <v>0</v>
      </c>
      <c r="L16">
        <v>0</v>
      </c>
      <c r="M16">
        <v>0</v>
      </c>
      <c r="N16">
        <v>0</v>
      </c>
    </row>
    <row r="17" spans="1:14" x14ac:dyDescent="0.2">
      <c r="A17" t="s">
        <v>206</v>
      </c>
      <c r="B17" t="s">
        <v>215</v>
      </c>
      <c r="C17">
        <v>0.08</v>
      </c>
      <c r="D17">
        <v>0</v>
      </c>
      <c r="E17">
        <v>1</v>
      </c>
      <c r="F17">
        <v>6</v>
      </c>
      <c r="H17">
        <v>0</v>
      </c>
      <c r="I17">
        <v>0</v>
      </c>
      <c r="J17">
        <v>0</v>
      </c>
      <c r="K17">
        <v>0</v>
      </c>
      <c r="L17">
        <v>0</v>
      </c>
      <c r="M17">
        <v>0</v>
      </c>
      <c r="N17">
        <v>0</v>
      </c>
    </row>
    <row r="18" spans="1:14" x14ac:dyDescent="0.2">
      <c r="A18" t="s">
        <v>206</v>
      </c>
      <c r="B18" t="s">
        <v>216</v>
      </c>
      <c r="C18">
        <v>0</v>
      </c>
      <c r="D18">
        <v>0</v>
      </c>
      <c r="E18">
        <v>0</v>
      </c>
      <c r="F18">
        <v>0</v>
      </c>
      <c r="H18">
        <v>0</v>
      </c>
      <c r="I18">
        <v>0</v>
      </c>
      <c r="J18">
        <v>0</v>
      </c>
      <c r="K18">
        <v>0</v>
      </c>
      <c r="L18">
        <v>0</v>
      </c>
      <c r="M18">
        <v>0</v>
      </c>
      <c r="N18">
        <v>0</v>
      </c>
    </row>
    <row r="19" spans="1:14" x14ac:dyDescent="0.2">
      <c r="A19" t="s">
        <v>206</v>
      </c>
      <c r="B19" t="s">
        <v>217</v>
      </c>
      <c r="C19">
        <v>1.69</v>
      </c>
      <c r="D19">
        <v>1</v>
      </c>
      <c r="E19">
        <v>13</v>
      </c>
      <c r="F19">
        <v>9</v>
      </c>
      <c r="H19">
        <v>0</v>
      </c>
      <c r="I19">
        <v>0</v>
      </c>
      <c r="J19">
        <v>0</v>
      </c>
      <c r="K19">
        <v>0</v>
      </c>
      <c r="L19">
        <v>0</v>
      </c>
      <c r="M19">
        <v>0</v>
      </c>
      <c r="N19">
        <v>0</v>
      </c>
    </row>
    <row r="20" spans="1:14" x14ac:dyDescent="0.2">
      <c r="A20" t="s">
        <v>218</v>
      </c>
      <c r="B20" t="s">
        <v>219</v>
      </c>
      <c r="C20">
        <v>0.5</v>
      </c>
      <c r="D20">
        <v>0</v>
      </c>
      <c r="E20">
        <v>10</v>
      </c>
      <c r="F20">
        <v>0</v>
      </c>
      <c r="H20">
        <v>0</v>
      </c>
      <c r="I20">
        <v>0</v>
      </c>
      <c r="J20">
        <v>0</v>
      </c>
      <c r="K20">
        <v>0</v>
      </c>
      <c r="L20">
        <v>0</v>
      </c>
      <c r="M20">
        <v>0</v>
      </c>
      <c r="N20">
        <v>0</v>
      </c>
    </row>
    <row r="21" spans="1:14" x14ac:dyDescent="0.2">
      <c r="A21" t="s">
        <v>218</v>
      </c>
      <c r="B21" t="s">
        <v>220</v>
      </c>
      <c r="C21">
        <v>0.03</v>
      </c>
      <c r="D21">
        <v>0</v>
      </c>
      <c r="E21">
        <v>0</v>
      </c>
      <c r="F21">
        <v>6</v>
      </c>
      <c r="H21">
        <v>0</v>
      </c>
      <c r="I21">
        <v>0</v>
      </c>
      <c r="J21">
        <v>0</v>
      </c>
      <c r="K21">
        <v>0</v>
      </c>
      <c r="L21">
        <v>0</v>
      </c>
      <c r="M21">
        <v>0</v>
      </c>
      <c r="N21">
        <v>0</v>
      </c>
    </row>
    <row r="22" spans="1:14" x14ac:dyDescent="0.2">
      <c r="A22" t="s">
        <v>218</v>
      </c>
      <c r="B22" t="s">
        <v>221</v>
      </c>
      <c r="C22">
        <v>0.53</v>
      </c>
      <c r="D22">
        <v>0</v>
      </c>
      <c r="E22">
        <v>10</v>
      </c>
      <c r="F22">
        <v>6</v>
      </c>
      <c r="H22">
        <v>0</v>
      </c>
      <c r="I22">
        <v>0</v>
      </c>
      <c r="J22">
        <v>0</v>
      </c>
      <c r="K22">
        <v>0</v>
      </c>
      <c r="L22">
        <v>0</v>
      </c>
      <c r="M22">
        <v>0</v>
      </c>
      <c r="N22">
        <v>0</v>
      </c>
    </row>
    <row r="23" spans="1:14" x14ac:dyDescent="0.2">
      <c r="A23" t="s">
        <v>222</v>
      </c>
      <c r="B23" t="s">
        <v>223</v>
      </c>
      <c r="C23">
        <v>0.24</v>
      </c>
      <c r="D23">
        <v>0</v>
      </c>
      <c r="E23">
        <v>4</v>
      </c>
      <c r="F23">
        <v>10</v>
      </c>
      <c r="H23">
        <v>0</v>
      </c>
      <c r="I23">
        <v>0</v>
      </c>
      <c r="J23">
        <v>0</v>
      </c>
      <c r="K23">
        <v>0</v>
      </c>
      <c r="L23">
        <v>0</v>
      </c>
      <c r="M23">
        <v>0</v>
      </c>
      <c r="N23">
        <v>0</v>
      </c>
    </row>
    <row r="24" spans="1:14" x14ac:dyDescent="0.2">
      <c r="A24" t="s">
        <v>222</v>
      </c>
      <c r="B24" t="s">
        <v>224</v>
      </c>
      <c r="C24">
        <v>0.12</v>
      </c>
      <c r="D24">
        <v>0</v>
      </c>
      <c r="E24">
        <v>2</v>
      </c>
      <c r="F24">
        <v>6</v>
      </c>
      <c r="H24">
        <v>0</v>
      </c>
      <c r="I24">
        <v>0</v>
      </c>
      <c r="J24">
        <v>0</v>
      </c>
      <c r="K24">
        <v>0</v>
      </c>
      <c r="L24">
        <v>0</v>
      </c>
      <c r="M24">
        <v>0</v>
      </c>
      <c r="N24">
        <v>0</v>
      </c>
    </row>
    <row r="25" spans="1:14" x14ac:dyDescent="0.2">
      <c r="A25" t="s">
        <v>222</v>
      </c>
      <c r="B25" t="s">
        <v>225</v>
      </c>
      <c r="C25">
        <v>0.14000000000000001</v>
      </c>
      <c r="D25">
        <v>0</v>
      </c>
      <c r="E25">
        <v>2</v>
      </c>
      <c r="F25">
        <v>9</v>
      </c>
      <c r="H25">
        <v>0</v>
      </c>
      <c r="I25">
        <v>0</v>
      </c>
      <c r="J25">
        <v>0</v>
      </c>
      <c r="K25">
        <v>0</v>
      </c>
      <c r="L25">
        <v>0</v>
      </c>
      <c r="M25">
        <v>0</v>
      </c>
      <c r="N25">
        <v>0</v>
      </c>
    </row>
    <row r="26" spans="1:14" x14ac:dyDescent="0.2">
      <c r="A26" t="s">
        <v>222</v>
      </c>
      <c r="B26" t="s">
        <v>226</v>
      </c>
      <c r="C26">
        <v>0.28000000000000003</v>
      </c>
      <c r="D26">
        <v>0</v>
      </c>
      <c r="E26">
        <v>5</v>
      </c>
      <c r="F26">
        <v>6</v>
      </c>
      <c r="H26">
        <v>0</v>
      </c>
      <c r="I26">
        <v>0</v>
      </c>
      <c r="J26">
        <v>0</v>
      </c>
      <c r="K26">
        <v>0</v>
      </c>
      <c r="L26">
        <v>0</v>
      </c>
      <c r="M26">
        <v>0</v>
      </c>
      <c r="N26">
        <v>0</v>
      </c>
    </row>
    <row r="27" spans="1:14" x14ac:dyDescent="0.2">
      <c r="A27" t="s">
        <v>222</v>
      </c>
      <c r="B27" t="s">
        <v>227</v>
      </c>
      <c r="C27">
        <v>0.12</v>
      </c>
      <c r="D27">
        <v>0</v>
      </c>
      <c r="E27">
        <v>2</v>
      </c>
      <c r="F27">
        <v>6</v>
      </c>
      <c r="H27">
        <v>0</v>
      </c>
      <c r="I27">
        <v>0</v>
      </c>
      <c r="J27">
        <v>0</v>
      </c>
      <c r="K27">
        <v>0</v>
      </c>
      <c r="L27">
        <v>0</v>
      </c>
      <c r="M27">
        <v>0</v>
      </c>
      <c r="N27">
        <v>0</v>
      </c>
    </row>
    <row r="28" spans="1:14" x14ac:dyDescent="0.2">
      <c r="A28" t="s">
        <v>222</v>
      </c>
      <c r="B28" t="s">
        <v>228</v>
      </c>
      <c r="C28">
        <v>0.12</v>
      </c>
      <c r="D28">
        <v>0</v>
      </c>
      <c r="E28">
        <v>2</v>
      </c>
      <c r="F28">
        <v>6</v>
      </c>
      <c r="H28">
        <v>0</v>
      </c>
      <c r="I28">
        <v>0</v>
      </c>
      <c r="J28">
        <v>0</v>
      </c>
      <c r="K28">
        <v>0</v>
      </c>
      <c r="L28">
        <v>0</v>
      </c>
      <c r="M28">
        <v>0</v>
      </c>
      <c r="N28">
        <v>0</v>
      </c>
    </row>
    <row r="29" spans="1:14" x14ac:dyDescent="0.2">
      <c r="A29" t="s">
        <v>222</v>
      </c>
      <c r="B29" t="s">
        <v>229</v>
      </c>
      <c r="C29">
        <v>0.14000000000000001</v>
      </c>
      <c r="D29">
        <v>0</v>
      </c>
      <c r="E29">
        <v>2</v>
      </c>
      <c r="F29">
        <v>9</v>
      </c>
      <c r="H29">
        <v>0</v>
      </c>
      <c r="I29">
        <v>0</v>
      </c>
      <c r="J29">
        <v>0</v>
      </c>
      <c r="K29">
        <v>0</v>
      </c>
      <c r="L29">
        <v>0</v>
      </c>
      <c r="M29">
        <v>0</v>
      </c>
      <c r="N29">
        <v>0</v>
      </c>
    </row>
    <row r="30" spans="1:14" x14ac:dyDescent="0.2">
      <c r="A30" t="s">
        <v>230</v>
      </c>
      <c r="B30" t="s">
        <v>231</v>
      </c>
      <c r="C30">
        <v>0.2</v>
      </c>
      <c r="D30">
        <v>0</v>
      </c>
      <c r="E30">
        <v>4</v>
      </c>
      <c r="F30">
        <v>0</v>
      </c>
      <c r="H30">
        <v>0</v>
      </c>
      <c r="I30">
        <v>0</v>
      </c>
      <c r="J30">
        <v>0</v>
      </c>
      <c r="K30">
        <v>0</v>
      </c>
      <c r="L30">
        <v>0</v>
      </c>
      <c r="M30">
        <v>0</v>
      </c>
      <c r="N30">
        <v>0</v>
      </c>
    </row>
    <row r="31" spans="1:14" x14ac:dyDescent="0.2">
      <c r="A31" t="s">
        <v>230</v>
      </c>
      <c r="B31" t="s">
        <v>232</v>
      </c>
      <c r="C31">
        <v>0.2</v>
      </c>
      <c r="D31">
        <v>0</v>
      </c>
      <c r="E31">
        <v>4</v>
      </c>
      <c r="F31">
        <v>0</v>
      </c>
      <c r="H31">
        <v>0</v>
      </c>
      <c r="I31">
        <v>0</v>
      </c>
      <c r="J31">
        <v>0</v>
      </c>
      <c r="K31">
        <v>0</v>
      </c>
      <c r="L31">
        <v>0</v>
      </c>
      <c r="M31">
        <v>0</v>
      </c>
      <c r="N31">
        <v>0</v>
      </c>
    </row>
    <row r="32" spans="1:14" x14ac:dyDescent="0.2">
      <c r="A32" t="s">
        <v>230</v>
      </c>
      <c r="B32" t="s">
        <v>233</v>
      </c>
      <c r="C32">
        <v>0.2</v>
      </c>
      <c r="D32">
        <v>0</v>
      </c>
      <c r="E32">
        <v>4</v>
      </c>
      <c r="F32">
        <v>0</v>
      </c>
      <c r="H32">
        <v>0</v>
      </c>
      <c r="I32">
        <v>0</v>
      </c>
      <c r="J32">
        <v>0</v>
      </c>
      <c r="K32">
        <v>0</v>
      </c>
      <c r="L32">
        <v>0</v>
      </c>
      <c r="M32">
        <v>0</v>
      </c>
      <c r="N32">
        <v>0</v>
      </c>
    </row>
    <row r="33" spans="1:14" x14ac:dyDescent="0.2">
      <c r="A33" t="s">
        <v>230</v>
      </c>
      <c r="B33" t="s">
        <v>234</v>
      </c>
      <c r="C33">
        <v>0.2</v>
      </c>
      <c r="D33">
        <v>0</v>
      </c>
      <c r="E33">
        <v>4</v>
      </c>
      <c r="F33">
        <v>0</v>
      </c>
      <c r="H33">
        <v>0</v>
      </c>
      <c r="I33">
        <v>0</v>
      </c>
      <c r="J33">
        <v>0</v>
      </c>
      <c r="K33">
        <v>0</v>
      </c>
      <c r="L33">
        <v>0</v>
      </c>
      <c r="M33">
        <v>0</v>
      </c>
      <c r="N33">
        <v>0</v>
      </c>
    </row>
    <row r="34" spans="1:14" x14ac:dyDescent="0.2">
      <c r="A34" t="s">
        <v>230</v>
      </c>
      <c r="B34" t="s">
        <v>235</v>
      </c>
      <c r="C34">
        <v>0.2</v>
      </c>
      <c r="D34">
        <v>0</v>
      </c>
      <c r="E34">
        <v>4</v>
      </c>
      <c r="F34">
        <v>0</v>
      </c>
      <c r="H34">
        <v>0</v>
      </c>
      <c r="I34">
        <v>0</v>
      </c>
      <c r="J34">
        <v>0</v>
      </c>
      <c r="K34">
        <v>0</v>
      </c>
      <c r="L34">
        <v>0</v>
      </c>
      <c r="M34">
        <v>0</v>
      </c>
      <c r="N34">
        <v>0</v>
      </c>
    </row>
    <row r="35" spans="1:14" x14ac:dyDescent="0.2">
      <c r="A35" t="s">
        <v>230</v>
      </c>
      <c r="B35" t="s">
        <v>236</v>
      </c>
      <c r="C35">
        <v>0.2</v>
      </c>
      <c r="D35">
        <v>0</v>
      </c>
      <c r="E35">
        <v>4</v>
      </c>
      <c r="F35">
        <v>0</v>
      </c>
      <c r="H35">
        <v>0</v>
      </c>
      <c r="I35">
        <v>0</v>
      </c>
      <c r="J35">
        <v>0</v>
      </c>
      <c r="K35">
        <v>0</v>
      </c>
      <c r="L35">
        <v>0</v>
      </c>
      <c r="M35">
        <v>0</v>
      </c>
      <c r="N35">
        <v>0</v>
      </c>
    </row>
    <row r="36" spans="1:14" x14ac:dyDescent="0.2">
      <c r="A36" t="s">
        <v>230</v>
      </c>
      <c r="B36" t="s">
        <v>237</v>
      </c>
      <c r="C36">
        <v>2.37</v>
      </c>
      <c r="D36">
        <v>2</v>
      </c>
      <c r="E36">
        <v>7</v>
      </c>
      <c r="F36">
        <v>4</v>
      </c>
      <c r="H36">
        <v>0</v>
      </c>
      <c r="I36">
        <v>0</v>
      </c>
      <c r="J36">
        <v>0</v>
      </c>
      <c r="K36">
        <v>0</v>
      </c>
      <c r="L36">
        <v>0</v>
      </c>
      <c r="M36">
        <v>0</v>
      </c>
      <c r="N36">
        <v>0</v>
      </c>
    </row>
    <row r="37" spans="1:14" x14ac:dyDescent="0.2">
      <c r="A37" t="s">
        <v>238</v>
      </c>
      <c r="B37" t="s">
        <v>239</v>
      </c>
      <c r="C37">
        <v>4.58</v>
      </c>
      <c r="D37">
        <v>4</v>
      </c>
      <c r="E37">
        <v>11</v>
      </c>
      <c r="F37">
        <v>7</v>
      </c>
      <c r="H37">
        <v>0</v>
      </c>
      <c r="I37">
        <v>0</v>
      </c>
      <c r="J37">
        <v>0</v>
      </c>
      <c r="K37">
        <v>0</v>
      </c>
      <c r="L37">
        <v>0</v>
      </c>
      <c r="M37">
        <v>0</v>
      </c>
      <c r="N37">
        <v>0</v>
      </c>
    </row>
    <row r="38" spans="1:14" x14ac:dyDescent="0.2">
      <c r="A38" t="s">
        <v>240</v>
      </c>
      <c r="B38" t="s">
        <v>241</v>
      </c>
      <c r="C38">
        <v>21.36</v>
      </c>
      <c r="D38">
        <v>21</v>
      </c>
      <c r="E38">
        <v>7</v>
      </c>
      <c r="F38">
        <v>3.5</v>
      </c>
      <c r="H38">
        <v>0</v>
      </c>
      <c r="I38">
        <v>0</v>
      </c>
      <c r="J38">
        <v>0</v>
      </c>
      <c r="K38">
        <v>0</v>
      </c>
      <c r="L38">
        <v>0</v>
      </c>
      <c r="M38">
        <v>0</v>
      </c>
      <c r="N38">
        <v>0</v>
      </c>
    </row>
    <row r="39" spans="1:14" x14ac:dyDescent="0.2">
      <c r="A39" t="s">
        <v>242</v>
      </c>
      <c r="B39" t="s">
        <v>243</v>
      </c>
      <c r="C39">
        <v>0.8</v>
      </c>
      <c r="D39">
        <v>0</v>
      </c>
      <c r="E39">
        <v>16</v>
      </c>
      <c r="F39">
        <v>0</v>
      </c>
      <c r="H39">
        <v>0</v>
      </c>
      <c r="I39">
        <v>0</v>
      </c>
      <c r="J39">
        <v>0</v>
      </c>
      <c r="K39">
        <v>0</v>
      </c>
      <c r="L39">
        <v>0</v>
      </c>
      <c r="M39">
        <v>0</v>
      </c>
      <c r="N39">
        <v>0</v>
      </c>
    </row>
    <row r="40" spans="1:14" x14ac:dyDescent="0.2">
      <c r="A40" t="s">
        <v>242</v>
      </c>
      <c r="B40" t="s">
        <v>244</v>
      </c>
      <c r="C40">
        <v>0.33</v>
      </c>
      <c r="D40">
        <v>0</v>
      </c>
      <c r="E40">
        <v>6</v>
      </c>
      <c r="F40">
        <v>8</v>
      </c>
      <c r="H40">
        <v>0</v>
      </c>
      <c r="I40">
        <v>0</v>
      </c>
      <c r="J40">
        <v>0</v>
      </c>
      <c r="K40">
        <v>0</v>
      </c>
      <c r="L40">
        <v>0</v>
      </c>
      <c r="M40">
        <v>0</v>
      </c>
      <c r="N40">
        <v>0</v>
      </c>
    </row>
    <row r="41" spans="1:14" x14ac:dyDescent="0.2">
      <c r="A41" t="s">
        <v>242</v>
      </c>
      <c r="B41" t="s">
        <v>245</v>
      </c>
      <c r="C41">
        <v>0.8</v>
      </c>
      <c r="D41">
        <v>0</v>
      </c>
      <c r="E41">
        <v>16</v>
      </c>
      <c r="F41">
        <v>0</v>
      </c>
      <c r="H41">
        <v>0</v>
      </c>
      <c r="I41">
        <v>0</v>
      </c>
      <c r="J41">
        <v>0</v>
      </c>
      <c r="K41">
        <v>0</v>
      </c>
      <c r="L41">
        <v>0</v>
      </c>
      <c r="M41">
        <v>0</v>
      </c>
      <c r="N41">
        <v>0</v>
      </c>
    </row>
    <row r="42" spans="1:14" x14ac:dyDescent="0.2">
      <c r="A42" t="s">
        <v>242</v>
      </c>
      <c r="B42" t="s">
        <v>246</v>
      </c>
      <c r="C42">
        <v>0.09</v>
      </c>
      <c r="D42">
        <v>0</v>
      </c>
      <c r="E42">
        <v>1</v>
      </c>
      <c r="F42">
        <v>10</v>
      </c>
      <c r="H42">
        <v>0</v>
      </c>
      <c r="I42">
        <v>0</v>
      </c>
      <c r="J42">
        <v>0</v>
      </c>
      <c r="K42">
        <v>0</v>
      </c>
      <c r="L42">
        <v>0</v>
      </c>
      <c r="M42">
        <v>0</v>
      </c>
      <c r="N42">
        <v>0</v>
      </c>
    </row>
    <row r="43" spans="1:14" x14ac:dyDescent="0.2">
      <c r="A43" t="s">
        <v>242</v>
      </c>
      <c r="B43" t="s">
        <v>247</v>
      </c>
      <c r="C43">
        <v>0.05</v>
      </c>
      <c r="D43">
        <v>0</v>
      </c>
      <c r="E43">
        <v>1</v>
      </c>
      <c r="F43">
        <v>0</v>
      </c>
      <c r="H43">
        <v>0</v>
      </c>
      <c r="I43">
        <v>0</v>
      </c>
      <c r="J43">
        <v>0</v>
      </c>
      <c r="K43">
        <v>0</v>
      </c>
      <c r="L43">
        <v>0</v>
      </c>
      <c r="M43">
        <v>0</v>
      </c>
      <c r="N43">
        <v>0</v>
      </c>
    </row>
    <row r="44" spans="1:14" x14ac:dyDescent="0.2">
      <c r="A44" t="s">
        <v>242</v>
      </c>
      <c r="B44" t="s">
        <v>248</v>
      </c>
      <c r="C44">
        <v>0.08</v>
      </c>
      <c r="D44">
        <v>0</v>
      </c>
      <c r="E44">
        <v>1</v>
      </c>
      <c r="F44">
        <v>8</v>
      </c>
      <c r="H44">
        <v>0</v>
      </c>
      <c r="I44">
        <v>0</v>
      </c>
      <c r="J44">
        <v>0</v>
      </c>
      <c r="K44">
        <v>0</v>
      </c>
      <c r="L44">
        <v>0</v>
      </c>
      <c r="M44">
        <v>0</v>
      </c>
      <c r="N44">
        <v>0</v>
      </c>
    </row>
    <row r="45" spans="1:14" x14ac:dyDescent="0.2">
      <c r="A45" t="s">
        <v>242</v>
      </c>
      <c r="B45" t="s">
        <v>249</v>
      </c>
      <c r="C45">
        <v>0</v>
      </c>
      <c r="D45">
        <v>0</v>
      </c>
      <c r="E45">
        <v>0</v>
      </c>
      <c r="F45">
        <v>0</v>
      </c>
      <c r="H45">
        <v>0</v>
      </c>
      <c r="I45">
        <v>0</v>
      </c>
      <c r="J45">
        <v>0</v>
      </c>
      <c r="K45">
        <v>0</v>
      </c>
      <c r="L45">
        <v>0</v>
      </c>
      <c r="M45">
        <v>0</v>
      </c>
      <c r="N45">
        <v>0</v>
      </c>
    </row>
    <row r="46" spans="1:14" x14ac:dyDescent="0.2">
      <c r="A46" t="s">
        <v>242</v>
      </c>
      <c r="B46" t="s">
        <v>250</v>
      </c>
      <c r="C46">
        <v>0.03</v>
      </c>
      <c r="D46">
        <v>0</v>
      </c>
      <c r="E46">
        <v>0</v>
      </c>
      <c r="F46">
        <v>8</v>
      </c>
      <c r="H46">
        <v>0</v>
      </c>
      <c r="I46">
        <v>0</v>
      </c>
      <c r="J46">
        <v>0</v>
      </c>
      <c r="K46">
        <v>0</v>
      </c>
      <c r="L46">
        <v>0</v>
      </c>
      <c r="M46">
        <v>0</v>
      </c>
      <c r="N46">
        <v>0</v>
      </c>
    </row>
    <row r="47" spans="1:14" x14ac:dyDescent="0.2">
      <c r="A47" t="s">
        <v>242</v>
      </c>
      <c r="B47" t="s">
        <v>251</v>
      </c>
      <c r="C47">
        <v>0.03</v>
      </c>
      <c r="D47">
        <v>0</v>
      </c>
      <c r="E47">
        <v>0</v>
      </c>
      <c r="F47">
        <v>8</v>
      </c>
      <c r="H47">
        <v>0</v>
      </c>
      <c r="I47">
        <v>0</v>
      </c>
      <c r="J47">
        <v>0</v>
      </c>
      <c r="K47">
        <v>0</v>
      </c>
      <c r="L47">
        <v>0</v>
      </c>
      <c r="M47">
        <v>0</v>
      </c>
      <c r="N47">
        <v>0</v>
      </c>
    </row>
    <row r="48" spans="1:14" x14ac:dyDescent="0.2">
      <c r="A48" t="s">
        <v>242</v>
      </c>
      <c r="B48" t="s">
        <v>252</v>
      </c>
      <c r="C48">
        <v>2.23</v>
      </c>
      <c r="D48">
        <v>2</v>
      </c>
      <c r="E48">
        <v>4</v>
      </c>
      <c r="F48">
        <v>6</v>
      </c>
      <c r="H48">
        <v>0</v>
      </c>
      <c r="I48">
        <v>0</v>
      </c>
      <c r="J48">
        <v>0</v>
      </c>
      <c r="K48">
        <v>0</v>
      </c>
      <c r="L48">
        <v>0</v>
      </c>
      <c r="M48">
        <v>0</v>
      </c>
      <c r="N48">
        <v>0</v>
      </c>
    </row>
    <row r="49" spans="1:14" x14ac:dyDescent="0.2">
      <c r="A49" t="s">
        <v>253</v>
      </c>
      <c r="B49" t="s">
        <v>254</v>
      </c>
      <c r="C49">
        <v>0.01</v>
      </c>
      <c r="D49">
        <v>0</v>
      </c>
      <c r="E49">
        <v>0</v>
      </c>
      <c r="F49">
        <v>2</v>
      </c>
      <c r="H49">
        <v>0</v>
      </c>
      <c r="I49">
        <v>0</v>
      </c>
      <c r="J49">
        <v>0</v>
      </c>
      <c r="K49">
        <v>0</v>
      </c>
      <c r="L49">
        <v>0</v>
      </c>
      <c r="M49">
        <v>0</v>
      </c>
      <c r="N49">
        <v>0</v>
      </c>
    </row>
    <row r="50" spans="1:14" x14ac:dyDescent="0.2">
      <c r="A50" t="s">
        <v>253</v>
      </c>
      <c r="B50" t="s">
        <v>255</v>
      </c>
      <c r="C50">
        <v>0.01</v>
      </c>
      <c r="D50">
        <v>0</v>
      </c>
      <c r="E50">
        <v>0</v>
      </c>
      <c r="F50">
        <v>2</v>
      </c>
      <c r="H50">
        <v>0</v>
      </c>
      <c r="I50">
        <v>0</v>
      </c>
      <c r="J50">
        <v>0</v>
      </c>
      <c r="K50">
        <v>0</v>
      </c>
      <c r="L50">
        <v>0</v>
      </c>
      <c r="M50">
        <v>0</v>
      </c>
      <c r="N50">
        <v>0</v>
      </c>
    </row>
    <row r="51" spans="1:14" x14ac:dyDescent="0.2">
      <c r="A51" t="s">
        <v>253</v>
      </c>
      <c r="B51" t="s">
        <v>256</v>
      </c>
      <c r="C51">
        <v>0.01</v>
      </c>
      <c r="D51">
        <v>0</v>
      </c>
      <c r="E51">
        <v>0</v>
      </c>
      <c r="F51">
        <v>3</v>
      </c>
      <c r="H51">
        <v>0</v>
      </c>
      <c r="I51">
        <v>0</v>
      </c>
      <c r="J51">
        <v>0</v>
      </c>
      <c r="K51">
        <v>0</v>
      </c>
      <c r="L51">
        <v>0</v>
      </c>
      <c r="M51">
        <v>0</v>
      </c>
      <c r="N51">
        <v>0</v>
      </c>
    </row>
    <row r="52" spans="1:14" x14ac:dyDescent="0.2">
      <c r="A52" t="s">
        <v>253</v>
      </c>
      <c r="B52" t="s">
        <v>257</v>
      </c>
      <c r="C52">
        <v>0.01</v>
      </c>
      <c r="D52">
        <v>0</v>
      </c>
      <c r="E52">
        <v>0</v>
      </c>
      <c r="F52">
        <v>3</v>
      </c>
      <c r="H52">
        <v>0</v>
      </c>
      <c r="I52">
        <v>0</v>
      </c>
      <c r="J52">
        <v>0</v>
      </c>
      <c r="K52">
        <v>0</v>
      </c>
      <c r="L52">
        <v>0</v>
      </c>
      <c r="M52">
        <v>0</v>
      </c>
      <c r="N52">
        <v>0</v>
      </c>
    </row>
    <row r="53" spans="1:14" x14ac:dyDescent="0.2">
      <c r="A53" t="s">
        <v>253</v>
      </c>
      <c r="B53" t="s">
        <v>258</v>
      </c>
      <c r="C53">
        <v>0.01</v>
      </c>
      <c r="D53">
        <v>0</v>
      </c>
      <c r="E53">
        <v>0</v>
      </c>
      <c r="F53">
        <v>2</v>
      </c>
      <c r="H53">
        <v>0</v>
      </c>
      <c r="I53">
        <v>0</v>
      </c>
      <c r="J53">
        <v>0</v>
      </c>
      <c r="K53">
        <v>0</v>
      </c>
      <c r="L53">
        <v>0</v>
      </c>
      <c r="M53">
        <v>0</v>
      </c>
      <c r="N53">
        <v>0</v>
      </c>
    </row>
    <row r="54" spans="1:14" x14ac:dyDescent="0.2">
      <c r="A54" t="s">
        <v>253</v>
      </c>
      <c r="B54" t="s">
        <v>259</v>
      </c>
      <c r="C54">
        <v>0.01</v>
      </c>
      <c r="D54">
        <v>0</v>
      </c>
      <c r="E54">
        <v>0</v>
      </c>
      <c r="F54">
        <v>2</v>
      </c>
      <c r="H54">
        <v>0</v>
      </c>
      <c r="I54">
        <v>0</v>
      </c>
      <c r="J54">
        <v>0</v>
      </c>
      <c r="K54">
        <v>0</v>
      </c>
      <c r="L54">
        <v>0</v>
      </c>
      <c r="M54">
        <v>0</v>
      </c>
      <c r="N54">
        <v>0</v>
      </c>
    </row>
    <row r="55" spans="1:14" x14ac:dyDescent="0.2">
      <c r="A55" t="s">
        <v>253</v>
      </c>
      <c r="B55" t="s">
        <v>260</v>
      </c>
      <c r="C55">
        <v>0.01</v>
      </c>
      <c r="D55">
        <v>0</v>
      </c>
      <c r="E55">
        <v>0</v>
      </c>
      <c r="F55">
        <v>2</v>
      </c>
      <c r="H55">
        <v>0</v>
      </c>
      <c r="I55">
        <v>0</v>
      </c>
      <c r="J55">
        <v>0</v>
      </c>
      <c r="K55">
        <v>0</v>
      </c>
      <c r="L55">
        <v>0</v>
      </c>
      <c r="M55">
        <v>0</v>
      </c>
      <c r="N55">
        <v>0</v>
      </c>
    </row>
    <row r="56" spans="1:14" x14ac:dyDescent="0.2">
      <c r="A56" t="s">
        <v>253</v>
      </c>
      <c r="B56" t="s">
        <v>261</v>
      </c>
      <c r="C56">
        <v>0.01</v>
      </c>
      <c r="D56">
        <v>0</v>
      </c>
      <c r="E56">
        <v>0</v>
      </c>
      <c r="F56">
        <v>2</v>
      </c>
      <c r="H56">
        <v>0</v>
      </c>
      <c r="I56">
        <v>0</v>
      </c>
      <c r="J56">
        <v>0</v>
      </c>
      <c r="K56">
        <v>0</v>
      </c>
      <c r="L56">
        <v>0</v>
      </c>
      <c r="M56">
        <v>0</v>
      </c>
      <c r="N56">
        <v>0</v>
      </c>
    </row>
    <row r="57" spans="1:14" x14ac:dyDescent="0.2">
      <c r="A57" t="s">
        <v>253</v>
      </c>
      <c r="B57" t="s">
        <v>262</v>
      </c>
      <c r="C57">
        <v>0.01</v>
      </c>
      <c r="D57">
        <v>0</v>
      </c>
      <c r="E57">
        <v>0</v>
      </c>
      <c r="F57">
        <v>2</v>
      </c>
      <c r="H57">
        <v>0</v>
      </c>
      <c r="I57">
        <v>0</v>
      </c>
      <c r="J57">
        <v>0</v>
      </c>
      <c r="K57">
        <v>0</v>
      </c>
      <c r="L57">
        <v>0</v>
      </c>
      <c r="M57">
        <v>0</v>
      </c>
      <c r="N57">
        <v>0</v>
      </c>
    </row>
    <row r="58" spans="1:14" x14ac:dyDescent="0.2">
      <c r="A58" t="s">
        <v>253</v>
      </c>
      <c r="B58" t="s">
        <v>263</v>
      </c>
      <c r="C58">
        <v>0.01</v>
      </c>
      <c r="D58">
        <v>0</v>
      </c>
      <c r="E58">
        <v>0</v>
      </c>
      <c r="F58">
        <v>2</v>
      </c>
      <c r="H58">
        <v>0</v>
      </c>
      <c r="I58">
        <v>0</v>
      </c>
      <c r="J58">
        <v>0</v>
      </c>
      <c r="K58">
        <v>0</v>
      </c>
      <c r="L58">
        <v>0</v>
      </c>
      <c r="M58">
        <v>0</v>
      </c>
      <c r="N58">
        <v>0</v>
      </c>
    </row>
    <row r="59" spans="1:14" x14ac:dyDescent="0.2">
      <c r="A59" t="s">
        <v>253</v>
      </c>
      <c r="B59" t="s">
        <v>264</v>
      </c>
      <c r="C59">
        <v>0.01</v>
      </c>
      <c r="D59">
        <v>0</v>
      </c>
      <c r="E59">
        <v>0</v>
      </c>
      <c r="F59">
        <v>2</v>
      </c>
      <c r="H59">
        <v>0</v>
      </c>
      <c r="I59">
        <v>0</v>
      </c>
      <c r="J59">
        <v>0</v>
      </c>
      <c r="K59">
        <v>0</v>
      </c>
      <c r="L59">
        <v>0</v>
      </c>
      <c r="M59">
        <v>0</v>
      </c>
      <c r="N59">
        <v>0</v>
      </c>
    </row>
    <row r="60" spans="1:14" x14ac:dyDescent="0.2">
      <c r="A60" t="s">
        <v>253</v>
      </c>
      <c r="B60" t="s">
        <v>265</v>
      </c>
      <c r="C60">
        <v>0.05</v>
      </c>
      <c r="D60">
        <v>0</v>
      </c>
      <c r="E60">
        <v>1</v>
      </c>
      <c r="F60">
        <v>0</v>
      </c>
      <c r="H60">
        <v>0</v>
      </c>
      <c r="I60">
        <v>0</v>
      </c>
      <c r="J60">
        <v>0</v>
      </c>
      <c r="K60">
        <v>0</v>
      </c>
      <c r="L60">
        <v>0</v>
      </c>
      <c r="M60">
        <v>0</v>
      </c>
      <c r="N60">
        <v>0</v>
      </c>
    </row>
    <row r="61" spans="1:14" x14ac:dyDescent="0.2">
      <c r="A61" t="s">
        <v>253</v>
      </c>
      <c r="B61" t="s">
        <v>266</v>
      </c>
      <c r="C61">
        <v>0.05</v>
      </c>
      <c r="D61">
        <v>0</v>
      </c>
      <c r="E61">
        <v>1</v>
      </c>
      <c r="F61">
        <v>0</v>
      </c>
      <c r="H61">
        <v>0</v>
      </c>
      <c r="I61">
        <v>0</v>
      </c>
      <c r="J61">
        <v>0</v>
      </c>
      <c r="K61">
        <v>0</v>
      </c>
      <c r="L61">
        <v>0</v>
      </c>
      <c r="M61">
        <v>0</v>
      </c>
      <c r="N61">
        <v>0</v>
      </c>
    </row>
    <row r="62" spans="1:14" x14ac:dyDescent="0.2">
      <c r="A62" t="s">
        <v>253</v>
      </c>
      <c r="B62" t="s">
        <v>267</v>
      </c>
      <c r="C62">
        <v>0.01</v>
      </c>
      <c r="D62">
        <v>0</v>
      </c>
      <c r="E62">
        <v>0</v>
      </c>
      <c r="F62">
        <v>3</v>
      </c>
      <c r="H62">
        <v>0</v>
      </c>
      <c r="I62">
        <v>0</v>
      </c>
      <c r="J62">
        <v>0</v>
      </c>
      <c r="K62">
        <v>0</v>
      </c>
      <c r="L62">
        <v>0</v>
      </c>
      <c r="M62">
        <v>0</v>
      </c>
      <c r="N62">
        <v>0</v>
      </c>
    </row>
    <row r="63" spans="1:14" x14ac:dyDescent="0.2">
      <c r="A63" t="s">
        <v>253</v>
      </c>
      <c r="B63" t="s">
        <v>268</v>
      </c>
      <c r="C63">
        <v>0.01</v>
      </c>
      <c r="D63">
        <v>0</v>
      </c>
      <c r="E63">
        <v>0</v>
      </c>
      <c r="F63">
        <v>2</v>
      </c>
      <c r="H63">
        <v>0</v>
      </c>
      <c r="I63">
        <v>0</v>
      </c>
      <c r="J63">
        <v>0</v>
      </c>
      <c r="K63">
        <v>0</v>
      </c>
      <c r="L63">
        <v>0</v>
      </c>
      <c r="M63">
        <v>0</v>
      </c>
      <c r="N63">
        <v>0</v>
      </c>
    </row>
    <row r="64" spans="1:14" x14ac:dyDescent="0.2">
      <c r="A64" t="s">
        <v>253</v>
      </c>
      <c r="B64" t="s">
        <v>269</v>
      </c>
      <c r="C64">
        <v>0.01</v>
      </c>
      <c r="D64">
        <v>0</v>
      </c>
      <c r="E64">
        <v>0</v>
      </c>
      <c r="F64">
        <v>2</v>
      </c>
      <c r="H64">
        <v>0</v>
      </c>
      <c r="I64">
        <v>0</v>
      </c>
      <c r="J64">
        <v>0</v>
      </c>
      <c r="K64">
        <v>0</v>
      </c>
      <c r="L64">
        <v>0</v>
      </c>
      <c r="M64">
        <v>0</v>
      </c>
      <c r="N64">
        <v>0</v>
      </c>
    </row>
    <row r="65" spans="1:14" x14ac:dyDescent="0.2">
      <c r="A65" t="s">
        <v>253</v>
      </c>
      <c r="B65" t="s">
        <v>270</v>
      </c>
      <c r="C65">
        <v>0.02</v>
      </c>
      <c r="D65">
        <v>0</v>
      </c>
      <c r="E65">
        <v>0</v>
      </c>
      <c r="F65">
        <v>4</v>
      </c>
      <c r="H65">
        <v>0</v>
      </c>
      <c r="I65">
        <v>0</v>
      </c>
      <c r="J65">
        <v>0</v>
      </c>
      <c r="K65">
        <v>0</v>
      </c>
      <c r="L65">
        <v>0</v>
      </c>
      <c r="M65">
        <v>0</v>
      </c>
      <c r="N65">
        <v>0</v>
      </c>
    </row>
    <row r="66" spans="1:14" x14ac:dyDescent="0.2">
      <c r="A66" t="s">
        <v>253</v>
      </c>
      <c r="B66" t="s">
        <v>271</v>
      </c>
      <c r="C66">
        <v>0.25</v>
      </c>
      <c r="D66">
        <v>0</v>
      </c>
      <c r="E66">
        <v>4</v>
      </c>
      <c r="F66">
        <v>11</v>
      </c>
      <c r="H66">
        <v>0</v>
      </c>
      <c r="I66">
        <v>0</v>
      </c>
      <c r="J66">
        <v>0</v>
      </c>
      <c r="K66">
        <v>0</v>
      </c>
      <c r="L66">
        <v>0</v>
      </c>
      <c r="M66">
        <v>0</v>
      </c>
      <c r="N66">
        <v>0</v>
      </c>
    </row>
    <row r="67" spans="1:14" x14ac:dyDescent="0.2">
      <c r="A67" t="s">
        <v>272</v>
      </c>
      <c r="B67" t="s">
        <v>273</v>
      </c>
      <c r="C67">
        <v>0.28000000000000003</v>
      </c>
      <c r="D67">
        <v>0</v>
      </c>
      <c r="E67">
        <v>5</v>
      </c>
      <c r="F67">
        <v>6.5</v>
      </c>
      <c r="H67">
        <v>0</v>
      </c>
      <c r="I67">
        <v>0</v>
      </c>
      <c r="J67">
        <v>0</v>
      </c>
      <c r="K67">
        <v>0</v>
      </c>
      <c r="L67">
        <v>0</v>
      </c>
      <c r="M67">
        <v>0</v>
      </c>
      <c r="N67">
        <v>0</v>
      </c>
    </row>
    <row r="68" spans="1:14" x14ac:dyDescent="0.2">
      <c r="A68" t="s">
        <v>272</v>
      </c>
      <c r="B68" t="s">
        <v>274</v>
      </c>
      <c r="C68">
        <v>0</v>
      </c>
      <c r="D68">
        <v>0</v>
      </c>
      <c r="E68">
        <v>0</v>
      </c>
      <c r="F68">
        <v>0</v>
      </c>
      <c r="H68">
        <v>0</v>
      </c>
      <c r="I68">
        <v>0</v>
      </c>
      <c r="J68">
        <v>0</v>
      </c>
      <c r="K68">
        <v>0</v>
      </c>
      <c r="L68">
        <v>0</v>
      </c>
      <c r="M68">
        <v>0</v>
      </c>
      <c r="N68">
        <v>0</v>
      </c>
    </row>
    <row r="69" spans="1:14" x14ac:dyDescent="0.2">
      <c r="A69" t="s">
        <v>272</v>
      </c>
      <c r="B69" t="s">
        <v>275</v>
      </c>
      <c r="C69">
        <v>0</v>
      </c>
      <c r="D69">
        <v>0</v>
      </c>
      <c r="E69">
        <v>0</v>
      </c>
      <c r="F69">
        <v>0</v>
      </c>
      <c r="H69">
        <v>0</v>
      </c>
      <c r="I69">
        <v>0</v>
      </c>
      <c r="J69">
        <v>0</v>
      </c>
      <c r="K69">
        <v>0</v>
      </c>
      <c r="L69">
        <v>0</v>
      </c>
      <c r="M69">
        <v>0</v>
      </c>
      <c r="N69">
        <v>0</v>
      </c>
    </row>
    <row r="70" spans="1:14" x14ac:dyDescent="0.2">
      <c r="A70" t="s">
        <v>272</v>
      </c>
      <c r="B70" t="s">
        <v>276</v>
      </c>
      <c r="C70">
        <v>0</v>
      </c>
      <c r="D70">
        <v>0</v>
      </c>
      <c r="E70">
        <v>0</v>
      </c>
      <c r="F70">
        <v>0</v>
      </c>
      <c r="H70">
        <v>0</v>
      </c>
      <c r="I70">
        <v>0</v>
      </c>
      <c r="J70">
        <v>0</v>
      </c>
      <c r="K70">
        <v>0</v>
      </c>
      <c r="L70">
        <v>0</v>
      </c>
      <c r="M70">
        <v>0</v>
      </c>
      <c r="N70">
        <v>0</v>
      </c>
    </row>
    <row r="71" spans="1:14" x14ac:dyDescent="0.2">
      <c r="A71" t="s">
        <v>272</v>
      </c>
      <c r="B71" t="s">
        <v>277</v>
      </c>
      <c r="C71">
        <v>0</v>
      </c>
      <c r="D71">
        <v>0</v>
      </c>
      <c r="E71">
        <v>0</v>
      </c>
      <c r="F71">
        <v>0</v>
      </c>
      <c r="H71">
        <v>0</v>
      </c>
      <c r="I71">
        <v>0</v>
      </c>
      <c r="J71">
        <v>0</v>
      </c>
      <c r="K71">
        <v>0</v>
      </c>
      <c r="L71">
        <v>0</v>
      </c>
      <c r="M71">
        <v>0</v>
      </c>
      <c r="N71">
        <v>0</v>
      </c>
    </row>
    <row r="72" spans="1:14" x14ac:dyDescent="0.2">
      <c r="A72" t="s">
        <v>272</v>
      </c>
      <c r="B72" t="s">
        <v>278</v>
      </c>
      <c r="C72">
        <v>0.15</v>
      </c>
      <c r="D72">
        <v>0</v>
      </c>
      <c r="E72">
        <v>3</v>
      </c>
      <c r="F72">
        <v>0</v>
      </c>
      <c r="H72">
        <v>0</v>
      </c>
      <c r="I72">
        <v>0</v>
      </c>
      <c r="J72">
        <v>0</v>
      </c>
      <c r="K72">
        <v>0</v>
      </c>
      <c r="L72">
        <v>0</v>
      </c>
      <c r="M72">
        <v>0</v>
      </c>
      <c r="N72">
        <v>0</v>
      </c>
    </row>
    <row r="73" spans="1:14" x14ac:dyDescent="0.2">
      <c r="A73" t="s">
        <v>272</v>
      </c>
      <c r="B73" t="s">
        <v>279</v>
      </c>
      <c r="C73">
        <v>0</v>
      </c>
      <c r="D73">
        <v>0</v>
      </c>
      <c r="E73">
        <v>0</v>
      </c>
      <c r="F73">
        <v>0</v>
      </c>
      <c r="H73">
        <v>0</v>
      </c>
      <c r="I73">
        <v>0</v>
      </c>
      <c r="J73">
        <v>0</v>
      </c>
      <c r="K73">
        <v>0</v>
      </c>
      <c r="L73">
        <v>0</v>
      </c>
      <c r="M73">
        <v>0</v>
      </c>
      <c r="N73">
        <v>0</v>
      </c>
    </row>
    <row r="74" spans="1:14" x14ac:dyDescent="0.2">
      <c r="A74" t="s">
        <v>272</v>
      </c>
      <c r="B74" t="s">
        <v>280</v>
      </c>
      <c r="C74">
        <v>1</v>
      </c>
      <c r="D74">
        <v>1</v>
      </c>
      <c r="E74">
        <v>0</v>
      </c>
      <c r="F74">
        <v>0</v>
      </c>
      <c r="H74">
        <v>0</v>
      </c>
      <c r="I74">
        <v>0</v>
      </c>
      <c r="J74">
        <v>0</v>
      </c>
      <c r="K74">
        <v>0</v>
      </c>
      <c r="L74">
        <v>0</v>
      </c>
      <c r="M74">
        <v>0</v>
      </c>
      <c r="N74">
        <v>0</v>
      </c>
    </row>
    <row r="75" spans="1:14" x14ac:dyDescent="0.2">
      <c r="A75" t="s">
        <v>272</v>
      </c>
      <c r="B75" t="s">
        <v>281</v>
      </c>
      <c r="C75">
        <v>0.67</v>
      </c>
      <c r="D75">
        <v>0</v>
      </c>
      <c r="E75">
        <v>13</v>
      </c>
      <c r="F75">
        <v>4</v>
      </c>
      <c r="H75">
        <v>0</v>
      </c>
      <c r="I75">
        <v>0</v>
      </c>
      <c r="J75">
        <v>0</v>
      </c>
      <c r="K75">
        <v>0</v>
      </c>
      <c r="L75">
        <v>0</v>
      </c>
      <c r="M75">
        <v>0</v>
      </c>
      <c r="N75">
        <v>0</v>
      </c>
    </row>
    <row r="76" spans="1:14" x14ac:dyDescent="0.2">
      <c r="A76" t="s">
        <v>272</v>
      </c>
      <c r="B76" t="s">
        <v>282</v>
      </c>
      <c r="C76">
        <v>0.15</v>
      </c>
      <c r="D76">
        <v>0</v>
      </c>
      <c r="E76">
        <v>3</v>
      </c>
      <c r="F76">
        <v>0</v>
      </c>
      <c r="H76">
        <v>0</v>
      </c>
      <c r="I76">
        <v>0</v>
      </c>
      <c r="J76">
        <v>0</v>
      </c>
      <c r="K76">
        <v>0</v>
      </c>
      <c r="L76">
        <v>0</v>
      </c>
      <c r="M76">
        <v>0</v>
      </c>
      <c r="N76">
        <v>0</v>
      </c>
    </row>
    <row r="77" spans="1:14" x14ac:dyDescent="0.2">
      <c r="A77" t="s">
        <v>272</v>
      </c>
      <c r="B77" t="s">
        <v>283</v>
      </c>
      <c r="C77">
        <v>0.67</v>
      </c>
      <c r="D77">
        <v>0</v>
      </c>
      <c r="E77">
        <v>13</v>
      </c>
      <c r="F77">
        <v>4</v>
      </c>
      <c r="H77">
        <v>0</v>
      </c>
      <c r="I77">
        <v>0</v>
      </c>
      <c r="J77">
        <v>0</v>
      </c>
      <c r="K77">
        <v>0</v>
      </c>
      <c r="L77">
        <v>0</v>
      </c>
      <c r="M77">
        <v>0</v>
      </c>
      <c r="N77">
        <v>0</v>
      </c>
    </row>
    <row r="78" spans="1:14" x14ac:dyDescent="0.2">
      <c r="A78" t="s">
        <v>272</v>
      </c>
      <c r="B78" t="s">
        <v>284</v>
      </c>
      <c r="C78">
        <v>0</v>
      </c>
      <c r="D78">
        <v>0</v>
      </c>
      <c r="E78">
        <v>0</v>
      </c>
      <c r="F78">
        <v>0</v>
      </c>
      <c r="H78">
        <v>0</v>
      </c>
      <c r="I78">
        <v>0</v>
      </c>
      <c r="J78">
        <v>0</v>
      </c>
      <c r="K78">
        <v>0</v>
      </c>
      <c r="L78">
        <v>0</v>
      </c>
      <c r="M78">
        <v>0</v>
      </c>
      <c r="N78">
        <v>0</v>
      </c>
    </row>
    <row r="79" spans="1:14" x14ac:dyDescent="0.2">
      <c r="A79" t="s">
        <v>272</v>
      </c>
      <c r="B79" t="s">
        <v>285</v>
      </c>
      <c r="C79">
        <v>0.3</v>
      </c>
      <c r="D79">
        <v>0</v>
      </c>
      <c r="E79">
        <v>6</v>
      </c>
      <c r="F79">
        <v>0</v>
      </c>
      <c r="H79">
        <v>0</v>
      </c>
      <c r="I79">
        <v>0</v>
      </c>
      <c r="J79">
        <v>0</v>
      </c>
      <c r="K79">
        <v>0</v>
      </c>
      <c r="L79">
        <v>0</v>
      </c>
      <c r="M79">
        <v>0</v>
      </c>
      <c r="N79">
        <v>0</v>
      </c>
    </row>
    <row r="80" spans="1:14" x14ac:dyDescent="0.2">
      <c r="A80" t="s">
        <v>272</v>
      </c>
      <c r="B80" t="s">
        <v>286</v>
      </c>
      <c r="C80">
        <v>0</v>
      </c>
      <c r="D80">
        <v>0</v>
      </c>
      <c r="E80">
        <v>0</v>
      </c>
      <c r="F80">
        <v>0</v>
      </c>
      <c r="H80">
        <v>0</v>
      </c>
      <c r="I80">
        <v>0</v>
      </c>
      <c r="J80">
        <v>0</v>
      </c>
      <c r="K80">
        <v>0</v>
      </c>
      <c r="L80">
        <v>0</v>
      </c>
      <c r="M80">
        <v>0</v>
      </c>
      <c r="N80">
        <v>0</v>
      </c>
    </row>
    <row r="81" spans="1:14" x14ac:dyDescent="0.2">
      <c r="A81" t="s">
        <v>272</v>
      </c>
      <c r="B81" t="s">
        <v>287</v>
      </c>
      <c r="C81">
        <v>0.08</v>
      </c>
      <c r="D81">
        <v>0</v>
      </c>
      <c r="E81">
        <v>1</v>
      </c>
      <c r="F81">
        <v>6</v>
      </c>
      <c r="H81">
        <v>0</v>
      </c>
      <c r="I81">
        <v>0</v>
      </c>
      <c r="J81">
        <v>0</v>
      </c>
      <c r="K81">
        <v>0</v>
      </c>
      <c r="L81">
        <v>0</v>
      </c>
      <c r="M81">
        <v>0</v>
      </c>
      <c r="N81">
        <v>0</v>
      </c>
    </row>
    <row r="82" spans="1:14" x14ac:dyDescent="0.2">
      <c r="A82" t="s">
        <v>272</v>
      </c>
      <c r="B82" t="s">
        <v>288</v>
      </c>
      <c r="C82">
        <v>0.08</v>
      </c>
      <c r="D82">
        <v>0</v>
      </c>
      <c r="E82">
        <v>1</v>
      </c>
      <c r="F82">
        <v>8</v>
      </c>
      <c r="H82">
        <v>0</v>
      </c>
      <c r="I82">
        <v>0</v>
      </c>
      <c r="J82">
        <v>0</v>
      </c>
      <c r="K82">
        <v>0</v>
      </c>
      <c r="L82">
        <v>0</v>
      </c>
      <c r="M82">
        <v>0</v>
      </c>
      <c r="N82">
        <v>0</v>
      </c>
    </row>
    <row r="83" spans="1:14" x14ac:dyDescent="0.2">
      <c r="A83" t="s">
        <v>272</v>
      </c>
      <c r="B83" t="s">
        <v>289</v>
      </c>
      <c r="C83">
        <v>0</v>
      </c>
      <c r="D83">
        <v>0</v>
      </c>
      <c r="E83">
        <v>0</v>
      </c>
      <c r="F83">
        <v>0</v>
      </c>
      <c r="H83">
        <v>0</v>
      </c>
      <c r="I83">
        <v>0</v>
      </c>
      <c r="J83">
        <v>0</v>
      </c>
      <c r="K83">
        <v>0</v>
      </c>
      <c r="L83">
        <v>0</v>
      </c>
      <c r="M83">
        <v>0</v>
      </c>
      <c r="N83">
        <v>0</v>
      </c>
    </row>
    <row r="84" spans="1:14" x14ac:dyDescent="0.2">
      <c r="A84" t="s">
        <v>272</v>
      </c>
      <c r="B84" t="s">
        <v>290</v>
      </c>
      <c r="C84">
        <v>0</v>
      </c>
      <c r="D84">
        <v>0</v>
      </c>
      <c r="E84">
        <v>0</v>
      </c>
      <c r="F84">
        <v>0</v>
      </c>
      <c r="H84">
        <v>0</v>
      </c>
      <c r="I84">
        <v>0</v>
      </c>
      <c r="J84">
        <v>0</v>
      </c>
      <c r="K84">
        <v>0</v>
      </c>
      <c r="L84">
        <v>0</v>
      </c>
      <c r="M84">
        <v>0</v>
      </c>
      <c r="N84">
        <v>0</v>
      </c>
    </row>
    <row r="85" spans="1:14" x14ac:dyDescent="0.2">
      <c r="A85" t="s">
        <v>272</v>
      </c>
      <c r="B85" t="s">
        <v>291</v>
      </c>
      <c r="C85">
        <v>0</v>
      </c>
      <c r="D85">
        <v>0</v>
      </c>
      <c r="E85">
        <v>0</v>
      </c>
      <c r="F85">
        <v>0</v>
      </c>
      <c r="H85">
        <v>0</v>
      </c>
      <c r="I85">
        <v>0</v>
      </c>
      <c r="J85">
        <v>0</v>
      </c>
      <c r="K85">
        <v>0</v>
      </c>
      <c r="L85">
        <v>0</v>
      </c>
      <c r="M85">
        <v>0</v>
      </c>
      <c r="N85">
        <v>0</v>
      </c>
    </row>
    <row r="86" spans="1:14" x14ac:dyDescent="0.2">
      <c r="A86" t="s">
        <v>272</v>
      </c>
      <c r="B86" t="s">
        <v>292</v>
      </c>
      <c r="C86">
        <v>0</v>
      </c>
      <c r="D86">
        <v>0</v>
      </c>
      <c r="E86">
        <v>0</v>
      </c>
      <c r="F86">
        <v>0</v>
      </c>
      <c r="H86">
        <v>0</v>
      </c>
      <c r="I86">
        <v>0</v>
      </c>
      <c r="J86">
        <v>0</v>
      </c>
      <c r="K86">
        <v>0</v>
      </c>
      <c r="L86">
        <v>0</v>
      </c>
      <c r="M86">
        <v>0</v>
      </c>
      <c r="N86">
        <v>0</v>
      </c>
    </row>
    <row r="87" spans="1:14" x14ac:dyDescent="0.2">
      <c r="A87" t="s">
        <v>272</v>
      </c>
      <c r="B87" t="s">
        <v>293</v>
      </c>
      <c r="C87">
        <v>0</v>
      </c>
      <c r="D87">
        <v>0</v>
      </c>
      <c r="E87">
        <v>0</v>
      </c>
      <c r="F87">
        <v>0</v>
      </c>
      <c r="H87">
        <v>0</v>
      </c>
      <c r="I87">
        <v>0</v>
      </c>
      <c r="J87">
        <v>0</v>
      </c>
      <c r="K87">
        <v>0</v>
      </c>
      <c r="L87">
        <v>0</v>
      </c>
      <c r="M87">
        <v>0</v>
      </c>
      <c r="N87">
        <v>0</v>
      </c>
    </row>
    <row r="88" spans="1:14" x14ac:dyDescent="0.2">
      <c r="A88" t="s">
        <v>272</v>
      </c>
      <c r="B88" t="s">
        <v>294</v>
      </c>
      <c r="C88">
        <v>0.05</v>
      </c>
      <c r="D88">
        <v>0</v>
      </c>
      <c r="E88">
        <v>1</v>
      </c>
      <c r="F88">
        <v>0</v>
      </c>
      <c r="H88">
        <v>0</v>
      </c>
      <c r="I88">
        <v>0</v>
      </c>
      <c r="J88">
        <v>0</v>
      </c>
      <c r="K88">
        <v>0</v>
      </c>
      <c r="L88">
        <v>0</v>
      </c>
      <c r="M88">
        <v>0</v>
      </c>
      <c r="N88">
        <v>0</v>
      </c>
    </row>
    <row r="89" spans="1:14" x14ac:dyDescent="0.2">
      <c r="A89" t="s">
        <v>272</v>
      </c>
      <c r="B89" t="s">
        <v>295</v>
      </c>
      <c r="C89">
        <v>0.17</v>
      </c>
      <c r="D89">
        <v>0</v>
      </c>
      <c r="E89">
        <v>3</v>
      </c>
      <c r="F89">
        <v>4</v>
      </c>
      <c r="H89">
        <v>0</v>
      </c>
      <c r="I89">
        <v>0</v>
      </c>
      <c r="J89">
        <v>0</v>
      </c>
      <c r="K89">
        <v>0</v>
      </c>
      <c r="L89">
        <v>0</v>
      </c>
      <c r="M89">
        <v>0</v>
      </c>
      <c r="N89">
        <v>0</v>
      </c>
    </row>
    <row r="90" spans="1:14" x14ac:dyDescent="0.2">
      <c r="A90" t="s">
        <v>272</v>
      </c>
      <c r="B90" t="s">
        <v>296</v>
      </c>
      <c r="C90">
        <v>0.03</v>
      </c>
      <c r="D90">
        <v>0</v>
      </c>
      <c r="E90">
        <v>0</v>
      </c>
      <c r="F90">
        <v>6</v>
      </c>
      <c r="H90">
        <v>0</v>
      </c>
      <c r="I90">
        <v>0</v>
      </c>
      <c r="J90">
        <v>0</v>
      </c>
      <c r="K90">
        <v>0</v>
      </c>
      <c r="L90">
        <v>0</v>
      </c>
      <c r="M90">
        <v>0</v>
      </c>
      <c r="N90">
        <v>0</v>
      </c>
    </row>
    <row r="91" spans="1:14" x14ac:dyDescent="0.2">
      <c r="A91" t="s">
        <v>272</v>
      </c>
      <c r="B91" t="s">
        <v>297</v>
      </c>
      <c r="C91">
        <v>2.13</v>
      </c>
      <c r="D91">
        <v>2</v>
      </c>
      <c r="E91">
        <v>2</v>
      </c>
      <c r="F91">
        <v>7.5</v>
      </c>
      <c r="H91">
        <v>0</v>
      </c>
      <c r="I91">
        <v>0</v>
      </c>
      <c r="J91">
        <v>0</v>
      </c>
      <c r="K91">
        <v>0</v>
      </c>
      <c r="L91">
        <v>0</v>
      </c>
      <c r="M91">
        <v>0</v>
      </c>
      <c r="N91">
        <v>0</v>
      </c>
    </row>
    <row r="92" spans="1:14" x14ac:dyDescent="0.2">
      <c r="A92" t="s">
        <v>298</v>
      </c>
      <c r="B92" t="s">
        <v>299</v>
      </c>
      <c r="C92">
        <v>0.5</v>
      </c>
      <c r="D92">
        <v>0</v>
      </c>
      <c r="E92">
        <v>10</v>
      </c>
      <c r="F92">
        <v>0</v>
      </c>
      <c r="H92">
        <v>0</v>
      </c>
      <c r="I92">
        <v>0</v>
      </c>
      <c r="J92">
        <v>0</v>
      </c>
      <c r="K92">
        <v>0</v>
      </c>
      <c r="L92">
        <v>0</v>
      </c>
      <c r="M92">
        <v>0</v>
      </c>
      <c r="N92">
        <v>0</v>
      </c>
    </row>
    <row r="93" spans="1:14" x14ac:dyDescent="0.2">
      <c r="A93" t="s">
        <v>298</v>
      </c>
      <c r="B93" t="s">
        <v>300</v>
      </c>
      <c r="C93">
        <v>0.35</v>
      </c>
      <c r="D93">
        <v>0</v>
      </c>
      <c r="E93">
        <v>7</v>
      </c>
      <c r="F93">
        <v>1</v>
      </c>
      <c r="H93">
        <v>0</v>
      </c>
      <c r="I93">
        <v>0</v>
      </c>
      <c r="J93">
        <v>0</v>
      </c>
      <c r="K93">
        <v>0</v>
      </c>
      <c r="L93">
        <v>0</v>
      </c>
      <c r="M93">
        <v>0</v>
      </c>
      <c r="N93">
        <v>0</v>
      </c>
    </row>
    <row r="94" spans="1:14" x14ac:dyDescent="0.2">
      <c r="A94" t="s">
        <v>298</v>
      </c>
      <c r="B94" t="s">
        <v>301</v>
      </c>
      <c r="C94">
        <v>0.53</v>
      </c>
      <c r="D94">
        <v>0</v>
      </c>
      <c r="E94">
        <v>10</v>
      </c>
      <c r="F94">
        <v>8</v>
      </c>
      <c r="H94">
        <v>0</v>
      </c>
      <c r="I94">
        <v>0</v>
      </c>
      <c r="J94">
        <v>0</v>
      </c>
      <c r="K94">
        <v>0</v>
      </c>
      <c r="L94">
        <v>0</v>
      </c>
      <c r="M94">
        <v>0</v>
      </c>
      <c r="N94">
        <v>0</v>
      </c>
    </row>
    <row r="95" spans="1:14" x14ac:dyDescent="0.2">
      <c r="A95" t="s">
        <v>298</v>
      </c>
      <c r="B95" t="s">
        <v>302</v>
      </c>
      <c r="C95">
        <v>0.95</v>
      </c>
      <c r="D95">
        <v>0</v>
      </c>
      <c r="E95">
        <v>19</v>
      </c>
      <c r="F95">
        <v>1</v>
      </c>
      <c r="H95">
        <v>0</v>
      </c>
      <c r="I95">
        <v>0</v>
      </c>
      <c r="J95">
        <v>0</v>
      </c>
      <c r="K95">
        <v>0</v>
      </c>
      <c r="L95">
        <v>0</v>
      </c>
      <c r="M95">
        <v>0</v>
      </c>
      <c r="N95">
        <v>0</v>
      </c>
    </row>
    <row r="96" spans="1:14" x14ac:dyDescent="0.2">
      <c r="A96" t="s">
        <v>298</v>
      </c>
      <c r="B96" t="s">
        <v>303</v>
      </c>
      <c r="C96">
        <v>0.6</v>
      </c>
      <c r="D96">
        <v>0</v>
      </c>
      <c r="E96">
        <v>12</v>
      </c>
      <c r="F96">
        <v>0</v>
      </c>
      <c r="H96">
        <v>0</v>
      </c>
      <c r="I96">
        <v>0</v>
      </c>
      <c r="J96">
        <v>0</v>
      </c>
      <c r="K96">
        <v>0</v>
      </c>
      <c r="L96">
        <v>0</v>
      </c>
      <c r="M96">
        <v>0</v>
      </c>
      <c r="N96">
        <v>0</v>
      </c>
    </row>
    <row r="97" spans="1:14" x14ac:dyDescent="0.2">
      <c r="A97" t="s">
        <v>298</v>
      </c>
      <c r="B97" t="s">
        <v>304</v>
      </c>
      <c r="C97">
        <v>0.63</v>
      </c>
      <c r="D97">
        <v>0</v>
      </c>
      <c r="E97">
        <v>12</v>
      </c>
      <c r="F97">
        <v>8</v>
      </c>
      <c r="H97">
        <v>0</v>
      </c>
      <c r="I97">
        <v>0</v>
      </c>
      <c r="J97">
        <v>0</v>
      </c>
      <c r="K97">
        <v>0</v>
      </c>
      <c r="L97">
        <v>0</v>
      </c>
      <c r="M97">
        <v>0</v>
      </c>
      <c r="N97">
        <v>0</v>
      </c>
    </row>
    <row r="98" spans="1:14" x14ac:dyDescent="0.2">
      <c r="A98" t="s">
        <v>298</v>
      </c>
      <c r="B98" t="s">
        <v>305</v>
      </c>
      <c r="C98">
        <v>0.7</v>
      </c>
      <c r="D98">
        <v>0</v>
      </c>
      <c r="E98">
        <v>14</v>
      </c>
      <c r="F98">
        <v>0</v>
      </c>
      <c r="H98">
        <v>0</v>
      </c>
      <c r="I98">
        <v>0</v>
      </c>
      <c r="J98">
        <v>0</v>
      </c>
      <c r="K98">
        <v>0</v>
      </c>
      <c r="L98">
        <v>0</v>
      </c>
      <c r="M98">
        <v>0</v>
      </c>
      <c r="N98">
        <v>0</v>
      </c>
    </row>
    <row r="99" spans="1:14" x14ac:dyDescent="0.2">
      <c r="A99" t="s">
        <v>230</v>
      </c>
      <c r="B99" t="s">
        <v>306</v>
      </c>
      <c r="C99">
        <v>0.7</v>
      </c>
      <c r="D99">
        <v>0</v>
      </c>
      <c r="E99">
        <v>14</v>
      </c>
      <c r="F99">
        <v>0</v>
      </c>
      <c r="H99">
        <v>0</v>
      </c>
      <c r="I99">
        <v>0</v>
      </c>
      <c r="J99">
        <v>0</v>
      </c>
      <c r="K99">
        <v>0</v>
      </c>
      <c r="L99">
        <v>0</v>
      </c>
      <c r="M99">
        <v>0</v>
      </c>
      <c r="N99">
        <v>0</v>
      </c>
    </row>
    <row r="100" spans="1:14" x14ac:dyDescent="0.2">
      <c r="A100" t="s">
        <v>230</v>
      </c>
      <c r="B100" t="s">
        <v>307</v>
      </c>
      <c r="C100">
        <v>0.67</v>
      </c>
      <c r="D100">
        <v>0</v>
      </c>
      <c r="E100">
        <v>13</v>
      </c>
      <c r="F100">
        <v>4</v>
      </c>
      <c r="H100">
        <v>0</v>
      </c>
      <c r="I100">
        <v>0</v>
      </c>
      <c r="J100">
        <v>0</v>
      </c>
      <c r="K100">
        <v>0</v>
      </c>
      <c r="L100">
        <v>0</v>
      </c>
      <c r="M100">
        <v>0</v>
      </c>
      <c r="N100">
        <v>0</v>
      </c>
    </row>
    <row r="101" spans="1:14" x14ac:dyDescent="0.2">
      <c r="A101" t="s">
        <v>230</v>
      </c>
      <c r="B101" t="s">
        <v>308</v>
      </c>
      <c r="C101">
        <v>0.6</v>
      </c>
      <c r="D101">
        <v>0</v>
      </c>
      <c r="E101">
        <v>12</v>
      </c>
      <c r="F101">
        <v>0</v>
      </c>
      <c r="H101">
        <v>0</v>
      </c>
      <c r="I101">
        <v>0</v>
      </c>
      <c r="J101">
        <v>0</v>
      </c>
      <c r="K101">
        <v>0</v>
      </c>
      <c r="L101">
        <v>0</v>
      </c>
      <c r="M101">
        <v>0</v>
      </c>
      <c r="N101">
        <v>0</v>
      </c>
    </row>
    <row r="102" spans="1:14" x14ac:dyDescent="0.2">
      <c r="A102" t="s">
        <v>230</v>
      </c>
      <c r="B102" t="s">
        <v>309</v>
      </c>
      <c r="C102">
        <v>0.9</v>
      </c>
      <c r="D102">
        <v>0</v>
      </c>
      <c r="E102">
        <v>18</v>
      </c>
      <c r="F102">
        <v>0</v>
      </c>
      <c r="H102">
        <v>0</v>
      </c>
      <c r="I102">
        <v>0</v>
      </c>
      <c r="J102">
        <v>0</v>
      </c>
      <c r="K102">
        <v>0</v>
      </c>
      <c r="L102">
        <v>0</v>
      </c>
      <c r="M102">
        <v>0</v>
      </c>
      <c r="N102">
        <v>0</v>
      </c>
    </row>
    <row r="103" spans="1:14" x14ac:dyDescent="0.2">
      <c r="A103" t="s">
        <v>230</v>
      </c>
      <c r="B103" t="s">
        <v>310</v>
      </c>
      <c r="C103">
        <v>0.6</v>
      </c>
      <c r="D103">
        <v>0</v>
      </c>
      <c r="E103">
        <v>12</v>
      </c>
      <c r="F103">
        <v>0</v>
      </c>
      <c r="H103">
        <v>0</v>
      </c>
      <c r="I103">
        <v>0</v>
      </c>
      <c r="J103">
        <v>0</v>
      </c>
      <c r="K103">
        <v>0</v>
      </c>
      <c r="L103">
        <v>0</v>
      </c>
      <c r="M103">
        <v>0</v>
      </c>
      <c r="N103">
        <v>0</v>
      </c>
    </row>
    <row r="104" spans="1:14" x14ac:dyDescent="0.2">
      <c r="A104" t="s">
        <v>230</v>
      </c>
      <c r="B104" t="s">
        <v>311</v>
      </c>
      <c r="C104">
        <v>0.5</v>
      </c>
      <c r="D104">
        <v>0</v>
      </c>
      <c r="E104">
        <v>10</v>
      </c>
      <c r="F104">
        <v>0</v>
      </c>
      <c r="H104">
        <v>0</v>
      </c>
      <c r="I104">
        <v>0</v>
      </c>
      <c r="J104">
        <v>0</v>
      </c>
      <c r="K104">
        <v>0</v>
      </c>
      <c r="L104">
        <v>0</v>
      </c>
      <c r="M104">
        <v>0</v>
      </c>
      <c r="N104">
        <v>0</v>
      </c>
    </row>
    <row r="105" spans="1:14" x14ac:dyDescent="0.2">
      <c r="A105" t="s">
        <v>230</v>
      </c>
      <c r="B105" t="s">
        <v>312</v>
      </c>
      <c r="C105">
        <v>8.19</v>
      </c>
      <c r="D105">
        <v>8</v>
      </c>
      <c r="E105">
        <v>3</v>
      </c>
      <c r="F105">
        <v>10</v>
      </c>
      <c r="H105">
        <v>0</v>
      </c>
      <c r="I105">
        <v>0</v>
      </c>
      <c r="J105">
        <v>0</v>
      </c>
      <c r="K105">
        <v>0</v>
      </c>
      <c r="L105">
        <v>0</v>
      </c>
      <c r="M105">
        <v>0</v>
      </c>
      <c r="N105">
        <v>0</v>
      </c>
    </row>
    <row r="106" spans="1:14" x14ac:dyDescent="0.2">
      <c r="A106" t="s">
        <v>313</v>
      </c>
      <c r="B106" t="s">
        <v>314</v>
      </c>
      <c r="C106">
        <v>1.05</v>
      </c>
      <c r="D106">
        <v>1</v>
      </c>
      <c r="E106">
        <v>1</v>
      </c>
      <c r="F106">
        <v>0</v>
      </c>
      <c r="H106">
        <v>0</v>
      </c>
      <c r="I106">
        <v>0</v>
      </c>
      <c r="J106">
        <v>0</v>
      </c>
      <c r="K106">
        <v>0</v>
      </c>
      <c r="L106">
        <v>0</v>
      </c>
      <c r="M106">
        <v>0</v>
      </c>
      <c r="N106">
        <v>0</v>
      </c>
    </row>
    <row r="107" spans="1:14" x14ac:dyDescent="0.2">
      <c r="A107" t="s">
        <v>313</v>
      </c>
      <c r="B107" t="s">
        <v>315</v>
      </c>
      <c r="C107">
        <v>16.649999999999999</v>
      </c>
      <c r="D107">
        <v>16</v>
      </c>
      <c r="E107">
        <v>13</v>
      </c>
      <c r="F107">
        <v>0</v>
      </c>
      <c r="H107">
        <v>0</v>
      </c>
      <c r="I107">
        <v>0</v>
      </c>
      <c r="J107">
        <v>0</v>
      </c>
      <c r="K107">
        <v>0</v>
      </c>
      <c r="L107">
        <v>0</v>
      </c>
      <c r="M107">
        <v>0</v>
      </c>
      <c r="N107">
        <v>0</v>
      </c>
    </row>
    <row r="108" spans="1:14" x14ac:dyDescent="0.2">
      <c r="A108" t="s">
        <v>313</v>
      </c>
      <c r="B108" t="s">
        <v>316</v>
      </c>
      <c r="C108">
        <v>0.33</v>
      </c>
      <c r="D108">
        <v>0</v>
      </c>
      <c r="E108">
        <v>6</v>
      </c>
      <c r="F108">
        <v>8</v>
      </c>
      <c r="H108">
        <v>0</v>
      </c>
      <c r="I108">
        <v>0</v>
      </c>
      <c r="J108">
        <v>0</v>
      </c>
      <c r="K108">
        <v>0</v>
      </c>
      <c r="L108">
        <v>0</v>
      </c>
      <c r="M108">
        <v>0</v>
      </c>
      <c r="N108">
        <v>0</v>
      </c>
    </row>
    <row r="109" spans="1:14" x14ac:dyDescent="0.2">
      <c r="A109" t="s">
        <v>313</v>
      </c>
      <c r="B109" t="s">
        <v>317</v>
      </c>
      <c r="C109">
        <v>0.17</v>
      </c>
      <c r="D109">
        <v>0</v>
      </c>
      <c r="E109">
        <v>3</v>
      </c>
      <c r="F109">
        <v>6</v>
      </c>
      <c r="H109">
        <v>0</v>
      </c>
      <c r="I109">
        <v>0</v>
      </c>
      <c r="J109">
        <v>0</v>
      </c>
      <c r="K109">
        <v>0</v>
      </c>
      <c r="L109">
        <v>0</v>
      </c>
      <c r="M109">
        <v>0</v>
      </c>
      <c r="N109">
        <v>0</v>
      </c>
    </row>
    <row r="110" spans="1:14" x14ac:dyDescent="0.2">
      <c r="A110" t="s">
        <v>313</v>
      </c>
      <c r="B110" t="s">
        <v>318</v>
      </c>
      <c r="C110">
        <v>0.41</v>
      </c>
      <c r="D110">
        <v>0</v>
      </c>
      <c r="E110">
        <v>8</v>
      </c>
      <c r="F110">
        <v>3</v>
      </c>
      <c r="H110">
        <v>0</v>
      </c>
      <c r="I110">
        <v>0</v>
      </c>
      <c r="J110">
        <v>0</v>
      </c>
      <c r="K110">
        <v>0</v>
      </c>
      <c r="L110">
        <v>0</v>
      </c>
      <c r="M110">
        <v>0</v>
      </c>
      <c r="N110">
        <v>0</v>
      </c>
    </row>
    <row r="111" spans="1:14" x14ac:dyDescent="0.2">
      <c r="A111" t="s">
        <v>313</v>
      </c>
      <c r="B111" t="s">
        <v>319</v>
      </c>
      <c r="C111">
        <v>0.8</v>
      </c>
      <c r="D111">
        <v>0</v>
      </c>
      <c r="E111">
        <v>16</v>
      </c>
      <c r="F111">
        <v>0</v>
      </c>
      <c r="H111">
        <v>0</v>
      </c>
      <c r="I111">
        <v>0</v>
      </c>
      <c r="J111">
        <v>0</v>
      </c>
      <c r="K111">
        <v>0</v>
      </c>
      <c r="L111">
        <v>0</v>
      </c>
      <c r="M111">
        <v>0</v>
      </c>
      <c r="N111">
        <v>0</v>
      </c>
    </row>
    <row r="112" spans="1:14" x14ac:dyDescent="0.2">
      <c r="A112" t="s">
        <v>313</v>
      </c>
      <c r="B112" t="s">
        <v>320</v>
      </c>
      <c r="C112">
        <v>19.41</v>
      </c>
      <c r="D112">
        <v>19</v>
      </c>
      <c r="E112">
        <v>8</v>
      </c>
      <c r="F112">
        <v>2</v>
      </c>
      <c r="H112">
        <v>0</v>
      </c>
      <c r="I112">
        <v>0</v>
      </c>
      <c r="J112">
        <v>0</v>
      </c>
      <c r="K112">
        <v>0</v>
      </c>
      <c r="L112">
        <v>0</v>
      </c>
      <c r="M112">
        <v>0</v>
      </c>
      <c r="N112">
        <v>0</v>
      </c>
    </row>
    <row r="113" spans="1:14" x14ac:dyDescent="0.2">
      <c r="A113" t="s">
        <v>321</v>
      </c>
      <c r="B113" t="s">
        <v>322</v>
      </c>
      <c r="C113">
        <v>0</v>
      </c>
      <c r="D113">
        <v>0</v>
      </c>
      <c r="E113">
        <v>0</v>
      </c>
      <c r="F113">
        <v>0</v>
      </c>
      <c r="H113">
        <v>0</v>
      </c>
      <c r="I113">
        <v>0</v>
      </c>
      <c r="J113">
        <v>0</v>
      </c>
      <c r="K113">
        <v>0</v>
      </c>
      <c r="L113">
        <v>0</v>
      </c>
      <c r="M113">
        <v>0</v>
      </c>
      <c r="N113">
        <v>0</v>
      </c>
    </row>
    <row r="114" spans="1:14" x14ac:dyDescent="0.2">
      <c r="A114" t="s">
        <v>323</v>
      </c>
      <c r="B114" t="s">
        <v>324</v>
      </c>
      <c r="C114">
        <v>0.53</v>
      </c>
      <c r="D114">
        <v>0</v>
      </c>
      <c r="E114">
        <v>10</v>
      </c>
      <c r="F114">
        <v>6</v>
      </c>
      <c r="H114">
        <v>0</v>
      </c>
      <c r="I114">
        <v>0</v>
      </c>
      <c r="J114">
        <v>0</v>
      </c>
      <c r="K114">
        <v>0</v>
      </c>
      <c r="L114">
        <v>0</v>
      </c>
      <c r="M114">
        <v>0</v>
      </c>
      <c r="N114">
        <v>0</v>
      </c>
    </row>
    <row r="115" spans="1:14" x14ac:dyDescent="0.2">
      <c r="A115" t="s">
        <v>323</v>
      </c>
      <c r="B115" t="s">
        <v>325</v>
      </c>
      <c r="C115">
        <v>0.25</v>
      </c>
      <c r="D115">
        <v>0</v>
      </c>
      <c r="E115">
        <v>5</v>
      </c>
      <c r="F115">
        <v>0</v>
      </c>
      <c r="H115">
        <v>0</v>
      </c>
      <c r="I115">
        <v>0</v>
      </c>
      <c r="J115">
        <v>0</v>
      </c>
      <c r="K115">
        <v>0</v>
      </c>
      <c r="L115">
        <v>0</v>
      </c>
      <c r="M115">
        <v>0</v>
      </c>
      <c r="N115">
        <v>0</v>
      </c>
    </row>
    <row r="116" spans="1:14" x14ac:dyDescent="0.2">
      <c r="A116" t="s">
        <v>323</v>
      </c>
      <c r="B116" t="s">
        <v>326</v>
      </c>
      <c r="C116">
        <v>1.5</v>
      </c>
      <c r="D116">
        <v>1</v>
      </c>
      <c r="E116">
        <v>10</v>
      </c>
      <c r="F116">
        <v>0</v>
      </c>
      <c r="H116">
        <v>0</v>
      </c>
      <c r="I116">
        <v>0</v>
      </c>
      <c r="J116">
        <v>0</v>
      </c>
      <c r="K116">
        <v>0</v>
      </c>
      <c r="L116">
        <v>0</v>
      </c>
      <c r="M116">
        <v>0</v>
      </c>
      <c r="N116">
        <v>0</v>
      </c>
    </row>
    <row r="117" spans="1:14" x14ac:dyDescent="0.2">
      <c r="A117" t="s">
        <v>323</v>
      </c>
      <c r="B117" t="s">
        <v>327</v>
      </c>
      <c r="C117">
        <v>0.03</v>
      </c>
      <c r="D117">
        <v>0</v>
      </c>
      <c r="E117">
        <v>0</v>
      </c>
      <c r="F117">
        <v>8</v>
      </c>
      <c r="H117">
        <v>0</v>
      </c>
      <c r="I117">
        <v>0</v>
      </c>
      <c r="J117">
        <v>0</v>
      </c>
      <c r="K117">
        <v>0</v>
      </c>
      <c r="L117">
        <v>0</v>
      </c>
      <c r="M117">
        <v>0</v>
      </c>
      <c r="N117">
        <v>0</v>
      </c>
    </row>
    <row r="118" spans="1:14" x14ac:dyDescent="0.2">
      <c r="A118" t="s">
        <v>323</v>
      </c>
      <c r="B118" t="s">
        <v>328</v>
      </c>
      <c r="C118">
        <v>2.31</v>
      </c>
      <c r="D118">
        <v>2</v>
      </c>
      <c r="E118">
        <v>6</v>
      </c>
      <c r="F118">
        <v>2</v>
      </c>
      <c r="H118">
        <v>0</v>
      </c>
      <c r="I118">
        <v>0</v>
      </c>
      <c r="J118">
        <v>0</v>
      </c>
      <c r="K118">
        <v>0</v>
      </c>
      <c r="L118">
        <v>0</v>
      </c>
      <c r="M118">
        <v>0</v>
      </c>
      <c r="N118">
        <v>0</v>
      </c>
    </row>
    <row r="119" spans="1:14" x14ac:dyDescent="0.2">
      <c r="A119" t="s">
        <v>329</v>
      </c>
      <c r="B119" t="s">
        <v>330</v>
      </c>
      <c r="C119">
        <v>1</v>
      </c>
      <c r="D119">
        <v>1</v>
      </c>
      <c r="E119">
        <v>0</v>
      </c>
      <c r="F119">
        <v>0</v>
      </c>
      <c r="H119">
        <v>0</v>
      </c>
      <c r="I119">
        <v>0</v>
      </c>
      <c r="J119">
        <v>0</v>
      </c>
      <c r="K119">
        <v>0</v>
      </c>
      <c r="L119">
        <v>0</v>
      </c>
      <c r="M119">
        <v>0</v>
      </c>
      <c r="N119">
        <v>0</v>
      </c>
    </row>
    <row r="120" spans="1:14" x14ac:dyDescent="0.2">
      <c r="A120" t="s">
        <v>329</v>
      </c>
      <c r="B120" t="s">
        <v>331</v>
      </c>
      <c r="C120">
        <v>1</v>
      </c>
      <c r="D120">
        <v>1</v>
      </c>
      <c r="E120">
        <v>0</v>
      </c>
      <c r="F120">
        <v>0</v>
      </c>
      <c r="H120">
        <v>0</v>
      </c>
      <c r="I120">
        <v>0</v>
      </c>
      <c r="J120">
        <v>0</v>
      </c>
      <c r="K120">
        <v>0</v>
      </c>
      <c r="L120">
        <v>0</v>
      </c>
      <c r="M120">
        <v>0</v>
      </c>
      <c r="N120">
        <v>0</v>
      </c>
    </row>
    <row r="121" spans="1:14" x14ac:dyDescent="0.2">
      <c r="A121" t="s">
        <v>329</v>
      </c>
      <c r="B121" t="s">
        <v>332</v>
      </c>
      <c r="C121">
        <v>0.17</v>
      </c>
      <c r="D121">
        <v>0</v>
      </c>
      <c r="E121">
        <v>3</v>
      </c>
      <c r="F121">
        <v>4</v>
      </c>
      <c r="H121">
        <v>0</v>
      </c>
      <c r="I121">
        <v>0</v>
      </c>
      <c r="J121">
        <v>0</v>
      </c>
      <c r="K121">
        <v>0</v>
      </c>
      <c r="L121">
        <v>0</v>
      </c>
      <c r="M121">
        <v>0</v>
      </c>
      <c r="N121">
        <v>0</v>
      </c>
    </row>
    <row r="122" spans="1:14" x14ac:dyDescent="0.2">
      <c r="A122" t="s">
        <v>329</v>
      </c>
      <c r="B122" t="s">
        <v>333</v>
      </c>
      <c r="C122">
        <v>1</v>
      </c>
      <c r="D122">
        <v>1</v>
      </c>
      <c r="E122">
        <v>0</v>
      </c>
      <c r="F122">
        <v>0</v>
      </c>
      <c r="H122">
        <v>0</v>
      </c>
      <c r="I122">
        <v>0</v>
      </c>
      <c r="J122">
        <v>0</v>
      </c>
      <c r="K122">
        <v>0</v>
      </c>
      <c r="L122">
        <v>0</v>
      </c>
      <c r="M122">
        <v>0</v>
      </c>
      <c r="N122">
        <v>0</v>
      </c>
    </row>
    <row r="123" spans="1:14" x14ac:dyDescent="0.2">
      <c r="A123" t="s">
        <v>329</v>
      </c>
      <c r="B123" t="s">
        <v>334</v>
      </c>
      <c r="C123">
        <v>1.33</v>
      </c>
      <c r="D123">
        <v>1</v>
      </c>
      <c r="E123">
        <v>6</v>
      </c>
      <c r="F123">
        <v>8</v>
      </c>
      <c r="H123">
        <v>0</v>
      </c>
      <c r="I123">
        <v>0</v>
      </c>
      <c r="J123">
        <v>0</v>
      </c>
      <c r="K123">
        <v>0</v>
      </c>
      <c r="L123">
        <v>0</v>
      </c>
      <c r="M123">
        <v>0</v>
      </c>
      <c r="N123">
        <v>0</v>
      </c>
    </row>
    <row r="124" spans="1:14" x14ac:dyDescent="0.2">
      <c r="A124" t="s">
        <v>329</v>
      </c>
      <c r="B124" t="s">
        <v>335</v>
      </c>
      <c r="C124">
        <v>2</v>
      </c>
      <c r="D124">
        <v>2</v>
      </c>
      <c r="E124">
        <v>0</v>
      </c>
      <c r="F124">
        <v>0</v>
      </c>
      <c r="H124">
        <v>0</v>
      </c>
      <c r="I124">
        <v>0</v>
      </c>
      <c r="J124">
        <v>0</v>
      </c>
      <c r="K124">
        <v>0</v>
      </c>
      <c r="L124">
        <v>0</v>
      </c>
      <c r="M124">
        <v>0</v>
      </c>
      <c r="N124">
        <v>0</v>
      </c>
    </row>
    <row r="125" spans="1:14" x14ac:dyDescent="0.2">
      <c r="A125" t="s">
        <v>329</v>
      </c>
      <c r="B125" t="s">
        <v>336</v>
      </c>
      <c r="C125">
        <v>0.33</v>
      </c>
      <c r="D125">
        <v>0</v>
      </c>
      <c r="E125">
        <v>6</v>
      </c>
      <c r="F125">
        <v>8</v>
      </c>
      <c r="H125">
        <v>0</v>
      </c>
      <c r="I125">
        <v>0</v>
      </c>
      <c r="J125">
        <v>0</v>
      </c>
      <c r="K125">
        <v>0</v>
      </c>
      <c r="L125">
        <v>0</v>
      </c>
      <c r="M125">
        <v>0</v>
      </c>
      <c r="N125">
        <v>0</v>
      </c>
    </row>
    <row r="126" spans="1:14" x14ac:dyDescent="0.2">
      <c r="A126" t="s">
        <v>329</v>
      </c>
      <c r="B126" t="s">
        <v>337</v>
      </c>
      <c r="C126">
        <v>0.5</v>
      </c>
      <c r="D126">
        <v>0</v>
      </c>
      <c r="E126">
        <v>10</v>
      </c>
      <c r="F126">
        <v>0</v>
      </c>
      <c r="H126">
        <v>0</v>
      </c>
      <c r="I126">
        <v>0</v>
      </c>
      <c r="J126">
        <v>0</v>
      </c>
      <c r="K126">
        <v>0</v>
      </c>
      <c r="L126">
        <v>0</v>
      </c>
      <c r="M126">
        <v>0</v>
      </c>
      <c r="N126">
        <v>0</v>
      </c>
    </row>
    <row r="127" spans="1:14" x14ac:dyDescent="0.2">
      <c r="A127" t="s">
        <v>329</v>
      </c>
      <c r="B127" t="s">
        <v>338</v>
      </c>
      <c r="C127">
        <v>1</v>
      </c>
      <c r="D127">
        <v>1</v>
      </c>
      <c r="E127">
        <v>0</v>
      </c>
      <c r="F127">
        <v>0</v>
      </c>
      <c r="H127">
        <v>0</v>
      </c>
      <c r="I127">
        <v>0</v>
      </c>
      <c r="J127">
        <v>0</v>
      </c>
      <c r="K127">
        <v>0</v>
      </c>
      <c r="L127">
        <v>0</v>
      </c>
      <c r="M127">
        <v>0</v>
      </c>
      <c r="N127">
        <v>0</v>
      </c>
    </row>
    <row r="128" spans="1:14" x14ac:dyDescent="0.2">
      <c r="A128" t="s">
        <v>329</v>
      </c>
      <c r="B128" t="s">
        <v>339</v>
      </c>
      <c r="C128">
        <v>2</v>
      </c>
      <c r="D128">
        <v>2</v>
      </c>
      <c r="E128">
        <v>0</v>
      </c>
      <c r="F128">
        <v>0</v>
      </c>
      <c r="H128">
        <v>0</v>
      </c>
      <c r="I128">
        <v>0</v>
      </c>
      <c r="J128">
        <v>0</v>
      </c>
      <c r="K128">
        <v>0</v>
      </c>
      <c r="L128">
        <v>0</v>
      </c>
      <c r="M128">
        <v>0</v>
      </c>
      <c r="N128">
        <v>0</v>
      </c>
    </row>
    <row r="129" spans="1:14" x14ac:dyDescent="0.2">
      <c r="A129" t="s">
        <v>329</v>
      </c>
      <c r="B129" t="s">
        <v>340</v>
      </c>
      <c r="C129">
        <v>4.33</v>
      </c>
      <c r="D129">
        <v>4</v>
      </c>
      <c r="E129">
        <v>6</v>
      </c>
      <c r="F129">
        <v>8</v>
      </c>
      <c r="H129">
        <v>0</v>
      </c>
      <c r="I129">
        <v>0</v>
      </c>
      <c r="J129">
        <v>0</v>
      </c>
      <c r="K129">
        <v>0</v>
      </c>
      <c r="L129">
        <v>0</v>
      </c>
      <c r="M129">
        <v>0</v>
      </c>
      <c r="N129">
        <v>0</v>
      </c>
    </row>
    <row r="130" spans="1:14" x14ac:dyDescent="0.2">
      <c r="A130" t="s">
        <v>329</v>
      </c>
      <c r="B130" t="s">
        <v>341</v>
      </c>
      <c r="C130">
        <v>3.33</v>
      </c>
      <c r="D130">
        <v>3</v>
      </c>
      <c r="E130">
        <v>6</v>
      </c>
      <c r="F130">
        <v>8</v>
      </c>
      <c r="H130">
        <v>0</v>
      </c>
      <c r="I130">
        <v>0</v>
      </c>
      <c r="J130">
        <v>0</v>
      </c>
      <c r="K130">
        <v>0</v>
      </c>
      <c r="L130">
        <v>0</v>
      </c>
      <c r="M130">
        <v>0</v>
      </c>
      <c r="N130">
        <v>0</v>
      </c>
    </row>
    <row r="131" spans="1:14" x14ac:dyDescent="0.2">
      <c r="A131" t="s">
        <v>329</v>
      </c>
      <c r="B131" t="s">
        <v>342</v>
      </c>
      <c r="C131">
        <v>1</v>
      </c>
      <c r="D131">
        <v>1</v>
      </c>
      <c r="E131">
        <v>0</v>
      </c>
      <c r="F131">
        <v>0</v>
      </c>
      <c r="H131">
        <v>0</v>
      </c>
      <c r="I131">
        <v>0</v>
      </c>
      <c r="J131">
        <v>0</v>
      </c>
      <c r="K131">
        <v>0</v>
      </c>
      <c r="L131">
        <v>0</v>
      </c>
      <c r="M131">
        <v>0</v>
      </c>
      <c r="N131">
        <v>0</v>
      </c>
    </row>
    <row r="132" spans="1:14" x14ac:dyDescent="0.2">
      <c r="A132" t="s">
        <v>329</v>
      </c>
      <c r="B132" t="s">
        <v>343</v>
      </c>
      <c r="C132">
        <v>1</v>
      </c>
      <c r="D132">
        <v>1</v>
      </c>
      <c r="E132">
        <v>0</v>
      </c>
      <c r="F132">
        <v>0</v>
      </c>
      <c r="H132">
        <v>0</v>
      </c>
      <c r="I132">
        <v>0</v>
      </c>
      <c r="J132">
        <v>0</v>
      </c>
      <c r="K132">
        <v>0</v>
      </c>
      <c r="L132">
        <v>0</v>
      </c>
      <c r="M132">
        <v>0</v>
      </c>
      <c r="N132">
        <v>0</v>
      </c>
    </row>
    <row r="133" spans="1:14" x14ac:dyDescent="0.2">
      <c r="A133" t="s">
        <v>329</v>
      </c>
      <c r="B133" t="s">
        <v>344</v>
      </c>
      <c r="C133">
        <v>0.1</v>
      </c>
      <c r="D133">
        <v>0</v>
      </c>
      <c r="E133">
        <v>2</v>
      </c>
      <c r="F133">
        <v>0</v>
      </c>
      <c r="H133">
        <v>0</v>
      </c>
      <c r="I133">
        <v>0</v>
      </c>
      <c r="J133">
        <v>0</v>
      </c>
      <c r="K133">
        <v>0</v>
      </c>
      <c r="L133">
        <v>0</v>
      </c>
      <c r="M133">
        <v>0</v>
      </c>
      <c r="N133">
        <v>0</v>
      </c>
    </row>
    <row r="134" spans="1:14" x14ac:dyDescent="0.2">
      <c r="A134" t="s">
        <v>329</v>
      </c>
      <c r="B134" t="s">
        <v>345</v>
      </c>
      <c r="C134">
        <v>3.33</v>
      </c>
      <c r="D134">
        <v>3</v>
      </c>
      <c r="E134">
        <v>6</v>
      </c>
      <c r="F134">
        <v>8</v>
      </c>
      <c r="H134">
        <v>0</v>
      </c>
      <c r="I134">
        <v>0</v>
      </c>
      <c r="J134">
        <v>0</v>
      </c>
      <c r="K134">
        <v>0</v>
      </c>
      <c r="L134">
        <v>0</v>
      </c>
      <c r="M134">
        <v>0</v>
      </c>
      <c r="N134">
        <v>0</v>
      </c>
    </row>
    <row r="135" spans="1:14" x14ac:dyDescent="0.2">
      <c r="A135" t="s">
        <v>329</v>
      </c>
      <c r="B135" t="s">
        <v>346</v>
      </c>
      <c r="C135">
        <v>0.03</v>
      </c>
      <c r="D135">
        <v>0</v>
      </c>
      <c r="E135">
        <v>0</v>
      </c>
      <c r="F135">
        <v>8</v>
      </c>
      <c r="H135">
        <v>0</v>
      </c>
      <c r="I135">
        <v>0</v>
      </c>
      <c r="J135">
        <v>0</v>
      </c>
      <c r="K135">
        <v>0</v>
      </c>
      <c r="L135">
        <v>0</v>
      </c>
      <c r="M135">
        <v>0</v>
      </c>
      <c r="N135">
        <v>0</v>
      </c>
    </row>
    <row r="136" spans="1:14" x14ac:dyDescent="0.2">
      <c r="A136" t="s">
        <v>329</v>
      </c>
      <c r="B136" t="s">
        <v>347</v>
      </c>
      <c r="C136">
        <v>0.33</v>
      </c>
      <c r="D136">
        <v>0</v>
      </c>
      <c r="E136">
        <v>6</v>
      </c>
      <c r="F136">
        <v>8</v>
      </c>
      <c r="H136">
        <v>0</v>
      </c>
      <c r="I136">
        <v>0</v>
      </c>
      <c r="J136">
        <v>0</v>
      </c>
      <c r="K136">
        <v>0</v>
      </c>
      <c r="L136">
        <v>0</v>
      </c>
      <c r="M136">
        <v>0</v>
      </c>
      <c r="N136">
        <v>0</v>
      </c>
    </row>
    <row r="137" spans="1:14" x14ac:dyDescent="0.2">
      <c r="A137" t="s">
        <v>329</v>
      </c>
      <c r="B137" t="s">
        <v>348</v>
      </c>
      <c r="C137">
        <v>24.8</v>
      </c>
      <c r="D137">
        <v>24</v>
      </c>
      <c r="E137">
        <v>16</v>
      </c>
      <c r="F137">
        <v>0</v>
      </c>
      <c r="H137">
        <v>0</v>
      </c>
      <c r="I137">
        <v>0</v>
      </c>
      <c r="J137">
        <v>0</v>
      </c>
      <c r="K137">
        <v>0</v>
      </c>
      <c r="L137">
        <v>0</v>
      </c>
      <c r="M137">
        <v>0</v>
      </c>
      <c r="N137">
        <v>0</v>
      </c>
    </row>
    <row r="138" spans="1:14" x14ac:dyDescent="0.2">
      <c r="A138" t="s">
        <v>349</v>
      </c>
      <c r="B138" t="s">
        <v>350</v>
      </c>
      <c r="C138">
        <v>0.12</v>
      </c>
      <c r="D138">
        <v>0</v>
      </c>
      <c r="E138">
        <v>2</v>
      </c>
      <c r="F138">
        <v>5</v>
      </c>
      <c r="H138">
        <v>0</v>
      </c>
      <c r="I138">
        <v>0</v>
      </c>
      <c r="J138">
        <v>0</v>
      </c>
      <c r="K138">
        <v>0</v>
      </c>
      <c r="L138">
        <v>0</v>
      </c>
      <c r="M138">
        <v>0</v>
      </c>
      <c r="N138">
        <v>0</v>
      </c>
    </row>
    <row r="139" spans="1:14" x14ac:dyDescent="0.2">
      <c r="A139" t="s">
        <v>349</v>
      </c>
      <c r="B139" t="s">
        <v>351</v>
      </c>
      <c r="C139">
        <v>0.72</v>
      </c>
      <c r="D139">
        <v>0</v>
      </c>
      <c r="E139">
        <v>14</v>
      </c>
      <c r="F139">
        <v>4</v>
      </c>
      <c r="H139">
        <v>0</v>
      </c>
      <c r="I139">
        <v>0</v>
      </c>
      <c r="J139">
        <v>0</v>
      </c>
      <c r="K139">
        <v>0</v>
      </c>
      <c r="L139">
        <v>0</v>
      </c>
      <c r="M139">
        <v>0</v>
      </c>
      <c r="N139">
        <v>0</v>
      </c>
    </row>
    <row r="140" spans="1:14" x14ac:dyDescent="0.2">
      <c r="A140" t="s">
        <v>349</v>
      </c>
      <c r="B140" t="s">
        <v>352</v>
      </c>
      <c r="C140">
        <v>0.61</v>
      </c>
      <c r="D140">
        <v>0</v>
      </c>
      <c r="E140">
        <v>12</v>
      </c>
      <c r="F140">
        <v>2</v>
      </c>
      <c r="H140">
        <v>0</v>
      </c>
      <c r="I140">
        <v>0</v>
      </c>
      <c r="J140">
        <v>0</v>
      </c>
      <c r="K140">
        <v>0</v>
      </c>
      <c r="L140">
        <v>0</v>
      </c>
      <c r="M140">
        <v>0</v>
      </c>
      <c r="N140">
        <v>0</v>
      </c>
    </row>
    <row r="141" spans="1:14" x14ac:dyDescent="0.2">
      <c r="A141" t="s">
        <v>349</v>
      </c>
      <c r="B141" t="s">
        <v>353</v>
      </c>
      <c r="C141">
        <v>0.4</v>
      </c>
      <c r="D141">
        <v>0</v>
      </c>
      <c r="E141">
        <v>8</v>
      </c>
      <c r="F141">
        <v>1</v>
      </c>
      <c r="H141">
        <v>0</v>
      </c>
      <c r="I141">
        <v>0</v>
      </c>
      <c r="J141">
        <v>0</v>
      </c>
      <c r="K141">
        <v>0</v>
      </c>
      <c r="L141">
        <v>0</v>
      </c>
      <c r="M141">
        <v>0</v>
      </c>
      <c r="N141">
        <v>0</v>
      </c>
    </row>
    <row r="142" spans="1:14" x14ac:dyDescent="0.2">
      <c r="A142" t="s">
        <v>349</v>
      </c>
      <c r="B142" t="s">
        <v>354</v>
      </c>
      <c r="C142">
        <v>1.85</v>
      </c>
      <c r="D142">
        <v>1</v>
      </c>
      <c r="E142">
        <v>17</v>
      </c>
      <c r="F142">
        <v>0</v>
      </c>
      <c r="H142">
        <v>0</v>
      </c>
      <c r="I142">
        <v>0</v>
      </c>
      <c r="J142">
        <v>0</v>
      </c>
      <c r="K142">
        <v>0</v>
      </c>
      <c r="L142">
        <v>0</v>
      </c>
      <c r="M142">
        <v>0</v>
      </c>
      <c r="N142">
        <v>0</v>
      </c>
    </row>
    <row r="143" spans="1:14" x14ac:dyDescent="0.2">
      <c r="A143" t="s">
        <v>355</v>
      </c>
      <c r="B143" t="s">
        <v>356</v>
      </c>
      <c r="C143">
        <v>0.15</v>
      </c>
      <c r="D143">
        <v>0</v>
      </c>
      <c r="E143">
        <v>3</v>
      </c>
      <c r="F143">
        <v>0</v>
      </c>
      <c r="H143">
        <v>0</v>
      </c>
      <c r="I143">
        <v>0</v>
      </c>
      <c r="J143">
        <v>0</v>
      </c>
      <c r="K143">
        <v>0</v>
      </c>
      <c r="L143">
        <v>0</v>
      </c>
      <c r="M143">
        <v>0</v>
      </c>
      <c r="N143">
        <v>0</v>
      </c>
    </row>
    <row r="144" spans="1:14" x14ac:dyDescent="0.2">
      <c r="A144" t="s">
        <v>355</v>
      </c>
      <c r="B144" t="s">
        <v>357</v>
      </c>
      <c r="C144">
        <v>0.15</v>
      </c>
      <c r="D144">
        <v>0</v>
      </c>
      <c r="E144">
        <v>3</v>
      </c>
      <c r="F144">
        <v>0</v>
      </c>
      <c r="H144">
        <v>0</v>
      </c>
      <c r="I144">
        <v>0</v>
      </c>
      <c r="J144">
        <v>0</v>
      </c>
      <c r="K144">
        <v>0</v>
      </c>
      <c r="L144">
        <v>0</v>
      </c>
      <c r="M144">
        <v>0</v>
      </c>
      <c r="N144">
        <v>0</v>
      </c>
    </row>
    <row r="145" spans="1:16" x14ac:dyDescent="0.2">
      <c r="A145" t="s">
        <v>358</v>
      </c>
      <c r="B145" t="s">
        <v>359</v>
      </c>
      <c r="C145">
        <v>15.8</v>
      </c>
      <c r="D145">
        <v>15</v>
      </c>
      <c r="E145">
        <v>16</v>
      </c>
      <c r="F145">
        <v>0</v>
      </c>
      <c r="H145">
        <v>0</v>
      </c>
      <c r="I145">
        <v>0</v>
      </c>
      <c r="J145">
        <v>0</v>
      </c>
      <c r="K145">
        <v>0</v>
      </c>
      <c r="L145">
        <v>0</v>
      </c>
      <c r="M145">
        <v>0</v>
      </c>
      <c r="N145">
        <v>0</v>
      </c>
    </row>
    <row r="146" spans="1:16" x14ac:dyDescent="0.2">
      <c r="A146" t="s">
        <v>358</v>
      </c>
      <c r="B146" t="s">
        <v>360</v>
      </c>
      <c r="C146">
        <v>15.8</v>
      </c>
      <c r="D146">
        <v>15</v>
      </c>
      <c r="E146">
        <v>16</v>
      </c>
      <c r="F146">
        <v>0</v>
      </c>
      <c r="H146">
        <v>0</v>
      </c>
      <c r="I146">
        <v>0</v>
      </c>
      <c r="J146">
        <v>0</v>
      </c>
      <c r="K146">
        <v>0</v>
      </c>
      <c r="L146">
        <v>0</v>
      </c>
      <c r="M146">
        <v>0</v>
      </c>
      <c r="N146">
        <v>0</v>
      </c>
    </row>
    <row r="147" spans="1:16" x14ac:dyDescent="0.2">
      <c r="A147" t="s">
        <v>361</v>
      </c>
      <c r="B147" t="s">
        <v>362</v>
      </c>
      <c r="C147">
        <v>981.52</v>
      </c>
      <c r="D147">
        <v>981</v>
      </c>
      <c r="E147">
        <v>10</v>
      </c>
      <c r="F147">
        <v>6</v>
      </c>
      <c r="H147">
        <v>0</v>
      </c>
      <c r="I147">
        <v>0</v>
      </c>
      <c r="J147">
        <v>0</v>
      </c>
      <c r="K147">
        <v>0</v>
      </c>
      <c r="L147">
        <v>0</v>
      </c>
      <c r="M147">
        <v>0</v>
      </c>
      <c r="N147">
        <v>0</v>
      </c>
    </row>
    <row r="148" spans="1:16" x14ac:dyDescent="0.2">
      <c r="A148" t="s">
        <v>363</v>
      </c>
      <c r="B148" t="s">
        <v>364</v>
      </c>
      <c r="C148">
        <v>0.47</v>
      </c>
      <c r="D148">
        <v>0</v>
      </c>
      <c r="E148">
        <v>9</v>
      </c>
      <c r="F148">
        <v>4.5</v>
      </c>
      <c r="H148">
        <v>0</v>
      </c>
      <c r="I148">
        <v>0</v>
      </c>
      <c r="J148">
        <v>0</v>
      </c>
      <c r="K148">
        <v>0</v>
      </c>
      <c r="L148">
        <v>0</v>
      </c>
      <c r="M148">
        <v>0</v>
      </c>
      <c r="N148">
        <v>0</v>
      </c>
    </row>
    <row r="149" spans="1:16" x14ac:dyDescent="0.2">
      <c r="A149" t="s">
        <v>363</v>
      </c>
      <c r="B149" t="s">
        <v>365</v>
      </c>
      <c r="C149">
        <v>7.0000000000000007E-2</v>
      </c>
      <c r="D149">
        <v>0</v>
      </c>
      <c r="E149">
        <v>1</v>
      </c>
      <c r="F149">
        <v>4</v>
      </c>
      <c r="H149">
        <v>0</v>
      </c>
      <c r="I149">
        <v>0</v>
      </c>
      <c r="J149">
        <v>0</v>
      </c>
      <c r="K149">
        <v>0</v>
      </c>
      <c r="L149">
        <v>0</v>
      </c>
      <c r="M149">
        <v>0</v>
      </c>
      <c r="N149">
        <v>0</v>
      </c>
    </row>
    <row r="150" spans="1:16" x14ac:dyDescent="0.2">
      <c r="A150" t="s">
        <v>363</v>
      </c>
      <c r="B150" t="s">
        <v>366</v>
      </c>
      <c r="C150">
        <v>0.26</v>
      </c>
      <c r="D150">
        <v>0</v>
      </c>
      <c r="E150">
        <v>5</v>
      </c>
      <c r="F150">
        <v>3</v>
      </c>
      <c r="H150">
        <v>4</v>
      </c>
      <c r="I150">
        <v>4</v>
      </c>
      <c r="J150">
        <v>4.5</v>
      </c>
      <c r="K150">
        <v>4.5</v>
      </c>
      <c r="L150">
        <v>0</v>
      </c>
      <c r="M150">
        <v>4</v>
      </c>
      <c r="N150">
        <v>4</v>
      </c>
      <c r="O150">
        <v>1</v>
      </c>
      <c r="P150">
        <v>2</v>
      </c>
    </row>
    <row r="151" spans="1:16" x14ac:dyDescent="0.2">
      <c r="A151" t="s">
        <v>363</v>
      </c>
      <c r="B151" t="s">
        <v>367</v>
      </c>
      <c r="C151">
        <v>0.02</v>
      </c>
      <c r="D151">
        <v>0</v>
      </c>
      <c r="E151">
        <v>0</v>
      </c>
      <c r="F151">
        <v>4</v>
      </c>
      <c r="H151">
        <v>0</v>
      </c>
      <c r="I151">
        <v>0</v>
      </c>
      <c r="J151">
        <v>0</v>
      </c>
      <c r="K151">
        <v>0</v>
      </c>
      <c r="L151">
        <v>0</v>
      </c>
      <c r="M151">
        <v>0</v>
      </c>
      <c r="N151">
        <v>0</v>
      </c>
    </row>
    <row r="152" spans="1:16" x14ac:dyDescent="0.2">
      <c r="A152" t="s">
        <v>363</v>
      </c>
      <c r="B152" t="s">
        <v>368</v>
      </c>
      <c r="C152">
        <v>0.52</v>
      </c>
      <c r="D152">
        <v>0</v>
      </c>
      <c r="E152">
        <v>10</v>
      </c>
      <c r="F152">
        <v>4</v>
      </c>
      <c r="H152">
        <v>8</v>
      </c>
      <c r="I152">
        <v>0</v>
      </c>
      <c r="J152">
        <v>8</v>
      </c>
      <c r="K152">
        <v>8</v>
      </c>
      <c r="L152">
        <v>0</v>
      </c>
      <c r="M152">
        <v>8</v>
      </c>
      <c r="N152">
        <v>0</v>
      </c>
      <c r="O152">
        <v>1</v>
      </c>
      <c r="P152">
        <v>31</v>
      </c>
    </row>
    <row r="153" spans="1:16" x14ac:dyDescent="0.2">
      <c r="A153" t="s">
        <v>363</v>
      </c>
      <c r="B153" t="s">
        <v>369</v>
      </c>
      <c r="C153">
        <v>0.18</v>
      </c>
      <c r="D153">
        <v>0</v>
      </c>
      <c r="E153">
        <v>3</v>
      </c>
      <c r="F153">
        <v>8</v>
      </c>
      <c r="H153">
        <v>0</v>
      </c>
      <c r="I153">
        <v>0</v>
      </c>
      <c r="J153">
        <v>0</v>
      </c>
      <c r="K153">
        <v>0</v>
      </c>
      <c r="L153">
        <v>0</v>
      </c>
      <c r="M153">
        <v>0</v>
      </c>
      <c r="N153">
        <v>0</v>
      </c>
    </row>
    <row r="154" spans="1:16" x14ac:dyDescent="0.2">
      <c r="A154" t="s">
        <v>363</v>
      </c>
      <c r="B154" t="s">
        <v>370</v>
      </c>
      <c r="C154">
        <v>0.3</v>
      </c>
      <c r="D154">
        <v>0</v>
      </c>
      <c r="E154">
        <v>6</v>
      </c>
      <c r="F154">
        <v>0</v>
      </c>
      <c r="H154">
        <v>0</v>
      </c>
      <c r="I154">
        <v>0</v>
      </c>
      <c r="J154">
        <v>0</v>
      </c>
      <c r="K154">
        <v>0</v>
      </c>
      <c r="L154">
        <v>0</v>
      </c>
      <c r="M154">
        <v>0</v>
      </c>
      <c r="N154">
        <v>0</v>
      </c>
    </row>
    <row r="155" spans="1:16" x14ac:dyDescent="0.2">
      <c r="A155" t="s">
        <v>363</v>
      </c>
      <c r="B155" t="s">
        <v>371</v>
      </c>
      <c r="C155">
        <v>0.12</v>
      </c>
      <c r="D155">
        <v>0</v>
      </c>
      <c r="E155">
        <v>2</v>
      </c>
      <c r="F155">
        <v>6</v>
      </c>
      <c r="H155">
        <v>0</v>
      </c>
      <c r="I155">
        <v>0</v>
      </c>
      <c r="J155">
        <v>0</v>
      </c>
      <c r="K155">
        <v>0</v>
      </c>
      <c r="L155">
        <v>0</v>
      </c>
      <c r="M155">
        <v>0</v>
      </c>
      <c r="N155">
        <v>0</v>
      </c>
    </row>
    <row r="156" spans="1:16" x14ac:dyDescent="0.2">
      <c r="A156" t="s">
        <v>363</v>
      </c>
      <c r="B156" t="s">
        <v>372</v>
      </c>
      <c r="C156">
        <v>0.12</v>
      </c>
      <c r="D156">
        <v>0</v>
      </c>
      <c r="E156">
        <v>2</v>
      </c>
      <c r="F156">
        <v>4</v>
      </c>
      <c r="H156">
        <v>0</v>
      </c>
      <c r="I156">
        <v>0</v>
      </c>
      <c r="J156">
        <v>0</v>
      </c>
      <c r="K156">
        <v>0</v>
      </c>
      <c r="L156">
        <v>0</v>
      </c>
      <c r="M156">
        <v>0</v>
      </c>
      <c r="N156">
        <v>0</v>
      </c>
    </row>
    <row r="157" spans="1:16" x14ac:dyDescent="0.2">
      <c r="A157" t="s">
        <v>363</v>
      </c>
      <c r="B157" t="s">
        <v>373</v>
      </c>
      <c r="C157">
        <v>0.31</v>
      </c>
      <c r="D157">
        <v>0</v>
      </c>
      <c r="E157">
        <v>6</v>
      </c>
      <c r="F157">
        <v>3</v>
      </c>
      <c r="H157">
        <v>0</v>
      </c>
      <c r="I157">
        <v>0</v>
      </c>
      <c r="J157">
        <v>0</v>
      </c>
      <c r="K157">
        <v>0</v>
      </c>
      <c r="L157">
        <v>0</v>
      </c>
      <c r="M157">
        <v>0</v>
      </c>
      <c r="N157">
        <v>0</v>
      </c>
    </row>
    <row r="158" spans="1:16" x14ac:dyDescent="0.2">
      <c r="A158" t="s">
        <v>363</v>
      </c>
      <c r="B158" t="s">
        <v>374</v>
      </c>
      <c r="C158">
        <v>0.04</v>
      </c>
      <c r="D158">
        <v>0</v>
      </c>
      <c r="E158">
        <v>0</v>
      </c>
      <c r="F158">
        <v>10</v>
      </c>
      <c r="H158">
        <v>0</v>
      </c>
      <c r="I158">
        <v>0</v>
      </c>
      <c r="J158">
        <v>0</v>
      </c>
      <c r="K158">
        <v>0</v>
      </c>
      <c r="L158">
        <v>0</v>
      </c>
      <c r="M158">
        <v>0</v>
      </c>
      <c r="N158">
        <v>0</v>
      </c>
    </row>
    <row r="159" spans="1:16" x14ac:dyDescent="0.2">
      <c r="A159" t="s">
        <v>363</v>
      </c>
      <c r="B159" t="s">
        <v>375</v>
      </c>
      <c r="C159">
        <v>0.01</v>
      </c>
      <c r="D159">
        <v>0</v>
      </c>
      <c r="E159">
        <v>0</v>
      </c>
      <c r="F159">
        <v>2</v>
      </c>
      <c r="H159">
        <v>0</v>
      </c>
      <c r="I159">
        <v>0</v>
      </c>
      <c r="J159">
        <v>0</v>
      </c>
      <c r="K159">
        <v>0</v>
      </c>
      <c r="L159">
        <v>0</v>
      </c>
      <c r="M159">
        <v>0</v>
      </c>
      <c r="N159">
        <v>0</v>
      </c>
    </row>
    <row r="160" spans="1:16" x14ac:dyDescent="0.2">
      <c r="A160" t="s">
        <v>363</v>
      </c>
      <c r="B160" t="s">
        <v>376</v>
      </c>
      <c r="C160">
        <v>0.11</v>
      </c>
      <c r="D160">
        <v>0</v>
      </c>
      <c r="E160">
        <v>2</v>
      </c>
      <c r="F160">
        <v>3</v>
      </c>
      <c r="H160">
        <v>0</v>
      </c>
      <c r="I160">
        <v>0</v>
      </c>
      <c r="J160">
        <v>0</v>
      </c>
      <c r="K160">
        <v>0</v>
      </c>
      <c r="L160">
        <v>0</v>
      </c>
      <c r="M160">
        <v>0</v>
      </c>
      <c r="N160">
        <v>0</v>
      </c>
    </row>
    <row r="161" spans="1:14" x14ac:dyDescent="0.2">
      <c r="A161" t="s">
        <v>363</v>
      </c>
      <c r="B161" t="s">
        <v>377</v>
      </c>
      <c r="C161">
        <v>0.02</v>
      </c>
      <c r="D161">
        <v>0</v>
      </c>
      <c r="E161">
        <v>0</v>
      </c>
      <c r="F161">
        <v>4</v>
      </c>
      <c r="H161">
        <v>0</v>
      </c>
      <c r="I161">
        <v>0</v>
      </c>
      <c r="J161">
        <v>0</v>
      </c>
      <c r="K161">
        <v>0</v>
      </c>
      <c r="L161">
        <v>0</v>
      </c>
      <c r="M161">
        <v>0</v>
      </c>
      <c r="N161">
        <v>0</v>
      </c>
    </row>
    <row r="162" spans="1:14" x14ac:dyDescent="0.2">
      <c r="A162" t="s">
        <v>363</v>
      </c>
      <c r="B162" t="s">
        <v>378</v>
      </c>
      <c r="C162">
        <v>0.03</v>
      </c>
      <c r="D162">
        <v>0</v>
      </c>
      <c r="E162">
        <v>0</v>
      </c>
      <c r="F162">
        <v>8</v>
      </c>
      <c r="H162">
        <v>0</v>
      </c>
      <c r="I162">
        <v>0</v>
      </c>
      <c r="J162">
        <v>0</v>
      </c>
      <c r="K162">
        <v>0</v>
      </c>
      <c r="L162">
        <v>0</v>
      </c>
      <c r="M162">
        <v>0</v>
      </c>
      <c r="N162">
        <v>0</v>
      </c>
    </row>
    <row r="163" spans="1:14" x14ac:dyDescent="0.2">
      <c r="A163" t="s">
        <v>363</v>
      </c>
      <c r="B163" t="s">
        <v>379</v>
      </c>
      <c r="C163">
        <v>0.09</v>
      </c>
      <c r="D163">
        <v>0</v>
      </c>
      <c r="E163">
        <v>1</v>
      </c>
      <c r="F163">
        <v>9.5</v>
      </c>
      <c r="H163">
        <v>0</v>
      </c>
      <c r="I163">
        <v>0</v>
      </c>
      <c r="J163">
        <v>0</v>
      </c>
      <c r="K163">
        <v>0</v>
      </c>
      <c r="L163">
        <v>0</v>
      </c>
      <c r="M163">
        <v>0</v>
      </c>
      <c r="N163">
        <v>0</v>
      </c>
    </row>
    <row r="164" spans="1:14" x14ac:dyDescent="0.2">
      <c r="A164" t="s">
        <v>363</v>
      </c>
      <c r="B164" t="s">
        <v>380</v>
      </c>
      <c r="C164">
        <v>0.03</v>
      </c>
      <c r="D164">
        <v>0</v>
      </c>
      <c r="E164">
        <v>0</v>
      </c>
      <c r="F164">
        <v>8</v>
      </c>
      <c r="H164">
        <v>0</v>
      </c>
      <c r="I164">
        <v>0</v>
      </c>
      <c r="J164">
        <v>0</v>
      </c>
      <c r="K164">
        <v>0</v>
      </c>
      <c r="L164">
        <v>0</v>
      </c>
      <c r="M164">
        <v>0</v>
      </c>
      <c r="N164">
        <v>0</v>
      </c>
    </row>
    <row r="165" spans="1:14" x14ac:dyDescent="0.2">
      <c r="A165" t="s">
        <v>363</v>
      </c>
      <c r="B165" t="s">
        <v>381</v>
      </c>
      <c r="C165">
        <v>0.01</v>
      </c>
      <c r="D165">
        <v>0</v>
      </c>
      <c r="E165">
        <v>0</v>
      </c>
      <c r="F165">
        <v>3.5</v>
      </c>
      <c r="H165">
        <v>0</v>
      </c>
      <c r="I165">
        <v>0</v>
      </c>
      <c r="J165">
        <v>0</v>
      </c>
      <c r="K165">
        <v>0</v>
      </c>
      <c r="L165">
        <v>0</v>
      </c>
      <c r="M165">
        <v>0</v>
      </c>
      <c r="N165">
        <v>0</v>
      </c>
    </row>
    <row r="166" spans="1:14" x14ac:dyDescent="0.2">
      <c r="A166" t="s">
        <v>363</v>
      </c>
      <c r="B166" t="s">
        <v>382</v>
      </c>
      <c r="C166">
        <v>0.01</v>
      </c>
      <c r="D166">
        <v>0</v>
      </c>
      <c r="E166">
        <v>0</v>
      </c>
      <c r="F166">
        <v>2</v>
      </c>
      <c r="H166">
        <v>0</v>
      </c>
      <c r="I166">
        <v>0</v>
      </c>
      <c r="J166">
        <v>0</v>
      </c>
      <c r="K166">
        <v>0</v>
      </c>
      <c r="L166">
        <v>0</v>
      </c>
      <c r="M166">
        <v>0</v>
      </c>
      <c r="N166">
        <v>0</v>
      </c>
    </row>
    <row r="167" spans="1:14" x14ac:dyDescent="0.2">
      <c r="A167" t="s">
        <v>363</v>
      </c>
      <c r="B167" t="s">
        <v>383</v>
      </c>
      <c r="C167">
        <v>7.0000000000000007E-2</v>
      </c>
      <c r="D167">
        <v>0</v>
      </c>
      <c r="E167">
        <v>1</v>
      </c>
      <c r="F167">
        <v>4</v>
      </c>
      <c r="H167">
        <v>0</v>
      </c>
      <c r="I167">
        <v>0</v>
      </c>
      <c r="J167">
        <v>0</v>
      </c>
      <c r="K167">
        <v>0</v>
      </c>
      <c r="L167">
        <v>0</v>
      </c>
      <c r="M167">
        <v>0</v>
      </c>
      <c r="N167">
        <v>0</v>
      </c>
    </row>
    <row r="168" spans="1:14" x14ac:dyDescent="0.2">
      <c r="A168" t="s">
        <v>363</v>
      </c>
      <c r="B168" t="s">
        <v>384</v>
      </c>
      <c r="C168">
        <v>6.67</v>
      </c>
      <c r="D168">
        <v>6</v>
      </c>
      <c r="E168">
        <v>13</v>
      </c>
      <c r="F168">
        <v>4</v>
      </c>
      <c r="H168">
        <v>0</v>
      </c>
      <c r="I168">
        <v>0</v>
      </c>
      <c r="J168">
        <v>0</v>
      </c>
      <c r="K168">
        <v>0</v>
      </c>
      <c r="L168">
        <v>0</v>
      </c>
      <c r="M168">
        <v>0</v>
      </c>
      <c r="N168">
        <v>0</v>
      </c>
    </row>
    <row r="169" spans="1:14" x14ac:dyDescent="0.2">
      <c r="A169" t="s">
        <v>363</v>
      </c>
      <c r="B169" t="s">
        <v>385</v>
      </c>
      <c r="C169">
        <v>9.4600000000000009</v>
      </c>
      <c r="D169">
        <v>9</v>
      </c>
      <c r="E169">
        <v>9</v>
      </c>
      <c r="F169">
        <v>1.5</v>
      </c>
      <c r="H169">
        <v>0</v>
      </c>
      <c r="I169">
        <v>0</v>
      </c>
      <c r="J169">
        <v>0</v>
      </c>
      <c r="K169">
        <v>0</v>
      </c>
      <c r="L169">
        <v>0</v>
      </c>
      <c r="M169">
        <v>0</v>
      </c>
      <c r="N169">
        <v>0</v>
      </c>
    </row>
    <row r="170" spans="1:14" x14ac:dyDescent="0.2">
      <c r="A170" t="s">
        <v>41</v>
      </c>
      <c r="B170" t="s">
        <v>386</v>
      </c>
      <c r="C170">
        <v>3.33</v>
      </c>
      <c r="D170">
        <v>3</v>
      </c>
      <c r="E170">
        <v>6</v>
      </c>
      <c r="F170">
        <v>8</v>
      </c>
      <c r="H170">
        <v>0</v>
      </c>
      <c r="I170">
        <v>0</v>
      </c>
      <c r="J170">
        <v>0</v>
      </c>
      <c r="K170">
        <v>0</v>
      </c>
      <c r="L170">
        <v>0</v>
      </c>
      <c r="M170">
        <v>0</v>
      </c>
      <c r="N170">
        <v>0</v>
      </c>
    </row>
    <row r="171" spans="1:14" x14ac:dyDescent="0.2">
      <c r="A171" t="s">
        <v>41</v>
      </c>
      <c r="B171" t="s">
        <v>387</v>
      </c>
      <c r="C171">
        <v>3.33</v>
      </c>
      <c r="D171">
        <v>3</v>
      </c>
      <c r="E171">
        <v>6</v>
      </c>
      <c r="F171">
        <v>8</v>
      </c>
      <c r="H171">
        <v>0</v>
      </c>
      <c r="I171">
        <v>0</v>
      </c>
      <c r="J171">
        <v>0</v>
      </c>
      <c r="K171">
        <v>0</v>
      </c>
      <c r="L171">
        <v>0</v>
      </c>
      <c r="M171">
        <v>0</v>
      </c>
      <c r="N171">
        <v>0</v>
      </c>
    </row>
    <row r="172" spans="1:14" x14ac:dyDescent="0.2">
      <c r="A172" t="s">
        <v>388</v>
      </c>
      <c r="B172" t="s">
        <v>389</v>
      </c>
      <c r="C172">
        <v>0.74</v>
      </c>
      <c r="D172">
        <v>0</v>
      </c>
      <c r="E172">
        <v>14</v>
      </c>
      <c r="F172">
        <v>9</v>
      </c>
      <c r="H172">
        <v>0</v>
      </c>
      <c r="I172">
        <v>0</v>
      </c>
      <c r="J172">
        <v>0</v>
      </c>
      <c r="K172">
        <v>0</v>
      </c>
      <c r="L172">
        <v>0</v>
      </c>
      <c r="M172">
        <v>0</v>
      </c>
      <c r="N172">
        <v>0</v>
      </c>
    </row>
    <row r="173" spans="1:14" x14ac:dyDescent="0.2">
      <c r="A173" t="s">
        <v>43</v>
      </c>
      <c r="B173" t="s">
        <v>390</v>
      </c>
      <c r="C173">
        <v>20</v>
      </c>
      <c r="D173">
        <v>20</v>
      </c>
      <c r="E173">
        <v>0</v>
      </c>
      <c r="F173">
        <v>0</v>
      </c>
      <c r="H173">
        <v>0</v>
      </c>
      <c r="I173">
        <v>0</v>
      </c>
      <c r="J173">
        <v>0</v>
      </c>
      <c r="K173">
        <v>0</v>
      </c>
      <c r="L173">
        <v>0</v>
      </c>
      <c r="M173">
        <v>0</v>
      </c>
      <c r="N173">
        <v>0</v>
      </c>
    </row>
    <row r="174" spans="1:14" x14ac:dyDescent="0.2">
      <c r="A174" t="s">
        <v>43</v>
      </c>
      <c r="B174" t="s">
        <v>391</v>
      </c>
      <c r="C174">
        <v>20</v>
      </c>
      <c r="D174">
        <v>20</v>
      </c>
      <c r="E174">
        <v>0</v>
      </c>
      <c r="F174">
        <v>0</v>
      </c>
      <c r="H174">
        <v>0</v>
      </c>
      <c r="I174">
        <v>0</v>
      </c>
      <c r="J174">
        <v>0</v>
      </c>
      <c r="K174">
        <v>0</v>
      </c>
      <c r="L174">
        <v>0</v>
      </c>
      <c r="M174">
        <v>0</v>
      </c>
      <c r="N174">
        <v>0</v>
      </c>
    </row>
    <row r="175" spans="1:14" x14ac:dyDescent="0.2">
      <c r="A175" t="s">
        <v>392</v>
      </c>
      <c r="B175" t="s">
        <v>393</v>
      </c>
      <c r="C175">
        <v>33.53</v>
      </c>
      <c r="D175">
        <v>33</v>
      </c>
      <c r="E175">
        <v>10</v>
      </c>
      <c r="F175">
        <v>6.5</v>
      </c>
      <c r="H175">
        <v>0</v>
      </c>
      <c r="I175">
        <v>0</v>
      </c>
      <c r="J175">
        <v>0</v>
      </c>
      <c r="K175">
        <v>0</v>
      </c>
      <c r="L175">
        <v>0</v>
      </c>
      <c r="M175">
        <v>0</v>
      </c>
      <c r="N175">
        <v>0</v>
      </c>
    </row>
    <row r="176" spans="1:14" x14ac:dyDescent="0.2">
      <c r="A176" t="s">
        <v>394</v>
      </c>
      <c r="B176" t="s">
        <v>395</v>
      </c>
      <c r="C176">
        <v>65</v>
      </c>
      <c r="D176">
        <v>64</v>
      </c>
      <c r="E176">
        <v>19</v>
      </c>
      <c r="F176">
        <v>11.5</v>
      </c>
      <c r="H176">
        <v>0</v>
      </c>
      <c r="I176">
        <v>0</v>
      </c>
      <c r="J176">
        <v>0</v>
      </c>
      <c r="K176">
        <v>0</v>
      </c>
      <c r="L176">
        <v>0</v>
      </c>
      <c r="M176">
        <v>0</v>
      </c>
      <c r="N176">
        <v>0</v>
      </c>
    </row>
    <row r="177" spans="1:14" x14ac:dyDescent="0.2">
      <c r="A177" t="s">
        <v>396</v>
      </c>
      <c r="B177" t="s">
        <v>397</v>
      </c>
      <c r="C177">
        <v>0.33</v>
      </c>
      <c r="D177">
        <v>0</v>
      </c>
      <c r="E177">
        <v>6</v>
      </c>
      <c r="F177">
        <v>8</v>
      </c>
      <c r="H177">
        <v>0</v>
      </c>
      <c r="I177">
        <v>0</v>
      </c>
      <c r="J177">
        <v>0</v>
      </c>
      <c r="K177">
        <v>0</v>
      </c>
      <c r="L177">
        <v>0</v>
      </c>
      <c r="M177">
        <v>0</v>
      </c>
      <c r="N177">
        <v>0</v>
      </c>
    </row>
    <row r="178" spans="1:14" x14ac:dyDescent="0.2">
      <c r="A178" t="s">
        <v>396</v>
      </c>
      <c r="B178" t="s">
        <v>398</v>
      </c>
      <c r="C178">
        <v>0.33</v>
      </c>
      <c r="D178">
        <v>0</v>
      </c>
      <c r="E178">
        <v>6</v>
      </c>
      <c r="F178">
        <v>8</v>
      </c>
      <c r="H178">
        <v>0</v>
      </c>
      <c r="I178">
        <v>0</v>
      </c>
      <c r="J178">
        <v>0</v>
      </c>
      <c r="K178">
        <v>0</v>
      </c>
      <c r="L178">
        <v>0</v>
      </c>
      <c r="M178">
        <v>0</v>
      </c>
      <c r="N178">
        <v>0</v>
      </c>
    </row>
    <row r="179" spans="1:14" x14ac:dyDescent="0.2">
      <c r="A179" t="s">
        <v>51</v>
      </c>
      <c r="B179" t="s">
        <v>399</v>
      </c>
      <c r="C179">
        <v>64.66</v>
      </c>
      <c r="D179">
        <v>64</v>
      </c>
      <c r="E179">
        <v>13</v>
      </c>
      <c r="F179">
        <v>3.5</v>
      </c>
      <c r="H179">
        <v>0</v>
      </c>
      <c r="I179">
        <v>0</v>
      </c>
      <c r="J179">
        <v>0</v>
      </c>
      <c r="K179">
        <v>0</v>
      </c>
      <c r="L179">
        <v>0</v>
      </c>
      <c r="M179">
        <v>0</v>
      </c>
      <c r="N179">
        <v>0</v>
      </c>
    </row>
    <row r="180" spans="1:14" x14ac:dyDescent="0.2">
      <c r="A180" t="s">
        <v>51</v>
      </c>
      <c r="B180" t="s">
        <v>400</v>
      </c>
      <c r="C180">
        <v>64.66</v>
      </c>
      <c r="D180">
        <v>64</v>
      </c>
      <c r="E180">
        <v>13</v>
      </c>
      <c r="F180">
        <v>3.5</v>
      </c>
      <c r="H180">
        <v>0</v>
      </c>
      <c r="I180">
        <v>0</v>
      </c>
      <c r="J180">
        <v>0</v>
      </c>
      <c r="K180">
        <v>0</v>
      </c>
      <c r="L180">
        <v>0</v>
      </c>
      <c r="M180">
        <v>0</v>
      </c>
      <c r="N180">
        <v>0</v>
      </c>
    </row>
    <row r="181" spans="1:14" x14ac:dyDescent="0.2">
      <c r="A181" t="s">
        <v>401</v>
      </c>
      <c r="B181" t="s">
        <v>402</v>
      </c>
      <c r="C181">
        <v>65</v>
      </c>
      <c r="D181">
        <v>64</v>
      </c>
      <c r="E181">
        <v>19</v>
      </c>
      <c r="F181">
        <v>11.5</v>
      </c>
      <c r="H181">
        <v>0</v>
      </c>
      <c r="I181">
        <v>0</v>
      </c>
      <c r="J181">
        <v>0</v>
      </c>
      <c r="K181">
        <v>0</v>
      </c>
      <c r="L181">
        <v>0</v>
      </c>
      <c r="M181">
        <v>0</v>
      </c>
      <c r="N181">
        <v>0</v>
      </c>
    </row>
    <row r="182" spans="1:14" x14ac:dyDescent="0.2">
      <c r="A182" t="s">
        <v>63</v>
      </c>
      <c r="B182" t="s">
        <v>403</v>
      </c>
      <c r="C182">
        <v>0</v>
      </c>
      <c r="D182">
        <v>0</v>
      </c>
      <c r="E182">
        <v>0</v>
      </c>
      <c r="F182">
        <v>0</v>
      </c>
      <c r="G182" t="s">
        <v>404</v>
      </c>
      <c r="H182">
        <v>3</v>
      </c>
      <c r="I182">
        <v>0</v>
      </c>
      <c r="J182">
        <v>3</v>
      </c>
      <c r="K182">
        <v>3</v>
      </c>
      <c r="L182">
        <v>0</v>
      </c>
      <c r="M182">
        <v>3</v>
      </c>
      <c r="N182">
        <v>0</v>
      </c>
    </row>
    <row r="183" spans="1:14" x14ac:dyDescent="0.2">
      <c r="A183" t="s">
        <v>63</v>
      </c>
      <c r="B183" t="s">
        <v>405</v>
      </c>
      <c r="C183">
        <v>0</v>
      </c>
      <c r="D183">
        <v>0</v>
      </c>
      <c r="E183">
        <v>0</v>
      </c>
      <c r="F183">
        <v>0</v>
      </c>
      <c r="H183">
        <v>3</v>
      </c>
      <c r="I183">
        <v>0</v>
      </c>
      <c r="J183">
        <v>3</v>
      </c>
      <c r="K183">
        <v>3</v>
      </c>
      <c r="L183">
        <v>0</v>
      </c>
      <c r="M183">
        <v>3</v>
      </c>
      <c r="N183">
        <v>0</v>
      </c>
    </row>
    <row r="184" spans="1:14" x14ac:dyDescent="0.2">
      <c r="A184" t="s">
        <v>63</v>
      </c>
      <c r="B184" t="s">
        <v>406</v>
      </c>
      <c r="C184">
        <v>0</v>
      </c>
      <c r="D184">
        <v>0</v>
      </c>
      <c r="E184">
        <v>0</v>
      </c>
      <c r="F184">
        <v>0</v>
      </c>
      <c r="H184">
        <v>3</v>
      </c>
      <c r="I184">
        <v>0</v>
      </c>
      <c r="J184">
        <v>3</v>
      </c>
      <c r="K184">
        <v>3</v>
      </c>
      <c r="L184">
        <v>0</v>
      </c>
      <c r="M184">
        <v>3</v>
      </c>
      <c r="N184">
        <v>0</v>
      </c>
    </row>
    <row r="185" spans="1:14" x14ac:dyDescent="0.2">
      <c r="A185" t="s">
        <v>64</v>
      </c>
      <c r="B185" t="s">
        <v>407</v>
      </c>
      <c r="C185">
        <v>0</v>
      </c>
      <c r="D185">
        <v>0</v>
      </c>
      <c r="E185">
        <v>0</v>
      </c>
      <c r="F185">
        <v>0</v>
      </c>
      <c r="G185" t="s">
        <v>408</v>
      </c>
      <c r="H185">
        <v>34</v>
      </c>
      <c r="I185">
        <v>0</v>
      </c>
      <c r="J185">
        <v>34</v>
      </c>
      <c r="K185">
        <v>34</v>
      </c>
      <c r="L185">
        <v>0</v>
      </c>
      <c r="M185">
        <v>34</v>
      </c>
      <c r="N185">
        <v>0</v>
      </c>
    </row>
    <row r="186" spans="1:14" x14ac:dyDescent="0.2">
      <c r="A186" t="s">
        <v>64</v>
      </c>
      <c r="B186" t="s">
        <v>409</v>
      </c>
      <c r="C186">
        <v>0</v>
      </c>
      <c r="D186">
        <v>0</v>
      </c>
      <c r="E186">
        <v>0</v>
      </c>
      <c r="F186">
        <v>0</v>
      </c>
      <c r="H186">
        <v>34</v>
      </c>
      <c r="I186">
        <v>0</v>
      </c>
      <c r="J186">
        <v>34</v>
      </c>
      <c r="K186">
        <v>34</v>
      </c>
      <c r="L186">
        <v>0</v>
      </c>
      <c r="M186">
        <v>34</v>
      </c>
      <c r="N186">
        <v>0</v>
      </c>
    </row>
    <row r="187" spans="1:14" x14ac:dyDescent="0.2">
      <c r="A187" t="s">
        <v>64</v>
      </c>
      <c r="B187" t="s">
        <v>410</v>
      </c>
      <c r="C187">
        <v>0</v>
      </c>
      <c r="D187">
        <v>0</v>
      </c>
      <c r="E187">
        <v>0</v>
      </c>
      <c r="F187">
        <v>0</v>
      </c>
      <c r="H187">
        <v>34</v>
      </c>
      <c r="I187">
        <v>0</v>
      </c>
      <c r="J187">
        <v>34</v>
      </c>
      <c r="K187">
        <v>34</v>
      </c>
      <c r="L187">
        <v>0</v>
      </c>
      <c r="M187">
        <v>34</v>
      </c>
      <c r="N187">
        <v>0</v>
      </c>
    </row>
    <row r="188" spans="1:14" x14ac:dyDescent="0.2">
      <c r="A188" t="s">
        <v>65</v>
      </c>
      <c r="B188" t="s">
        <v>411</v>
      </c>
      <c r="C188">
        <v>0</v>
      </c>
      <c r="D188">
        <v>0</v>
      </c>
      <c r="E188">
        <v>0</v>
      </c>
      <c r="F188">
        <v>0</v>
      </c>
      <c r="G188" t="s">
        <v>412</v>
      </c>
      <c r="H188">
        <v>30</v>
      </c>
      <c r="I188">
        <v>0</v>
      </c>
      <c r="J188">
        <v>30</v>
      </c>
      <c r="K188">
        <v>30</v>
      </c>
      <c r="L188">
        <v>0</v>
      </c>
      <c r="M188">
        <v>30</v>
      </c>
      <c r="N188">
        <v>0</v>
      </c>
    </row>
    <row r="189" spans="1:14" x14ac:dyDescent="0.2">
      <c r="A189" t="s">
        <v>65</v>
      </c>
      <c r="B189" t="s">
        <v>413</v>
      </c>
      <c r="C189">
        <v>0</v>
      </c>
      <c r="D189">
        <v>0</v>
      </c>
      <c r="E189">
        <v>0</v>
      </c>
      <c r="F189">
        <v>0</v>
      </c>
      <c r="H189">
        <v>30</v>
      </c>
      <c r="I189">
        <v>0</v>
      </c>
      <c r="J189">
        <v>30</v>
      </c>
      <c r="K189">
        <v>30</v>
      </c>
      <c r="L189">
        <v>0</v>
      </c>
      <c r="M189">
        <v>30</v>
      </c>
      <c r="N189">
        <v>0</v>
      </c>
    </row>
    <row r="190" spans="1:14" x14ac:dyDescent="0.2">
      <c r="A190" t="s">
        <v>65</v>
      </c>
      <c r="B190" t="s">
        <v>414</v>
      </c>
      <c r="C190">
        <v>0</v>
      </c>
      <c r="D190">
        <v>0</v>
      </c>
      <c r="E190">
        <v>0</v>
      </c>
      <c r="F190">
        <v>0</v>
      </c>
      <c r="H190">
        <v>30</v>
      </c>
      <c r="I190">
        <v>0</v>
      </c>
      <c r="J190">
        <v>30</v>
      </c>
      <c r="K190">
        <v>30</v>
      </c>
      <c r="L190">
        <v>0</v>
      </c>
      <c r="M190">
        <v>30</v>
      </c>
      <c r="N190">
        <v>0</v>
      </c>
    </row>
    <row r="191" spans="1:14" x14ac:dyDescent="0.2">
      <c r="A191" t="s">
        <v>415</v>
      </c>
      <c r="B191" t="s">
        <v>416</v>
      </c>
      <c r="C191">
        <v>0</v>
      </c>
      <c r="D191">
        <v>0</v>
      </c>
      <c r="E191">
        <v>0</v>
      </c>
      <c r="F191">
        <v>0</v>
      </c>
      <c r="H191">
        <v>0</v>
      </c>
      <c r="I191">
        <v>0</v>
      </c>
      <c r="J191">
        <v>0</v>
      </c>
      <c r="K191">
        <v>0</v>
      </c>
      <c r="L191">
        <v>0</v>
      </c>
      <c r="M191">
        <v>0</v>
      </c>
      <c r="N191">
        <v>0</v>
      </c>
    </row>
    <row r="192" spans="1:14" x14ac:dyDescent="0.2">
      <c r="A192" t="s">
        <v>68</v>
      </c>
      <c r="B192" t="s">
        <v>417</v>
      </c>
      <c r="C192">
        <v>0</v>
      </c>
      <c r="D192">
        <v>0</v>
      </c>
      <c r="E192">
        <v>0</v>
      </c>
      <c r="F192">
        <v>0</v>
      </c>
      <c r="G192" t="s">
        <v>418</v>
      </c>
      <c r="H192">
        <v>10</v>
      </c>
      <c r="I192">
        <v>0</v>
      </c>
      <c r="J192">
        <v>10</v>
      </c>
      <c r="K192">
        <v>10</v>
      </c>
      <c r="L192">
        <v>0</v>
      </c>
      <c r="M192">
        <v>10</v>
      </c>
      <c r="N192">
        <v>0</v>
      </c>
    </row>
    <row r="193" spans="1:14" x14ac:dyDescent="0.2">
      <c r="A193" t="s">
        <v>68</v>
      </c>
      <c r="B193" t="s">
        <v>419</v>
      </c>
      <c r="C193">
        <v>0</v>
      </c>
      <c r="D193">
        <v>0</v>
      </c>
      <c r="E193">
        <v>0</v>
      </c>
      <c r="F193">
        <v>0</v>
      </c>
      <c r="H193">
        <v>10</v>
      </c>
      <c r="I193">
        <v>0</v>
      </c>
      <c r="J193">
        <v>10</v>
      </c>
      <c r="K193">
        <v>10</v>
      </c>
      <c r="L193">
        <v>0</v>
      </c>
      <c r="M193">
        <v>10</v>
      </c>
      <c r="N193">
        <v>0</v>
      </c>
    </row>
    <row r="194" spans="1:14" x14ac:dyDescent="0.2">
      <c r="A194" t="s">
        <v>68</v>
      </c>
      <c r="B194" t="s">
        <v>420</v>
      </c>
      <c r="C194">
        <v>0</v>
      </c>
      <c r="D194">
        <v>0</v>
      </c>
      <c r="E194">
        <v>0</v>
      </c>
      <c r="F194">
        <v>0</v>
      </c>
      <c r="H194">
        <v>10</v>
      </c>
      <c r="I194">
        <v>0</v>
      </c>
      <c r="J194">
        <v>10</v>
      </c>
      <c r="K194">
        <v>10</v>
      </c>
      <c r="L194">
        <v>0</v>
      </c>
      <c r="M194">
        <v>10</v>
      </c>
      <c r="N194">
        <v>0</v>
      </c>
    </row>
    <row r="195" spans="1:14" x14ac:dyDescent="0.2">
      <c r="A195" t="s">
        <v>68</v>
      </c>
      <c r="B195" t="s">
        <v>421</v>
      </c>
      <c r="C195">
        <v>0</v>
      </c>
      <c r="D195">
        <v>0</v>
      </c>
      <c r="E195">
        <v>0</v>
      </c>
      <c r="F195">
        <v>0</v>
      </c>
      <c r="H195">
        <v>0</v>
      </c>
      <c r="I195">
        <v>0</v>
      </c>
      <c r="J195">
        <v>0</v>
      </c>
      <c r="K195">
        <v>0</v>
      </c>
      <c r="L195">
        <v>0</v>
      </c>
      <c r="M195">
        <v>0</v>
      </c>
      <c r="N195">
        <v>0</v>
      </c>
    </row>
    <row r="196" spans="1:14" x14ac:dyDescent="0.2">
      <c r="A196" t="s">
        <v>422</v>
      </c>
      <c r="B196" t="s">
        <v>423</v>
      </c>
      <c r="C196">
        <v>0</v>
      </c>
      <c r="D196">
        <v>0</v>
      </c>
      <c r="E196">
        <v>0</v>
      </c>
      <c r="F196">
        <v>0</v>
      </c>
      <c r="H196">
        <v>0</v>
      </c>
      <c r="I196">
        <v>0</v>
      </c>
      <c r="J196">
        <v>0</v>
      </c>
      <c r="K196">
        <v>0</v>
      </c>
      <c r="L196">
        <v>0</v>
      </c>
      <c r="M196">
        <v>0</v>
      </c>
      <c r="N196">
        <v>0</v>
      </c>
    </row>
    <row r="197" spans="1:14" x14ac:dyDescent="0.2">
      <c r="A197" t="s">
        <v>422</v>
      </c>
      <c r="B197" t="s">
        <v>424</v>
      </c>
      <c r="C197">
        <v>0</v>
      </c>
      <c r="D197">
        <v>0</v>
      </c>
      <c r="E197">
        <v>0</v>
      </c>
      <c r="F197">
        <v>0</v>
      </c>
      <c r="H197">
        <v>0</v>
      </c>
      <c r="I197">
        <v>0</v>
      </c>
      <c r="J197">
        <v>0</v>
      </c>
      <c r="K197">
        <v>0</v>
      </c>
      <c r="L197">
        <v>0</v>
      </c>
      <c r="M197">
        <v>0</v>
      </c>
      <c r="N197">
        <v>0</v>
      </c>
    </row>
    <row r="198" spans="1:14" x14ac:dyDescent="0.2">
      <c r="A198" t="s">
        <v>422</v>
      </c>
      <c r="B198" t="s">
        <v>425</v>
      </c>
      <c r="C198">
        <v>0</v>
      </c>
      <c r="D198">
        <v>0</v>
      </c>
      <c r="E198">
        <v>0</v>
      </c>
      <c r="F198">
        <v>0</v>
      </c>
      <c r="H198">
        <v>0</v>
      </c>
      <c r="I198">
        <v>0</v>
      </c>
      <c r="J198">
        <v>0</v>
      </c>
      <c r="K198">
        <v>0</v>
      </c>
      <c r="L198">
        <v>0</v>
      </c>
      <c r="M198">
        <v>0</v>
      </c>
      <c r="N198">
        <v>0</v>
      </c>
    </row>
    <row r="199" spans="1:14" x14ac:dyDescent="0.2">
      <c r="A199" t="s">
        <v>422</v>
      </c>
      <c r="B199" t="s">
        <v>426</v>
      </c>
      <c r="C199">
        <v>1</v>
      </c>
      <c r="D199">
        <v>1</v>
      </c>
      <c r="E199">
        <v>0</v>
      </c>
      <c r="F199">
        <v>0</v>
      </c>
      <c r="H199">
        <v>0</v>
      </c>
      <c r="I199">
        <v>0</v>
      </c>
      <c r="J199">
        <v>0</v>
      </c>
      <c r="K199">
        <v>0</v>
      </c>
      <c r="L199">
        <v>0</v>
      </c>
      <c r="M199">
        <v>0</v>
      </c>
      <c r="N199">
        <v>0</v>
      </c>
    </row>
    <row r="200" spans="1:14" x14ac:dyDescent="0.2">
      <c r="A200" t="s">
        <v>422</v>
      </c>
      <c r="B200" t="s">
        <v>427</v>
      </c>
      <c r="C200">
        <v>0</v>
      </c>
      <c r="D200">
        <v>0</v>
      </c>
      <c r="E200">
        <v>0</v>
      </c>
      <c r="F200">
        <v>0</v>
      </c>
      <c r="H200">
        <v>0</v>
      </c>
      <c r="I200">
        <v>0</v>
      </c>
      <c r="J200">
        <v>0</v>
      </c>
      <c r="K200">
        <v>0</v>
      </c>
      <c r="L200">
        <v>0</v>
      </c>
      <c r="M200">
        <v>0</v>
      </c>
      <c r="N200">
        <v>0</v>
      </c>
    </row>
    <row r="201" spans="1:14" x14ac:dyDescent="0.2">
      <c r="A201" t="s">
        <v>422</v>
      </c>
      <c r="B201" t="s">
        <v>428</v>
      </c>
      <c r="C201">
        <v>2</v>
      </c>
      <c r="D201">
        <v>2</v>
      </c>
      <c r="E201">
        <v>0</v>
      </c>
      <c r="F201">
        <v>0</v>
      </c>
      <c r="H201">
        <v>0</v>
      </c>
      <c r="I201">
        <v>0</v>
      </c>
      <c r="J201">
        <v>0</v>
      </c>
      <c r="K201">
        <v>0</v>
      </c>
      <c r="L201">
        <v>0</v>
      </c>
      <c r="M201">
        <v>0</v>
      </c>
      <c r="N201">
        <v>0</v>
      </c>
    </row>
    <row r="202" spans="1:14" x14ac:dyDescent="0.2">
      <c r="A202" t="s">
        <v>422</v>
      </c>
      <c r="B202" t="s">
        <v>429</v>
      </c>
      <c r="C202">
        <v>0</v>
      </c>
      <c r="D202">
        <v>0</v>
      </c>
      <c r="E202">
        <v>0</v>
      </c>
      <c r="F202">
        <v>0</v>
      </c>
      <c r="H202">
        <v>0</v>
      </c>
      <c r="I202">
        <v>0</v>
      </c>
      <c r="J202">
        <v>0</v>
      </c>
      <c r="K202">
        <v>0</v>
      </c>
      <c r="L202">
        <v>0</v>
      </c>
      <c r="M202">
        <v>0</v>
      </c>
      <c r="N202">
        <v>0</v>
      </c>
    </row>
    <row r="203" spans="1:14" x14ac:dyDescent="0.2">
      <c r="A203" t="s">
        <v>422</v>
      </c>
      <c r="B203" t="s">
        <v>430</v>
      </c>
      <c r="C203">
        <v>0</v>
      </c>
      <c r="D203">
        <v>0</v>
      </c>
      <c r="E203">
        <v>0</v>
      </c>
      <c r="F203">
        <v>0</v>
      </c>
      <c r="H203">
        <v>0</v>
      </c>
      <c r="I203">
        <v>0</v>
      </c>
      <c r="J203">
        <v>0</v>
      </c>
      <c r="K203">
        <v>0</v>
      </c>
      <c r="L203">
        <v>0</v>
      </c>
      <c r="M203">
        <v>0</v>
      </c>
      <c r="N203">
        <v>0</v>
      </c>
    </row>
    <row r="204" spans="1:14" x14ac:dyDescent="0.2">
      <c r="A204" t="s">
        <v>422</v>
      </c>
      <c r="B204" t="s">
        <v>431</v>
      </c>
      <c r="C204">
        <v>0</v>
      </c>
      <c r="D204">
        <v>0</v>
      </c>
      <c r="E204">
        <v>0</v>
      </c>
      <c r="F204">
        <v>0</v>
      </c>
      <c r="H204">
        <v>0</v>
      </c>
      <c r="I204">
        <v>0</v>
      </c>
      <c r="J204">
        <v>0</v>
      </c>
      <c r="K204">
        <v>0</v>
      </c>
      <c r="L204">
        <v>0</v>
      </c>
      <c r="M204">
        <v>0</v>
      </c>
      <c r="N204">
        <v>0</v>
      </c>
    </row>
    <row r="205" spans="1:14" x14ac:dyDescent="0.2">
      <c r="A205" t="s">
        <v>422</v>
      </c>
      <c r="B205" t="s">
        <v>432</v>
      </c>
      <c r="C205">
        <v>0</v>
      </c>
      <c r="D205">
        <v>0</v>
      </c>
      <c r="E205">
        <v>0</v>
      </c>
      <c r="F205">
        <v>0</v>
      </c>
      <c r="H205">
        <v>0</v>
      </c>
      <c r="I205">
        <v>0</v>
      </c>
      <c r="J205">
        <v>0</v>
      </c>
      <c r="K205">
        <v>0</v>
      </c>
      <c r="L205">
        <v>0</v>
      </c>
      <c r="M205">
        <v>0</v>
      </c>
      <c r="N205">
        <v>0</v>
      </c>
    </row>
    <row r="206" spans="1:14" x14ac:dyDescent="0.2">
      <c r="A206" t="s">
        <v>422</v>
      </c>
      <c r="B206" t="s">
        <v>433</v>
      </c>
      <c r="C206">
        <v>0.5</v>
      </c>
      <c r="D206">
        <v>0</v>
      </c>
      <c r="E206">
        <v>10</v>
      </c>
      <c r="F206">
        <v>0</v>
      </c>
      <c r="H206">
        <v>0</v>
      </c>
      <c r="I206">
        <v>0</v>
      </c>
      <c r="J206">
        <v>0</v>
      </c>
      <c r="K206">
        <v>0</v>
      </c>
      <c r="L206">
        <v>0</v>
      </c>
      <c r="M206">
        <v>0</v>
      </c>
      <c r="N206">
        <v>0</v>
      </c>
    </row>
    <row r="207" spans="1:14" x14ac:dyDescent="0.2">
      <c r="A207" t="s">
        <v>422</v>
      </c>
      <c r="B207" t="s">
        <v>434</v>
      </c>
      <c r="C207">
        <v>0</v>
      </c>
      <c r="D207">
        <v>0</v>
      </c>
      <c r="E207">
        <v>0</v>
      </c>
      <c r="F207">
        <v>0</v>
      </c>
      <c r="H207">
        <v>0</v>
      </c>
      <c r="I207">
        <v>0</v>
      </c>
      <c r="J207">
        <v>0</v>
      </c>
      <c r="K207">
        <v>0</v>
      </c>
      <c r="L207">
        <v>0</v>
      </c>
      <c r="M207">
        <v>0</v>
      </c>
      <c r="N207">
        <v>0</v>
      </c>
    </row>
    <row r="208" spans="1:14" x14ac:dyDescent="0.2">
      <c r="A208" t="s">
        <v>422</v>
      </c>
      <c r="B208" t="s">
        <v>435</v>
      </c>
      <c r="C208">
        <v>0</v>
      </c>
      <c r="D208">
        <v>0</v>
      </c>
      <c r="E208">
        <v>0</v>
      </c>
      <c r="F208">
        <v>0</v>
      </c>
      <c r="H208">
        <v>0</v>
      </c>
      <c r="I208">
        <v>0</v>
      </c>
      <c r="J208">
        <v>0</v>
      </c>
      <c r="K208">
        <v>0</v>
      </c>
      <c r="L208">
        <v>0</v>
      </c>
      <c r="M208">
        <v>0</v>
      </c>
      <c r="N208">
        <v>0</v>
      </c>
    </row>
    <row r="209" spans="1:14" x14ac:dyDescent="0.2">
      <c r="A209" t="s">
        <v>422</v>
      </c>
      <c r="B209" t="s">
        <v>436</v>
      </c>
      <c r="C209">
        <v>0</v>
      </c>
      <c r="D209">
        <v>0</v>
      </c>
      <c r="E209">
        <v>0</v>
      </c>
      <c r="F209">
        <v>0</v>
      </c>
      <c r="H209">
        <v>0</v>
      </c>
      <c r="I209">
        <v>0</v>
      </c>
      <c r="J209">
        <v>0</v>
      </c>
      <c r="K209">
        <v>0</v>
      </c>
      <c r="L209">
        <v>0</v>
      </c>
      <c r="M209">
        <v>0</v>
      </c>
      <c r="N209">
        <v>0</v>
      </c>
    </row>
    <row r="210" spans="1:14" x14ac:dyDescent="0.2">
      <c r="A210" t="s">
        <v>422</v>
      </c>
      <c r="B210" t="s">
        <v>437</v>
      </c>
      <c r="C210">
        <v>0</v>
      </c>
      <c r="D210">
        <v>0</v>
      </c>
      <c r="E210">
        <v>0</v>
      </c>
      <c r="F210">
        <v>0</v>
      </c>
      <c r="H210">
        <v>0</v>
      </c>
      <c r="I210">
        <v>0</v>
      </c>
      <c r="J210">
        <v>0</v>
      </c>
      <c r="K210">
        <v>0</v>
      </c>
      <c r="L210">
        <v>0</v>
      </c>
      <c r="M210">
        <v>0</v>
      </c>
      <c r="N210">
        <v>0</v>
      </c>
    </row>
    <row r="211" spans="1:14" x14ac:dyDescent="0.2">
      <c r="A211" t="s">
        <v>422</v>
      </c>
      <c r="B211" t="s">
        <v>438</v>
      </c>
      <c r="C211">
        <v>0</v>
      </c>
      <c r="D211">
        <v>0</v>
      </c>
      <c r="E211">
        <v>0</v>
      </c>
      <c r="F211">
        <v>0</v>
      </c>
      <c r="H211">
        <v>0</v>
      </c>
      <c r="I211">
        <v>0</v>
      </c>
      <c r="J211">
        <v>0</v>
      </c>
      <c r="K211">
        <v>0</v>
      </c>
      <c r="L211">
        <v>0</v>
      </c>
      <c r="M211">
        <v>0</v>
      </c>
      <c r="N211">
        <v>0</v>
      </c>
    </row>
    <row r="212" spans="1:14" x14ac:dyDescent="0.2">
      <c r="A212" t="s">
        <v>422</v>
      </c>
      <c r="B212" t="s">
        <v>439</v>
      </c>
      <c r="C212">
        <v>0</v>
      </c>
      <c r="D212">
        <v>0</v>
      </c>
      <c r="E212">
        <v>0</v>
      </c>
      <c r="F212">
        <v>0</v>
      </c>
      <c r="H212">
        <v>0</v>
      </c>
      <c r="I212">
        <v>0</v>
      </c>
      <c r="J212">
        <v>0</v>
      </c>
      <c r="K212">
        <v>0</v>
      </c>
      <c r="L212">
        <v>0</v>
      </c>
      <c r="M212">
        <v>0</v>
      </c>
      <c r="N212">
        <v>0</v>
      </c>
    </row>
    <row r="213" spans="1:14" x14ac:dyDescent="0.2">
      <c r="A213" t="s">
        <v>422</v>
      </c>
      <c r="B213" t="s">
        <v>440</v>
      </c>
      <c r="C213">
        <v>0.5</v>
      </c>
      <c r="D213">
        <v>0</v>
      </c>
      <c r="E213">
        <v>10</v>
      </c>
      <c r="F213">
        <v>0</v>
      </c>
      <c r="H213">
        <v>0</v>
      </c>
      <c r="I213">
        <v>0</v>
      </c>
      <c r="J213">
        <v>0</v>
      </c>
      <c r="K213">
        <v>0</v>
      </c>
      <c r="L213">
        <v>0</v>
      </c>
      <c r="M213">
        <v>0</v>
      </c>
      <c r="N213">
        <v>0</v>
      </c>
    </row>
    <row r="214" spans="1:14" x14ac:dyDescent="0.2">
      <c r="A214" t="s">
        <v>422</v>
      </c>
      <c r="B214" t="s">
        <v>441</v>
      </c>
      <c r="C214">
        <v>0</v>
      </c>
      <c r="D214">
        <v>0</v>
      </c>
      <c r="E214">
        <v>0</v>
      </c>
      <c r="F214">
        <v>0</v>
      </c>
      <c r="H214">
        <v>0</v>
      </c>
      <c r="I214">
        <v>0</v>
      </c>
      <c r="J214">
        <v>0</v>
      </c>
      <c r="K214">
        <v>0</v>
      </c>
      <c r="L214">
        <v>0</v>
      </c>
      <c r="M214">
        <v>0</v>
      </c>
      <c r="N214">
        <v>0</v>
      </c>
    </row>
    <row r="215" spans="1:14" x14ac:dyDescent="0.2">
      <c r="A215" t="s">
        <v>422</v>
      </c>
      <c r="B215" t="s">
        <v>442</v>
      </c>
      <c r="C215">
        <v>0.17</v>
      </c>
      <c r="D215">
        <v>0</v>
      </c>
      <c r="E215">
        <v>3</v>
      </c>
      <c r="F215">
        <v>4</v>
      </c>
      <c r="H215">
        <v>0</v>
      </c>
      <c r="I215">
        <v>0</v>
      </c>
      <c r="J215">
        <v>0</v>
      </c>
      <c r="K215">
        <v>0</v>
      </c>
      <c r="L215">
        <v>0</v>
      </c>
      <c r="M215">
        <v>0</v>
      </c>
      <c r="N215">
        <v>0</v>
      </c>
    </row>
    <row r="216" spans="1:14" x14ac:dyDescent="0.2">
      <c r="A216" t="s">
        <v>422</v>
      </c>
      <c r="B216" t="s">
        <v>443</v>
      </c>
      <c r="C216">
        <v>0</v>
      </c>
      <c r="D216">
        <v>0</v>
      </c>
      <c r="E216">
        <v>0</v>
      </c>
      <c r="F216">
        <v>0</v>
      </c>
      <c r="H216">
        <v>0</v>
      </c>
      <c r="I216">
        <v>0</v>
      </c>
      <c r="J216">
        <v>0</v>
      </c>
      <c r="K216">
        <v>0</v>
      </c>
      <c r="L216">
        <v>0</v>
      </c>
      <c r="M216">
        <v>0</v>
      </c>
      <c r="N216">
        <v>0</v>
      </c>
    </row>
    <row r="217" spans="1:14" x14ac:dyDescent="0.2">
      <c r="A217" t="s">
        <v>422</v>
      </c>
      <c r="B217" t="s">
        <v>444</v>
      </c>
      <c r="C217">
        <v>0</v>
      </c>
      <c r="D217">
        <v>0</v>
      </c>
      <c r="E217">
        <v>0</v>
      </c>
      <c r="F217">
        <v>0</v>
      </c>
      <c r="H217">
        <v>0</v>
      </c>
      <c r="I217">
        <v>0</v>
      </c>
      <c r="J217">
        <v>0</v>
      </c>
      <c r="K217">
        <v>0</v>
      </c>
      <c r="L217">
        <v>0</v>
      </c>
      <c r="M217">
        <v>0</v>
      </c>
      <c r="N217">
        <v>0</v>
      </c>
    </row>
    <row r="218" spans="1:14" x14ac:dyDescent="0.2">
      <c r="A218" t="s">
        <v>422</v>
      </c>
      <c r="B218" t="s">
        <v>445</v>
      </c>
      <c r="C218">
        <v>0</v>
      </c>
      <c r="D218">
        <v>0</v>
      </c>
      <c r="E218">
        <v>0</v>
      </c>
      <c r="F218">
        <v>0</v>
      </c>
      <c r="H218">
        <v>0</v>
      </c>
      <c r="I218">
        <v>0</v>
      </c>
      <c r="J218">
        <v>0</v>
      </c>
      <c r="K218">
        <v>0</v>
      </c>
      <c r="L218">
        <v>0</v>
      </c>
      <c r="M218">
        <v>0</v>
      </c>
      <c r="N218">
        <v>0</v>
      </c>
    </row>
    <row r="219" spans="1:14" x14ac:dyDescent="0.2">
      <c r="A219" t="s">
        <v>422</v>
      </c>
      <c r="B219" t="s">
        <v>446</v>
      </c>
      <c r="C219">
        <v>0</v>
      </c>
      <c r="D219">
        <v>0</v>
      </c>
      <c r="E219">
        <v>0</v>
      </c>
      <c r="F219">
        <v>0</v>
      </c>
      <c r="H219">
        <v>0</v>
      </c>
      <c r="I219">
        <v>0</v>
      </c>
      <c r="J219">
        <v>0</v>
      </c>
      <c r="K219">
        <v>0</v>
      </c>
      <c r="L219">
        <v>0</v>
      </c>
      <c r="M219">
        <v>0</v>
      </c>
      <c r="N219">
        <v>0</v>
      </c>
    </row>
    <row r="220" spans="1:14" x14ac:dyDescent="0.2">
      <c r="A220" t="s">
        <v>422</v>
      </c>
      <c r="B220" t="s">
        <v>430</v>
      </c>
      <c r="C220">
        <v>0</v>
      </c>
      <c r="D220">
        <v>0</v>
      </c>
      <c r="E220">
        <v>0</v>
      </c>
      <c r="F220">
        <v>0</v>
      </c>
      <c r="H220">
        <v>0</v>
      </c>
      <c r="I220">
        <v>0</v>
      </c>
      <c r="J220">
        <v>0</v>
      </c>
      <c r="K220">
        <v>0</v>
      </c>
      <c r="L220">
        <v>0</v>
      </c>
      <c r="M220">
        <v>0</v>
      </c>
      <c r="N220">
        <v>0</v>
      </c>
    </row>
    <row r="221" spans="1:14" x14ac:dyDescent="0.2">
      <c r="A221" t="s">
        <v>422</v>
      </c>
      <c r="B221" t="s">
        <v>431</v>
      </c>
      <c r="C221">
        <v>0</v>
      </c>
      <c r="D221">
        <v>0</v>
      </c>
      <c r="E221">
        <v>0</v>
      </c>
      <c r="F221">
        <v>0</v>
      </c>
      <c r="H221">
        <v>0</v>
      </c>
      <c r="I221">
        <v>0</v>
      </c>
      <c r="J221">
        <v>0</v>
      </c>
      <c r="K221">
        <v>0</v>
      </c>
      <c r="L221">
        <v>0</v>
      </c>
      <c r="M221">
        <v>0</v>
      </c>
      <c r="N221">
        <v>0</v>
      </c>
    </row>
    <row r="222" spans="1:14" x14ac:dyDescent="0.2">
      <c r="A222" t="s">
        <v>422</v>
      </c>
      <c r="B222" t="s">
        <v>447</v>
      </c>
      <c r="C222">
        <v>0</v>
      </c>
      <c r="D222">
        <v>0</v>
      </c>
      <c r="E222">
        <v>0</v>
      </c>
      <c r="F222">
        <v>0</v>
      </c>
      <c r="H222">
        <v>0</v>
      </c>
      <c r="I222">
        <v>0</v>
      </c>
      <c r="J222">
        <v>0</v>
      </c>
      <c r="K222">
        <v>0</v>
      </c>
      <c r="L222">
        <v>0</v>
      </c>
      <c r="M222">
        <v>0</v>
      </c>
      <c r="N222">
        <v>0</v>
      </c>
    </row>
    <row r="223" spans="1:14" x14ac:dyDescent="0.2">
      <c r="A223" t="s">
        <v>422</v>
      </c>
      <c r="B223" t="s">
        <v>448</v>
      </c>
      <c r="C223">
        <v>0</v>
      </c>
      <c r="D223">
        <v>0</v>
      </c>
      <c r="E223">
        <v>0</v>
      </c>
      <c r="F223">
        <v>0</v>
      </c>
      <c r="H223">
        <v>0</v>
      </c>
      <c r="I223">
        <v>0</v>
      </c>
      <c r="J223">
        <v>0</v>
      </c>
      <c r="K223">
        <v>0</v>
      </c>
      <c r="L223">
        <v>0</v>
      </c>
      <c r="M223">
        <v>0</v>
      </c>
      <c r="N223">
        <v>0</v>
      </c>
    </row>
    <row r="224" spans="1:14" x14ac:dyDescent="0.2">
      <c r="A224" t="s">
        <v>422</v>
      </c>
      <c r="B224" t="s">
        <v>449</v>
      </c>
      <c r="C224">
        <v>0</v>
      </c>
      <c r="D224">
        <v>0</v>
      </c>
      <c r="E224">
        <v>0</v>
      </c>
      <c r="F224">
        <v>0</v>
      </c>
      <c r="H224">
        <v>0</v>
      </c>
      <c r="I224">
        <v>0</v>
      </c>
      <c r="J224">
        <v>0</v>
      </c>
      <c r="K224">
        <v>0</v>
      </c>
      <c r="L224">
        <v>0</v>
      </c>
      <c r="M224">
        <v>0</v>
      </c>
      <c r="N224">
        <v>0</v>
      </c>
    </row>
    <row r="225" spans="1:14" x14ac:dyDescent="0.2">
      <c r="A225" t="s">
        <v>422</v>
      </c>
      <c r="B225" t="s">
        <v>450</v>
      </c>
      <c r="C225">
        <v>0</v>
      </c>
      <c r="D225">
        <v>0</v>
      </c>
      <c r="E225">
        <v>0</v>
      </c>
      <c r="F225">
        <v>0</v>
      </c>
      <c r="H225">
        <v>0</v>
      </c>
      <c r="I225">
        <v>0</v>
      </c>
      <c r="J225">
        <v>0</v>
      </c>
      <c r="K225">
        <v>0</v>
      </c>
      <c r="L225">
        <v>0</v>
      </c>
      <c r="M225">
        <v>0</v>
      </c>
      <c r="N225">
        <v>0</v>
      </c>
    </row>
    <row r="226" spans="1:14" x14ac:dyDescent="0.2">
      <c r="A226" t="s">
        <v>422</v>
      </c>
      <c r="B226" t="s">
        <v>451</v>
      </c>
      <c r="C226">
        <v>0</v>
      </c>
      <c r="D226">
        <v>0</v>
      </c>
      <c r="E226">
        <v>0</v>
      </c>
      <c r="F226">
        <v>0</v>
      </c>
      <c r="H226">
        <v>0</v>
      </c>
      <c r="I226">
        <v>0</v>
      </c>
      <c r="J226">
        <v>0</v>
      </c>
      <c r="K226">
        <v>0</v>
      </c>
      <c r="L226">
        <v>0</v>
      </c>
      <c r="M226">
        <v>0</v>
      </c>
      <c r="N226">
        <v>0</v>
      </c>
    </row>
    <row r="227" spans="1:14" x14ac:dyDescent="0.2">
      <c r="A227" t="s">
        <v>422</v>
      </c>
      <c r="B227" t="s">
        <v>452</v>
      </c>
      <c r="C227">
        <v>0</v>
      </c>
      <c r="D227">
        <v>0</v>
      </c>
      <c r="E227">
        <v>0</v>
      </c>
      <c r="F227">
        <v>0</v>
      </c>
      <c r="H227">
        <v>0</v>
      </c>
      <c r="I227">
        <v>0</v>
      </c>
      <c r="J227">
        <v>0</v>
      </c>
      <c r="K227">
        <v>0</v>
      </c>
      <c r="L227">
        <v>0</v>
      </c>
      <c r="M227">
        <v>0</v>
      </c>
      <c r="N227">
        <v>0</v>
      </c>
    </row>
    <row r="228" spans="1:14" x14ac:dyDescent="0.2">
      <c r="A228" t="s">
        <v>422</v>
      </c>
      <c r="B228" t="s">
        <v>453</v>
      </c>
      <c r="C228">
        <v>0</v>
      </c>
      <c r="D228">
        <v>0</v>
      </c>
      <c r="E228">
        <v>0</v>
      </c>
      <c r="F228">
        <v>0</v>
      </c>
      <c r="H228">
        <v>0</v>
      </c>
      <c r="I228">
        <v>0</v>
      </c>
      <c r="J228">
        <v>0</v>
      </c>
      <c r="K228">
        <v>0</v>
      </c>
      <c r="L228">
        <v>0</v>
      </c>
      <c r="M228">
        <v>0</v>
      </c>
      <c r="N228">
        <v>0</v>
      </c>
    </row>
    <row r="229" spans="1:14" x14ac:dyDescent="0.2">
      <c r="A229" t="s">
        <v>422</v>
      </c>
      <c r="B229" t="s">
        <v>454</v>
      </c>
      <c r="C229">
        <v>0</v>
      </c>
      <c r="D229">
        <v>0</v>
      </c>
      <c r="E229">
        <v>0</v>
      </c>
      <c r="F229">
        <v>0</v>
      </c>
      <c r="H229">
        <v>0</v>
      </c>
      <c r="I229">
        <v>0</v>
      </c>
      <c r="J229">
        <v>0</v>
      </c>
      <c r="K229">
        <v>0</v>
      </c>
      <c r="L229">
        <v>0</v>
      </c>
      <c r="M229">
        <v>0</v>
      </c>
      <c r="N229">
        <v>0</v>
      </c>
    </row>
    <row r="230" spans="1:14" x14ac:dyDescent="0.2">
      <c r="A230" t="s">
        <v>422</v>
      </c>
      <c r="B230" t="s">
        <v>455</v>
      </c>
      <c r="C230">
        <v>0</v>
      </c>
      <c r="D230">
        <v>0</v>
      </c>
      <c r="E230">
        <v>0</v>
      </c>
      <c r="F230">
        <v>0</v>
      </c>
      <c r="H230">
        <v>0</v>
      </c>
      <c r="I230">
        <v>0</v>
      </c>
      <c r="J230">
        <v>0</v>
      </c>
      <c r="K230">
        <v>0</v>
      </c>
      <c r="L230">
        <v>0</v>
      </c>
      <c r="M230">
        <v>0</v>
      </c>
      <c r="N230">
        <v>0</v>
      </c>
    </row>
    <row r="231" spans="1:14" x14ac:dyDescent="0.2">
      <c r="A231" t="s">
        <v>422</v>
      </c>
      <c r="B231" t="s">
        <v>456</v>
      </c>
      <c r="C231">
        <v>0</v>
      </c>
      <c r="D231">
        <v>0</v>
      </c>
      <c r="E231">
        <v>0</v>
      </c>
      <c r="F231">
        <v>0</v>
      </c>
      <c r="H231">
        <v>0</v>
      </c>
      <c r="I231">
        <v>0</v>
      </c>
      <c r="J231">
        <v>0</v>
      </c>
      <c r="K231">
        <v>0</v>
      </c>
      <c r="L231">
        <v>0</v>
      </c>
      <c r="M231">
        <v>0</v>
      </c>
      <c r="N231">
        <v>0</v>
      </c>
    </row>
    <row r="232" spans="1:14" x14ac:dyDescent="0.2">
      <c r="A232" t="s">
        <v>422</v>
      </c>
      <c r="B232" t="s">
        <v>457</v>
      </c>
      <c r="C232">
        <v>0</v>
      </c>
      <c r="D232">
        <v>0</v>
      </c>
      <c r="E232">
        <v>0</v>
      </c>
      <c r="F232">
        <v>0</v>
      </c>
      <c r="H232">
        <v>0</v>
      </c>
      <c r="I232">
        <v>0</v>
      </c>
      <c r="J232">
        <v>0</v>
      </c>
      <c r="K232">
        <v>0</v>
      </c>
      <c r="L232">
        <v>0</v>
      </c>
      <c r="M232">
        <v>0</v>
      </c>
      <c r="N232">
        <v>0</v>
      </c>
    </row>
    <row r="233" spans="1:14" x14ac:dyDescent="0.2">
      <c r="A233" t="s">
        <v>422</v>
      </c>
      <c r="B233" t="s">
        <v>458</v>
      </c>
      <c r="C233">
        <v>0</v>
      </c>
      <c r="D233">
        <v>0</v>
      </c>
      <c r="E233">
        <v>0</v>
      </c>
      <c r="F233">
        <v>0</v>
      </c>
      <c r="H233">
        <v>0</v>
      </c>
      <c r="I233">
        <v>0</v>
      </c>
      <c r="J233">
        <v>0</v>
      </c>
      <c r="K233">
        <v>0</v>
      </c>
      <c r="L233">
        <v>0</v>
      </c>
      <c r="M233">
        <v>0</v>
      </c>
      <c r="N233">
        <v>0</v>
      </c>
    </row>
    <row r="234" spans="1:14" x14ac:dyDescent="0.2">
      <c r="A234" t="s">
        <v>422</v>
      </c>
      <c r="B234" t="s">
        <v>459</v>
      </c>
      <c r="C234">
        <v>0</v>
      </c>
      <c r="D234">
        <v>0</v>
      </c>
      <c r="E234">
        <v>0</v>
      </c>
      <c r="F234">
        <v>0</v>
      </c>
      <c r="H234">
        <v>0</v>
      </c>
      <c r="I234">
        <v>0</v>
      </c>
      <c r="J234">
        <v>0</v>
      </c>
      <c r="K234">
        <v>0</v>
      </c>
      <c r="L234">
        <v>0</v>
      </c>
      <c r="M234">
        <v>0</v>
      </c>
      <c r="N234">
        <v>0</v>
      </c>
    </row>
    <row r="235" spans="1:14" x14ac:dyDescent="0.2">
      <c r="A235" t="s">
        <v>422</v>
      </c>
      <c r="B235" t="s">
        <v>460</v>
      </c>
      <c r="C235">
        <v>0</v>
      </c>
      <c r="D235">
        <v>0</v>
      </c>
      <c r="E235">
        <v>0</v>
      </c>
      <c r="F235">
        <v>0</v>
      </c>
      <c r="H235">
        <v>0</v>
      </c>
      <c r="I235">
        <v>0</v>
      </c>
      <c r="J235">
        <v>0</v>
      </c>
      <c r="K235">
        <v>0</v>
      </c>
      <c r="L235">
        <v>0</v>
      </c>
      <c r="M235">
        <v>0</v>
      </c>
      <c r="N235">
        <v>0</v>
      </c>
    </row>
    <row r="236" spans="1:14" x14ac:dyDescent="0.2">
      <c r="A236" t="s">
        <v>422</v>
      </c>
      <c r="B236" t="s">
        <v>461</v>
      </c>
      <c r="C236">
        <v>0</v>
      </c>
      <c r="D236">
        <v>0</v>
      </c>
      <c r="E236">
        <v>0</v>
      </c>
      <c r="F236">
        <v>0</v>
      </c>
      <c r="H236">
        <v>0</v>
      </c>
      <c r="I236">
        <v>0</v>
      </c>
      <c r="J236">
        <v>0</v>
      </c>
      <c r="K236">
        <v>0</v>
      </c>
      <c r="L236">
        <v>0</v>
      </c>
      <c r="M236">
        <v>0</v>
      </c>
      <c r="N236">
        <v>0</v>
      </c>
    </row>
    <row r="237" spans="1:14" x14ac:dyDescent="0.2">
      <c r="A237" t="s">
        <v>422</v>
      </c>
      <c r="B237" t="s">
        <v>431</v>
      </c>
      <c r="C237">
        <v>0</v>
      </c>
      <c r="D237">
        <v>0</v>
      </c>
      <c r="E237">
        <v>0</v>
      </c>
      <c r="F237">
        <v>0</v>
      </c>
      <c r="H237">
        <v>0</v>
      </c>
      <c r="I237">
        <v>0</v>
      </c>
      <c r="J237">
        <v>0</v>
      </c>
      <c r="K237">
        <v>0</v>
      </c>
      <c r="L237">
        <v>0</v>
      </c>
      <c r="M237">
        <v>0</v>
      </c>
      <c r="N237">
        <v>0</v>
      </c>
    </row>
    <row r="238" spans="1:14" x14ac:dyDescent="0.2">
      <c r="A238" t="s">
        <v>422</v>
      </c>
      <c r="B238" t="s">
        <v>462</v>
      </c>
      <c r="C238">
        <v>0</v>
      </c>
      <c r="D238">
        <v>0</v>
      </c>
      <c r="E238">
        <v>0</v>
      </c>
      <c r="F238">
        <v>0</v>
      </c>
      <c r="H238">
        <v>0</v>
      </c>
      <c r="I238">
        <v>0</v>
      </c>
      <c r="J238">
        <v>0</v>
      </c>
      <c r="K238">
        <v>0</v>
      </c>
      <c r="L238">
        <v>0</v>
      </c>
      <c r="M238">
        <v>0</v>
      </c>
      <c r="N238">
        <v>0</v>
      </c>
    </row>
    <row r="239" spans="1:14" x14ac:dyDescent="0.2">
      <c r="A239" t="s">
        <v>422</v>
      </c>
      <c r="B239" t="s">
        <v>463</v>
      </c>
      <c r="C239">
        <v>0</v>
      </c>
      <c r="D239">
        <v>0</v>
      </c>
      <c r="E239">
        <v>0</v>
      </c>
      <c r="F239">
        <v>0</v>
      </c>
      <c r="H239">
        <v>0</v>
      </c>
      <c r="I239">
        <v>0</v>
      </c>
      <c r="J239">
        <v>0</v>
      </c>
      <c r="K239">
        <v>0</v>
      </c>
      <c r="L239">
        <v>0</v>
      </c>
      <c r="M239">
        <v>0</v>
      </c>
      <c r="N239">
        <v>0</v>
      </c>
    </row>
    <row r="240" spans="1:14" x14ac:dyDescent="0.2">
      <c r="A240" t="s">
        <v>422</v>
      </c>
      <c r="B240" t="s">
        <v>464</v>
      </c>
      <c r="C240">
        <v>0</v>
      </c>
      <c r="D240">
        <v>0</v>
      </c>
      <c r="E240">
        <v>0</v>
      </c>
      <c r="F240">
        <v>0</v>
      </c>
      <c r="H240">
        <v>0</v>
      </c>
      <c r="I240">
        <v>0</v>
      </c>
      <c r="J240">
        <v>0</v>
      </c>
      <c r="K240">
        <v>0</v>
      </c>
      <c r="L240">
        <v>0</v>
      </c>
      <c r="M240">
        <v>0</v>
      </c>
      <c r="N240">
        <v>0</v>
      </c>
    </row>
    <row r="241" spans="1:14" x14ac:dyDescent="0.2">
      <c r="A241" t="s">
        <v>422</v>
      </c>
      <c r="B241" t="s">
        <v>465</v>
      </c>
      <c r="C241">
        <v>0</v>
      </c>
      <c r="D241">
        <v>0</v>
      </c>
      <c r="E241">
        <v>0</v>
      </c>
      <c r="F241">
        <v>0</v>
      </c>
      <c r="H241">
        <v>0</v>
      </c>
      <c r="I241">
        <v>0</v>
      </c>
      <c r="J241">
        <v>0</v>
      </c>
      <c r="K241">
        <v>0</v>
      </c>
      <c r="L241">
        <v>0</v>
      </c>
      <c r="M241">
        <v>0</v>
      </c>
      <c r="N241">
        <v>0</v>
      </c>
    </row>
    <row r="242" spans="1:14" x14ac:dyDescent="0.2">
      <c r="A242" t="s">
        <v>422</v>
      </c>
      <c r="B242" t="s">
        <v>466</v>
      </c>
      <c r="C242">
        <v>0</v>
      </c>
      <c r="D242">
        <v>0</v>
      </c>
      <c r="E242">
        <v>0</v>
      </c>
      <c r="F242">
        <v>0</v>
      </c>
      <c r="H242">
        <v>0</v>
      </c>
      <c r="I242">
        <v>0</v>
      </c>
      <c r="J242">
        <v>0</v>
      </c>
      <c r="K242">
        <v>0</v>
      </c>
      <c r="L242">
        <v>0</v>
      </c>
      <c r="M242">
        <v>0</v>
      </c>
      <c r="N242">
        <v>0</v>
      </c>
    </row>
    <row r="243" spans="1:14" x14ac:dyDescent="0.2">
      <c r="A243" t="s">
        <v>422</v>
      </c>
      <c r="B243" t="s">
        <v>467</v>
      </c>
      <c r="C243">
        <v>0</v>
      </c>
      <c r="D243">
        <v>0</v>
      </c>
      <c r="E243">
        <v>0</v>
      </c>
      <c r="F243">
        <v>0</v>
      </c>
      <c r="H243">
        <v>0</v>
      </c>
      <c r="I243">
        <v>0</v>
      </c>
      <c r="J243">
        <v>0</v>
      </c>
      <c r="K243">
        <v>0</v>
      </c>
      <c r="L243">
        <v>0</v>
      </c>
      <c r="M243">
        <v>0</v>
      </c>
      <c r="N243">
        <v>0</v>
      </c>
    </row>
    <row r="244" spans="1:14" x14ac:dyDescent="0.2">
      <c r="A244" t="s">
        <v>422</v>
      </c>
      <c r="B244" t="s">
        <v>468</v>
      </c>
      <c r="C244">
        <v>0</v>
      </c>
      <c r="D244">
        <v>0</v>
      </c>
      <c r="E244">
        <v>0</v>
      </c>
      <c r="F244">
        <v>0</v>
      </c>
      <c r="H244">
        <v>0</v>
      </c>
      <c r="I244">
        <v>0</v>
      </c>
      <c r="J244">
        <v>0</v>
      </c>
      <c r="K244">
        <v>0</v>
      </c>
      <c r="L244">
        <v>0</v>
      </c>
      <c r="M244">
        <v>0</v>
      </c>
      <c r="N244">
        <v>0</v>
      </c>
    </row>
    <row r="245" spans="1:14" x14ac:dyDescent="0.2">
      <c r="A245" t="s">
        <v>422</v>
      </c>
      <c r="B245" t="s">
        <v>469</v>
      </c>
      <c r="C245">
        <v>0</v>
      </c>
      <c r="D245">
        <v>0</v>
      </c>
      <c r="E245">
        <v>0</v>
      </c>
      <c r="F245">
        <v>0</v>
      </c>
      <c r="H245">
        <v>0</v>
      </c>
      <c r="I245">
        <v>0</v>
      </c>
      <c r="J245">
        <v>0</v>
      </c>
      <c r="K245">
        <v>0</v>
      </c>
      <c r="L245">
        <v>0</v>
      </c>
      <c r="M245">
        <v>0</v>
      </c>
      <c r="N245">
        <v>0</v>
      </c>
    </row>
    <row r="246" spans="1:14" x14ac:dyDescent="0.2">
      <c r="A246" t="s">
        <v>422</v>
      </c>
      <c r="B246" t="s">
        <v>470</v>
      </c>
      <c r="C246">
        <v>0</v>
      </c>
      <c r="D246">
        <v>0</v>
      </c>
      <c r="E246">
        <v>0</v>
      </c>
      <c r="F246">
        <v>0</v>
      </c>
      <c r="H246">
        <v>0</v>
      </c>
      <c r="I246">
        <v>0</v>
      </c>
      <c r="J246">
        <v>0</v>
      </c>
      <c r="K246">
        <v>0</v>
      </c>
      <c r="L246">
        <v>0</v>
      </c>
      <c r="M246">
        <v>0</v>
      </c>
      <c r="N246">
        <v>0</v>
      </c>
    </row>
    <row r="247" spans="1:14" x14ac:dyDescent="0.2">
      <c r="A247" t="s">
        <v>422</v>
      </c>
      <c r="B247" t="s">
        <v>471</v>
      </c>
      <c r="C247">
        <v>0</v>
      </c>
      <c r="D247">
        <v>0</v>
      </c>
      <c r="E247">
        <v>0</v>
      </c>
      <c r="F247">
        <v>0</v>
      </c>
      <c r="H247">
        <v>0</v>
      </c>
      <c r="I247">
        <v>0</v>
      </c>
      <c r="J247">
        <v>0</v>
      </c>
      <c r="K247">
        <v>0</v>
      </c>
      <c r="L247">
        <v>0</v>
      </c>
      <c r="M247">
        <v>0</v>
      </c>
      <c r="N247">
        <v>0</v>
      </c>
    </row>
    <row r="248" spans="1:14" x14ac:dyDescent="0.2">
      <c r="A248" t="s">
        <v>422</v>
      </c>
      <c r="B248" t="s">
        <v>416</v>
      </c>
      <c r="C248">
        <v>0</v>
      </c>
      <c r="D248">
        <v>0</v>
      </c>
      <c r="E248">
        <v>0</v>
      </c>
      <c r="F248">
        <v>0</v>
      </c>
      <c r="H248">
        <v>0</v>
      </c>
      <c r="I248">
        <v>0</v>
      </c>
      <c r="J248">
        <v>0</v>
      </c>
      <c r="K248">
        <v>0</v>
      </c>
      <c r="L248">
        <v>0</v>
      </c>
      <c r="M248">
        <v>0</v>
      </c>
      <c r="N248">
        <v>0</v>
      </c>
    </row>
    <row r="249" spans="1:14" x14ac:dyDescent="0.2">
      <c r="A249" t="s">
        <v>422</v>
      </c>
      <c r="B249" t="s">
        <v>472</v>
      </c>
      <c r="C249">
        <v>0</v>
      </c>
      <c r="D249">
        <v>0</v>
      </c>
      <c r="E249">
        <v>0</v>
      </c>
      <c r="F249">
        <v>0</v>
      </c>
      <c r="H249">
        <v>0</v>
      </c>
      <c r="I249">
        <v>0</v>
      </c>
      <c r="J249">
        <v>0</v>
      </c>
      <c r="K249">
        <v>0</v>
      </c>
      <c r="L249">
        <v>0</v>
      </c>
      <c r="M249">
        <v>0</v>
      </c>
      <c r="N249">
        <v>0</v>
      </c>
    </row>
    <row r="250" spans="1:14" x14ac:dyDescent="0.2">
      <c r="A250" t="s">
        <v>422</v>
      </c>
      <c r="B250" t="s">
        <v>473</v>
      </c>
      <c r="C250">
        <v>0</v>
      </c>
      <c r="D250">
        <v>0</v>
      </c>
      <c r="E250">
        <v>0</v>
      </c>
      <c r="F250">
        <v>0</v>
      </c>
      <c r="H250">
        <v>0</v>
      </c>
      <c r="I250">
        <v>0</v>
      </c>
      <c r="J250">
        <v>0</v>
      </c>
      <c r="K250">
        <v>0</v>
      </c>
      <c r="L250">
        <v>0</v>
      </c>
      <c r="M250">
        <v>0</v>
      </c>
      <c r="N250">
        <v>0</v>
      </c>
    </row>
    <row r="251" spans="1:14" x14ac:dyDescent="0.2">
      <c r="A251" t="s">
        <v>422</v>
      </c>
      <c r="B251" t="s">
        <v>474</v>
      </c>
      <c r="C251">
        <v>0</v>
      </c>
      <c r="D251">
        <v>0</v>
      </c>
      <c r="E251">
        <v>0</v>
      </c>
      <c r="F251">
        <v>0</v>
      </c>
      <c r="H251">
        <v>0</v>
      </c>
      <c r="I251">
        <v>0</v>
      </c>
      <c r="J251">
        <v>0</v>
      </c>
      <c r="K251">
        <v>0</v>
      </c>
      <c r="L251">
        <v>0</v>
      </c>
      <c r="M251">
        <v>0</v>
      </c>
      <c r="N251">
        <v>0</v>
      </c>
    </row>
    <row r="252" spans="1:14" x14ac:dyDescent="0.2">
      <c r="A252" t="s">
        <v>422</v>
      </c>
      <c r="B252" t="s">
        <v>475</v>
      </c>
      <c r="C252">
        <v>0</v>
      </c>
      <c r="D252">
        <v>0</v>
      </c>
      <c r="E252">
        <v>0</v>
      </c>
      <c r="F252">
        <v>0</v>
      </c>
      <c r="H252">
        <v>0</v>
      </c>
      <c r="I252">
        <v>0</v>
      </c>
      <c r="J252">
        <v>0</v>
      </c>
      <c r="K252">
        <v>0</v>
      </c>
      <c r="L252">
        <v>0</v>
      </c>
      <c r="M252">
        <v>0</v>
      </c>
      <c r="N252">
        <v>0</v>
      </c>
    </row>
    <row r="253" spans="1:14" x14ac:dyDescent="0.2">
      <c r="A253" t="s">
        <v>422</v>
      </c>
      <c r="B253" t="s">
        <v>476</v>
      </c>
      <c r="C253">
        <v>0</v>
      </c>
      <c r="D253">
        <v>0</v>
      </c>
      <c r="E253">
        <v>0</v>
      </c>
      <c r="F253">
        <v>0</v>
      </c>
      <c r="H253">
        <v>6</v>
      </c>
      <c r="I253">
        <v>0</v>
      </c>
      <c r="J253">
        <v>6</v>
      </c>
      <c r="K253">
        <v>6</v>
      </c>
      <c r="L253">
        <v>0</v>
      </c>
      <c r="M253">
        <v>6</v>
      </c>
      <c r="N253">
        <v>0</v>
      </c>
    </row>
    <row r="254" spans="1:14" x14ac:dyDescent="0.2">
      <c r="A254" t="s">
        <v>422</v>
      </c>
      <c r="B254" t="s">
        <v>477</v>
      </c>
      <c r="C254">
        <v>0</v>
      </c>
      <c r="D254">
        <v>0</v>
      </c>
      <c r="E254">
        <v>0</v>
      </c>
      <c r="F254">
        <v>0</v>
      </c>
      <c r="H254">
        <v>4</v>
      </c>
      <c r="I254">
        <v>4</v>
      </c>
      <c r="J254">
        <v>4.5</v>
      </c>
      <c r="K254">
        <v>4.5</v>
      </c>
      <c r="L254">
        <v>0</v>
      </c>
      <c r="M254">
        <v>4</v>
      </c>
      <c r="N254">
        <v>4</v>
      </c>
    </row>
    <row r="255" spans="1:14" x14ac:dyDescent="0.2">
      <c r="A255" t="s">
        <v>422</v>
      </c>
      <c r="B255" t="s">
        <v>478</v>
      </c>
      <c r="C255">
        <v>0</v>
      </c>
      <c r="D255">
        <v>0</v>
      </c>
      <c r="E255">
        <v>0</v>
      </c>
      <c r="F255">
        <v>0</v>
      </c>
      <c r="H255">
        <v>8</v>
      </c>
      <c r="I255">
        <v>0</v>
      </c>
      <c r="J255">
        <v>8</v>
      </c>
      <c r="K255">
        <v>8</v>
      </c>
      <c r="L255">
        <v>0</v>
      </c>
      <c r="M255">
        <v>8</v>
      </c>
      <c r="N255">
        <v>0</v>
      </c>
    </row>
    <row r="256" spans="1:14" x14ac:dyDescent="0.2">
      <c r="A256" t="s">
        <v>422</v>
      </c>
      <c r="B256" t="s">
        <v>479</v>
      </c>
      <c r="C256">
        <v>0</v>
      </c>
      <c r="D256">
        <v>0</v>
      </c>
      <c r="E256">
        <v>0</v>
      </c>
      <c r="F256">
        <v>0</v>
      </c>
      <c r="H256">
        <v>18</v>
      </c>
      <c r="I256">
        <v>4</v>
      </c>
      <c r="J256">
        <v>18.5</v>
      </c>
      <c r="K256">
        <v>18.5</v>
      </c>
      <c r="L256">
        <v>0</v>
      </c>
      <c r="M256">
        <v>18</v>
      </c>
      <c r="N256">
        <v>4</v>
      </c>
    </row>
    <row r="257" spans="1:14" x14ac:dyDescent="0.2">
      <c r="A257" t="s">
        <v>422</v>
      </c>
      <c r="B257" t="s">
        <v>480</v>
      </c>
      <c r="C257">
        <v>0</v>
      </c>
      <c r="D257">
        <v>0</v>
      </c>
      <c r="E257">
        <v>0</v>
      </c>
      <c r="F257">
        <v>0</v>
      </c>
      <c r="H257">
        <v>0</v>
      </c>
      <c r="I257">
        <v>0</v>
      </c>
      <c r="J257">
        <v>0</v>
      </c>
      <c r="K257">
        <v>0</v>
      </c>
      <c r="L257">
        <v>0</v>
      </c>
      <c r="M257">
        <v>0</v>
      </c>
      <c r="N257">
        <v>0</v>
      </c>
    </row>
    <row r="258" spans="1:14" x14ac:dyDescent="0.2">
      <c r="A258" t="s">
        <v>422</v>
      </c>
      <c r="B258" t="s">
        <v>481</v>
      </c>
      <c r="C258">
        <v>0</v>
      </c>
      <c r="D258">
        <v>0</v>
      </c>
      <c r="E258">
        <v>0</v>
      </c>
      <c r="F258">
        <v>0</v>
      </c>
      <c r="H258">
        <v>0</v>
      </c>
      <c r="I258">
        <v>0</v>
      </c>
      <c r="J258">
        <v>0</v>
      </c>
      <c r="K258">
        <v>0</v>
      </c>
      <c r="L258">
        <v>0</v>
      </c>
      <c r="M258">
        <v>0</v>
      </c>
      <c r="N258">
        <v>0</v>
      </c>
    </row>
    <row r="259" spans="1:14" x14ac:dyDescent="0.2">
      <c r="A259" t="s">
        <v>422</v>
      </c>
      <c r="B259" t="s">
        <v>482</v>
      </c>
      <c r="C259">
        <v>0</v>
      </c>
      <c r="D259">
        <v>0</v>
      </c>
      <c r="E259">
        <v>0</v>
      </c>
      <c r="F259">
        <v>0</v>
      </c>
      <c r="H259">
        <v>0</v>
      </c>
      <c r="I259">
        <v>0</v>
      </c>
      <c r="J259">
        <v>0</v>
      </c>
      <c r="K259">
        <v>0</v>
      </c>
      <c r="L259">
        <v>0</v>
      </c>
      <c r="M259">
        <v>0</v>
      </c>
      <c r="N259">
        <v>0</v>
      </c>
    </row>
    <row r="260" spans="1:14" x14ac:dyDescent="0.2">
      <c r="A260" t="s">
        <v>422</v>
      </c>
      <c r="B260" t="s">
        <v>483</v>
      </c>
      <c r="C260">
        <v>0</v>
      </c>
      <c r="D260">
        <v>0</v>
      </c>
      <c r="E260">
        <v>0</v>
      </c>
      <c r="F260">
        <v>0</v>
      </c>
      <c r="H260">
        <v>0</v>
      </c>
      <c r="I260">
        <v>0</v>
      </c>
      <c r="J260">
        <v>0</v>
      </c>
      <c r="K260">
        <v>0</v>
      </c>
      <c r="L260">
        <v>0</v>
      </c>
      <c r="M260">
        <v>0</v>
      </c>
      <c r="N260">
        <v>0</v>
      </c>
    </row>
    <row r="261" spans="1:14" x14ac:dyDescent="0.2">
      <c r="A261" t="s">
        <v>422</v>
      </c>
      <c r="B261" t="s">
        <v>484</v>
      </c>
      <c r="C261">
        <v>0</v>
      </c>
      <c r="D261">
        <v>0</v>
      </c>
      <c r="E261">
        <v>0</v>
      </c>
      <c r="F261">
        <v>0</v>
      </c>
      <c r="H261">
        <v>0</v>
      </c>
      <c r="I261">
        <v>0</v>
      </c>
      <c r="J261">
        <v>0</v>
      </c>
      <c r="K261">
        <v>0</v>
      </c>
      <c r="L261">
        <v>0</v>
      </c>
      <c r="M261">
        <v>0</v>
      </c>
      <c r="N261">
        <v>0</v>
      </c>
    </row>
    <row r="262" spans="1:14" x14ac:dyDescent="0.2">
      <c r="A262" t="s">
        <v>422</v>
      </c>
      <c r="B262" t="s">
        <v>485</v>
      </c>
      <c r="C262">
        <v>0</v>
      </c>
      <c r="D262">
        <v>0</v>
      </c>
      <c r="E262">
        <v>0</v>
      </c>
      <c r="F262">
        <v>0</v>
      </c>
      <c r="H262">
        <v>0</v>
      </c>
      <c r="I262">
        <v>0</v>
      </c>
      <c r="J262">
        <v>0</v>
      </c>
      <c r="K262">
        <v>0</v>
      </c>
      <c r="L262">
        <v>0</v>
      </c>
      <c r="M262">
        <v>0</v>
      </c>
      <c r="N262">
        <v>0</v>
      </c>
    </row>
    <row r="263" spans="1:14" x14ac:dyDescent="0.2">
      <c r="A263" t="s">
        <v>422</v>
      </c>
      <c r="B263" t="s">
        <v>486</v>
      </c>
      <c r="C263">
        <v>0</v>
      </c>
      <c r="D263">
        <v>0</v>
      </c>
      <c r="E263">
        <v>0</v>
      </c>
      <c r="F263">
        <v>0</v>
      </c>
      <c r="H263">
        <v>0</v>
      </c>
      <c r="I263">
        <v>0</v>
      </c>
      <c r="J263">
        <v>0</v>
      </c>
      <c r="K263">
        <v>0</v>
      </c>
      <c r="L263">
        <v>0</v>
      </c>
      <c r="M263">
        <v>0</v>
      </c>
      <c r="N263">
        <v>0</v>
      </c>
    </row>
    <row r="264" spans="1:14" x14ac:dyDescent="0.2">
      <c r="A264" t="s">
        <v>422</v>
      </c>
      <c r="B264" t="s">
        <v>471</v>
      </c>
      <c r="C264">
        <v>0</v>
      </c>
      <c r="D264">
        <v>0</v>
      </c>
      <c r="E264">
        <v>0</v>
      </c>
      <c r="F264">
        <v>0</v>
      </c>
      <c r="H264">
        <v>0</v>
      </c>
      <c r="I264">
        <v>0</v>
      </c>
      <c r="J264">
        <v>0</v>
      </c>
      <c r="K264">
        <v>0</v>
      </c>
      <c r="L264">
        <v>0</v>
      </c>
      <c r="M264">
        <v>0</v>
      </c>
      <c r="N264">
        <v>0</v>
      </c>
    </row>
    <row r="265" spans="1:14" x14ac:dyDescent="0.2">
      <c r="A265" t="s">
        <v>422</v>
      </c>
      <c r="B265" t="s">
        <v>416</v>
      </c>
      <c r="C265">
        <v>0</v>
      </c>
      <c r="D265">
        <v>0</v>
      </c>
      <c r="E265">
        <v>0</v>
      </c>
      <c r="F265">
        <v>0</v>
      </c>
      <c r="H265">
        <v>0</v>
      </c>
      <c r="I265">
        <v>0</v>
      </c>
      <c r="J265">
        <v>0</v>
      </c>
      <c r="K265">
        <v>0</v>
      </c>
      <c r="L265">
        <v>0</v>
      </c>
      <c r="M265">
        <v>0</v>
      </c>
      <c r="N265">
        <v>0</v>
      </c>
    </row>
    <row r="266" spans="1:14" x14ac:dyDescent="0.2">
      <c r="A266" t="s">
        <v>422</v>
      </c>
      <c r="B266" t="s">
        <v>487</v>
      </c>
      <c r="C266">
        <v>0</v>
      </c>
      <c r="D266">
        <v>0</v>
      </c>
      <c r="E266">
        <v>0</v>
      </c>
      <c r="F266">
        <v>0</v>
      </c>
      <c r="H266">
        <v>0</v>
      </c>
      <c r="I266">
        <v>0</v>
      </c>
      <c r="J266">
        <v>0</v>
      </c>
      <c r="K266">
        <v>0</v>
      </c>
      <c r="L266">
        <v>0</v>
      </c>
      <c r="M266">
        <v>0</v>
      </c>
      <c r="N266">
        <v>0</v>
      </c>
    </row>
    <row r="267" spans="1:14" x14ac:dyDescent="0.2">
      <c r="A267" t="s">
        <v>422</v>
      </c>
      <c r="B267" t="s">
        <v>488</v>
      </c>
      <c r="C267">
        <v>0</v>
      </c>
      <c r="D267">
        <v>0</v>
      </c>
      <c r="E267">
        <v>0</v>
      </c>
      <c r="F267">
        <v>0</v>
      </c>
      <c r="H267">
        <v>0</v>
      </c>
      <c r="I267">
        <v>0</v>
      </c>
      <c r="J267">
        <v>0</v>
      </c>
      <c r="K267">
        <v>0</v>
      </c>
      <c r="L267">
        <v>0</v>
      </c>
      <c r="M267">
        <v>0</v>
      </c>
      <c r="N267">
        <v>0</v>
      </c>
    </row>
    <row r="268" spans="1:14" x14ac:dyDescent="0.2">
      <c r="A268" t="s">
        <v>422</v>
      </c>
      <c r="B268" t="s">
        <v>489</v>
      </c>
      <c r="C268">
        <v>0</v>
      </c>
      <c r="D268">
        <v>0</v>
      </c>
      <c r="E268">
        <v>0</v>
      </c>
      <c r="F268">
        <v>0</v>
      </c>
      <c r="H268">
        <v>0</v>
      </c>
      <c r="I268">
        <v>0</v>
      </c>
      <c r="J268">
        <v>0</v>
      </c>
      <c r="K268">
        <v>0</v>
      </c>
      <c r="L268">
        <v>0</v>
      </c>
      <c r="M268">
        <v>0</v>
      </c>
      <c r="N268">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workbookViewId="0"/>
  </sheetViews>
  <sheetFormatPr baseColWidth="10" defaultColWidth="12.6640625" defaultRowHeight="15" x14ac:dyDescent="0.2"/>
  <sheetData>
    <row r="1" spans="1:5" ht="15.5" customHeight="1" x14ac:dyDescent="0.2">
      <c r="A1" s="6" t="s">
        <v>490</v>
      </c>
    </row>
    <row r="2" spans="1:5" x14ac:dyDescent="0.2">
      <c r="C2">
        <v>1301</v>
      </c>
      <c r="D2">
        <v>1302</v>
      </c>
      <c r="E2" s="20" t="s">
        <v>491</v>
      </c>
    </row>
    <row r="3" spans="1:5" ht="15.5" customHeight="1" x14ac:dyDescent="0.2">
      <c r="A3" t="s">
        <v>492</v>
      </c>
      <c r="B3" t="s">
        <v>493</v>
      </c>
      <c r="C3" s="28">
        <v>3.3351854130873331E-3</v>
      </c>
      <c r="D3" s="28">
        <v>3.2608537868491819E-3</v>
      </c>
      <c r="E3" s="29">
        <f t="shared" ref="E3:E8" si="0">AVERAGE(C3:D3)</f>
        <v>3.2980195999682575E-3</v>
      </c>
    </row>
    <row r="4" spans="1:5" x14ac:dyDescent="0.2">
      <c r="A4" t="s">
        <v>494</v>
      </c>
      <c r="B4" t="s">
        <v>493</v>
      </c>
      <c r="C4" s="29">
        <v>3.659397726835158E-3</v>
      </c>
      <c r="D4" s="29">
        <v>3.7125512952507832E-3</v>
      </c>
      <c r="E4" s="29">
        <f t="shared" si="0"/>
        <v>3.6859745110429708E-3</v>
      </c>
    </row>
    <row r="5" spans="1:5" x14ac:dyDescent="0.2">
      <c r="A5" t="s">
        <v>495</v>
      </c>
      <c r="B5" t="s">
        <v>493</v>
      </c>
      <c r="C5" s="29">
        <v>3.8431326086347849E-3</v>
      </c>
      <c r="D5" s="29">
        <v>3.7574803101065742E-3</v>
      </c>
      <c r="E5" s="29">
        <f t="shared" si="0"/>
        <v>3.8003064593706793E-3</v>
      </c>
    </row>
    <row r="6" spans="1:5" x14ac:dyDescent="0.2">
      <c r="A6" t="s">
        <v>496</v>
      </c>
      <c r="B6" t="s">
        <v>493</v>
      </c>
      <c r="C6" s="30">
        <v>5.5768754013558134E-3</v>
      </c>
      <c r="D6" s="29">
        <v>5.6654898236474533E-3</v>
      </c>
      <c r="E6" s="29">
        <f t="shared" si="0"/>
        <v>5.6211826125016334E-3</v>
      </c>
    </row>
    <row r="7" spans="1:5" x14ac:dyDescent="0.2">
      <c r="A7" t="s">
        <v>154</v>
      </c>
      <c r="B7" t="s">
        <v>493</v>
      </c>
      <c r="C7" s="29">
        <v>3.6626221028549402E-3</v>
      </c>
      <c r="D7" s="29">
        <v>3.5935077422923809E-3</v>
      </c>
      <c r="E7" s="29">
        <f t="shared" si="0"/>
        <v>3.6280649225736606E-3</v>
      </c>
    </row>
    <row r="8" spans="1:5" x14ac:dyDescent="0.2">
      <c r="A8" t="s">
        <v>497</v>
      </c>
      <c r="B8" t="s">
        <v>498</v>
      </c>
      <c r="C8" s="31">
        <v>5.5768754013558134E-3</v>
      </c>
      <c r="D8" s="29">
        <v>5.6654898236474533E-3</v>
      </c>
      <c r="E8" s="29">
        <f t="shared" si="0"/>
        <v>5.6211826125016334E-3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64"/>
  <sheetViews>
    <sheetView workbookViewId="0"/>
  </sheetViews>
  <sheetFormatPr baseColWidth="10" defaultColWidth="8.83203125" defaultRowHeight="15" x14ac:dyDescent="0.2"/>
  <cols>
    <col min="1" max="1" width="78.33203125" customWidth="1"/>
    <col min="3" max="3" width="10" customWidth="1"/>
    <col min="4" max="4" width="12.1640625" customWidth="1"/>
    <col min="6" max="6" width="30.83203125" customWidth="1"/>
    <col min="7" max="7" width="29.33203125" customWidth="1"/>
  </cols>
  <sheetData>
    <row r="1" spans="1:9" ht="19" customHeight="1" x14ac:dyDescent="0.25">
      <c r="A1" s="76" t="s">
        <v>499</v>
      </c>
      <c r="B1" s="77" t="s">
        <v>500</v>
      </c>
      <c r="C1" s="78" t="s">
        <v>501</v>
      </c>
      <c r="D1" s="78" t="s">
        <v>502</v>
      </c>
      <c r="E1" s="79"/>
      <c r="F1" s="79"/>
      <c r="G1" s="80" t="s">
        <v>1</v>
      </c>
      <c r="H1" s="81" t="s">
        <v>2</v>
      </c>
    </row>
    <row r="2" spans="1:9" ht="16" x14ac:dyDescent="0.2">
      <c r="A2" s="8"/>
      <c r="B2" s="8"/>
      <c r="C2" s="8"/>
      <c r="D2" s="8"/>
      <c r="E2" s="8"/>
      <c r="F2" s="8"/>
      <c r="G2" s="82"/>
      <c r="H2" s="5"/>
    </row>
    <row r="3" spans="1:9" ht="16" x14ac:dyDescent="0.2">
      <c r="A3" s="3" t="s">
        <v>4</v>
      </c>
      <c r="B3" s="8"/>
      <c r="C3" s="8"/>
      <c r="D3" s="8"/>
      <c r="E3" s="8"/>
      <c r="F3" s="8"/>
      <c r="G3" s="82"/>
      <c r="H3" s="5"/>
    </row>
    <row r="4" spans="1:9" ht="16" x14ac:dyDescent="0.2">
      <c r="A4" s="9" t="s">
        <v>5</v>
      </c>
      <c r="B4" s="83"/>
      <c r="C4" s="83"/>
      <c r="D4" s="83"/>
      <c r="E4" s="83"/>
      <c r="F4" s="83"/>
      <c r="G4" s="84"/>
      <c r="H4" s="5"/>
    </row>
    <row r="5" spans="1:9" ht="16" x14ac:dyDescent="0.2">
      <c r="A5" s="8" t="s">
        <v>503</v>
      </c>
      <c r="B5" s="8"/>
      <c r="C5" s="8"/>
      <c r="D5" s="8"/>
      <c r="E5" s="8"/>
      <c r="F5" s="8"/>
      <c r="G5" s="82">
        <f>'Bishops Fonthill Receipts'!F5</f>
        <v>11.387499999999999</v>
      </c>
      <c r="H5" s="5"/>
    </row>
    <row r="6" spans="1:9" ht="16" x14ac:dyDescent="0.2">
      <c r="A6" s="8" t="s">
        <v>200</v>
      </c>
      <c r="B6" s="8"/>
      <c r="C6" s="8"/>
      <c r="D6" s="8"/>
      <c r="E6" s="8"/>
      <c r="F6" s="8"/>
      <c r="G6" s="82">
        <f>'Bishops Fonthill Receipts'!F14</f>
        <v>5.0125000000000002</v>
      </c>
      <c r="H6" s="5"/>
    </row>
    <row r="7" spans="1:9" ht="16" x14ac:dyDescent="0.2">
      <c r="A7" s="8" t="s">
        <v>504</v>
      </c>
      <c r="B7" s="8"/>
      <c r="C7" s="8"/>
      <c r="D7" s="8"/>
      <c r="E7" s="8"/>
      <c r="F7" s="8"/>
      <c r="G7" s="82">
        <f>'Bishops Fonthill Receipts'!F24</f>
        <v>1.075</v>
      </c>
      <c r="H7" s="5"/>
    </row>
    <row r="8" spans="1:9" ht="16" x14ac:dyDescent="0.2">
      <c r="A8" s="8" t="s">
        <v>218</v>
      </c>
      <c r="B8" s="8"/>
      <c r="C8" s="8"/>
      <c r="D8" s="8"/>
      <c r="E8" s="8"/>
      <c r="F8" s="8"/>
      <c r="G8" s="82"/>
      <c r="H8" s="5"/>
      <c r="I8" t="s">
        <v>505</v>
      </c>
    </row>
    <row r="9" spans="1:9" ht="16" x14ac:dyDescent="0.2">
      <c r="A9" s="8" t="s">
        <v>506</v>
      </c>
      <c r="B9" s="8"/>
      <c r="C9" s="8"/>
      <c r="D9" s="8"/>
      <c r="E9" s="8"/>
      <c r="F9" s="8"/>
      <c r="G9" s="82">
        <f>'Bishops Fonthill Receipts'!F26</f>
        <v>3.9375</v>
      </c>
      <c r="H9" s="5"/>
    </row>
    <row r="10" spans="1:9" ht="16" x14ac:dyDescent="0.2">
      <c r="A10" s="8" t="s">
        <v>507</v>
      </c>
      <c r="B10" s="8"/>
      <c r="C10" s="8"/>
      <c r="D10" s="8"/>
      <c r="E10" s="8"/>
      <c r="F10" s="8"/>
      <c r="G10" s="82">
        <f>'Bishops Fonthill Receipts'!F38</f>
        <v>3.7499999999999999E-2</v>
      </c>
      <c r="H10" s="5"/>
    </row>
    <row r="11" spans="1:9" ht="16" x14ac:dyDescent="0.2">
      <c r="A11" s="8" t="s">
        <v>508</v>
      </c>
      <c r="B11" s="8"/>
      <c r="C11" s="8"/>
      <c r="D11" s="8"/>
      <c r="E11" s="8"/>
      <c r="F11" s="8"/>
      <c r="G11" s="82">
        <f>'Bishops Fonthill Receipts'!F55</f>
        <v>7.7145833333333336</v>
      </c>
      <c r="H11" s="5"/>
    </row>
    <row r="12" spans="1:9" ht="16" x14ac:dyDescent="0.2">
      <c r="A12" s="8" t="s">
        <v>321</v>
      </c>
      <c r="B12" s="8"/>
      <c r="C12" s="8"/>
      <c r="D12" s="8"/>
      <c r="E12" s="8"/>
      <c r="F12" s="8"/>
      <c r="G12" s="82">
        <f>'Bishops Fonthill Receipts'!F64</f>
        <v>22.631250000000001</v>
      </c>
      <c r="H12" s="5"/>
    </row>
    <row r="13" spans="1:9" ht="16" x14ac:dyDescent="0.2">
      <c r="A13" s="8" t="s">
        <v>329</v>
      </c>
      <c r="B13" s="8"/>
      <c r="C13" s="8"/>
      <c r="D13" s="8"/>
      <c r="E13" s="8"/>
      <c r="F13" s="8"/>
      <c r="G13" s="82">
        <f>'Bishops Fonthill Receipts'!F71</f>
        <v>0.55000000000000004</v>
      </c>
      <c r="H13" s="5"/>
    </row>
    <row r="14" spans="1:9" ht="16" x14ac:dyDescent="0.2">
      <c r="A14" s="8" t="s">
        <v>509</v>
      </c>
      <c r="B14" s="8"/>
      <c r="C14" s="8"/>
      <c r="D14" s="8"/>
      <c r="E14" s="8"/>
      <c r="F14" s="8"/>
      <c r="G14" s="82">
        <f>'Bishops Fonthill Receipts'!F76</f>
        <v>2.0416666666666665</v>
      </c>
      <c r="H14" s="5"/>
    </row>
    <row r="15" spans="1:9" ht="16" x14ac:dyDescent="0.2">
      <c r="A15" s="10" t="s">
        <v>510</v>
      </c>
      <c r="B15" s="10"/>
      <c r="C15" s="10"/>
      <c r="D15" s="10"/>
      <c r="E15" s="10"/>
      <c r="F15" s="10"/>
      <c r="G15" s="85">
        <f>G5+G9+G10+G11+G12+G13+G14</f>
        <v>48.3</v>
      </c>
      <c r="H15" s="5"/>
    </row>
    <row r="16" spans="1:9" ht="16" x14ac:dyDescent="0.2">
      <c r="A16" s="10" t="s">
        <v>27</v>
      </c>
      <c r="B16" s="10"/>
      <c r="C16" s="10"/>
      <c r="D16" s="10"/>
      <c r="E16" s="10"/>
      <c r="F16" s="10"/>
      <c r="G16" s="85">
        <f>'Bishops Fonthill Receipts'!F80</f>
        <v>36.952083333333334</v>
      </c>
      <c r="H16" s="86"/>
      <c r="I16" s="22"/>
    </row>
    <row r="17" spans="1:9" ht="16" x14ac:dyDescent="0.2">
      <c r="A17" s="10" t="s">
        <v>28</v>
      </c>
      <c r="B17" s="10"/>
      <c r="C17" s="10"/>
      <c r="D17" s="10"/>
      <c r="E17" s="10"/>
      <c r="F17" s="10"/>
      <c r="G17" s="85"/>
      <c r="H17" s="86"/>
      <c r="I17" t="s">
        <v>511</v>
      </c>
    </row>
    <row r="18" spans="1:9" ht="16" x14ac:dyDescent="0.2">
      <c r="A18" s="8"/>
      <c r="B18" s="8"/>
      <c r="C18" s="8"/>
      <c r="D18" s="8"/>
      <c r="E18" s="8"/>
      <c r="F18" s="8"/>
      <c r="G18" s="82"/>
      <c r="H18" s="5"/>
    </row>
    <row r="19" spans="1:9" ht="16" x14ac:dyDescent="0.2">
      <c r="A19" s="8"/>
      <c r="B19" s="8"/>
      <c r="C19" s="8"/>
      <c r="D19" s="8"/>
      <c r="E19" s="8"/>
      <c r="F19" s="8"/>
      <c r="G19" s="82"/>
      <c r="H19" s="5"/>
    </row>
    <row r="20" spans="1:9" ht="16" x14ac:dyDescent="0.2">
      <c r="A20" s="9" t="s">
        <v>29</v>
      </c>
      <c r="B20" s="83"/>
      <c r="C20" s="83"/>
      <c r="D20" s="83"/>
      <c r="E20" s="83"/>
      <c r="F20" s="83"/>
      <c r="G20" s="84"/>
      <c r="H20" s="5"/>
    </row>
    <row r="21" spans="1:9" ht="16" x14ac:dyDescent="0.2">
      <c r="A21" s="8" t="s">
        <v>512</v>
      </c>
      <c r="B21" s="8"/>
      <c r="C21" s="8"/>
      <c r="D21" s="8"/>
      <c r="E21" s="8"/>
      <c r="F21" s="8"/>
      <c r="G21" s="82">
        <f>'Bishops Fonthill Expenses'!F14</f>
        <v>3.6208333333333331</v>
      </c>
      <c r="H21" s="5"/>
    </row>
    <row r="22" spans="1:9" ht="16" x14ac:dyDescent="0.2">
      <c r="A22" s="8" t="s">
        <v>513</v>
      </c>
      <c r="B22" s="8"/>
      <c r="C22" s="8"/>
      <c r="D22" s="8"/>
      <c r="E22" s="8"/>
      <c r="F22" s="8"/>
      <c r="G22" s="82"/>
      <c r="H22" s="5"/>
    </row>
    <row r="23" spans="1:9" ht="16" x14ac:dyDescent="0.2">
      <c r="A23" s="8" t="s">
        <v>514</v>
      </c>
      <c r="B23" s="8"/>
      <c r="C23" s="8"/>
      <c r="D23" s="8"/>
      <c r="E23" s="8"/>
      <c r="F23" s="8"/>
      <c r="G23" s="82">
        <f>'Bishops Fonthill Expenses'!F29</f>
        <v>0.4</v>
      </c>
      <c r="H23" s="5"/>
    </row>
    <row r="24" spans="1:9" ht="16" x14ac:dyDescent="0.2">
      <c r="A24" s="8" t="s">
        <v>515</v>
      </c>
      <c r="B24" s="8"/>
      <c r="C24" s="8"/>
      <c r="D24" s="8"/>
      <c r="E24" s="8"/>
      <c r="F24" s="8"/>
      <c r="G24" s="82"/>
      <c r="H24" s="5"/>
    </row>
    <row r="25" spans="1:9" ht="16" x14ac:dyDescent="0.2">
      <c r="A25" s="8" t="s">
        <v>516</v>
      </c>
      <c r="B25" s="8"/>
      <c r="C25" s="8"/>
      <c r="D25" s="8"/>
      <c r="E25" s="8"/>
      <c r="F25" s="8"/>
      <c r="G25" s="82"/>
      <c r="H25" s="5"/>
    </row>
    <row r="26" spans="1:9" ht="16" x14ac:dyDescent="0.2">
      <c r="A26" s="8" t="s">
        <v>517</v>
      </c>
      <c r="B26" s="8"/>
      <c r="C26" s="8"/>
      <c r="D26" s="8"/>
      <c r="E26" s="8"/>
      <c r="F26" s="8"/>
      <c r="G26" s="82">
        <f>'Bishops Fonthill Expenses'!F49</f>
        <v>0.39583333333333331</v>
      </c>
      <c r="H26" s="5"/>
    </row>
    <row r="27" spans="1:9" ht="16" x14ac:dyDescent="0.2">
      <c r="A27" s="8" t="s">
        <v>363</v>
      </c>
      <c r="B27" s="8"/>
      <c r="C27" s="8"/>
      <c r="D27" s="8"/>
      <c r="E27" s="8"/>
      <c r="F27" s="8"/>
      <c r="G27" s="82">
        <f>'Bishops Fonthill Expenses'!F40</f>
        <v>0.4375</v>
      </c>
      <c r="H27" s="5"/>
    </row>
    <row r="28" spans="1:9" ht="16" x14ac:dyDescent="0.2">
      <c r="A28" s="8" t="s">
        <v>518</v>
      </c>
      <c r="B28" s="8"/>
      <c r="C28" s="8"/>
      <c r="D28" s="8"/>
      <c r="E28" s="8"/>
      <c r="F28" s="8"/>
      <c r="G28" s="82">
        <f>'Bishops Fonthill Expenses'!F58</f>
        <v>1.2583333333333333</v>
      </c>
      <c r="H28" s="5"/>
    </row>
    <row r="29" spans="1:9" ht="16" x14ac:dyDescent="0.2">
      <c r="A29" s="8" t="s">
        <v>519</v>
      </c>
      <c r="B29" s="8"/>
      <c r="C29" s="8"/>
      <c r="D29" s="8"/>
      <c r="E29" s="8"/>
      <c r="F29" s="8"/>
      <c r="G29" s="82">
        <f>'Bishops Fonthill Expenses'!F66</f>
        <v>0.58333333333333337</v>
      </c>
      <c r="H29" s="5"/>
    </row>
    <row r="30" spans="1:9" ht="16" x14ac:dyDescent="0.2">
      <c r="A30" s="8" t="s">
        <v>520</v>
      </c>
      <c r="B30" s="8"/>
      <c r="C30" s="8"/>
      <c r="D30" s="8"/>
      <c r="E30" s="8"/>
      <c r="F30" s="8"/>
      <c r="G30" s="82">
        <f>'Bishops Fonthill Expenses'!F71</f>
        <v>0.125</v>
      </c>
      <c r="H30" s="5"/>
    </row>
    <row r="31" spans="1:9" ht="16" x14ac:dyDescent="0.2">
      <c r="A31" s="10" t="s">
        <v>52</v>
      </c>
      <c r="B31" s="83"/>
      <c r="C31" s="83"/>
      <c r="D31" s="83"/>
      <c r="E31" s="83"/>
      <c r="F31" s="83"/>
      <c r="G31" s="84">
        <f>SUM(G21:G30)</f>
        <v>6.820833333333332</v>
      </c>
      <c r="H31" s="5"/>
    </row>
    <row r="32" spans="1:9" ht="16" x14ac:dyDescent="0.2">
      <c r="A32" s="10" t="s">
        <v>392</v>
      </c>
      <c r="B32" s="83"/>
      <c r="C32" s="83"/>
      <c r="D32" s="83"/>
      <c r="E32" s="83"/>
      <c r="F32" s="83"/>
      <c r="G32" s="84">
        <f>'Bishops Fonthill Expenses'!F73</f>
        <v>6.8208333333333329</v>
      </c>
      <c r="H32" s="86">
        <f>G31-G32</f>
        <v>0</v>
      </c>
    </row>
    <row r="33" spans="1:8" ht="16" x14ac:dyDescent="0.2">
      <c r="A33" s="26" t="s">
        <v>47</v>
      </c>
      <c r="B33" s="83"/>
      <c r="C33" s="83"/>
      <c r="D33" s="83"/>
      <c r="E33" s="83"/>
      <c r="F33" s="83"/>
      <c r="G33" s="84">
        <f>'Bishops Fonthill Expenses'!F78</f>
        <v>1.8208333333333333</v>
      </c>
      <c r="H33" s="5"/>
    </row>
    <row r="34" spans="1:8" ht="16" x14ac:dyDescent="0.2">
      <c r="A34" s="8"/>
      <c r="B34" s="8"/>
      <c r="C34" s="8"/>
      <c r="D34" s="8"/>
      <c r="E34" s="8"/>
      <c r="F34" s="8"/>
      <c r="G34" s="82"/>
      <c r="H34" s="5"/>
    </row>
    <row r="35" spans="1:8" ht="16" x14ac:dyDescent="0.2">
      <c r="A35" s="8" t="s">
        <v>48</v>
      </c>
      <c r="B35" s="8"/>
      <c r="C35" s="8"/>
      <c r="D35" s="8"/>
      <c r="E35" s="8"/>
      <c r="F35" s="8"/>
      <c r="G35" s="82">
        <f>'Bishops Fonthill Expenses'!F75</f>
        <v>30.131250000000001</v>
      </c>
      <c r="H35" s="5"/>
    </row>
    <row r="36" spans="1:8" ht="16" x14ac:dyDescent="0.2">
      <c r="A36" s="8" t="s">
        <v>49</v>
      </c>
      <c r="B36" s="8"/>
      <c r="C36" s="8"/>
      <c r="D36" s="8"/>
      <c r="E36" s="8"/>
      <c r="F36" s="8"/>
      <c r="G36" s="82"/>
      <c r="H36" s="86"/>
    </row>
    <row r="37" spans="1:8" ht="16" x14ac:dyDescent="0.2">
      <c r="A37" s="8"/>
      <c r="B37" s="8"/>
      <c r="C37" s="8"/>
      <c r="D37" s="8"/>
      <c r="E37" s="8"/>
      <c r="F37" s="8"/>
      <c r="G37" s="82"/>
      <c r="H37" s="5"/>
    </row>
    <row r="38" spans="1:8" ht="16" x14ac:dyDescent="0.2">
      <c r="A38" s="8" t="s">
        <v>51</v>
      </c>
      <c r="B38" s="8"/>
      <c r="C38" s="8"/>
      <c r="D38" s="8"/>
      <c r="E38" s="8"/>
      <c r="F38" s="8"/>
      <c r="G38" s="19">
        <f>'Bishops Fonthill Expenses'!F76</f>
        <v>21.6</v>
      </c>
      <c r="H38" s="5"/>
    </row>
    <row r="39" spans="1:8" ht="16" x14ac:dyDescent="0.2">
      <c r="A39" s="8" t="s">
        <v>521</v>
      </c>
      <c r="B39" s="8"/>
      <c r="C39" s="8"/>
      <c r="D39" s="8"/>
      <c r="E39" s="8"/>
      <c r="F39" s="8"/>
      <c r="H39" s="5"/>
    </row>
    <row r="40" spans="1:8" ht="16" x14ac:dyDescent="0.2">
      <c r="A40" s="10" t="s">
        <v>52</v>
      </c>
      <c r="B40" s="83">
        <f>SUM(B38:B39)</f>
        <v>0</v>
      </c>
      <c r="C40" s="83">
        <f>SUM(C38:C39)</f>
        <v>0</v>
      </c>
      <c r="D40" s="83">
        <f>SUM(D38:D39)</f>
        <v>0</v>
      </c>
      <c r="E40" s="83">
        <f>SUM(E38:E39)</f>
        <v>0</v>
      </c>
      <c r="F40" s="83"/>
      <c r="G40" s="84">
        <f>SUM(G38:G39)</f>
        <v>21.6</v>
      </c>
      <c r="H40" s="5"/>
    </row>
    <row r="41" spans="1:8" ht="16" x14ac:dyDescent="0.2">
      <c r="A41" s="10" t="s">
        <v>53</v>
      </c>
      <c r="B41" s="83" t="s">
        <v>164</v>
      </c>
      <c r="C41" s="83"/>
      <c r="D41" s="83"/>
      <c r="E41" s="83"/>
      <c r="F41" s="83"/>
      <c r="G41" s="87"/>
      <c r="H41" s="5"/>
    </row>
    <row r="42" spans="1:8" ht="16" x14ac:dyDescent="0.2">
      <c r="A42" s="8"/>
      <c r="B42" s="8"/>
      <c r="C42" s="8"/>
      <c r="D42" s="8"/>
      <c r="E42" s="8"/>
      <c r="F42" s="8"/>
      <c r="G42" s="82"/>
      <c r="H42" s="5"/>
    </row>
    <row r="43" spans="1:8" ht="16" x14ac:dyDescent="0.2">
      <c r="A43" s="8" t="s">
        <v>54</v>
      </c>
      <c r="B43" s="8"/>
      <c r="C43" s="8"/>
      <c r="D43" s="8"/>
      <c r="E43" s="8"/>
      <c r="F43" s="8"/>
      <c r="G43" s="19">
        <f>'Bishops Fonthill Expenses'!F77</f>
        <v>8.53125</v>
      </c>
      <c r="H43" s="5"/>
    </row>
    <row r="44" spans="1:8" ht="16" x14ac:dyDescent="0.2">
      <c r="A44" s="8" t="s">
        <v>55</v>
      </c>
      <c r="B44" s="8"/>
      <c r="C44" s="8"/>
      <c r="D44" s="8"/>
      <c r="E44" s="8"/>
      <c r="F44" s="8"/>
      <c r="H44" s="86">
        <f>G43-G44</f>
        <v>8.53125</v>
      </c>
    </row>
    <row r="45" spans="1:8" ht="16" x14ac:dyDescent="0.2">
      <c r="A45" s="8"/>
      <c r="B45" s="8"/>
      <c r="C45" s="8"/>
      <c r="D45" s="8"/>
      <c r="E45" s="8"/>
      <c r="F45" s="8"/>
      <c r="G45" s="82"/>
      <c r="H45" s="5"/>
    </row>
    <row r="46" spans="1:8" ht="16" x14ac:dyDescent="0.2">
      <c r="A46" s="9" t="s">
        <v>56</v>
      </c>
      <c r="B46" s="142" t="s">
        <v>522</v>
      </c>
      <c r="C46" s="143"/>
      <c r="D46" s="83"/>
      <c r="E46" s="83"/>
      <c r="F46" s="74" t="s">
        <v>58</v>
      </c>
      <c r="G46" s="74" t="s">
        <v>59</v>
      </c>
      <c r="H46" s="5"/>
    </row>
    <row r="47" spans="1:8" ht="16" x14ac:dyDescent="0.2">
      <c r="A47" s="3" t="s">
        <v>60</v>
      </c>
      <c r="B47" s="88" t="s">
        <v>61</v>
      </c>
      <c r="C47" s="89" t="s">
        <v>62</v>
      </c>
      <c r="D47" s="8"/>
      <c r="E47" s="8"/>
      <c r="F47" s="34" t="s">
        <v>500</v>
      </c>
      <c r="G47" s="34" t="s">
        <v>500</v>
      </c>
      <c r="H47" s="5"/>
    </row>
    <row r="48" spans="1:8" ht="16" x14ac:dyDescent="0.2">
      <c r="A48" t="s">
        <v>63</v>
      </c>
      <c r="B48" s="82">
        <f>'Issues of the Grange'!J18</f>
        <v>59.375</v>
      </c>
      <c r="C48" s="8"/>
      <c r="D48" s="8"/>
      <c r="E48" s="8"/>
      <c r="F48" s="82">
        <f>'Issues of the Grange'!P5</f>
        <v>20.46875</v>
      </c>
      <c r="G48" s="82">
        <f>'Issues of the Grange'!M18</f>
        <v>14.84375</v>
      </c>
      <c r="H48" s="5"/>
    </row>
    <row r="49" spans="1:8" ht="16" x14ac:dyDescent="0.2">
      <c r="A49" t="s">
        <v>66</v>
      </c>
      <c r="B49" s="82">
        <f>'Issues of the Grange'!J19</f>
        <v>1.125</v>
      </c>
      <c r="C49" s="8"/>
      <c r="D49" s="8"/>
      <c r="E49" s="8"/>
      <c r="F49" s="82">
        <f>'Issues of the Grange'!P6</f>
        <v>0.1125</v>
      </c>
      <c r="G49" s="82">
        <f>'Issues of the Grange'!M19</f>
        <v>0.1125</v>
      </c>
      <c r="H49" s="5"/>
    </row>
    <row r="50" spans="1:8" ht="16" x14ac:dyDescent="0.2">
      <c r="A50" t="s">
        <v>67</v>
      </c>
      <c r="B50" s="82">
        <f>'Issues of the Grange'!J20</f>
        <v>29.75</v>
      </c>
      <c r="C50" s="8"/>
      <c r="D50" s="8"/>
      <c r="E50" s="8"/>
      <c r="F50" s="82">
        <f>'Issues of the Grange'!P7</f>
        <v>10.666666666666668</v>
      </c>
      <c r="G50" s="82">
        <f>'Issues of the Grange'!M20</f>
        <v>4.9583333333333339</v>
      </c>
      <c r="H50" s="5"/>
    </row>
    <row r="51" spans="1:8" ht="16" x14ac:dyDescent="0.2">
      <c r="A51" t="s">
        <v>68</v>
      </c>
      <c r="B51" s="82">
        <f>'Issues of the Grange'!J21</f>
        <v>25</v>
      </c>
      <c r="C51" s="8"/>
      <c r="D51" s="8"/>
      <c r="E51" s="8"/>
      <c r="F51" s="82">
        <f>'Issues of the Grange'!P8</f>
        <v>5.7758333333333329</v>
      </c>
      <c r="G51" s="82">
        <f>'Issues of the Grange'!M21</f>
        <v>2.4166666666666665</v>
      </c>
      <c r="H51" s="5"/>
    </row>
    <row r="52" spans="1:8" ht="16" x14ac:dyDescent="0.2">
      <c r="A52" t="s">
        <v>523</v>
      </c>
      <c r="B52" s="82">
        <f>'Issues of the Grange'!J22</f>
        <v>0</v>
      </c>
      <c r="C52" s="8"/>
      <c r="D52" s="8"/>
      <c r="E52" s="8"/>
      <c r="F52" s="82">
        <f>'Issues of the Grange'!P9</f>
        <v>0</v>
      </c>
      <c r="G52" s="82">
        <f>'Issues of the Grange'!M22</f>
        <v>0</v>
      </c>
      <c r="H52" s="5"/>
    </row>
    <row r="53" spans="1:8" ht="16" x14ac:dyDescent="0.2">
      <c r="A53" t="s">
        <v>71</v>
      </c>
      <c r="B53" s="82">
        <f>'Issues of the Grange'!J23</f>
        <v>3</v>
      </c>
      <c r="C53" s="8"/>
      <c r="D53" s="8"/>
      <c r="E53" s="8"/>
      <c r="F53" s="82">
        <f>'Issues of the Grange'!P10</f>
        <v>0.625</v>
      </c>
      <c r="G53" s="82">
        <f>'Issues of the Grange'!M23</f>
        <v>0</v>
      </c>
      <c r="H53" s="5"/>
    </row>
    <row r="54" spans="1:8" ht="16" x14ac:dyDescent="0.2">
      <c r="A54" s="10" t="s">
        <v>72</v>
      </c>
      <c r="B54" s="83"/>
      <c r="C54" s="83"/>
      <c r="D54" s="83"/>
      <c r="E54" s="83"/>
      <c r="F54" s="84">
        <f>SUM(F48:F53)</f>
        <v>37.64875</v>
      </c>
      <c r="G54" s="84"/>
      <c r="H54" s="5"/>
    </row>
    <row r="55" spans="1:8" ht="16" x14ac:dyDescent="0.2">
      <c r="A55" s="10" t="s">
        <v>73</v>
      </c>
      <c r="B55" s="83"/>
      <c r="C55" s="83"/>
      <c r="D55" s="83"/>
      <c r="E55" s="83"/>
      <c r="F55" s="84">
        <f>SUM(G48:G53)</f>
        <v>22.331250000000001</v>
      </c>
      <c r="G55" s="84"/>
      <c r="H55" s="5"/>
    </row>
    <row r="56" spans="1:8" ht="16" x14ac:dyDescent="0.2">
      <c r="A56" s="10" t="s">
        <v>74</v>
      </c>
      <c r="B56" s="83"/>
      <c r="C56" s="83"/>
      <c r="D56" s="83"/>
      <c r="E56" s="83"/>
      <c r="F56" s="84">
        <f>'Issues of the Grange'!N25</f>
        <v>22.331250000000001</v>
      </c>
      <c r="G56" s="84"/>
      <c r="H56" s="5"/>
    </row>
    <row r="57" spans="1:8" ht="16" x14ac:dyDescent="0.2">
      <c r="A57" s="8"/>
      <c r="B57" s="8"/>
      <c r="C57" s="8"/>
      <c r="D57" s="8"/>
      <c r="E57" s="8"/>
      <c r="F57" s="8"/>
      <c r="G57" s="82"/>
      <c r="H57" s="5"/>
    </row>
    <row r="58" spans="1:8" ht="16" x14ac:dyDescent="0.2">
      <c r="A58" s="9" t="s">
        <v>75</v>
      </c>
      <c r="B58" s="83" t="s">
        <v>164</v>
      </c>
      <c r="C58" s="83"/>
      <c r="D58" s="83"/>
      <c r="E58" s="83"/>
      <c r="F58" s="83"/>
      <c r="G58" s="84"/>
      <c r="H58" s="5"/>
    </row>
    <row r="59" spans="1:8" ht="16" x14ac:dyDescent="0.2">
      <c r="A59" s="3" t="s">
        <v>76</v>
      </c>
      <c r="B59" s="88" t="s">
        <v>61</v>
      </c>
      <c r="C59" s="89" t="s">
        <v>62</v>
      </c>
      <c r="D59" s="8"/>
      <c r="E59" s="8"/>
      <c r="F59" s="8"/>
      <c r="G59" s="34" t="s">
        <v>500</v>
      </c>
      <c r="H59" s="5"/>
    </row>
    <row r="60" spans="1:8" ht="16" x14ac:dyDescent="0.2">
      <c r="A60" s="8" t="s">
        <v>63</v>
      </c>
      <c r="B60" s="8"/>
      <c r="C60" s="8"/>
      <c r="D60" s="8"/>
      <c r="E60" s="8"/>
      <c r="F60" s="8"/>
      <c r="G60" s="82"/>
      <c r="H60" s="5"/>
    </row>
    <row r="61" spans="1:8" ht="16" x14ac:dyDescent="0.2">
      <c r="A61" s="8" t="s">
        <v>77</v>
      </c>
      <c r="B61" s="8"/>
      <c r="C61" s="8"/>
      <c r="D61" s="8"/>
      <c r="E61" s="8"/>
      <c r="F61" s="8"/>
      <c r="G61" s="82"/>
      <c r="H61" s="5"/>
    </row>
    <row r="62" spans="1:8" ht="16" x14ac:dyDescent="0.2">
      <c r="A62" s="8" t="s">
        <v>78</v>
      </c>
      <c r="B62" s="8"/>
      <c r="C62" s="8"/>
      <c r="D62" s="8"/>
      <c r="E62" s="8"/>
      <c r="F62" s="8"/>
      <c r="G62" s="82"/>
      <c r="H62" s="5"/>
    </row>
    <row r="63" spans="1:8" ht="16" x14ac:dyDescent="0.2">
      <c r="A63" s="8" t="s">
        <v>79</v>
      </c>
      <c r="B63" s="8"/>
      <c r="C63" s="8"/>
      <c r="D63" s="8"/>
      <c r="E63" s="8"/>
      <c r="F63" s="8"/>
      <c r="G63" s="82"/>
      <c r="H63" s="5"/>
    </row>
    <row r="64" spans="1:8" ht="16" x14ac:dyDescent="0.2">
      <c r="A64" s="8" t="s">
        <v>80</v>
      </c>
      <c r="B64" s="8"/>
      <c r="C64" s="8"/>
      <c r="D64" s="8"/>
      <c r="E64" s="8"/>
      <c r="F64" s="8"/>
      <c r="G64" s="82"/>
      <c r="H64" s="5"/>
    </row>
    <row r="65" spans="1:8" ht="16" x14ac:dyDescent="0.2">
      <c r="A65" s="10" t="s">
        <v>81</v>
      </c>
      <c r="B65" s="83"/>
      <c r="C65" s="83"/>
      <c r="D65" s="83"/>
      <c r="E65" s="83"/>
      <c r="F65" s="83"/>
      <c r="G65" s="84"/>
      <c r="H65" s="5"/>
    </row>
    <row r="66" spans="1:8" ht="16" x14ac:dyDescent="0.2">
      <c r="A66" s="10" t="s">
        <v>74</v>
      </c>
      <c r="B66" s="83"/>
      <c r="C66" s="83"/>
      <c r="D66" s="83"/>
      <c r="E66" s="83"/>
      <c r="F66" s="83"/>
      <c r="G66" s="84" t="s">
        <v>164</v>
      </c>
      <c r="H66" s="5"/>
    </row>
    <row r="67" spans="1:8" ht="16" x14ac:dyDescent="0.2">
      <c r="A67" s="8"/>
      <c r="B67" s="8"/>
      <c r="C67" s="8"/>
      <c r="D67" s="8"/>
      <c r="E67" s="8"/>
      <c r="F67" s="8"/>
      <c r="G67" s="82"/>
      <c r="H67" s="5"/>
    </row>
    <row r="68" spans="1:8" ht="16" x14ac:dyDescent="0.2">
      <c r="A68" s="9" t="s">
        <v>82</v>
      </c>
      <c r="B68" s="83"/>
      <c r="C68" s="83"/>
      <c r="D68" s="83"/>
      <c r="E68" s="83"/>
      <c r="F68" s="83"/>
      <c r="G68" s="84"/>
      <c r="H68" s="5"/>
    </row>
    <row r="69" spans="1:8" ht="34" customHeight="1" x14ac:dyDescent="0.2">
      <c r="A69" s="14" t="s">
        <v>83</v>
      </c>
      <c r="B69" s="90" t="s">
        <v>524</v>
      </c>
      <c r="C69" s="90" t="s">
        <v>525</v>
      </c>
      <c r="D69" s="91" t="s">
        <v>86</v>
      </c>
      <c r="E69" s="92"/>
      <c r="F69" s="93" t="s">
        <v>526</v>
      </c>
      <c r="G69" s="93" t="s">
        <v>527</v>
      </c>
      <c r="H69" s="5"/>
    </row>
    <row r="70" spans="1:8" ht="17" customHeight="1" x14ac:dyDescent="0.2">
      <c r="A70" s="15" t="s">
        <v>89</v>
      </c>
      <c r="B70" s="8">
        <f>IFERROR(INDEX(Stock!$A$3:$T$92,MATCH('Bishops Fonthill Overview'!$A70,Stock!$A$3:$A$92,0),MATCH('Bishops Fonthill Overview'!B$69,Stock!$A$3:$T$3,0)),0)</f>
        <v>0</v>
      </c>
      <c r="C70" s="8">
        <f>IFERROR(INDEX(Stock!$A$3:$T$92,MATCH('Bishops Fonthill Overview'!$A70,Stock!$A$3:$A$92,0),MATCH('Bishops Fonthill Overview'!C$69,Stock!$A$3:$T$3,0)),0)</f>
        <v>0</v>
      </c>
      <c r="D70" s="8">
        <f t="shared" ref="D70:D95" si="0">C70-B70</f>
        <v>0</v>
      </c>
      <c r="E70" s="82"/>
      <c r="F70" s="8" t="str">
        <f>IFERROR(INDEX(Stock!$A$3:$T$92,MATCH('Bishops Fonthill Overview'!$A70,Stock!$A$3:$A$92,0),MATCH('Bishops Fonthill Overview'!F$69,Stock!$A$3:$T$3,0)),0)</f>
        <v/>
      </c>
      <c r="G70" s="8" t="str">
        <f>IFERROR(INDEX(Stock!$A$3:$T$92,MATCH('Bishops Fonthill Overview'!$A70,Stock!$A$3:$A$92,0),MATCH('Bishops Fonthill Overview'!G$69,Stock!$A$3:$T$3,0)),0)</f>
        <v/>
      </c>
      <c r="H70" s="5"/>
    </row>
    <row r="71" spans="1:8" ht="17" customHeight="1" x14ac:dyDescent="0.2">
      <c r="A71" s="15" t="s">
        <v>90</v>
      </c>
      <c r="B71" s="8">
        <f>IFERROR(INDEX(Stock!$A$3:$T$92,MATCH('Bishops Fonthill Overview'!$A71,Stock!$A$3:$A$92,0),MATCH('Bishops Fonthill Overview'!B$69,Stock!$A$3:$T$3,0)),0)</f>
        <v>0</v>
      </c>
      <c r="C71" s="8">
        <f>IFERROR(INDEX(Stock!$A$3:$T$92,MATCH('Bishops Fonthill Overview'!$A71,Stock!$A$3:$A$92,0),MATCH('Bishops Fonthill Overview'!C$69,Stock!$A$3:$T$3,0)),0)</f>
        <v>0</v>
      </c>
      <c r="D71" s="8">
        <f t="shared" si="0"/>
        <v>0</v>
      </c>
      <c r="E71" s="82"/>
      <c r="F71" s="8" t="str">
        <f>IFERROR(INDEX(Stock!$A$3:$T$92,MATCH('Bishops Fonthill Overview'!$A71,Stock!$A$3:$A$92,0),MATCH('Bishops Fonthill Overview'!F$69,Stock!$A$3:$T$3,0)),0)</f>
        <v/>
      </c>
      <c r="G71" s="8" t="str">
        <f>IFERROR(INDEX(Stock!$A$3:$T$92,MATCH('Bishops Fonthill Overview'!$A71,Stock!$A$3:$A$92,0),MATCH('Bishops Fonthill Overview'!G$69,Stock!$A$3:$T$3,0)),0)</f>
        <v/>
      </c>
      <c r="H71" s="5"/>
    </row>
    <row r="72" spans="1:8" ht="16" x14ac:dyDescent="0.2">
      <c r="A72" s="8" t="s">
        <v>91</v>
      </c>
      <c r="B72" s="8">
        <f>IFERROR(INDEX(Stock!$A$3:$T$92,MATCH('Bishops Fonthill Overview'!$A72,Stock!$A$3:$A$92,0),MATCH('Bishops Fonthill Overview'!B$69,Stock!$A$3:$T$3,0)),0)</f>
        <v>2</v>
      </c>
      <c r="C72" s="8">
        <f>IFERROR(INDEX(Stock!$A$3:$T$92,MATCH('Bishops Fonthill Overview'!$A72,Stock!$A$3:$A$92,0),MATCH('Bishops Fonthill Overview'!C$69,Stock!$A$3:$T$3,0)),0)</f>
        <v>2</v>
      </c>
      <c r="D72" s="8">
        <f t="shared" si="0"/>
        <v>0</v>
      </c>
      <c r="E72" s="82"/>
      <c r="F72" s="8" t="str">
        <f>IFERROR(INDEX(Stock!$A$3:$T$92,MATCH('Bishops Fonthill Overview'!$A72,Stock!$A$3:$A$92,0),MATCH('Bishops Fonthill Overview'!F$69,Stock!$A$3:$T$3,0)),0)</f>
        <v/>
      </c>
      <c r="G72" s="8" t="str">
        <f>IFERROR(INDEX(Stock!$A$3:$T$92,MATCH('Bishops Fonthill Overview'!$A72,Stock!$A$3:$A$92,0),MATCH('Bishops Fonthill Overview'!G$69,Stock!$A$3:$T$3,0)),0)</f>
        <v/>
      </c>
      <c r="H72" s="5"/>
    </row>
    <row r="73" spans="1:8" ht="16" x14ac:dyDescent="0.2">
      <c r="A73" s="8" t="s">
        <v>92</v>
      </c>
      <c r="B73" s="8">
        <f>IFERROR(INDEX(Stock!$A$3:$T$92,MATCH('Bishops Fonthill Overview'!$A73,Stock!$A$3:$A$92,0),MATCH('Bishops Fonthill Overview'!B$69,Stock!$A$3:$T$3,0)),0)</f>
        <v>0</v>
      </c>
      <c r="C73" s="8">
        <f>IFERROR(INDEX(Stock!$A$3:$T$92,MATCH('Bishops Fonthill Overview'!$A73,Stock!$A$3:$A$92,0),MATCH('Bishops Fonthill Overview'!C$69,Stock!$A$3:$T$3,0)),0)</f>
        <v>0</v>
      </c>
      <c r="D73" s="8">
        <f t="shared" si="0"/>
        <v>0</v>
      </c>
      <c r="E73" s="82"/>
      <c r="F73" s="8" t="str">
        <f>IFERROR(INDEX(Stock!$A$3:$T$92,MATCH('Bishops Fonthill Overview'!$A73,Stock!$A$3:$A$92,0),MATCH('Bishops Fonthill Overview'!F$69,Stock!$A$3:$T$3,0)),0)</f>
        <v/>
      </c>
      <c r="G73" s="8" t="str">
        <f>IFERROR(INDEX(Stock!$A$3:$T$92,MATCH('Bishops Fonthill Overview'!$A73,Stock!$A$3:$A$92,0),MATCH('Bishops Fonthill Overview'!G$69,Stock!$A$3:$T$3,0)),0)</f>
        <v/>
      </c>
      <c r="H73" s="5"/>
    </row>
    <row r="74" spans="1:8" ht="16" x14ac:dyDescent="0.2">
      <c r="A74" s="8" t="s">
        <v>92</v>
      </c>
      <c r="B74" s="8">
        <f>IFERROR(INDEX(Stock!$A$3:$T$92,MATCH('Bishops Fonthill Overview'!$A74,Stock!$A$3:$A$92,0),MATCH('Bishops Fonthill Overview'!B$69,Stock!$A$3:$T$3,0)),0)</f>
        <v>0</v>
      </c>
      <c r="C74" s="8">
        <f>IFERROR(INDEX(Stock!$A$3:$T$92,MATCH('Bishops Fonthill Overview'!$A74,Stock!$A$3:$A$92,0),MATCH('Bishops Fonthill Overview'!C$69,Stock!$A$3:$T$3,0)),0)</f>
        <v>0</v>
      </c>
      <c r="D74" s="8">
        <f t="shared" si="0"/>
        <v>0</v>
      </c>
      <c r="E74" s="82"/>
      <c r="F74" s="8" t="str">
        <f>IFERROR(INDEX(Stock!$A$3:$T$92,MATCH('Bishops Fonthill Overview'!$A74,Stock!$A$3:$A$92,0),MATCH('Bishops Fonthill Overview'!F$69,Stock!$A$3:$T$3,0)),0)</f>
        <v/>
      </c>
      <c r="G74" s="8" t="str">
        <f>IFERROR(INDEX(Stock!$A$3:$T$92,MATCH('Bishops Fonthill Overview'!$A74,Stock!$A$3:$A$92,0),MATCH('Bishops Fonthill Overview'!G$69,Stock!$A$3:$T$3,0)),0)</f>
        <v/>
      </c>
      <c r="H74" s="5"/>
    </row>
    <row r="75" spans="1:8" ht="16" x14ac:dyDescent="0.2">
      <c r="A75" s="8" t="s">
        <v>93</v>
      </c>
      <c r="B75" s="8">
        <f>IFERROR(INDEX(Stock!$A$3:$T$92,MATCH('Bishops Fonthill Overview'!$A75,Stock!$A$3:$A$92,0),MATCH('Bishops Fonthill Overview'!B$69,Stock!$A$3:$T$3,0)),0)</f>
        <v>0</v>
      </c>
      <c r="C75" s="8">
        <f>IFERROR(INDEX(Stock!$A$3:$T$92,MATCH('Bishops Fonthill Overview'!$A75,Stock!$A$3:$A$92,0),MATCH('Bishops Fonthill Overview'!C$69,Stock!$A$3:$T$3,0)),0)</f>
        <v>0</v>
      </c>
      <c r="D75" s="8">
        <f t="shared" si="0"/>
        <v>0</v>
      </c>
      <c r="E75" s="82"/>
      <c r="F75" s="8" t="str">
        <f>IFERROR(INDEX(Stock!$A$3:$T$92,MATCH('Bishops Fonthill Overview'!$A75,Stock!$A$3:$A$92,0),MATCH('Bishops Fonthill Overview'!F$69,Stock!$A$3:$T$3,0)),0)</f>
        <v/>
      </c>
      <c r="G75" s="8" t="str">
        <f>IFERROR(INDEX(Stock!$A$3:$T$92,MATCH('Bishops Fonthill Overview'!$A75,Stock!$A$3:$A$92,0),MATCH('Bishops Fonthill Overview'!G$69,Stock!$A$3:$T$3,0)),0)</f>
        <v/>
      </c>
      <c r="H75" s="5"/>
    </row>
    <row r="76" spans="1:8" ht="16" x14ac:dyDescent="0.2">
      <c r="A76" s="8" t="s">
        <v>94</v>
      </c>
      <c r="B76" s="8">
        <f>IFERROR(INDEX(Stock!$A$3:$T$92,MATCH('Bishops Fonthill Overview'!$A76,Stock!$A$3:$A$92,0),MATCH('Bishops Fonthill Overview'!B$69,Stock!$A$3:$T$3,0)),0)</f>
        <v>0</v>
      </c>
      <c r="C76" s="8">
        <f>IFERROR(INDEX(Stock!$A$3:$T$92,MATCH('Bishops Fonthill Overview'!$A76,Stock!$A$3:$A$92,0),MATCH('Bishops Fonthill Overview'!C$69,Stock!$A$3:$T$3,0)),0)</f>
        <v>0</v>
      </c>
      <c r="D76" s="8">
        <f t="shared" si="0"/>
        <v>0</v>
      </c>
      <c r="E76" s="82"/>
      <c r="F76" s="8" t="str">
        <f>IFERROR(INDEX(Stock!$A$3:$T$92,MATCH('Bishops Fonthill Overview'!$A76,Stock!$A$3:$A$92,0),MATCH('Bishops Fonthill Overview'!F$69,Stock!$A$3:$T$3,0)),0)</f>
        <v/>
      </c>
      <c r="G76" s="8" t="str">
        <f>IFERROR(INDEX(Stock!$A$3:$T$92,MATCH('Bishops Fonthill Overview'!$A76,Stock!$A$3:$A$92,0),MATCH('Bishops Fonthill Overview'!G$69,Stock!$A$3:$T$3,0)),0)</f>
        <v/>
      </c>
      <c r="H76" s="5"/>
    </row>
    <row r="77" spans="1:8" ht="16" x14ac:dyDescent="0.2">
      <c r="A77" s="8" t="s">
        <v>95</v>
      </c>
      <c r="B77" s="8">
        <f>IFERROR(INDEX(Stock!$A$3:$T$92,MATCH('Bishops Fonthill Overview'!$A77,Stock!$A$3:$A$92,0),MATCH('Bishops Fonthill Overview'!B$69,Stock!$A$3:$T$3,0)),0)</f>
        <v>24</v>
      </c>
      <c r="C77" s="8">
        <f>IFERROR(INDEX(Stock!$A$3:$T$92,MATCH('Bishops Fonthill Overview'!$A77,Stock!$A$3:$A$92,0),MATCH('Bishops Fonthill Overview'!C$69,Stock!$A$3:$T$3,0)),0)</f>
        <v>0</v>
      </c>
      <c r="D77" s="8">
        <f t="shared" si="0"/>
        <v>-24</v>
      </c>
      <c r="E77" s="82"/>
      <c r="F77" s="8">
        <f>IFERROR(INDEX(Stock!$A$3:$T$92,MATCH('Bishops Fonthill Overview'!$A77,Stock!$A$3:$A$92,0),MATCH('Bishops Fonthill Overview'!F$69,Stock!$A$3:$T$3,0)),0)</f>
        <v>0.8</v>
      </c>
      <c r="G77" s="8">
        <f>IFERROR(INDEX(Stock!$A$3:$T$92,MATCH('Bishops Fonthill Overview'!$A77,Stock!$A$3:$A$92,0),MATCH('Bishops Fonthill Overview'!G$69,Stock!$A$3:$T$3,0)),0)</f>
        <v>2.4000000000000004</v>
      </c>
      <c r="H77" s="5"/>
    </row>
    <row r="78" spans="1:8" ht="16" x14ac:dyDescent="0.2">
      <c r="A78" s="8" t="s">
        <v>96</v>
      </c>
      <c r="B78" s="8">
        <f>IFERROR(INDEX(Stock!$A$3:$T$92,MATCH('Bishops Fonthill Overview'!$A78,Stock!$A$3:$A$92,0),MATCH('Bishops Fonthill Overview'!B$69,Stock!$A$3:$T$3,0)),0)</f>
        <v>0</v>
      </c>
      <c r="C78" s="8">
        <f>IFERROR(INDEX(Stock!$A$3:$T$92,MATCH('Bishops Fonthill Overview'!$A78,Stock!$A$3:$A$92,0),MATCH('Bishops Fonthill Overview'!C$69,Stock!$A$3:$T$3,0)),0)</f>
        <v>0</v>
      </c>
      <c r="D78" s="8">
        <f t="shared" si="0"/>
        <v>0</v>
      </c>
      <c r="E78" s="82"/>
      <c r="F78" s="8" t="str">
        <f>IFERROR(INDEX(Stock!$A$3:$T$92,MATCH('Bishops Fonthill Overview'!$A78,Stock!$A$3:$A$92,0),MATCH('Bishops Fonthill Overview'!F$69,Stock!$A$3:$T$3,0)),0)</f>
        <v/>
      </c>
      <c r="G78" s="8" t="str">
        <f>IFERROR(INDEX(Stock!$A$3:$T$92,MATCH('Bishops Fonthill Overview'!$A78,Stock!$A$3:$A$92,0),MATCH('Bishops Fonthill Overview'!G$69,Stock!$A$3:$T$3,0)),0)</f>
        <v/>
      </c>
      <c r="H78" s="5"/>
    </row>
    <row r="79" spans="1:8" ht="16" x14ac:dyDescent="0.2">
      <c r="A79" s="8" t="s">
        <v>97</v>
      </c>
      <c r="B79" s="8">
        <f>IFERROR(INDEX(Stock!$A$3:$T$92,MATCH('Bishops Fonthill Overview'!$A79,Stock!$A$3:$A$92,0),MATCH('Bishops Fonthill Overview'!B$69,Stock!$A$3:$T$3,0)),0)</f>
        <v>0</v>
      </c>
      <c r="C79" s="8">
        <f>IFERROR(INDEX(Stock!$A$3:$T$92,MATCH('Bishops Fonthill Overview'!$A79,Stock!$A$3:$A$92,0),MATCH('Bishops Fonthill Overview'!C$69,Stock!$A$3:$T$3,0)),0)</f>
        <v>0</v>
      </c>
      <c r="D79" s="8">
        <f t="shared" si="0"/>
        <v>0</v>
      </c>
      <c r="E79" s="82"/>
      <c r="F79" s="8" t="str">
        <f>IFERROR(INDEX(Stock!$A$3:$T$92,MATCH('Bishops Fonthill Overview'!$A79,Stock!$A$3:$A$92,0),MATCH('Bishops Fonthill Overview'!F$69,Stock!$A$3:$T$3,0)),0)</f>
        <v/>
      </c>
      <c r="G79" s="8" t="str">
        <f>IFERROR(INDEX(Stock!$A$3:$T$92,MATCH('Bishops Fonthill Overview'!$A79,Stock!$A$3:$A$92,0),MATCH('Bishops Fonthill Overview'!G$69,Stock!$A$3:$T$3,0)),0)</f>
        <v/>
      </c>
      <c r="H79" s="5"/>
    </row>
    <row r="80" spans="1:8" ht="16" x14ac:dyDescent="0.2">
      <c r="A80" s="8" t="s">
        <v>98</v>
      </c>
      <c r="B80" s="8">
        <f>IFERROR(INDEX(Stock!$A$3:$T$92,MATCH('Bishops Fonthill Overview'!$A80,Stock!$A$3:$A$92,0),MATCH('Bishops Fonthill Overview'!B$69,Stock!$A$3:$T$3,0)),0)</f>
        <v>0</v>
      </c>
      <c r="C80" s="8">
        <f>IFERROR(INDEX(Stock!$A$3:$T$92,MATCH('Bishops Fonthill Overview'!$A80,Stock!$A$3:$A$92,0),MATCH('Bishops Fonthill Overview'!C$69,Stock!$A$3:$T$3,0)),0)</f>
        <v>0</v>
      </c>
      <c r="D80" s="8">
        <f t="shared" si="0"/>
        <v>0</v>
      </c>
      <c r="E80" s="82"/>
      <c r="F80" s="8" t="str">
        <f>IFERROR(INDEX(Stock!$A$3:$T$92,MATCH('Bishops Fonthill Overview'!$A80,Stock!$A$3:$A$92,0),MATCH('Bishops Fonthill Overview'!F$69,Stock!$A$3:$T$3,0)),0)</f>
        <v/>
      </c>
      <c r="G80" s="8" t="str">
        <f>IFERROR(INDEX(Stock!$A$3:$T$92,MATCH('Bishops Fonthill Overview'!$A80,Stock!$A$3:$A$92,0),MATCH('Bishops Fonthill Overview'!G$69,Stock!$A$3:$T$3,0)),0)</f>
        <v/>
      </c>
      <c r="H80" s="5"/>
    </row>
    <row r="81" spans="1:8" ht="16" x14ac:dyDescent="0.2">
      <c r="A81" s="8" t="s">
        <v>99</v>
      </c>
      <c r="B81" s="8">
        <f>IFERROR(INDEX(Stock!$A$3:$T$92,MATCH('Bishops Fonthill Overview'!$A81,Stock!$A$3:$A$92,0),MATCH('Bishops Fonthill Overview'!B$69,Stock!$A$3:$T$3,0)),0)</f>
        <v>0</v>
      </c>
      <c r="C81" s="8">
        <f>IFERROR(INDEX(Stock!$A$3:$T$92,MATCH('Bishops Fonthill Overview'!$A81,Stock!$A$3:$A$92,0),MATCH('Bishops Fonthill Overview'!C$69,Stock!$A$3:$T$3,0)),0)</f>
        <v>0</v>
      </c>
      <c r="D81" s="8">
        <f t="shared" si="0"/>
        <v>0</v>
      </c>
      <c r="E81" s="82"/>
      <c r="F81" s="8" t="str">
        <f>IFERROR(INDEX(Stock!$A$3:$T$92,MATCH('Bishops Fonthill Overview'!$A81,Stock!$A$3:$A$92,0),MATCH('Bishops Fonthill Overview'!F$69,Stock!$A$3:$T$3,0)),0)</f>
        <v/>
      </c>
      <c r="G81" s="8" t="str">
        <f>IFERROR(INDEX(Stock!$A$3:$T$92,MATCH('Bishops Fonthill Overview'!$A81,Stock!$A$3:$A$92,0),MATCH('Bishops Fonthill Overview'!G$69,Stock!$A$3:$T$3,0)),0)</f>
        <v/>
      </c>
      <c r="H81" s="5"/>
    </row>
    <row r="82" spans="1:8" ht="16" x14ac:dyDescent="0.2">
      <c r="A82" s="8" t="s">
        <v>100</v>
      </c>
      <c r="B82" s="8">
        <f>IFERROR(INDEX(Stock!$A$3:$T$92,MATCH('Bishops Fonthill Overview'!$A82,Stock!$A$3:$A$92,0),MATCH('Bishops Fonthill Overview'!B$69,Stock!$A$3:$T$3,0)),0)</f>
        <v>0</v>
      </c>
      <c r="C82" s="8">
        <f>IFERROR(INDEX(Stock!$A$3:$T$92,MATCH('Bishops Fonthill Overview'!$A82,Stock!$A$3:$A$92,0),MATCH('Bishops Fonthill Overview'!C$69,Stock!$A$3:$T$3,0)),0)</f>
        <v>0</v>
      </c>
      <c r="D82" s="8">
        <f t="shared" si="0"/>
        <v>0</v>
      </c>
      <c r="E82" s="82"/>
      <c r="F82" s="8" t="str">
        <f>IFERROR(INDEX(Stock!$A$3:$T$92,MATCH('Bishops Fonthill Overview'!$A82,Stock!$A$3:$A$92,0),MATCH('Bishops Fonthill Overview'!F$69,Stock!$A$3:$T$3,0)),0)</f>
        <v/>
      </c>
      <c r="G82" s="8" t="str">
        <f>IFERROR(INDEX(Stock!$A$3:$T$92,MATCH('Bishops Fonthill Overview'!$A82,Stock!$A$3:$A$92,0),MATCH('Bishops Fonthill Overview'!G$69,Stock!$A$3:$T$3,0)),0)</f>
        <v/>
      </c>
      <c r="H82" s="5"/>
    </row>
    <row r="83" spans="1:8" ht="16" x14ac:dyDescent="0.2">
      <c r="A83" s="8" t="s">
        <v>101</v>
      </c>
      <c r="B83" s="8">
        <f>IFERROR(INDEX(Stock!$A$3:$T$92,MATCH('Bishops Fonthill Overview'!$A83,Stock!$A$3:$A$92,0),MATCH('Bishops Fonthill Overview'!B$69,Stock!$A$3:$T$3,0)),0)</f>
        <v>0</v>
      </c>
      <c r="C83" s="8">
        <f>IFERROR(INDEX(Stock!$A$3:$T$92,MATCH('Bishops Fonthill Overview'!$A83,Stock!$A$3:$A$92,0),MATCH('Bishops Fonthill Overview'!C$69,Stock!$A$3:$T$3,0)),0)</f>
        <v>0</v>
      </c>
      <c r="D83" s="8">
        <f t="shared" si="0"/>
        <v>0</v>
      </c>
      <c r="E83" s="82"/>
      <c r="F83" s="8" t="str">
        <f>IFERROR(INDEX(Stock!$A$3:$T$92,MATCH('Bishops Fonthill Overview'!$A83,Stock!$A$3:$A$92,0),MATCH('Bishops Fonthill Overview'!F$69,Stock!$A$3:$T$3,0)),0)</f>
        <v/>
      </c>
      <c r="G83" s="8" t="str">
        <f>IFERROR(INDEX(Stock!$A$3:$T$92,MATCH('Bishops Fonthill Overview'!$A83,Stock!$A$3:$A$92,0),MATCH('Bishops Fonthill Overview'!G$69,Stock!$A$3:$T$3,0)),0)</f>
        <v/>
      </c>
      <c r="H83" s="5"/>
    </row>
    <row r="84" spans="1:8" ht="16" x14ac:dyDescent="0.2">
      <c r="A84" s="8" t="s">
        <v>102</v>
      </c>
      <c r="B84" s="8">
        <f>IFERROR(INDEX(Stock!$A$3:$T$92,MATCH('Bishops Fonthill Overview'!$A84,Stock!$A$3:$A$92,0),MATCH('Bishops Fonthill Overview'!B$69,Stock!$A$3:$T$3,0)),0)</f>
        <v>323</v>
      </c>
      <c r="C84" s="8">
        <f>IFERROR(INDEX(Stock!$A$3:$T$92,MATCH('Bishops Fonthill Overview'!$A84,Stock!$A$3:$A$92,0),MATCH('Bishops Fonthill Overview'!C$69,Stock!$A$3:$T$3,0)),0)</f>
        <v>285</v>
      </c>
      <c r="D84" s="8">
        <f t="shared" si="0"/>
        <v>-38</v>
      </c>
      <c r="E84" s="82"/>
      <c r="F84" s="8">
        <f>IFERROR(INDEX(Stock!$A$3:$T$92,MATCH('Bishops Fonthill Overview'!$A84,Stock!$A$3:$A$92,0),MATCH('Bishops Fonthill Overview'!F$69,Stock!$A$3:$T$3,0)),0)</f>
        <v>2.9750000000000001</v>
      </c>
      <c r="G84" s="8">
        <f>IFERROR(INDEX(Stock!$A$3:$T$92,MATCH('Bishops Fonthill Overview'!$A84,Stock!$A$3:$A$92,0),MATCH('Bishops Fonthill Overview'!G$69,Stock!$A$3:$T$3,0)),0)</f>
        <v>1.9833333333333334</v>
      </c>
      <c r="H84" s="5"/>
    </row>
    <row r="85" spans="1:8" ht="16" x14ac:dyDescent="0.2">
      <c r="A85" s="8" t="s">
        <v>103</v>
      </c>
      <c r="B85" s="8">
        <f>IFERROR(INDEX(Stock!$A$3:$T$92,MATCH('Bishops Fonthill Overview'!$A85,Stock!$A$3:$A$92,0),MATCH('Bishops Fonthill Overview'!B$69,Stock!$A$3:$T$3,0)),0)</f>
        <v>0</v>
      </c>
      <c r="C85" s="8">
        <f>IFERROR(INDEX(Stock!$A$3:$T$92,MATCH('Bishops Fonthill Overview'!$A85,Stock!$A$3:$A$92,0),MATCH('Bishops Fonthill Overview'!C$69,Stock!$A$3:$T$3,0)),0)</f>
        <v>0</v>
      </c>
      <c r="D85" s="8">
        <f t="shared" si="0"/>
        <v>0</v>
      </c>
      <c r="E85" s="82"/>
      <c r="F85" s="8" t="str">
        <f>IFERROR(INDEX(Stock!$A$3:$T$92,MATCH('Bishops Fonthill Overview'!$A85,Stock!$A$3:$A$92,0),MATCH('Bishops Fonthill Overview'!F$69,Stock!$A$3:$T$3,0)),0)</f>
        <v/>
      </c>
      <c r="G85" s="8" t="str">
        <f>IFERROR(INDEX(Stock!$A$3:$T$92,MATCH('Bishops Fonthill Overview'!$A85,Stock!$A$3:$A$92,0),MATCH('Bishops Fonthill Overview'!G$69,Stock!$A$3:$T$3,0)),0)</f>
        <v/>
      </c>
      <c r="H85" s="5"/>
    </row>
    <row r="86" spans="1:8" ht="16" x14ac:dyDescent="0.2">
      <c r="A86" s="8" t="s">
        <v>104</v>
      </c>
      <c r="B86" s="8">
        <f>IFERROR(INDEX(Stock!$A$3:$T$92,MATCH('Bishops Fonthill Overview'!$A86,Stock!$A$3:$A$92,0),MATCH('Bishops Fonthill Overview'!B$69,Stock!$A$3:$T$3,0)),0)</f>
        <v>0</v>
      </c>
      <c r="C86" s="8">
        <f>IFERROR(INDEX(Stock!$A$3:$T$92,MATCH('Bishops Fonthill Overview'!$A86,Stock!$A$3:$A$92,0),MATCH('Bishops Fonthill Overview'!C$69,Stock!$A$3:$T$3,0)),0)</f>
        <v>0</v>
      </c>
      <c r="D86" s="8">
        <f t="shared" si="0"/>
        <v>0</v>
      </c>
      <c r="E86" s="82"/>
      <c r="F86" s="8" t="str">
        <f>IFERROR(INDEX(Stock!$A$3:$T$92,MATCH('Bishops Fonthill Overview'!$A86,Stock!$A$3:$A$92,0),MATCH('Bishops Fonthill Overview'!F$69,Stock!$A$3:$T$3,0)),0)</f>
        <v/>
      </c>
      <c r="G86" s="8" t="str">
        <f>IFERROR(INDEX(Stock!$A$3:$T$92,MATCH('Bishops Fonthill Overview'!$A86,Stock!$A$3:$A$92,0),MATCH('Bishops Fonthill Overview'!G$69,Stock!$A$3:$T$3,0)),0)</f>
        <v/>
      </c>
      <c r="H86" s="5"/>
    </row>
    <row r="87" spans="1:8" ht="16" x14ac:dyDescent="0.2">
      <c r="A87" s="8" t="s">
        <v>105</v>
      </c>
      <c r="B87" s="8">
        <f>IFERROR(INDEX(Stock!$A$3:$T$92,MATCH('Bishops Fonthill Overview'!$A87,Stock!$A$3:$A$92,0),MATCH('Bishops Fonthill Overview'!B$69,Stock!$A$3:$T$3,0)),0)</f>
        <v>0</v>
      </c>
      <c r="C87" s="8">
        <f>IFERROR(INDEX(Stock!$A$3:$T$92,MATCH('Bishops Fonthill Overview'!$A87,Stock!$A$3:$A$92,0),MATCH('Bishops Fonthill Overview'!C$69,Stock!$A$3:$T$3,0)),0)</f>
        <v>0</v>
      </c>
      <c r="D87" s="8">
        <f t="shared" si="0"/>
        <v>0</v>
      </c>
      <c r="E87" s="82"/>
      <c r="F87" s="8" t="str">
        <f>IFERROR(INDEX(Stock!$A$3:$T$92,MATCH('Bishops Fonthill Overview'!$A87,Stock!$A$3:$A$92,0),MATCH('Bishops Fonthill Overview'!F$69,Stock!$A$3:$T$3,0)),0)</f>
        <v/>
      </c>
      <c r="G87" s="8" t="str">
        <f>IFERROR(INDEX(Stock!$A$3:$T$92,MATCH('Bishops Fonthill Overview'!$A87,Stock!$A$3:$A$92,0),MATCH('Bishops Fonthill Overview'!G$69,Stock!$A$3:$T$3,0)),0)</f>
        <v/>
      </c>
      <c r="H87" s="5"/>
    </row>
    <row r="88" spans="1:8" ht="16" x14ac:dyDescent="0.2">
      <c r="A88" s="8" t="s">
        <v>106</v>
      </c>
      <c r="B88" s="8">
        <f>IFERROR(INDEX(Stock!$A$3:$T$92,MATCH('Bishops Fonthill Overview'!$A88,Stock!$A$3:$A$92,0),MATCH('Bishops Fonthill Overview'!B$69,Stock!$A$3:$T$3,0)),0)</f>
        <v>0</v>
      </c>
      <c r="C88" s="8">
        <f>IFERROR(INDEX(Stock!$A$3:$T$92,MATCH('Bishops Fonthill Overview'!$A88,Stock!$A$3:$A$92,0),MATCH('Bishops Fonthill Overview'!C$69,Stock!$A$3:$T$3,0)),0)</f>
        <v>10</v>
      </c>
      <c r="D88" s="8">
        <f t="shared" si="0"/>
        <v>10</v>
      </c>
      <c r="E88" s="82"/>
      <c r="F88" s="8" t="str">
        <f>IFERROR(INDEX(Stock!$A$3:$T$92,MATCH('Bishops Fonthill Overview'!$A88,Stock!$A$3:$A$92,0),MATCH('Bishops Fonthill Overview'!F$69,Stock!$A$3:$T$3,0)),0)</f>
        <v/>
      </c>
      <c r="G88" s="8" t="str">
        <f>IFERROR(INDEX(Stock!$A$3:$T$92,MATCH('Bishops Fonthill Overview'!$A88,Stock!$A$3:$A$92,0),MATCH('Bishops Fonthill Overview'!G$69,Stock!$A$3:$T$3,0)),0)</f>
        <v/>
      </c>
      <c r="H88" s="5"/>
    </row>
    <row r="89" spans="1:8" ht="16" x14ac:dyDescent="0.2">
      <c r="A89" s="8" t="s">
        <v>107</v>
      </c>
      <c r="B89" s="8">
        <f>IFERROR(INDEX(Stock!$A$3:$T$92,MATCH('Bishops Fonthill Overview'!$A89,Stock!$A$3:$A$92,0),MATCH('Bishops Fonthill Overview'!B$69,Stock!$A$3:$T$3,0)),0)</f>
        <v>0</v>
      </c>
      <c r="C89" s="8">
        <f>IFERROR(INDEX(Stock!$A$3:$T$92,MATCH('Bishops Fonthill Overview'!$A89,Stock!$A$3:$A$92,0),MATCH('Bishops Fonthill Overview'!C$69,Stock!$A$3:$T$3,0)),0)</f>
        <v>0</v>
      </c>
      <c r="D89" s="8">
        <f t="shared" si="0"/>
        <v>0</v>
      </c>
      <c r="E89" s="82"/>
      <c r="F89" s="8" t="str">
        <f>IFERROR(INDEX(Stock!$A$3:$T$92,MATCH('Bishops Fonthill Overview'!$A89,Stock!$A$3:$A$92,0),MATCH('Bishops Fonthill Overview'!F$69,Stock!$A$3:$T$3,0)),0)</f>
        <v/>
      </c>
      <c r="G89" s="8" t="str">
        <f>IFERROR(INDEX(Stock!$A$3:$T$92,MATCH('Bishops Fonthill Overview'!$A89,Stock!$A$3:$A$92,0),MATCH('Bishops Fonthill Overview'!G$69,Stock!$A$3:$T$3,0)),0)</f>
        <v/>
      </c>
      <c r="H89" s="5"/>
    </row>
    <row r="90" spans="1:8" ht="16" x14ac:dyDescent="0.2">
      <c r="A90" s="8" t="s">
        <v>108</v>
      </c>
      <c r="B90" s="8">
        <f>IFERROR(INDEX(Stock!$A$3:$T$92,MATCH('Bishops Fonthill Overview'!$A90,Stock!$A$3:$A$92,0),MATCH('Bishops Fonthill Overview'!B$69,Stock!$A$3:$T$3,0)),0)</f>
        <v>0</v>
      </c>
      <c r="C90" s="8">
        <f>IFERROR(INDEX(Stock!$A$3:$T$92,MATCH('Bishops Fonthill Overview'!$A90,Stock!$A$3:$A$92,0),MATCH('Bishops Fonthill Overview'!C$69,Stock!$A$3:$T$3,0)),0)</f>
        <v>0</v>
      </c>
      <c r="D90" s="8">
        <f t="shared" si="0"/>
        <v>0</v>
      </c>
      <c r="E90" s="82"/>
      <c r="F90" s="8" t="str">
        <f>IFERROR(INDEX(Stock!$A$3:$T$92,MATCH('Bishops Fonthill Overview'!$A90,Stock!$A$3:$A$92,0),MATCH('Bishops Fonthill Overview'!F$69,Stock!$A$3:$T$3,0)),0)</f>
        <v/>
      </c>
      <c r="G90" s="8" t="str">
        <f>IFERROR(INDEX(Stock!$A$3:$T$92,MATCH('Bishops Fonthill Overview'!$A90,Stock!$A$3:$A$92,0),MATCH('Bishops Fonthill Overview'!G$69,Stock!$A$3:$T$3,0)),0)</f>
        <v/>
      </c>
      <c r="H90" s="5"/>
    </row>
    <row r="91" spans="1:8" ht="16" x14ac:dyDescent="0.2">
      <c r="A91" s="8" t="s">
        <v>109</v>
      </c>
      <c r="B91" s="8">
        <f>IFERROR(INDEX(Stock!$A$3:$T$92,MATCH('Bishops Fonthill Overview'!$A91,Stock!$A$3:$A$92,0),MATCH('Bishops Fonthill Overview'!B$69,Stock!$A$3:$T$3,0)),0)</f>
        <v>40</v>
      </c>
      <c r="C91" s="8">
        <f>IFERROR(INDEX(Stock!$A$3:$T$92,MATCH('Bishops Fonthill Overview'!$A91,Stock!$A$3:$A$92,0),MATCH('Bishops Fonthill Overview'!C$69,Stock!$A$3:$T$3,0)),0)</f>
        <v>26</v>
      </c>
      <c r="D91" s="8">
        <f t="shared" si="0"/>
        <v>-14</v>
      </c>
      <c r="E91" s="82"/>
      <c r="F91" s="8">
        <f>IFERROR(INDEX(Stock!$A$3:$T$92,MATCH('Bishops Fonthill Overview'!$A91,Stock!$A$3:$A$92,0),MATCH('Bishops Fonthill Overview'!F$69,Stock!$A$3:$T$3,0)),0)</f>
        <v>3.4617424242424244</v>
      </c>
      <c r="G91" s="8">
        <f>IFERROR(INDEX(Stock!$A$3:$T$92,MATCH('Bishops Fonthill Overview'!$A91,Stock!$A$3:$A$92,0),MATCH('Bishops Fonthill Overview'!G$69,Stock!$A$3:$T$3,0)),0)</f>
        <v>3.1954545454545453</v>
      </c>
      <c r="H91" s="5"/>
    </row>
    <row r="92" spans="1:8" ht="16" x14ac:dyDescent="0.2">
      <c r="A92" s="8" t="s">
        <v>110</v>
      </c>
      <c r="B92" s="8">
        <f>IFERROR(INDEX(Stock!$A$3:$T$92,MATCH('Bishops Fonthill Overview'!$A92,Stock!$A$3:$A$92,0),MATCH('Bishops Fonthill Overview'!B$69,Stock!$A$3:$T$3,0)),0)</f>
        <v>28</v>
      </c>
      <c r="C92" s="8">
        <f>IFERROR(INDEX(Stock!$A$3:$T$92,MATCH('Bishops Fonthill Overview'!$A92,Stock!$A$3:$A$92,0),MATCH('Bishops Fonthill Overview'!C$69,Stock!$A$3:$T$3,0)),0)</f>
        <v>0</v>
      </c>
      <c r="D92" s="8">
        <f t="shared" si="0"/>
        <v>-28</v>
      </c>
      <c r="E92" s="82"/>
      <c r="F92" s="8" t="str">
        <f>IFERROR(INDEX(Stock!$A$3:$T$92,MATCH('Bishops Fonthill Overview'!$A92,Stock!$A$3:$A$92,0),MATCH('Bishops Fonthill Overview'!F$69,Stock!$A$3:$T$3,0)),0)</f>
        <v/>
      </c>
      <c r="G92" s="8" t="str">
        <f>IFERROR(INDEX(Stock!$A$3:$T$92,MATCH('Bishops Fonthill Overview'!$A92,Stock!$A$3:$A$92,0),MATCH('Bishops Fonthill Overview'!G$69,Stock!$A$3:$T$3,0)),0)</f>
        <v/>
      </c>
      <c r="H92" s="5"/>
    </row>
    <row r="93" spans="1:8" ht="16" x14ac:dyDescent="0.2">
      <c r="A93" s="8" t="s">
        <v>111</v>
      </c>
      <c r="B93" s="8">
        <f>IFERROR(INDEX(Stock!$A$3:$T$92,MATCH('Bishops Fonthill Overview'!$A93,Stock!$A$3:$A$92,0),MATCH('Bishops Fonthill Overview'!B$69,Stock!$A$3:$T$3,0)),0)</f>
        <v>0</v>
      </c>
      <c r="C93" s="8">
        <f>IFERROR(INDEX(Stock!$A$3:$T$92,MATCH('Bishops Fonthill Overview'!$A93,Stock!$A$3:$A$92,0),MATCH('Bishops Fonthill Overview'!C$69,Stock!$A$3:$T$3,0)),0)</f>
        <v>13</v>
      </c>
      <c r="D93" s="8">
        <f t="shared" si="0"/>
        <v>13</v>
      </c>
      <c r="E93" s="82"/>
      <c r="F93" s="8" t="str">
        <f>IFERROR(INDEX(Stock!$A$3:$T$92,MATCH('Bishops Fonthill Overview'!$A93,Stock!$A$3:$A$92,0),MATCH('Bishops Fonthill Overview'!F$69,Stock!$A$3:$T$3,0)),0)</f>
        <v/>
      </c>
      <c r="G93" s="8" t="str">
        <f>IFERROR(INDEX(Stock!$A$3:$T$92,MATCH('Bishops Fonthill Overview'!$A93,Stock!$A$3:$A$92,0),MATCH('Bishops Fonthill Overview'!G$69,Stock!$A$3:$T$3,0)),0)</f>
        <v/>
      </c>
      <c r="H93" s="5"/>
    </row>
    <row r="94" spans="1:8" ht="16" x14ac:dyDescent="0.2">
      <c r="A94" s="8" t="s">
        <v>112</v>
      </c>
      <c r="B94" s="8">
        <f>IFERROR(INDEX(Stock!$A$3:$T$92,MATCH('Bishops Fonthill Overview'!$A94,Stock!$A$3:$A$92,0),MATCH('Bishops Fonthill Overview'!B$69,Stock!$A$3:$T$3,0)),0)</f>
        <v>0</v>
      </c>
      <c r="C94" s="8">
        <f>IFERROR(INDEX(Stock!$A$3:$T$92,MATCH('Bishops Fonthill Overview'!$A94,Stock!$A$3:$A$92,0),MATCH('Bishops Fonthill Overview'!C$69,Stock!$A$3:$T$3,0)),0)</f>
        <v>0</v>
      </c>
      <c r="D94" s="8">
        <f t="shared" si="0"/>
        <v>0</v>
      </c>
      <c r="E94" s="82"/>
      <c r="F94" s="8" t="str">
        <f>IFERROR(INDEX(Stock!$A$3:$T$92,MATCH('Bishops Fonthill Overview'!$A94,Stock!$A$3:$A$92,0),MATCH('Bishops Fonthill Overview'!F$69,Stock!$A$3:$T$3,0)),0)</f>
        <v/>
      </c>
      <c r="G94" s="8" t="str">
        <f>IFERROR(INDEX(Stock!$A$3:$T$92,MATCH('Bishops Fonthill Overview'!$A94,Stock!$A$3:$A$92,0),MATCH('Bishops Fonthill Overview'!G$69,Stock!$A$3:$T$3,0)),0)</f>
        <v/>
      </c>
      <c r="H94" s="5"/>
    </row>
    <row r="95" spans="1:8" ht="16" x14ac:dyDescent="0.2">
      <c r="A95" s="8" t="s">
        <v>113</v>
      </c>
      <c r="B95" s="8">
        <f>IFERROR(INDEX(Stock!$A$3:$T$92,MATCH('Bishops Fonthill Overview'!$A95,Stock!$A$3:$A$92,0),MATCH('Bishops Fonthill Overview'!B$69,Stock!$A$3:$T$3,0)),0)</f>
        <v>0</v>
      </c>
      <c r="C95" s="8">
        <f>IFERROR(INDEX(Stock!$A$3:$T$92,MATCH('Bishops Fonthill Overview'!$A95,Stock!$A$3:$A$92,0),MATCH('Bishops Fonthill Overview'!C$69,Stock!$A$3:$T$3,0)),0)</f>
        <v>0</v>
      </c>
      <c r="D95" s="8">
        <f t="shared" si="0"/>
        <v>0</v>
      </c>
      <c r="E95" s="82"/>
      <c r="F95" s="8" t="str">
        <f>IFERROR(INDEX(Stock!$A$3:$T$92,MATCH('Bishops Fonthill Overview'!$A95,Stock!$A$3:$A$92,0),MATCH('Bishops Fonthill Overview'!F$69,Stock!$A$3:$T$3,0)),0)</f>
        <v/>
      </c>
      <c r="G95" s="8" t="str">
        <f>IFERROR(INDEX(Stock!$A$3:$T$92,MATCH('Bishops Fonthill Overview'!$A95,Stock!$A$3:$A$92,0),MATCH('Bishops Fonthill Overview'!G$69,Stock!$A$3:$T$3,0)),0)</f>
        <v/>
      </c>
      <c r="H95" s="5"/>
    </row>
    <row r="96" spans="1:8" ht="16" x14ac:dyDescent="0.2">
      <c r="A96" s="10" t="s">
        <v>528</v>
      </c>
      <c r="B96" s="83"/>
      <c r="C96" s="83"/>
      <c r="D96" s="83"/>
      <c r="E96" s="83"/>
      <c r="F96" s="83"/>
      <c r="G96" s="84">
        <f>SUM(G70:G95)</f>
        <v>7.5787878787878791</v>
      </c>
      <c r="H96" s="5"/>
    </row>
    <row r="97" spans="1:8" ht="16" x14ac:dyDescent="0.2">
      <c r="A97" s="10" t="s">
        <v>74</v>
      </c>
      <c r="B97" s="83"/>
      <c r="C97" s="83"/>
      <c r="D97" s="83"/>
      <c r="E97" s="83"/>
      <c r="F97" s="83"/>
      <c r="G97" s="84">
        <f>SUM(F70:F95)</f>
        <v>7.2367424242424248</v>
      </c>
      <c r="H97" s="5"/>
    </row>
    <row r="98" spans="1:8" ht="16" x14ac:dyDescent="0.2">
      <c r="A98" s="8"/>
      <c r="B98" s="8"/>
      <c r="C98" s="8"/>
      <c r="D98" s="8"/>
      <c r="E98" s="8"/>
      <c r="F98" s="8"/>
      <c r="G98" s="82"/>
      <c r="H98" s="5"/>
    </row>
    <row r="99" spans="1:8" ht="34" customHeight="1" x14ac:dyDescent="0.2">
      <c r="A99" s="9" t="s">
        <v>116</v>
      </c>
      <c r="B99" s="90" t="s">
        <v>524</v>
      </c>
      <c r="C99" s="90" t="s">
        <v>525</v>
      </c>
      <c r="D99" s="91" t="s">
        <v>86</v>
      </c>
      <c r="E99" s="92"/>
      <c r="F99" s="93" t="s">
        <v>526</v>
      </c>
      <c r="G99" s="93" t="s">
        <v>527</v>
      </c>
      <c r="H99" s="5"/>
    </row>
    <row r="100" spans="1:8" ht="17" customHeight="1" x14ac:dyDescent="0.2">
      <c r="A100" s="15" t="s">
        <v>117</v>
      </c>
      <c r="B100" s="8">
        <f>IFERROR(INDEX(Stock!$A$3:$T$92,MATCH('Bishops Fonthill Overview'!$A100,Stock!$A$3:$A$92,0),MATCH('Bishops Fonthill Overview'!B$69,Stock!$A$3:$T$3,0)),0)</f>
        <v>0</v>
      </c>
      <c r="C100" s="8">
        <f>IFERROR(INDEX(Stock!$A$3:$T$92,MATCH('Bishops Fonthill Overview'!$A100,Stock!$A$3:$A$92,0),MATCH('Bishops Fonthill Overview'!C$69,Stock!$A$3:$T$3,0)),0)</f>
        <v>0</v>
      </c>
      <c r="D100" s="8">
        <f>C100-B100</f>
        <v>0</v>
      </c>
      <c r="F100" s="8">
        <f>IFERROR(INDEX(Stock!$A$3:$T$92,MATCH('Bishops Fonthill Overview'!$A100,Stock!$A$3:$A$92,0),MATCH('Bishops Fonthill Overview'!F$69,Stock!$A$3:$T$3,0)),0)</f>
        <v>6.24</v>
      </c>
      <c r="G100" s="8">
        <f>IFERROR(INDEX(Stock!$A$3:$T$92,MATCH('Bishops Fonthill Overview'!$A100,Stock!$A$3:$A$92,0),MATCH('Bishops Fonthill Overview'!G$69,Stock!$A$3:$T$3,0)),0)</f>
        <v>6.32</v>
      </c>
      <c r="H100" s="5"/>
    </row>
    <row r="101" spans="1:8" ht="16" x14ac:dyDescent="0.2">
      <c r="A101" s="8" t="s">
        <v>118</v>
      </c>
      <c r="B101" s="8">
        <f>IFERROR(INDEX(Stock!$A$3:$T$92,MATCH('Bishops Fonthill Overview'!$A101,Stock!$A$3:$A$92,0),MATCH('Bishops Fonthill Overview'!B$69,Stock!$A$3:$T$3,0)),0)</f>
        <v>0</v>
      </c>
      <c r="C101" s="8">
        <f>IFERROR(INDEX(Stock!$A$3:$T$92,MATCH('Bishops Fonthill Overview'!$A101,Stock!$A$3:$A$92,0),MATCH('Bishops Fonthill Overview'!C$69,Stock!$A$3:$T$3,0)),0)</f>
        <v>0</v>
      </c>
      <c r="D101" s="8">
        <f>C101-B101</f>
        <v>0</v>
      </c>
      <c r="F101" s="8" t="str">
        <f>IFERROR(INDEX(Stock!$A$3:$T$92,MATCH('Bishops Fonthill Overview'!$A101,Stock!$A$3:$A$92,0),MATCH('Bishops Fonthill Overview'!F$69,Stock!$A$3:$T$3,0)),0)</f>
        <v/>
      </c>
      <c r="G101" s="8" t="str">
        <f>IFERROR(INDEX(Stock!$A$3:$T$92,MATCH('Bishops Fonthill Overview'!$A101,Stock!$A$3:$A$92,0),MATCH('Bishops Fonthill Overview'!G$69,Stock!$A$3:$T$3,0)),0)</f>
        <v/>
      </c>
      <c r="H101" s="5"/>
    </row>
    <row r="102" spans="1:8" ht="16" x14ac:dyDescent="0.2">
      <c r="A102" s="8" t="s">
        <v>119</v>
      </c>
      <c r="B102" s="8">
        <f>IFERROR(INDEX(Stock!$A$3:$T$92,MATCH('Bishops Fonthill Overview'!$A102,Stock!$A$3:$A$92,0),MATCH('Bishops Fonthill Overview'!B$69,Stock!$A$3:$T$3,0)),0)</f>
        <v>0</v>
      </c>
      <c r="C102" s="8">
        <f>IFERROR(INDEX(Stock!$A$3:$T$92,MATCH('Bishops Fonthill Overview'!$A102,Stock!$A$3:$A$92,0),MATCH('Bishops Fonthill Overview'!C$69,Stock!$A$3:$T$3,0)),0)</f>
        <v>0</v>
      </c>
      <c r="D102" s="8">
        <f>C102-B102</f>
        <v>0</v>
      </c>
      <c r="F102" s="82">
        <f>IFERROR(INDEX(Stock!$A$3:$T$92,MATCH('Bishops Fonthill Overview'!$A102,Stock!$A$3:$A$92,0),MATCH('Bishops Fonthill Overview'!F$69,Stock!$A$3:$T$3,0)),0)</f>
        <v>4.1666666666666664E-2</v>
      </c>
      <c r="G102" s="82">
        <f>IFERROR(INDEX(Stock!$A$3:$T$92,MATCH('Bishops Fonthill Overview'!$A102,Stock!$A$3:$A$92,0),MATCH('Bishops Fonthill Overview'!G$69,Stock!$A$3:$T$3,0)),0)</f>
        <v>4.1666666666666664E-2</v>
      </c>
      <c r="H102" s="5"/>
    </row>
    <row r="103" spans="1:8" ht="16" x14ac:dyDescent="0.2">
      <c r="A103" s="8" t="s">
        <v>120</v>
      </c>
      <c r="B103" s="8">
        <f>IFERROR(INDEX(Stock!$A$3:$T$92,MATCH('Bishops Fonthill Overview'!$A103,Stock!$A$3:$A$92,0),MATCH('Bishops Fonthill Overview'!B$69,Stock!$A$3:$T$3,0)),0)</f>
        <v>0</v>
      </c>
      <c r="C103" s="8">
        <f>IFERROR(INDEX(Stock!$A$3:$T$92,MATCH('Bishops Fonthill Overview'!$A103,Stock!$A$3:$A$92,0),MATCH('Bishops Fonthill Overview'!C$69,Stock!$A$3:$T$3,0)),0)</f>
        <v>0</v>
      </c>
      <c r="D103" s="8">
        <f>C103-B103</f>
        <v>0</v>
      </c>
      <c r="F103" s="82">
        <f>IFERROR(INDEX(Stock!$A$3:$T$92,MATCH('Bishops Fonthill Overview'!$A103,Stock!$A$3:$A$92,0),MATCH('Bishops Fonthill Overview'!F$69,Stock!$A$3:$T$3,0)),0)</f>
        <v>0.18333333333333329</v>
      </c>
      <c r="G103" s="82">
        <f>IFERROR(INDEX(Stock!$A$3:$T$92,MATCH('Bishops Fonthill Overview'!$A103,Stock!$A$3:$A$92,0),MATCH('Bishops Fonthill Overview'!G$69,Stock!$A$3:$T$3,0)),0)</f>
        <v>0.18333333333333329</v>
      </c>
      <c r="H103" s="5"/>
    </row>
    <row r="104" spans="1:8" ht="16" x14ac:dyDescent="0.2">
      <c r="A104" s="8" t="s">
        <v>121</v>
      </c>
      <c r="B104" s="8">
        <f>IFERROR(INDEX(Stock!$A$3:$T$92,MATCH('Bishops Fonthill Overview'!$A104,Stock!$A$3:$A$92,0),MATCH('Bishops Fonthill Overview'!B$69,Stock!$A$3:$T$3,0)),0)</f>
        <v>0</v>
      </c>
      <c r="C104" s="8">
        <f>IFERROR(INDEX(Stock!$A$3:$T$92,MATCH('Bishops Fonthill Overview'!$A104,Stock!$A$3:$A$92,0),MATCH('Bishops Fonthill Overview'!C$69,Stock!$A$3:$T$3,0)),0)</f>
        <v>0</v>
      </c>
      <c r="D104" s="8">
        <f>C104-B104</f>
        <v>0</v>
      </c>
      <c r="F104" s="8" t="str">
        <f>IFERROR(INDEX(Stock!$A$3:$T$92,MATCH('Bishops Fonthill Overview'!$A104,Stock!$A$3:$A$92,0),MATCH('Bishops Fonthill Overview'!F$69,Stock!$A$3:$T$3,0)),0)</f>
        <v/>
      </c>
      <c r="G104" s="8" t="str">
        <f>IFERROR(INDEX(Stock!$A$3:$T$92,MATCH('Bishops Fonthill Overview'!$A104,Stock!$A$3:$A$92,0),MATCH('Bishops Fonthill Overview'!G$69,Stock!$A$3:$T$3,0)),0)</f>
        <v/>
      </c>
      <c r="H104" s="5"/>
    </row>
    <row r="105" spans="1:8" ht="16" x14ac:dyDescent="0.2">
      <c r="A105" s="10" t="s">
        <v>81</v>
      </c>
      <c r="B105" s="83"/>
      <c r="C105" s="83"/>
      <c r="D105" s="83"/>
      <c r="E105" s="83"/>
      <c r="F105" s="83"/>
      <c r="G105" s="84">
        <f>SUM(G100:G104)</f>
        <v>6.5450000000000008</v>
      </c>
      <c r="H105" s="5"/>
    </row>
    <row r="106" spans="1:8" ht="16" x14ac:dyDescent="0.2">
      <c r="A106" s="10" t="s">
        <v>74</v>
      </c>
      <c r="B106" s="83"/>
      <c r="C106" s="83"/>
      <c r="D106" s="83"/>
      <c r="E106" s="83"/>
      <c r="F106" s="83"/>
      <c r="G106" s="84">
        <f>SUM(F100:F104)</f>
        <v>6.4650000000000007</v>
      </c>
      <c r="H106" s="5"/>
    </row>
    <row r="107" spans="1:8" ht="16" x14ac:dyDescent="0.2">
      <c r="A107" s="3"/>
      <c r="B107" s="8"/>
      <c r="C107" s="8"/>
      <c r="D107" s="8"/>
      <c r="E107" s="8"/>
      <c r="F107" s="8"/>
      <c r="G107" s="82"/>
      <c r="H107" s="5"/>
    </row>
    <row r="108" spans="1:8" ht="34" customHeight="1" x14ac:dyDescent="0.2">
      <c r="A108" s="9" t="s">
        <v>122</v>
      </c>
      <c r="B108" s="90" t="s">
        <v>524</v>
      </c>
      <c r="C108" s="90" t="s">
        <v>525</v>
      </c>
      <c r="D108" s="91" t="s">
        <v>86</v>
      </c>
      <c r="E108" s="92"/>
      <c r="F108" s="93" t="s">
        <v>526</v>
      </c>
      <c r="G108" s="93" t="s">
        <v>527</v>
      </c>
      <c r="H108" s="5"/>
    </row>
    <row r="109" spans="1:8" ht="16" x14ac:dyDescent="0.2">
      <c r="A109" s="8" t="s">
        <v>123</v>
      </c>
      <c r="B109" s="8">
        <f>IFERROR(INDEX(Stock!$A$3:$T$92,MATCH('Bishops Fonthill Overview'!$A109,Stock!$A$3:$A$92,0),MATCH('Bishops Fonthill Overview'!B$69,Stock!$A$3:$T$3,0)),0)</f>
        <v>0</v>
      </c>
      <c r="C109" s="8">
        <f>IFERROR(INDEX(Stock!$A$3:$T$92,MATCH('Bishops Fonthill Overview'!$A109,Stock!$A$3:$A$92,0),MATCH('Bishops Fonthill Overview'!C$69,Stock!$A$3:$T$3,0)),0)</f>
        <v>0</v>
      </c>
      <c r="D109" s="8">
        <f t="shared" ref="D109:D128" si="1">C109-B109</f>
        <v>0</v>
      </c>
      <c r="E109" s="8"/>
      <c r="F109" s="8" t="str">
        <f>IFERROR(INDEX(Stock!$A$3:$T$92,MATCH('Bishops Fonthill Overview'!$A109,Stock!$A$3:$A$92,0),MATCH('Bishops Fonthill Overview'!F$69,Stock!$A$3:$T$3,0)),0)</f>
        <v/>
      </c>
      <c r="G109" s="8" t="str">
        <f>IFERROR(INDEX(Stock!$A$3:$T$92,MATCH('Bishops Fonthill Overview'!$A109,Stock!$A$3:$A$92,0),MATCH('Bishops Fonthill Overview'!G$69,Stock!$A$3:$T$3,0)),0)</f>
        <v/>
      </c>
      <c r="H109" s="5"/>
    </row>
    <row r="110" spans="1:8" ht="16" x14ac:dyDescent="0.2">
      <c r="A110" s="8" t="s">
        <v>124</v>
      </c>
      <c r="B110" s="8">
        <f>IFERROR(INDEX(Stock!$A$3:$T$92,MATCH('Bishops Fonthill Overview'!$A110,Stock!$A$3:$A$92,0),MATCH('Bishops Fonthill Overview'!B$69,Stock!$A$3:$T$3,0)),0)</f>
        <v>0</v>
      </c>
      <c r="C110" s="8">
        <f>IFERROR(INDEX(Stock!$A$3:$T$92,MATCH('Bishops Fonthill Overview'!$A110,Stock!$A$3:$A$92,0),MATCH('Bishops Fonthill Overview'!C$69,Stock!$A$3:$T$3,0)),0)</f>
        <v>0</v>
      </c>
      <c r="D110" s="8">
        <f t="shared" si="1"/>
        <v>0</v>
      </c>
      <c r="E110" s="8"/>
      <c r="F110" s="8" t="str">
        <f>IFERROR(INDEX(Stock!$A$3:$T$92,MATCH('Bishops Fonthill Overview'!$A110,Stock!$A$3:$A$92,0),MATCH('Bishops Fonthill Overview'!F$69,Stock!$A$3:$T$3,0)),0)</f>
        <v/>
      </c>
      <c r="G110" s="8" t="str">
        <f>IFERROR(INDEX(Stock!$A$3:$T$92,MATCH('Bishops Fonthill Overview'!$A110,Stock!$A$3:$A$92,0),MATCH('Bishops Fonthill Overview'!G$69,Stock!$A$3:$T$3,0)),0)</f>
        <v/>
      </c>
      <c r="H110" s="5"/>
    </row>
    <row r="111" spans="1:8" ht="16" x14ac:dyDescent="0.2">
      <c r="A111" s="8" t="s">
        <v>125</v>
      </c>
      <c r="B111" s="8">
        <f>IFERROR(INDEX(Stock!$A$3:$T$92,MATCH('Bishops Fonthill Overview'!$A111,Stock!$A$3:$A$92,0),MATCH('Bishops Fonthill Overview'!B$69,Stock!$A$3:$T$3,0)),0)</f>
        <v>0</v>
      </c>
      <c r="C111" s="8">
        <f>IFERROR(INDEX(Stock!$A$3:$T$92,MATCH('Bishops Fonthill Overview'!$A111,Stock!$A$3:$A$92,0),MATCH('Bishops Fonthill Overview'!C$69,Stock!$A$3:$T$3,0)),0)</f>
        <v>0</v>
      </c>
      <c r="D111" s="8">
        <f t="shared" si="1"/>
        <v>0</v>
      </c>
      <c r="E111" s="8"/>
      <c r="F111" s="8" t="str">
        <f>IFERROR(INDEX(Stock!$A$3:$T$92,MATCH('Bishops Fonthill Overview'!$A111,Stock!$A$3:$A$92,0),MATCH('Bishops Fonthill Overview'!F$69,Stock!$A$3:$T$3,0)),0)</f>
        <v/>
      </c>
      <c r="G111" s="8" t="str">
        <f>IFERROR(INDEX(Stock!$A$3:$T$92,MATCH('Bishops Fonthill Overview'!$A111,Stock!$A$3:$A$92,0),MATCH('Bishops Fonthill Overview'!G$69,Stock!$A$3:$T$3,0)),0)</f>
        <v/>
      </c>
      <c r="H111" s="5"/>
    </row>
    <row r="112" spans="1:8" ht="16" x14ac:dyDescent="0.2">
      <c r="A112" s="8" t="s">
        <v>126</v>
      </c>
      <c r="B112" s="8">
        <f>IFERROR(INDEX(Stock!$A$3:$T$92,MATCH('Bishops Fonthill Overview'!$A112,Stock!$A$3:$A$92,0),MATCH('Bishops Fonthill Overview'!B$69,Stock!$A$3:$T$3,0)),0)</f>
        <v>0</v>
      </c>
      <c r="C112" s="8">
        <f>IFERROR(INDEX(Stock!$A$3:$T$92,MATCH('Bishops Fonthill Overview'!$A112,Stock!$A$3:$A$92,0),MATCH('Bishops Fonthill Overview'!C$69,Stock!$A$3:$T$3,0)),0)</f>
        <v>0</v>
      </c>
      <c r="D112" s="8">
        <f t="shared" si="1"/>
        <v>0</v>
      </c>
      <c r="E112" s="8"/>
      <c r="F112" s="8" t="str">
        <f>IFERROR(INDEX(Stock!$A$3:$T$92,MATCH('Bishops Fonthill Overview'!$A112,Stock!$A$3:$A$92,0),MATCH('Bishops Fonthill Overview'!F$69,Stock!$A$3:$T$3,0)),0)</f>
        <v/>
      </c>
      <c r="G112" s="8" t="str">
        <f>IFERROR(INDEX(Stock!$A$3:$T$92,MATCH('Bishops Fonthill Overview'!$A112,Stock!$A$3:$A$92,0),MATCH('Bishops Fonthill Overview'!G$69,Stock!$A$3:$T$3,0)),0)</f>
        <v/>
      </c>
      <c r="H112" s="5"/>
    </row>
    <row r="113" spans="1:8" ht="16" x14ac:dyDescent="0.2">
      <c r="A113" s="8" t="s">
        <v>127</v>
      </c>
      <c r="B113" s="8">
        <f>IFERROR(INDEX(Stock!$A$3:$T$92,MATCH('Bishops Fonthill Overview'!$A113,Stock!$A$3:$A$92,0),MATCH('Bishops Fonthill Overview'!B$69,Stock!$A$3:$T$3,0)),0)</f>
        <v>0</v>
      </c>
      <c r="C113" s="8">
        <f>IFERROR(INDEX(Stock!$A$3:$T$92,MATCH('Bishops Fonthill Overview'!$A113,Stock!$A$3:$A$92,0),MATCH('Bishops Fonthill Overview'!C$69,Stock!$A$3:$T$3,0)),0)</f>
        <v>0</v>
      </c>
      <c r="D113" s="8">
        <f t="shared" si="1"/>
        <v>0</v>
      </c>
      <c r="E113" s="8"/>
      <c r="F113" s="8" t="str">
        <f>IFERROR(INDEX(Stock!$A$3:$T$92,MATCH('Bishops Fonthill Overview'!$A113,Stock!$A$3:$A$92,0),MATCH('Bishops Fonthill Overview'!F$69,Stock!$A$3:$T$3,0)),0)</f>
        <v/>
      </c>
      <c r="G113" s="8" t="str">
        <f>IFERROR(INDEX(Stock!$A$3:$T$92,MATCH('Bishops Fonthill Overview'!$A113,Stock!$A$3:$A$92,0),MATCH('Bishops Fonthill Overview'!G$69,Stock!$A$3:$T$3,0)),0)</f>
        <v/>
      </c>
      <c r="H113" s="5"/>
    </row>
    <row r="114" spans="1:8" ht="16" x14ac:dyDescent="0.2">
      <c r="A114" s="8" t="s">
        <v>128</v>
      </c>
      <c r="B114" s="8">
        <f>IFERROR(INDEX(Stock!$A$3:$T$92,MATCH('Bishops Fonthill Overview'!$A114,Stock!$A$3:$A$92,0),MATCH('Bishops Fonthill Overview'!B$69,Stock!$A$3:$T$3,0)),0)</f>
        <v>0</v>
      </c>
      <c r="C114" s="8">
        <f>IFERROR(INDEX(Stock!$A$3:$T$92,MATCH('Bishops Fonthill Overview'!$A114,Stock!$A$3:$A$92,0),MATCH('Bishops Fonthill Overview'!C$69,Stock!$A$3:$T$3,0)),0)</f>
        <v>0</v>
      </c>
      <c r="D114" s="8">
        <f t="shared" si="1"/>
        <v>0</v>
      </c>
      <c r="E114" s="8"/>
      <c r="F114" s="8" t="str">
        <f>IFERROR(INDEX(Stock!$A$3:$T$92,MATCH('Bishops Fonthill Overview'!$A114,Stock!$A$3:$A$92,0),MATCH('Bishops Fonthill Overview'!F$69,Stock!$A$3:$T$3,0)),0)</f>
        <v/>
      </c>
      <c r="G114" s="8" t="str">
        <f>IFERROR(INDEX(Stock!$A$3:$T$92,MATCH('Bishops Fonthill Overview'!$A114,Stock!$A$3:$A$92,0),MATCH('Bishops Fonthill Overview'!G$69,Stock!$A$3:$T$3,0)),0)</f>
        <v/>
      </c>
      <c r="H114" s="5"/>
    </row>
    <row r="115" spans="1:8" ht="16" x14ac:dyDescent="0.2">
      <c r="A115" s="16" t="s">
        <v>129</v>
      </c>
      <c r="B115" s="8">
        <f>IFERROR(INDEX(Stock!$A$3:$T$92,MATCH('Bishops Fonthill Overview'!$A115,Stock!$A$3:$A$92,0),MATCH('Bishops Fonthill Overview'!B$69,Stock!$A$3:$T$3,0)),0)</f>
        <v>0</v>
      </c>
      <c r="C115" s="8">
        <f>IFERROR(INDEX(Stock!$A$3:$T$92,MATCH('Bishops Fonthill Overview'!$A115,Stock!$A$3:$A$92,0),MATCH('Bishops Fonthill Overview'!C$69,Stock!$A$3:$T$3,0)),0)</f>
        <v>0</v>
      </c>
      <c r="D115" s="8">
        <f t="shared" si="1"/>
        <v>0</v>
      </c>
      <c r="E115" s="8"/>
      <c r="F115" s="8" t="str">
        <f>IFERROR(INDEX(Stock!$A$3:$T$92,MATCH('Bishops Fonthill Overview'!$A115,Stock!$A$3:$A$92,0),MATCH('Bishops Fonthill Overview'!F$69,Stock!$A$3:$T$3,0)),0)</f>
        <v/>
      </c>
      <c r="G115" s="8" t="str">
        <f>IFERROR(INDEX(Stock!$A$3:$T$92,MATCH('Bishops Fonthill Overview'!$A115,Stock!$A$3:$A$92,0),MATCH('Bishops Fonthill Overview'!G$69,Stock!$A$3:$T$3,0)),0)</f>
        <v/>
      </c>
      <c r="H115" s="5"/>
    </row>
    <row r="116" spans="1:8" ht="16" x14ac:dyDescent="0.2">
      <c r="A116" s="17" t="s">
        <v>529</v>
      </c>
      <c r="B116" s="8">
        <f>IFERROR(INDEX(Stock!$A$3:$T$92,MATCH('Bishops Fonthill Overview'!$A116,Stock!$A$3:$A$92,0),MATCH('Bishops Fonthill Overview'!B$69,Stock!$A$3:$T$3,0)),0)</f>
        <v>0</v>
      </c>
      <c r="C116" s="8">
        <f>IFERROR(INDEX(Stock!$A$3:$T$92,MATCH('Bishops Fonthill Overview'!$A116,Stock!$A$3:$A$92,0),MATCH('Bishops Fonthill Overview'!C$69,Stock!$A$3:$T$3,0)),0)</f>
        <v>0</v>
      </c>
      <c r="D116" s="8">
        <f t="shared" si="1"/>
        <v>0</v>
      </c>
      <c r="E116" s="8"/>
      <c r="F116" s="8" t="str">
        <f>IFERROR(INDEX(Stock!$A$3:$T$92,MATCH('Bishops Fonthill Overview'!$A116,Stock!$A$3:$A$92,0),MATCH('Bishops Fonthill Overview'!F$69,Stock!$A$3:$T$3,0)),0)</f>
        <v/>
      </c>
      <c r="G116" s="8" t="str">
        <f>IFERROR(INDEX(Stock!$A$3:$T$92,MATCH('Bishops Fonthill Overview'!$A116,Stock!$A$3:$A$92,0),MATCH('Bishops Fonthill Overview'!G$69,Stock!$A$3:$T$3,0)),0)</f>
        <v/>
      </c>
      <c r="H116" s="5"/>
    </row>
    <row r="117" spans="1:8" ht="16" x14ac:dyDescent="0.2">
      <c r="A117" s="17" t="s">
        <v>131</v>
      </c>
      <c r="B117" s="8">
        <f>IFERROR(INDEX(Stock!$A$3:$T$92,MATCH('Bishops Fonthill Overview'!$A117,Stock!$A$3:$A$92,0),MATCH('Bishops Fonthill Overview'!B$69,Stock!$A$3:$T$3,0)),0)</f>
        <v>0</v>
      </c>
      <c r="C117" s="8">
        <f>IFERROR(INDEX(Stock!$A$3:$T$92,MATCH('Bishops Fonthill Overview'!$A117,Stock!$A$3:$A$92,0),MATCH('Bishops Fonthill Overview'!C$69,Stock!$A$3:$T$3,0)),0)</f>
        <v>0</v>
      </c>
      <c r="D117" s="8">
        <f t="shared" si="1"/>
        <v>0</v>
      </c>
      <c r="E117" s="8"/>
      <c r="F117" s="8" t="str">
        <f>IFERROR(INDEX(Stock!$A$3:$T$92,MATCH('Bishops Fonthill Overview'!$A117,Stock!$A$3:$A$92,0),MATCH('Bishops Fonthill Overview'!F$69,Stock!$A$3:$T$3,0)),0)</f>
        <v/>
      </c>
      <c r="G117" s="8" t="str">
        <f>IFERROR(INDEX(Stock!$A$3:$T$92,MATCH('Bishops Fonthill Overview'!$A117,Stock!$A$3:$A$92,0),MATCH('Bishops Fonthill Overview'!G$69,Stock!$A$3:$T$3,0)),0)</f>
        <v/>
      </c>
      <c r="H117" s="5"/>
    </row>
    <row r="118" spans="1:8" ht="16" x14ac:dyDescent="0.2">
      <c r="A118" s="17" t="s">
        <v>132</v>
      </c>
      <c r="B118" s="8">
        <f>IFERROR(INDEX(Stock!$A$3:$T$92,MATCH('Bishops Fonthill Overview'!$A118,Stock!$A$3:$A$92,0),MATCH('Bishops Fonthill Overview'!B$69,Stock!$A$3:$T$3,0)),0)</f>
        <v>0</v>
      </c>
      <c r="C118" s="8">
        <f>IFERROR(INDEX(Stock!$A$3:$T$92,MATCH('Bishops Fonthill Overview'!$A118,Stock!$A$3:$A$92,0),MATCH('Bishops Fonthill Overview'!C$69,Stock!$A$3:$T$3,0)),0)</f>
        <v>0</v>
      </c>
      <c r="D118" s="8">
        <f t="shared" si="1"/>
        <v>0</v>
      </c>
      <c r="E118" s="8"/>
      <c r="F118" s="8" t="str">
        <f>IFERROR(INDEX(Stock!$A$3:$T$92,MATCH('Bishops Fonthill Overview'!$A118,Stock!$A$3:$A$92,0),MATCH('Bishops Fonthill Overview'!F$69,Stock!$A$3:$T$3,0)),0)</f>
        <v/>
      </c>
      <c r="G118" s="8" t="str">
        <f>IFERROR(INDEX(Stock!$A$3:$T$92,MATCH('Bishops Fonthill Overview'!$A118,Stock!$A$3:$A$92,0),MATCH('Bishops Fonthill Overview'!G$69,Stock!$A$3:$T$3,0)),0)</f>
        <v/>
      </c>
      <c r="H118" s="5"/>
    </row>
    <row r="119" spans="1:8" ht="16" x14ac:dyDescent="0.2">
      <c r="A119" s="17" t="s">
        <v>133</v>
      </c>
      <c r="B119" s="8">
        <f>IFERROR(INDEX(Stock!$A$3:$T$92,MATCH('Bishops Fonthill Overview'!$A119,Stock!$A$3:$A$92,0),MATCH('Bishops Fonthill Overview'!B$69,Stock!$A$3:$T$3,0)),0)</f>
        <v>0</v>
      </c>
      <c r="C119" s="8">
        <f>IFERROR(INDEX(Stock!$A$3:$T$92,MATCH('Bishops Fonthill Overview'!$A119,Stock!$A$3:$A$92,0),MATCH('Bishops Fonthill Overview'!C$69,Stock!$A$3:$T$3,0)),0)</f>
        <v>0</v>
      </c>
      <c r="D119" s="8">
        <f t="shared" si="1"/>
        <v>0</v>
      </c>
      <c r="E119" s="8"/>
      <c r="F119" s="8" t="str">
        <f>IFERROR(INDEX(Stock!$A$3:$T$92,MATCH('Bishops Fonthill Overview'!$A119,Stock!$A$3:$A$92,0),MATCH('Bishops Fonthill Overview'!F$69,Stock!$A$3:$T$3,0)),0)</f>
        <v/>
      </c>
      <c r="G119" s="8" t="str">
        <f>IFERROR(INDEX(Stock!$A$3:$T$92,MATCH('Bishops Fonthill Overview'!$A119,Stock!$A$3:$A$92,0),MATCH('Bishops Fonthill Overview'!G$69,Stock!$A$3:$T$3,0)),0)</f>
        <v/>
      </c>
      <c r="H119" s="5"/>
    </row>
    <row r="120" spans="1:8" ht="16" x14ac:dyDescent="0.2">
      <c r="A120" s="18" t="s">
        <v>134</v>
      </c>
      <c r="B120" s="8">
        <f>IFERROR(INDEX(Stock!$A$3:$T$92,MATCH('Bishops Fonthill Overview'!$A120,Stock!$A$3:$A$92,0),MATCH('Bishops Fonthill Overview'!B$69,Stock!$A$3:$T$3,0)),0)</f>
        <v>0</v>
      </c>
      <c r="C120" s="8">
        <f>IFERROR(INDEX(Stock!$A$3:$T$92,MATCH('Bishops Fonthill Overview'!$A120,Stock!$A$3:$A$92,0),MATCH('Bishops Fonthill Overview'!C$69,Stock!$A$3:$T$3,0)),0)</f>
        <v>0</v>
      </c>
      <c r="D120" s="8">
        <f t="shared" si="1"/>
        <v>0</v>
      </c>
      <c r="E120" s="8"/>
      <c r="F120" s="82">
        <f>IFERROR(INDEX(Stock!$A$3:$T$92,MATCH('Bishops Fonthill Overview'!$A120,Stock!$A$3:$A$92,0),MATCH('Bishops Fonthill Overview'!F$69,Stock!$A$3:$T$3,0)),0)</f>
        <v>0.11979166666666669</v>
      </c>
      <c r="G120" s="82">
        <f>IFERROR(INDEX(Stock!$A$3:$T$92,MATCH('Bishops Fonthill Overview'!$A120,Stock!$A$3:$A$92,0),MATCH('Bishops Fonthill Overview'!G$69,Stock!$A$3:$T$3,0)),0)</f>
        <v>0.11979166666666669</v>
      </c>
      <c r="H120" s="5"/>
    </row>
    <row r="121" spans="1:8" ht="16" x14ac:dyDescent="0.2">
      <c r="A121" s="17" t="s">
        <v>135</v>
      </c>
      <c r="B121" s="8">
        <f>IFERROR(INDEX(Stock!$A$3:$T$92,MATCH('Bishops Fonthill Overview'!$A121,Stock!$A$3:$A$92,0),MATCH('Bishops Fonthill Overview'!B$69,Stock!$A$3:$T$3,0)),0)</f>
        <v>0</v>
      </c>
      <c r="C121" s="8">
        <f>IFERROR(INDEX(Stock!$A$3:$T$92,MATCH('Bishops Fonthill Overview'!$A121,Stock!$A$3:$A$92,0),MATCH('Bishops Fonthill Overview'!C$69,Stock!$A$3:$T$3,0)),0)</f>
        <v>0</v>
      </c>
      <c r="D121" s="8">
        <f t="shared" si="1"/>
        <v>0</v>
      </c>
      <c r="E121" s="8"/>
      <c r="F121" s="8" t="str">
        <f>IFERROR(INDEX(Stock!$A$3:$T$92,MATCH('Bishops Fonthill Overview'!$A121,Stock!$A$3:$A$92,0),MATCH('Bishops Fonthill Overview'!F$69,Stock!$A$3:$T$3,0)),0)</f>
        <v/>
      </c>
      <c r="G121" s="8" t="str">
        <f>IFERROR(INDEX(Stock!$A$3:$T$92,MATCH('Bishops Fonthill Overview'!$A121,Stock!$A$3:$A$92,0),MATCH('Bishops Fonthill Overview'!G$69,Stock!$A$3:$T$3,0)),0)</f>
        <v/>
      </c>
      <c r="H121" s="5"/>
    </row>
    <row r="122" spans="1:8" ht="16" x14ac:dyDescent="0.2">
      <c r="A122" s="17" t="s">
        <v>136</v>
      </c>
      <c r="B122" s="8">
        <f>IFERROR(INDEX(Stock!$A$3:$T$92,MATCH('Bishops Fonthill Overview'!$A122,Stock!$A$3:$A$92,0),MATCH('Bishops Fonthill Overview'!B$69,Stock!$A$3:$T$3,0)),0)</f>
        <v>0</v>
      </c>
      <c r="C122" s="8">
        <f>IFERROR(INDEX(Stock!$A$3:$T$92,MATCH('Bishops Fonthill Overview'!$A122,Stock!$A$3:$A$92,0),MATCH('Bishops Fonthill Overview'!C$69,Stock!$A$3:$T$3,0)),0)</f>
        <v>0</v>
      </c>
      <c r="D122" s="8">
        <f t="shared" si="1"/>
        <v>0</v>
      </c>
      <c r="E122" s="8"/>
      <c r="F122" s="8" t="str">
        <f>IFERROR(INDEX(Stock!$A$3:$T$92,MATCH('Bishops Fonthill Overview'!$A122,Stock!$A$3:$A$92,0),MATCH('Bishops Fonthill Overview'!F$69,Stock!$A$3:$T$3,0)),0)</f>
        <v/>
      </c>
      <c r="G122" s="8" t="str">
        <f>IFERROR(INDEX(Stock!$A$3:$T$92,MATCH('Bishops Fonthill Overview'!$A122,Stock!$A$3:$A$92,0),MATCH('Bishops Fonthill Overview'!G$69,Stock!$A$3:$T$3,0)),0)</f>
        <v/>
      </c>
      <c r="H122" s="5"/>
    </row>
    <row r="123" spans="1:8" ht="16" x14ac:dyDescent="0.2">
      <c r="A123" s="17" t="s">
        <v>137</v>
      </c>
      <c r="B123" s="8">
        <f>IFERROR(INDEX(Stock!$A$3:$T$92,MATCH('Bishops Fonthill Overview'!$A123,Stock!$A$3:$A$92,0),MATCH('Bishops Fonthill Overview'!B$69,Stock!$A$3:$T$3,0)),0)</f>
        <v>0</v>
      </c>
      <c r="C123" s="8">
        <f>IFERROR(INDEX(Stock!$A$3:$T$92,MATCH('Bishops Fonthill Overview'!$A123,Stock!$A$3:$A$92,0),MATCH('Bishops Fonthill Overview'!C$69,Stock!$A$3:$T$3,0)),0)</f>
        <v>0</v>
      </c>
      <c r="D123" s="8">
        <f t="shared" si="1"/>
        <v>0</v>
      </c>
      <c r="E123" s="8"/>
      <c r="F123" s="8" t="str">
        <f>IFERROR(INDEX(Stock!$A$3:$T$92,MATCH('Bishops Fonthill Overview'!$A123,Stock!$A$3:$A$92,0),MATCH('Bishops Fonthill Overview'!F$69,Stock!$A$3:$T$3,0)),0)</f>
        <v/>
      </c>
      <c r="G123" s="8" t="str">
        <f>IFERROR(INDEX(Stock!$A$3:$T$92,MATCH('Bishops Fonthill Overview'!$A123,Stock!$A$3:$A$92,0),MATCH('Bishops Fonthill Overview'!G$69,Stock!$A$3:$T$3,0)),0)</f>
        <v/>
      </c>
      <c r="H123" s="5"/>
    </row>
    <row r="124" spans="1:8" ht="16" x14ac:dyDescent="0.2">
      <c r="A124" s="17" t="s">
        <v>138</v>
      </c>
      <c r="B124" s="8">
        <f>IFERROR(INDEX(Stock!$A$3:$T$92,MATCH('Bishops Fonthill Overview'!$A124,Stock!$A$3:$A$92,0),MATCH('Bishops Fonthill Overview'!B$69,Stock!$A$3:$T$3,0)),0)</f>
        <v>0</v>
      </c>
      <c r="C124" s="8">
        <f>IFERROR(INDEX(Stock!$A$3:$T$92,MATCH('Bishops Fonthill Overview'!$A124,Stock!$A$3:$A$92,0),MATCH('Bishops Fonthill Overview'!C$69,Stock!$A$3:$T$3,0)),0)</f>
        <v>0</v>
      </c>
      <c r="D124" s="8">
        <f t="shared" si="1"/>
        <v>0</v>
      </c>
      <c r="E124" s="8"/>
      <c r="F124" s="8" t="str">
        <f>IFERROR(INDEX(Stock!$A$3:$T$92,MATCH('Bishops Fonthill Overview'!$A124,Stock!$A$3:$A$92,0),MATCH('Bishops Fonthill Overview'!F$69,Stock!$A$3:$T$3,0)),0)</f>
        <v/>
      </c>
      <c r="G124" s="8" t="str">
        <f>IFERROR(INDEX(Stock!$A$3:$T$92,MATCH('Bishops Fonthill Overview'!$A124,Stock!$A$3:$A$92,0),MATCH('Bishops Fonthill Overview'!G$69,Stock!$A$3:$T$3,0)),0)</f>
        <v/>
      </c>
      <c r="H124" s="5"/>
    </row>
    <row r="125" spans="1:8" ht="16" x14ac:dyDescent="0.2">
      <c r="A125" s="18" t="s">
        <v>139</v>
      </c>
      <c r="B125" s="8">
        <f>IFERROR(INDEX(Stock!$A$3:$T$92,MATCH('Bishops Fonthill Overview'!$A125,Stock!$A$3:$A$92,0),MATCH('Bishops Fonthill Overview'!B$69,Stock!$A$3:$T$3,0)),0)</f>
        <v>0</v>
      </c>
      <c r="C125" s="8">
        <f>IFERROR(INDEX(Stock!$A$3:$T$92,MATCH('Bishops Fonthill Overview'!$A125,Stock!$A$3:$A$92,0),MATCH('Bishops Fonthill Overview'!C$69,Stock!$A$3:$T$3,0)),0)</f>
        <v>0</v>
      </c>
      <c r="D125" s="8">
        <f t="shared" si="1"/>
        <v>0</v>
      </c>
      <c r="E125" s="8"/>
      <c r="F125" s="8" t="str">
        <f>IFERROR(INDEX(Stock!$A$3:$T$92,MATCH('Bishops Fonthill Overview'!$A125,Stock!$A$3:$A$92,0),MATCH('Bishops Fonthill Overview'!F$69,Stock!$A$3:$T$3,0)),0)</f>
        <v/>
      </c>
      <c r="G125" s="8" t="str">
        <f>IFERROR(INDEX(Stock!$A$3:$T$92,MATCH('Bishops Fonthill Overview'!$A125,Stock!$A$3:$A$92,0),MATCH('Bishops Fonthill Overview'!G$69,Stock!$A$3:$T$3,0)),0)</f>
        <v/>
      </c>
      <c r="H125" s="5"/>
    </row>
    <row r="126" spans="1:8" ht="16" x14ac:dyDescent="0.2">
      <c r="A126" s="8" t="s">
        <v>140</v>
      </c>
      <c r="B126" s="8">
        <f>IFERROR(INDEX(Stock!$A$3:$T$92,MATCH('Bishops Fonthill Overview'!$A126,Stock!$A$3:$A$92,0),MATCH('Bishops Fonthill Overview'!B$69,Stock!$A$3:$T$3,0)),0)</f>
        <v>0</v>
      </c>
      <c r="C126" s="8">
        <f>IFERROR(INDEX(Stock!$A$3:$T$92,MATCH('Bishops Fonthill Overview'!$A126,Stock!$A$3:$A$92,0),MATCH('Bishops Fonthill Overview'!C$69,Stock!$A$3:$T$3,0)),0)</f>
        <v>0</v>
      </c>
      <c r="D126" s="8">
        <f t="shared" si="1"/>
        <v>0</v>
      </c>
      <c r="E126" s="8"/>
      <c r="F126" s="8" t="str">
        <f>IFERROR(INDEX(Stock!$A$3:$T$92,MATCH('Bishops Fonthill Overview'!$A126,Stock!$A$3:$A$92,0),MATCH('Bishops Fonthill Overview'!F$69,Stock!$A$3:$T$3,0)),0)</f>
        <v/>
      </c>
      <c r="G126" s="8" t="str">
        <f>IFERROR(INDEX(Stock!$A$3:$T$92,MATCH('Bishops Fonthill Overview'!$A126,Stock!$A$3:$A$92,0),MATCH('Bishops Fonthill Overview'!G$69,Stock!$A$3:$T$3,0)),0)</f>
        <v/>
      </c>
      <c r="H126" s="5"/>
    </row>
    <row r="127" spans="1:8" ht="16" x14ac:dyDescent="0.2">
      <c r="A127" s="8" t="s">
        <v>141</v>
      </c>
      <c r="B127" s="8">
        <f>IFERROR(INDEX(Stock!$A$3:$T$92,MATCH('Bishops Fonthill Overview'!$A127,Stock!$A$3:$A$92,0),MATCH('Bishops Fonthill Overview'!B$69,Stock!$A$3:$T$3,0)),0)</f>
        <v>0</v>
      </c>
      <c r="C127" s="8">
        <f>IFERROR(INDEX(Stock!$A$3:$T$92,MATCH('Bishops Fonthill Overview'!$A127,Stock!$A$3:$A$92,0),MATCH('Bishops Fonthill Overview'!C$69,Stock!$A$3:$T$3,0)),0)</f>
        <v>0</v>
      </c>
      <c r="D127" s="8">
        <f t="shared" si="1"/>
        <v>0</v>
      </c>
      <c r="E127" s="8"/>
      <c r="F127" s="8" t="str">
        <f>IFERROR(INDEX(Stock!$A$3:$T$92,MATCH('Bishops Fonthill Overview'!$A127,Stock!$A$3:$A$92,0),MATCH('Bishops Fonthill Overview'!F$69,Stock!$A$3:$T$3,0)),0)</f>
        <v/>
      </c>
      <c r="G127" s="8" t="str">
        <f>IFERROR(INDEX(Stock!$A$3:$T$92,MATCH('Bishops Fonthill Overview'!$A127,Stock!$A$3:$A$92,0),MATCH('Bishops Fonthill Overview'!G$69,Stock!$A$3:$T$3,0)),0)</f>
        <v/>
      </c>
      <c r="H127" s="5"/>
    </row>
    <row r="128" spans="1:8" ht="16" x14ac:dyDescent="0.2">
      <c r="A128" s="8" t="s">
        <v>142</v>
      </c>
      <c r="B128" s="8">
        <f>IFERROR(INDEX(Stock!$A$3:$T$92,MATCH('Bishops Fonthill Overview'!$A128,Stock!$A$3:$A$92,0),MATCH('Bishops Fonthill Overview'!B$69,Stock!$A$3:$T$3,0)),0)</f>
        <v>0</v>
      </c>
      <c r="C128" s="8">
        <f>IFERROR(INDEX(Stock!$A$3:$T$92,MATCH('Bishops Fonthill Overview'!$A128,Stock!$A$3:$A$92,0),MATCH('Bishops Fonthill Overview'!C$69,Stock!$A$3:$T$3,0)),0)</f>
        <v>0</v>
      </c>
      <c r="D128" s="8">
        <f t="shared" si="1"/>
        <v>0</v>
      </c>
      <c r="E128" s="8"/>
      <c r="F128" s="8" t="str">
        <f>IFERROR(INDEX(Stock!$A$3:$T$92,MATCH('Bishops Fonthill Overview'!$A128,Stock!$A$3:$A$92,0),MATCH('Bishops Fonthill Overview'!F$69,Stock!$A$3:$T$3,0)),0)</f>
        <v/>
      </c>
      <c r="G128" s="8" t="str">
        <f>IFERROR(INDEX(Stock!$A$3:$T$92,MATCH('Bishops Fonthill Overview'!$A128,Stock!$A$3:$A$92,0),MATCH('Bishops Fonthill Overview'!G$69,Stock!$A$3:$T$3,0)),0)</f>
        <v/>
      </c>
      <c r="H128" s="5"/>
    </row>
    <row r="129" spans="1:8" ht="16" x14ac:dyDescent="0.2">
      <c r="A129" s="10" t="s">
        <v>81</v>
      </c>
      <c r="B129" s="83"/>
      <c r="C129" s="83"/>
      <c r="D129" s="83"/>
      <c r="E129" s="83"/>
      <c r="F129" s="83"/>
      <c r="G129" s="84">
        <f>SUM(G109:G128)</f>
        <v>0.11979166666666669</v>
      </c>
      <c r="H129" s="5"/>
    </row>
    <row r="130" spans="1:8" ht="16" x14ac:dyDescent="0.2">
      <c r="A130" s="10" t="s">
        <v>74</v>
      </c>
      <c r="B130" s="83"/>
      <c r="C130" s="83"/>
      <c r="D130" s="83"/>
      <c r="E130" s="83"/>
      <c r="F130" s="83"/>
      <c r="G130" s="84">
        <f>SUM(F109:F128)</f>
        <v>0.11979166666666669</v>
      </c>
      <c r="H130" s="5"/>
    </row>
    <row r="131" spans="1:8" ht="16" x14ac:dyDescent="0.2">
      <c r="A131" s="8"/>
      <c r="B131" s="8"/>
      <c r="C131" s="8"/>
      <c r="D131" s="8"/>
      <c r="E131" s="8"/>
      <c r="F131" s="8"/>
      <c r="G131" s="82"/>
      <c r="H131" s="5"/>
    </row>
    <row r="132" spans="1:8" ht="34" customHeight="1" x14ac:dyDescent="0.2">
      <c r="A132" s="9" t="s">
        <v>143</v>
      </c>
      <c r="B132" s="90" t="s">
        <v>524</v>
      </c>
      <c r="C132" s="90" t="s">
        <v>525</v>
      </c>
      <c r="D132" s="91" t="s">
        <v>86</v>
      </c>
      <c r="E132" s="92"/>
      <c r="F132" s="93" t="s">
        <v>526</v>
      </c>
      <c r="G132" s="93" t="s">
        <v>527</v>
      </c>
      <c r="H132" s="5"/>
    </row>
    <row r="133" spans="1:8" ht="17" customHeight="1" x14ac:dyDescent="0.2">
      <c r="A133" s="15" t="s">
        <v>144</v>
      </c>
      <c r="B133" s="8">
        <f>IFERROR(INDEX(Stock!$A$3:$T$92,MATCH('Bishops Fonthill Overview'!$A133,Stock!$A$3:$A$92,0),MATCH('Bishops Fonthill Overview'!B$69,Stock!$A$3:$T$3,0)),0)</f>
        <v>0</v>
      </c>
      <c r="C133" s="8">
        <f>IFERROR(INDEX(Stock!$A$3:$T$92,MATCH('Bishops Fonthill Overview'!$A133,Stock!$A$3:$A$92,0),MATCH('Bishops Fonthill Overview'!C$69,Stock!$A$3:$T$3,0)),0)</f>
        <v>0</v>
      </c>
      <c r="D133" s="8">
        <f>C133-B133</f>
        <v>0</v>
      </c>
      <c r="E133" s="8"/>
      <c r="F133" s="82">
        <f>IFERROR(INDEX(Stock!$A$3:$T$92,MATCH('Bishops Fonthill Overview'!$A133,Stock!$A$3:$A$92,0),MATCH('Bishops Fonthill Overview'!F$69,Stock!$A$3:$T$3,0)),0)</f>
        <v>0.14166666666666666</v>
      </c>
      <c r="G133" s="8">
        <f>IFERROR(INDEX(Stock!$A$3:$T$92,MATCH('Bishops Fonthill Overview'!$A133,Stock!$A$3:$A$92,0),MATCH('Bishops Fonthill Overview'!G$69,Stock!$A$3:$T$3,0)),0)</f>
        <v>0.2</v>
      </c>
      <c r="H133" s="5"/>
    </row>
    <row r="134" spans="1:8" ht="16" x14ac:dyDescent="0.2">
      <c r="A134" s="8" t="s">
        <v>145</v>
      </c>
      <c r="B134" s="8">
        <f>IFERROR(INDEX(Stock!$A$3:$T$92,MATCH('Bishops Fonthill Overview'!$A134,Stock!$A$3:$A$92,0),MATCH('Bishops Fonthill Overview'!B$69,Stock!$A$3:$T$3,0)),0)</f>
        <v>0</v>
      </c>
      <c r="C134" s="8">
        <f>IFERROR(INDEX(Stock!$A$3:$T$92,MATCH('Bishops Fonthill Overview'!$A134,Stock!$A$3:$A$92,0),MATCH('Bishops Fonthill Overview'!C$69,Stock!$A$3:$T$3,0)),0)</f>
        <v>0</v>
      </c>
      <c r="D134" s="8">
        <f>C134-B134</f>
        <v>0</v>
      </c>
      <c r="E134" s="8"/>
      <c r="F134" s="8" t="str">
        <f>IFERROR(INDEX(Stock!$A$3:$T$92,MATCH('Bishops Fonthill Overview'!$A134,Stock!$A$3:$A$92,0),MATCH('Bishops Fonthill Overview'!F$69,Stock!$A$3:$T$3,0)),0)</f>
        <v/>
      </c>
      <c r="G134" s="8" t="str">
        <f>IFERROR(INDEX(Stock!$A$3:$T$92,MATCH('Bishops Fonthill Overview'!$A134,Stock!$A$3:$A$92,0),MATCH('Bishops Fonthill Overview'!G$69,Stock!$A$3:$T$3,0)),0)</f>
        <v/>
      </c>
      <c r="H134" s="5"/>
    </row>
    <row r="135" spans="1:8" ht="16" x14ac:dyDescent="0.2">
      <c r="A135" s="8" t="s">
        <v>146</v>
      </c>
      <c r="B135" s="8">
        <f>IFERROR(INDEX(Stock!$A$3:$T$92,MATCH('Bishops Fonthill Overview'!$A135,Stock!$A$3:$A$92,0),MATCH('Bishops Fonthill Overview'!B$69,Stock!$A$3:$T$3,0)),0)</f>
        <v>0</v>
      </c>
      <c r="C135" s="8">
        <f>IFERROR(INDEX(Stock!$A$3:$T$92,MATCH('Bishops Fonthill Overview'!$A135,Stock!$A$3:$A$92,0),MATCH('Bishops Fonthill Overview'!C$69,Stock!$A$3:$T$3,0)),0)</f>
        <v>0</v>
      </c>
      <c r="D135" s="8">
        <f>C135-B135</f>
        <v>0</v>
      </c>
      <c r="E135" s="8"/>
      <c r="F135" s="8" t="str">
        <f>IFERROR(INDEX(Stock!$A$3:$T$92,MATCH('Bishops Fonthill Overview'!$A135,Stock!$A$3:$A$92,0),MATCH('Bishops Fonthill Overview'!F$69,Stock!$A$3:$T$3,0)),0)</f>
        <v/>
      </c>
      <c r="G135" s="8" t="str">
        <f>IFERROR(INDEX(Stock!$A$3:$T$92,MATCH('Bishops Fonthill Overview'!$A135,Stock!$A$3:$A$92,0),MATCH('Bishops Fonthill Overview'!G$69,Stock!$A$3:$T$3,0)),0)</f>
        <v/>
      </c>
      <c r="H135" s="5"/>
    </row>
    <row r="136" spans="1:8" ht="16" x14ac:dyDescent="0.2">
      <c r="A136" s="8" t="s">
        <v>147</v>
      </c>
      <c r="B136" s="8">
        <f>IFERROR(INDEX(Stock!$A$3:$T$92,MATCH('Bishops Fonthill Overview'!$A136,Stock!$A$3:$A$92,0),MATCH('Bishops Fonthill Overview'!B$69,Stock!$A$3:$T$3,0)),0)</f>
        <v>0</v>
      </c>
      <c r="C136" s="8">
        <f>IFERROR(INDEX(Stock!$A$3:$T$92,MATCH('Bishops Fonthill Overview'!$A136,Stock!$A$3:$A$92,0),MATCH('Bishops Fonthill Overview'!C$69,Stock!$A$3:$T$3,0)),0)</f>
        <v>0</v>
      </c>
      <c r="D136" s="8">
        <f>C136-B136</f>
        <v>0</v>
      </c>
      <c r="E136" s="8"/>
      <c r="F136" s="8" t="str">
        <f>IFERROR(INDEX(Stock!$A$3:$T$92,MATCH('Bishops Fonthill Overview'!$A136,Stock!$A$3:$A$92,0),MATCH('Bishops Fonthill Overview'!F$69,Stock!$A$3:$T$3,0)),0)</f>
        <v/>
      </c>
      <c r="G136" s="8" t="str">
        <f>IFERROR(INDEX(Stock!$A$3:$T$92,MATCH('Bishops Fonthill Overview'!$A136,Stock!$A$3:$A$92,0),MATCH('Bishops Fonthill Overview'!G$69,Stock!$A$3:$T$3,0)),0)</f>
        <v/>
      </c>
      <c r="H136" s="5"/>
    </row>
    <row r="137" spans="1:8" ht="16" x14ac:dyDescent="0.2">
      <c r="A137" s="10" t="s">
        <v>81</v>
      </c>
      <c r="B137" s="83"/>
      <c r="C137" s="83"/>
      <c r="D137" s="83"/>
      <c r="E137" s="83"/>
      <c r="F137" s="83"/>
      <c r="G137" s="84">
        <f>SUM(G133:G136)</f>
        <v>0.2</v>
      </c>
      <c r="H137" s="5"/>
    </row>
    <row r="138" spans="1:8" ht="16" x14ac:dyDescent="0.2">
      <c r="A138" s="10" t="s">
        <v>74</v>
      </c>
      <c r="B138" s="83"/>
      <c r="C138" s="83"/>
      <c r="D138" s="83"/>
      <c r="E138" s="83"/>
      <c r="F138" s="83"/>
      <c r="G138" s="84">
        <f>SUM(F133:F136)</f>
        <v>0.14166666666666666</v>
      </c>
      <c r="H138" s="5"/>
    </row>
    <row r="139" spans="1:8" ht="16" x14ac:dyDescent="0.2">
      <c r="A139" s="8"/>
      <c r="B139" s="8"/>
      <c r="C139" s="8"/>
      <c r="D139" s="8"/>
      <c r="E139" s="8"/>
      <c r="F139" s="8"/>
      <c r="G139" s="82"/>
      <c r="H139" s="5"/>
    </row>
    <row r="140" spans="1:8" ht="34" customHeight="1" x14ac:dyDescent="0.2">
      <c r="A140" s="9" t="s">
        <v>148</v>
      </c>
      <c r="B140" s="90" t="s">
        <v>524</v>
      </c>
      <c r="C140" s="90" t="s">
        <v>525</v>
      </c>
      <c r="D140" s="91" t="s">
        <v>86</v>
      </c>
      <c r="E140" s="92"/>
      <c r="F140" s="93" t="s">
        <v>526</v>
      </c>
      <c r="G140" s="93" t="s">
        <v>527</v>
      </c>
      <c r="H140" s="5"/>
    </row>
    <row r="141" spans="1:8" ht="16" x14ac:dyDescent="0.2">
      <c r="A141" s="8" t="s">
        <v>149</v>
      </c>
      <c r="B141" s="8">
        <f>IFERROR(INDEX(Stock!$A$3:$T$92,MATCH('Bishops Fonthill Overview'!$A141,Stock!$A$3:$A$92,0),MATCH('Bishops Fonthill Overview'!B$69,Stock!$A$3:$T$3,0)),0)</f>
        <v>0</v>
      </c>
      <c r="C141" s="8">
        <f>IFERROR(INDEX(Stock!$A$3:$T$92,MATCH('Bishops Fonthill Overview'!$A141,Stock!$A$3:$A$92,0),MATCH('Bishops Fonthill Overview'!C$69,Stock!$A$3:$T$3,0)),0)</f>
        <v>0</v>
      </c>
      <c r="D141" s="8">
        <f>C141-B141</f>
        <v>0</v>
      </c>
      <c r="E141" s="8"/>
      <c r="F141" s="8" t="str">
        <f>IFERROR(INDEX(Stock!$A$3:$T$92,MATCH('Bishops Fonthill Overview'!$A141,Stock!$A$3:$A$92,0),MATCH('Bishops Fonthill Overview'!F$69,Stock!$A$3:$T$3,0)),0)</f>
        <v/>
      </c>
      <c r="G141" s="8" t="str">
        <f>IFERROR(INDEX(Stock!$A$3:$T$92,MATCH('Bishops Fonthill Overview'!$A141,Stock!$A$3:$A$92,0),MATCH('Bishops Fonthill Overview'!G$69,Stock!$A$3:$T$3,0)),0)</f>
        <v/>
      </c>
      <c r="H141" s="5"/>
    </row>
    <row r="142" spans="1:8" ht="16" x14ac:dyDescent="0.2">
      <c r="A142" s="8" t="s">
        <v>150</v>
      </c>
      <c r="B142" s="8">
        <f>IFERROR(INDEX(Stock!$A$3:$T$92,MATCH('Bishops Fonthill Overview'!$A142,Stock!$A$3:$A$92,0),MATCH('Bishops Fonthill Overview'!B$69,Stock!$A$3:$T$3,0)),0)</f>
        <v>0</v>
      </c>
      <c r="C142" s="8">
        <f>IFERROR(INDEX(Stock!$A$3:$T$92,MATCH('Bishops Fonthill Overview'!$A142,Stock!$A$3:$A$92,0),MATCH('Bishops Fonthill Overview'!C$69,Stock!$A$3:$T$3,0)),0)</f>
        <v>0</v>
      </c>
      <c r="D142" s="8">
        <f>C142-B142</f>
        <v>0</v>
      </c>
      <c r="E142" s="8"/>
      <c r="F142" s="8" t="str">
        <f>IFERROR(INDEX(Stock!$A$3:$T$92,MATCH('Bishops Fonthill Overview'!$A142,Stock!$A$3:$A$92,0),MATCH('Bishops Fonthill Overview'!F$69,Stock!$A$3:$T$3,0)),0)</f>
        <v/>
      </c>
      <c r="G142" s="8" t="str">
        <f>IFERROR(INDEX(Stock!$A$3:$T$92,MATCH('Bishops Fonthill Overview'!$A142,Stock!$A$3:$A$92,0),MATCH('Bishops Fonthill Overview'!G$69,Stock!$A$3:$T$3,0)),0)</f>
        <v/>
      </c>
      <c r="H142" s="5"/>
    </row>
    <row r="143" spans="1:8" ht="16" x14ac:dyDescent="0.2">
      <c r="A143" s="8" t="s">
        <v>151</v>
      </c>
      <c r="B143" s="8">
        <f>SUM(B141:B142)</f>
        <v>0</v>
      </c>
      <c r="C143" s="8">
        <f>SUM(C141:C142)</f>
        <v>0</v>
      </c>
      <c r="D143" s="8">
        <f>SUM(D141:D142)</f>
        <v>0</v>
      </c>
      <c r="E143" s="8"/>
      <c r="F143" s="8">
        <f>IFERROR(INDEX(Stock!$A$3:$T$92,MATCH('Bishops Fonthill Overview'!$A143,Stock!$A$3:$A$92,0),MATCH('Bishops Fonthill Overview'!F$69,Stock!$A$3:$T$3,0)),0)</f>
        <v>0</v>
      </c>
      <c r="G143" s="8">
        <f>IFERROR(INDEX(Stock!$A$3:$T$92,MATCH('Bishops Fonthill Overview'!$A143,Stock!$A$3:$A$92,0),MATCH('Bishops Fonthill Overview'!G$69,Stock!$A$3:$T$3,0)),0)</f>
        <v>0</v>
      </c>
      <c r="H143" s="5"/>
    </row>
    <row r="144" spans="1:8" ht="16" x14ac:dyDescent="0.2">
      <c r="A144" s="10" t="s">
        <v>152</v>
      </c>
      <c r="B144" s="83"/>
      <c r="C144" s="83"/>
      <c r="D144" s="83"/>
      <c r="E144" s="83"/>
      <c r="F144" s="83"/>
      <c r="G144" s="84"/>
      <c r="H144" s="5"/>
    </row>
    <row r="145" spans="1:8" ht="16" x14ac:dyDescent="0.2">
      <c r="A145" s="10" t="s">
        <v>74</v>
      </c>
      <c r="B145" s="83"/>
      <c r="C145" s="83"/>
      <c r="D145" s="83"/>
      <c r="E145" s="83"/>
      <c r="F145" s="83"/>
      <c r="G145" s="84"/>
      <c r="H145" s="5"/>
    </row>
    <row r="146" spans="1:8" ht="16" x14ac:dyDescent="0.2">
      <c r="A146" s="8"/>
      <c r="B146" s="8"/>
      <c r="C146" s="8"/>
      <c r="D146" s="8"/>
      <c r="E146" s="8"/>
      <c r="F146" s="8"/>
      <c r="G146" s="82"/>
      <c r="H146" s="5"/>
    </row>
    <row r="147" spans="1:8" ht="34" customHeight="1" x14ac:dyDescent="0.2">
      <c r="A147" s="9" t="s">
        <v>153</v>
      </c>
      <c r="B147" s="90" t="s">
        <v>524</v>
      </c>
      <c r="C147" s="90" t="s">
        <v>525</v>
      </c>
      <c r="D147" s="91" t="s">
        <v>86</v>
      </c>
      <c r="E147" s="92"/>
      <c r="F147" s="93" t="s">
        <v>526</v>
      </c>
      <c r="G147" s="93" t="s">
        <v>527</v>
      </c>
      <c r="H147" s="5"/>
    </row>
    <row r="148" spans="1:8" ht="16" x14ac:dyDescent="0.2">
      <c r="A148" s="8" t="s">
        <v>154</v>
      </c>
      <c r="B148" s="8">
        <f>IFERROR(INDEX(Stock!$A$3:$T$92,MATCH('Bishops Fonthill Overview'!$A148,Stock!$A$3:$A$92,0),MATCH('Bishops Fonthill Overview'!B$69,Stock!$A$3:$T$3,0)),0)</f>
        <v>0</v>
      </c>
      <c r="C148" s="8">
        <f>IFERROR(INDEX(Stock!$A$3:$T$92,MATCH('Bishops Fonthill Overview'!$A148,Stock!$A$3:$A$92,0),MATCH('Bishops Fonthill Overview'!C$69,Stock!$A$3:$T$3,0)),0)</f>
        <v>0</v>
      </c>
      <c r="D148" s="8">
        <f>C148-B148</f>
        <v>0</v>
      </c>
      <c r="E148" s="8"/>
      <c r="F148" s="8" t="str">
        <f>IFERROR(INDEX(Stock!$A$3:$T$92,MATCH('Bishops Fonthill Overview'!$A148,Stock!$A$3:$A$92,0),MATCH('Bishops Fonthill Overview'!F$69,Stock!$A$3:$T$3,0)),0)</f>
        <v/>
      </c>
      <c r="G148" s="8" t="str">
        <f>IFERROR(INDEX(Stock!$A$3:$T$92,MATCH('Bishops Fonthill Overview'!$A148,Stock!$A$3:$A$92,0),MATCH('Bishops Fonthill Overview'!G$69,Stock!$A$3:$T$3,0)),0)</f>
        <v/>
      </c>
      <c r="H148" s="5"/>
    </row>
    <row r="149" spans="1:8" ht="16" x14ac:dyDescent="0.2">
      <c r="A149" s="8" t="s">
        <v>155</v>
      </c>
      <c r="B149" s="8">
        <f>IFERROR(INDEX(Stock!$A$3:$T$92,MATCH('Bishops Fonthill Overview'!$A149,Stock!$A$3:$A$92,0),MATCH('Bishops Fonthill Overview'!B$69,Stock!$A$3:$T$3,0)),0)</f>
        <v>0</v>
      </c>
      <c r="C149" s="8">
        <f>IFERROR(INDEX(Stock!$A$3:$T$92,MATCH('Bishops Fonthill Overview'!$A149,Stock!$A$3:$A$92,0),MATCH('Bishops Fonthill Overview'!C$69,Stock!$A$3:$T$3,0)),0)</f>
        <v>0</v>
      </c>
      <c r="D149" s="8">
        <f>C149-B149</f>
        <v>0</v>
      </c>
      <c r="E149" s="8"/>
      <c r="F149" s="8" t="str">
        <f>IFERROR(INDEX(Stock!$A$3:$T$92,MATCH('Bishops Fonthill Overview'!$A149,Stock!$A$3:$A$92,0),MATCH('Bishops Fonthill Overview'!F$69,Stock!$A$3:$T$3,0)),0)</f>
        <v/>
      </c>
      <c r="G149" s="8" t="str">
        <f>IFERROR(INDEX(Stock!$A$3:$T$92,MATCH('Bishops Fonthill Overview'!$A149,Stock!$A$3:$A$92,0),MATCH('Bishops Fonthill Overview'!G$69,Stock!$A$3:$T$3,0)),0)</f>
        <v/>
      </c>
      <c r="H149" s="5"/>
    </row>
    <row r="150" spans="1:8" ht="16" x14ac:dyDescent="0.2">
      <c r="A150" s="8" t="s">
        <v>156</v>
      </c>
      <c r="B150" s="8">
        <f>IFERROR(INDEX(Stock!$A$3:$T$92,MATCH('Bishops Fonthill Overview'!$A150,Stock!$A$3:$A$92,0),MATCH('Bishops Fonthill Overview'!B$69,Stock!$A$3:$T$3,0)),0)</f>
        <v>0</v>
      </c>
      <c r="C150" s="8">
        <f>IFERROR(INDEX(Stock!$A$3:$T$92,MATCH('Bishops Fonthill Overview'!$A150,Stock!$A$3:$A$92,0),MATCH('Bishops Fonthill Overview'!C$69,Stock!$A$3:$T$3,0)),0)</f>
        <v>0</v>
      </c>
      <c r="D150" s="8">
        <f>C150-B150</f>
        <v>0</v>
      </c>
      <c r="E150" s="8"/>
      <c r="F150" s="8" t="str">
        <f>IFERROR(INDEX(Stock!$A$3:$T$92,MATCH('Bishops Fonthill Overview'!$A150,Stock!$A$3:$A$92,0),MATCH('Bishops Fonthill Overview'!F$69,Stock!$A$3:$T$3,0)),0)</f>
        <v/>
      </c>
      <c r="G150" s="8" t="str">
        <f>IFERROR(INDEX(Stock!$A$3:$T$92,MATCH('Bishops Fonthill Overview'!$A150,Stock!$A$3:$A$92,0),MATCH('Bishops Fonthill Overview'!G$69,Stock!$A$3:$T$3,0)),0)</f>
        <v/>
      </c>
      <c r="H150" s="5"/>
    </row>
    <row r="151" spans="1:8" ht="16" x14ac:dyDescent="0.2">
      <c r="A151" s="10" t="s">
        <v>81</v>
      </c>
      <c r="B151" s="83"/>
      <c r="C151" s="83"/>
      <c r="D151" s="83"/>
      <c r="E151" s="83"/>
      <c r="F151" s="83"/>
      <c r="G151" s="84">
        <f>SUM(G148:G150)</f>
        <v>0</v>
      </c>
      <c r="H151" s="5"/>
    </row>
    <row r="152" spans="1:8" ht="16" x14ac:dyDescent="0.2">
      <c r="A152" s="10" t="s">
        <v>74</v>
      </c>
      <c r="B152" s="83"/>
      <c r="C152" s="83"/>
      <c r="D152" s="83"/>
      <c r="E152" s="83"/>
      <c r="F152" s="83"/>
      <c r="G152" s="84">
        <f>SUM(F148:F150)</f>
        <v>0</v>
      </c>
      <c r="H152" s="5"/>
    </row>
    <row r="153" spans="1:8" ht="16" x14ac:dyDescent="0.2">
      <c r="A153" s="8"/>
      <c r="B153" s="8"/>
      <c r="C153" s="8"/>
      <c r="D153" s="8"/>
      <c r="E153" s="8"/>
      <c r="F153" s="8"/>
      <c r="G153" s="82"/>
      <c r="H153" s="5"/>
    </row>
    <row r="154" spans="1:8" ht="17" customHeight="1" x14ac:dyDescent="0.2">
      <c r="A154" s="8"/>
      <c r="B154" s="8"/>
      <c r="C154" s="8"/>
      <c r="D154" s="8"/>
      <c r="E154" s="8"/>
      <c r="F154" s="8"/>
      <c r="G154" s="82"/>
      <c r="H154" s="5"/>
    </row>
    <row r="155" spans="1:8" ht="17" customHeight="1" x14ac:dyDescent="0.2">
      <c r="A155" s="60"/>
      <c r="B155" s="61" t="s">
        <v>1</v>
      </c>
      <c r="C155" s="62"/>
      <c r="D155" s="94"/>
      <c r="E155" s="95"/>
      <c r="F155" s="8"/>
      <c r="G155" s="82"/>
      <c r="H155" s="5"/>
    </row>
    <row r="156" spans="1:8" ht="16" x14ac:dyDescent="0.2">
      <c r="A156" s="54" t="s">
        <v>157</v>
      </c>
      <c r="B156" s="19">
        <f>G151+G144+G138+G129+G105+G97+F55</f>
        <v>36.374450757575758</v>
      </c>
      <c r="C156" s="5"/>
      <c r="D156" s="4"/>
      <c r="E156" s="96"/>
      <c r="F156" s="8"/>
      <c r="G156" s="97"/>
      <c r="H156" s="5"/>
    </row>
    <row r="157" spans="1:8" ht="16" x14ac:dyDescent="0.2">
      <c r="A157" s="55" t="s">
        <v>158</v>
      </c>
      <c r="B157" s="19">
        <f>G152+G145+G138+G130+G106+G97+F56</f>
        <v>36.29445075757576</v>
      </c>
      <c r="C157" s="5"/>
      <c r="D157" s="4"/>
      <c r="E157" s="96"/>
      <c r="F157" s="8"/>
      <c r="G157" s="97"/>
      <c r="H157" s="5"/>
    </row>
    <row r="158" spans="1:8" ht="16" x14ac:dyDescent="0.2">
      <c r="A158" s="55" t="s">
        <v>159</v>
      </c>
      <c r="B158" s="19">
        <f>G11+G12</f>
        <v>30.345833333333335</v>
      </c>
      <c r="C158" s="5"/>
      <c r="D158" s="4"/>
      <c r="E158" s="96"/>
      <c r="F158" s="8"/>
      <c r="G158" s="97"/>
      <c r="H158" s="5"/>
    </row>
    <row r="159" spans="1:8" ht="16" x14ac:dyDescent="0.2">
      <c r="A159" s="55" t="s">
        <v>160</v>
      </c>
      <c r="B159" s="19">
        <f>B156+G9+G10+G13+G14</f>
        <v>42.941117424242421</v>
      </c>
      <c r="C159" s="5"/>
      <c r="D159" s="4"/>
      <c r="E159" s="96"/>
      <c r="F159" s="8"/>
      <c r="G159" s="82"/>
      <c r="H159" s="5"/>
    </row>
    <row r="160" spans="1:8" ht="16" x14ac:dyDescent="0.2">
      <c r="A160" s="56"/>
      <c r="B160" s="4"/>
      <c r="C160" s="5"/>
      <c r="D160" s="4"/>
      <c r="E160" s="96"/>
      <c r="F160" s="8"/>
      <c r="G160" s="98"/>
      <c r="H160" s="5"/>
    </row>
    <row r="161" spans="1:8" ht="16" x14ac:dyDescent="0.2">
      <c r="A161" s="57" t="s">
        <v>161</v>
      </c>
      <c r="B161" s="99">
        <f>G33/B156</f>
        <v>5.0058029617233622E-2</v>
      </c>
      <c r="C161" s="22"/>
      <c r="D161" s="4"/>
      <c r="E161" s="96"/>
      <c r="F161" s="8"/>
      <c r="G161" s="97"/>
      <c r="H161" s="5"/>
    </row>
    <row r="162" spans="1:8" ht="16" x14ac:dyDescent="0.2">
      <c r="A162" s="55" t="s">
        <v>162</v>
      </c>
      <c r="B162" s="99">
        <f>G33/B159</f>
        <v>4.2403026342891142E-2</v>
      </c>
      <c r="C162" s="5"/>
      <c r="D162" s="4"/>
      <c r="E162" s="96"/>
      <c r="G162" s="82"/>
      <c r="H162" s="5"/>
    </row>
    <row r="163" spans="1:8" ht="16" x14ac:dyDescent="0.2">
      <c r="A163" s="56"/>
      <c r="B163" s="4"/>
      <c r="C163" s="5"/>
      <c r="D163" s="4"/>
      <c r="E163" s="96"/>
      <c r="F163" s="8"/>
      <c r="G163" s="97"/>
      <c r="H163" s="5"/>
    </row>
    <row r="164" spans="1:8" ht="17" customHeight="1" x14ac:dyDescent="0.2">
      <c r="A164" s="58" t="s">
        <v>163</v>
      </c>
      <c r="B164" s="100">
        <v>4.5199999999999997E-2</v>
      </c>
      <c r="C164" s="59"/>
      <c r="D164" s="101"/>
      <c r="E164" s="102"/>
    </row>
  </sheetData>
  <mergeCells count="1">
    <mergeCell ref="B46:C4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1"/>
  <sheetViews>
    <sheetView workbookViewId="0"/>
  </sheetViews>
  <sheetFormatPr baseColWidth="10" defaultColWidth="8.83203125" defaultRowHeight="15" x14ac:dyDescent="0.2"/>
  <cols>
    <col min="1" max="1" width="41.5" customWidth="1"/>
  </cols>
  <sheetData>
    <row r="1" spans="1:8" ht="16" x14ac:dyDescent="0.2">
      <c r="A1" t="s">
        <v>530</v>
      </c>
      <c r="F1" s="103"/>
      <c r="H1" s="5"/>
    </row>
    <row r="2" spans="1:8" ht="16" x14ac:dyDescent="0.2">
      <c r="B2" s="46" t="s">
        <v>500</v>
      </c>
      <c r="C2" s="47" t="s">
        <v>501</v>
      </c>
      <c r="D2" s="47" t="s">
        <v>502</v>
      </c>
      <c r="E2" s="6"/>
      <c r="F2" s="2" t="s">
        <v>1</v>
      </c>
      <c r="G2" s="104" t="s">
        <v>2</v>
      </c>
      <c r="H2" s="6" t="s">
        <v>531</v>
      </c>
    </row>
    <row r="3" spans="1:8" ht="16" x14ac:dyDescent="0.2">
      <c r="F3" s="103"/>
      <c r="H3" s="5"/>
    </row>
    <row r="4" spans="1:8" ht="16" x14ac:dyDescent="0.2">
      <c r="A4" s="6" t="s">
        <v>503</v>
      </c>
      <c r="F4" s="103"/>
      <c r="H4" s="5"/>
    </row>
    <row r="5" spans="1:8" ht="16" x14ac:dyDescent="0.2">
      <c r="A5" t="s">
        <v>532</v>
      </c>
      <c r="B5">
        <v>11</v>
      </c>
      <c r="C5">
        <v>7</v>
      </c>
      <c r="D5">
        <v>9</v>
      </c>
      <c r="F5" s="105">
        <f>B5+C5/20+D5/240</f>
        <v>11.387499999999999</v>
      </c>
      <c r="H5" s="5"/>
    </row>
    <row r="6" spans="1:8" ht="16" x14ac:dyDescent="0.2">
      <c r="A6" t="s">
        <v>533</v>
      </c>
      <c r="B6">
        <v>11</v>
      </c>
      <c r="C6">
        <v>7</v>
      </c>
      <c r="D6">
        <v>9</v>
      </c>
      <c r="F6" s="105">
        <f>B6+C6/20+D6/240</f>
        <v>11.387499999999999</v>
      </c>
      <c r="H6" s="5"/>
    </row>
    <row r="8" spans="1:8" ht="16" x14ac:dyDescent="0.2">
      <c r="A8" s="6" t="s">
        <v>200</v>
      </c>
    </row>
    <row r="9" spans="1:8" ht="16" x14ac:dyDescent="0.2">
      <c r="A9" t="s">
        <v>534</v>
      </c>
      <c r="B9">
        <v>1</v>
      </c>
      <c r="C9">
        <v>5</v>
      </c>
      <c r="D9">
        <v>0.75</v>
      </c>
      <c r="F9" s="105">
        <f t="shared" ref="F9:F14" si="0">B9+C9/20+D9/240</f>
        <v>1.253125</v>
      </c>
    </row>
    <row r="10" spans="1:8" ht="16" x14ac:dyDescent="0.2">
      <c r="A10" t="s">
        <v>535</v>
      </c>
      <c r="B10">
        <v>1</v>
      </c>
      <c r="C10">
        <v>5</v>
      </c>
      <c r="D10">
        <v>0.75</v>
      </c>
      <c r="F10" s="105">
        <f t="shared" si="0"/>
        <v>1.253125</v>
      </c>
    </row>
    <row r="11" spans="1:8" ht="16" x14ac:dyDescent="0.2">
      <c r="A11" t="s">
        <v>536</v>
      </c>
      <c r="B11">
        <v>1</v>
      </c>
      <c r="C11">
        <v>5</v>
      </c>
      <c r="D11">
        <v>0.75</v>
      </c>
      <c r="F11" s="105">
        <f t="shared" si="0"/>
        <v>1.253125</v>
      </c>
    </row>
    <row r="12" spans="1:8" ht="16" x14ac:dyDescent="0.2">
      <c r="A12" t="s">
        <v>537</v>
      </c>
      <c r="B12">
        <v>1</v>
      </c>
      <c r="C12">
        <v>5</v>
      </c>
      <c r="D12">
        <v>0.75</v>
      </c>
      <c r="F12" s="105">
        <f t="shared" si="0"/>
        <v>1.253125</v>
      </c>
    </row>
    <row r="13" spans="1:8" ht="16" x14ac:dyDescent="0.2">
      <c r="A13" s="6" t="s">
        <v>538</v>
      </c>
      <c r="B13">
        <v>5</v>
      </c>
      <c r="D13">
        <v>3</v>
      </c>
      <c r="F13" s="105">
        <f t="shared" si="0"/>
        <v>5.0125000000000002</v>
      </c>
    </row>
    <row r="14" spans="1:8" ht="16" x14ac:dyDescent="0.2">
      <c r="A14" s="6" t="s">
        <v>528</v>
      </c>
      <c r="B14">
        <f>SUM(B9:B12)</f>
        <v>4</v>
      </c>
      <c r="C14">
        <f>SUM(C9:C12)</f>
        <v>20</v>
      </c>
      <c r="D14">
        <f>SUM(D9:D12)</f>
        <v>3</v>
      </c>
      <c r="F14" s="105">
        <f t="shared" si="0"/>
        <v>5.0125000000000002</v>
      </c>
      <c r="G14" s="103">
        <f>F14-F13</f>
        <v>0</v>
      </c>
    </row>
    <row r="16" spans="1:8" ht="16" x14ac:dyDescent="0.2">
      <c r="A16" s="6" t="s">
        <v>504</v>
      </c>
    </row>
    <row r="17" spans="1:8" ht="16" x14ac:dyDescent="0.2">
      <c r="A17" t="s">
        <v>539</v>
      </c>
      <c r="C17">
        <v>2</v>
      </c>
      <c r="F17" s="105">
        <f t="shared" ref="F17:F24" si="1">B17+C17/20+D17/240</f>
        <v>0.1</v>
      </c>
    </row>
    <row r="18" spans="1:8" ht="16" x14ac:dyDescent="0.2">
      <c r="A18" t="s">
        <v>540</v>
      </c>
      <c r="C18">
        <v>2</v>
      </c>
      <c r="F18" s="105">
        <f t="shared" si="1"/>
        <v>0.1</v>
      </c>
    </row>
    <row r="19" spans="1:8" ht="16" x14ac:dyDescent="0.2">
      <c r="A19" t="s">
        <v>541</v>
      </c>
      <c r="C19">
        <v>2</v>
      </c>
      <c r="F19" s="105">
        <f t="shared" si="1"/>
        <v>0.1</v>
      </c>
    </row>
    <row r="20" spans="1:8" ht="16" x14ac:dyDescent="0.2">
      <c r="A20" t="s">
        <v>542</v>
      </c>
      <c r="C20">
        <v>2</v>
      </c>
      <c r="F20" s="105">
        <f t="shared" si="1"/>
        <v>0.1</v>
      </c>
    </row>
    <row r="21" spans="1:8" ht="16" x14ac:dyDescent="0.2">
      <c r="A21" t="s">
        <v>543</v>
      </c>
      <c r="C21">
        <v>3</v>
      </c>
      <c r="D21">
        <v>6</v>
      </c>
      <c r="F21" s="105">
        <f t="shared" si="1"/>
        <v>0.17499999999999999</v>
      </c>
    </row>
    <row r="22" spans="1:8" ht="16" x14ac:dyDescent="0.2">
      <c r="A22" t="s">
        <v>544</v>
      </c>
      <c r="C22">
        <v>10</v>
      </c>
      <c r="F22" s="105">
        <f t="shared" si="1"/>
        <v>0.5</v>
      </c>
    </row>
    <row r="23" spans="1:8" ht="16" x14ac:dyDescent="0.2">
      <c r="A23" s="6" t="s">
        <v>538</v>
      </c>
      <c r="B23">
        <v>1</v>
      </c>
      <c r="C23">
        <v>1</v>
      </c>
      <c r="D23">
        <v>6</v>
      </c>
      <c r="F23" s="105">
        <f t="shared" si="1"/>
        <v>1.075</v>
      </c>
    </row>
    <row r="24" spans="1:8" ht="16" x14ac:dyDescent="0.2">
      <c r="A24" s="6" t="s">
        <v>528</v>
      </c>
      <c r="B24">
        <f>SUM(B17:B22)</f>
        <v>0</v>
      </c>
      <c r="C24">
        <f>SUM(C17:C22)</f>
        <v>21</v>
      </c>
      <c r="D24">
        <f>SUM(D17:D22)</f>
        <v>6</v>
      </c>
      <c r="F24" s="105">
        <f t="shared" si="1"/>
        <v>1.075</v>
      </c>
      <c r="G24" s="103">
        <f>F24-F23</f>
        <v>0</v>
      </c>
    </row>
    <row r="26" spans="1:8" ht="16" x14ac:dyDescent="0.2">
      <c r="A26" s="6" t="s">
        <v>506</v>
      </c>
      <c r="B26">
        <v>3</v>
      </c>
      <c r="C26">
        <v>18</v>
      </c>
      <c r="D26">
        <v>9</v>
      </c>
      <c r="F26" s="105">
        <f>B26+C26/20+D26/240</f>
        <v>3.9375</v>
      </c>
      <c r="H26" t="s">
        <v>545</v>
      </c>
    </row>
    <row r="27" spans="1:8" ht="16" x14ac:dyDescent="0.2">
      <c r="F27" s="105"/>
    </row>
    <row r="28" spans="1:8" ht="16" x14ac:dyDescent="0.2">
      <c r="A28" s="6" t="s">
        <v>546</v>
      </c>
      <c r="F28" s="105"/>
    </row>
    <row r="29" spans="1:8" ht="16" x14ac:dyDescent="0.2">
      <c r="F29" s="105">
        <f>B29+C29/20+D29/240</f>
        <v>0</v>
      </c>
    </row>
    <row r="30" spans="1:8" ht="16" x14ac:dyDescent="0.2">
      <c r="A30" s="6" t="s">
        <v>538</v>
      </c>
      <c r="F30" s="105">
        <f>B30+C30/20+D30/240</f>
        <v>0</v>
      </c>
    </row>
    <row r="31" spans="1:8" ht="16" x14ac:dyDescent="0.2">
      <c r="A31" s="6" t="s">
        <v>528</v>
      </c>
      <c r="B31">
        <f>SUM(B29)</f>
        <v>0</v>
      </c>
      <c r="C31">
        <f>SUM(C29)</f>
        <v>0</v>
      </c>
      <c r="D31">
        <f>SUM(D29)</f>
        <v>0</v>
      </c>
      <c r="F31" s="105">
        <f>B31+C31/20+D31/240</f>
        <v>0</v>
      </c>
      <c r="G31" s="103">
        <f>F31-F30</f>
        <v>0</v>
      </c>
    </row>
    <row r="33" spans="1:7" ht="16" x14ac:dyDescent="0.2">
      <c r="A33" s="6" t="s">
        <v>547</v>
      </c>
    </row>
    <row r="34" spans="1:7" ht="16" x14ac:dyDescent="0.2">
      <c r="A34" t="s">
        <v>548</v>
      </c>
      <c r="D34">
        <v>3</v>
      </c>
      <c r="F34" s="105">
        <f>B34+C34/20+D34/240</f>
        <v>1.2500000000000001E-2</v>
      </c>
    </row>
    <row r="35" spans="1:7" ht="16" x14ac:dyDescent="0.2">
      <c r="A35" t="s">
        <v>549</v>
      </c>
      <c r="D35">
        <v>3</v>
      </c>
      <c r="F35" s="105">
        <f>B35+C35/20+D35/240</f>
        <v>1.2500000000000001E-2</v>
      </c>
    </row>
    <row r="36" spans="1:7" ht="16" x14ac:dyDescent="0.2">
      <c r="A36" t="s">
        <v>550</v>
      </c>
      <c r="D36">
        <v>3</v>
      </c>
      <c r="F36" s="105">
        <f>B36+C36/20+D36/240</f>
        <v>1.2500000000000001E-2</v>
      </c>
    </row>
    <row r="37" spans="1:7" ht="16" x14ac:dyDescent="0.2">
      <c r="A37" s="6" t="s">
        <v>538</v>
      </c>
      <c r="D37">
        <v>9</v>
      </c>
      <c r="F37" s="105">
        <f>B37+C37/20+D37/240</f>
        <v>3.7499999999999999E-2</v>
      </c>
    </row>
    <row r="38" spans="1:7" ht="16" x14ac:dyDescent="0.2">
      <c r="A38" s="6" t="s">
        <v>528</v>
      </c>
      <c r="B38">
        <f>SUM(B34:B36)</f>
        <v>0</v>
      </c>
      <c r="C38">
        <f>SUM(C34:C36)</f>
        <v>0</v>
      </c>
      <c r="D38">
        <f>SUM(D34:D36)</f>
        <v>9</v>
      </c>
      <c r="F38" s="105">
        <f>B38+C38/20+D38/240</f>
        <v>3.7499999999999999E-2</v>
      </c>
      <c r="G38" s="103">
        <f>F38-F37</f>
        <v>0</v>
      </c>
    </row>
    <row r="39" spans="1:7" ht="16" x14ac:dyDescent="0.2">
      <c r="A39" s="103"/>
    </row>
    <row r="40" spans="1:7" ht="16" x14ac:dyDescent="0.2">
      <c r="A40" s="6" t="s">
        <v>272</v>
      </c>
    </row>
    <row r="41" spans="1:7" ht="16" x14ac:dyDescent="0.2">
      <c r="A41" t="s">
        <v>551</v>
      </c>
      <c r="C41">
        <v>2</v>
      </c>
      <c r="D41">
        <v>2</v>
      </c>
      <c r="F41" s="105">
        <f t="shared" ref="F41:F55" si="2">B41+C41/20+D41/240</f>
        <v>0.10833333333333334</v>
      </c>
    </row>
    <row r="42" spans="1:7" ht="16" x14ac:dyDescent="0.2">
      <c r="A42" t="s">
        <v>552</v>
      </c>
      <c r="C42">
        <v>1</v>
      </c>
      <c r="D42">
        <v>11</v>
      </c>
      <c r="F42" s="105">
        <f t="shared" si="2"/>
        <v>9.5833333333333326E-2</v>
      </c>
    </row>
    <row r="43" spans="1:7" ht="16" x14ac:dyDescent="0.2">
      <c r="A43" t="s">
        <v>553</v>
      </c>
      <c r="B43">
        <v>2</v>
      </c>
      <c r="C43">
        <v>18</v>
      </c>
      <c r="D43">
        <v>7</v>
      </c>
      <c r="F43" s="105">
        <f t="shared" si="2"/>
        <v>2.9291666666666667</v>
      </c>
    </row>
    <row r="44" spans="1:7" ht="16" x14ac:dyDescent="0.2">
      <c r="A44" t="s">
        <v>554</v>
      </c>
      <c r="C44">
        <v>16</v>
      </c>
      <c r="F44" s="105">
        <f t="shared" si="2"/>
        <v>0.8</v>
      </c>
    </row>
    <row r="45" spans="1:7" ht="16" x14ac:dyDescent="0.2">
      <c r="A45" t="s">
        <v>555</v>
      </c>
      <c r="B45">
        <v>2</v>
      </c>
      <c r="C45">
        <v>19</v>
      </c>
      <c r="D45">
        <v>6</v>
      </c>
      <c r="F45" s="105">
        <f t="shared" si="2"/>
        <v>2.9750000000000001</v>
      </c>
    </row>
    <row r="46" spans="1:7" ht="16" x14ac:dyDescent="0.2">
      <c r="A46" t="s">
        <v>556</v>
      </c>
      <c r="C46">
        <v>2</v>
      </c>
      <c r="D46">
        <v>3.5</v>
      </c>
      <c r="F46" s="105">
        <f t="shared" si="2"/>
        <v>0.11458333333333334</v>
      </c>
    </row>
    <row r="47" spans="1:7" ht="16" x14ac:dyDescent="0.2">
      <c r="A47" t="s">
        <v>557</v>
      </c>
      <c r="E47">
        <v>9.5</v>
      </c>
      <c r="F47" s="105">
        <f t="shared" si="2"/>
        <v>0</v>
      </c>
    </row>
    <row r="48" spans="1:7" ht="16" x14ac:dyDescent="0.2">
      <c r="A48" t="s">
        <v>558</v>
      </c>
      <c r="C48">
        <v>2</v>
      </c>
      <c r="D48">
        <v>10</v>
      </c>
      <c r="F48" s="105">
        <f t="shared" si="2"/>
        <v>0.14166666666666666</v>
      </c>
    </row>
    <row r="49" spans="1:7" ht="16" x14ac:dyDescent="0.2">
      <c r="A49" t="s">
        <v>559</v>
      </c>
      <c r="C49">
        <v>2</v>
      </c>
      <c r="D49">
        <v>6</v>
      </c>
      <c r="F49" s="105">
        <f t="shared" si="2"/>
        <v>0.125</v>
      </c>
    </row>
    <row r="50" spans="1:7" ht="16" x14ac:dyDescent="0.2">
      <c r="A50" t="s">
        <v>560</v>
      </c>
      <c r="C50">
        <v>2</v>
      </c>
      <c r="F50" s="105">
        <f t="shared" si="2"/>
        <v>0.1</v>
      </c>
    </row>
    <row r="51" spans="1:7" ht="16" x14ac:dyDescent="0.2">
      <c r="A51" t="s">
        <v>561</v>
      </c>
      <c r="C51">
        <v>2</v>
      </c>
      <c r="F51" s="105">
        <f t="shared" si="2"/>
        <v>0.1</v>
      </c>
    </row>
    <row r="52" spans="1:7" ht="16" x14ac:dyDescent="0.2">
      <c r="A52" t="s">
        <v>562</v>
      </c>
      <c r="C52">
        <v>3</v>
      </c>
      <c r="D52">
        <v>8</v>
      </c>
      <c r="F52" s="105">
        <f t="shared" si="2"/>
        <v>0.18333333333333332</v>
      </c>
    </row>
    <row r="53" spans="1:7" ht="16" x14ac:dyDescent="0.2">
      <c r="A53" t="s">
        <v>563</v>
      </c>
      <c r="D53">
        <v>10</v>
      </c>
      <c r="F53" s="105">
        <f t="shared" si="2"/>
        <v>4.1666666666666664E-2</v>
      </c>
    </row>
    <row r="54" spans="1:7" ht="16" x14ac:dyDescent="0.2">
      <c r="A54" s="6" t="s">
        <v>538</v>
      </c>
      <c r="B54">
        <v>7</v>
      </c>
      <c r="C54">
        <v>15</v>
      </c>
      <c r="D54">
        <v>1</v>
      </c>
      <c r="F54" s="105">
        <f t="shared" si="2"/>
        <v>7.7541666666666664</v>
      </c>
    </row>
    <row r="55" spans="1:7" ht="16" x14ac:dyDescent="0.2">
      <c r="A55" s="6" t="s">
        <v>528</v>
      </c>
      <c r="B55">
        <f>SUM(B41:B53)</f>
        <v>4</v>
      </c>
      <c r="C55">
        <f>SUM(C41:C53)</f>
        <v>69</v>
      </c>
      <c r="D55">
        <f>SUM(D41:D53)</f>
        <v>63.5</v>
      </c>
      <c r="F55" s="105">
        <f t="shared" si="2"/>
        <v>7.7145833333333336</v>
      </c>
      <c r="G55" s="103">
        <f>F55-F54</f>
        <v>-3.958333333333286E-2</v>
      </c>
    </row>
    <row r="57" spans="1:7" ht="16" x14ac:dyDescent="0.2">
      <c r="A57" s="6" t="s">
        <v>321</v>
      </c>
    </row>
    <row r="58" spans="1:7" ht="16" x14ac:dyDescent="0.2">
      <c r="A58" t="s">
        <v>564</v>
      </c>
      <c r="B58">
        <v>14</v>
      </c>
      <c r="C58">
        <v>16</v>
      </c>
      <c r="D58">
        <v>10.5</v>
      </c>
      <c r="F58" s="105">
        <f t="shared" ref="F58:F64" si="3">B58+C58/20+D58/240</f>
        <v>14.84375</v>
      </c>
    </row>
    <row r="59" spans="1:7" ht="16" x14ac:dyDescent="0.2">
      <c r="A59" t="s">
        <v>565</v>
      </c>
      <c r="C59">
        <v>2</v>
      </c>
      <c r="D59">
        <v>3</v>
      </c>
      <c r="F59" s="105">
        <f t="shared" si="3"/>
        <v>0.1125</v>
      </c>
    </row>
    <row r="60" spans="1:7" ht="16" x14ac:dyDescent="0.2">
      <c r="A60" t="s">
        <v>566</v>
      </c>
      <c r="B60">
        <v>4</v>
      </c>
      <c r="C60">
        <v>19</v>
      </c>
      <c r="D60">
        <v>2</v>
      </c>
      <c r="F60" s="105">
        <f t="shared" si="3"/>
        <v>4.9583333333333339</v>
      </c>
    </row>
    <row r="61" spans="1:7" ht="16" x14ac:dyDescent="0.2">
      <c r="A61" t="s">
        <v>567</v>
      </c>
      <c r="B61">
        <v>2</v>
      </c>
      <c r="C61">
        <v>8</v>
      </c>
      <c r="D61">
        <v>4</v>
      </c>
      <c r="F61" s="105">
        <f t="shared" si="3"/>
        <v>2.4166666666666665</v>
      </c>
    </row>
    <row r="62" spans="1:7" ht="16" x14ac:dyDescent="0.2">
      <c r="A62" t="s">
        <v>568</v>
      </c>
      <c r="C62">
        <v>6</v>
      </c>
      <c r="F62" s="105">
        <f t="shared" si="3"/>
        <v>0.3</v>
      </c>
    </row>
    <row r="63" spans="1:7" ht="16" x14ac:dyDescent="0.2">
      <c r="A63" s="6" t="s">
        <v>538</v>
      </c>
      <c r="B63">
        <v>22</v>
      </c>
      <c r="C63">
        <v>12</v>
      </c>
      <c r="D63">
        <v>7.5</v>
      </c>
      <c r="F63" s="105">
        <f t="shared" si="3"/>
        <v>22.631250000000001</v>
      </c>
    </row>
    <row r="64" spans="1:7" ht="16" x14ac:dyDescent="0.2">
      <c r="A64" s="6" t="s">
        <v>528</v>
      </c>
      <c r="B64">
        <f>SUM(B58:B62)</f>
        <v>20</v>
      </c>
      <c r="C64">
        <f>SUM(C58:C62)</f>
        <v>51</v>
      </c>
      <c r="D64">
        <f>SUM(D58:D62)</f>
        <v>19.5</v>
      </c>
      <c r="F64" s="105">
        <f t="shared" si="3"/>
        <v>22.631250000000001</v>
      </c>
      <c r="G64" s="103">
        <f>F64-F63</f>
        <v>0</v>
      </c>
    </row>
    <row r="66" spans="1:7" ht="16" x14ac:dyDescent="0.2">
      <c r="A66" s="6" t="s">
        <v>329</v>
      </c>
    </row>
    <row r="67" spans="1:7" ht="16" x14ac:dyDescent="0.2">
      <c r="A67" t="s">
        <v>569</v>
      </c>
      <c r="C67">
        <v>3</v>
      </c>
      <c r="F67" s="105">
        <f>B67+C67/20+D67/240</f>
        <v>0.15</v>
      </c>
    </row>
    <row r="68" spans="1:7" ht="16" x14ac:dyDescent="0.2">
      <c r="A68" t="s">
        <v>570</v>
      </c>
      <c r="C68">
        <v>3</v>
      </c>
      <c r="F68" s="105">
        <f>B68+C68/20+D68/240</f>
        <v>0.15</v>
      </c>
    </row>
    <row r="69" spans="1:7" ht="16" x14ac:dyDescent="0.2">
      <c r="A69" t="s">
        <v>571</v>
      </c>
      <c r="C69">
        <v>5</v>
      </c>
      <c r="F69" s="105">
        <f>B69+C69/20+D69/240</f>
        <v>0.25</v>
      </c>
    </row>
    <row r="70" spans="1:7" ht="16" x14ac:dyDescent="0.2">
      <c r="A70" s="6" t="s">
        <v>538</v>
      </c>
      <c r="C70">
        <v>11</v>
      </c>
      <c r="F70" s="105">
        <f>B70+C70/20+D70/240</f>
        <v>0.55000000000000004</v>
      </c>
    </row>
    <row r="71" spans="1:7" ht="16" x14ac:dyDescent="0.2">
      <c r="A71" s="6" t="s">
        <v>528</v>
      </c>
      <c r="B71">
        <f>SUM(B67:B69)</f>
        <v>0</v>
      </c>
      <c r="C71">
        <f>SUM(C67:C69)</f>
        <v>11</v>
      </c>
      <c r="D71">
        <f>SUM(D67:D69)</f>
        <v>0</v>
      </c>
      <c r="F71" s="105">
        <f>B71+C71/20+D71/240</f>
        <v>0.55000000000000004</v>
      </c>
      <c r="G71" s="103">
        <f>F71-F70</f>
        <v>0</v>
      </c>
    </row>
    <row r="73" spans="1:7" ht="16" x14ac:dyDescent="0.2">
      <c r="A73" s="6" t="s">
        <v>572</v>
      </c>
    </row>
    <row r="74" spans="1:7" ht="16" x14ac:dyDescent="0.2">
      <c r="A74" t="s">
        <v>573</v>
      </c>
      <c r="B74">
        <v>2</v>
      </c>
      <c r="D74">
        <v>10</v>
      </c>
      <c r="F74" s="105">
        <f>B74+C74/20+D74/240</f>
        <v>2.0416666666666665</v>
      </c>
    </row>
    <row r="75" spans="1:7" ht="16" x14ac:dyDescent="0.2">
      <c r="A75" s="6" t="s">
        <v>538</v>
      </c>
      <c r="B75">
        <v>2</v>
      </c>
      <c r="D75">
        <v>10</v>
      </c>
      <c r="F75" s="105">
        <f>B75+C75/20+D75/240</f>
        <v>2.0416666666666665</v>
      </c>
    </row>
    <row r="76" spans="1:7" ht="16" x14ac:dyDescent="0.2">
      <c r="A76" s="6" t="s">
        <v>528</v>
      </c>
      <c r="B76">
        <f>SUM(B74)</f>
        <v>2</v>
      </c>
      <c r="C76">
        <f>SUM(C74)</f>
        <v>0</v>
      </c>
      <c r="D76">
        <f>SUM(D74)</f>
        <v>10</v>
      </c>
      <c r="F76" s="105">
        <f>B76+C76/20+D76/240</f>
        <v>2.0416666666666665</v>
      </c>
      <c r="G76" s="103">
        <f>F76-F75</f>
        <v>0</v>
      </c>
    </row>
    <row r="78" spans="1:7" ht="16" x14ac:dyDescent="0.2">
      <c r="A78" s="3" t="s">
        <v>574</v>
      </c>
      <c r="B78">
        <f>B79-B5</f>
        <v>30</v>
      </c>
      <c r="C78">
        <f>C79-C5</f>
        <v>172</v>
      </c>
      <c r="D78">
        <f>D79-D5</f>
        <v>111</v>
      </c>
      <c r="F78" s="105">
        <f>B78+C78/20+D78/240</f>
        <v>39.0625</v>
      </c>
    </row>
    <row r="79" spans="1:7" ht="16" x14ac:dyDescent="0.2">
      <c r="A79" s="3" t="s">
        <v>575</v>
      </c>
      <c r="B79">
        <f>SUM(B5,B14,B24,B31,B38,B55,B64,B71,B76)</f>
        <v>41</v>
      </c>
      <c r="C79">
        <f>SUM(C5,C14,C24,C31,C38,C55,C64,C71,C76)</f>
        <v>179</v>
      </c>
      <c r="D79">
        <f>SUM(D5,D14,D24,D31,D38,D55,D64,D71,D76)</f>
        <v>120</v>
      </c>
      <c r="F79" s="105">
        <f>B79+C79/20+D79/240</f>
        <v>50.45</v>
      </c>
    </row>
    <row r="80" spans="1:7" ht="16" x14ac:dyDescent="0.2">
      <c r="A80" s="3" t="s">
        <v>576</v>
      </c>
      <c r="B80">
        <v>36</v>
      </c>
      <c r="C80">
        <v>19</v>
      </c>
      <c r="D80">
        <v>0.5</v>
      </c>
      <c r="F80" s="105">
        <f>B80+C80/20+D80/240</f>
        <v>36.952083333333334</v>
      </c>
      <c r="G80" s="103">
        <f>F80-F78</f>
        <v>-2.1104166666666657</v>
      </c>
    </row>
    <row r="81" spans="1:7" ht="16" x14ac:dyDescent="0.2">
      <c r="A81" s="3" t="s">
        <v>577</v>
      </c>
      <c r="F81" s="105"/>
      <c r="G81" s="10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8"/>
  <sheetViews>
    <sheetView workbookViewId="0"/>
  </sheetViews>
  <sheetFormatPr baseColWidth="10" defaultColWidth="8.83203125" defaultRowHeight="15" x14ac:dyDescent="0.2"/>
  <cols>
    <col min="1" max="1" width="39" customWidth="1"/>
  </cols>
  <sheetData>
    <row r="1" spans="1:8" ht="16" x14ac:dyDescent="0.2">
      <c r="A1" s="8" t="s">
        <v>578</v>
      </c>
      <c r="B1" s="8"/>
      <c r="C1" s="8"/>
      <c r="D1" s="8"/>
      <c r="E1" s="8"/>
      <c r="F1" s="106"/>
      <c r="G1" s="8"/>
      <c r="H1" s="5"/>
    </row>
    <row r="2" spans="1:8" ht="16" x14ac:dyDescent="0.2">
      <c r="A2" s="8"/>
      <c r="B2" s="88" t="s">
        <v>500</v>
      </c>
      <c r="C2" s="89" t="s">
        <v>501</v>
      </c>
      <c r="D2" s="89" t="s">
        <v>502</v>
      </c>
      <c r="E2" s="3"/>
      <c r="F2" s="107" t="s">
        <v>1</v>
      </c>
      <c r="G2" s="104" t="s">
        <v>2</v>
      </c>
      <c r="H2" s="6" t="s">
        <v>531</v>
      </c>
    </row>
    <row r="3" spans="1:8" ht="16" x14ac:dyDescent="0.2">
      <c r="A3" s="6" t="s">
        <v>579</v>
      </c>
    </row>
    <row r="4" spans="1:8" ht="16" x14ac:dyDescent="0.2">
      <c r="A4" t="s">
        <v>580</v>
      </c>
      <c r="C4">
        <v>10</v>
      </c>
      <c r="D4">
        <v>6</v>
      </c>
      <c r="F4" s="103">
        <f t="shared" ref="F4:F15" si="0">B4+C4/20+D4/240</f>
        <v>0.52500000000000002</v>
      </c>
    </row>
    <row r="5" spans="1:8" ht="16" x14ac:dyDescent="0.2">
      <c r="A5" t="s">
        <v>581</v>
      </c>
      <c r="C5">
        <v>1</v>
      </c>
      <c r="F5" s="103">
        <f t="shared" si="0"/>
        <v>0.05</v>
      </c>
    </row>
    <row r="6" spans="1:8" ht="16" x14ac:dyDescent="0.2">
      <c r="A6" t="s">
        <v>582</v>
      </c>
      <c r="C6">
        <v>1</v>
      </c>
      <c r="F6" s="103">
        <f t="shared" si="0"/>
        <v>0.05</v>
      </c>
    </row>
    <row r="7" spans="1:8" ht="16" x14ac:dyDescent="0.2">
      <c r="A7" t="s">
        <v>583</v>
      </c>
      <c r="D7">
        <v>9</v>
      </c>
      <c r="F7" s="103">
        <f t="shared" si="0"/>
        <v>3.7499999999999999E-2</v>
      </c>
    </row>
    <row r="8" spans="1:8" ht="16" x14ac:dyDescent="0.2">
      <c r="A8" t="s">
        <v>584</v>
      </c>
      <c r="C8">
        <v>1</v>
      </c>
      <c r="D8">
        <v>8</v>
      </c>
      <c r="F8" s="103">
        <f t="shared" si="0"/>
        <v>8.3333333333333343E-2</v>
      </c>
    </row>
    <row r="9" spans="1:8" ht="16" x14ac:dyDescent="0.2">
      <c r="A9" t="s">
        <v>585</v>
      </c>
      <c r="D9">
        <v>6</v>
      </c>
      <c r="F9" s="103">
        <f t="shared" si="0"/>
        <v>2.5000000000000001E-2</v>
      </c>
    </row>
    <row r="10" spans="1:8" ht="16" x14ac:dyDescent="0.2">
      <c r="A10" t="s">
        <v>586</v>
      </c>
      <c r="C10">
        <v>2</v>
      </c>
      <c r="F10" s="103">
        <f t="shared" si="0"/>
        <v>0.1</v>
      </c>
    </row>
    <row r="11" spans="1:8" ht="16" x14ac:dyDescent="0.2">
      <c r="A11" t="s">
        <v>587</v>
      </c>
      <c r="C11">
        <v>3</v>
      </c>
      <c r="F11" s="103">
        <f t="shared" si="0"/>
        <v>0.15</v>
      </c>
    </row>
    <row r="12" spans="1:8" ht="16" x14ac:dyDescent="0.2">
      <c r="A12" t="s">
        <v>588</v>
      </c>
      <c r="B12">
        <v>2</v>
      </c>
      <c r="C12">
        <v>12</v>
      </c>
      <c r="F12" s="103">
        <f t="shared" si="0"/>
        <v>2.6</v>
      </c>
    </row>
    <row r="13" spans="1:8" ht="16" x14ac:dyDescent="0.2">
      <c r="A13" s="6" t="s">
        <v>538</v>
      </c>
      <c r="B13">
        <v>3</v>
      </c>
      <c r="C13">
        <v>12</v>
      </c>
      <c r="D13">
        <v>5</v>
      </c>
      <c r="F13" s="105">
        <f t="shared" si="0"/>
        <v>3.6208333333333336</v>
      </c>
    </row>
    <row r="14" spans="1:8" ht="16" x14ac:dyDescent="0.2">
      <c r="A14" s="6" t="s">
        <v>528</v>
      </c>
      <c r="B14">
        <f>SUM(B3:B12)</f>
        <v>2</v>
      </c>
      <c r="C14">
        <f>SUM(C3:C12)</f>
        <v>30</v>
      </c>
      <c r="D14">
        <f>SUM(D3:D12)</f>
        <v>29</v>
      </c>
      <c r="F14" s="105">
        <f t="shared" si="0"/>
        <v>3.6208333333333331</v>
      </c>
      <c r="G14" s="103">
        <f>F14-F13</f>
        <v>0</v>
      </c>
    </row>
    <row r="15" spans="1:8" ht="16" x14ac:dyDescent="0.2">
      <c r="A15" s="6" t="s">
        <v>589</v>
      </c>
      <c r="B15">
        <f>SUM(B4:B10)</f>
        <v>0</v>
      </c>
      <c r="C15">
        <f>SUM(C4:C10)</f>
        <v>15</v>
      </c>
      <c r="D15">
        <f>SUM(D4:D10)</f>
        <v>29</v>
      </c>
      <c r="F15" s="105">
        <f t="shared" si="0"/>
        <v>0.87083333333333335</v>
      </c>
      <c r="G15" s="103"/>
    </row>
    <row r="17" spans="1:7" ht="16" x14ac:dyDescent="0.2">
      <c r="A17" s="6" t="s">
        <v>590</v>
      </c>
    </row>
    <row r="18" spans="1:7" ht="16" x14ac:dyDescent="0.2">
      <c r="A18" t="s">
        <v>591</v>
      </c>
      <c r="D18">
        <v>4</v>
      </c>
      <c r="F18" s="103">
        <f t="shared" ref="F18:F30" si="1">B18+C18/20+D18/240</f>
        <v>1.6666666666666666E-2</v>
      </c>
    </row>
    <row r="19" spans="1:7" ht="16" x14ac:dyDescent="0.2">
      <c r="A19" t="s">
        <v>592</v>
      </c>
      <c r="D19">
        <v>4</v>
      </c>
      <c r="F19" s="103">
        <f t="shared" si="1"/>
        <v>1.6666666666666666E-2</v>
      </c>
    </row>
    <row r="20" spans="1:7" ht="16" x14ac:dyDescent="0.2">
      <c r="A20" t="s">
        <v>593</v>
      </c>
      <c r="D20">
        <v>2</v>
      </c>
      <c r="F20" s="103">
        <f t="shared" si="1"/>
        <v>8.3333333333333332E-3</v>
      </c>
    </row>
    <row r="21" spans="1:7" ht="16" x14ac:dyDescent="0.2">
      <c r="A21" t="s">
        <v>594</v>
      </c>
      <c r="D21">
        <v>3</v>
      </c>
      <c r="F21" s="103">
        <f t="shared" si="1"/>
        <v>1.2500000000000001E-2</v>
      </c>
    </row>
    <row r="22" spans="1:7" ht="16" x14ac:dyDescent="0.2">
      <c r="A22" t="s">
        <v>595</v>
      </c>
      <c r="D22">
        <v>2</v>
      </c>
      <c r="F22" s="103">
        <f t="shared" si="1"/>
        <v>8.3333333333333332E-3</v>
      </c>
    </row>
    <row r="23" spans="1:7" ht="16" x14ac:dyDescent="0.2">
      <c r="A23" t="s">
        <v>596</v>
      </c>
      <c r="C23">
        <v>3</v>
      </c>
      <c r="F23" s="103">
        <f t="shared" si="1"/>
        <v>0.15</v>
      </c>
    </row>
    <row r="24" spans="1:7" ht="16" x14ac:dyDescent="0.2">
      <c r="A24" t="s">
        <v>597</v>
      </c>
      <c r="D24">
        <v>2</v>
      </c>
      <c r="F24" s="103">
        <f t="shared" si="1"/>
        <v>8.3333333333333332E-3</v>
      </c>
    </row>
    <row r="25" spans="1:7" ht="16" x14ac:dyDescent="0.2">
      <c r="A25" t="s">
        <v>598</v>
      </c>
      <c r="C25">
        <v>3</v>
      </c>
      <c r="F25" s="103">
        <f t="shared" si="1"/>
        <v>0.15</v>
      </c>
    </row>
    <row r="26" spans="1:7" ht="16" x14ac:dyDescent="0.2">
      <c r="A26" t="s">
        <v>599</v>
      </c>
      <c r="D26">
        <v>6</v>
      </c>
      <c r="F26" s="103">
        <f t="shared" si="1"/>
        <v>2.5000000000000001E-2</v>
      </c>
    </row>
    <row r="27" spans="1:7" ht="16" x14ac:dyDescent="0.2">
      <c r="A27" t="s">
        <v>600</v>
      </c>
      <c r="D27">
        <v>1</v>
      </c>
      <c r="F27" s="103">
        <f t="shared" si="1"/>
        <v>4.1666666666666666E-3</v>
      </c>
    </row>
    <row r="28" spans="1:7" ht="16" x14ac:dyDescent="0.2">
      <c r="A28" s="6" t="s">
        <v>538</v>
      </c>
      <c r="C28">
        <v>8</v>
      </c>
      <c r="F28" s="105">
        <f t="shared" si="1"/>
        <v>0.4</v>
      </c>
    </row>
    <row r="29" spans="1:7" ht="16" x14ac:dyDescent="0.2">
      <c r="A29" s="6" t="s">
        <v>528</v>
      </c>
      <c r="B29">
        <f>SUM(B18:B27)</f>
        <v>0</v>
      </c>
      <c r="C29">
        <f>SUM(C18:C27)</f>
        <v>6</v>
      </c>
      <c r="D29">
        <f>SUM(D18:D27)</f>
        <v>24</v>
      </c>
      <c r="F29" s="105">
        <f t="shared" si="1"/>
        <v>0.4</v>
      </c>
      <c r="G29" s="103">
        <f>F29-F28</f>
        <v>0</v>
      </c>
    </row>
    <row r="30" spans="1:7" ht="16" x14ac:dyDescent="0.2">
      <c r="A30" s="6" t="s">
        <v>589</v>
      </c>
      <c r="B30">
        <f>SUM(B18:B24,B26:B27)</f>
        <v>0</v>
      </c>
      <c r="C30">
        <f>SUM(C18:C24,C26:C27)</f>
        <v>3</v>
      </c>
      <c r="D30">
        <f>SUM(D18:D24,D26:D27)</f>
        <v>24</v>
      </c>
      <c r="F30" s="105">
        <f t="shared" si="1"/>
        <v>0.25</v>
      </c>
      <c r="G30" s="103"/>
    </row>
    <row r="32" spans="1:7" ht="16" x14ac:dyDescent="0.2">
      <c r="A32" s="6" t="s">
        <v>601</v>
      </c>
    </row>
    <row r="33" spans="1:7" ht="16" x14ac:dyDescent="0.2">
      <c r="A33" t="s">
        <v>602</v>
      </c>
      <c r="C33">
        <v>1</v>
      </c>
      <c r="F33" s="103">
        <f t="shared" ref="F33:F40" si="2">B33+C33/20+D33/240</f>
        <v>0.05</v>
      </c>
    </row>
    <row r="34" spans="1:7" ht="16" x14ac:dyDescent="0.2">
      <c r="A34" t="s">
        <v>603</v>
      </c>
      <c r="C34">
        <v>3</v>
      </c>
      <c r="D34">
        <v>4.5</v>
      </c>
      <c r="F34" s="103">
        <f t="shared" si="2"/>
        <v>0.16874999999999998</v>
      </c>
    </row>
    <row r="35" spans="1:7" ht="16" x14ac:dyDescent="0.2">
      <c r="A35" t="s">
        <v>604</v>
      </c>
      <c r="C35">
        <v>2</v>
      </c>
      <c r="F35" s="103">
        <f t="shared" si="2"/>
        <v>0.1</v>
      </c>
    </row>
    <row r="36" spans="1:7" ht="16" x14ac:dyDescent="0.2">
      <c r="A36" t="s">
        <v>605</v>
      </c>
      <c r="D36">
        <v>3</v>
      </c>
      <c r="F36" s="103">
        <f t="shared" si="2"/>
        <v>1.2500000000000001E-2</v>
      </c>
    </row>
    <row r="37" spans="1:7" ht="16" x14ac:dyDescent="0.2">
      <c r="A37" t="s">
        <v>606</v>
      </c>
      <c r="C37">
        <v>2</v>
      </c>
      <c r="F37" s="103">
        <f t="shared" si="2"/>
        <v>0.1</v>
      </c>
    </row>
    <row r="38" spans="1:7" ht="16" x14ac:dyDescent="0.2">
      <c r="A38" t="s">
        <v>607</v>
      </c>
      <c r="D38">
        <v>1.5</v>
      </c>
      <c r="F38" s="103">
        <f t="shared" si="2"/>
        <v>6.2500000000000003E-3</v>
      </c>
    </row>
    <row r="39" spans="1:7" ht="16" x14ac:dyDescent="0.2">
      <c r="A39" s="6" t="s">
        <v>538</v>
      </c>
      <c r="C39">
        <v>8</v>
      </c>
      <c r="D39">
        <v>9</v>
      </c>
      <c r="F39" s="105">
        <f t="shared" si="2"/>
        <v>0.4375</v>
      </c>
    </row>
    <row r="40" spans="1:7" ht="16" x14ac:dyDescent="0.2">
      <c r="A40" s="6" t="s">
        <v>528</v>
      </c>
      <c r="B40">
        <f>SUM(B33:B38)</f>
        <v>0</v>
      </c>
      <c r="C40">
        <f>SUM(C33:C38)</f>
        <v>8</v>
      </c>
      <c r="D40">
        <f>SUM(D33:D38)</f>
        <v>9</v>
      </c>
      <c r="F40" s="105">
        <f t="shared" si="2"/>
        <v>0.4375</v>
      </c>
      <c r="G40" s="103">
        <f>F40-F39</f>
        <v>0</v>
      </c>
    </row>
    <row r="41" spans="1:7" ht="16" x14ac:dyDescent="0.2">
      <c r="A41" s="6" t="s">
        <v>589</v>
      </c>
      <c r="B41">
        <f>SUM(B33:B38)</f>
        <v>0</v>
      </c>
      <c r="C41">
        <f>SUM(C33:C38)</f>
        <v>8</v>
      </c>
      <c r="D41">
        <f>SUM(D33:D38)</f>
        <v>9</v>
      </c>
      <c r="F41" s="105"/>
      <c r="G41" s="103"/>
    </row>
    <row r="42" spans="1:7" ht="16" x14ac:dyDescent="0.2">
      <c r="A42" s="6"/>
      <c r="F42" s="105"/>
      <c r="G42" s="103"/>
    </row>
    <row r="43" spans="1:7" ht="16" x14ac:dyDescent="0.2">
      <c r="A43" s="6" t="s">
        <v>517</v>
      </c>
      <c r="F43" s="105"/>
      <c r="G43" s="103"/>
    </row>
    <row r="44" spans="1:7" ht="16" x14ac:dyDescent="0.2">
      <c r="A44" t="s">
        <v>608</v>
      </c>
      <c r="C44">
        <v>5</v>
      </c>
      <c r="F44" s="103">
        <f t="shared" ref="F44:F50" si="3">B44+C44/20+D44/240</f>
        <v>0.25</v>
      </c>
      <c r="G44" s="103"/>
    </row>
    <row r="45" spans="1:7" ht="16" x14ac:dyDescent="0.2">
      <c r="A45" t="s">
        <v>609</v>
      </c>
      <c r="D45">
        <v>3</v>
      </c>
      <c r="F45" s="103">
        <f t="shared" si="3"/>
        <v>1.2500000000000001E-2</v>
      </c>
      <c r="G45" s="103"/>
    </row>
    <row r="46" spans="1:7" ht="16" x14ac:dyDescent="0.2">
      <c r="A46" t="s">
        <v>610</v>
      </c>
      <c r="C46">
        <v>2</v>
      </c>
      <c r="F46" s="103">
        <f t="shared" si="3"/>
        <v>0.1</v>
      </c>
      <c r="G46" s="103"/>
    </row>
    <row r="47" spans="1:7" ht="16" x14ac:dyDescent="0.2">
      <c r="A47" t="s">
        <v>611</v>
      </c>
      <c r="D47">
        <v>8</v>
      </c>
      <c r="F47" s="103">
        <f t="shared" si="3"/>
        <v>3.3333333333333333E-2</v>
      </c>
      <c r="G47" s="103"/>
    </row>
    <row r="48" spans="1:7" ht="16" x14ac:dyDescent="0.2">
      <c r="A48" s="6" t="s">
        <v>538</v>
      </c>
      <c r="C48">
        <v>7</v>
      </c>
      <c r="D48">
        <v>11</v>
      </c>
      <c r="F48" s="103">
        <f t="shared" si="3"/>
        <v>0.39583333333333331</v>
      </c>
      <c r="G48" s="103"/>
    </row>
    <row r="49" spans="1:7" ht="16" x14ac:dyDescent="0.2">
      <c r="A49" s="6" t="s">
        <v>528</v>
      </c>
      <c r="B49">
        <f>SUM(B44:B47)</f>
        <v>0</v>
      </c>
      <c r="C49">
        <f>SUM(C44:C47)</f>
        <v>7</v>
      </c>
      <c r="D49">
        <f>SUM(D44:D47)</f>
        <v>11</v>
      </c>
      <c r="F49" s="105">
        <f t="shared" si="3"/>
        <v>0.39583333333333331</v>
      </c>
      <c r="G49" s="103">
        <f>F49-F48</f>
        <v>0</v>
      </c>
    </row>
    <row r="50" spans="1:7" ht="16" x14ac:dyDescent="0.2">
      <c r="A50" s="6" t="s">
        <v>589</v>
      </c>
      <c r="B50">
        <f>SUM(B44:B45)</f>
        <v>0</v>
      </c>
      <c r="C50">
        <f>SUM(C44:C45)</f>
        <v>5</v>
      </c>
      <c r="D50">
        <f>SUM(D44:D45)</f>
        <v>3</v>
      </c>
      <c r="F50" s="105">
        <f t="shared" si="3"/>
        <v>0.26250000000000001</v>
      </c>
    </row>
    <row r="51" spans="1:7" ht="16" x14ac:dyDescent="0.2">
      <c r="A51" s="6"/>
      <c r="F51" s="103"/>
    </row>
    <row r="52" spans="1:7" ht="16" x14ac:dyDescent="0.2">
      <c r="A52" s="6" t="s">
        <v>518</v>
      </c>
    </row>
    <row r="53" spans="1:7" ht="16" x14ac:dyDescent="0.2">
      <c r="A53" t="s">
        <v>612</v>
      </c>
      <c r="C53">
        <v>15</v>
      </c>
      <c r="D53">
        <v>0.75</v>
      </c>
      <c r="F53" s="103">
        <f t="shared" ref="F53:F58" si="4">B53+C53/20+D53/240</f>
        <v>0.75312500000000004</v>
      </c>
    </row>
    <row r="54" spans="1:7" ht="16" x14ac:dyDescent="0.2">
      <c r="A54" t="s">
        <v>613</v>
      </c>
      <c r="C54">
        <v>6</v>
      </c>
      <c r="D54">
        <v>7.75</v>
      </c>
      <c r="F54" s="103">
        <f t="shared" si="4"/>
        <v>0.33229166666666665</v>
      </c>
    </row>
    <row r="55" spans="1:7" ht="16" x14ac:dyDescent="0.2">
      <c r="A55" t="s">
        <v>614</v>
      </c>
      <c r="C55">
        <v>2</v>
      </c>
      <c r="D55">
        <v>9.5</v>
      </c>
      <c r="F55" s="103">
        <f t="shared" si="4"/>
        <v>0.13958333333333334</v>
      </c>
    </row>
    <row r="56" spans="1:7" ht="16" x14ac:dyDescent="0.2">
      <c r="A56" t="s">
        <v>615</v>
      </c>
      <c r="D56">
        <v>8</v>
      </c>
      <c r="F56" s="103">
        <f t="shared" si="4"/>
        <v>3.3333333333333333E-2</v>
      </c>
    </row>
    <row r="57" spans="1:7" ht="16" x14ac:dyDescent="0.2">
      <c r="A57" s="6" t="s">
        <v>538</v>
      </c>
      <c r="B57">
        <v>1</v>
      </c>
      <c r="C57">
        <v>5</v>
      </c>
      <c r="D57">
        <v>2</v>
      </c>
      <c r="F57" s="105">
        <f t="shared" si="4"/>
        <v>1.2583333333333333</v>
      </c>
    </row>
    <row r="58" spans="1:7" ht="16" x14ac:dyDescent="0.2">
      <c r="A58" s="6" t="s">
        <v>528</v>
      </c>
      <c r="B58">
        <f>SUM(B53:B56)</f>
        <v>0</v>
      </c>
      <c r="C58">
        <f>SUM(C53:C56)</f>
        <v>23</v>
      </c>
      <c r="D58">
        <f>SUM(D53:D56)</f>
        <v>26</v>
      </c>
      <c r="F58" s="105">
        <f t="shared" si="4"/>
        <v>1.2583333333333333</v>
      </c>
      <c r="G58" s="103">
        <f>F58-F57</f>
        <v>0</v>
      </c>
    </row>
    <row r="60" spans="1:7" ht="16" x14ac:dyDescent="0.2">
      <c r="A60" s="6" t="s">
        <v>616</v>
      </c>
    </row>
    <row r="61" spans="1:7" ht="16" x14ac:dyDescent="0.2">
      <c r="A61" t="s">
        <v>617</v>
      </c>
      <c r="C61">
        <v>2</v>
      </c>
      <c r="D61">
        <v>8</v>
      </c>
      <c r="F61" s="103">
        <f t="shared" ref="F61:F66" si="5">B61+C61/20+D61/240</f>
        <v>0.13333333333333333</v>
      </c>
    </row>
    <row r="62" spans="1:7" ht="16" x14ac:dyDescent="0.2">
      <c r="A62" t="s">
        <v>618</v>
      </c>
      <c r="D62">
        <v>4</v>
      </c>
      <c r="F62" s="103">
        <f t="shared" si="5"/>
        <v>1.6666666666666666E-2</v>
      </c>
    </row>
    <row r="63" spans="1:7" ht="16" x14ac:dyDescent="0.2">
      <c r="A63" t="s">
        <v>619</v>
      </c>
      <c r="C63">
        <v>2</v>
      </c>
      <c r="F63" s="103">
        <f t="shared" si="5"/>
        <v>0.1</v>
      </c>
    </row>
    <row r="64" spans="1:7" ht="16" x14ac:dyDescent="0.2">
      <c r="A64" t="s">
        <v>620</v>
      </c>
      <c r="C64">
        <v>6</v>
      </c>
      <c r="D64">
        <v>8</v>
      </c>
      <c r="F64" s="103">
        <f t="shared" si="5"/>
        <v>0.33333333333333331</v>
      </c>
    </row>
    <row r="65" spans="1:7" ht="16" x14ac:dyDescent="0.2">
      <c r="A65" s="6" t="s">
        <v>538</v>
      </c>
      <c r="C65">
        <v>11</v>
      </c>
      <c r="D65">
        <v>8</v>
      </c>
      <c r="F65" s="105">
        <f t="shared" si="5"/>
        <v>0.58333333333333337</v>
      </c>
    </row>
    <row r="66" spans="1:7" ht="16" x14ac:dyDescent="0.2">
      <c r="A66" s="6" t="s">
        <v>528</v>
      </c>
      <c r="B66">
        <f>SUM(B61:B64)</f>
        <v>0</v>
      </c>
      <c r="C66">
        <f>SUM(C61:C64)</f>
        <v>10</v>
      </c>
      <c r="D66">
        <f>SUM(D61:D64)</f>
        <v>20</v>
      </c>
      <c r="F66" s="105">
        <f t="shared" si="5"/>
        <v>0.58333333333333337</v>
      </c>
      <c r="G66" s="103">
        <f>F66-F65</f>
        <v>0</v>
      </c>
    </row>
    <row r="68" spans="1:7" ht="16" x14ac:dyDescent="0.2">
      <c r="A68" s="6" t="s">
        <v>621</v>
      </c>
    </row>
    <row r="69" spans="1:7" ht="16" x14ac:dyDescent="0.2">
      <c r="A69" t="s">
        <v>622</v>
      </c>
      <c r="C69">
        <v>2</v>
      </c>
      <c r="D69">
        <v>6</v>
      </c>
      <c r="F69" s="103">
        <f>B69+C69/20+D69/240</f>
        <v>0.125</v>
      </c>
    </row>
    <row r="70" spans="1:7" ht="16" x14ac:dyDescent="0.2">
      <c r="A70" s="6" t="s">
        <v>538</v>
      </c>
      <c r="C70">
        <v>2</v>
      </c>
      <c r="D70">
        <v>6</v>
      </c>
      <c r="F70" s="105">
        <f>B70+C70/20+D70/240</f>
        <v>0.125</v>
      </c>
    </row>
    <row r="71" spans="1:7" ht="16" x14ac:dyDescent="0.2">
      <c r="A71" s="6" t="s">
        <v>528</v>
      </c>
      <c r="B71">
        <f>SUM(B69:B69)</f>
        <v>0</v>
      </c>
      <c r="C71">
        <f>SUM(C69:C69)</f>
        <v>2</v>
      </c>
      <c r="D71">
        <f>SUM(D69:D69)</f>
        <v>6</v>
      </c>
      <c r="F71" s="105">
        <f>B71+C71/20+D71/240</f>
        <v>0.125</v>
      </c>
      <c r="G71" s="103">
        <f>F71-F70</f>
        <v>0</v>
      </c>
    </row>
    <row r="73" spans="1:7" ht="16" x14ac:dyDescent="0.2">
      <c r="A73" t="s">
        <v>623</v>
      </c>
      <c r="B73">
        <v>6</v>
      </c>
      <c r="C73">
        <v>16</v>
      </c>
      <c r="D73">
        <v>5</v>
      </c>
      <c r="F73" s="103">
        <f t="shared" ref="F73:F78" si="6">B73+C73/20+D73/240</f>
        <v>6.8208333333333329</v>
      </c>
    </row>
    <row r="74" spans="1:7" ht="16" x14ac:dyDescent="0.2">
      <c r="A74" t="s">
        <v>624</v>
      </c>
      <c r="B74">
        <f>SUM(B14,B29,B40,B49,B58,B71+B66)</f>
        <v>2</v>
      </c>
      <c r="C74">
        <f>SUM(C14,C29,C40,C49,C58,C71+C66)</f>
        <v>86</v>
      </c>
      <c r="D74">
        <f>SUM(D14,D29,D40,D49,D58,D71+D66)</f>
        <v>125</v>
      </c>
      <c r="F74" s="103">
        <f t="shared" si="6"/>
        <v>6.8208333333333329</v>
      </c>
      <c r="G74" s="103">
        <f>F74-F73</f>
        <v>0</v>
      </c>
    </row>
    <row r="75" spans="1:7" ht="16" x14ac:dyDescent="0.2">
      <c r="A75" t="s">
        <v>625</v>
      </c>
      <c r="B75">
        <v>30</v>
      </c>
      <c r="C75">
        <v>2</v>
      </c>
      <c r="D75">
        <v>7.5</v>
      </c>
      <c r="F75" s="103">
        <f t="shared" si="6"/>
        <v>30.131250000000001</v>
      </c>
    </row>
    <row r="76" spans="1:7" ht="16" x14ac:dyDescent="0.2">
      <c r="A76" t="s">
        <v>626</v>
      </c>
      <c r="B76">
        <v>21</v>
      </c>
      <c r="C76">
        <v>12</v>
      </c>
      <c r="F76" s="103">
        <f t="shared" si="6"/>
        <v>21.6</v>
      </c>
    </row>
    <row r="77" spans="1:7" ht="16" x14ac:dyDescent="0.2">
      <c r="A77" t="s">
        <v>627</v>
      </c>
      <c r="B77">
        <v>8</v>
      </c>
      <c r="C77">
        <v>10</v>
      </c>
      <c r="D77">
        <v>7.5</v>
      </c>
      <c r="F77" s="103">
        <f t="shared" si="6"/>
        <v>8.53125</v>
      </c>
    </row>
    <row r="78" spans="1:7" ht="16" x14ac:dyDescent="0.2">
      <c r="A78" t="s">
        <v>589</v>
      </c>
      <c r="B78">
        <f>SUM(B15,B30,B41,B50)</f>
        <v>0</v>
      </c>
      <c r="C78">
        <f>SUM(C15,C30,C41,C50)</f>
        <v>31</v>
      </c>
      <c r="D78">
        <f>SUM(D15,D30,D41,D50)</f>
        <v>65</v>
      </c>
      <c r="F78" s="103">
        <f t="shared" si="6"/>
        <v>1.8208333333333333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25"/>
  <sheetViews>
    <sheetView workbookViewId="0"/>
  </sheetViews>
  <sheetFormatPr baseColWidth="10" defaultColWidth="8.83203125" defaultRowHeight="15" x14ac:dyDescent="0.2"/>
  <cols>
    <col min="10" max="10" width="24.6640625" customWidth="1"/>
  </cols>
  <sheetData>
    <row r="1" spans="1:17" ht="16" x14ac:dyDescent="0.2">
      <c r="A1" s="21"/>
      <c r="B1" s="22" t="s">
        <v>628</v>
      </c>
      <c r="I1" s="108"/>
      <c r="J1" s="108"/>
      <c r="O1" s="109"/>
      <c r="P1" s="109"/>
      <c r="Q1" s="109"/>
    </row>
    <row r="2" spans="1:17" ht="16" x14ac:dyDescent="0.2">
      <c r="A2" s="21"/>
      <c r="B2" s="110" t="s">
        <v>629</v>
      </c>
      <c r="C2" s="110"/>
      <c r="D2" s="110"/>
      <c r="E2" s="110"/>
      <c r="F2" s="110"/>
      <c r="G2" s="111" t="s">
        <v>630</v>
      </c>
      <c r="H2" s="111"/>
      <c r="I2" s="111"/>
      <c r="J2" s="111"/>
      <c r="K2" s="111"/>
      <c r="L2" s="111"/>
      <c r="M2" s="111"/>
      <c r="N2" s="111"/>
      <c r="O2" s="112"/>
      <c r="P2" s="113" t="s">
        <v>631</v>
      </c>
      <c r="Q2" s="113"/>
    </row>
    <row r="3" spans="1:17" ht="16" x14ac:dyDescent="0.2">
      <c r="A3" s="21" t="s">
        <v>632</v>
      </c>
      <c r="B3" s="146" t="s">
        <v>633</v>
      </c>
      <c r="C3" s="143"/>
      <c r="D3" s="146" t="s">
        <v>634</v>
      </c>
      <c r="E3" s="143"/>
      <c r="F3" s="114" t="s">
        <v>633</v>
      </c>
      <c r="G3" s="146" t="s">
        <v>635</v>
      </c>
      <c r="H3" s="143"/>
      <c r="I3" s="143"/>
      <c r="J3" s="109" t="s">
        <v>636</v>
      </c>
      <c r="K3" s="108" t="s">
        <v>637</v>
      </c>
      <c r="L3" s="108" t="s">
        <v>638</v>
      </c>
      <c r="M3" s="108" t="s">
        <v>639</v>
      </c>
      <c r="N3" s="108" t="s">
        <v>640</v>
      </c>
      <c r="O3" s="114" t="s">
        <v>641</v>
      </c>
      <c r="P3" s="109" t="s">
        <v>642</v>
      </c>
    </row>
    <row r="4" spans="1:17" ht="16" x14ac:dyDescent="0.2">
      <c r="B4" s="115" t="s">
        <v>61</v>
      </c>
      <c r="C4" s="115" t="s">
        <v>62</v>
      </c>
      <c r="D4" s="115" t="s">
        <v>61</v>
      </c>
      <c r="E4" s="115" t="s">
        <v>62</v>
      </c>
      <c r="F4" s="116" t="s">
        <v>61</v>
      </c>
      <c r="G4" s="115" t="s">
        <v>61</v>
      </c>
      <c r="H4" s="115" t="s">
        <v>62</v>
      </c>
      <c r="I4" s="115" t="s">
        <v>61</v>
      </c>
      <c r="J4" s="115"/>
      <c r="K4" s="115" t="s">
        <v>500</v>
      </c>
      <c r="L4" s="115" t="s">
        <v>61</v>
      </c>
      <c r="M4" s="115" t="s">
        <v>500</v>
      </c>
      <c r="N4" s="115" t="s">
        <v>61</v>
      </c>
      <c r="O4" s="116" t="s">
        <v>643</v>
      </c>
      <c r="P4" s="117" t="s">
        <v>500</v>
      </c>
      <c r="Q4" s="118"/>
    </row>
    <row r="5" spans="1:17" ht="16" x14ac:dyDescent="0.2">
      <c r="A5" t="s">
        <v>63</v>
      </c>
      <c r="B5">
        <v>81</v>
      </c>
      <c r="C5">
        <v>7</v>
      </c>
      <c r="F5" s="119">
        <f t="shared" ref="F5:F10" si="0">B5+D5+C5/8+E5/8</f>
        <v>81.875</v>
      </c>
      <c r="G5">
        <v>59</v>
      </c>
      <c r="H5">
        <v>3</v>
      </c>
      <c r="I5">
        <f t="shared" ref="I5:I10" si="1">G5+H5/8</f>
        <v>59.375</v>
      </c>
      <c r="J5" s="19">
        <f t="shared" ref="J5:J10" si="2">F5-I5</f>
        <v>22.5</v>
      </c>
      <c r="K5" s="103">
        <f>'Bishops Fonthill Receipts'!F58</f>
        <v>14.84375</v>
      </c>
      <c r="L5">
        <f t="shared" ref="L5:L10" si="3">I5</f>
        <v>59.375</v>
      </c>
      <c r="O5" s="120">
        <f t="shared" ref="O5:O10" si="4">IFERROR((K5+M5)/(L5+N5),0)</f>
        <v>0.25</v>
      </c>
      <c r="P5" s="19">
        <f t="shared" ref="P5:P10" si="5">O5*F5</f>
        <v>20.46875</v>
      </c>
    </row>
    <row r="6" spans="1:17" ht="16" x14ac:dyDescent="0.2">
      <c r="A6" t="s">
        <v>66</v>
      </c>
      <c r="B6">
        <v>1</v>
      </c>
      <c r="C6">
        <v>1</v>
      </c>
      <c r="F6" s="120">
        <f t="shared" si="0"/>
        <v>1.125</v>
      </c>
      <c r="G6">
        <v>1</v>
      </c>
      <c r="H6">
        <v>1</v>
      </c>
      <c r="I6">
        <f t="shared" si="1"/>
        <v>1.125</v>
      </c>
      <c r="J6" s="19">
        <f t="shared" si="2"/>
        <v>0</v>
      </c>
      <c r="K6" s="103">
        <f>'Bishops Fonthill Receipts'!F59</f>
        <v>0.1125</v>
      </c>
      <c r="L6">
        <f t="shared" si="3"/>
        <v>1.125</v>
      </c>
      <c r="O6" s="120">
        <f t="shared" si="4"/>
        <v>0.1</v>
      </c>
      <c r="P6" s="19">
        <f t="shared" si="5"/>
        <v>0.1125</v>
      </c>
    </row>
    <row r="7" spans="1:17" ht="16" x14ac:dyDescent="0.2">
      <c r="A7" t="s">
        <v>67</v>
      </c>
      <c r="B7">
        <v>64</v>
      </c>
      <c r="F7" s="120">
        <f t="shared" si="0"/>
        <v>64</v>
      </c>
      <c r="G7">
        <v>29</v>
      </c>
      <c r="H7">
        <v>6</v>
      </c>
      <c r="I7">
        <f t="shared" si="1"/>
        <v>29.75</v>
      </c>
      <c r="J7" s="19">
        <f t="shared" si="2"/>
        <v>34.25</v>
      </c>
      <c r="K7" s="103">
        <f>'Bishops Fonthill Receipts'!F60</f>
        <v>4.9583333333333339</v>
      </c>
      <c r="L7">
        <f t="shared" si="3"/>
        <v>29.75</v>
      </c>
      <c r="O7" s="120">
        <f t="shared" si="4"/>
        <v>0.16666666666666669</v>
      </c>
      <c r="P7" s="19">
        <f t="shared" si="5"/>
        <v>10.666666666666668</v>
      </c>
    </row>
    <row r="8" spans="1:17" ht="16" x14ac:dyDescent="0.2">
      <c r="A8" t="s">
        <v>68</v>
      </c>
      <c r="B8">
        <v>59</v>
      </c>
      <c r="C8">
        <v>6</v>
      </c>
      <c r="F8" s="120">
        <f t="shared" si="0"/>
        <v>59.75</v>
      </c>
      <c r="G8">
        <v>25</v>
      </c>
      <c r="I8">
        <f t="shared" si="1"/>
        <v>25</v>
      </c>
      <c r="J8" s="19">
        <f t="shared" si="2"/>
        <v>34.75</v>
      </c>
      <c r="K8" s="103">
        <f>'Bishops Fonthill Receipts'!F61</f>
        <v>2.4166666666666665</v>
      </c>
      <c r="L8">
        <f t="shared" si="3"/>
        <v>25</v>
      </c>
      <c r="O8" s="120">
        <f t="shared" si="4"/>
        <v>9.6666666666666665E-2</v>
      </c>
      <c r="P8" s="19">
        <f t="shared" si="5"/>
        <v>5.7758333333333329</v>
      </c>
    </row>
    <row r="9" spans="1:17" ht="16" x14ac:dyDescent="0.2">
      <c r="A9" t="s">
        <v>523</v>
      </c>
      <c r="B9">
        <v>10</v>
      </c>
      <c r="F9" s="120">
        <f t="shared" si="0"/>
        <v>10</v>
      </c>
      <c r="G9">
        <v>0</v>
      </c>
      <c r="H9">
        <v>0</v>
      </c>
      <c r="I9">
        <f t="shared" si="1"/>
        <v>0</v>
      </c>
      <c r="J9" s="19">
        <f t="shared" si="2"/>
        <v>10</v>
      </c>
      <c r="K9" s="103">
        <v>0</v>
      </c>
      <c r="L9">
        <f t="shared" si="3"/>
        <v>0</v>
      </c>
      <c r="O9" s="120">
        <f t="shared" si="4"/>
        <v>0</v>
      </c>
      <c r="P9" s="19">
        <f t="shared" si="5"/>
        <v>0</v>
      </c>
    </row>
    <row r="10" spans="1:17" ht="16" x14ac:dyDescent="0.2">
      <c r="A10" t="s">
        <v>71</v>
      </c>
      <c r="B10">
        <v>6</v>
      </c>
      <c r="C10">
        <v>2</v>
      </c>
      <c r="F10" s="120">
        <f t="shared" si="0"/>
        <v>6.25</v>
      </c>
      <c r="G10">
        <v>3</v>
      </c>
      <c r="I10">
        <f t="shared" si="1"/>
        <v>3</v>
      </c>
      <c r="J10" s="19">
        <f t="shared" si="2"/>
        <v>3.25</v>
      </c>
      <c r="K10" s="103">
        <f>'Bishops Fonthill Receipts'!F62</f>
        <v>0.3</v>
      </c>
      <c r="L10">
        <f t="shared" si="3"/>
        <v>3</v>
      </c>
      <c r="O10" s="120">
        <f t="shared" si="4"/>
        <v>9.9999999999999992E-2</v>
      </c>
      <c r="P10" s="19">
        <f t="shared" si="5"/>
        <v>0.625</v>
      </c>
    </row>
    <row r="12" spans="1:17" ht="16" x14ac:dyDescent="0.2">
      <c r="A12" s="121" t="s">
        <v>57</v>
      </c>
      <c r="B12" s="24"/>
      <c r="C12" s="24"/>
      <c r="D12" s="24"/>
      <c r="E12" s="24"/>
      <c r="F12" s="25">
        <f>SUM(F5:F10)</f>
        <v>223</v>
      </c>
      <c r="G12" s="24"/>
      <c r="H12" s="24"/>
      <c r="I12" s="24">
        <f>SUM(I5:I10)</f>
        <v>118.25</v>
      </c>
      <c r="J12" s="25">
        <f>SUM(J5:J10)</f>
        <v>104.75</v>
      </c>
      <c r="K12" s="24"/>
      <c r="L12" s="24"/>
      <c r="M12" s="24"/>
      <c r="N12" s="24"/>
      <c r="O12" s="24"/>
      <c r="P12" s="25">
        <f>SUM(P5:P10)</f>
        <v>37.64875</v>
      </c>
      <c r="Q12" s="32" t="s">
        <v>644</v>
      </c>
    </row>
    <row r="13" spans="1:17" ht="16" x14ac:dyDescent="0.2">
      <c r="A13" s="121" t="s">
        <v>645</v>
      </c>
      <c r="B13" s="24"/>
      <c r="C13" s="24"/>
      <c r="D13" s="24"/>
      <c r="E13" s="24"/>
      <c r="F13" s="122">
        <f>SUM(K5:K10,M5:M10)</f>
        <v>22.631250000000001</v>
      </c>
      <c r="G13" s="24"/>
      <c r="H13" s="24"/>
      <c r="I13" s="24"/>
      <c r="J13" s="24"/>
      <c r="K13" s="24"/>
      <c r="L13" s="24"/>
      <c r="M13" s="24"/>
      <c r="N13" s="24"/>
      <c r="O13" s="24"/>
      <c r="P13" s="25"/>
      <c r="Q13" s="24"/>
    </row>
    <row r="16" spans="1:17" ht="68" customHeight="1" x14ac:dyDescent="0.2">
      <c r="A16" s="21" t="s">
        <v>646</v>
      </c>
      <c r="B16" s="123" t="s">
        <v>632</v>
      </c>
      <c r="C16" s="144" t="s">
        <v>647</v>
      </c>
      <c r="D16" s="143"/>
      <c r="E16" s="143"/>
      <c r="F16" t="s">
        <v>648</v>
      </c>
      <c r="G16" s="145" t="s">
        <v>649</v>
      </c>
      <c r="H16" s="143"/>
      <c r="I16" s="143"/>
      <c r="J16" s="123" t="s">
        <v>650</v>
      </c>
      <c r="K16" t="s">
        <v>651</v>
      </c>
      <c r="L16" s="124" t="s">
        <v>652</v>
      </c>
      <c r="M16" s="123" t="s">
        <v>653</v>
      </c>
      <c r="N16" s="123" t="s">
        <v>654</v>
      </c>
    </row>
    <row r="17" spans="1:14" ht="16" x14ac:dyDescent="0.2">
      <c r="B17" s="108" t="s">
        <v>61</v>
      </c>
      <c r="C17" s="108" t="s">
        <v>61</v>
      </c>
      <c r="D17" t="s">
        <v>62</v>
      </c>
      <c r="E17" t="s">
        <v>61</v>
      </c>
      <c r="F17" t="s">
        <v>61</v>
      </c>
      <c r="G17" t="s">
        <v>61</v>
      </c>
      <c r="H17" t="s">
        <v>62</v>
      </c>
      <c r="I17" s="125" t="s">
        <v>61</v>
      </c>
      <c r="J17" s="108" t="s">
        <v>61</v>
      </c>
      <c r="K17" s="125" t="s">
        <v>61</v>
      </c>
      <c r="L17" s="126" t="s">
        <v>643</v>
      </c>
      <c r="M17" s="108" t="s">
        <v>500</v>
      </c>
      <c r="N17" s="108" t="s">
        <v>500</v>
      </c>
    </row>
    <row r="18" spans="1:14" ht="16" x14ac:dyDescent="0.2">
      <c r="A18" t="s">
        <v>63</v>
      </c>
      <c r="B18" s="19">
        <f t="shared" ref="B18:B23" si="6">F5</f>
        <v>81.875</v>
      </c>
      <c r="C18">
        <v>13.5</v>
      </c>
      <c r="E18">
        <f t="shared" ref="E18:E23" si="7">C18+D18/8</f>
        <v>13.5</v>
      </c>
      <c r="G18">
        <v>8</v>
      </c>
      <c r="H18">
        <v>8</v>
      </c>
      <c r="I18" s="125">
        <f t="shared" ref="I18:I23" si="8">G18+H18/8</f>
        <v>9</v>
      </c>
      <c r="J18" s="19">
        <f t="shared" ref="J18:J23" si="9">B18-(E18+F18+I18)</f>
        <v>59.375</v>
      </c>
      <c r="K18" s="125"/>
      <c r="L18" s="127">
        <f>O5</f>
        <v>0.25</v>
      </c>
      <c r="M18" s="19">
        <f>L18*J18</f>
        <v>14.84375</v>
      </c>
      <c r="N18" s="19">
        <f>K5</f>
        <v>14.84375</v>
      </c>
    </row>
    <row r="19" spans="1:14" ht="16" x14ac:dyDescent="0.2">
      <c r="A19" t="s">
        <v>66</v>
      </c>
      <c r="B19" s="19">
        <f t="shared" si="6"/>
        <v>1.125</v>
      </c>
      <c r="E19">
        <f t="shared" si="7"/>
        <v>0</v>
      </c>
      <c r="I19" s="125">
        <f t="shared" si="8"/>
        <v>0</v>
      </c>
      <c r="J19" s="19">
        <f t="shared" si="9"/>
        <v>1.125</v>
      </c>
      <c r="K19" s="125"/>
      <c r="L19" s="127">
        <f>O6</f>
        <v>0.1</v>
      </c>
      <c r="M19" s="19">
        <f>L19*J19</f>
        <v>0.1125</v>
      </c>
      <c r="N19" s="19">
        <f>K6</f>
        <v>0.1125</v>
      </c>
    </row>
    <row r="20" spans="1:14" ht="16" x14ac:dyDescent="0.2">
      <c r="A20" t="s">
        <v>67</v>
      </c>
      <c r="B20" s="19">
        <f t="shared" si="6"/>
        <v>64</v>
      </c>
      <c r="C20">
        <v>13</v>
      </c>
      <c r="E20">
        <f t="shared" si="7"/>
        <v>13</v>
      </c>
      <c r="G20">
        <v>21</v>
      </c>
      <c r="H20">
        <v>2</v>
      </c>
      <c r="I20" s="125">
        <f t="shared" si="8"/>
        <v>21.25</v>
      </c>
      <c r="J20" s="19">
        <f t="shared" si="9"/>
        <v>29.75</v>
      </c>
      <c r="K20" s="125"/>
      <c r="L20" s="127">
        <f>O7</f>
        <v>0.16666666666666669</v>
      </c>
      <c r="M20" s="19">
        <f>L20*J20</f>
        <v>4.9583333333333339</v>
      </c>
      <c r="N20" s="19">
        <f>K7</f>
        <v>4.9583333333333339</v>
      </c>
    </row>
    <row r="21" spans="1:14" ht="16" x14ac:dyDescent="0.2">
      <c r="A21" t="s">
        <v>68</v>
      </c>
      <c r="B21" s="19">
        <f t="shared" si="6"/>
        <v>59.75</v>
      </c>
      <c r="C21">
        <v>26</v>
      </c>
      <c r="D21">
        <v>5</v>
      </c>
      <c r="E21">
        <f t="shared" si="7"/>
        <v>26.625</v>
      </c>
      <c r="G21">
        <v>8</v>
      </c>
      <c r="H21">
        <v>1</v>
      </c>
      <c r="I21" s="125">
        <f t="shared" si="8"/>
        <v>8.125</v>
      </c>
      <c r="J21" s="19">
        <f t="shared" si="9"/>
        <v>25</v>
      </c>
      <c r="K21" s="125"/>
      <c r="L21" s="127">
        <f>O8</f>
        <v>9.6666666666666665E-2</v>
      </c>
      <c r="M21" s="19">
        <f>L21*J21</f>
        <v>2.4166666666666665</v>
      </c>
      <c r="N21" s="19">
        <f>K8</f>
        <v>2.4166666666666665</v>
      </c>
    </row>
    <row r="22" spans="1:14" ht="16" x14ac:dyDescent="0.2">
      <c r="A22" t="s">
        <v>523</v>
      </c>
      <c r="B22" s="19">
        <f t="shared" si="6"/>
        <v>10</v>
      </c>
      <c r="C22">
        <v>7</v>
      </c>
      <c r="E22">
        <f t="shared" si="7"/>
        <v>7</v>
      </c>
      <c r="G22">
        <v>3</v>
      </c>
      <c r="I22" s="125">
        <f t="shared" si="8"/>
        <v>3</v>
      </c>
      <c r="J22" s="19">
        <f t="shared" si="9"/>
        <v>0</v>
      </c>
      <c r="K22" s="125"/>
      <c r="L22" s="127">
        <f>O9</f>
        <v>0</v>
      </c>
      <c r="M22" s="19">
        <f>L22*J22</f>
        <v>0</v>
      </c>
      <c r="N22" s="19">
        <f>K9</f>
        <v>0</v>
      </c>
    </row>
    <row r="23" spans="1:14" ht="16" x14ac:dyDescent="0.2">
      <c r="A23" t="s">
        <v>71</v>
      </c>
      <c r="B23" s="19">
        <f t="shared" si="6"/>
        <v>6.25</v>
      </c>
      <c r="C23">
        <v>1</v>
      </c>
      <c r="D23">
        <v>7</v>
      </c>
      <c r="E23">
        <f t="shared" si="7"/>
        <v>1.875</v>
      </c>
      <c r="G23">
        <v>1</v>
      </c>
      <c r="H23">
        <v>3</v>
      </c>
      <c r="I23" s="125">
        <f t="shared" si="8"/>
        <v>1.375</v>
      </c>
      <c r="J23" s="19">
        <f t="shared" si="9"/>
        <v>3</v>
      </c>
      <c r="K23" s="125"/>
      <c r="N23" s="19"/>
    </row>
    <row r="24" spans="1:14" ht="16" x14ac:dyDescent="0.2">
      <c r="A24" t="s">
        <v>655</v>
      </c>
      <c r="K24" s="125"/>
    </row>
    <row r="25" spans="1:14" ht="16" x14ac:dyDescent="0.2">
      <c r="A25" s="121" t="s">
        <v>528</v>
      </c>
      <c r="B25" s="25">
        <f>SUM(B18:B23)</f>
        <v>223</v>
      </c>
      <c r="C25" s="24"/>
      <c r="D25" s="24"/>
      <c r="E25" s="24">
        <f>SUM(E18:E23)</f>
        <v>62</v>
      </c>
      <c r="F25" s="24"/>
      <c r="G25" s="24"/>
      <c r="H25" s="24"/>
      <c r="I25" s="24"/>
      <c r="J25" s="25">
        <f>SUM(J18:J23)</f>
        <v>118.25</v>
      </c>
      <c r="K25" s="24"/>
      <c r="L25" s="24"/>
      <c r="M25" s="25">
        <f>SUM(M18:M23)</f>
        <v>22.331250000000001</v>
      </c>
      <c r="N25" s="25">
        <f>SUM(N18:N22)</f>
        <v>22.331250000000001</v>
      </c>
    </row>
  </sheetData>
  <mergeCells count="5">
    <mergeCell ref="C16:E16"/>
    <mergeCell ref="G16:I16"/>
    <mergeCell ref="B3:C3"/>
    <mergeCell ref="G3:I3"/>
    <mergeCell ref="D3:E3"/>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98"/>
  <sheetViews>
    <sheetView workbookViewId="0"/>
  </sheetViews>
  <sheetFormatPr baseColWidth="10" defaultColWidth="8.83203125" defaultRowHeight="15" x14ac:dyDescent="0.2"/>
  <cols>
    <col min="1" max="1" width="44.33203125" customWidth="1"/>
    <col min="14" max="14" width="11.6640625" customWidth="1"/>
    <col min="17" max="17" width="10.83203125" customWidth="1"/>
  </cols>
  <sheetData>
    <row r="1" spans="1:20" ht="16" x14ac:dyDescent="0.2">
      <c r="A1" s="3" t="s">
        <v>656</v>
      </c>
      <c r="B1" s="8"/>
      <c r="C1" s="8"/>
      <c r="D1" s="8"/>
      <c r="E1" s="8"/>
      <c r="F1" s="8"/>
      <c r="G1" s="8"/>
      <c r="H1" s="8"/>
      <c r="I1" s="8"/>
      <c r="J1" s="8"/>
      <c r="K1" s="8"/>
      <c r="L1" s="82"/>
      <c r="M1" s="82"/>
      <c r="N1" s="8"/>
      <c r="O1" s="8"/>
      <c r="P1" s="8"/>
      <c r="Q1" s="82"/>
      <c r="R1" s="82"/>
      <c r="S1" s="82"/>
      <c r="T1" s="8"/>
    </row>
    <row r="2" spans="1:20" ht="16" x14ac:dyDescent="0.2">
      <c r="A2" s="15"/>
      <c r="B2" s="8"/>
      <c r="C2" s="8"/>
      <c r="D2" s="8"/>
      <c r="E2" s="8"/>
      <c r="F2" s="8"/>
      <c r="G2" s="8"/>
      <c r="H2" s="8"/>
      <c r="I2" s="8"/>
      <c r="J2" s="8"/>
      <c r="K2" s="8"/>
      <c r="L2" s="82"/>
      <c r="M2" s="82"/>
      <c r="N2" s="8"/>
      <c r="O2" s="8"/>
      <c r="P2" s="8"/>
      <c r="Q2" s="82"/>
      <c r="R2" s="82"/>
      <c r="S2" s="82"/>
      <c r="T2" s="8"/>
    </row>
    <row r="3" spans="1:20" ht="68" customHeight="1" x14ac:dyDescent="0.2">
      <c r="A3" s="128" t="s">
        <v>83</v>
      </c>
      <c r="B3" s="129" t="s">
        <v>524</v>
      </c>
      <c r="C3" s="129" t="s">
        <v>657</v>
      </c>
      <c r="D3" s="129" t="s">
        <v>658</v>
      </c>
      <c r="E3" s="3" t="s">
        <v>659</v>
      </c>
      <c r="F3" s="3" t="s">
        <v>660</v>
      </c>
      <c r="G3" s="129" t="s">
        <v>661</v>
      </c>
      <c r="H3" s="129" t="s">
        <v>662</v>
      </c>
      <c r="I3" s="129" t="s">
        <v>663</v>
      </c>
      <c r="J3" s="129" t="s">
        <v>525</v>
      </c>
      <c r="K3" s="129" t="s">
        <v>664</v>
      </c>
      <c r="L3" s="130" t="s">
        <v>665</v>
      </c>
      <c r="M3" s="130" t="s">
        <v>666</v>
      </c>
      <c r="N3" s="129" t="s">
        <v>667</v>
      </c>
      <c r="O3" s="129" t="s">
        <v>668</v>
      </c>
      <c r="P3" s="129" t="s">
        <v>669</v>
      </c>
      <c r="Q3" s="130" t="s">
        <v>670</v>
      </c>
      <c r="R3" s="131" t="s">
        <v>527</v>
      </c>
      <c r="S3" s="131" t="s">
        <v>526</v>
      </c>
      <c r="T3" s="129" t="s">
        <v>671</v>
      </c>
    </row>
    <row r="4" spans="1:20" ht="17" customHeight="1" x14ac:dyDescent="0.2">
      <c r="A4" s="15" t="s">
        <v>89</v>
      </c>
      <c r="B4" s="8"/>
      <c r="C4" s="8"/>
      <c r="D4" s="8"/>
      <c r="E4" s="8"/>
      <c r="F4" s="8"/>
      <c r="G4" s="8"/>
      <c r="H4" s="8"/>
      <c r="I4" s="8"/>
      <c r="J4" s="8"/>
      <c r="K4" s="129">
        <f t="shared" ref="K4:K29" si="0">B4+C4+D4-E4-F4-G4-H4-I4</f>
        <v>0</v>
      </c>
      <c r="Q4" s="82" t="str">
        <f t="shared" ref="Q4:Q29" si="1">IFERROR((L4+N4)/(M4+O4),"")</f>
        <v/>
      </c>
      <c r="R4" s="82" t="str">
        <f t="shared" ref="R4:R10" si="2">IFERROR(D4*Q4,"")</f>
        <v/>
      </c>
      <c r="S4" s="82" t="str">
        <f t="shared" ref="S4:S29" si="3">IFERROR(Q4*G4,"")</f>
        <v/>
      </c>
      <c r="T4" s="8"/>
    </row>
    <row r="5" spans="1:20" ht="17" customHeight="1" x14ac:dyDescent="0.2">
      <c r="A5" s="15" t="s">
        <v>90</v>
      </c>
      <c r="B5" s="8"/>
      <c r="C5" s="8"/>
      <c r="D5" s="8"/>
      <c r="E5" s="8"/>
      <c r="F5" s="8"/>
      <c r="G5" s="8"/>
      <c r="H5" s="8"/>
      <c r="I5" s="8"/>
      <c r="J5" s="8"/>
      <c r="K5" s="129">
        <f t="shared" si="0"/>
        <v>0</v>
      </c>
      <c r="L5" s="130"/>
      <c r="M5" s="130"/>
      <c r="N5" s="129"/>
      <c r="O5" s="129"/>
      <c r="P5" s="129"/>
      <c r="Q5" s="82" t="str">
        <f t="shared" si="1"/>
        <v/>
      </c>
      <c r="R5" s="82" t="str">
        <f t="shared" si="2"/>
        <v/>
      </c>
      <c r="S5" s="82" t="str">
        <f t="shared" si="3"/>
        <v/>
      </c>
      <c r="T5" s="8"/>
    </row>
    <row r="6" spans="1:20" ht="17" x14ac:dyDescent="0.2">
      <c r="A6" s="8" t="s">
        <v>91</v>
      </c>
      <c r="B6" s="8">
        <v>2</v>
      </c>
      <c r="C6" s="8"/>
      <c r="D6" s="8"/>
      <c r="E6" s="8"/>
      <c r="F6" s="8"/>
      <c r="G6" s="8"/>
      <c r="H6" s="8"/>
      <c r="I6" s="8"/>
      <c r="J6" s="8">
        <v>2</v>
      </c>
      <c r="K6" s="129">
        <f t="shared" si="0"/>
        <v>2</v>
      </c>
      <c r="L6" s="130"/>
      <c r="M6" s="130"/>
      <c r="N6" s="129"/>
      <c r="O6" s="129"/>
      <c r="P6" s="129"/>
      <c r="Q6" s="82" t="str">
        <f t="shared" si="1"/>
        <v/>
      </c>
      <c r="R6" s="82" t="str">
        <f t="shared" si="2"/>
        <v/>
      </c>
      <c r="S6" s="82" t="str">
        <f t="shared" si="3"/>
        <v/>
      </c>
      <c r="T6" s="8"/>
    </row>
    <row r="7" spans="1:20" ht="17" x14ac:dyDescent="0.2">
      <c r="A7" s="8" t="s">
        <v>92</v>
      </c>
      <c r="B7" s="8"/>
      <c r="C7" s="8"/>
      <c r="D7" s="8"/>
      <c r="E7" s="8"/>
      <c r="F7" s="8"/>
      <c r="G7" s="8"/>
      <c r="H7" s="8"/>
      <c r="I7" s="8"/>
      <c r="J7" s="8"/>
      <c r="K7" s="129">
        <f t="shared" si="0"/>
        <v>0</v>
      </c>
      <c r="L7" s="130"/>
      <c r="M7" s="130"/>
      <c r="N7" s="129"/>
      <c r="O7" s="129"/>
      <c r="P7" s="129"/>
      <c r="Q7" s="82" t="str">
        <f t="shared" si="1"/>
        <v/>
      </c>
      <c r="R7" s="82" t="str">
        <f t="shared" si="2"/>
        <v/>
      </c>
      <c r="S7" s="82" t="str">
        <f t="shared" si="3"/>
        <v/>
      </c>
      <c r="T7" s="8"/>
    </row>
    <row r="8" spans="1:20" ht="17" x14ac:dyDescent="0.2">
      <c r="A8" s="8" t="s">
        <v>92</v>
      </c>
      <c r="B8" s="8"/>
      <c r="C8" s="8"/>
      <c r="D8" s="8"/>
      <c r="E8" s="8"/>
      <c r="F8" s="8"/>
      <c r="G8" s="8"/>
      <c r="H8" s="8"/>
      <c r="I8" s="8"/>
      <c r="J8" s="8"/>
      <c r="K8" s="129">
        <f t="shared" si="0"/>
        <v>0</v>
      </c>
      <c r="L8" s="130"/>
      <c r="M8" s="130"/>
      <c r="N8" s="129"/>
      <c r="O8" s="129"/>
      <c r="P8" s="129"/>
      <c r="Q8" s="82" t="str">
        <f t="shared" si="1"/>
        <v/>
      </c>
      <c r="R8" s="82" t="str">
        <f t="shared" si="2"/>
        <v/>
      </c>
      <c r="S8" s="82" t="str">
        <f t="shared" si="3"/>
        <v/>
      </c>
      <c r="T8" s="8"/>
    </row>
    <row r="9" spans="1:20" ht="17" x14ac:dyDescent="0.2">
      <c r="A9" s="8" t="s">
        <v>93</v>
      </c>
      <c r="B9" s="8"/>
      <c r="C9" s="8"/>
      <c r="D9" s="8"/>
      <c r="E9" s="8"/>
      <c r="F9" s="8"/>
      <c r="G9" s="8"/>
      <c r="H9" s="8"/>
      <c r="I9" s="8"/>
      <c r="J9" s="8"/>
      <c r="K9" s="129">
        <f t="shared" si="0"/>
        <v>0</v>
      </c>
      <c r="L9" s="130"/>
      <c r="M9" s="130"/>
      <c r="N9" s="129"/>
      <c r="O9" s="129"/>
      <c r="P9" s="129"/>
      <c r="Q9" s="82" t="str">
        <f t="shared" si="1"/>
        <v/>
      </c>
      <c r="R9" s="82" t="str">
        <f t="shared" si="2"/>
        <v/>
      </c>
      <c r="S9" s="82" t="str">
        <f t="shared" si="3"/>
        <v/>
      </c>
      <c r="T9" s="8"/>
    </row>
    <row r="10" spans="1:20" ht="17" x14ac:dyDescent="0.2">
      <c r="A10" s="8" t="s">
        <v>94</v>
      </c>
      <c r="B10" s="8"/>
      <c r="C10" s="8"/>
      <c r="D10" s="8"/>
      <c r="E10" s="8"/>
      <c r="F10" s="8"/>
      <c r="G10" s="8"/>
      <c r="H10" s="8"/>
      <c r="I10" s="8"/>
      <c r="J10" s="8"/>
      <c r="K10" s="129">
        <f t="shared" si="0"/>
        <v>0</v>
      </c>
      <c r="L10" s="130"/>
      <c r="M10" s="130"/>
      <c r="N10" s="129"/>
      <c r="O10" s="129"/>
      <c r="P10" s="129"/>
      <c r="Q10" s="82" t="str">
        <f t="shared" si="1"/>
        <v/>
      </c>
      <c r="R10" s="82" t="str">
        <f t="shared" si="2"/>
        <v/>
      </c>
      <c r="S10" s="82" t="str">
        <f t="shared" si="3"/>
        <v/>
      </c>
      <c r="T10" s="8"/>
    </row>
    <row r="11" spans="1:20" ht="17" x14ac:dyDescent="0.2">
      <c r="A11" s="8" t="s">
        <v>95</v>
      </c>
      <c r="B11" s="8">
        <v>24</v>
      </c>
      <c r="C11" s="8">
        <v>6</v>
      </c>
      <c r="E11" s="8"/>
      <c r="F11" s="8"/>
      <c r="G11" s="8">
        <v>2</v>
      </c>
      <c r="H11" s="8"/>
      <c r="I11" s="8"/>
      <c r="J11" s="8"/>
      <c r="K11" s="129">
        <f t="shared" si="0"/>
        <v>28</v>
      </c>
      <c r="L11" s="132">
        <f>'Bishops Fonthill Receipts'!F44</f>
        <v>0.8</v>
      </c>
      <c r="M11" s="132">
        <v>2</v>
      </c>
      <c r="N11" s="133"/>
      <c r="O11" s="133"/>
      <c r="P11" s="133"/>
      <c r="Q11" s="82">
        <f t="shared" si="1"/>
        <v>0.4</v>
      </c>
      <c r="R11" s="82">
        <f>IFERROR(C11*Q11,"")</f>
        <v>2.4000000000000004</v>
      </c>
      <c r="S11" s="82">
        <f t="shared" si="3"/>
        <v>0.8</v>
      </c>
      <c r="T11" s="8"/>
    </row>
    <row r="12" spans="1:20" ht="17" x14ac:dyDescent="0.2">
      <c r="A12" s="8" t="s">
        <v>96</v>
      </c>
      <c r="B12" s="8"/>
      <c r="C12" s="8"/>
      <c r="D12" s="8"/>
      <c r="E12" s="8"/>
      <c r="F12" s="8"/>
      <c r="G12" s="8"/>
      <c r="H12" s="8"/>
      <c r="I12" s="8"/>
      <c r="J12" s="8"/>
      <c r="K12" s="129">
        <f t="shared" si="0"/>
        <v>0</v>
      </c>
      <c r="L12" s="132"/>
      <c r="M12" s="132"/>
      <c r="N12" s="133"/>
      <c r="O12" s="133"/>
      <c r="P12" s="133"/>
      <c r="Q12" s="82" t="str">
        <f t="shared" si="1"/>
        <v/>
      </c>
      <c r="R12" s="82" t="str">
        <f t="shared" ref="R12:R29" si="4">IFERROR(D12*Q12,"")</f>
        <v/>
      </c>
      <c r="S12" s="82" t="str">
        <f t="shared" si="3"/>
        <v/>
      </c>
      <c r="T12" s="8"/>
    </row>
    <row r="13" spans="1:20" ht="17" x14ac:dyDescent="0.2">
      <c r="A13" s="8" t="s">
        <v>97</v>
      </c>
      <c r="B13" s="8"/>
      <c r="C13" s="8"/>
      <c r="D13" s="8"/>
      <c r="E13" s="8"/>
      <c r="F13" s="8"/>
      <c r="G13" s="8"/>
      <c r="H13" s="8"/>
      <c r="I13" s="8"/>
      <c r="J13" s="8"/>
      <c r="K13" s="129">
        <f t="shared" si="0"/>
        <v>0</v>
      </c>
      <c r="L13" s="132"/>
      <c r="M13" s="132"/>
      <c r="N13" s="133"/>
      <c r="O13" s="133"/>
      <c r="P13" s="133"/>
      <c r="Q13" s="82" t="str">
        <f t="shared" si="1"/>
        <v/>
      </c>
      <c r="R13" s="82" t="str">
        <f t="shared" si="4"/>
        <v/>
      </c>
      <c r="S13" s="82" t="str">
        <f t="shared" si="3"/>
        <v/>
      </c>
      <c r="T13" s="8"/>
    </row>
    <row r="14" spans="1:20" ht="17" x14ac:dyDescent="0.2">
      <c r="A14" s="8" t="s">
        <v>98</v>
      </c>
      <c r="B14" s="8"/>
      <c r="C14" s="8"/>
      <c r="D14" s="8"/>
      <c r="E14" s="8"/>
      <c r="F14" s="8"/>
      <c r="G14" s="8"/>
      <c r="H14" s="8"/>
      <c r="I14" s="8"/>
      <c r="J14" s="8"/>
      <c r="K14" s="129">
        <f t="shared" si="0"/>
        <v>0</v>
      </c>
      <c r="L14" s="132"/>
      <c r="M14" s="132"/>
      <c r="N14" s="133"/>
      <c r="O14" s="133"/>
      <c r="P14" s="133"/>
      <c r="Q14" s="82" t="str">
        <f t="shared" si="1"/>
        <v/>
      </c>
      <c r="R14" s="82" t="str">
        <f t="shared" si="4"/>
        <v/>
      </c>
      <c r="S14" s="82" t="str">
        <f t="shared" si="3"/>
        <v/>
      </c>
      <c r="T14" s="8"/>
    </row>
    <row r="15" spans="1:20" ht="17" x14ac:dyDescent="0.2">
      <c r="A15" s="8" t="s">
        <v>99</v>
      </c>
      <c r="B15" s="8"/>
      <c r="C15" s="8"/>
      <c r="D15" s="8"/>
      <c r="E15" s="8"/>
      <c r="F15" s="8"/>
      <c r="G15" s="8"/>
      <c r="H15" s="8"/>
      <c r="I15" s="8"/>
      <c r="J15" s="8"/>
      <c r="K15" s="129">
        <f t="shared" si="0"/>
        <v>0</v>
      </c>
      <c r="L15" s="132"/>
      <c r="M15" s="132"/>
      <c r="N15" s="133"/>
      <c r="O15" s="133"/>
      <c r="P15" s="133"/>
      <c r="Q15" s="82" t="str">
        <f t="shared" si="1"/>
        <v/>
      </c>
      <c r="R15" s="82" t="str">
        <f t="shared" si="4"/>
        <v/>
      </c>
      <c r="S15" s="82" t="str">
        <f t="shared" si="3"/>
        <v/>
      </c>
      <c r="T15" s="8"/>
    </row>
    <row r="16" spans="1:20" ht="17" x14ac:dyDescent="0.2">
      <c r="A16" s="8" t="s">
        <v>100</v>
      </c>
      <c r="B16" s="8"/>
      <c r="C16" s="8"/>
      <c r="D16" s="8"/>
      <c r="E16" s="8"/>
      <c r="F16" s="8"/>
      <c r="G16" s="8"/>
      <c r="H16" s="8"/>
      <c r="I16" s="8"/>
      <c r="J16" s="8"/>
      <c r="K16" s="129">
        <f t="shared" si="0"/>
        <v>0</v>
      </c>
      <c r="L16" s="132"/>
      <c r="M16" s="132"/>
      <c r="N16" s="133"/>
      <c r="O16" s="133"/>
      <c r="P16" s="133"/>
      <c r="Q16" s="82" t="str">
        <f t="shared" si="1"/>
        <v/>
      </c>
      <c r="R16" s="82" t="str">
        <f t="shared" si="4"/>
        <v/>
      </c>
      <c r="S16" s="82" t="str">
        <f t="shared" si="3"/>
        <v/>
      </c>
      <c r="T16" s="8"/>
    </row>
    <row r="17" spans="1:20" ht="17" x14ac:dyDescent="0.2">
      <c r="A17" s="8" t="s">
        <v>101</v>
      </c>
      <c r="B17" s="8"/>
      <c r="C17" s="8"/>
      <c r="D17" s="8"/>
      <c r="E17" s="8"/>
      <c r="F17" s="8"/>
      <c r="G17" s="8"/>
      <c r="H17" s="8"/>
      <c r="I17" s="8"/>
      <c r="J17" s="8"/>
      <c r="K17" s="129">
        <f t="shared" si="0"/>
        <v>0</v>
      </c>
      <c r="L17" s="132"/>
      <c r="M17" s="132"/>
      <c r="N17" s="133"/>
      <c r="O17" s="133"/>
      <c r="P17" s="133"/>
      <c r="Q17" s="82" t="str">
        <f t="shared" si="1"/>
        <v/>
      </c>
      <c r="R17" s="82" t="str">
        <f t="shared" si="4"/>
        <v/>
      </c>
      <c r="S17" s="82" t="str">
        <f t="shared" si="3"/>
        <v/>
      </c>
      <c r="T17" s="8"/>
    </row>
    <row r="18" spans="1:20" ht="17" x14ac:dyDescent="0.2">
      <c r="A18" s="8" t="s">
        <v>102</v>
      </c>
      <c r="B18" s="8">
        <v>323</v>
      </c>
      <c r="C18" s="8"/>
      <c r="D18" s="8">
        <v>34</v>
      </c>
      <c r="E18" s="8"/>
      <c r="F18" s="8"/>
      <c r="G18" s="8">
        <v>51</v>
      </c>
      <c r="H18" s="8">
        <v>21</v>
      </c>
      <c r="I18" s="8"/>
      <c r="J18" s="8">
        <v>285</v>
      </c>
      <c r="K18" s="129">
        <f t="shared" si="0"/>
        <v>285</v>
      </c>
      <c r="L18" s="132">
        <f>'Bishops Fonthill Receipts'!F45</f>
        <v>2.9750000000000001</v>
      </c>
      <c r="M18" s="132">
        <v>51</v>
      </c>
      <c r="N18" s="133"/>
      <c r="O18" s="133"/>
      <c r="P18" s="133"/>
      <c r="Q18" s="82">
        <f t="shared" si="1"/>
        <v>5.8333333333333334E-2</v>
      </c>
      <c r="R18" s="82">
        <f t="shared" si="4"/>
        <v>1.9833333333333334</v>
      </c>
      <c r="S18" s="82">
        <f t="shared" si="3"/>
        <v>2.9750000000000001</v>
      </c>
      <c r="T18" s="8"/>
    </row>
    <row r="19" spans="1:20" ht="17" x14ac:dyDescent="0.2">
      <c r="A19" s="8" t="s">
        <v>103</v>
      </c>
      <c r="B19" s="8"/>
      <c r="C19" s="8"/>
      <c r="D19" s="8"/>
      <c r="E19" s="8"/>
      <c r="F19" s="8"/>
      <c r="G19" s="8"/>
      <c r="H19" s="8"/>
      <c r="I19" s="8"/>
      <c r="J19" s="8"/>
      <c r="K19" s="129">
        <f t="shared" si="0"/>
        <v>0</v>
      </c>
      <c r="L19" s="132"/>
      <c r="M19" s="132"/>
      <c r="N19" s="133"/>
      <c r="O19" s="133"/>
      <c r="P19" s="133"/>
      <c r="Q19" s="82" t="str">
        <f t="shared" si="1"/>
        <v/>
      </c>
      <c r="R19" s="82" t="str">
        <f t="shared" si="4"/>
        <v/>
      </c>
      <c r="S19" s="82" t="str">
        <f t="shared" si="3"/>
        <v/>
      </c>
      <c r="T19" s="8"/>
    </row>
    <row r="20" spans="1:20" ht="17" x14ac:dyDescent="0.2">
      <c r="A20" s="8" t="s">
        <v>104</v>
      </c>
      <c r="B20" s="8"/>
      <c r="C20" s="8"/>
      <c r="D20" s="8"/>
      <c r="E20" s="8"/>
      <c r="F20" s="8"/>
      <c r="G20" s="8"/>
      <c r="H20" s="8"/>
      <c r="I20" s="8"/>
      <c r="J20" s="8"/>
      <c r="K20" s="129">
        <f t="shared" si="0"/>
        <v>0</v>
      </c>
      <c r="L20" s="132"/>
      <c r="M20" s="132"/>
      <c r="N20" s="133"/>
      <c r="O20" s="133"/>
      <c r="P20" s="133"/>
      <c r="Q20" s="82" t="str">
        <f t="shared" si="1"/>
        <v/>
      </c>
      <c r="R20" s="82" t="str">
        <f t="shared" si="4"/>
        <v/>
      </c>
      <c r="S20" s="82" t="str">
        <f t="shared" si="3"/>
        <v/>
      </c>
      <c r="T20" s="8"/>
    </row>
    <row r="21" spans="1:20" ht="17" x14ac:dyDescent="0.2">
      <c r="A21" s="8" t="s">
        <v>105</v>
      </c>
      <c r="B21" s="8"/>
      <c r="C21" s="8"/>
      <c r="D21" s="8"/>
      <c r="E21" s="8"/>
      <c r="F21" s="8"/>
      <c r="G21" s="8"/>
      <c r="H21" s="8"/>
      <c r="I21" s="8"/>
      <c r="J21" s="8"/>
      <c r="K21" s="129">
        <f t="shared" si="0"/>
        <v>0</v>
      </c>
      <c r="L21" s="132"/>
      <c r="M21" s="132"/>
      <c r="N21" s="133"/>
      <c r="O21" s="133"/>
      <c r="P21" s="133"/>
      <c r="Q21" s="82" t="str">
        <f t="shared" si="1"/>
        <v/>
      </c>
      <c r="R21" s="82" t="str">
        <f t="shared" si="4"/>
        <v/>
      </c>
      <c r="S21" s="82" t="str">
        <f t="shared" si="3"/>
        <v/>
      </c>
      <c r="T21" s="8"/>
    </row>
    <row r="22" spans="1:20" ht="17" x14ac:dyDescent="0.2">
      <c r="A22" s="8" t="s">
        <v>106</v>
      </c>
      <c r="B22" s="8"/>
      <c r="C22" s="8"/>
      <c r="D22" s="8">
        <v>10</v>
      </c>
      <c r="E22" s="8"/>
      <c r="F22" s="8"/>
      <c r="G22" s="8"/>
      <c r="H22" s="8"/>
      <c r="I22" s="8"/>
      <c r="J22" s="8">
        <v>10</v>
      </c>
      <c r="K22" s="129">
        <f t="shared" si="0"/>
        <v>10</v>
      </c>
      <c r="L22" s="132"/>
      <c r="M22" s="132"/>
      <c r="N22" s="133"/>
      <c r="O22" s="133"/>
      <c r="P22" s="133"/>
      <c r="Q22" s="82" t="str">
        <f t="shared" si="1"/>
        <v/>
      </c>
      <c r="R22" s="82" t="str">
        <f t="shared" si="4"/>
        <v/>
      </c>
      <c r="S22" s="82" t="str">
        <f t="shared" si="3"/>
        <v/>
      </c>
      <c r="T22" s="8"/>
    </row>
    <row r="23" spans="1:20" ht="17" x14ac:dyDescent="0.2">
      <c r="A23" s="8" t="s">
        <v>107</v>
      </c>
      <c r="B23" s="8"/>
      <c r="C23" s="8"/>
      <c r="D23" s="8"/>
      <c r="E23" s="8"/>
      <c r="F23" s="8"/>
      <c r="G23" s="8"/>
      <c r="H23" s="8"/>
      <c r="I23" s="8"/>
      <c r="J23" s="8"/>
      <c r="K23" s="129">
        <f t="shared" si="0"/>
        <v>0</v>
      </c>
      <c r="L23" s="132"/>
      <c r="M23" s="132"/>
      <c r="N23" s="133"/>
      <c r="O23" s="133"/>
      <c r="P23" s="133"/>
      <c r="Q23" s="82" t="str">
        <f t="shared" si="1"/>
        <v/>
      </c>
      <c r="R23" s="82" t="str">
        <f t="shared" si="4"/>
        <v/>
      </c>
      <c r="S23" s="82" t="str">
        <f t="shared" si="3"/>
        <v/>
      </c>
      <c r="T23" s="8"/>
    </row>
    <row r="24" spans="1:20" ht="17" x14ac:dyDescent="0.2">
      <c r="A24" s="8" t="s">
        <v>108</v>
      </c>
      <c r="B24" s="8"/>
      <c r="C24" s="8"/>
      <c r="D24" s="8"/>
      <c r="E24" s="8"/>
      <c r="F24" s="8"/>
      <c r="G24" s="8"/>
      <c r="H24" s="8"/>
      <c r="I24" s="8"/>
      <c r="J24" s="8"/>
      <c r="K24" s="129">
        <f t="shared" si="0"/>
        <v>0</v>
      </c>
      <c r="L24" s="132"/>
      <c r="M24" s="132"/>
      <c r="N24" s="133"/>
      <c r="O24" s="133"/>
      <c r="P24" s="133"/>
      <c r="Q24" s="82" t="str">
        <f t="shared" si="1"/>
        <v/>
      </c>
      <c r="R24" s="82" t="str">
        <f t="shared" si="4"/>
        <v/>
      </c>
      <c r="S24" s="82" t="str">
        <f t="shared" si="3"/>
        <v/>
      </c>
      <c r="T24" s="8"/>
    </row>
    <row r="25" spans="1:20" ht="17" x14ac:dyDescent="0.2">
      <c r="A25" s="8" t="s">
        <v>109</v>
      </c>
      <c r="B25" s="8">
        <v>40</v>
      </c>
      <c r="C25" s="8"/>
      <c r="D25" s="8">
        <v>24</v>
      </c>
      <c r="E25" s="8"/>
      <c r="F25" s="8"/>
      <c r="G25" s="8">
        <v>26</v>
      </c>
      <c r="H25" s="8">
        <v>12</v>
      </c>
      <c r="I25" s="8"/>
      <c r="J25" s="8">
        <v>26</v>
      </c>
      <c r="K25" s="129">
        <f t="shared" si="0"/>
        <v>26</v>
      </c>
      <c r="L25" s="132">
        <f>'Bishops Fonthill Receipts'!F43</f>
        <v>2.9291666666666667</v>
      </c>
      <c r="M25" s="132">
        <v>22</v>
      </c>
      <c r="N25" s="133"/>
      <c r="O25" s="133"/>
      <c r="P25" s="133"/>
      <c r="Q25" s="82">
        <f t="shared" si="1"/>
        <v>0.1331439393939394</v>
      </c>
      <c r="R25" s="82">
        <f t="shared" si="4"/>
        <v>3.1954545454545453</v>
      </c>
      <c r="S25" s="82">
        <f t="shared" si="3"/>
        <v>3.4617424242424244</v>
      </c>
      <c r="T25" s="8" t="s">
        <v>672</v>
      </c>
    </row>
    <row r="26" spans="1:20" ht="17" x14ac:dyDescent="0.2">
      <c r="A26" s="8" t="s">
        <v>110</v>
      </c>
      <c r="B26" s="8">
        <v>28</v>
      </c>
      <c r="C26" s="8"/>
      <c r="D26" s="8"/>
      <c r="E26" s="8"/>
      <c r="F26" s="8"/>
      <c r="G26" s="8"/>
      <c r="H26" s="8">
        <v>4</v>
      </c>
      <c r="I26" s="8">
        <v>24</v>
      </c>
      <c r="J26" s="8">
        <v>0</v>
      </c>
      <c r="K26" s="129">
        <f t="shared" si="0"/>
        <v>0</v>
      </c>
      <c r="L26" s="132"/>
      <c r="M26" s="132"/>
      <c r="N26" s="133"/>
      <c r="O26" s="133"/>
      <c r="P26" s="133"/>
      <c r="Q26" s="82" t="str">
        <f t="shared" si="1"/>
        <v/>
      </c>
      <c r="R26" s="82" t="str">
        <f t="shared" si="4"/>
        <v/>
      </c>
      <c r="S26" s="82" t="str">
        <f t="shared" si="3"/>
        <v/>
      </c>
      <c r="T26" s="8"/>
    </row>
    <row r="27" spans="1:20" ht="17" x14ac:dyDescent="0.2">
      <c r="A27" s="8" t="s">
        <v>111</v>
      </c>
      <c r="B27" s="8"/>
      <c r="C27" s="8"/>
      <c r="D27" s="8">
        <v>33</v>
      </c>
      <c r="E27" s="8"/>
      <c r="F27" s="8"/>
      <c r="G27" s="8"/>
      <c r="H27" s="8">
        <v>17</v>
      </c>
      <c r="I27" s="8">
        <v>3</v>
      </c>
      <c r="J27" s="8">
        <v>13</v>
      </c>
      <c r="K27" s="129">
        <f t="shared" si="0"/>
        <v>13</v>
      </c>
      <c r="L27" s="132"/>
      <c r="M27" s="132"/>
      <c r="N27" s="133"/>
      <c r="O27" s="133"/>
      <c r="P27" s="133"/>
      <c r="Q27" s="82" t="str">
        <f t="shared" si="1"/>
        <v/>
      </c>
      <c r="R27" s="82" t="str">
        <f t="shared" si="4"/>
        <v/>
      </c>
      <c r="S27" s="82" t="str">
        <f t="shared" si="3"/>
        <v/>
      </c>
      <c r="T27" s="8"/>
    </row>
    <row r="28" spans="1:20" ht="17" x14ac:dyDescent="0.2">
      <c r="A28" s="8" t="s">
        <v>112</v>
      </c>
      <c r="B28" s="8"/>
      <c r="C28" s="8"/>
      <c r="D28" s="8"/>
      <c r="E28" s="8"/>
      <c r="F28" s="8"/>
      <c r="G28" s="8"/>
      <c r="H28" s="8"/>
      <c r="I28" s="8"/>
      <c r="J28" s="8"/>
      <c r="K28" s="129">
        <f t="shared" si="0"/>
        <v>0</v>
      </c>
      <c r="L28" s="132"/>
      <c r="M28" s="132"/>
      <c r="N28" s="133"/>
      <c r="O28" s="133"/>
      <c r="P28" s="133"/>
      <c r="Q28" s="82" t="str">
        <f t="shared" si="1"/>
        <v/>
      </c>
      <c r="R28" s="82" t="str">
        <f t="shared" si="4"/>
        <v/>
      </c>
      <c r="S28" s="82" t="str">
        <f t="shared" si="3"/>
        <v/>
      </c>
      <c r="T28" s="8"/>
    </row>
    <row r="29" spans="1:20" ht="17" x14ac:dyDescent="0.2">
      <c r="A29" s="8" t="s">
        <v>113</v>
      </c>
      <c r="B29" s="8"/>
      <c r="C29" s="8"/>
      <c r="D29" s="8"/>
      <c r="E29" s="8"/>
      <c r="F29" s="8"/>
      <c r="G29" s="8"/>
      <c r="H29" s="8"/>
      <c r="I29" s="8"/>
      <c r="J29" s="8"/>
      <c r="K29" s="129">
        <f t="shared" si="0"/>
        <v>0</v>
      </c>
      <c r="L29" s="82"/>
      <c r="M29" s="82"/>
      <c r="N29" s="8"/>
      <c r="O29" s="8"/>
      <c r="P29" s="8"/>
      <c r="Q29" s="82" t="str">
        <f t="shared" si="1"/>
        <v/>
      </c>
      <c r="R29" s="82" t="str">
        <f t="shared" si="4"/>
        <v/>
      </c>
      <c r="S29" s="82" t="str">
        <f t="shared" si="3"/>
        <v/>
      </c>
      <c r="T29" s="8"/>
    </row>
    <row r="30" spans="1:20" ht="16" x14ac:dyDescent="0.2">
      <c r="A30" s="134" t="s">
        <v>528</v>
      </c>
      <c r="B30" s="134"/>
      <c r="C30" s="134"/>
      <c r="D30" s="134"/>
      <c r="E30" s="134"/>
      <c r="F30" s="134"/>
      <c r="G30" s="134"/>
      <c r="H30" s="134"/>
      <c r="I30" s="134"/>
      <c r="J30" s="134"/>
      <c r="K30" s="135"/>
      <c r="L30" s="136"/>
      <c r="M30" s="136"/>
      <c r="N30" s="134"/>
      <c r="O30" s="134"/>
      <c r="P30" s="134"/>
      <c r="Q30" s="136"/>
      <c r="R30" s="136"/>
      <c r="S30" s="136">
        <f>SUM(S4:S29)</f>
        <v>7.2367424242424248</v>
      </c>
      <c r="T30" s="134"/>
    </row>
    <row r="31" spans="1:20" ht="17" x14ac:dyDescent="0.2">
      <c r="A31" s="8"/>
      <c r="B31" s="8"/>
      <c r="C31" s="8"/>
      <c r="D31" s="8"/>
      <c r="E31" s="8"/>
      <c r="F31" s="8"/>
      <c r="G31" s="8"/>
      <c r="H31" s="8"/>
      <c r="I31" s="8"/>
      <c r="J31" s="8"/>
      <c r="K31" s="129">
        <f t="shared" ref="K31:K62" si="5">B31+C31+D31-E31-F31-G31-H31-I31</f>
        <v>0</v>
      </c>
      <c r="L31" s="82"/>
      <c r="M31" s="82"/>
      <c r="N31" s="8"/>
      <c r="O31" s="8"/>
      <c r="P31" s="8"/>
      <c r="Q31" s="82" t="str">
        <f>IFERROR((L31+N31)/(M31+O31),"")</f>
        <v/>
      </c>
      <c r="R31" s="82" t="str">
        <f t="shared" ref="R31:R62" si="6">IFERROR(D31*Q31,"")</f>
        <v/>
      </c>
      <c r="S31" s="82" t="str">
        <f t="shared" ref="S31:S38" si="7">IFERROR(Q31*G31,"")</f>
        <v/>
      </c>
      <c r="T31" s="8"/>
    </row>
    <row r="32" spans="1:20" ht="17" x14ac:dyDescent="0.2">
      <c r="A32" s="8"/>
      <c r="B32" s="8"/>
      <c r="C32" s="8"/>
      <c r="D32" s="8"/>
      <c r="E32" s="8"/>
      <c r="F32" s="8"/>
      <c r="G32" s="8"/>
      <c r="H32" s="8"/>
      <c r="I32" s="8"/>
      <c r="J32" s="8"/>
      <c r="K32" s="129">
        <f t="shared" si="5"/>
        <v>0</v>
      </c>
      <c r="L32" s="82"/>
      <c r="M32" s="82"/>
      <c r="N32" s="8"/>
      <c r="O32" s="8"/>
      <c r="P32" s="8"/>
      <c r="Q32" s="82" t="str">
        <f>IFERROR((L32+N32)/(M32+O32),"")</f>
        <v/>
      </c>
      <c r="R32" s="82" t="str">
        <f t="shared" si="6"/>
        <v/>
      </c>
      <c r="S32" s="82" t="str">
        <f t="shared" si="7"/>
        <v/>
      </c>
      <c r="T32" s="8"/>
    </row>
    <row r="33" spans="1:20" ht="17" customHeight="1" x14ac:dyDescent="0.2">
      <c r="A33" s="128" t="s">
        <v>116</v>
      </c>
      <c r="B33" s="137"/>
      <c r="C33" s="137"/>
      <c r="D33" s="137"/>
      <c r="E33" s="137"/>
      <c r="F33" s="8"/>
      <c r="G33" s="8"/>
      <c r="H33" s="8"/>
      <c r="I33" s="8"/>
      <c r="J33" s="8"/>
      <c r="K33" s="129">
        <f t="shared" si="5"/>
        <v>0</v>
      </c>
      <c r="L33" s="82"/>
      <c r="M33" s="82"/>
      <c r="N33" s="8"/>
      <c r="O33" s="8"/>
      <c r="P33" s="8"/>
      <c r="Q33" s="82" t="str">
        <f>IFERROR((L33+N33)/(M33+O33),"")</f>
        <v/>
      </c>
      <c r="R33" s="82" t="str">
        <f t="shared" si="6"/>
        <v/>
      </c>
      <c r="S33" s="82" t="str">
        <f t="shared" si="7"/>
        <v/>
      </c>
      <c r="T33" s="8"/>
    </row>
    <row r="34" spans="1:20" ht="17" customHeight="1" x14ac:dyDescent="0.2">
      <c r="A34" s="15" t="s">
        <v>117</v>
      </c>
      <c r="B34" s="8"/>
      <c r="C34" s="8"/>
      <c r="D34" s="8">
        <v>316</v>
      </c>
      <c r="E34" s="8"/>
      <c r="F34" s="8"/>
      <c r="G34" s="8">
        <v>312</v>
      </c>
      <c r="H34" s="8"/>
      <c r="I34" s="8">
        <v>4</v>
      </c>
      <c r="J34" s="8"/>
      <c r="K34" s="129">
        <f t="shared" si="5"/>
        <v>0</v>
      </c>
      <c r="L34" s="82"/>
      <c r="M34" s="82"/>
      <c r="N34" s="8"/>
      <c r="O34" s="8"/>
      <c r="P34" s="8">
        <f>2+12*Assumptions!E5</f>
        <v>2.48</v>
      </c>
      <c r="Q34" s="138">
        <v>0.02</v>
      </c>
      <c r="R34" s="82">
        <f t="shared" si="6"/>
        <v>6.32</v>
      </c>
      <c r="S34" s="82">
        <f t="shared" si="7"/>
        <v>6.24</v>
      </c>
      <c r="T34" t="s">
        <v>673</v>
      </c>
    </row>
    <row r="35" spans="1:20" ht="17" x14ac:dyDescent="0.2">
      <c r="A35" s="8" t="s">
        <v>118</v>
      </c>
      <c r="B35" s="8"/>
      <c r="C35" s="8"/>
      <c r="D35" s="8"/>
      <c r="E35" s="8"/>
      <c r="F35" s="8"/>
      <c r="G35" s="8"/>
      <c r="H35" s="8"/>
      <c r="I35" s="8"/>
      <c r="J35" s="8"/>
      <c r="K35" s="129">
        <f t="shared" si="5"/>
        <v>0</v>
      </c>
      <c r="L35" s="82"/>
      <c r="M35" s="82"/>
      <c r="N35" s="8"/>
      <c r="O35" s="8"/>
      <c r="P35" s="8"/>
      <c r="Q35" s="82" t="str">
        <f t="shared" ref="Q35:Q62" si="8">IFERROR((L35+N35)/(M35+O35),"")</f>
        <v/>
      </c>
      <c r="R35" s="82" t="str">
        <f t="shared" si="6"/>
        <v/>
      </c>
      <c r="S35" s="82" t="str">
        <f t="shared" si="7"/>
        <v/>
      </c>
      <c r="T35" s="8"/>
    </row>
    <row r="36" spans="1:20" ht="17" x14ac:dyDescent="0.2">
      <c r="A36" s="8" t="s">
        <v>119</v>
      </c>
      <c r="B36" s="8"/>
      <c r="C36" s="8"/>
      <c r="D36" s="8">
        <v>10</v>
      </c>
      <c r="E36" s="8"/>
      <c r="F36" s="8"/>
      <c r="G36" s="8">
        <v>10</v>
      </c>
      <c r="H36" s="8"/>
      <c r="I36" s="8"/>
      <c r="J36" s="8"/>
      <c r="K36" s="129">
        <f t="shared" si="5"/>
        <v>0</v>
      </c>
      <c r="L36" s="82">
        <f>'Bishops Fonthill Receipts'!F53</f>
        <v>4.1666666666666664E-2</v>
      </c>
      <c r="M36" s="82">
        <v>10</v>
      </c>
      <c r="N36" s="8"/>
      <c r="O36" s="8"/>
      <c r="P36" s="8"/>
      <c r="Q36" s="82">
        <f t="shared" si="8"/>
        <v>4.1666666666666666E-3</v>
      </c>
      <c r="R36" s="82">
        <f t="shared" si="6"/>
        <v>4.1666666666666664E-2</v>
      </c>
      <c r="S36" s="82">
        <f t="shared" si="7"/>
        <v>4.1666666666666664E-2</v>
      </c>
      <c r="T36" s="8"/>
    </row>
    <row r="37" spans="1:20" ht="17" x14ac:dyDescent="0.2">
      <c r="A37" s="8" t="s">
        <v>120</v>
      </c>
      <c r="B37" s="8"/>
      <c r="C37" s="8"/>
      <c r="D37" s="8">
        <f>P37</f>
        <v>0.14285714285714285</v>
      </c>
      <c r="E37" s="8"/>
      <c r="F37" s="8"/>
      <c r="G37" s="8">
        <f>P37</f>
        <v>0.14285714285714285</v>
      </c>
      <c r="H37" s="8"/>
      <c r="I37" s="8"/>
      <c r="J37" s="8"/>
      <c r="K37" s="129">
        <f t="shared" si="5"/>
        <v>0</v>
      </c>
      <c r="L37" s="82">
        <f>'Bishops Fonthill Receipts'!F52</f>
        <v>0.18333333333333332</v>
      </c>
      <c r="M37" s="8">
        <f>P37</f>
        <v>0.14285714285714285</v>
      </c>
      <c r="N37" s="8"/>
      <c r="O37" s="8"/>
      <c r="P37" s="8">
        <f>2*Assumptions!E7</f>
        <v>0.14285714285714285</v>
      </c>
      <c r="Q37" s="82">
        <f t="shared" si="8"/>
        <v>1.2833333333333332</v>
      </c>
      <c r="R37" s="82">
        <f t="shared" si="6"/>
        <v>0.18333333333333329</v>
      </c>
      <c r="S37" s="82">
        <f t="shared" si="7"/>
        <v>0.18333333333333329</v>
      </c>
      <c r="T37" s="8"/>
    </row>
    <row r="38" spans="1:20" ht="17" x14ac:dyDescent="0.2">
      <c r="A38" s="8" t="s">
        <v>121</v>
      </c>
      <c r="B38" s="8"/>
      <c r="C38" s="8"/>
      <c r="D38" s="8"/>
      <c r="E38" s="8"/>
      <c r="F38" s="8"/>
      <c r="G38" s="8"/>
      <c r="H38" s="8"/>
      <c r="I38" s="8"/>
      <c r="J38" s="8"/>
      <c r="K38" s="129">
        <f t="shared" si="5"/>
        <v>0</v>
      </c>
      <c r="L38" s="82"/>
      <c r="M38" s="82"/>
      <c r="N38" s="8"/>
      <c r="O38" s="8"/>
      <c r="P38" s="8"/>
      <c r="Q38" s="82" t="str">
        <f t="shared" si="8"/>
        <v/>
      </c>
      <c r="R38" s="82" t="str">
        <f t="shared" si="6"/>
        <v/>
      </c>
      <c r="S38" s="82" t="str">
        <f t="shared" si="7"/>
        <v/>
      </c>
      <c r="T38" s="8"/>
    </row>
    <row r="39" spans="1:20" ht="16" x14ac:dyDescent="0.2">
      <c r="A39" s="134" t="s">
        <v>528</v>
      </c>
      <c r="B39" s="134"/>
      <c r="C39" s="134"/>
      <c r="D39" s="134"/>
      <c r="E39" s="134"/>
      <c r="F39" s="134"/>
      <c r="G39" s="134"/>
      <c r="H39" s="134"/>
      <c r="I39" s="134"/>
      <c r="J39" s="134"/>
      <c r="K39" s="135">
        <f t="shared" si="5"/>
        <v>0</v>
      </c>
      <c r="L39" s="136"/>
      <c r="M39" s="136"/>
      <c r="N39" s="134"/>
      <c r="O39" s="134"/>
      <c r="P39" s="134"/>
      <c r="Q39" s="136" t="str">
        <f t="shared" si="8"/>
        <v/>
      </c>
      <c r="R39" s="136" t="str">
        <f t="shared" si="6"/>
        <v/>
      </c>
      <c r="S39" s="136">
        <f>SUM(S34:S38)</f>
        <v>6.4650000000000007</v>
      </c>
      <c r="T39" s="134"/>
    </row>
    <row r="40" spans="1:20" ht="16" x14ac:dyDescent="0.2">
      <c r="A40" s="8"/>
      <c r="B40" s="8"/>
      <c r="C40" s="8"/>
      <c r="D40" s="8"/>
      <c r="E40" s="8"/>
      <c r="F40" s="8"/>
      <c r="G40" s="8"/>
      <c r="H40" s="8"/>
      <c r="I40" s="8"/>
      <c r="J40" s="8"/>
      <c r="K40" s="129">
        <f t="shared" si="5"/>
        <v>0</v>
      </c>
      <c r="L40" s="82"/>
      <c r="M40" s="82"/>
      <c r="N40" s="8"/>
      <c r="O40" s="8"/>
      <c r="P40" s="8"/>
      <c r="Q40" s="82" t="str">
        <f t="shared" si="8"/>
        <v/>
      </c>
      <c r="R40" s="82" t="str">
        <f t="shared" si="6"/>
        <v/>
      </c>
      <c r="S40" s="82" t="str">
        <f t="shared" ref="S40:S62" si="9">IFERROR(Q40*G40,"")</f>
        <v/>
      </c>
      <c r="T40" s="8"/>
    </row>
    <row r="41" spans="1:20" ht="16" x14ac:dyDescent="0.2">
      <c r="A41" s="8"/>
      <c r="B41" s="8"/>
      <c r="C41" s="8"/>
      <c r="D41" s="8"/>
      <c r="E41" s="8"/>
      <c r="F41" s="8"/>
      <c r="G41" s="8"/>
      <c r="H41" s="8"/>
      <c r="I41" s="8"/>
      <c r="J41" s="8"/>
      <c r="K41" s="129">
        <f t="shared" si="5"/>
        <v>0</v>
      </c>
      <c r="L41" s="82"/>
      <c r="M41" s="82"/>
      <c r="N41" s="8"/>
      <c r="O41" s="8"/>
      <c r="P41" s="8"/>
      <c r="Q41" s="82" t="str">
        <f t="shared" si="8"/>
        <v/>
      </c>
      <c r="R41" s="82" t="str">
        <f t="shared" si="6"/>
        <v/>
      </c>
      <c r="S41" s="82" t="str">
        <f t="shared" si="9"/>
        <v/>
      </c>
      <c r="T41" s="8"/>
    </row>
    <row r="42" spans="1:20" ht="17" customHeight="1" x14ac:dyDescent="0.2">
      <c r="A42" s="128" t="s">
        <v>122</v>
      </c>
      <c r="B42" s="137"/>
      <c r="C42" s="137"/>
      <c r="D42" s="8"/>
      <c r="E42" s="8"/>
      <c r="F42" s="8"/>
      <c r="G42" s="8"/>
      <c r="H42" s="8"/>
      <c r="I42" s="8"/>
      <c r="J42" s="8"/>
      <c r="K42" s="129">
        <f t="shared" si="5"/>
        <v>0</v>
      </c>
      <c r="L42" s="82"/>
      <c r="M42" s="82"/>
      <c r="N42" s="8"/>
      <c r="O42" s="8"/>
      <c r="P42" s="8"/>
      <c r="Q42" s="82" t="str">
        <f t="shared" si="8"/>
        <v/>
      </c>
      <c r="R42" s="82" t="str">
        <f t="shared" si="6"/>
        <v/>
      </c>
      <c r="S42" s="82" t="str">
        <f t="shared" si="9"/>
        <v/>
      </c>
      <c r="T42" s="8"/>
    </row>
    <row r="43" spans="1:20" ht="16" x14ac:dyDescent="0.2">
      <c r="A43" s="8" t="s">
        <v>123</v>
      </c>
      <c r="B43" s="8"/>
      <c r="C43" s="8"/>
      <c r="D43" s="8"/>
      <c r="E43" s="8"/>
      <c r="F43" s="8"/>
      <c r="G43" s="8"/>
      <c r="H43" s="8"/>
      <c r="I43" s="8"/>
      <c r="J43" s="8"/>
      <c r="K43" s="129">
        <f t="shared" si="5"/>
        <v>0</v>
      </c>
      <c r="L43" s="82"/>
      <c r="M43" s="82"/>
      <c r="N43" s="8"/>
      <c r="O43" s="82"/>
      <c r="P43" s="82"/>
      <c r="Q43" s="82" t="str">
        <f t="shared" si="8"/>
        <v/>
      </c>
      <c r="R43" s="82" t="str">
        <f t="shared" si="6"/>
        <v/>
      </c>
      <c r="S43" s="82" t="str">
        <f t="shared" si="9"/>
        <v/>
      </c>
      <c r="T43" s="8"/>
    </row>
    <row r="44" spans="1:20" ht="16" x14ac:dyDescent="0.2">
      <c r="A44" s="8" t="s">
        <v>124</v>
      </c>
      <c r="B44" s="8"/>
      <c r="C44" s="8"/>
      <c r="D44" s="8"/>
      <c r="F44" s="8"/>
      <c r="G44" s="8"/>
      <c r="H44" s="8"/>
      <c r="I44" s="8"/>
      <c r="J44" s="8"/>
      <c r="K44" s="129">
        <f t="shared" si="5"/>
        <v>0</v>
      </c>
      <c r="L44" s="82"/>
      <c r="M44" s="82"/>
      <c r="N44" s="8"/>
      <c r="O44" s="82"/>
      <c r="P44" s="82"/>
      <c r="Q44" s="82" t="str">
        <f t="shared" si="8"/>
        <v/>
      </c>
      <c r="R44" s="82" t="str">
        <f t="shared" si="6"/>
        <v/>
      </c>
      <c r="S44" s="82" t="str">
        <f t="shared" si="9"/>
        <v/>
      </c>
      <c r="T44" s="8"/>
    </row>
    <row r="45" spans="1:20" ht="16" x14ac:dyDescent="0.2">
      <c r="A45" s="8" t="s">
        <v>125</v>
      </c>
      <c r="B45" s="8"/>
      <c r="C45" s="8"/>
      <c r="D45" s="8"/>
      <c r="E45" s="8"/>
      <c r="F45" s="8"/>
      <c r="G45" s="8"/>
      <c r="H45" s="8"/>
      <c r="I45" s="8"/>
      <c r="J45" s="8"/>
      <c r="K45" s="129">
        <f t="shared" si="5"/>
        <v>0</v>
      </c>
      <c r="L45" s="82"/>
      <c r="M45" s="82"/>
      <c r="N45" s="8"/>
      <c r="O45" s="8"/>
      <c r="P45" s="8"/>
      <c r="Q45" s="82" t="str">
        <f t="shared" si="8"/>
        <v/>
      </c>
      <c r="R45" s="82" t="str">
        <f t="shared" si="6"/>
        <v/>
      </c>
      <c r="S45" s="82" t="str">
        <f t="shared" si="9"/>
        <v/>
      </c>
      <c r="T45" s="8"/>
    </row>
    <row r="46" spans="1:20" ht="16" x14ac:dyDescent="0.2">
      <c r="A46" s="8" t="s">
        <v>126</v>
      </c>
      <c r="B46" s="8"/>
      <c r="C46" s="8"/>
      <c r="D46" s="8"/>
      <c r="F46" s="8"/>
      <c r="G46" s="8"/>
      <c r="H46" s="8"/>
      <c r="I46" s="8"/>
      <c r="J46" s="8"/>
      <c r="K46" s="129">
        <f t="shared" si="5"/>
        <v>0</v>
      </c>
      <c r="L46" s="82"/>
      <c r="M46" s="82"/>
      <c r="N46" s="139"/>
      <c r="O46" s="8"/>
      <c r="P46" s="8"/>
      <c r="Q46" s="82" t="str">
        <f t="shared" si="8"/>
        <v/>
      </c>
      <c r="R46" s="82" t="str">
        <f t="shared" si="6"/>
        <v/>
      </c>
      <c r="S46" s="82" t="str">
        <f t="shared" si="9"/>
        <v/>
      </c>
      <c r="T46" s="8"/>
    </row>
    <row r="47" spans="1:20" ht="16" x14ac:dyDescent="0.2">
      <c r="A47" s="8" t="s">
        <v>127</v>
      </c>
      <c r="B47" s="8"/>
      <c r="C47" s="8"/>
      <c r="D47" s="8"/>
      <c r="E47" s="8"/>
      <c r="F47" s="8"/>
      <c r="G47" s="8"/>
      <c r="H47" s="8"/>
      <c r="I47" s="8"/>
      <c r="J47" s="8"/>
      <c r="K47" s="129">
        <f t="shared" si="5"/>
        <v>0</v>
      </c>
      <c r="L47" s="82"/>
      <c r="M47" s="82"/>
      <c r="N47" s="8"/>
      <c r="O47" s="8"/>
      <c r="P47" s="8"/>
      <c r="Q47" s="82" t="str">
        <f t="shared" si="8"/>
        <v/>
      </c>
      <c r="R47" s="82" t="str">
        <f t="shared" si="6"/>
        <v/>
      </c>
      <c r="S47" s="82" t="str">
        <f t="shared" si="9"/>
        <v/>
      </c>
      <c r="T47" s="8"/>
    </row>
    <row r="48" spans="1:20" ht="16" x14ac:dyDescent="0.2">
      <c r="A48" s="8" t="s">
        <v>128</v>
      </c>
      <c r="B48" s="8"/>
      <c r="C48" s="8"/>
      <c r="D48" s="8"/>
      <c r="E48" s="8"/>
      <c r="F48" s="8"/>
      <c r="G48" s="8"/>
      <c r="H48" s="8"/>
      <c r="I48" s="8"/>
      <c r="J48" s="8"/>
      <c r="K48" s="129">
        <f t="shared" si="5"/>
        <v>0</v>
      </c>
      <c r="L48" s="82"/>
      <c r="M48" s="82"/>
      <c r="N48" s="8"/>
      <c r="O48" s="8"/>
      <c r="P48" s="8"/>
      <c r="Q48" s="82" t="str">
        <f t="shared" si="8"/>
        <v/>
      </c>
      <c r="R48" s="82" t="str">
        <f t="shared" si="6"/>
        <v/>
      </c>
      <c r="S48" s="82" t="str">
        <f t="shared" si="9"/>
        <v/>
      </c>
      <c r="T48" s="8"/>
    </row>
    <row r="49" spans="1:20" ht="16" x14ac:dyDescent="0.2">
      <c r="A49" s="16" t="s">
        <v>129</v>
      </c>
      <c r="B49" s="8"/>
      <c r="C49" s="8"/>
      <c r="D49" s="8"/>
      <c r="E49" s="8"/>
      <c r="F49" s="8"/>
      <c r="G49" s="8"/>
      <c r="H49" s="8"/>
      <c r="I49" s="8"/>
      <c r="J49" s="8"/>
      <c r="K49" s="129">
        <f t="shared" si="5"/>
        <v>0</v>
      </c>
      <c r="L49" s="82"/>
      <c r="M49" s="82"/>
      <c r="N49" s="8"/>
      <c r="O49" s="8"/>
      <c r="P49" s="8"/>
      <c r="Q49" s="82" t="str">
        <f t="shared" si="8"/>
        <v/>
      </c>
      <c r="R49" s="82" t="str">
        <f t="shared" si="6"/>
        <v/>
      </c>
      <c r="S49" s="82" t="str">
        <f t="shared" si="9"/>
        <v/>
      </c>
      <c r="T49" s="8"/>
    </row>
    <row r="50" spans="1:20" ht="16" x14ac:dyDescent="0.2">
      <c r="A50" s="17" t="s">
        <v>529</v>
      </c>
      <c r="B50" s="8"/>
      <c r="C50" s="8"/>
      <c r="D50" s="8"/>
      <c r="E50" s="8"/>
      <c r="F50" s="8"/>
      <c r="G50" s="8"/>
      <c r="H50" s="8"/>
      <c r="I50" s="8"/>
      <c r="J50" s="8"/>
      <c r="K50" s="129">
        <f t="shared" si="5"/>
        <v>0</v>
      </c>
      <c r="L50" s="82"/>
      <c r="M50" s="82"/>
      <c r="N50" s="8"/>
      <c r="O50" s="8"/>
      <c r="P50" s="8"/>
      <c r="Q50" s="82" t="str">
        <f t="shared" si="8"/>
        <v/>
      </c>
      <c r="R50" s="82" t="str">
        <f t="shared" si="6"/>
        <v/>
      </c>
      <c r="S50" s="82" t="str">
        <f t="shared" si="9"/>
        <v/>
      </c>
      <c r="T50" s="8"/>
    </row>
    <row r="51" spans="1:20" ht="16" x14ac:dyDescent="0.2">
      <c r="A51" s="17" t="s">
        <v>131</v>
      </c>
      <c r="B51" s="8"/>
      <c r="C51" s="8"/>
      <c r="D51" s="8"/>
      <c r="E51" s="8"/>
      <c r="F51" s="8"/>
      <c r="G51" s="8"/>
      <c r="H51" s="8"/>
      <c r="I51" s="8"/>
      <c r="J51" s="8"/>
      <c r="K51" s="129">
        <f t="shared" si="5"/>
        <v>0</v>
      </c>
      <c r="L51" s="82"/>
      <c r="M51" s="82"/>
      <c r="N51" s="8"/>
      <c r="O51" s="8"/>
      <c r="P51" s="8"/>
      <c r="Q51" s="82" t="str">
        <f t="shared" si="8"/>
        <v/>
      </c>
      <c r="R51" s="82" t="str">
        <f t="shared" si="6"/>
        <v/>
      </c>
      <c r="S51" s="82" t="str">
        <f t="shared" si="9"/>
        <v/>
      </c>
      <c r="T51" s="8"/>
    </row>
    <row r="52" spans="1:20" ht="16" x14ac:dyDescent="0.2">
      <c r="A52" s="17" t="s">
        <v>132</v>
      </c>
      <c r="B52" s="8"/>
      <c r="C52" s="8"/>
      <c r="D52" s="8"/>
      <c r="E52" s="8"/>
      <c r="F52" s="8"/>
      <c r="G52" s="8"/>
      <c r="H52" s="8"/>
      <c r="I52" s="8"/>
      <c r="J52" s="8"/>
      <c r="K52" s="129">
        <f t="shared" si="5"/>
        <v>0</v>
      </c>
      <c r="L52" s="82"/>
      <c r="M52" s="82"/>
      <c r="N52" s="8"/>
      <c r="O52" s="8"/>
      <c r="P52" s="8"/>
      <c r="Q52" s="82" t="str">
        <f t="shared" si="8"/>
        <v/>
      </c>
      <c r="R52" s="82" t="str">
        <f t="shared" si="6"/>
        <v/>
      </c>
      <c r="S52" s="82" t="str">
        <f t="shared" si="9"/>
        <v/>
      </c>
      <c r="T52" s="8"/>
    </row>
    <row r="53" spans="1:20" ht="16" x14ac:dyDescent="0.2">
      <c r="A53" s="17" t="s">
        <v>133</v>
      </c>
      <c r="B53" s="8"/>
      <c r="C53" s="8"/>
      <c r="D53" s="8"/>
      <c r="E53" s="8"/>
      <c r="F53" s="8"/>
      <c r="G53" s="8"/>
      <c r="H53" s="8"/>
      <c r="I53" s="8"/>
      <c r="J53" s="8"/>
      <c r="K53" s="129">
        <f t="shared" si="5"/>
        <v>0</v>
      </c>
      <c r="L53" s="82"/>
      <c r="M53" s="82"/>
      <c r="N53" s="8"/>
      <c r="O53" s="8"/>
      <c r="P53" s="8"/>
      <c r="Q53" s="82" t="str">
        <f t="shared" si="8"/>
        <v/>
      </c>
      <c r="R53" s="82" t="str">
        <f t="shared" si="6"/>
        <v/>
      </c>
      <c r="S53" s="82" t="str">
        <f t="shared" si="9"/>
        <v/>
      </c>
      <c r="T53" s="8"/>
    </row>
    <row r="54" spans="1:20" ht="16" x14ac:dyDescent="0.2">
      <c r="A54" s="18" t="s">
        <v>134</v>
      </c>
      <c r="B54" s="8"/>
      <c r="C54" s="8"/>
      <c r="D54" s="8">
        <v>23</v>
      </c>
      <c r="E54" s="8"/>
      <c r="F54" s="8"/>
      <c r="G54" s="8">
        <v>23</v>
      </c>
      <c r="H54" s="8"/>
      <c r="I54" s="8"/>
      <c r="J54" s="8"/>
      <c r="K54" s="129">
        <f t="shared" si="5"/>
        <v>0</v>
      </c>
      <c r="L54" s="82">
        <f>'Bishops Fonthill Receipts'!F46</f>
        <v>0.11458333333333334</v>
      </c>
      <c r="M54" s="82">
        <v>12</v>
      </c>
      <c r="N54" s="139">
        <f>'Bishops Fonthill Receipts'!F47</f>
        <v>0</v>
      </c>
      <c r="O54" s="8">
        <v>10</v>
      </c>
      <c r="P54" s="8"/>
      <c r="Q54" s="82">
        <f t="shared" si="8"/>
        <v>5.2083333333333339E-3</v>
      </c>
      <c r="R54" s="82">
        <f t="shared" si="6"/>
        <v>0.11979166666666669</v>
      </c>
      <c r="S54" s="82">
        <f t="shared" si="9"/>
        <v>0.11979166666666669</v>
      </c>
      <c r="T54" s="8" t="s">
        <v>672</v>
      </c>
    </row>
    <row r="55" spans="1:20" ht="16" x14ac:dyDescent="0.2">
      <c r="A55" s="17" t="s">
        <v>135</v>
      </c>
      <c r="B55" s="8"/>
      <c r="C55" s="8"/>
      <c r="D55" s="8"/>
      <c r="E55" s="8"/>
      <c r="F55" s="8"/>
      <c r="G55" s="8"/>
      <c r="H55" s="8"/>
      <c r="I55" s="8"/>
      <c r="J55" s="8"/>
      <c r="K55" s="129">
        <f t="shared" si="5"/>
        <v>0</v>
      </c>
      <c r="L55" s="82"/>
      <c r="M55" s="82"/>
      <c r="N55" s="8"/>
      <c r="O55" s="8"/>
      <c r="P55" s="8"/>
      <c r="Q55" s="82" t="str">
        <f t="shared" si="8"/>
        <v/>
      </c>
      <c r="R55" s="82" t="str">
        <f t="shared" si="6"/>
        <v/>
      </c>
      <c r="S55" s="82" t="str">
        <f t="shared" si="9"/>
        <v/>
      </c>
      <c r="T55" s="8"/>
    </row>
    <row r="56" spans="1:20" ht="16" x14ac:dyDescent="0.2">
      <c r="A56" s="17" t="s">
        <v>136</v>
      </c>
      <c r="B56" s="8"/>
      <c r="C56" s="8"/>
      <c r="D56" s="8"/>
      <c r="E56" s="8"/>
      <c r="F56" s="8"/>
      <c r="G56" s="8"/>
      <c r="H56" s="8"/>
      <c r="I56" s="8"/>
      <c r="J56" s="8"/>
      <c r="K56" s="129">
        <f t="shared" si="5"/>
        <v>0</v>
      </c>
      <c r="L56" s="82"/>
      <c r="M56" s="82"/>
      <c r="N56" s="8"/>
      <c r="O56" s="8"/>
      <c r="P56" s="8"/>
      <c r="Q56" s="82" t="str">
        <f t="shared" si="8"/>
        <v/>
      </c>
      <c r="R56" s="82" t="str">
        <f t="shared" si="6"/>
        <v/>
      </c>
      <c r="S56" s="82" t="str">
        <f t="shared" si="9"/>
        <v/>
      </c>
      <c r="T56" s="8"/>
    </row>
    <row r="57" spans="1:20" ht="16" x14ac:dyDescent="0.2">
      <c r="A57" s="17" t="s">
        <v>137</v>
      </c>
      <c r="B57" s="8"/>
      <c r="C57" s="8"/>
      <c r="D57" s="8"/>
      <c r="E57" s="8"/>
      <c r="F57" s="8"/>
      <c r="G57" s="8"/>
      <c r="H57" s="8"/>
      <c r="I57" s="8"/>
      <c r="J57" s="8"/>
      <c r="K57" s="129">
        <f t="shared" si="5"/>
        <v>0</v>
      </c>
      <c r="L57" s="82"/>
      <c r="M57" s="82"/>
      <c r="N57" s="8"/>
      <c r="O57" s="8"/>
      <c r="P57" s="8"/>
      <c r="Q57" s="82" t="str">
        <f t="shared" si="8"/>
        <v/>
      </c>
      <c r="R57" s="82" t="str">
        <f t="shared" si="6"/>
        <v/>
      </c>
      <c r="S57" s="82" t="str">
        <f t="shared" si="9"/>
        <v/>
      </c>
      <c r="T57" s="8"/>
    </row>
    <row r="58" spans="1:20" ht="16" x14ac:dyDescent="0.2">
      <c r="A58" s="17" t="s">
        <v>138</v>
      </c>
      <c r="B58" s="8"/>
      <c r="C58" s="8"/>
      <c r="D58" s="8"/>
      <c r="E58" s="8"/>
      <c r="F58" s="8"/>
      <c r="G58" s="8"/>
      <c r="H58" s="8"/>
      <c r="I58" s="8"/>
      <c r="J58" s="8"/>
      <c r="K58" s="129">
        <f t="shared" si="5"/>
        <v>0</v>
      </c>
      <c r="L58" s="82"/>
      <c r="M58" s="82"/>
      <c r="N58" s="8"/>
      <c r="O58" s="8"/>
      <c r="P58" s="8"/>
      <c r="Q58" s="82" t="str">
        <f t="shared" si="8"/>
        <v/>
      </c>
      <c r="R58" s="82" t="str">
        <f t="shared" si="6"/>
        <v/>
      </c>
      <c r="S58" s="82" t="str">
        <f t="shared" si="9"/>
        <v/>
      </c>
      <c r="T58" s="8"/>
    </row>
    <row r="59" spans="1:20" ht="16" x14ac:dyDescent="0.2">
      <c r="A59" s="18" t="s">
        <v>139</v>
      </c>
      <c r="B59" s="8"/>
      <c r="C59" s="8"/>
      <c r="D59" s="8"/>
      <c r="E59" s="8"/>
      <c r="F59" s="8"/>
      <c r="G59" s="8"/>
      <c r="H59" s="8"/>
      <c r="I59" s="8"/>
      <c r="J59" s="8"/>
      <c r="K59" s="129">
        <f t="shared" si="5"/>
        <v>0</v>
      </c>
      <c r="L59" s="82"/>
      <c r="M59" s="82"/>
      <c r="N59" s="8"/>
      <c r="O59" s="8"/>
      <c r="P59" s="8"/>
      <c r="Q59" s="82" t="str">
        <f t="shared" si="8"/>
        <v/>
      </c>
      <c r="R59" s="82" t="str">
        <f t="shared" si="6"/>
        <v/>
      </c>
      <c r="S59" s="82" t="str">
        <f t="shared" si="9"/>
        <v/>
      </c>
      <c r="T59" s="8"/>
    </row>
    <row r="60" spans="1:20" ht="16" x14ac:dyDescent="0.2">
      <c r="A60" s="8" t="s">
        <v>140</v>
      </c>
      <c r="B60" s="8"/>
      <c r="C60" s="8"/>
      <c r="D60" s="8"/>
      <c r="E60" s="8"/>
      <c r="F60" s="8"/>
      <c r="G60" s="8"/>
      <c r="H60" s="8"/>
      <c r="I60" s="8"/>
      <c r="J60" s="8"/>
      <c r="K60" s="129">
        <f t="shared" si="5"/>
        <v>0</v>
      </c>
      <c r="L60" s="82"/>
      <c r="M60" s="82"/>
      <c r="N60" s="139"/>
      <c r="O60" s="8"/>
      <c r="P60" s="8"/>
      <c r="Q60" s="82" t="str">
        <f t="shared" si="8"/>
        <v/>
      </c>
      <c r="R60" s="82" t="str">
        <f t="shared" si="6"/>
        <v/>
      </c>
      <c r="S60" s="82" t="str">
        <f t="shared" si="9"/>
        <v/>
      </c>
      <c r="T60" s="8"/>
    </row>
    <row r="61" spans="1:20" ht="16" x14ac:dyDescent="0.2">
      <c r="A61" s="8" t="s">
        <v>141</v>
      </c>
      <c r="B61" s="8"/>
      <c r="C61" s="8"/>
      <c r="D61" s="8"/>
      <c r="E61" s="8"/>
      <c r="F61" s="8"/>
      <c r="G61" s="8"/>
      <c r="H61" s="8"/>
      <c r="I61" s="8"/>
      <c r="J61" s="8"/>
      <c r="K61" s="129">
        <f t="shared" si="5"/>
        <v>0</v>
      </c>
      <c r="L61" s="82"/>
      <c r="M61" s="82"/>
      <c r="N61" s="8"/>
      <c r="O61" s="8"/>
      <c r="P61" s="8"/>
      <c r="Q61" s="82" t="str">
        <f t="shared" si="8"/>
        <v/>
      </c>
      <c r="R61" s="82" t="str">
        <f t="shared" si="6"/>
        <v/>
      </c>
      <c r="S61" s="82" t="str">
        <f t="shared" si="9"/>
        <v/>
      </c>
      <c r="T61" s="8"/>
    </row>
    <row r="62" spans="1:20" ht="16" x14ac:dyDescent="0.2">
      <c r="A62" s="8" t="s">
        <v>142</v>
      </c>
      <c r="B62" s="8"/>
      <c r="C62" s="8"/>
      <c r="D62" s="8"/>
      <c r="E62" s="8"/>
      <c r="F62" s="8"/>
      <c r="G62" s="8"/>
      <c r="H62" s="8"/>
      <c r="I62" s="8"/>
      <c r="J62" s="8"/>
      <c r="K62" s="129">
        <f t="shared" si="5"/>
        <v>0</v>
      </c>
      <c r="L62" s="82"/>
      <c r="M62" s="82"/>
      <c r="N62" s="8"/>
      <c r="O62" s="8"/>
      <c r="P62" s="8"/>
      <c r="Q62" s="82" t="str">
        <f t="shared" si="8"/>
        <v/>
      </c>
      <c r="R62" s="82" t="str">
        <f t="shared" si="6"/>
        <v/>
      </c>
      <c r="S62" s="82" t="str">
        <f t="shared" si="9"/>
        <v/>
      </c>
      <c r="T62" s="8"/>
    </row>
    <row r="63" spans="1:20" ht="16" x14ac:dyDescent="0.2">
      <c r="A63" s="134" t="s">
        <v>528</v>
      </c>
      <c r="B63" s="134"/>
      <c r="C63" s="134"/>
      <c r="D63" s="134"/>
      <c r="E63" s="134"/>
      <c r="F63" s="134"/>
      <c r="G63" s="134"/>
      <c r="H63" s="134"/>
      <c r="I63" s="134"/>
      <c r="J63" s="134"/>
      <c r="K63" s="135"/>
      <c r="L63" s="136"/>
      <c r="M63" s="136"/>
      <c r="N63" s="134"/>
      <c r="O63" s="134"/>
      <c r="P63" s="134"/>
      <c r="Q63" s="136"/>
      <c r="R63" s="136"/>
      <c r="S63" s="136">
        <f>SUM(S42:S62)</f>
        <v>0.11979166666666669</v>
      </c>
      <c r="T63" s="134"/>
    </row>
    <row r="64" spans="1:20" ht="16" x14ac:dyDescent="0.2">
      <c r="A64" s="8"/>
      <c r="B64" s="8"/>
      <c r="C64" s="8"/>
      <c r="D64" s="8"/>
      <c r="E64" s="8"/>
      <c r="F64" s="8"/>
      <c r="G64" s="8"/>
      <c r="H64" s="8"/>
      <c r="I64" s="8"/>
      <c r="J64" s="8"/>
      <c r="K64" s="129">
        <f t="shared" ref="K64:K95" si="10">B64+C64+D64-E64-F64-G64-H64-I64</f>
        <v>0</v>
      </c>
      <c r="L64" s="82"/>
      <c r="M64" s="82"/>
      <c r="N64" s="8"/>
      <c r="O64" s="8"/>
      <c r="P64" s="8"/>
      <c r="Q64" s="82" t="str">
        <f t="shared" ref="Q64:Q97" si="11">IFERROR((L64+N64)/(M64+O64),"")</f>
        <v/>
      </c>
      <c r="R64" s="82" t="str">
        <f t="shared" ref="R64:R97" si="12">IFERROR(D64*Q64,"")</f>
        <v/>
      </c>
      <c r="S64" s="82" t="str">
        <f t="shared" ref="S64:S70" si="13">IFERROR(Q64*G64,"")</f>
        <v/>
      </c>
      <c r="T64" s="8"/>
    </row>
    <row r="65" spans="1:20" ht="16" x14ac:dyDescent="0.2">
      <c r="A65" s="8"/>
      <c r="B65" s="8"/>
      <c r="C65" s="8"/>
      <c r="D65" s="8"/>
      <c r="E65" s="8"/>
      <c r="F65" s="8"/>
      <c r="G65" s="8"/>
      <c r="H65" s="8"/>
      <c r="I65" s="8"/>
      <c r="J65" s="8"/>
      <c r="K65" s="129">
        <f t="shared" si="10"/>
        <v>0</v>
      </c>
      <c r="L65" s="82"/>
      <c r="M65" s="82"/>
      <c r="N65" s="8"/>
      <c r="O65" s="8"/>
      <c r="P65" s="8"/>
      <c r="Q65" s="82" t="str">
        <f t="shared" si="11"/>
        <v/>
      </c>
      <c r="R65" s="82" t="str">
        <f t="shared" si="12"/>
        <v/>
      </c>
      <c r="S65" s="82" t="str">
        <f t="shared" si="13"/>
        <v/>
      </c>
      <c r="T65" s="8"/>
    </row>
    <row r="66" spans="1:20" ht="34" customHeight="1" x14ac:dyDescent="0.2">
      <c r="A66" s="128" t="s">
        <v>143</v>
      </c>
      <c r="B66" s="137"/>
      <c r="C66" s="137"/>
      <c r="D66" s="8"/>
      <c r="E66" s="8"/>
      <c r="F66" s="8"/>
      <c r="G66" s="8"/>
      <c r="H66" s="8"/>
      <c r="I66" s="8"/>
      <c r="J66" s="8"/>
      <c r="K66" s="129">
        <f t="shared" si="10"/>
        <v>0</v>
      </c>
      <c r="L66" s="82"/>
      <c r="M66" s="82"/>
      <c r="N66" s="8"/>
      <c r="O66" s="8"/>
      <c r="P66" s="8"/>
      <c r="Q66" s="82" t="str">
        <f t="shared" si="11"/>
        <v/>
      </c>
      <c r="R66" s="82" t="str">
        <f t="shared" si="12"/>
        <v/>
      </c>
      <c r="S66" s="82" t="str">
        <f t="shared" si="13"/>
        <v/>
      </c>
      <c r="T66" s="8"/>
    </row>
    <row r="67" spans="1:20" ht="17" customHeight="1" x14ac:dyDescent="0.2">
      <c r="A67" s="15" t="s">
        <v>144</v>
      </c>
      <c r="B67" s="8"/>
      <c r="C67" s="8"/>
      <c r="D67" s="8">
        <v>48</v>
      </c>
      <c r="E67" s="8"/>
      <c r="F67" s="8"/>
      <c r="G67" s="8">
        <v>34</v>
      </c>
      <c r="H67" s="8"/>
      <c r="I67" s="8">
        <v>14</v>
      </c>
      <c r="J67" s="8"/>
      <c r="K67" s="129">
        <f t="shared" si="10"/>
        <v>0</v>
      </c>
      <c r="L67" s="82">
        <f>'Bishops Fonthill Receipts'!F48</f>
        <v>0.14166666666666666</v>
      </c>
      <c r="M67" s="82">
        <v>34</v>
      </c>
      <c r="N67" s="8"/>
      <c r="O67" s="8"/>
      <c r="P67" s="8"/>
      <c r="Q67" s="82">
        <f t="shared" si="11"/>
        <v>4.1666666666666666E-3</v>
      </c>
      <c r="R67" s="82">
        <f t="shared" si="12"/>
        <v>0.2</v>
      </c>
      <c r="S67" s="82">
        <f t="shared" si="13"/>
        <v>0.14166666666666666</v>
      </c>
      <c r="T67" s="8"/>
    </row>
    <row r="68" spans="1:20" ht="16" x14ac:dyDescent="0.2">
      <c r="A68" s="8" t="s">
        <v>145</v>
      </c>
      <c r="B68" s="8"/>
      <c r="C68" s="8"/>
      <c r="D68" s="8"/>
      <c r="E68" s="8"/>
      <c r="F68" s="8"/>
      <c r="G68" s="8"/>
      <c r="H68" s="8"/>
      <c r="I68" s="8"/>
      <c r="J68" s="8"/>
      <c r="K68" s="129">
        <f t="shared" si="10"/>
        <v>0</v>
      </c>
      <c r="L68" s="82"/>
      <c r="M68" s="82"/>
      <c r="N68" s="8"/>
      <c r="O68" s="8"/>
      <c r="P68" s="8"/>
      <c r="Q68" s="82" t="str">
        <f t="shared" si="11"/>
        <v/>
      </c>
      <c r="R68" s="82" t="str">
        <f t="shared" si="12"/>
        <v/>
      </c>
      <c r="S68" s="82" t="str">
        <f t="shared" si="13"/>
        <v/>
      </c>
      <c r="T68" s="8"/>
    </row>
    <row r="69" spans="1:20" ht="16" x14ac:dyDescent="0.2">
      <c r="A69" s="8" t="s">
        <v>146</v>
      </c>
      <c r="B69" s="8"/>
      <c r="C69" s="8"/>
      <c r="D69" s="8"/>
      <c r="E69" s="8"/>
      <c r="F69" s="8"/>
      <c r="G69" s="8"/>
      <c r="H69" s="8"/>
      <c r="I69" s="8"/>
      <c r="J69" s="8"/>
      <c r="K69" s="129">
        <f t="shared" si="10"/>
        <v>0</v>
      </c>
      <c r="L69" s="82"/>
      <c r="M69" s="82"/>
      <c r="N69" s="8"/>
      <c r="O69" s="8"/>
      <c r="P69" s="8"/>
      <c r="Q69" s="82" t="str">
        <f t="shared" si="11"/>
        <v/>
      </c>
      <c r="R69" s="82" t="str">
        <f t="shared" si="12"/>
        <v/>
      </c>
      <c r="S69" s="82" t="str">
        <f t="shared" si="13"/>
        <v/>
      </c>
      <c r="T69" s="8"/>
    </row>
    <row r="70" spans="1:20" ht="16" x14ac:dyDescent="0.2">
      <c r="A70" s="8" t="s">
        <v>147</v>
      </c>
      <c r="B70" s="8"/>
      <c r="C70" s="8"/>
      <c r="D70" s="8"/>
      <c r="E70" s="8"/>
      <c r="F70" s="8"/>
      <c r="G70" s="8"/>
      <c r="H70" s="8"/>
      <c r="I70" s="8"/>
      <c r="J70" s="8"/>
      <c r="K70" s="129">
        <f t="shared" si="10"/>
        <v>0</v>
      </c>
      <c r="L70" s="82"/>
      <c r="M70" s="82"/>
      <c r="N70" s="8"/>
      <c r="O70" s="8"/>
      <c r="P70" s="8"/>
      <c r="Q70" s="82" t="str">
        <f t="shared" si="11"/>
        <v/>
      </c>
      <c r="R70" s="82" t="str">
        <f t="shared" si="12"/>
        <v/>
      </c>
      <c r="S70" s="82" t="str">
        <f t="shared" si="13"/>
        <v/>
      </c>
      <c r="T70" s="8"/>
    </row>
    <row r="71" spans="1:20" ht="16" x14ac:dyDescent="0.2">
      <c r="A71" s="134" t="s">
        <v>528</v>
      </c>
      <c r="B71" s="134"/>
      <c r="C71" s="134"/>
      <c r="D71" s="134"/>
      <c r="E71" s="134"/>
      <c r="F71" s="134"/>
      <c r="G71" s="134"/>
      <c r="H71" s="134"/>
      <c r="I71" s="134"/>
      <c r="J71" s="134"/>
      <c r="K71" s="135">
        <f t="shared" si="10"/>
        <v>0</v>
      </c>
      <c r="L71" s="136"/>
      <c r="M71" s="136"/>
      <c r="N71" s="134"/>
      <c r="O71" s="134"/>
      <c r="P71" s="134"/>
      <c r="Q71" s="136" t="str">
        <f t="shared" si="11"/>
        <v/>
      </c>
      <c r="R71" s="136" t="str">
        <f t="shared" si="12"/>
        <v/>
      </c>
      <c r="S71" s="136">
        <f>SUM(S67:S70)</f>
        <v>0.14166666666666666</v>
      </c>
      <c r="T71" s="134"/>
    </row>
    <row r="72" spans="1:20" ht="16" x14ac:dyDescent="0.2">
      <c r="A72" s="8"/>
      <c r="B72" s="8"/>
      <c r="C72" s="8"/>
      <c r="D72" s="8"/>
      <c r="E72" s="8"/>
      <c r="F72" s="8"/>
      <c r="G72" s="8"/>
      <c r="H72" s="8"/>
      <c r="I72" s="8"/>
      <c r="J72" s="8"/>
      <c r="K72" s="129">
        <f t="shared" si="10"/>
        <v>0</v>
      </c>
      <c r="L72" s="82"/>
      <c r="M72" s="82"/>
      <c r="N72" s="8"/>
      <c r="O72" s="8"/>
      <c r="P72" s="8"/>
      <c r="Q72" s="82" t="str">
        <f t="shared" si="11"/>
        <v/>
      </c>
      <c r="R72" s="82" t="str">
        <f t="shared" si="12"/>
        <v/>
      </c>
      <c r="S72" s="82" t="str">
        <f t="shared" ref="S72:S97" si="14">IFERROR(Q72*G72,"")</f>
        <v/>
      </c>
      <c r="T72" s="8"/>
    </row>
    <row r="73" spans="1:20" ht="16" x14ac:dyDescent="0.2">
      <c r="A73" s="3" t="s">
        <v>148</v>
      </c>
      <c r="B73" s="137"/>
      <c r="C73" s="137"/>
      <c r="D73" s="8"/>
      <c r="E73" s="8"/>
      <c r="F73" s="8"/>
      <c r="G73" s="8"/>
      <c r="H73" s="8"/>
      <c r="I73" s="8"/>
      <c r="J73" s="8"/>
      <c r="K73" s="129">
        <f t="shared" si="10"/>
        <v>0</v>
      </c>
      <c r="L73" s="82"/>
      <c r="M73" s="82"/>
      <c r="N73" s="8"/>
      <c r="O73" s="8"/>
      <c r="P73" s="8"/>
      <c r="Q73" s="82" t="str">
        <f t="shared" si="11"/>
        <v/>
      </c>
      <c r="R73" s="82" t="str">
        <f t="shared" si="12"/>
        <v/>
      </c>
      <c r="S73" s="82" t="str">
        <f t="shared" si="14"/>
        <v/>
      </c>
      <c r="T73" s="8"/>
    </row>
    <row r="74" spans="1:20" ht="16" x14ac:dyDescent="0.2">
      <c r="A74" s="8" t="s">
        <v>149</v>
      </c>
      <c r="B74" s="8"/>
      <c r="C74" s="8"/>
      <c r="D74" s="8"/>
      <c r="E74" s="8"/>
      <c r="F74" s="8"/>
      <c r="G74" s="8"/>
      <c r="H74" s="8"/>
      <c r="I74" s="8"/>
      <c r="J74" s="8"/>
      <c r="K74" s="129">
        <f t="shared" si="10"/>
        <v>0</v>
      </c>
      <c r="L74" s="82"/>
      <c r="M74" s="82"/>
      <c r="N74" s="8"/>
      <c r="O74" s="8"/>
      <c r="P74" s="8"/>
      <c r="Q74" s="82" t="str">
        <f t="shared" si="11"/>
        <v/>
      </c>
      <c r="R74" s="82" t="str">
        <f t="shared" si="12"/>
        <v/>
      </c>
      <c r="S74" s="82" t="str">
        <f t="shared" si="14"/>
        <v/>
      </c>
      <c r="T74" s="8"/>
    </row>
    <row r="75" spans="1:20" ht="16" x14ac:dyDescent="0.2">
      <c r="A75" s="8" t="s">
        <v>150</v>
      </c>
      <c r="B75" s="8"/>
      <c r="C75" s="8"/>
      <c r="D75" s="8"/>
      <c r="E75" s="8"/>
      <c r="F75" s="8"/>
      <c r="G75" s="8"/>
      <c r="H75" s="8"/>
      <c r="I75" s="8"/>
      <c r="J75" s="8"/>
      <c r="K75" s="129">
        <f t="shared" si="10"/>
        <v>0</v>
      </c>
      <c r="L75" s="82"/>
      <c r="M75" s="82"/>
      <c r="N75" s="8"/>
      <c r="O75" s="8"/>
      <c r="P75" s="8"/>
      <c r="Q75" s="82" t="str">
        <f t="shared" si="11"/>
        <v/>
      </c>
      <c r="R75" s="82" t="str">
        <f t="shared" si="12"/>
        <v/>
      </c>
      <c r="S75" s="82" t="str">
        <f t="shared" si="14"/>
        <v/>
      </c>
      <c r="T75" s="8"/>
    </row>
    <row r="76" spans="1:20" ht="16" x14ac:dyDescent="0.2">
      <c r="A76" s="8"/>
      <c r="B76" s="8"/>
      <c r="C76" s="8"/>
      <c r="D76" s="8"/>
      <c r="E76" s="8"/>
      <c r="F76" s="8"/>
      <c r="G76" s="8"/>
      <c r="H76" s="8"/>
      <c r="I76" s="8"/>
      <c r="J76" s="8"/>
      <c r="K76" s="129">
        <f t="shared" si="10"/>
        <v>0</v>
      </c>
      <c r="L76" s="82"/>
      <c r="M76" s="82"/>
      <c r="N76" s="8"/>
      <c r="O76" s="8"/>
      <c r="P76" s="8"/>
      <c r="Q76" s="82" t="str">
        <f t="shared" si="11"/>
        <v/>
      </c>
      <c r="R76" s="82" t="str">
        <f t="shared" si="12"/>
        <v/>
      </c>
      <c r="S76" s="82" t="str">
        <f t="shared" si="14"/>
        <v/>
      </c>
      <c r="T76" s="8"/>
    </row>
    <row r="77" spans="1:20" ht="16" x14ac:dyDescent="0.2">
      <c r="A77" s="8"/>
      <c r="B77" s="8"/>
      <c r="C77" s="8"/>
      <c r="D77" s="8"/>
      <c r="E77" s="8"/>
      <c r="F77" s="8"/>
      <c r="G77" s="8"/>
      <c r="H77" s="8"/>
      <c r="I77" s="8"/>
      <c r="J77" s="8"/>
      <c r="K77" s="129">
        <f t="shared" si="10"/>
        <v>0</v>
      </c>
      <c r="L77" s="82"/>
      <c r="M77" s="82"/>
      <c r="N77" s="8"/>
      <c r="O77" s="8"/>
      <c r="P77" s="8"/>
      <c r="Q77" s="82" t="str">
        <f t="shared" si="11"/>
        <v/>
      </c>
      <c r="R77" s="82" t="str">
        <f t="shared" si="12"/>
        <v/>
      </c>
      <c r="S77" s="82" t="str">
        <f t="shared" si="14"/>
        <v/>
      </c>
      <c r="T77" s="8"/>
    </row>
    <row r="78" spans="1:20" ht="16" x14ac:dyDescent="0.2">
      <c r="A78" s="3" t="s">
        <v>674</v>
      </c>
      <c r="B78" s="8"/>
      <c r="C78" s="8"/>
      <c r="D78" s="8"/>
      <c r="E78" s="8"/>
      <c r="F78" s="8"/>
      <c r="G78" s="8"/>
      <c r="H78" s="8"/>
      <c r="I78" s="8"/>
      <c r="J78" s="8"/>
      <c r="K78" s="129">
        <f t="shared" si="10"/>
        <v>0</v>
      </c>
      <c r="L78" s="82"/>
      <c r="M78" s="82"/>
      <c r="N78" s="8"/>
      <c r="O78" s="8"/>
      <c r="P78" s="8"/>
      <c r="Q78" s="82" t="str">
        <f t="shared" si="11"/>
        <v/>
      </c>
      <c r="R78" s="82" t="str">
        <f t="shared" si="12"/>
        <v/>
      </c>
      <c r="S78" s="82" t="str">
        <f t="shared" si="14"/>
        <v/>
      </c>
      <c r="T78" s="8"/>
    </row>
    <row r="79" spans="1:20" ht="16" x14ac:dyDescent="0.2">
      <c r="A79" s="8" t="s">
        <v>492</v>
      </c>
      <c r="B79" s="8"/>
      <c r="C79" s="8"/>
      <c r="D79" s="8"/>
      <c r="E79" s="8"/>
      <c r="F79" s="8"/>
      <c r="G79" s="8"/>
      <c r="H79" s="8"/>
      <c r="I79" s="8"/>
      <c r="J79" s="8"/>
      <c r="K79" s="129">
        <f t="shared" si="10"/>
        <v>0</v>
      </c>
      <c r="L79" s="82"/>
      <c r="M79" s="82"/>
      <c r="N79" s="8"/>
      <c r="O79" s="8"/>
      <c r="P79" s="8"/>
      <c r="Q79" s="82" t="str">
        <f t="shared" si="11"/>
        <v/>
      </c>
      <c r="R79" s="82" t="str">
        <f t="shared" si="12"/>
        <v/>
      </c>
      <c r="S79" s="82" t="str">
        <f t="shared" si="14"/>
        <v/>
      </c>
      <c r="T79" s="8"/>
    </row>
    <row r="80" spans="1:20" ht="16" x14ac:dyDescent="0.2">
      <c r="A80" s="8" t="s">
        <v>494</v>
      </c>
      <c r="B80" s="8"/>
      <c r="C80" s="8"/>
      <c r="D80" s="8"/>
      <c r="E80" s="8"/>
      <c r="F80" s="8"/>
      <c r="G80" s="8"/>
      <c r="H80" s="8"/>
      <c r="I80" s="8"/>
      <c r="J80" s="8"/>
      <c r="K80" s="129">
        <f t="shared" si="10"/>
        <v>0</v>
      </c>
      <c r="L80" s="82"/>
      <c r="M80" s="82"/>
      <c r="N80" s="8"/>
      <c r="O80" s="8"/>
      <c r="P80" s="8"/>
      <c r="Q80" s="82" t="str">
        <f t="shared" si="11"/>
        <v/>
      </c>
      <c r="R80" s="82" t="str">
        <f t="shared" si="12"/>
        <v/>
      </c>
      <c r="S80" s="82" t="str">
        <f t="shared" si="14"/>
        <v/>
      </c>
      <c r="T80" s="8"/>
    </row>
    <row r="81" spans="1:20" ht="16" x14ac:dyDescent="0.2">
      <c r="A81" s="8" t="s">
        <v>495</v>
      </c>
      <c r="B81" s="8"/>
      <c r="C81" s="8"/>
      <c r="D81" s="8"/>
      <c r="E81" s="8"/>
      <c r="F81" s="8"/>
      <c r="G81" s="8"/>
      <c r="H81" s="8"/>
      <c r="I81" s="8"/>
      <c r="J81" s="8"/>
      <c r="K81" s="129">
        <f t="shared" si="10"/>
        <v>0</v>
      </c>
      <c r="L81" s="82"/>
      <c r="M81" s="82"/>
      <c r="N81" s="8"/>
      <c r="O81" s="8"/>
      <c r="P81" s="8"/>
      <c r="Q81" s="82" t="str">
        <f t="shared" si="11"/>
        <v/>
      </c>
      <c r="R81" s="82" t="str">
        <f t="shared" si="12"/>
        <v/>
      </c>
      <c r="S81" s="82" t="str">
        <f t="shared" si="14"/>
        <v/>
      </c>
      <c r="T81" s="8"/>
    </row>
    <row r="82" spans="1:20" ht="16" x14ac:dyDescent="0.2">
      <c r="A82" s="8"/>
      <c r="B82" s="8"/>
      <c r="C82" s="8"/>
      <c r="D82" s="8"/>
      <c r="E82" s="8"/>
      <c r="F82" s="8"/>
      <c r="G82" s="8"/>
      <c r="H82" s="8"/>
      <c r="I82" s="8"/>
      <c r="J82" s="8"/>
      <c r="K82" s="129">
        <f t="shared" si="10"/>
        <v>0</v>
      </c>
      <c r="L82" s="82"/>
      <c r="M82" s="82"/>
      <c r="N82" s="8"/>
      <c r="O82" s="8"/>
      <c r="P82" s="8"/>
      <c r="Q82" s="82" t="str">
        <f t="shared" si="11"/>
        <v/>
      </c>
      <c r="R82" s="82" t="str">
        <f t="shared" si="12"/>
        <v/>
      </c>
      <c r="S82" s="82" t="str">
        <f t="shared" si="14"/>
        <v/>
      </c>
      <c r="T82" s="8"/>
    </row>
    <row r="83" spans="1:20" ht="16" x14ac:dyDescent="0.2">
      <c r="A83" s="8"/>
      <c r="B83" s="8"/>
      <c r="C83" s="8"/>
      <c r="D83" s="8"/>
      <c r="E83" s="8"/>
      <c r="F83" s="8"/>
      <c r="G83" s="8"/>
      <c r="H83" s="8"/>
      <c r="I83" s="8"/>
      <c r="J83" s="8"/>
      <c r="K83" s="129">
        <f t="shared" si="10"/>
        <v>0</v>
      </c>
      <c r="L83" s="82"/>
      <c r="M83" s="82"/>
      <c r="N83" s="8"/>
      <c r="O83" s="8"/>
      <c r="P83" s="8"/>
      <c r="Q83" s="82" t="str">
        <f t="shared" si="11"/>
        <v/>
      </c>
      <c r="R83" s="82" t="str">
        <f t="shared" si="12"/>
        <v/>
      </c>
      <c r="S83" s="82" t="str">
        <f t="shared" si="14"/>
        <v/>
      </c>
      <c r="T83" s="8"/>
    </row>
    <row r="84" spans="1:20" ht="16" x14ac:dyDescent="0.2">
      <c r="A84" s="3" t="s">
        <v>496</v>
      </c>
      <c r="B84" s="137"/>
      <c r="C84" s="137"/>
      <c r="D84" s="8"/>
      <c r="E84" s="8"/>
      <c r="F84" s="8"/>
      <c r="G84" s="8"/>
      <c r="H84" s="8"/>
      <c r="I84" s="8"/>
      <c r="J84" s="8"/>
      <c r="K84" s="129">
        <f t="shared" si="10"/>
        <v>0</v>
      </c>
      <c r="L84" s="82"/>
      <c r="M84" s="82"/>
      <c r="N84" s="8"/>
      <c r="O84" s="8"/>
      <c r="P84" s="8"/>
      <c r="Q84" s="82" t="str">
        <f t="shared" si="11"/>
        <v/>
      </c>
      <c r="R84" s="82" t="str">
        <f t="shared" si="12"/>
        <v/>
      </c>
      <c r="S84" s="82" t="str">
        <f t="shared" si="14"/>
        <v/>
      </c>
      <c r="T84" s="8"/>
    </row>
    <row r="85" spans="1:20" ht="16" x14ac:dyDescent="0.2">
      <c r="A85" s="8" t="s">
        <v>675</v>
      </c>
      <c r="B85" s="8"/>
      <c r="C85" s="8"/>
      <c r="D85" s="8"/>
      <c r="E85" s="8"/>
      <c r="F85" s="8"/>
      <c r="G85" s="8"/>
      <c r="H85" s="8"/>
      <c r="I85" s="8"/>
      <c r="J85" s="8"/>
      <c r="K85" s="129">
        <f t="shared" si="10"/>
        <v>0</v>
      </c>
      <c r="L85" s="82"/>
      <c r="M85" s="82"/>
      <c r="N85" s="8"/>
      <c r="O85" s="8"/>
      <c r="P85" s="8"/>
      <c r="Q85" s="82" t="str">
        <f t="shared" si="11"/>
        <v/>
      </c>
      <c r="R85" s="82" t="str">
        <f t="shared" si="12"/>
        <v/>
      </c>
      <c r="S85" s="82" t="str">
        <f t="shared" si="14"/>
        <v/>
      </c>
      <c r="T85" s="8"/>
    </row>
    <row r="86" spans="1:20" ht="16" x14ac:dyDescent="0.2">
      <c r="A86" s="8" t="s">
        <v>676</v>
      </c>
      <c r="B86" s="8"/>
      <c r="C86" s="8"/>
      <c r="D86" s="8"/>
      <c r="E86" s="8"/>
      <c r="F86" s="8"/>
      <c r="G86" s="8"/>
      <c r="H86" s="8"/>
      <c r="I86" s="8"/>
      <c r="J86" s="8"/>
      <c r="K86" s="129">
        <f t="shared" si="10"/>
        <v>0</v>
      </c>
      <c r="L86" s="82"/>
      <c r="M86" s="82"/>
      <c r="N86" s="8"/>
      <c r="O86" s="8"/>
      <c r="P86" s="8"/>
      <c r="Q86" s="82" t="str">
        <f t="shared" si="11"/>
        <v/>
      </c>
      <c r="R86" s="82" t="str">
        <f t="shared" si="12"/>
        <v/>
      </c>
      <c r="S86" s="82" t="str">
        <f t="shared" si="14"/>
        <v/>
      </c>
      <c r="T86" s="8"/>
    </row>
    <row r="87" spans="1:20" ht="16" x14ac:dyDescent="0.2">
      <c r="A87" s="8"/>
      <c r="B87" s="8"/>
      <c r="C87" s="8"/>
      <c r="D87" s="8"/>
      <c r="E87" s="8"/>
      <c r="F87" s="8"/>
      <c r="G87" s="8"/>
      <c r="H87" s="8"/>
      <c r="I87" s="8"/>
      <c r="J87" s="8"/>
      <c r="K87" s="129">
        <f t="shared" si="10"/>
        <v>0</v>
      </c>
      <c r="L87" s="82"/>
      <c r="M87" s="82"/>
      <c r="N87" s="8"/>
      <c r="O87" s="8"/>
      <c r="P87" s="8"/>
      <c r="Q87" s="82" t="str">
        <f t="shared" si="11"/>
        <v/>
      </c>
      <c r="R87" s="82" t="str">
        <f t="shared" si="12"/>
        <v/>
      </c>
      <c r="S87" s="82" t="str">
        <f t="shared" si="14"/>
        <v/>
      </c>
      <c r="T87" s="8"/>
    </row>
    <row r="88" spans="1:20" ht="16" x14ac:dyDescent="0.2">
      <c r="A88" s="8"/>
      <c r="B88" s="8"/>
      <c r="C88" s="8"/>
      <c r="D88" s="8"/>
      <c r="E88" s="8"/>
      <c r="F88" s="8"/>
      <c r="G88" s="8"/>
      <c r="H88" s="8"/>
      <c r="I88" s="8"/>
      <c r="J88" s="8"/>
      <c r="K88" s="129">
        <f t="shared" si="10"/>
        <v>0</v>
      </c>
      <c r="L88" s="82"/>
      <c r="M88" s="82"/>
      <c r="N88" s="8"/>
      <c r="O88" s="8"/>
      <c r="P88" s="8"/>
      <c r="Q88" s="82" t="str">
        <f t="shared" si="11"/>
        <v/>
      </c>
      <c r="R88" s="82" t="str">
        <f t="shared" si="12"/>
        <v/>
      </c>
      <c r="S88" s="82" t="str">
        <f t="shared" si="14"/>
        <v/>
      </c>
      <c r="T88" s="8"/>
    </row>
    <row r="89" spans="1:20" ht="16" x14ac:dyDescent="0.2">
      <c r="A89" s="3" t="s">
        <v>154</v>
      </c>
      <c r="B89" s="137"/>
      <c r="C89" s="137"/>
      <c r="D89" s="8"/>
      <c r="E89" s="8"/>
      <c r="F89" s="8"/>
      <c r="G89" s="8"/>
      <c r="H89" s="8"/>
      <c r="I89" s="8"/>
      <c r="J89" s="8"/>
      <c r="K89" s="129">
        <f t="shared" si="10"/>
        <v>0</v>
      </c>
      <c r="L89" s="82"/>
      <c r="M89" s="8"/>
      <c r="N89" s="8"/>
      <c r="P89" s="8"/>
      <c r="Q89" s="82" t="str">
        <f t="shared" si="11"/>
        <v/>
      </c>
      <c r="R89" s="82" t="str">
        <f t="shared" si="12"/>
        <v/>
      </c>
      <c r="S89" s="82" t="str">
        <f t="shared" si="14"/>
        <v/>
      </c>
      <c r="T89" s="8"/>
    </row>
    <row r="90" spans="1:20" ht="16" x14ac:dyDescent="0.2">
      <c r="A90" s="8"/>
      <c r="B90" s="8"/>
      <c r="C90" s="8"/>
      <c r="D90" s="8"/>
      <c r="E90" s="8"/>
      <c r="F90" s="8"/>
      <c r="G90" s="8"/>
      <c r="H90" s="8"/>
      <c r="I90" s="8"/>
      <c r="J90" s="8"/>
      <c r="K90" s="129">
        <f t="shared" si="10"/>
        <v>0</v>
      </c>
      <c r="L90" s="82"/>
      <c r="M90" s="82"/>
      <c r="N90" s="8"/>
      <c r="O90" s="8"/>
      <c r="P90" s="8"/>
      <c r="Q90" s="82" t="str">
        <f t="shared" si="11"/>
        <v/>
      </c>
      <c r="R90" s="82" t="str">
        <f t="shared" si="12"/>
        <v/>
      </c>
      <c r="S90" s="82" t="str">
        <f t="shared" si="14"/>
        <v/>
      </c>
      <c r="T90" s="8"/>
    </row>
    <row r="91" spans="1:20" ht="16" x14ac:dyDescent="0.2">
      <c r="A91" s="8"/>
      <c r="B91" s="8"/>
      <c r="C91" s="8"/>
      <c r="D91" s="8"/>
      <c r="E91" s="8"/>
      <c r="F91" s="8"/>
      <c r="G91" s="8"/>
      <c r="H91" s="8"/>
      <c r="I91" s="8"/>
      <c r="J91" s="8"/>
      <c r="K91" s="129">
        <f t="shared" si="10"/>
        <v>0</v>
      </c>
      <c r="L91" s="82"/>
      <c r="M91" s="82"/>
      <c r="N91" s="8"/>
      <c r="O91" s="8"/>
      <c r="P91" s="8"/>
      <c r="Q91" s="82" t="str">
        <f t="shared" si="11"/>
        <v/>
      </c>
      <c r="R91" s="82" t="str">
        <f t="shared" si="12"/>
        <v/>
      </c>
      <c r="S91" s="82" t="str">
        <f t="shared" si="14"/>
        <v/>
      </c>
      <c r="T91" s="8"/>
    </row>
    <row r="92" spans="1:20" ht="16" x14ac:dyDescent="0.2">
      <c r="A92" s="3" t="s">
        <v>677</v>
      </c>
      <c r="B92" s="8"/>
      <c r="C92" s="8"/>
      <c r="D92" s="8">
        <v>2</v>
      </c>
      <c r="E92" s="8"/>
      <c r="F92" s="8"/>
      <c r="G92" s="8"/>
      <c r="H92" s="8"/>
      <c r="I92" s="8"/>
      <c r="J92" s="8">
        <v>2</v>
      </c>
      <c r="K92" s="129">
        <f t="shared" si="10"/>
        <v>2</v>
      </c>
      <c r="L92" s="82"/>
      <c r="M92" s="82"/>
      <c r="N92" s="8"/>
      <c r="O92" s="8"/>
      <c r="P92" s="8"/>
      <c r="Q92" s="82" t="str">
        <f t="shared" si="11"/>
        <v/>
      </c>
      <c r="R92" s="82" t="str">
        <f t="shared" si="12"/>
        <v/>
      </c>
      <c r="S92" s="82" t="str">
        <f t="shared" si="14"/>
        <v/>
      </c>
      <c r="T92" s="8"/>
    </row>
    <row r="93" spans="1:20" ht="16" x14ac:dyDescent="0.2">
      <c r="A93" s="8"/>
      <c r="B93" s="8"/>
      <c r="C93" s="8"/>
      <c r="D93" s="8"/>
      <c r="E93" s="8"/>
      <c r="F93" s="8"/>
      <c r="G93" s="8"/>
      <c r="H93" s="8"/>
      <c r="I93" s="8"/>
      <c r="J93" s="8"/>
      <c r="K93" s="129">
        <f t="shared" si="10"/>
        <v>0</v>
      </c>
      <c r="L93" s="82"/>
      <c r="M93" s="82"/>
      <c r="N93" s="8"/>
      <c r="O93" s="8"/>
      <c r="P93" s="8"/>
      <c r="Q93" s="82" t="str">
        <f t="shared" si="11"/>
        <v/>
      </c>
      <c r="R93" s="82" t="str">
        <f t="shared" si="12"/>
        <v/>
      </c>
      <c r="S93" s="82" t="str">
        <f t="shared" si="14"/>
        <v/>
      </c>
      <c r="T93" s="8"/>
    </row>
    <row r="94" spans="1:20" ht="16" x14ac:dyDescent="0.2">
      <c r="A94" s="8"/>
      <c r="B94" s="8"/>
      <c r="C94" s="8"/>
      <c r="D94" s="8"/>
      <c r="E94" s="8"/>
      <c r="F94" s="8"/>
      <c r="G94" s="8"/>
      <c r="H94" s="8"/>
      <c r="I94" s="8"/>
      <c r="J94" s="8"/>
      <c r="K94" s="129">
        <f t="shared" si="10"/>
        <v>0</v>
      </c>
      <c r="L94" s="82"/>
      <c r="M94" s="82"/>
      <c r="N94" s="8"/>
      <c r="O94" s="8"/>
      <c r="P94" s="8"/>
      <c r="Q94" s="82" t="str">
        <f t="shared" si="11"/>
        <v/>
      </c>
      <c r="R94" s="82" t="str">
        <f t="shared" si="12"/>
        <v/>
      </c>
      <c r="S94" s="82" t="str">
        <f t="shared" si="14"/>
        <v/>
      </c>
      <c r="T94" s="8"/>
    </row>
    <row r="95" spans="1:20" ht="16" x14ac:dyDescent="0.2">
      <c r="A95" s="8"/>
      <c r="B95" s="8"/>
      <c r="C95" s="8"/>
      <c r="D95" s="8"/>
      <c r="E95" s="8"/>
      <c r="F95" s="8"/>
      <c r="G95" s="8"/>
      <c r="H95" s="8"/>
      <c r="I95" s="8"/>
      <c r="J95" s="8"/>
      <c r="K95" s="129">
        <f t="shared" si="10"/>
        <v>0</v>
      </c>
      <c r="L95" s="82"/>
      <c r="M95" s="82"/>
      <c r="N95" s="8"/>
      <c r="O95" s="8"/>
      <c r="P95" s="8"/>
      <c r="Q95" s="82" t="str">
        <f t="shared" si="11"/>
        <v/>
      </c>
      <c r="R95" s="82" t="str">
        <f t="shared" si="12"/>
        <v/>
      </c>
      <c r="S95" s="82" t="str">
        <f t="shared" si="14"/>
        <v/>
      </c>
      <c r="T95" s="8"/>
    </row>
    <row r="96" spans="1:20" ht="16" x14ac:dyDescent="0.2">
      <c r="B96" s="137"/>
      <c r="C96" s="137"/>
      <c r="D96" s="8"/>
      <c r="E96" s="8"/>
      <c r="F96" s="8"/>
      <c r="G96" s="8"/>
      <c r="H96" s="8"/>
      <c r="I96" s="8"/>
      <c r="J96" s="8"/>
      <c r="K96" s="129"/>
      <c r="L96" s="82"/>
      <c r="M96" s="82"/>
      <c r="N96" s="8"/>
      <c r="O96" s="8"/>
      <c r="P96" s="8"/>
      <c r="Q96" s="82" t="str">
        <f t="shared" si="11"/>
        <v/>
      </c>
      <c r="R96" s="82" t="str">
        <f t="shared" si="12"/>
        <v/>
      </c>
      <c r="S96" s="82" t="str">
        <f t="shared" si="14"/>
        <v/>
      </c>
      <c r="T96" s="8"/>
    </row>
    <row r="97" spans="1:19" ht="16" x14ac:dyDescent="0.2">
      <c r="Q97" s="82" t="str">
        <f t="shared" si="11"/>
        <v/>
      </c>
      <c r="R97" s="82" t="str">
        <f t="shared" si="12"/>
        <v/>
      </c>
      <c r="S97" s="82" t="str">
        <f t="shared" si="14"/>
        <v/>
      </c>
    </row>
    <row r="98" spans="1:19" ht="16" x14ac:dyDescent="0.2">
      <c r="A98" s="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7"/>
  <sheetViews>
    <sheetView workbookViewId="0"/>
  </sheetViews>
  <sheetFormatPr baseColWidth="10" defaultColWidth="8.83203125" defaultRowHeight="15" x14ac:dyDescent="0.2"/>
  <sheetData>
    <row r="1" spans="1:6" x14ac:dyDescent="0.2">
      <c r="A1" t="s">
        <v>678</v>
      </c>
    </row>
    <row r="3" spans="1:6" ht="16" x14ac:dyDescent="0.2">
      <c r="B3" s="6" t="s">
        <v>679</v>
      </c>
      <c r="C3" s="6" t="s">
        <v>680</v>
      </c>
      <c r="D3" s="6" t="s">
        <v>681</v>
      </c>
      <c r="E3" s="6" t="s">
        <v>682</v>
      </c>
      <c r="F3" s="6" t="s">
        <v>683</v>
      </c>
    </row>
    <row r="4" spans="1:6" ht="16" x14ac:dyDescent="0.2">
      <c r="B4" s="6" t="s">
        <v>684</v>
      </c>
      <c r="C4">
        <v>1</v>
      </c>
      <c r="D4">
        <f>C4/C5</f>
        <v>0.14285714285714285</v>
      </c>
      <c r="E4">
        <f>C4/C6</f>
        <v>5.7142857142857143E-3</v>
      </c>
      <c r="F4">
        <f>C4/C7</f>
        <v>0.08</v>
      </c>
    </row>
    <row r="5" spans="1:6" ht="16" x14ac:dyDescent="0.2">
      <c r="B5" s="6" t="s">
        <v>685</v>
      </c>
      <c r="C5">
        <v>7</v>
      </c>
      <c r="D5">
        <v>1</v>
      </c>
      <c r="E5">
        <f>C5/C6</f>
        <v>0.04</v>
      </c>
      <c r="F5">
        <f>C7/C5</f>
        <v>1.7857142857142858</v>
      </c>
    </row>
    <row r="6" spans="1:6" ht="16" x14ac:dyDescent="0.2">
      <c r="B6" s="6" t="s">
        <v>686</v>
      </c>
      <c r="C6">
        <v>175</v>
      </c>
      <c r="D6">
        <f>C6/C5</f>
        <v>25</v>
      </c>
      <c r="E6">
        <f>C6/C6</f>
        <v>1</v>
      </c>
      <c r="F6">
        <f>C7/C6</f>
        <v>7.1428571428571425E-2</v>
      </c>
    </row>
    <row r="7" spans="1:6" ht="16" x14ac:dyDescent="0.2">
      <c r="B7" s="6" t="s">
        <v>687</v>
      </c>
      <c r="C7">
        <f>175/14</f>
        <v>12.5</v>
      </c>
      <c r="D7">
        <f>C5/C7</f>
        <v>0.56000000000000005</v>
      </c>
      <c r="E7">
        <f>C7/C6</f>
        <v>7.1428571428571425E-2</v>
      </c>
      <c r="F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BishopsFonthill 1301 Overview -</vt:lpstr>
      <vt:lpstr>Issues of the Mills</vt:lpstr>
      <vt:lpstr>raw data</vt:lpstr>
      <vt:lpstr>Prices</vt:lpstr>
      <vt:lpstr>Labour Rents</vt:lpstr>
      <vt:lpstr>Bishops Fonthill Overview</vt:lpstr>
      <vt:lpstr>Bishops Fonthill Receipts</vt:lpstr>
      <vt:lpstr>Bishops Fonthill Expenses</vt:lpstr>
      <vt:lpstr>Issues of the Grange</vt:lpstr>
      <vt:lpstr>Stock</vt:lpstr>
      <vt:lpstr>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Victoria Gierok</cp:lastModifiedBy>
  <dcterms:created xsi:type="dcterms:W3CDTF">2024-09-06T15:22:17Z</dcterms:created>
  <dcterms:modified xsi:type="dcterms:W3CDTF">2026-01-08T15:06:34Z</dcterms:modified>
</cp:coreProperties>
</file>
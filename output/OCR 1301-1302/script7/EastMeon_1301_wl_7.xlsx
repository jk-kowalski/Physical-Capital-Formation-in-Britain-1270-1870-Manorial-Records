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EastMeon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
      <name val="Calibri"/>
      <family val="2"/>
      <b val="1"/>
      <sz val="11"/>
      <scheme val="minor"/>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48">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pivotButton="0" quotePrefix="0" xfId="0"/>
    <xf numFmtId="2" fontId="0" fillId="5" borderId="0" pivotButton="0" quotePrefix="0" xfId="0"/>
    <xf numFmtId="0" fontId="20" fillId="5" borderId="0" pivotButton="0" quotePrefix="0" xfId="0"/>
    <xf numFmtId="0" fontId="0" fillId="5"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29" fillId="0" borderId="0" applyAlignment="1" pivotButton="0" quotePrefix="0" xfId="0">
      <alignment horizontal="center" vertical="top"/>
    </xf>
    <xf numFmtId="0" fontId="29" fillId="0" borderId="0" applyAlignment="1" pivotButton="0" quotePrefix="0" xfId="0">
      <alignment horizontal="center" vertical="top" wrapText="1"/>
    </xf>
    <xf numFmtId="2" fontId="29" fillId="0" borderId="0" applyAlignment="1" pivotButton="0" quotePrefix="0" xfId="0">
      <alignment horizontal="center" vertical="top" wrapText="1"/>
    </xf>
    <xf numFmtId="0" fontId="30" fillId="0" borderId="0" pivotButton="0" quotePrefix="0" xfId="0"/>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30" fillId="0" borderId="3" applyAlignment="1" pivotButton="0" quotePrefix="0" xfId="0">
      <alignment wrapText="1"/>
    </xf>
    <xf numFmtId="2" fontId="20" fillId="0" borderId="0" applyAlignment="1" pivotButton="0" quotePrefix="0" xfId="0">
      <alignment horizontal="righ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2"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EASTMEON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94.23999999999999</v>
      </c>
      <c r="D4" s="13" t="n"/>
      <c r="E4" s="13" t="n"/>
    </row>
    <row r="5">
      <c r="A5" s="15" t="inlineStr">
        <is>
          <t>Rents of assize total</t>
        </is>
      </c>
      <c r="B5" s="76" t="n">
        <v>97.34</v>
      </c>
    </row>
    <row r="6">
      <c r="A6" s="15" t="inlineStr">
        <is>
          <t>Quittances total</t>
        </is>
      </c>
      <c r="B6" s="76" t="n">
        <v>2.125</v>
      </c>
    </row>
    <row r="7">
      <c r="A7" s="15" t="inlineStr">
        <is>
          <t>Defaults of rent total</t>
        </is>
      </c>
      <c r="B7" s="76" t="n">
        <v>9.606666666666667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11.73</v>
      </c>
    </row>
    <row r="12">
      <c r="A12" s="76" t="inlineStr">
        <is>
          <t>Total of rents remaining clear total</t>
        </is>
      </c>
      <c r="B12" s="76" t="n"/>
    </row>
    <row r="13">
      <c r="A13" s="76" t="inlineStr">
        <is>
          <t>Farms total</t>
        </is>
      </c>
      <c r="B13" s="76" t="n"/>
    </row>
    <row r="14">
      <c r="A14" s="15" t="inlineStr">
        <is>
          <t>Annual recognizances total</t>
        </is>
      </c>
      <c r="B14" s="76" t="n">
        <v>0.09999999999999999</v>
      </c>
    </row>
    <row r="15">
      <c r="A15" s="15" t="inlineStr">
        <is>
          <t>Issues of the Manor total</t>
        </is>
      </c>
      <c r="B15" s="76" t="n">
        <v>26.363125</v>
      </c>
    </row>
    <row r="16">
      <c r="A16" s="76" t="inlineStr">
        <is>
          <t>Issues of the tenements in the lord's hands total</t>
        </is>
      </c>
      <c r="B16" s="76" t="n"/>
    </row>
    <row r="17">
      <c r="A17" s="76" t="inlineStr">
        <is>
          <t>Sale of labour services total</t>
        </is>
      </c>
      <c r="B17" s="76" t="n"/>
    </row>
    <row r="18">
      <c r="A18" s="15" t="inlineStr">
        <is>
          <t>Sale of corn total</t>
        </is>
      </c>
      <c r="B18" s="76" t="n">
        <v>111.81</v>
      </c>
    </row>
    <row r="19">
      <c r="A19" s="15" t="inlineStr">
        <is>
          <t>Entry and marriage fines total</t>
        </is>
      </c>
      <c r="B19" s="76" t="n">
        <v>23.41</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270.1</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15.36</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0.6333333333333334</v>
      </c>
    </row>
    <row r="37">
      <c r="A37" s="15" t="inlineStr">
        <is>
          <t>Threshing total</t>
        </is>
      </c>
      <c r="B37" t="n">
        <v>5.364583333333334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7.510416666666668</v>
      </c>
    </row>
    <row r="43">
      <c r="A43" s="85" t="inlineStr">
        <is>
          <t>Annual fees</t>
        </is>
      </c>
      <c r="B43" s="86" t="n"/>
      <c r="C43" s="87" t="n"/>
      <c r="D43" s="88" t="n"/>
    </row>
    <row r="44">
      <c r="A44" s="82" t="inlineStr">
        <is>
          <t>Total of all expenses per account</t>
        </is>
      </c>
      <c r="B44" s="84" t="n">
        <v>39.28</v>
      </c>
    </row>
    <row r="45">
      <c r="A45" s="82" t="inlineStr">
        <is>
          <t>Total of all expenses (calculated here)</t>
        </is>
      </c>
      <c r="B45" s="84" t="n">
        <v>39.31270833333333</v>
      </c>
    </row>
    <row r="46">
      <c r="A46" s="82" t="inlineStr">
        <is>
          <t>Total fixed investment</t>
        </is>
      </c>
      <c r="B46" s="84" t="n">
        <v>5.583333333333331</v>
      </c>
    </row>
    <row r="47">
      <c r="A47" s="82" t="inlineStr">
        <is>
          <t>Total Demesne fixed investment</t>
        </is>
      </c>
      <c r="B47" s="84" t="n">
        <v>5.128333333333332</v>
      </c>
    </row>
    <row r="48">
      <c r="A48" s="12" t="n"/>
    </row>
    <row r="49">
      <c r="A49" s="18" t="inlineStr">
        <is>
          <t>Owed by the reeve</t>
        </is>
      </c>
      <c r="B49" s="84">
        <f>B23-B45</f>
        <v/>
      </c>
    </row>
    <row r="50">
      <c r="A50" s="18" t="inlineStr">
        <is>
          <t>From accounts</t>
        </is>
      </c>
      <c r="B50" s="84" t="n">
        <v>39.28</v>
      </c>
    </row>
    <row r="51">
      <c r="A51" s="15" t="n"/>
    </row>
    <row r="52">
      <c r="A52" s="18" t="inlineStr">
        <is>
          <t>Allowances</t>
        </is>
      </c>
      <c r="B52" s="84" t="n"/>
    </row>
    <row r="53">
      <c r="A53" s="18" t="inlineStr">
        <is>
          <t>Cash deliveries</t>
        </is>
      </c>
      <c r="B53" s="84" t="n">
        <v>139.1</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357.875</v>
      </c>
      <c r="E62" t="n">
        <v>73.24901245821937</v>
      </c>
      <c r="F62" s="13" t="n"/>
    </row>
    <row r="63">
      <c r="A63" s="76" t="inlineStr">
        <is>
          <t>Rye</t>
        </is>
      </c>
      <c r="F63" s="13" t="n"/>
    </row>
    <row r="64">
      <c r="A64" s="76" t="inlineStr">
        <is>
          <t>Dredge</t>
        </is>
      </c>
      <c r="F64" s="13" t="n"/>
    </row>
    <row r="65">
      <c r="A65" s="76" t="inlineStr">
        <is>
          <t>Curall</t>
        </is>
      </c>
      <c r="B65" t="n">
        <v>14</v>
      </c>
      <c r="E65" t="n">
        <v>2.333333333333334</v>
      </c>
      <c r="F65" s="13" t="n"/>
    </row>
    <row r="66">
      <c r="A66" s="76" t="inlineStr">
        <is>
          <t>Barley</t>
        </is>
      </c>
      <c r="B66" t="n">
        <v>115.6875</v>
      </c>
      <c r="E66" t="n">
        <v>5.543750000000001</v>
      </c>
      <c r="F66" s="13" t="n"/>
    </row>
    <row r="67">
      <c r="A67" s="76" t="inlineStr">
        <is>
          <t>Oats</t>
        </is>
      </c>
      <c r="B67" t="n">
        <v>616.5625</v>
      </c>
      <c r="E67" t="n">
        <v>28.59394835640794</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2</v>
      </c>
      <c r="C87" s="76" t="n">
        <v>2</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18</v>
      </c>
      <c r="C89" s="76" t="n">
        <v>17</v>
      </c>
      <c r="D89" s="76" t="n">
        <v>-1</v>
      </c>
      <c r="F89" s="84">
        <f>'Stock'!K7*'Stock'!O7</f>
        <v/>
      </c>
      <c r="G89" s="84">
        <f>D89*'Stock'!O7</f>
        <v/>
      </c>
    </row>
    <row r="90">
      <c r="A90" s="15" t="inlineStr">
        <is>
          <t>Colts (2 years)</t>
        </is>
      </c>
      <c r="B90" s="76" t="n">
        <v>1</v>
      </c>
      <c r="C90" s="76" t="n">
        <v>1</v>
      </c>
      <c r="D90" s="76" t="n">
        <v>0</v>
      </c>
      <c r="F90" s="84">
        <f>'Stock'!K9*'Stock'!O9</f>
        <v/>
      </c>
      <c r="G90" s="84">
        <f>D90*'Stock'!O9</f>
        <v/>
      </c>
    </row>
    <row r="91">
      <c r="A91" s="15" t="inlineStr">
        <is>
          <t>Colts (2 years)</t>
        </is>
      </c>
      <c r="B91" s="76" t="n">
        <v>1</v>
      </c>
      <c r="C91" s="76" t="n">
        <v>1</v>
      </c>
      <c r="D91" s="76" t="n">
        <v>0</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v>2</v>
      </c>
      <c r="C93" s="76" t="n">
        <v>1</v>
      </c>
      <c r="D93" s="76" t="n">
        <v>-1</v>
      </c>
      <c r="F93" s="84">
        <f>'Stock'!K11*'Stock'!O11</f>
        <v/>
      </c>
      <c r="G93" s="84">
        <f>D93*'Stock'!O11</f>
        <v/>
      </c>
    </row>
    <row r="94">
      <c r="A94" s="15" t="inlineStr">
        <is>
          <t>Oxen</t>
        </is>
      </c>
      <c r="B94" s="76" t="n">
        <v>57</v>
      </c>
      <c r="C94" s="76" t="n">
        <v>66</v>
      </c>
      <c r="D94" s="76" t="n">
        <v>9</v>
      </c>
      <c r="F94" s="84">
        <f>'Stock'!K12*'Stock'!O12</f>
        <v/>
      </c>
      <c r="G94" s="84">
        <f>D94*'Stock'!O12</f>
        <v/>
      </c>
    </row>
    <row r="95">
      <c r="A95" s="15" t="inlineStr">
        <is>
          <t>Bulls</t>
        </is>
      </c>
      <c r="B95" s="76" t="n">
        <v>1</v>
      </c>
      <c r="C95" s="76" t="n">
        <v>1</v>
      </c>
      <c r="D95" s="76" t="n">
        <v>0</v>
      </c>
      <c r="F95" s="84">
        <f>'Stock'!K13*'Stock'!O13</f>
        <v/>
      </c>
      <c r="G95" s="84">
        <f>D95*'Stock'!O13</f>
        <v/>
      </c>
    </row>
    <row r="96">
      <c r="A96" s="15" t="inlineStr">
        <is>
          <t>Cows</t>
        </is>
      </c>
      <c r="B96" s="76" t="n">
        <v>18</v>
      </c>
      <c r="C96" s="76" t="n">
        <v>22</v>
      </c>
      <c r="D96" s="76" t="n">
        <v>4</v>
      </c>
      <c r="F96" s="84">
        <f>'Stock'!K14*'Stock'!O14</f>
        <v/>
      </c>
      <c r="G96" s="84">
        <f>D96*'Stock'!O14</f>
        <v/>
      </c>
    </row>
    <row r="97">
      <c r="A97" s="15" t="inlineStr">
        <is>
          <t>Steers</t>
        </is>
      </c>
      <c r="B97" s="76" t="n">
        <v>11</v>
      </c>
      <c r="C97" s="76" t="n">
        <v>0</v>
      </c>
      <c r="D97" s="76" t="n">
        <v>-11</v>
      </c>
      <c r="F97" s="84">
        <f>'Stock'!K15*'Stock'!O15</f>
        <v/>
      </c>
      <c r="G97" s="84">
        <f>D97*'Stock'!O15</f>
        <v/>
      </c>
    </row>
    <row r="98">
      <c r="A98" s="15" t="inlineStr">
        <is>
          <t>Bullocks</t>
        </is>
      </c>
      <c r="B98" s="76" t="n">
        <v>9</v>
      </c>
      <c r="C98" s="76" t="n">
        <v>9</v>
      </c>
      <c r="D98" s="76" t="n">
        <v>0</v>
      </c>
      <c r="F98" s="84">
        <f>'Stock'!K16*'Stock'!O16</f>
        <v/>
      </c>
      <c r="G98" s="84">
        <f>D98*'Stock'!O16</f>
        <v/>
      </c>
    </row>
    <row r="99">
      <c r="A99" s="15" t="inlineStr">
        <is>
          <t>Yearlings</t>
        </is>
      </c>
      <c r="B99" s="76" t="n">
        <v>6</v>
      </c>
      <c r="C99" s="76" t="n">
        <v>6</v>
      </c>
      <c r="D99" s="76" t="n">
        <v>0</v>
      </c>
      <c r="F99" s="84">
        <f>'Stock'!K17*'Stock'!O17</f>
        <v/>
      </c>
      <c r="G99" s="84">
        <f>D99*'Stock'!O17</f>
        <v/>
      </c>
    </row>
    <row r="100">
      <c r="A100" s="15" t="inlineStr">
        <is>
          <t>Calves</t>
        </is>
      </c>
      <c r="B100" s="76" t="n">
        <v>22</v>
      </c>
      <c r="C100" s="76" t="n">
        <v>13</v>
      </c>
      <c r="D100" s="76" t="n">
        <v>-9</v>
      </c>
      <c r="F100" s="84">
        <f>'Stock'!K18*'Stock'!O18</f>
        <v/>
      </c>
      <c r="G100" s="84">
        <f>D100*'Stock'!O18</f>
        <v/>
      </c>
    </row>
    <row r="101">
      <c r="A101" s="15" t="inlineStr">
        <is>
          <t>Wethers</t>
        </is>
      </c>
      <c r="B101" s="76" t="n">
        <v>450</v>
      </c>
      <c r="C101" s="76" t="n">
        <v>486</v>
      </c>
      <c r="D101" s="76" t="n">
        <v>36</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v>797</v>
      </c>
      <c r="C103" s="76" t="n">
        <v>831</v>
      </c>
      <c r="D103" s="76" t="n">
        <v>34</v>
      </c>
      <c r="F103" s="84">
        <f>'Stock'!K21*'Stock'!O21</f>
        <v/>
      </c>
      <c r="G103" s="84">
        <f>D103*'Stock'!O21</f>
        <v/>
      </c>
    </row>
    <row r="104">
      <c r="A104" s="15" t="inlineStr">
        <is>
          <t>Hoggs</t>
        </is>
      </c>
      <c r="B104" s="76" t="n">
        <v>402</v>
      </c>
      <c r="C104" s="76" t="n">
        <v>0</v>
      </c>
      <c r="D104" s="76" t="n">
        <v>-402</v>
      </c>
      <c r="F104" s="84">
        <f>'Stock'!K22*'Stock'!O22</f>
        <v/>
      </c>
      <c r="G104" s="84">
        <f>D104*'Stock'!O22</f>
        <v/>
      </c>
    </row>
    <row r="105">
      <c r="A105" s="15" t="inlineStr">
        <is>
          <t>Lambs</t>
        </is>
      </c>
      <c r="B105" s="76" t="n">
        <v>555</v>
      </c>
      <c r="C105" s="76" t="n">
        <v>424</v>
      </c>
      <c r="D105" s="76" t="n">
        <v>-131</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v>2</v>
      </c>
      <c r="C107" s="76" t="n">
        <v>2</v>
      </c>
      <c r="D107" s="76" t="n">
        <v>0</v>
      </c>
      <c r="F107" s="84">
        <f>'Stock'!K25*'Stock'!O25</f>
        <v/>
      </c>
      <c r="G107" s="84">
        <f>D107*'Stock'!O25</f>
        <v/>
      </c>
    </row>
    <row r="108">
      <c r="A108" s="15" t="inlineStr">
        <is>
          <t>Pigs</t>
        </is>
      </c>
      <c r="B108" s="76" t="n">
        <v>35</v>
      </c>
      <c r="C108" s="76" t="n">
        <v>50</v>
      </c>
      <c r="D108" s="76" t="n">
        <v>15</v>
      </c>
      <c r="F108" s="84">
        <f>'Stock'!K26*'Stock'!O26</f>
        <v/>
      </c>
      <c r="G108" s="84">
        <f>D108*'Stock'!O26</f>
        <v/>
      </c>
    </row>
    <row r="109">
      <c r="A109" s="15" t="inlineStr">
        <is>
          <t>Hoggets</t>
        </is>
      </c>
      <c r="B109" s="76" t="n">
        <v>50</v>
      </c>
      <c r="C109" s="76" t="n">
        <v>0</v>
      </c>
      <c r="D109" s="76" t="n">
        <v>-50</v>
      </c>
      <c r="F109" s="84">
        <f>'Stock'!K27*'Stock'!O27</f>
        <v/>
      </c>
      <c r="G109" s="84">
        <f>D109*'Stock'!O27</f>
        <v/>
      </c>
    </row>
    <row r="110">
      <c r="A110" s="15" t="inlineStr">
        <is>
          <t>Piglets</t>
        </is>
      </c>
      <c r="B110" s="76" t="n"/>
      <c r="C110" s="76" t="n">
        <v>44</v>
      </c>
      <c r="D110" s="76">
        <f>C110-B110</f>
        <v/>
      </c>
      <c r="F110" s="84">
        <f>'Stock'!K28*'Stock'!O28</f>
        <v/>
      </c>
      <c r="G110" s="84">
        <f>D110*'Stock'!O28</f>
        <v/>
      </c>
    </row>
    <row r="111">
      <c r="A111" s="15" t="inlineStr">
        <is>
          <t>Swans</t>
        </is>
      </c>
      <c r="B111" s="76" t="n">
        <v>3</v>
      </c>
      <c r="C111" s="76" t="n">
        <v>4</v>
      </c>
      <c r="D111" s="76" t="n">
        <v>1</v>
      </c>
      <c r="F111" s="84">
        <f>'Stock'!K29*'Stock'!O29</f>
        <v/>
      </c>
      <c r="G111" s="84">
        <f>D111*'Stock'!O29</f>
        <v/>
      </c>
    </row>
    <row r="112">
      <c r="A112" s="15" t="inlineStr">
        <is>
          <t>Peacocks</t>
        </is>
      </c>
      <c r="B112" s="76" t="n">
        <v>6</v>
      </c>
      <c r="C112" s="76" t="n">
        <v>5</v>
      </c>
      <c r="D112" s="76" t="n">
        <v>-1</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D119" t="n">
        <v>1405</v>
      </c>
      <c r="F119" t="n">
        <v>0</v>
      </c>
    </row>
    <row r="120">
      <c r="A120" s="15" t="inlineStr">
        <is>
          <t>Lamb's wool</t>
        </is>
      </c>
      <c r="C120" t="n">
        <v>0</v>
      </c>
      <c r="D120" t="n">
        <v>433</v>
      </c>
      <c r="F120" t="n">
        <v>0</v>
      </c>
    </row>
    <row r="121">
      <c r="A121" s="15" t="inlineStr">
        <is>
          <t>Wool locks</t>
        </is>
      </c>
      <c r="D121" t="inlineStr">
        <is>
          <t>20 cloves 5 lb</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f>C152*'Stock'!O70</f>
        <v/>
      </c>
    </row>
    <row r="153">
      <c r="A153" s="15" t="inlineStr">
        <is>
          <t>Capons (from chickens)</t>
        </is>
      </c>
      <c r="B153" s="76" t="n">
        <v>0</v>
      </c>
      <c r="C153" s="76" t="n">
        <v>0</v>
      </c>
      <c r="D153" s="76" t="n">
        <v>0</v>
      </c>
      <c r="F153" s="76">
        <f>C153*'Stock'!O71</f>
        <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f>C159*'Stock'!O77</f>
        <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topLeftCell="A1" workbookViewId="0">
      <selection activeCell="A1" sqref="A1"/>
    </sheetView>
  </sheetViews>
  <sheetFormatPr baseColWidth="8" defaultRowHeight="15"/>
  <cols>
    <col width="80" customWidth="1" min="1" max="1"/>
    <col width="29.1640625" customWidth="1" min="2" max="2"/>
    <col width="30.83203125" customWidth="1" min="5" max="5"/>
    <col width="29.33203125" customWidth="1" min="6" max="6"/>
  </cols>
  <sheetData>
    <row r="1">
      <c r="A1" s="8" t="inlineStr">
        <is>
          <t>EAST MEON</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72">
        <f>Receipts!F206</f>
        <v/>
      </c>
    </row>
    <row r="24">
      <c r="A24" s="82" t="inlineStr">
        <is>
          <t>Total of all receipts (calculated here) incl arrears</t>
        </is>
      </c>
      <c r="B24" s="72">
        <f>Receipts!F207</f>
        <v/>
      </c>
    </row>
    <row r="25">
      <c r="A25" s="83" t="inlineStr">
        <is>
          <t>Total recorded in the accounts excl. arrears</t>
        </is>
      </c>
      <c r="B25" s="72">
        <f>Receipts!F205</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72">
        <f>Expenses!F109</f>
        <v/>
      </c>
    </row>
    <row r="45">
      <c r="A45" s="82" t="inlineStr">
        <is>
          <t>Total of all expenses (calculated here)</t>
        </is>
      </c>
      <c r="B45" s="72">
        <f>Expenses!F110</f>
        <v/>
      </c>
    </row>
    <row r="46">
      <c r="A46" s="82" t="inlineStr">
        <is>
          <t>Total fixed investment</t>
        </is>
      </c>
      <c r="B46" s="72">
        <f>Expenses!F111</f>
        <v/>
      </c>
    </row>
    <row r="47">
      <c r="A47" s="82" t="inlineStr">
        <is>
          <t>Total Demesne fixed investment</t>
        </is>
      </c>
      <c r="B47" s="72">
        <f>Expenses!F112</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7" t="inlineStr">
        <is>
          <t>Value of total gross production in £</t>
        </is>
      </c>
      <c r="F61" s="127" t="inlineStr">
        <is>
          <t>Value of total net production in £</t>
        </is>
      </c>
    </row>
    <row r="62" ht="15" customHeight="1">
      <c r="A62" t="inlineStr">
        <is>
          <t>wheat</t>
        </is>
      </c>
      <c r="B62">
        <f>'Issues of the Grange'!B2</f>
        <v/>
      </c>
      <c r="E62" s="72">
        <f>'Issues of the Grange'!I2</f>
        <v/>
      </c>
      <c r="F62" s="72">
        <f>'Issues of the Grange'!O13</f>
        <v/>
      </c>
    </row>
    <row r="63" ht="15" customHeight="1">
      <c r="A63" t="inlineStr">
        <is>
          <t>curall</t>
        </is>
      </c>
      <c r="B63">
        <f>'Issues of the Grange'!B3</f>
        <v/>
      </c>
      <c r="E63" s="72">
        <f>'Issues of the Grange'!I3</f>
        <v/>
      </c>
      <c r="F63" s="72">
        <f>'Issues of the Grange'!O14</f>
        <v/>
      </c>
    </row>
    <row r="64" ht="15" customHeight="1">
      <c r="A64" t="inlineStr">
        <is>
          <t>barley</t>
        </is>
      </c>
      <c r="B64">
        <f>'Issues of the Grange'!B4</f>
        <v/>
      </c>
      <c r="E64" s="72">
        <f>'Issues of the Grange'!I4</f>
        <v/>
      </c>
      <c r="F64" s="72">
        <f>'Issues of the Grange'!O15</f>
        <v/>
      </c>
    </row>
    <row r="65" ht="15" customHeight="1">
      <c r="A65" t="inlineStr">
        <is>
          <t>oats</t>
        </is>
      </c>
      <c r="B65">
        <f>'Issues of the Grange'!B5</f>
        <v/>
      </c>
      <c r="E65" s="72">
        <f>'Issues of the Grange'!I5</f>
        <v/>
      </c>
      <c r="F65" s="72">
        <f>'Issues of the Grange'!O16</f>
        <v/>
      </c>
    </row>
    <row r="66">
      <c r="A66" s="17" t="inlineStr">
        <is>
          <t>Total value of gross production (sum of the above)</t>
        </is>
      </c>
      <c r="B66" s="70" t="n"/>
      <c r="C66" s="70" t="n"/>
      <c r="D66" s="70" t="n"/>
      <c r="E66" s="128">
        <f>SUM(E62:E65)</f>
        <v/>
      </c>
      <c r="F66" s="70" t="n"/>
    </row>
    <row r="67">
      <c r="A67" s="17" t="inlineStr">
        <is>
          <t>Total value of net production</t>
        </is>
      </c>
      <c r="B67" s="70" t="n"/>
      <c r="C67" s="70" t="n"/>
      <c r="D67" s="70" t="n"/>
      <c r="E67" s="128">
        <f>SUM(F62:F65)</f>
        <v/>
      </c>
      <c r="F67" s="70" t="n"/>
    </row>
    <row r="68">
      <c r="A68" s="17" t="inlineStr">
        <is>
          <t>Value of sales</t>
        </is>
      </c>
      <c r="B68" s="70" t="n"/>
      <c r="C68" s="70" t="n"/>
      <c r="D68" s="70" t="n"/>
      <c r="E68" s="128">
        <f>Receipts!F150</f>
        <v/>
      </c>
      <c r="F68" s="70" t="n"/>
    </row>
    <row r="69">
      <c r="A69" s="15" t="n"/>
    </row>
    <row r="70">
      <c r="A70" s="16" t="inlineStr">
        <is>
          <t>MILL ACCOUNT</t>
        </is>
      </c>
    </row>
    <row r="71">
      <c r="A71" s="8" t="inlineStr">
        <is>
          <t>Issues of the mill</t>
        </is>
      </c>
    </row>
    <row r="72">
      <c r="A72" s="15" t="inlineStr">
        <is>
          <t>Wheat</t>
        </is>
      </c>
    </row>
    <row r="73">
      <c r="A73" s="15" t="inlineStr">
        <is>
          <t>Oatmeal</t>
        </is>
      </c>
    </row>
    <row r="74">
      <c r="A74" s="15" t="inlineStr">
        <is>
          <t>1st grade malt</t>
        </is>
      </c>
    </row>
    <row r="75">
      <c r="A75" s="15" t="inlineStr">
        <is>
          <t>2nd grade malt</t>
        </is>
      </c>
    </row>
    <row r="76">
      <c r="A76" s="15" t="inlineStr">
        <is>
          <t>Maslin</t>
        </is>
      </c>
    </row>
    <row r="77">
      <c r="A77" s="17" t="inlineStr">
        <is>
          <t>Total value of production (sum of the above)</t>
        </is>
      </c>
    </row>
    <row r="78">
      <c r="A78" s="17" t="inlineStr">
        <is>
          <t>Value of sales</t>
        </is>
      </c>
    </row>
    <row r="79">
      <c r="A79" s="15" t="n"/>
    </row>
    <row r="80">
      <c r="A80" s="92" t="inlineStr">
        <is>
          <t>STOCK ACCOUNT</t>
        </is>
      </c>
      <c r="B80" s="70" t="n"/>
      <c r="C80" s="70" t="n"/>
      <c r="D80" s="70" t="n"/>
      <c r="E80" s="70" t="n"/>
      <c r="F80" s="70" t="n"/>
    </row>
    <row r="81">
      <c r="A81" s="21" t="inlineStr">
        <is>
          <t>Livestock</t>
        </is>
      </c>
      <c r="B81" s="129" t="inlineStr">
        <is>
          <t>Sales value in £</t>
        </is>
      </c>
      <c r="C81" s="70" t="n"/>
      <c r="D81" s="70" t="n"/>
      <c r="E81" s="70" t="n"/>
      <c r="F81" s="70" t="n"/>
    </row>
    <row r="82" ht="17" customHeight="1">
      <c r="A82" s="22" t="inlineStr">
        <is>
          <t>Cart-horses</t>
        </is>
      </c>
      <c r="B82">
        <f>Stock!R5</f>
        <v/>
      </c>
    </row>
    <row r="83" ht="17" customHeight="1">
      <c r="A83" s="22" t="inlineStr">
        <is>
          <t>Mares</t>
        </is>
      </c>
      <c r="B83">
        <f>Stock!R6</f>
        <v/>
      </c>
    </row>
    <row r="84">
      <c r="A84" s="15" t="inlineStr">
        <is>
          <t>Plough horses</t>
        </is>
      </c>
      <c r="B84">
        <f>Stock!R7</f>
        <v/>
      </c>
    </row>
    <row r="85">
      <c r="A85" s="15" t="inlineStr">
        <is>
          <t>Colts (2 years)</t>
        </is>
      </c>
      <c r="B85">
        <f>Stock!R8</f>
        <v/>
      </c>
    </row>
    <row r="86">
      <c r="A86" s="15" t="inlineStr">
        <is>
          <t>Colts (2 years)</t>
        </is>
      </c>
      <c r="B86">
        <f>Stock!R9</f>
        <v/>
      </c>
    </row>
    <row r="87">
      <c r="A87" s="15" t="inlineStr">
        <is>
          <t>Colts (1 year)</t>
        </is>
      </c>
      <c r="B87">
        <f>Stock!R10</f>
        <v/>
      </c>
    </row>
    <row r="88">
      <c r="A88" s="15" t="inlineStr">
        <is>
          <t>Foals</t>
        </is>
      </c>
      <c r="B88">
        <f>Stock!R11</f>
        <v/>
      </c>
    </row>
    <row r="89">
      <c r="A89" s="15" t="inlineStr">
        <is>
          <t>Oxen</t>
        </is>
      </c>
      <c r="B89">
        <f>Stock!R12</f>
        <v/>
      </c>
    </row>
    <row r="90">
      <c r="A90" s="15" t="inlineStr">
        <is>
          <t>Bulls</t>
        </is>
      </c>
      <c r="B90">
        <f>Stock!R13</f>
        <v/>
      </c>
    </row>
    <row r="91">
      <c r="A91" s="15" t="inlineStr">
        <is>
          <t>Cows</t>
        </is>
      </c>
      <c r="B91">
        <f>Stock!R14</f>
        <v/>
      </c>
    </row>
    <row r="92">
      <c r="A92" s="15" t="inlineStr">
        <is>
          <t>Steers</t>
        </is>
      </c>
      <c r="B92">
        <f>Stock!R15</f>
        <v/>
      </c>
    </row>
    <row r="93">
      <c r="A93" s="15" t="inlineStr">
        <is>
          <t>Bullocks</t>
        </is>
      </c>
      <c r="B93">
        <f>Stock!R16</f>
        <v/>
      </c>
    </row>
    <row r="94">
      <c r="A94" s="15" t="inlineStr">
        <is>
          <t>Yearlings</t>
        </is>
      </c>
      <c r="B94">
        <f>Stock!R17</f>
        <v/>
      </c>
    </row>
    <row r="95">
      <c r="A95" s="15" t="inlineStr">
        <is>
          <t>Calves</t>
        </is>
      </c>
      <c r="B95">
        <f>Stock!R18</f>
        <v/>
      </c>
    </row>
    <row r="96">
      <c r="A96" s="15" t="inlineStr">
        <is>
          <t>Wethers</t>
        </is>
      </c>
      <c r="B96">
        <f>Stock!R19</f>
        <v/>
      </c>
    </row>
    <row r="97">
      <c r="A97" s="15" t="inlineStr">
        <is>
          <t>Rams</t>
        </is>
      </c>
      <c r="B97">
        <f>Stock!R20</f>
        <v/>
      </c>
    </row>
    <row r="98">
      <c r="A98" s="15" t="inlineStr">
        <is>
          <t>Ewes</t>
        </is>
      </c>
      <c r="B98">
        <f>Stock!R21</f>
        <v/>
      </c>
    </row>
    <row r="99">
      <c r="A99" s="15" t="inlineStr">
        <is>
          <t>Hoggs</t>
        </is>
      </c>
      <c r="B99">
        <f>Stock!R22</f>
        <v/>
      </c>
    </row>
    <row r="100">
      <c r="A100" s="15" t="inlineStr">
        <is>
          <t>Lambs</t>
        </is>
      </c>
      <c r="B100">
        <f>Stock!R23</f>
        <v/>
      </c>
    </row>
    <row r="101">
      <c r="A101" s="15" t="inlineStr">
        <is>
          <t>Boars</t>
        </is>
      </c>
      <c r="B101">
        <f>Stock!R24</f>
        <v/>
      </c>
    </row>
    <row r="102">
      <c r="A102" s="15" t="inlineStr">
        <is>
          <t>Sows</t>
        </is>
      </c>
      <c r="B102">
        <f>Stock!R25</f>
        <v/>
      </c>
    </row>
    <row r="103">
      <c r="A103" s="15" t="inlineStr">
        <is>
          <t>Pigs</t>
        </is>
      </c>
      <c r="B103">
        <f>Stock!R26</f>
        <v/>
      </c>
    </row>
    <row r="104">
      <c r="A104" s="15" t="inlineStr">
        <is>
          <t>Hoggets</t>
        </is>
      </c>
      <c r="B104">
        <f>Stock!R27</f>
        <v/>
      </c>
    </row>
    <row r="105">
      <c r="A105" s="15" t="inlineStr">
        <is>
          <t>Piglets</t>
        </is>
      </c>
      <c r="B105">
        <f>Stock!R28</f>
        <v/>
      </c>
    </row>
    <row r="106">
      <c r="A106" s="15" t="inlineStr">
        <is>
          <t>Swans</t>
        </is>
      </c>
      <c r="B106">
        <f>Stock!R29</f>
        <v/>
      </c>
    </row>
    <row r="107">
      <c r="A107" s="15" t="inlineStr">
        <is>
          <t>Peacocks</t>
        </is>
      </c>
      <c r="B107">
        <f>Stock!R30</f>
        <v/>
      </c>
    </row>
    <row r="108">
      <c r="A108" s="17" t="inlineStr">
        <is>
          <t>Total value of stock (sum of the above)</t>
        </is>
      </c>
      <c r="B108" s="70" t="n"/>
      <c r="C108" s="70" t="n"/>
      <c r="D108" s="70" t="n"/>
      <c r="E108" s="70" t="n"/>
    </row>
    <row r="109">
      <c r="A109" s="17" t="inlineStr">
        <is>
          <t>Total value of production</t>
        </is>
      </c>
      <c r="B109" s="70" t="n"/>
      <c r="C109" s="70" t="n"/>
      <c r="D109" s="70" t="n"/>
      <c r="E109" s="70" t="n"/>
    </row>
    <row r="110">
      <c r="A110" s="17" t="inlineStr">
        <is>
          <t>Value of sales</t>
        </is>
      </c>
      <c r="B110" s="70">
        <f>Stock!R31</f>
        <v/>
      </c>
      <c r="C110" s="70" t="n"/>
      <c r="D110" s="70" t="n"/>
      <c r="E110" s="70" t="n"/>
    </row>
    <row r="111">
      <c r="A111" s="15" t="n"/>
    </row>
    <row r="112">
      <c r="A112" s="16" t="inlineStr">
        <is>
          <t>Wool</t>
        </is>
      </c>
      <c r="B112" s="129" t="inlineStr">
        <is>
          <t>Value of production at sales prices £</t>
        </is>
      </c>
    </row>
    <row r="113" ht="15" customHeight="1">
      <c r="A113" t="inlineStr">
        <is>
          <t>Coarse wool</t>
        </is>
      </c>
      <c r="B113">
        <f>Stock!T35</f>
        <v/>
      </c>
    </row>
    <row r="114" ht="15" customHeight="1">
      <c r="A114" t="inlineStr">
        <is>
          <t>Lamb's wool</t>
        </is>
      </c>
      <c r="B114">
        <f>Stock!T36</f>
        <v/>
      </c>
    </row>
    <row r="115" ht="15" customHeight="1">
      <c r="A115" t="inlineStr">
        <is>
          <t>Wool locks</t>
        </is>
      </c>
      <c r="B115">
        <f>Stock!T37</f>
        <v/>
      </c>
    </row>
    <row r="116" ht="15" customHeight="1">
      <c r="A116" t="inlineStr">
        <is>
          <t>Wool sold at shearing</t>
        </is>
      </c>
      <c r="B116">
        <f>Stock!T38</f>
        <v/>
      </c>
    </row>
    <row r="117">
      <c r="A117" s="119" t="inlineStr">
        <is>
          <t>Total value of production (sum of the above)</t>
        </is>
      </c>
      <c r="B117" s="70">
        <f>SUM(B113:B116)</f>
        <v/>
      </c>
    </row>
    <row r="118">
      <c r="A118" s="119" t="inlineStr">
        <is>
          <t>Value of sales</t>
        </is>
      </c>
      <c r="B118" s="128">
        <f>Stock!R39</f>
        <v/>
      </c>
    </row>
    <row r="119">
      <c r="A119" s="8" t="n"/>
    </row>
    <row r="120">
      <c r="A120" s="16" t="inlineStr">
        <is>
          <t>Hides</t>
        </is>
      </c>
      <c r="B120" s="129" t="inlineStr">
        <is>
          <t>Value of production at sales prices £</t>
        </is>
      </c>
    </row>
    <row r="121">
      <c r="A121" s="15" t="inlineStr">
        <is>
          <t>Ox hides</t>
        </is>
      </c>
      <c r="B121">
        <f>Stock!T43</f>
        <v/>
      </c>
    </row>
    <row r="122">
      <c r="A122" s="15" t="inlineStr">
        <is>
          <t>Cow hides</t>
        </is>
      </c>
      <c r="B122">
        <f>Stock!T44</f>
        <v/>
      </c>
    </row>
    <row r="123">
      <c r="A123" s="15" t="inlineStr">
        <is>
          <t>Mare hides</t>
        </is>
      </c>
      <c r="B123">
        <f>Stock!T45</f>
        <v/>
      </c>
    </row>
    <row r="124">
      <c r="A124" s="15" t="inlineStr">
        <is>
          <t>Steer hides</t>
        </is>
      </c>
      <c r="B124">
        <f>Stock!T46</f>
        <v/>
      </c>
    </row>
    <row r="125">
      <c r="A125" s="15" t="inlineStr">
        <is>
          <t>Yearling Calf hides</t>
        </is>
      </c>
      <c r="B125">
        <f>Stock!T47</f>
        <v/>
      </c>
    </row>
    <row r="126">
      <c r="A126" s="15" t="inlineStr">
        <is>
          <t>Calf hides</t>
        </is>
      </c>
      <c r="B126">
        <f>Stock!T48</f>
        <v/>
      </c>
    </row>
    <row r="127">
      <c r="A127" s="23" t="inlineStr">
        <is>
          <t>Pig hides</t>
        </is>
      </c>
      <c r="B127">
        <f>Stock!T49</f>
        <v/>
      </c>
    </row>
    <row r="128">
      <c r="A128" s="24" t="inlineStr">
        <is>
          <t>Wether woolskins</t>
        </is>
      </c>
      <c r="B128">
        <f>Stock!T50</f>
        <v/>
      </c>
    </row>
    <row r="129">
      <c r="A129" s="24" t="inlineStr">
        <is>
          <t>Ram woolskins</t>
        </is>
      </c>
      <c r="B129">
        <f>Stock!T51</f>
        <v/>
      </c>
    </row>
    <row r="130">
      <c r="A130" s="24" t="inlineStr">
        <is>
          <t>Ewe woolskins</t>
        </is>
      </c>
      <c r="B130">
        <f>Stock!T52</f>
        <v/>
      </c>
    </row>
    <row r="131">
      <c r="A131" s="24" t="inlineStr">
        <is>
          <t>Hogg woolskins</t>
        </is>
      </c>
      <c r="B131">
        <f>Stock!T53</f>
        <v/>
      </c>
    </row>
    <row r="132">
      <c r="A132" s="25" t="inlineStr">
        <is>
          <t>Woolskins (total)</t>
        </is>
      </c>
      <c r="B132">
        <f>Stock!T54</f>
        <v/>
      </c>
    </row>
    <row r="133">
      <c r="A133" s="24" t="inlineStr">
        <is>
          <t>Wether bareskins</t>
        </is>
      </c>
      <c r="B133">
        <f>Stock!T55</f>
        <v/>
      </c>
    </row>
    <row r="134">
      <c r="A134" s="24" t="inlineStr">
        <is>
          <t>Ram bareskins</t>
        </is>
      </c>
      <c r="B134">
        <f>Stock!T56</f>
        <v/>
      </c>
    </row>
    <row r="135">
      <c r="A135" s="24" t="inlineStr">
        <is>
          <t>Ewe bareskins</t>
        </is>
      </c>
      <c r="B135">
        <f>Stock!T57</f>
        <v/>
      </c>
    </row>
    <row r="136">
      <c r="A136" s="24" t="inlineStr">
        <is>
          <t>Hogg bareskins</t>
        </is>
      </c>
      <c r="B136">
        <f>Stock!T58</f>
        <v/>
      </c>
    </row>
    <row r="137">
      <c r="A137" s="25" t="inlineStr">
        <is>
          <t>Bareskins (total)</t>
        </is>
      </c>
      <c r="B137">
        <f>Stock!T59</f>
        <v/>
      </c>
    </row>
    <row r="138">
      <c r="A138" s="15" t="inlineStr">
        <is>
          <t>Lambskins</t>
        </is>
      </c>
      <c r="B138">
        <f>Stock!T60</f>
        <v/>
      </c>
    </row>
    <row r="139">
      <c r="A139" s="15" t="inlineStr">
        <is>
          <t>Rotted skins</t>
        </is>
      </c>
      <c r="B139">
        <f>Stock!T61</f>
        <v/>
      </c>
    </row>
    <row r="140">
      <c r="A140" s="15" t="inlineStr">
        <is>
          <t>Shorn skins</t>
        </is>
      </c>
      <c r="B140">
        <f>Stock!T62</f>
        <v/>
      </c>
    </row>
    <row r="141">
      <c r="A141" s="17" t="inlineStr">
        <is>
          <t>Total value of production (sum of the above)</t>
        </is>
      </c>
      <c r="B141" s="70">
        <f>SUM(B121:B140)</f>
        <v/>
      </c>
    </row>
    <row r="142">
      <c r="A142" s="17" t="inlineStr">
        <is>
          <t>Value of sales</t>
        </is>
      </c>
      <c r="B142" s="70">
        <f>Stock!R65</f>
        <v/>
      </c>
    </row>
    <row r="143">
      <c r="A143" s="15" t="n"/>
    </row>
    <row r="144">
      <c r="A144" s="16" t="inlineStr">
        <is>
          <t>Poultry stock</t>
        </is>
      </c>
      <c r="B144" s="129" t="inlineStr">
        <is>
          <t>Value of production at sales prices £</t>
        </is>
      </c>
    </row>
    <row r="145" ht="17" customHeight="1">
      <c r="A145" s="22" t="inlineStr">
        <is>
          <t>Hens</t>
        </is>
      </c>
      <c r="B145">
        <f>Stock!T69</f>
        <v/>
      </c>
    </row>
    <row r="146">
      <c r="A146" s="15" t="inlineStr">
        <is>
          <t>Geese</t>
        </is>
      </c>
      <c r="B146">
        <f>Stock!T70</f>
        <v/>
      </c>
    </row>
    <row r="147">
      <c r="A147" s="15" t="inlineStr">
        <is>
          <t>Capons (from chickens)</t>
        </is>
      </c>
      <c r="B147">
        <f>Stock!T71</f>
        <v/>
      </c>
    </row>
    <row r="148">
      <c r="A148" s="15" t="inlineStr">
        <is>
          <t>Cocks &amp; hens</t>
        </is>
      </c>
      <c r="B148">
        <f>Stock!T72</f>
        <v/>
      </c>
    </row>
    <row r="149">
      <c r="A149" s="119" t="inlineStr">
        <is>
          <t>Total value of production (sum of the above)</t>
        </is>
      </c>
      <c r="B149" s="70">
        <f>Stock!T73</f>
        <v/>
      </c>
    </row>
    <row r="150">
      <c r="A150" s="119" t="inlineStr">
        <is>
          <t>Value of sales</t>
        </is>
      </c>
      <c r="B150" s="70">
        <f>Stock!R73</f>
        <v/>
      </c>
    </row>
    <row r="151">
      <c r="A151" s="15" t="n"/>
    </row>
    <row r="152">
      <c r="A152" s="16" t="inlineStr">
        <is>
          <t>Poultry production</t>
        </is>
      </c>
      <c r="B152" s="129" t="inlineStr">
        <is>
          <t>Value of production at sales prices £</t>
        </is>
      </c>
    </row>
    <row r="153">
      <c r="A153" s="15" t="inlineStr">
        <is>
          <t>Eggs</t>
        </is>
      </c>
    </row>
    <row r="154">
      <c r="A154" s="15" t="inlineStr">
        <is>
          <t>Cocks &amp; hens from churchscot of customary tenants</t>
        </is>
      </c>
    </row>
    <row r="155">
      <c r="A155" s="15" t="inlineStr">
        <is>
          <t>Sum of above</t>
        </is>
      </c>
    </row>
    <row r="156">
      <c r="A156" s="17" t="inlineStr">
        <is>
          <t>Total value of stock</t>
        </is>
      </c>
      <c r="B156" s="70" t="n"/>
    </row>
    <row r="157">
      <c r="A157" s="17" t="inlineStr">
        <is>
          <t>Value of sales</t>
        </is>
      </c>
      <c r="B157" s="70" t="n"/>
    </row>
    <row r="158">
      <c r="A158" s="15" t="n"/>
    </row>
    <row r="159">
      <c r="A159" s="16" t="inlineStr">
        <is>
          <t>Dairy Production</t>
        </is>
      </c>
      <c r="B159" s="129" t="inlineStr">
        <is>
          <t>Value of production at sales prices £</t>
        </is>
      </c>
    </row>
    <row r="160">
      <c r="A160" s="15" t="inlineStr">
        <is>
          <t>Butter</t>
        </is>
      </c>
      <c r="B160" s="72">
        <f>Stock!T95</f>
        <v/>
      </c>
    </row>
    <row r="161">
      <c r="A161" s="15" t="inlineStr">
        <is>
          <t>Winter Cheese</t>
        </is>
      </c>
      <c r="B161" s="72">
        <f>Stock!T90</f>
        <v/>
      </c>
    </row>
    <row r="162">
      <c r="A162" s="15" t="inlineStr">
        <is>
          <t>Summer Cheese</t>
        </is>
      </c>
      <c r="B162" s="72">
        <f>Stock!T91</f>
        <v/>
      </c>
    </row>
    <row r="163">
      <c r="A163" s="17" t="inlineStr">
        <is>
          <t>Total value of production (sum of the above)</t>
        </is>
      </c>
      <c r="B163" s="128">
        <f>SUM(B160:B162)</f>
        <v/>
      </c>
    </row>
    <row r="164">
      <c r="A164" s="17" t="inlineStr">
        <is>
          <t>Value of sales</t>
        </is>
      </c>
      <c r="B164" s="128">
        <f>Stock!R96+Stock!R92</f>
        <v/>
      </c>
    </row>
    <row r="165">
      <c r="A165" s="15" t="n"/>
    </row>
    <row r="166">
      <c r="A166" s="15" t="n"/>
    </row>
    <row r="167" ht="17" customHeight="1"/>
    <row r="168" ht="17" customHeight="1">
      <c r="A168" s="103" t="n"/>
      <c r="B168" s="130" t="n"/>
    </row>
    <row r="169">
      <c r="A169" s="97" t="inlineStr">
        <is>
          <t>Total Production Value of all Output (Grange, Dairy, Livestock Sales, Wools, Skins - NO Mill)</t>
        </is>
      </c>
      <c r="B169" s="131">
        <f>B163+B149+B141+B117+B110+E67</f>
        <v/>
      </c>
    </row>
    <row r="170">
      <c r="A170" s="98" t="inlineStr">
        <is>
          <t>Total Sales Value of all Output as defined above</t>
        </is>
      </c>
      <c r="B170" s="131">
        <f>B164+B157+B150+B142+B118+B110+E68</f>
        <v/>
      </c>
    </row>
    <row r="171">
      <c r="A171" s="98" t="inlineStr">
        <is>
          <t>Total Sales of Corn + Issues of the Manor as recorded in account</t>
        </is>
      </c>
      <c r="B171" s="131">
        <f>Receipts!F150+Receipts!F132</f>
        <v/>
      </c>
    </row>
    <row r="172">
      <c r="A172" s="98" t="inlineStr">
        <is>
          <t>Production Value + Cash Receipts (excl. Arrears, Issues, Corn and Mill)</t>
        </is>
      </c>
      <c r="B172" s="131">
        <f>B169+Receipts!F41+Receipts!F46+Receipts!F50+Receipts!F54+Receipts!F63+Receipts!F154+Receipts!F185+Receipts!F203</f>
        <v/>
      </c>
    </row>
    <row r="173">
      <c r="A173" s="99" t="n"/>
      <c r="B173" s="132" t="n"/>
    </row>
    <row r="174">
      <c r="A174" s="100" t="inlineStr">
        <is>
          <t>% of capital expenses in terms of total production</t>
        </is>
      </c>
      <c r="B174" s="133">
        <f>B47/B169</f>
        <v/>
      </c>
    </row>
    <row r="175">
      <c r="A175" s="98" t="inlineStr">
        <is>
          <t>% of capital expenses in terms of total production + cash receipts</t>
        </is>
      </c>
      <c r="B175" s="133">
        <f>B47/B172</f>
        <v/>
      </c>
    </row>
    <row r="176">
      <c r="A176" s="99" t="n"/>
      <c r="B176" s="132" t="n"/>
    </row>
    <row r="177" ht="17" customHeight="1">
      <c r="A177" s="101" t="inlineStr">
        <is>
          <t>% of capital expenses as calculated previously</t>
        </is>
      </c>
      <c r="B177" s="134"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7"/>
  <sheetViews>
    <sheetView topLeftCell="A1" workbookViewId="0">
      <selection activeCell="A1" sqref="A1"/>
    </sheetView>
  </sheetViews>
  <sheetFormatPr baseColWidth="8" defaultRowHeight="15"/>
  <cols>
    <col width="33.83203125" customWidth="1" min="1" max="1"/>
    <col width="8.83203125" customWidth="1" min="6" max="6"/>
    <col width="8.83203125" customWidth="1" min="7" max="7"/>
  </cols>
  <sheetData>
    <row r="1" ht="16" customHeight="1">
      <c r="A1" s="2" t="inlineStr">
        <is>
          <t>EAST MEON RECEIPTS</t>
        </is>
      </c>
    </row>
    <row r="2" ht="16" customHeight="1">
      <c r="A2" s="11" t="inlineStr">
        <is>
          <t>Heading</t>
        </is>
      </c>
      <c r="B2" s="3" t="inlineStr">
        <is>
          <t>£</t>
        </is>
      </c>
      <c r="C2" s="4" t="inlineStr">
        <is>
          <t xml:space="preserve">s </t>
        </is>
      </c>
      <c r="D2" s="4" t="inlineStr">
        <is>
          <t>d</t>
        </is>
      </c>
      <c r="E2" s="4" t="n"/>
      <c r="F2" s="135" t="inlineStr">
        <is>
          <t>Total in £</t>
        </is>
      </c>
      <c r="G2" s="136" t="inlineStr">
        <is>
          <t>Error</t>
        </is>
      </c>
      <c r="H2" s="7" t="inlineStr">
        <is>
          <t>Notes</t>
        </is>
      </c>
    </row>
    <row r="3">
      <c r="A3" t="inlineStr">
        <is>
          <t>Arrears</t>
        </is>
      </c>
      <c r="B3" t="n">
        <v>94</v>
      </c>
      <c r="C3" t="n">
        <v>4</v>
      </c>
      <c r="D3" t="n">
        <v>10.5</v>
      </c>
      <c r="F3" s="72" t="n">
        <v>94.23999999999999</v>
      </c>
      <c r="H3" t="inlineStr">
        <is>
          <t>Nicholas de Ychen', bailiff, and Richard Pokepole and Adam de Cumbe, reeves, render account for £94 4 shilling 10.5pence of arrears from the previous year.</t>
        </is>
      </c>
    </row>
    <row r="4">
      <c r="A4" t="inlineStr">
        <is>
          <t>Arrears</t>
        </is>
      </c>
      <c r="B4" t="n">
        <v>0</v>
      </c>
      <c r="C4" t="n">
        <v>0</v>
      </c>
      <c r="D4" t="n">
        <v>0</v>
      </c>
      <c r="F4" s="72" t="n">
        <v>0</v>
      </c>
      <c r="H4" t="inlineStr">
        <is>
          <t>All delivered to Sir Geoffrey, treasurer of Wolvesey, by 1 tally.</t>
        </is>
      </c>
    </row>
    <row r="5">
      <c r="A5" t="inlineStr">
        <is>
          <t>Arrears</t>
        </is>
      </c>
      <c r="B5" t="n">
        <v>0</v>
      </c>
      <c r="C5" t="n">
        <v>0</v>
      </c>
      <c r="D5" t="n">
        <v>0</v>
      </c>
      <c r="F5" s="72" t="n">
        <v>0</v>
      </c>
      <c r="H5" t="inlineStr">
        <is>
          <t>They are quit.</t>
        </is>
      </c>
    </row>
    <row r="6">
      <c r="A6" t="inlineStr">
        <is>
          <t>Arrears</t>
        </is>
      </c>
      <c r="F6" s="72" t="n">
        <v>94.23999999999999</v>
      </c>
      <c r="G6" s="137" t="n">
        <v>94.23999999999999</v>
      </c>
      <c r="H6" t="inlineStr">
        <is>
          <t>Total</t>
        </is>
      </c>
    </row>
    <row r="7"/>
    <row r="8">
      <c r="A8" t="inlineStr">
        <is>
          <t>Rents of assize</t>
        </is>
      </c>
      <c r="B8" t="n">
        <v>23</v>
      </c>
      <c r="C8" t="n">
        <v>2</v>
      </c>
      <c r="D8" t="n">
        <v>8.5</v>
      </c>
      <c r="F8" s="72" t="n">
        <v>23.14</v>
      </c>
      <c r="H8" t="inlineStr">
        <is>
          <t>The same render account for £23 2 shilling 8.5pence for all rents of assize at Christmas.</t>
        </is>
      </c>
    </row>
    <row r="9">
      <c r="A9" t="inlineStr">
        <is>
          <t>Rents of assize</t>
        </is>
      </c>
      <c r="B9" t="n">
        <v>23</v>
      </c>
      <c r="C9" t="n">
        <v>2</v>
      </c>
      <c r="D9" t="n">
        <v>8.5</v>
      </c>
      <c r="F9" s="72" t="n">
        <v>23.14</v>
      </c>
      <c r="H9" t="inlineStr">
        <is>
          <t>£23 2 shilling 8.5pence at Easter (22 April).</t>
        </is>
      </c>
    </row>
    <row r="10">
      <c r="A10" t="inlineStr">
        <is>
          <t>Rents of assize</t>
        </is>
      </c>
      <c r="B10" t="n">
        <v>23</v>
      </c>
      <c r="C10" t="n">
        <v>2</v>
      </c>
      <c r="D10" t="n">
        <v>8.5</v>
      </c>
      <c r="F10" s="72" t="n">
        <v>23.14</v>
      </c>
      <c r="H10" t="inlineStr">
        <is>
          <t>£23 2 shilling 8.5pence at the feast of St John the Baptist (24 June).</t>
        </is>
      </c>
    </row>
    <row r="11">
      <c r="A11" t="inlineStr">
        <is>
          <t>Rents of assize</t>
        </is>
      </c>
      <c r="B11" t="n">
        <v>27</v>
      </c>
      <c r="C11" t="n">
        <v>18</v>
      </c>
      <c r="D11" t="n">
        <v>4</v>
      </c>
      <c r="F11" s="72" t="n">
        <v>27.92</v>
      </c>
      <c r="H11" t="inlineStr">
        <is>
          <t>£27 18 shilling 4pence at Michaelmas (29 September).</t>
        </is>
      </c>
    </row>
    <row r="12">
      <c r="A12" t="inlineStr">
        <is>
          <t>Rents of assize</t>
        </is>
      </c>
      <c r="B12" t="n">
        <v>97</v>
      </c>
      <c r="C12" t="n">
        <v>6</v>
      </c>
      <c r="D12" t="n">
        <v>5.5</v>
      </c>
      <c r="F12" s="72" t="n">
        <v>97.31999999999999</v>
      </c>
      <c r="H12" t="inlineStr">
        <is>
          <t>Total, £97 6 shilling 5.5pence</t>
        </is>
      </c>
    </row>
    <row r="13">
      <c r="A13" t="inlineStr">
        <is>
          <t>Rents of assize</t>
        </is>
      </c>
      <c r="F13" s="72" t="n">
        <v>97.34</v>
      </c>
      <c r="G13" s="137" t="n">
        <v>0.02000000000001023</v>
      </c>
      <c r="H13" t="inlineStr">
        <is>
          <t>Total</t>
        </is>
      </c>
    </row>
    <row r="14"/>
    <row r="15">
      <c r="A15" t="inlineStr">
        <is>
          <t>Increment</t>
        </is>
      </c>
      <c r="B15" t="n">
        <v>0</v>
      </c>
      <c r="C15" t="n">
        <v>0</v>
      </c>
      <c r="D15" t="n">
        <v>5</v>
      </c>
      <c r="F15" s="72" t="n">
        <v>0.02</v>
      </c>
      <c r="H15" t="inlineStr">
        <is>
          <t xml:space="preserve">The same render account for .5pence from John Miles for the increment of rent for a certain purpresture which before he encroached upon without licence of the lorpence </t>
        </is>
      </c>
    </row>
    <row r="16">
      <c r="A16" t="inlineStr">
        <is>
          <t>Increment</t>
        </is>
      </c>
      <c r="B16" t="n">
        <v>0</v>
      </c>
      <c r="C16" t="n">
        <v>0</v>
      </c>
      <c r="D16" t="n">
        <v>0</v>
      </c>
      <c r="F16" s="72" t="n">
        <v>0</v>
      </c>
      <c r="H16" t="inlineStr">
        <is>
          <t>Total the same.</t>
        </is>
      </c>
    </row>
    <row r="17">
      <c r="A17" t="inlineStr">
        <is>
          <t>Increment</t>
        </is>
      </c>
      <c r="F17" s="72" t="n">
        <v>0.02</v>
      </c>
      <c r="G17" s="137" t="n">
        <v>0</v>
      </c>
      <c r="H17" t="inlineStr">
        <is>
          <t>Total</t>
        </is>
      </c>
    </row>
    <row r="18"/>
    <row r="19">
      <c r="A19" t="inlineStr">
        <is>
          <t>Quittances</t>
        </is>
      </c>
      <c r="B19" t="n">
        <v>0</v>
      </c>
      <c r="C19" t="n">
        <v>5</v>
      </c>
      <c r="D19" t="n">
        <v>0</v>
      </c>
      <c r="F19" s="72" t="n">
        <v>0.25</v>
      </c>
      <c r="H19" t="inlineStr">
        <is>
          <t>In quittance of 1 reeve for the year 5 shilling.</t>
        </is>
      </c>
    </row>
    <row r="20">
      <c r="A20" t="inlineStr">
        <is>
          <t>Quittances</t>
        </is>
      </c>
      <c r="B20" t="n">
        <v>1</v>
      </c>
      <c r="C20" t="n">
        <v>10</v>
      </c>
      <c r="D20" t="n">
        <v>0</v>
      </c>
      <c r="F20" s="72" t="n">
        <v>1.5</v>
      </c>
      <c r="H20" t="inlineStr">
        <is>
          <t>8 ploughmen, 3 shepherds and 1 swineherd for the year £1 10 shilling, or 2 shilling 6pence each.</t>
        </is>
      </c>
    </row>
    <row r="21">
      <c r="A21" t="inlineStr">
        <is>
          <t>Quittances</t>
        </is>
      </c>
      <c r="B21" t="n">
        <v>0</v>
      </c>
      <c r="C21" t="n">
        <v>7</v>
      </c>
      <c r="D21" t="n">
        <v>6</v>
      </c>
      <c r="F21" s="72">
        <f>B21+C21/20+D21/240</f>
        <v/>
      </c>
      <c r="H21" t="inlineStr">
        <is>
          <t xml:space="preserve">3 ploughmen for the year who replaced 3 drovers who were at liberty 7 shilling 6pence </t>
        </is>
      </c>
    </row>
    <row r="22">
      <c r="A22" t="inlineStr">
        <is>
          <t>Quittances</t>
        </is>
      </c>
      <c r="B22" t="n">
        <v>2</v>
      </c>
      <c r="C22" t="n">
        <v>2</v>
      </c>
      <c r="D22" t="n">
        <v>6</v>
      </c>
      <c r="F22" s="72" t="n">
        <v>2.12</v>
      </c>
      <c r="H22" t="inlineStr">
        <is>
          <t>Total, £2 2 shilling 6pence</t>
        </is>
      </c>
    </row>
    <row r="23">
      <c r="A23" t="inlineStr">
        <is>
          <t>Quittances</t>
        </is>
      </c>
      <c r="F23" s="72">
        <f>SUM(F19:F21)</f>
        <v/>
      </c>
      <c r="G23" s="137">
        <f>F23-F22</f>
        <v/>
      </c>
      <c r="H23" t="inlineStr">
        <is>
          <t>Total</t>
        </is>
      </c>
    </row>
    <row r="24"/>
    <row r="25">
      <c r="A25" t="inlineStr">
        <is>
          <t>Defaults of rent</t>
        </is>
      </c>
      <c r="B25" t="n">
        <v>1</v>
      </c>
      <c r="C25" t="n">
        <v>1</v>
      </c>
      <c r="D25" t="n">
        <v>7.5</v>
      </c>
      <c r="F25" s="72" t="n">
        <v>1.08</v>
      </c>
      <c r="H25" t="inlineStr">
        <is>
          <t>In default of the land drawn into demesne, £1 1 shilling 7.5pence for the year.</t>
        </is>
      </c>
    </row>
    <row r="26">
      <c r="A26" t="inlineStr">
        <is>
          <t>Defaults of rent</t>
        </is>
      </c>
      <c r="B26" t="n">
        <v>5</v>
      </c>
      <c r="C26" t="n">
        <v>0</v>
      </c>
      <c r="D26" t="n">
        <v>0</v>
      </c>
      <c r="F26" s="72" t="n">
        <v>5</v>
      </c>
      <c r="H26" t="inlineStr">
        <is>
          <t>the land of Rethecumbe given to the canons of Newark Priory by Bishop Godfrey, £5 for the year.</t>
        </is>
      </c>
    </row>
    <row r="27">
      <c r="A27" t="inlineStr">
        <is>
          <t>Defaults of rent</t>
        </is>
      </c>
      <c r="B27" t="n">
        <v>2</v>
      </c>
      <c r="C27" t="n">
        <v>0</v>
      </c>
      <c r="D27" t="n">
        <v>0</v>
      </c>
      <c r="F27" s="72" t="n">
        <v>2</v>
      </c>
      <c r="H27" t="inlineStr">
        <is>
          <t>the pasture and wood of Balluns which belonged to Thomas de Cumbe drawn into demesne, £2 for the year.</t>
        </is>
      </c>
    </row>
    <row r="28">
      <c r="A28" t="inlineStr">
        <is>
          <t>Defaults of rent</t>
        </is>
      </c>
      <c r="B28" t="n">
        <v>1</v>
      </c>
      <c r="C28" t="n">
        <v>0</v>
      </c>
      <c r="D28" t="n">
        <v>0</v>
      </c>
      <c r="F28" s="72" t="n">
        <v>1</v>
      </c>
      <c r="H28" t="inlineStr">
        <is>
          <t>the mill which Robert Molendinarius sometimes held drawn into demesne, £1 for the year.</t>
        </is>
      </c>
    </row>
    <row r="29">
      <c r="A29" t="inlineStr">
        <is>
          <t>Defaults of rent</t>
        </is>
      </c>
      <c r="B29" t="n">
        <v>0</v>
      </c>
      <c r="C29" t="n">
        <v>3</v>
      </c>
      <c r="D29" t="n">
        <v>0</v>
      </c>
      <c r="F29" s="72" t="n">
        <v>0.15</v>
      </c>
      <c r="H29" t="inlineStr">
        <is>
          <t>8 acres of land which Deodatus (Deudoenis) le Hayward sometimes held drawn into demesne, 3 shilling for the year.</t>
        </is>
      </c>
    </row>
    <row r="30">
      <c r="A30" t="inlineStr">
        <is>
          <t>Defaults of rent</t>
        </is>
      </c>
      <c r="B30" t="n">
        <v>0</v>
      </c>
      <c r="C30" t="n">
        <v>3</v>
      </c>
      <c r="D30" t="n">
        <v>5</v>
      </c>
      <c r="F30" s="72" t="n">
        <v>0.17</v>
      </c>
      <c r="H30" t="inlineStr">
        <is>
          <t>the land which the Abbot of Durford held drawn into demesne, 3 shilling 5pence for the year.</t>
        </is>
      </c>
    </row>
    <row r="31">
      <c r="A31" t="inlineStr">
        <is>
          <t>Defaults of rent</t>
        </is>
      </c>
      <c r="B31" t="n">
        <v>0</v>
      </c>
      <c r="C31" t="n">
        <v>3</v>
      </c>
      <c r="D31" t="n">
        <v>2</v>
      </c>
      <c r="F31" s="72" t="n">
        <v>0.16</v>
      </c>
      <c r="H31" t="inlineStr">
        <is>
          <t>the land of Barlych' drawn into the park, 3 shilling 2pence for the year.</t>
        </is>
      </c>
    </row>
    <row r="32">
      <c r="A32" t="inlineStr">
        <is>
          <t>Defaults of rent</t>
        </is>
      </c>
      <c r="B32" t="n">
        <v>0</v>
      </c>
      <c r="C32" t="n">
        <v>0</v>
      </c>
      <c r="D32" t="n">
        <v>6</v>
      </c>
      <c r="F32" s="72" t="n">
        <v>0.03</v>
      </c>
      <c r="H32" t="inlineStr">
        <is>
          <t>1 purpresture which belonged to William Gibbe drawn into demesne, 6pence for the year.</t>
        </is>
      </c>
    </row>
    <row r="33">
      <c r="A33" t="inlineStr">
        <is>
          <t>Defaults of rent</t>
        </is>
      </c>
      <c r="B33" t="n">
        <v>0</v>
      </c>
      <c r="C33" t="n">
        <v>0</v>
      </c>
      <c r="D33" t="n">
        <v>4</v>
      </c>
      <c r="F33" s="72">
        <f>B33+C33/20+D33/240</f>
        <v/>
      </c>
      <c r="H33" t="inlineStr">
        <is>
          <t xml:space="preserve">1 plot beside the marl-pit of Wetham which H. de Borden' held, 4pence, because it was a nuisance to the neighbourhood. </t>
        </is>
      </c>
    </row>
    <row r="34">
      <c r="A34" t="inlineStr">
        <is>
          <t>Defaults of rent</t>
        </is>
      </c>
      <c r="B34" t="n">
        <v>9</v>
      </c>
      <c r="C34" t="n">
        <v>12</v>
      </c>
      <c r="D34" t="n">
        <v>0.5</v>
      </c>
      <c r="F34" s="72">
        <f>B34+C34/20+D34/240</f>
        <v/>
      </c>
      <c r="H34" t="inlineStr">
        <is>
          <t>Total, £9 12 shilling .5pence</t>
        </is>
      </c>
    </row>
    <row r="35">
      <c r="A35" t="inlineStr">
        <is>
          <t>Defaults of rent</t>
        </is>
      </c>
      <c r="F35" s="72">
        <f>SUM(F25:F33)</f>
        <v/>
      </c>
      <c r="G35" s="137">
        <f>F35-F34</f>
        <v/>
      </c>
      <c r="H35" t="inlineStr">
        <is>
          <t>Total</t>
        </is>
      </c>
    </row>
    <row r="36"/>
    <row r="37">
      <c r="A37" t="inlineStr">
        <is>
          <t>Total of quittances and defaults of rent</t>
        </is>
      </c>
      <c r="B37" t="n">
        <v>11</v>
      </c>
      <c r="C37" t="n">
        <v>14</v>
      </c>
      <c r="D37" t="n">
        <v>6.5</v>
      </c>
      <c r="F37" s="72" t="n">
        <v>11.73</v>
      </c>
      <c r="H37" t="inlineStr">
        <is>
          <t>Total of quittances and defaults of rent, £11 14 shilling 6.5pence</t>
        </is>
      </c>
    </row>
    <row r="38">
      <c r="A38" t="inlineStr">
        <is>
          <t>Total of quittances and defaults of rent</t>
        </is>
      </c>
      <c r="F38" s="72" t="n">
        <v>11.73</v>
      </c>
      <c r="G38" s="137">
        <f>F38-F37</f>
        <v/>
      </c>
      <c r="H38" t="inlineStr">
        <is>
          <t>Total</t>
        </is>
      </c>
    </row>
    <row r="39"/>
    <row r="40">
      <c r="A40" t="inlineStr">
        <is>
          <t>Total of rents remaining</t>
        </is>
      </c>
      <c r="B40" t="n">
        <v>85</v>
      </c>
      <c r="C40" t="n">
        <v>11</v>
      </c>
      <c r="D40" t="n">
        <v>11.5</v>
      </c>
      <c r="F40" s="72" t="n">
        <v>85.59999999999999</v>
      </c>
      <c r="H40" t="inlineStr">
        <is>
          <t>Total of rents remaining, £85 11 shilling 11.5pence</t>
        </is>
      </c>
    </row>
    <row r="41">
      <c r="A41" t="inlineStr">
        <is>
          <t>Total of rents remaining</t>
        </is>
      </c>
      <c r="F41" s="72" t="n">
        <v>85.59999999999999</v>
      </c>
      <c r="G41" s="137">
        <f>F41-F40</f>
        <v/>
      </c>
      <c r="H41" t="inlineStr">
        <is>
          <t>Total</t>
        </is>
      </c>
    </row>
    <row r="42"/>
    <row r="43">
      <c r="A43" t="inlineStr">
        <is>
          <t>Cumin</t>
        </is>
      </c>
      <c r="B43" t="n">
        <v>0</v>
      </c>
      <c r="C43" t="n">
        <v>0</v>
      </c>
      <c r="D43" t="n">
        <v>0</v>
      </c>
      <c r="F43" s="72" t="n">
        <v>0</v>
      </c>
      <c r="H43" t="inlineStr">
        <is>
          <t>The same render account for .5 lb of cumin from the rent of William ate Bere.</t>
        </is>
      </c>
    </row>
    <row r="44">
      <c r="A44" t="inlineStr">
        <is>
          <t>Cumin</t>
        </is>
      </c>
      <c r="B44" t="n">
        <v>0</v>
      </c>
      <c r="C44" t="n">
        <v>0</v>
      </c>
      <c r="D44" t="n">
        <v>0</v>
      </c>
      <c r="F44" s="72" t="n">
        <v>0</v>
      </c>
      <c r="H44" t="inlineStr">
        <is>
          <t>1 lb of cumin from Andrew de Holeweye for annual recognizance.</t>
        </is>
      </c>
    </row>
    <row r="45">
      <c r="A45" t="inlineStr">
        <is>
          <t>Cumin</t>
        </is>
      </c>
      <c r="B45" t="n">
        <v>0</v>
      </c>
      <c r="C45" t="n">
        <v>0</v>
      </c>
      <c r="D45" t="n">
        <v>0</v>
      </c>
      <c r="F45" s="72" t="n">
        <v>0</v>
      </c>
      <c r="H45" t="inlineStr">
        <is>
          <t>Total, 1.5 lbs.</t>
        </is>
      </c>
    </row>
    <row r="46">
      <c r="A46" t="inlineStr">
        <is>
          <t>Cumin</t>
        </is>
      </c>
      <c r="F46" s="72" t="n">
        <v>0</v>
      </c>
      <c r="G46" s="137" t="n">
        <v>0</v>
      </c>
      <c r="H46" t="inlineStr">
        <is>
          <t>Total</t>
        </is>
      </c>
    </row>
    <row r="47"/>
    <row r="48">
      <c r="A48" t="inlineStr">
        <is>
          <t>Gloves</t>
        </is>
      </c>
      <c r="B48" t="n">
        <v>0</v>
      </c>
      <c r="C48" t="n">
        <v>0</v>
      </c>
      <c r="D48" t="n">
        <v>0</v>
      </c>
      <c r="F48" s="72" t="n">
        <v>0</v>
      </c>
      <c r="H48" t="inlineStr">
        <is>
          <t>The same render account for 1 pair of gloves from the rent of William Gilberd'.</t>
        </is>
      </c>
    </row>
    <row r="49">
      <c r="A49" t="inlineStr">
        <is>
          <t>Gloves</t>
        </is>
      </c>
      <c r="B49" t="n">
        <v>0</v>
      </c>
      <c r="C49" t="n">
        <v>0</v>
      </c>
      <c r="D49" t="n">
        <v>0</v>
      </c>
      <c r="F49" s="72" t="n">
        <v>0</v>
      </c>
      <c r="H49" t="inlineStr">
        <is>
          <t>all delivered to Wolvesey.</t>
        </is>
      </c>
    </row>
    <row r="50">
      <c r="A50" t="inlineStr">
        <is>
          <t>Gloves</t>
        </is>
      </c>
      <c r="F50" s="72" t="n">
        <v>0</v>
      </c>
      <c r="G50" s="137" t="n">
        <v>0</v>
      </c>
      <c r="H50" t="inlineStr">
        <is>
          <t>Total</t>
        </is>
      </c>
    </row>
    <row r="51"/>
    <row r="52">
      <c r="A52" t="inlineStr">
        <is>
          <t>Wax</t>
        </is>
      </c>
      <c r="B52" t="n">
        <v>0</v>
      </c>
      <c r="C52" t="n">
        <v>0</v>
      </c>
      <c r="D52" t="n">
        <v>0</v>
      </c>
      <c r="F52" s="72" t="n">
        <v>0</v>
      </c>
      <c r="H52" t="inlineStr">
        <is>
          <t>The same render account for 1 lb of wax from Adam Osmund' for annual recognizance.</t>
        </is>
      </c>
    </row>
    <row r="53">
      <c r="A53" t="inlineStr">
        <is>
          <t>Wax</t>
        </is>
      </c>
      <c r="B53" t="n">
        <v>0</v>
      </c>
      <c r="C53" t="n">
        <v>0</v>
      </c>
      <c r="D53" t="n">
        <v>0</v>
      </c>
      <c r="F53" s="72" t="n">
        <v>0</v>
      </c>
      <c r="H53" t="inlineStr">
        <is>
          <t>all delivered to Wolvesey.</t>
        </is>
      </c>
    </row>
    <row r="54">
      <c r="A54" t="inlineStr">
        <is>
          <t>Wax</t>
        </is>
      </c>
      <c r="F54" s="72" t="n">
        <v>0</v>
      </c>
      <c r="G54" s="137" t="n">
        <v>0</v>
      </c>
      <c r="H54" t="inlineStr">
        <is>
          <t>Total</t>
        </is>
      </c>
    </row>
    <row r="55"/>
    <row r="56">
      <c r="A56" t="inlineStr">
        <is>
          <t>Annual recognizance</t>
        </is>
      </c>
      <c r="B56" t="n">
        <v>0</v>
      </c>
      <c r="C56" t="n">
        <v>0</v>
      </c>
      <c r="D56" t="n">
        <v>3</v>
      </c>
      <c r="F56" s="72" t="n">
        <v>0.01</v>
      </c>
      <c r="H56" t="inlineStr">
        <is>
          <t>The same render account for 3pence from John le Espicir for annual recognizance.</t>
        </is>
      </c>
    </row>
    <row r="57">
      <c r="A57" t="inlineStr">
        <is>
          <t>Annual recognizance</t>
        </is>
      </c>
      <c r="B57" t="n">
        <v>0</v>
      </c>
      <c r="C57" t="n">
        <v>0</v>
      </c>
      <c r="D57" t="n">
        <v>6</v>
      </c>
      <c r="F57" s="72" t="n">
        <v>0.03</v>
      </c>
      <c r="H57" t="inlineStr">
        <is>
          <t>6pence from Henry de Afford' so that he may come and go within the hundred and pay suit of court for the tithing at the 2 hundred-courts.</t>
        </is>
      </c>
    </row>
    <row r="58">
      <c r="A58" t="inlineStr">
        <is>
          <t>Annual recognizance</t>
        </is>
      </c>
      <c r="B58" t="n">
        <v>0</v>
      </c>
      <c r="C58" t="n">
        <v>0</v>
      </c>
      <c r="D58" t="n">
        <v>6</v>
      </c>
      <c r="F58" s="72" t="n">
        <v>0.03</v>
      </c>
      <c r="H58" t="inlineStr">
        <is>
          <t>6pence from William de Stomore for the same.</t>
        </is>
      </c>
    </row>
    <row r="59">
      <c r="A59" t="inlineStr">
        <is>
          <t>Annual recognizance</t>
        </is>
      </c>
      <c r="B59" t="n">
        <v>0</v>
      </c>
      <c r="C59" t="n">
        <v>0</v>
      </c>
      <c r="D59" t="n">
        <v>3</v>
      </c>
      <c r="F59" s="72" t="n">
        <v>0.01</v>
      </c>
      <c r="H59" t="inlineStr">
        <is>
          <t>3pence from Robert Judde for annual recognizance so that he need not pay suit of court for the tithing.</t>
        </is>
      </c>
    </row>
    <row r="60">
      <c r="A60" t="inlineStr">
        <is>
          <t>Annual recognizance</t>
        </is>
      </c>
      <c r="B60" t="n">
        <v>0</v>
      </c>
      <c r="C60" t="n">
        <v>0</v>
      </c>
      <c r="D60" t="n">
        <v>3</v>
      </c>
      <c r="F60" s="72" t="n">
        <v>0.01</v>
      </c>
      <c r="H60" t="inlineStr">
        <is>
          <t>3pence from Robert Faber for annual recognizance.</t>
        </is>
      </c>
    </row>
    <row r="61">
      <c r="A61" t="inlineStr">
        <is>
          <t>Annual recognizance</t>
        </is>
      </c>
      <c r="B61" t="n">
        <v>0</v>
      </c>
      <c r="C61" t="n">
        <v>0</v>
      </c>
      <c r="D61" t="n">
        <v>3</v>
      </c>
      <c r="F61" s="72" t="n">
        <v>0.01</v>
      </c>
      <c r="H61" t="inlineStr">
        <is>
          <t>3pence from Henry ate Thorn' for the same, plus William ate Churche.</t>
        </is>
      </c>
    </row>
    <row r="62">
      <c r="A62" t="inlineStr">
        <is>
          <t>Annual recognizance</t>
        </is>
      </c>
      <c r="B62" t="n">
        <v>0</v>
      </c>
      <c r="C62" t="n">
        <v>2</v>
      </c>
      <c r="D62" t="n">
        <v>0</v>
      </c>
      <c r="F62" s="72" t="n">
        <v>0.1</v>
      </c>
      <c r="H62" t="inlineStr">
        <is>
          <t>Total, 2 shilling</t>
        </is>
      </c>
    </row>
    <row r="63">
      <c r="A63" t="inlineStr">
        <is>
          <t>Annual recognizance</t>
        </is>
      </c>
      <c r="F63" s="72" t="n">
        <v>0.09999999999999999</v>
      </c>
      <c r="G63" s="137" t="n">
        <v>-1.387778780781446e-17</v>
      </c>
      <c r="H63" t="inlineStr">
        <is>
          <t>Total</t>
        </is>
      </c>
    </row>
    <row r="64"/>
    <row r="65">
      <c r="A65" t="inlineStr">
        <is>
          <t>Issues of the manor</t>
        </is>
      </c>
      <c r="B65" t="n">
        <v>2</v>
      </c>
      <c r="C65" t="n">
        <v>19</v>
      </c>
      <c r="D65" t="n">
        <v>10.5</v>
      </c>
      <c r="F65" s="72" t="n">
        <v>2.99</v>
      </c>
      <c r="H65" t="inlineStr">
        <is>
          <t>The same render account for £2 19 shilling 10.5pence from pannage of pigs within the hundred this year.</t>
        </is>
      </c>
    </row>
    <row r="66">
      <c r="A66" t="inlineStr">
        <is>
          <t>Issues of the manor</t>
        </is>
      </c>
      <c r="B66" t="n">
        <v>0</v>
      </c>
      <c r="C66" t="n">
        <v>0</v>
      </c>
      <c r="D66" t="n">
        <v>0</v>
      </c>
      <c r="F66" s="72" t="n">
        <v>0</v>
      </c>
      <c r="H66" t="inlineStr">
        <is>
          <t>nothing from foreign pannage or in the park this year for a want of mast.</t>
        </is>
      </c>
    </row>
    <row r="67">
      <c r="A67" t="inlineStr">
        <is>
          <t>Issues of the manor</t>
        </is>
      </c>
      <c r="B67" t="n">
        <v>0</v>
      </c>
      <c r="C67" t="n">
        <v>0</v>
      </c>
      <c r="D67" t="n">
        <v>0</v>
      </c>
      <c r="F67" s="72" t="n">
        <v>0</v>
      </c>
      <c r="H67" t="inlineStr">
        <is>
          <t>nothing from the pasturage in the stubble this year.</t>
        </is>
      </c>
    </row>
    <row r="68">
      <c r="A68" t="inlineStr">
        <is>
          <t>Issues of the manor</t>
        </is>
      </c>
      <c r="B68" t="n">
        <v>0</v>
      </c>
      <c r="C68" t="n">
        <v>7</v>
      </c>
      <c r="D68" t="n">
        <v>4</v>
      </c>
      <c r="F68" s="72" t="n">
        <v>0.37</v>
      </c>
      <c r="H68" t="inlineStr">
        <is>
          <t>7 shilling 4pence from winter pasturage in Hydon' which is called Blakedon on the west side of Astederod' which is the common land of East Meon, because the other part is enclosed for the lord's profit.</t>
        </is>
      </c>
    </row>
    <row r="69">
      <c r="A69" t="inlineStr">
        <is>
          <t>Issues of the manor</t>
        </is>
      </c>
      <c r="B69" t="n">
        <v>0</v>
      </c>
      <c r="C69" t="n">
        <v>0</v>
      </c>
      <c r="D69" t="n">
        <v>0</v>
      </c>
      <c r="F69" s="72" t="n">
        <v>0</v>
      </c>
      <c r="H69" t="inlineStr">
        <is>
          <t>nothing from the pasturage in Smaldon' this year on account of the lord's stock.</t>
        </is>
      </c>
    </row>
    <row r="70">
      <c r="A70" t="inlineStr">
        <is>
          <t>Issues of the manor</t>
        </is>
      </c>
      <c r="B70" t="n">
        <v>0</v>
      </c>
      <c r="C70" t="n">
        <v>3</v>
      </c>
      <c r="D70" t="n">
        <v>0</v>
      </c>
      <c r="F70" s="72" t="n">
        <v>0.15</v>
      </c>
      <c r="H70" t="inlineStr">
        <is>
          <t>3 shilling from the pasturage of the meadow below Godeshull' sold in winter.</t>
        </is>
      </c>
    </row>
    <row r="71">
      <c r="A71" t="inlineStr">
        <is>
          <t>Issues of the manor</t>
        </is>
      </c>
      <c r="B71" t="n">
        <v>0</v>
      </c>
      <c r="C71" t="n">
        <v>0</v>
      </c>
      <c r="D71" t="n">
        <v>0</v>
      </c>
      <c r="F71" s="72" t="n">
        <v>0</v>
      </c>
      <c r="H71" t="inlineStr">
        <is>
          <t>nothing from the pasturage of Innom' in winter or summer this year because it was mown.</t>
        </is>
      </c>
    </row>
    <row r="72">
      <c r="A72" t="inlineStr">
        <is>
          <t>Issues of the manor</t>
        </is>
      </c>
      <c r="B72" t="n">
        <v>1</v>
      </c>
      <c r="C72" t="n">
        <v>2</v>
      </c>
      <c r="D72" t="n">
        <v>8</v>
      </c>
      <c r="F72" s="72" t="n">
        <v>1.13</v>
      </c>
      <c r="H72" t="inlineStr">
        <is>
          <t>£1 2 shilling 8pence from summer pasturage sold in Hydon' by agistment by the head.</t>
        </is>
      </c>
    </row>
    <row r="73">
      <c r="A73" t="inlineStr">
        <is>
          <t>Issues of the manor</t>
        </is>
      </c>
      <c r="B73" t="n">
        <v>0</v>
      </c>
      <c r="C73" t="n">
        <v>7</v>
      </c>
      <c r="D73" t="n">
        <v>0</v>
      </c>
      <c r="F73" s="72" t="n">
        <v>0.35</v>
      </c>
      <c r="H73" t="inlineStr">
        <is>
          <t>7 shilling from the pasturage beside the sheepcote of Holecumbe sold in summer.</t>
        </is>
      </c>
    </row>
    <row r="74">
      <c r="A74" t="inlineStr">
        <is>
          <t>Issues of the manor</t>
        </is>
      </c>
      <c r="B74" t="n">
        <v>0</v>
      </c>
      <c r="C74" t="n">
        <v>4</v>
      </c>
      <c r="D74" t="n">
        <v>0</v>
      </c>
      <c r="F74" s="72" t="n">
        <v>0.2</v>
      </c>
      <c r="H74" t="inlineStr">
        <is>
          <t>4 shilling from the pasturage in la Garston sold this year in summer.</t>
        </is>
      </c>
    </row>
    <row r="75">
      <c r="A75" t="inlineStr">
        <is>
          <t>Issues of the manor</t>
        </is>
      </c>
      <c r="B75" t="n">
        <v>0</v>
      </c>
      <c r="C75" t="n">
        <v>0</v>
      </c>
      <c r="D75" t="n">
        <v>0</v>
      </c>
      <c r="F75" s="72" t="n">
        <v>0</v>
      </c>
      <c r="H75" t="inlineStr">
        <is>
          <t>nothing from the pasturage of Wodeueslynch' this year for the lord's lambs.</t>
        </is>
      </c>
    </row>
    <row r="76">
      <c r="A76" t="inlineStr">
        <is>
          <t>Issues of the manor</t>
        </is>
      </c>
      <c r="B76" t="n">
        <v>0</v>
      </c>
      <c r="C76" t="n">
        <v>0</v>
      </c>
      <c r="D76" t="n">
        <v>0</v>
      </c>
      <c r="F76" s="72" t="n">
        <v>0</v>
      </c>
      <c r="H76" t="inlineStr">
        <is>
          <t>nothing from the pasturage of Bekes this year on account of the lord's sheep.</t>
        </is>
      </c>
    </row>
    <row r="77">
      <c r="A77" t="inlineStr">
        <is>
          <t>Issues of the manor</t>
        </is>
      </c>
      <c r="B77" t="n">
        <v>0</v>
      </c>
      <c r="C77" t="n">
        <v>0</v>
      </c>
      <c r="D77" t="n">
        <v>0</v>
      </c>
      <c r="F77" s="72" t="n">
        <v>0</v>
      </c>
      <c r="H77" t="inlineStr">
        <is>
          <t>nothing from the pasturage of 1 plot of Hardescombe this year for the lord's lambs.</t>
        </is>
      </c>
    </row>
    <row r="78">
      <c r="A78" t="inlineStr">
        <is>
          <t>Issues of the manor</t>
        </is>
      </c>
      <c r="B78" t="n">
        <v>0</v>
      </c>
      <c r="C78" t="n">
        <v>8</v>
      </c>
      <c r="D78" t="n">
        <v>0</v>
      </c>
      <c r="F78" s="72" t="n">
        <v>0.4</v>
      </c>
      <c r="H78" t="inlineStr">
        <is>
          <t>8 shilling from the pasturage of Lokewell' and Hullyden' sold this year.</t>
        </is>
      </c>
    </row>
    <row r="79">
      <c r="A79" t="inlineStr">
        <is>
          <t>Issues of the manor</t>
        </is>
      </c>
      <c r="B79" t="n">
        <v>0</v>
      </c>
      <c r="C79" t="n">
        <v>7</v>
      </c>
      <c r="D79" t="n">
        <v>0</v>
      </c>
      <c r="F79" s="72" t="n">
        <v>0.35</v>
      </c>
      <c r="H79" t="inlineStr">
        <is>
          <t>7 shilling from the pasturage of Brodemed' sold after mowing.</t>
        </is>
      </c>
    </row>
    <row r="80">
      <c r="A80" t="inlineStr">
        <is>
          <t>Issues of the manor</t>
        </is>
      </c>
      <c r="B80" t="n">
        <v>0</v>
      </c>
      <c r="C80" t="n">
        <v>0</v>
      </c>
      <c r="D80" t="n">
        <v>0</v>
      </c>
      <c r="F80" s="72" t="n">
        <v>0</v>
      </c>
      <c r="H80" t="inlineStr">
        <is>
          <t>nothing from the pasturage in the park this year on account of the lord's stock.</t>
        </is>
      </c>
    </row>
    <row r="81">
      <c r="A81" t="inlineStr">
        <is>
          <t>Issues of the manor</t>
        </is>
      </c>
      <c r="B81" t="n">
        <v>0</v>
      </c>
      <c r="C81" t="n">
        <v>5</v>
      </c>
      <c r="D81" t="n">
        <v>0</v>
      </c>
      <c r="F81" s="72" t="n">
        <v>0.25</v>
      </c>
      <c r="H81" t="inlineStr">
        <is>
          <t>5 shilling from the pasturage of Oldefiswer' as far as Selecumbe and Sabwey sold this year.</t>
        </is>
      </c>
    </row>
    <row r="82">
      <c r="A82" t="inlineStr">
        <is>
          <t>Issues of the manor</t>
        </is>
      </c>
      <c r="B82" t="n">
        <v>0</v>
      </c>
      <c r="C82" t="n">
        <v>2</v>
      </c>
      <c r="D82" t="n">
        <v>0</v>
      </c>
      <c r="F82" s="72">
        <f>B82+C82/20+D82/240</f>
        <v/>
      </c>
      <c r="H82" t="inlineStr">
        <is>
          <t>2 shilling from the pasturage of the heath beside Hydon sold.</t>
        </is>
      </c>
    </row>
    <row r="83">
      <c r="A83" t="inlineStr">
        <is>
          <t>Issues of the manor</t>
        </is>
      </c>
      <c r="B83" t="n">
        <v>0</v>
      </c>
      <c r="C83" t="n">
        <v>0</v>
      </c>
      <c r="D83" t="n">
        <v>8</v>
      </c>
      <c r="F83" s="72" t="n">
        <v>0.03</v>
      </c>
      <c r="H83" t="inlineStr">
        <is>
          <t>8pence from the pasturage beside the sheepcote of Westcrembe sold.</t>
        </is>
      </c>
    </row>
    <row r="84">
      <c r="A84" t="inlineStr">
        <is>
          <t>Issues of the manor</t>
        </is>
      </c>
      <c r="B84" t="n">
        <v>0</v>
      </c>
      <c r="C84" t="n">
        <v>0</v>
      </c>
      <c r="D84" t="n">
        <v>0</v>
      </c>
      <c r="F84" s="72" t="n">
        <v>0</v>
      </c>
      <c r="H84" t="inlineStr">
        <is>
          <t>nothing from the pasturage of the garden this year because it was mown.</t>
        </is>
      </c>
    </row>
    <row r="85">
      <c r="A85" t="inlineStr">
        <is>
          <t>Issues of the manor</t>
        </is>
      </c>
      <c r="B85" t="n">
        <v>0</v>
      </c>
      <c r="C85" t="n">
        <v>3</v>
      </c>
      <c r="D85" t="n">
        <v>6</v>
      </c>
      <c r="F85" s="72" t="n">
        <v>0.17</v>
      </c>
      <c r="H85" t="inlineStr">
        <is>
          <t>3 shilling 6pence from the pasturage of 1 parcel of Selescumbe sold this year because the rest was sown.</t>
        </is>
      </c>
    </row>
    <row r="86">
      <c r="A86" t="inlineStr">
        <is>
          <t>Issues of the manor</t>
        </is>
      </c>
      <c r="B86" t="n">
        <v>0</v>
      </c>
      <c r="C86" t="n">
        <v>0</v>
      </c>
      <c r="D86" t="n">
        <v>0</v>
      </c>
      <c r="F86" s="72" t="n">
        <v>0</v>
      </c>
      <c r="H86" t="inlineStr">
        <is>
          <t>nothing from the pasturage of Wodeslynch' this year on account of the lord's lambs.</t>
        </is>
      </c>
    </row>
    <row r="87">
      <c r="A87" t="inlineStr">
        <is>
          <t>Issues of the manor</t>
        </is>
      </c>
      <c r="B87" t="n">
        <v>0</v>
      </c>
      <c r="C87" t="n">
        <v>0</v>
      </c>
      <c r="D87" t="n">
        <v>0</v>
      </c>
      <c r="F87" s="72" t="n">
        <v>0</v>
      </c>
      <c r="H87" t="inlineStr">
        <is>
          <t>nothing from the pasturage on this side (citra) of Northebrok' this year because it was fallow.</t>
        </is>
      </c>
    </row>
    <row r="88">
      <c r="A88" t="inlineStr">
        <is>
          <t>Issues of the manor</t>
        </is>
      </c>
      <c r="B88" t="n">
        <v>0</v>
      </c>
      <c r="C88" t="n">
        <v>0</v>
      </c>
      <c r="D88" t="n">
        <v>0</v>
      </c>
      <c r="F88" s="72" t="n">
        <v>0</v>
      </c>
      <c r="H88" t="inlineStr">
        <is>
          <t>nothing from the pasturage of Litlecumbe this year on account of the lord's stock.</t>
        </is>
      </c>
    </row>
    <row r="89">
      <c r="A89" t="inlineStr">
        <is>
          <t>Issues of the manor</t>
        </is>
      </c>
      <c r="B89" t="n">
        <v>0</v>
      </c>
      <c r="C89" t="n">
        <v>2</v>
      </c>
      <c r="D89" t="n">
        <v>0</v>
      </c>
      <c r="F89" s="72" t="n">
        <v>0.1</v>
      </c>
      <c r="H89" t="inlineStr">
        <is>
          <t>2 shilling from the pasturage of la Ford' sold as far as the mill and this side of the chapel.</t>
        </is>
      </c>
    </row>
    <row r="90">
      <c r="A90" t="inlineStr">
        <is>
          <t>Issues of the manor</t>
        </is>
      </c>
      <c r="B90" t="n">
        <v>0</v>
      </c>
      <c r="C90" t="n">
        <v>2</v>
      </c>
      <c r="D90" t="n">
        <v>0</v>
      </c>
      <c r="F90" s="72" t="n">
        <v>0.1</v>
      </c>
      <c r="H90" t="inlineStr">
        <is>
          <t>2 shilling from the pasturage from the mill as far as Holewey and this side of the fishpond sold.</t>
        </is>
      </c>
    </row>
    <row r="91">
      <c r="A91" t="inlineStr">
        <is>
          <t>Issues of the manor</t>
        </is>
      </c>
      <c r="B91" t="n">
        <v>0</v>
      </c>
      <c r="C91" t="n">
        <v>2</v>
      </c>
      <c r="D91" t="n">
        <v>0</v>
      </c>
      <c r="F91" s="72" t="n">
        <v>0.1</v>
      </c>
      <c r="H91" t="inlineStr">
        <is>
          <t>2 shilling from the pasturage from the mill as far as Lymput' sold.</t>
        </is>
      </c>
    </row>
    <row r="92">
      <c r="A92" t="inlineStr">
        <is>
          <t>Issues of the manor</t>
        </is>
      </c>
      <c r="B92" t="n">
        <v>0</v>
      </c>
      <c r="C92" t="n">
        <v>7</v>
      </c>
      <c r="D92" t="n">
        <v>0</v>
      </c>
      <c r="F92" s="72" t="n">
        <v>0.35</v>
      </c>
      <c r="H92" t="inlineStr">
        <is>
          <t>7 shilling from the pasturage of Chalvecroft sold.</t>
        </is>
      </c>
    </row>
    <row r="93">
      <c r="A93" t="inlineStr">
        <is>
          <t>Issues of the manor</t>
        </is>
      </c>
      <c r="B93" t="n">
        <v>0</v>
      </c>
      <c r="C93" t="n">
        <v>0</v>
      </c>
      <c r="D93" t="n">
        <v>0</v>
      </c>
      <c r="F93" s="72" t="n">
        <v>0</v>
      </c>
      <c r="H93" t="inlineStr">
        <is>
          <t>nothing from the pasturage of Wethull this year on account of the lord's stock.</t>
        </is>
      </c>
    </row>
    <row r="94">
      <c r="A94" t="inlineStr">
        <is>
          <t>Issues of the manor</t>
        </is>
      </c>
      <c r="B94" t="n">
        <v>0</v>
      </c>
      <c r="C94" t="n">
        <v>0</v>
      </c>
      <c r="D94" t="n">
        <v>0</v>
      </c>
      <c r="F94" s="72" t="n">
        <v>0</v>
      </c>
      <c r="H94" t="inlineStr">
        <is>
          <t>nothing from the pasturage in ,Woasddon' on account of the lord's lambs.</t>
        </is>
      </c>
    </row>
    <row r="95">
      <c r="A95" t="inlineStr">
        <is>
          <t>Issues of the manor</t>
        </is>
      </c>
      <c r="B95" t="n">
        <v>0</v>
      </c>
      <c r="C95" t="n">
        <v>0</v>
      </c>
      <c r="D95" t="n">
        <v>0</v>
      </c>
      <c r="F95" s="72" t="n">
        <v>0</v>
      </c>
      <c r="H95" t="inlineStr">
        <is>
          <t>nothing from the pasturage of the quarry as far as Masecombe for the same.</t>
        </is>
      </c>
    </row>
    <row r="96">
      <c r="A96" t="inlineStr">
        <is>
          <t>Issues of the manor</t>
        </is>
      </c>
      <c r="B96" t="n">
        <v>0</v>
      </c>
      <c r="C96" t="n">
        <v>0</v>
      </c>
      <c r="D96" t="n">
        <v>0</v>
      </c>
      <c r="F96" s="72" t="n">
        <v>0</v>
      </c>
      <c r="H96" t="inlineStr">
        <is>
          <t>nothing from the pasturage of the way to Hullymed' from Fydeham and Wapseburw this year because it was fallow.</t>
        </is>
      </c>
    </row>
    <row r="97">
      <c r="A97" t="inlineStr">
        <is>
          <t>Issues of the manor</t>
        </is>
      </c>
      <c r="B97" t="n">
        <v>0</v>
      </c>
      <c r="C97" t="n">
        <v>1</v>
      </c>
      <c r="D97" t="n">
        <v>0</v>
      </c>
      <c r="F97" s="72" t="n">
        <v>0.05</v>
      </c>
      <c r="H97" t="inlineStr">
        <is>
          <t>1 shilling from the Pasturage of 1 plot rbesidel the mill and Drayton' below Garstonmed' and Pykes sold.</t>
        </is>
      </c>
    </row>
    <row r="98">
      <c r="A98" t="inlineStr">
        <is>
          <t>Issues of the manor</t>
        </is>
      </c>
      <c r="B98" t="n">
        <v>0</v>
      </c>
      <c r="C98" t="n">
        <v>2</v>
      </c>
      <c r="D98" t="n">
        <v>0</v>
      </c>
      <c r="F98" s="72" t="n">
        <v>0.1</v>
      </c>
      <c r="H98" t="inlineStr">
        <is>
          <t>2 shilling from the pasturage of 1 plot below Notesburgh' which is called Ynnom' sold.</t>
        </is>
      </c>
    </row>
    <row r="99">
      <c r="A99" t="inlineStr">
        <is>
          <t>Issues of the manor</t>
        </is>
      </c>
      <c r="B99" t="n">
        <v>0</v>
      </c>
      <c r="C99" t="n">
        <v>3</v>
      </c>
      <c r="D99" t="n">
        <v>0</v>
      </c>
      <c r="F99" s="72" t="n">
        <v>0.15</v>
      </c>
      <c r="H99" t="inlineStr">
        <is>
          <t>3 shilling from the pasturage of Godeshullemed' sold after mowing.</t>
        </is>
      </c>
    </row>
    <row r="100">
      <c r="A100" t="inlineStr">
        <is>
          <t>Issues of the manor</t>
        </is>
      </c>
      <c r="B100" t="n">
        <v>0</v>
      </c>
      <c r="C100" t="n">
        <v>5</v>
      </c>
      <c r="D100" t="n">
        <v>6</v>
      </c>
      <c r="F100" s="72" t="n">
        <v>0.28</v>
      </c>
      <c r="H100" t="inlineStr">
        <is>
          <t>5 shilling 6pence from the pasturage in various places sold this year.</t>
        </is>
      </c>
    </row>
    <row r="101">
      <c r="A101" t="inlineStr">
        <is>
          <t>Issues of the manor</t>
        </is>
      </c>
      <c r="B101" t="n">
        <v>0</v>
      </c>
      <c r="C101" t="n">
        <v>0</v>
      </c>
      <c r="D101" t="n">
        <v>0</v>
      </c>
      <c r="F101" s="72" t="n">
        <v>0</v>
      </c>
      <c r="H101" t="inlineStr">
        <is>
          <t>nothing from thickets in Holescumbe, cablish in la Bornett' and the park and from thickets in Hydon' this year.</t>
        </is>
      </c>
    </row>
    <row r="102">
      <c r="A102" t="inlineStr">
        <is>
          <t>Issues of the manor</t>
        </is>
      </c>
      <c r="B102" t="n">
        <v>0</v>
      </c>
      <c r="C102" t="n">
        <v>3</v>
      </c>
      <c r="D102" t="n">
        <v>7</v>
      </c>
      <c r="F102" s="72" t="n">
        <v>0.18</v>
      </c>
      <c r="H102" t="inlineStr">
        <is>
          <t>3 shilling 7pence from pinfolding 18 cows and 2 bullocks in winter and 26 cows in summer, because they are bound to give pinfold twice a year.</t>
        </is>
      </c>
    </row>
    <row r="103">
      <c r="A103" t="inlineStr">
        <is>
          <t>Issues of the manor</t>
        </is>
      </c>
      <c r="B103" t="n">
        <v>0</v>
      </c>
      <c r="C103" t="n">
        <v>8</v>
      </c>
      <c r="D103" t="n">
        <v>5</v>
      </c>
      <c r="F103" s="72" t="n">
        <v>0.42</v>
      </c>
      <c r="H103" t="inlineStr">
        <is>
          <t>8 shilling 5pence from pinfolding sheep this year, at 1pence per 5 sheep, unless they have 20 sheep, because then they give the twentieth sheep.</t>
        </is>
      </c>
    </row>
    <row r="104">
      <c r="A104" t="inlineStr">
        <is>
          <t>Issues of the manor</t>
        </is>
      </c>
      <c r="B104" t="n">
        <v>0</v>
      </c>
      <c r="C104" t="n">
        <v>2</v>
      </c>
      <c r="D104" t="n">
        <v>2</v>
      </c>
      <c r="F104" s="72" t="n">
        <v>0.11</v>
      </c>
      <c r="H104" t="inlineStr">
        <is>
          <t>2 shilling 2pence from 26 customary tenants because the land of William le Fissar' is commuted, each of whom ploughs for landrihe and everyone is bound to thresh separately 3 bushels of wheat for sowing over 1 acre in winter or give 1pence at the lord's will for the threshing.</t>
        </is>
      </c>
    </row>
    <row r="105">
      <c r="A105" t="inlineStr">
        <is>
          <t>Issues of the manor</t>
        </is>
      </c>
      <c r="B105" t="n">
        <v>3</v>
      </c>
      <c r="C105" t="n">
        <v>4</v>
      </c>
      <c r="D105" t="n">
        <v>9</v>
      </c>
      <c r="F105" s="72" t="n">
        <v>3.24</v>
      </c>
      <c r="H105" t="inlineStr">
        <is>
          <t>£3 4 shilling 9pence from 448 labour services by the perch sold this year, at 2pence each for 329, and 1pence each for 119.</t>
        </is>
      </c>
    </row>
    <row r="106">
      <c r="A106" t="inlineStr">
        <is>
          <t>Issues of the manor</t>
        </is>
      </c>
      <c r="B106" t="n">
        <v>0</v>
      </c>
      <c r="C106" t="n">
        <v>0</v>
      </c>
      <c r="D106" t="n">
        <v>0</v>
      </c>
      <c r="F106" s="72" t="n">
        <v>0</v>
      </c>
      <c r="H106" t="inlineStr">
        <is>
          <t>nothing from Avice de Quorteslod' separately because she worked with the others.</t>
        </is>
      </c>
    </row>
    <row r="107">
      <c r="A107" t="inlineStr">
        <is>
          <t>Issues of the manor</t>
        </is>
      </c>
      <c r="B107" t="n">
        <v>0</v>
      </c>
      <c r="C107" t="n">
        <v>1</v>
      </c>
      <c r="D107" t="n">
        <v>0</v>
      </c>
      <c r="F107" s="72" t="n">
        <v>0.05</v>
      </c>
      <c r="H107" t="inlineStr">
        <is>
          <t>1 shilling from William Ramwyle for release from labour service for the year.</t>
        </is>
      </c>
    </row>
    <row r="108">
      <c r="A108" t="inlineStr">
        <is>
          <t>Issues of the manor</t>
        </is>
      </c>
      <c r="B108" t="n">
        <v>0</v>
      </c>
      <c r="C108" t="n">
        <v>0</v>
      </c>
      <c r="D108" t="n">
        <v>0</v>
      </c>
      <c r="F108" s="72" t="n">
        <v>0</v>
      </c>
      <c r="H108" t="inlineStr">
        <is>
          <t>nothing from John de Halewell' because he worked with the others.</t>
        </is>
      </c>
    </row>
    <row r="109">
      <c r="A109" t="inlineStr">
        <is>
          <t>Issues of the manor</t>
        </is>
      </c>
      <c r="B109" t="n">
        <v>0</v>
      </c>
      <c r="C109" t="n">
        <v>0</v>
      </c>
      <c r="D109" t="n">
        <v>0</v>
      </c>
      <c r="F109" s="72" t="n">
        <v>0</v>
      </c>
      <c r="H109" t="inlineStr">
        <is>
          <t>nothing from coarse wool and lamb's-wool here because it is sent to Wolvesey.</t>
        </is>
      </c>
    </row>
    <row r="110">
      <c r="A110" t="inlineStr">
        <is>
          <t>Issues of the manor</t>
        </is>
      </c>
      <c r="B110" t="n">
        <v>0</v>
      </c>
      <c r="C110" t="n">
        <v>18</v>
      </c>
      <c r="D110" t="n">
        <v>1.5</v>
      </c>
      <c r="F110" s="72" t="n">
        <v>0.91</v>
      </c>
      <c r="H110" t="inlineStr">
        <is>
          <t>18 shilling 1.5pence from 20 cloves 5 lb of wool locks sold, at 10.5pence a clove.</t>
        </is>
      </c>
    </row>
    <row r="111">
      <c r="A111" t="inlineStr">
        <is>
          <t>Issues of the manor</t>
        </is>
      </c>
      <c r="B111" t="n">
        <v>1</v>
      </c>
      <c r="C111" t="n">
        <v>3</v>
      </c>
      <c r="D111" t="n">
        <v>10</v>
      </c>
      <c r="F111" s="72" t="n">
        <v>1.19</v>
      </c>
      <c r="H111" t="inlineStr">
        <is>
          <t>£1 3 shilling 10pence from 286 hens from churchscot sold.</t>
        </is>
      </c>
    </row>
    <row r="112">
      <c r="A112" t="inlineStr">
        <is>
          <t>Issues of the manor</t>
        </is>
      </c>
      <c r="B112" t="n">
        <v>0</v>
      </c>
      <c r="C112" t="n">
        <v>6</v>
      </c>
      <c r="D112" t="n">
        <v>8</v>
      </c>
      <c r="F112" s="72" t="n">
        <v>0.33</v>
      </c>
      <c r="H112" t="inlineStr">
        <is>
          <t>6 shilling from the hides sold of 9 plough-horses in murrain, at 8pence each.</t>
        </is>
      </c>
    </row>
    <row r="113">
      <c r="A113" t="inlineStr">
        <is>
          <t>Issues of the manor</t>
        </is>
      </c>
      <c r="B113" t="n">
        <v>0</v>
      </c>
      <c r="C113" t="n">
        <v>1</v>
      </c>
      <c r="D113" t="n">
        <v>0</v>
      </c>
      <c r="F113" s="72" t="n">
        <v>0.05</v>
      </c>
      <c r="H113" t="inlineStr">
        <is>
          <t>1 shilling from the hides of 2 colts sold.</t>
        </is>
      </c>
    </row>
    <row r="114">
      <c r="A114" t="inlineStr">
        <is>
          <t>Issues of the manor</t>
        </is>
      </c>
      <c r="B114" t="n">
        <v>0</v>
      </c>
      <c r="C114" t="n">
        <v>5</v>
      </c>
      <c r="D114" t="n">
        <v>6</v>
      </c>
      <c r="F114" s="72" t="n">
        <v>0.28</v>
      </c>
      <c r="H114" t="inlineStr">
        <is>
          <t>5 shilling 6pence from the hides and flesh sold of 2 oxen in murrain.</t>
        </is>
      </c>
    </row>
    <row r="115">
      <c r="A115" t="inlineStr">
        <is>
          <t>Issues of the manor</t>
        </is>
      </c>
      <c r="B115" t="n">
        <v>0</v>
      </c>
      <c r="C115" t="n">
        <v>6</v>
      </c>
      <c r="D115" t="n">
        <v>0</v>
      </c>
      <c r="F115" s="72" t="n">
        <v>0.3</v>
      </c>
      <c r="H115" t="inlineStr">
        <is>
          <t>6 shilling from the hides sold of 3 oxen in murrain.</t>
        </is>
      </c>
    </row>
    <row r="116">
      <c r="A116" t="inlineStr">
        <is>
          <t>Issues of the manor</t>
        </is>
      </c>
      <c r="B116" t="n">
        <v>0</v>
      </c>
      <c r="C116" t="n">
        <v>0</v>
      </c>
      <c r="D116" t="n">
        <v>1</v>
      </c>
      <c r="F116" s="72" t="n">
        <v>0</v>
      </c>
      <c r="H116" t="inlineStr">
        <is>
          <t>1pence from the hide sold of 1 calf in murrain.</t>
        </is>
      </c>
    </row>
    <row r="117">
      <c r="A117" t="inlineStr">
        <is>
          <t>Issues of the manor</t>
        </is>
      </c>
      <c r="B117" t="n">
        <v>1</v>
      </c>
      <c r="C117" t="n">
        <v>2</v>
      </c>
      <c r="D117" t="n">
        <v>5</v>
      </c>
      <c r="F117" s="72" t="n">
        <v>1.12</v>
      </c>
      <c r="H117" t="inlineStr">
        <is>
          <t>£1 2 shilling 5pence from the skins sold of 43 wethers, 28 ewes and 30 hoggs in murrain before shearing, at 3pence a skin of wethers, 2.5pence a skin of ewes, and 1.5pence a skin of hoggs.</t>
        </is>
      </c>
    </row>
    <row r="118">
      <c r="A118" t="inlineStr">
        <is>
          <t>Issues of the manor</t>
        </is>
      </c>
      <c r="B118" t="n">
        <v>0</v>
      </c>
      <c r="C118" t="n">
        <v>3</v>
      </c>
      <c r="D118" t="n">
        <v>0</v>
      </c>
      <c r="F118" s="72">
        <f>B118+C118/20+D118/240</f>
        <v/>
      </c>
      <c r="H118" t="inlineStr">
        <is>
          <t>3 shilling from the skins sold of 26 wethers and 10 ewes in murrain after shearing, at 1pence a skin.</t>
        </is>
      </c>
    </row>
    <row r="119">
      <c r="A119" t="inlineStr">
        <is>
          <t>Issues of the manor</t>
        </is>
      </c>
      <c r="B119" t="n">
        <v>0</v>
      </c>
      <c r="C119" t="n">
        <v>9</v>
      </c>
      <c r="D119" t="n">
        <v>9.75</v>
      </c>
      <c r="F119" s="72" t="n">
        <v>0.49</v>
      </c>
      <c r="H119" t="inlineStr">
        <is>
          <t>9 shilling 9.75pence from the skins sold of 134 lambs in murrain before weaning, and 23 after weaning and before shearing, at .75pence a skin.</t>
        </is>
      </c>
    </row>
    <row r="120">
      <c r="A120" t="inlineStr">
        <is>
          <t>Issues of the manor</t>
        </is>
      </c>
      <c r="B120" t="n">
        <v>0</v>
      </c>
      <c r="C120" t="n">
        <v>0</v>
      </c>
      <c r="D120" t="n">
        <v>3</v>
      </c>
      <c r="F120" s="72" t="n">
        <v>0.01</v>
      </c>
      <c r="H120" t="inlineStr">
        <is>
          <t>3pence from the skins sold wholesale of 9 lambs in murrain after shearing.</t>
        </is>
      </c>
    </row>
    <row r="121">
      <c r="A121" t="inlineStr">
        <is>
          <t>Issues of the manor</t>
        </is>
      </c>
      <c r="B121" t="n">
        <v>0</v>
      </c>
      <c r="C121" t="n">
        <v>4</v>
      </c>
      <c r="D121" t="n">
        <v>0.75</v>
      </c>
      <c r="F121" s="72">
        <f>B121+C121/20+D121/240</f>
        <v/>
      </c>
      <c r="H121" t="inlineStr">
        <is>
          <t>4 shilling .75pence from 13 cloves of winter cheese sold, at 3.75pence a clove.</t>
        </is>
      </c>
    </row>
    <row r="122">
      <c r="A122" t="inlineStr">
        <is>
          <t>Issues of the manor</t>
        </is>
      </c>
      <c r="B122" t="n">
        <v>6</v>
      </c>
      <c r="C122" t="n">
        <v>15</v>
      </c>
      <c r="D122" t="n">
        <v>0</v>
      </c>
      <c r="F122" s="72" t="n">
        <v>6.75</v>
      </c>
      <c r="H122" t="inlineStr">
        <is>
          <t>£6 15 shilling from 15 weys of summer cheese sold, at 9 shilling a wey.</t>
        </is>
      </c>
    </row>
    <row r="123">
      <c r="A123" t="inlineStr">
        <is>
          <t>Issues of the manor</t>
        </is>
      </c>
      <c r="B123" t="n">
        <v>0</v>
      </c>
      <c r="C123" t="n">
        <v>9</v>
      </c>
      <c r="D123" t="n">
        <v>0</v>
      </c>
      <c r="F123" s="72" t="n">
        <v>0.45</v>
      </c>
      <c r="H123" t="inlineStr">
        <is>
          <t>9 shilling from 1 wey of butter sold.</t>
        </is>
      </c>
    </row>
    <row r="124">
      <c r="A124" t="inlineStr">
        <is>
          <t>Issues of the manor</t>
        </is>
      </c>
      <c r="B124" t="n">
        <v>0</v>
      </c>
      <c r="C124" t="n">
        <v>0</v>
      </c>
      <c r="D124" t="n">
        <v>0</v>
      </c>
      <c r="F124" s="72" t="n">
        <v>0</v>
      </c>
      <c r="H124" t="inlineStr">
        <is>
          <t>nothing from honey this year.</t>
        </is>
      </c>
    </row>
    <row r="125">
      <c r="A125" t="inlineStr">
        <is>
          <t>Issues of the manor</t>
        </is>
      </c>
      <c r="B125" t="n">
        <v>2</v>
      </c>
      <c r="C125" t="n">
        <v>2</v>
      </c>
      <c r="D125" t="n">
        <v>8</v>
      </c>
      <c r="F125" s="72" t="n">
        <v>2.13</v>
      </c>
      <c r="H125" t="inlineStr">
        <is>
          <t>£2 2 shilling 8pence from 3 casks of cider sold, 1 of them with the wood for 16 shilling, and 2 without the wood at 13 shilling 4pence each.</t>
        </is>
      </c>
    </row>
    <row r="126">
      <c r="A126" t="inlineStr">
        <is>
          <t>Issues of the manor</t>
        </is>
      </c>
      <c r="B126" t="n">
        <v>0</v>
      </c>
      <c r="C126" t="n">
        <v>1</v>
      </c>
      <c r="D126" t="n">
        <v>0</v>
      </c>
      <c r="F126" s="72" t="n">
        <v>0.05</v>
      </c>
      <c r="H126" t="inlineStr">
        <is>
          <t>1 shilling from the heriot of Gilbert ate Brok' because he did not have 1 beast.</t>
        </is>
      </c>
    </row>
    <row r="127">
      <c r="A127" t="inlineStr">
        <is>
          <t>Issues of the manor</t>
        </is>
      </c>
      <c r="B127" t="n">
        <v>0</v>
      </c>
      <c r="C127" t="n">
        <v>1</v>
      </c>
      <c r="D127" t="n">
        <v>0</v>
      </c>
      <c r="F127" s="72" t="n">
        <v>0.05</v>
      </c>
      <c r="H127" t="inlineStr">
        <is>
          <t>1 shilling from the heriot of Christina Colevil'.</t>
        </is>
      </c>
    </row>
    <row r="128">
      <c r="A128" t="inlineStr">
        <is>
          <t>Issues of the manor</t>
        </is>
      </c>
      <c r="B128" t="n">
        <v>0</v>
      </c>
      <c r="C128" t="n">
        <v>1</v>
      </c>
      <c r="D128" t="n">
        <v>0</v>
      </c>
      <c r="F128" s="72" t="n">
        <v>0.05</v>
      </c>
      <c r="H128" t="inlineStr">
        <is>
          <t>1 shilling from the heriot of William Aylwyn' for the same.</t>
        </is>
      </c>
    </row>
    <row r="129">
      <c r="A129" t="inlineStr">
        <is>
          <t>Issues of the manor</t>
        </is>
      </c>
      <c r="B129" t="n">
        <v>0</v>
      </c>
      <c r="C129" t="n">
        <v>0</v>
      </c>
      <c r="D129" t="n">
        <v>5</v>
      </c>
      <c r="F129" s="72" t="n">
        <v>0.02</v>
      </c>
      <c r="H129" t="inlineStr">
        <is>
          <t>5pence from the tails and feathers of 2 peacocks sold.</t>
        </is>
      </c>
    </row>
    <row r="130">
      <c r="A130" t="inlineStr">
        <is>
          <t>Issues of the manor</t>
        </is>
      </c>
      <c r="B130" t="n">
        <v>0</v>
      </c>
      <c r="C130" t="n">
        <v>2</v>
      </c>
      <c r="D130" t="n">
        <v>1.75</v>
      </c>
      <c r="F130" s="72" t="n">
        <v>0.11</v>
      </c>
      <c r="H130" t="inlineStr">
        <is>
          <t>2 shilling 1.75pence from dairy produce sold at the audit.</t>
        </is>
      </c>
    </row>
    <row r="131">
      <c r="A131" t="inlineStr">
        <is>
          <t>Issues of the manor</t>
        </is>
      </c>
      <c r="B131" t="n">
        <v>26</v>
      </c>
      <c r="C131" t="n">
        <v>6</v>
      </c>
      <c r="D131" t="n">
        <v>9.75</v>
      </c>
      <c r="F131" s="72" t="n">
        <v>26.34</v>
      </c>
      <c r="H131" t="inlineStr">
        <is>
          <t>Total, £26 6 shilling 9.75pence</t>
        </is>
      </c>
    </row>
    <row r="132">
      <c r="A132" t="inlineStr">
        <is>
          <t>Issues of the manor</t>
        </is>
      </c>
      <c r="F132" s="72">
        <f>SUM(F65:F130)</f>
        <v/>
      </c>
      <c r="G132" s="137">
        <f>F132-F131</f>
        <v/>
      </c>
      <c r="H132" t="inlineStr">
        <is>
          <t>Total</t>
        </is>
      </c>
    </row>
    <row r="133"/>
    <row r="134">
      <c r="A134" t="inlineStr">
        <is>
          <t>Sale of stock</t>
        </is>
      </c>
      <c r="B134" t="n">
        <v>0</v>
      </c>
      <c r="C134" t="n">
        <v>10</v>
      </c>
      <c r="D134" t="n">
        <v>4</v>
      </c>
      <c r="F134" s="72" t="n">
        <v>0.52</v>
      </c>
      <c r="H134" t="inlineStr">
        <is>
          <t>10 shilling from 3 old and feeble plough-horses sold, rat 3 shilling 4pence eachi because nearly dead.</t>
        </is>
      </c>
    </row>
    <row r="135">
      <c r="A135" t="inlineStr">
        <is>
          <t>Sale of stock</t>
        </is>
      </c>
      <c r="B135" t="n">
        <v>4</v>
      </c>
      <c r="C135" t="n">
        <v>2</v>
      </c>
      <c r="D135" t="n">
        <v>0</v>
      </c>
      <c r="F135" s="72" t="n">
        <v>4.1</v>
      </c>
      <c r="H135" t="inlineStr">
        <is>
          <t>£4 2 shilling from 7 oxen sold, at 12 shilling each for 3, and 1 1 shilling 6pence each for 4.</t>
        </is>
      </c>
    </row>
    <row r="136">
      <c r="A136" t="inlineStr">
        <is>
          <t>Sale of stock</t>
        </is>
      </c>
      <c r="B136" t="n">
        <v>0</v>
      </c>
      <c r="C136" t="n">
        <v>8</v>
      </c>
      <c r="D136" t="n">
        <v>0</v>
      </c>
      <c r="F136" s="72" t="n">
        <v>0.4</v>
      </c>
      <c r="H136" t="inlineStr">
        <is>
          <t>8 shilling from 1 cow sold at Martinmas (11 November).</t>
        </is>
      </c>
    </row>
    <row r="137">
      <c r="A137" t="inlineStr">
        <is>
          <t>Sale of stock</t>
        </is>
      </c>
      <c r="B137" t="n">
        <v>0</v>
      </c>
      <c r="C137" t="n">
        <v>8</v>
      </c>
      <c r="D137" t="n">
        <v>0</v>
      </c>
      <c r="F137" s="72" t="n">
        <v>0.4</v>
      </c>
      <c r="H137" t="inlineStr">
        <is>
          <t>8 shilling from 8 late-born calves sold, at 1 shilling each.</t>
        </is>
      </c>
    </row>
    <row r="138">
      <c r="A138" t="inlineStr">
        <is>
          <t>Sale of stock</t>
        </is>
      </c>
      <c r="B138" t="n">
        <v>1</v>
      </c>
      <c r="C138" t="n">
        <v>4</v>
      </c>
      <c r="D138" t="n">
        <v>6</v>
      </c>
      <c r="F138" s="72" t="n">
        <v>1.22</v>
      </c>
      <c r="H138" t="inlineStr">
        <is>
          <t>£1 4 shilling 6pence from 21 wethers sold at Martinmas, at 1 shilling 2pence each.</t>
        </is>
      </c>
    </row>
    <row r="139">
      <c r="A139" t="inlineStr">
        <is>
          <t>Sale of stock</t>
        </is>
      </c>
      <c r="B139" t="n">
        <v>5</v>
      </c>
      <c r="C139" t="n">
        <v>0</v>
      </c>
      <c r="D139" t="n">
        <v>0</v>
      </c>
      <c r="F139" s="72" t="n">
        <v>5</v>
      </c>
      <c r="H139" t="inlineStr">
        <is>
          <t>£5 from 100 ewes sold at the same feast, at 1 shilling each.</t>
        </is>
      </c>
    </row>
    <row r="140">
      <c r="A140" t="inlineStr">
        <is>
          <t>Sale of stock</t>
        </is>
      </c>
      <c r="B140" t="n">
        <v>0</v>
      </c>
      <c r="C140" t="n">
        <v>4</v>
      </c>
      <c r="D140" t="n">
        <v>6</v>
      </c>
      <c r="F140" s="72" t="n">
        <v>0.23</v>
      </c>
      <c r="H140" t="inlineStr">
        <is>
          <t>4 shilling 6pence from 9 feeble hoggs sold, at 6pence each.</t>
        </is>
      </c>
    </row>
    <row r="141">
      <c r="A141" t="inlineStr">
        <is>
          <t>Sale of stock</t>
        </is>
      </c>
      <c r="B141" t="n">
        <v>3</v>
      </c>
      <c r="C141" t="n">
        <v>6</v>
      </c>
      <c r="D141" t="n">
        <v>6</v>
      </c>
      <c r="F141" s="72" t="n">
        <v>3.32</v>
      </c>
      <c r="H141" t="inlineStr">
        <is>
          <t>£3 6 shilling 6pence from 19 pigs sold at Martinmas, at 3 shilling 6pence each.</t>
        </is>
      </c>
    </row>
    <row r="142">
      <c r="A142" t="inlineStr">
        <is>
          <t>Sale of stock</t>
        </is>
      </c>
      <c r="B142" t="n">
        <v>15</v>
      </c>
      <c r="C142" t="n">
        <v>3</v>
      </c>
      <c r="D142" t="n">
        <v>6</v>
      </c>
      <c r="F142" s="72" t="n">
        <v>15.18</v>
      </c>
      <c r="H142" t="inlineStr">
        <is>
          <t>Total, £15 3 shilling 6pence</t>
        </is>
      </c>
    </row>
    <row r="143">
      <c r="A143" t="inlineStr">
        <is>
          <t>Sale of stock</t>
        </is>
      </c>
      <c r="F143" s="72" t="n">
        <v>15.19</v>
      </c>
      <c r="G143" s="137" t="n">
        <v>0.009999999999999787</v>
      </c>
      <c r="H143" t="inlineStr">
        <is>
          <t>Total</t>
        </is>
      </c>
    </row>
    <row r="144"/>
    <row r="145">
      <c r="A145" t="inlineStr">
        <is>
          <t>Sale of corn</t>
        </is>
      </c>
      <c r="B145" t="n">
        <v>75</v>
      </c>
      <c r="C145" t="n">
        <v>10</v>
      </c>
      <c r="D145" t="n">
        <v>5</v>
      </c>
      <c r="F145" s="72" t="n">
        <v>75.52</v>
      </c>
      <c r="H145" t="inlineStr">
        <is>
          <t>The same render account for £75 10 shilling 5pence from 274 quarters 2 bushels of wheat sold, at 4 shilling a qr for 29 quarters 2 bushels, 5 shilling a qr for 70 quarters 6 bushels, 5 shilling 4pence a qr for 82 quarters 3 bushels, 6 shilling a qr for 18 quarters 2 bushels, and 6 shilling 8pence a qr for 73 quarters 5 bushels.</t>
        </is>
      </c>
    </row>
    <row r="146">
      <c r="A146" t="inlineStr">
        <is>
          <t>Sale of corn</t>
        </is>
      </c>
      <c r="B146" t="n">
        <v>2</v>
      </c>
      <c r="C146" t="n">
        <v>6</v>
      </c>
      <c r="D146" t="n">
        <v>8</v>
      </c>
      <c r="F146" s="72" t="n">
        <v>2.33</v>
      </c>
      <c r="H146" t="inlineStr">
        <is>
          <t>£2 6 shilling 8pence from 14 quarters of curall sold, at 3 shilling 4pence a qr.</t>
        </is>
      </c>
    </row>
    <row r="147">
      <c r="A147" t="inlineStr">
        <is>
          <t>Sale of corn</t>
        </is>
      </c>
      <c r="B147" t="n">
        <v>5</v>
      </c>
      <c r="C147" t="n">
        <v>10</v>
      </c>
      <c r="D147" t="n">
        <v>10.5</v>
      </c>
      <c r="F147" s="72" t="n">
        <v>5.54</v>
      </c>
      <c r="H147" t="inlineStr">
        <is>
          <t>£5 10 shilling 10.5pence from 28 quarters 5 bushels of barley sold, at 4 shilling a qr for 25 quarters, and 3 shilling a qr for 3 quarters 5 bushels.</t>
        </is>
      </c>
    </row>
    <row r="148">
      <c r="A148" t="inlineStr">
        <is>
          <t>Sale of corn</t>
        </is>
      </c>
      <c r="B148" t="n">
        <v>28</v>
      </c>
      <c r="C148" t="n">
        <v>8</v>
      </c>
      <c r="D148" t="n">
        <v>4.75</v>
      </c>
      <c r="F148" s="72" t="n">
        <v>28.42</v>
      </c>
      <c r="H148" t="inlineStr">
        <is>
          <t>£28 8 shilling 4.75pence from 275 quarters 3 bushels of oats sold, at 1 shilling 8pence a qr for 55 quarters 3 bushels, 2 shilling a qr for 86 quarters 3 bushels, 2 shilling 2pence a qr for 50 quarters 5 bushels, and 2 shilling 4pence a qr for 83 quarters.</t>
        </is>
      </c>
    </row>
    <row r="149">
      <c r="A149" t="inlineStr">
        <is>
          <t>Sale of corn</t>
        </is>
      </c>
      <c r="B149" t="n">
        <v>111</v>
      </c>
      <c r="C149" t="n">
        <v>16</v>
      </c>
      <c r="D149" t="n">
        <v>4.25</v>
      </c>
      <c r="F149" s="72" t="n">
        <v>111.82</v>
      </c>
      <c r="H149" t="inlineStr">
        <is>
          <t>Total of all corn sold, £111 16 shilling 4.25pence</t>
        </is>
      </c>
    </row>
    <row r="150">
      <c r="A150" t="inlineStr">
        <is>
          <t>Sale of corn</t>
        </is>
      </c>
      <c r="F150" s="72" t="n">
        <v>111.81</v>
      </c>
      <c r="G150" s="137" t="n">
        <v>-0.009999999999990905</v>
      </c>
      <c r="H150" t="inlineStr">
        <is>
          <t>Total</t>
        </is>
      </c>
    </row>
    <row r="151"/>
    <row r="152">
      <c r="A152" t="inlineStr">
        <is>
          <t>Farm of the mill</t>
        </is>
      </c>
      <c r="B152" t="n">
        <v>1</v>
      </c>
      <c r="C152" t="n">
        <v>15</v>
      </c>
      <c r="D152" t="n">
        <v>0</v>
      </c>
      <c r="F152" s="72" t="n">
        <v>1.75</v>
      </c>
      <c r="H152" t="inlineStr">
        <is>
          <t>The same render account for £1 15 shilling from the mill let at farm this year.</t>
        </is>
      </c>
    </row>
    <row r="153">
      <c r="A153" t="inlineStr">
        <is>
          <t>Farm of the mill</t>
        </is>
      </c>
      <c r="B153" t="n">
        <v>1</v>
      </c>
      <c r="C153" t="n">
        <v>15</v>
      </c>
      <c r="D153" t="n">
        <v>0</v>
      </c>
      <c r="F153" s="72" t="n">
        <v>1.75</v>
      </c>
      <c r="H153" t="inlineStr">
        <is>
          <t>Total, £1 15 shilling</t>
        </is>
      </c>
    </row>
    <row r="154">
      <c r="A154" t="inlineStr">
        <is>
          <t>Farm of the mill</t>
        </is>
      </c>
      <c r="F154" s="72" t="n">
        <v>1.75</v>
      </c>
      <c r="G154" s="137" t="n">
        <v>0</v>
      </c>
      <c r="H154" t="inlineStr">
        <is>
          <t>Total</t>
        </is>
      </c>
    </row>
    <row r="155"/>
    <row r="156">
      <c r="A156" t="inlineStr">
        <is>
          <t>Entry and marriage fines with tithingpenny</t>
        </is>
      </c>
      <c r="B156" t="n">
        <v>3</v>
      </c>
      <c r="C156" t="n">
        <v>6</v>
      </c>
      <c r="D156" t="n">
        <v>8</v>
      </c>
      <c r="F156" s="72" t="n">
        <v>3.33</v>
      </c>
      <c r="H156" t="inlineStr">
        <is>
          <t>The same render account for £3 6 shilling 8pence from all the tithings of the hundred for tithingpenny at the hundred-court of Martinmas.</t>
        </is>
      </c>
    </row>
    <row r="157">
      <c r="A157" t="inlineStr">
        <is>
          <t>Entry and marriage fines with tithingpenny</t>
        </is>
      </c>
      <c r="B157" t="n">
        <v>3</v>
      </c>
      <c r="C157" t="n">
        <v>6</v>
      </c>
      <c r="D157" t="n">
        <v>8</v>
      </c>
      <c r="F157" s="72" t="n">
        <v>3.33</v>
      </c>
      <c r="H157" t="inlineStr">
        <is>
          <t>£3 6 shilling 8pence from the same tithings at the hundred-court of Hockday.</t>
        </is>
      </c>
    </row>
    <row r="158">
      <c r="A158" t="inlineStr">
        <is>
          <t>Entry and marriage fines with tithingpenny</t>
        </is>
      </c>
      <c r="B158" t="n">
        <v>2</v>
      </c>
      <c r="C158" t="n">
        <v>10</v>
      </c>
      <c r="D158" t="n">
        <v>0</v>
      </c>
      <c r="F158" s="72" t="n">
        <v>2.5</v>
      </c>
      <c r="H158" t="inlineStr">
        <is>
          <t>£2 10 shilling from Nicholas, son and heir of Nicholas de Langriss', for fine to have all the lands and tenements which belonged to his father in the manor of East Meon.</t>
        </is>
      </c>
    </row>
    <row r="159">
      <c r="A159" t="inlineStr">
        <is>
          <t>Entry and marriage fines with tithingpenny</t>
        </is>
      </c>
      <c r="B159" t="n">
        <v>0</v>
      </c>
      <c r="C159" t="n">
        <v>13</v>
      </c>
      <c r="D159" t="n">
        <v>4</v>
      </c>
      <c r="F159" s="72" t="n">
        <v>0.67</v>
      </c>
      <c r="H159" t="inlineStr">
        <is>
          <t>13 shilling 4pence from Cecilia, relict of Gilbert ate Brok', to retain 1 messuage and 0.5 virgate of land which belonged to her husband.</t>
        </is>
      </c>
    </row>
    <row r="160">
      <c r="A160" t="inlineStr">
        <is>
          <t>Entry and marriage fines with tithingpenny</t>
        </is>
      </c>
      <c r="B160" t="n">
        <v>0</v>
      </c>
      <c r="C160" t="n">
        <v>4</v>
      </c>
      <c r="D160" t="n">
        <v>5.5</v>
      </c>
      <c r="F160" s="72" t="n">
        <v>0.22</v>
      </c>
      <c r="H160" t="inlineStr">
        <is>
          <t>4 shilling from William de Radesole to have 1.5 acres of land by surrender of Richard ate Burgh, and the aforesaid William will relieve the said Richard of 5.5pence annual rent.</t>
        </is>
      </c>
    </row>
    <row r="161">
      <c r="A161" t="inlineStr">
        <is>
          <t>Entry and marriage fines with tithingpenny</t>
        </is>
      </c>
      <c r="B161" t="n">
        <v>0</v>
      </c>
      <c r="C161" t="n">
        <v>1</v>
      </c>
      <c r="D161" t="n">
        <v>0</v>
      </c>
      <c r="F161" s="72" t="n">
        <v>0.05</v>
      </c>
      <c r="H161" t="inlineStr">
        <is>
          <t>1 shilling from Richard Clericus to have 1 plot which contains 2 day-works of land by surrender of William ate Church', and he will relieve the said William of 1 shilling annual rent.</t>
        </is>
      </c>
    </row>
    <row r="162">
      <c r="A162" t="inlineStr">
        <is>
          <t>Entry and marriage fines with tithingpenny</t>
        </is>
      </c>
      <c r="B162" t="n">
        <v>0</v>
      </c>
      <c r="C162" t="n">
        <v>3</v>
      </c>
      <c r="D162" t="n">
        <v>6</v>
      </c>
      <c r="F162" s="72" t="n">
        <v>0.17</v>
      </c>
      <c r="H162" t="inlineStr">
        <is>
          <t>3 shilling from Roginald Boll' to have 1 acre of land by surrender of John Tribald, and he will relieve the said John of 6pence annual rent.</t>
        </is>
      </c>
    </row>
    <row r="163">
      <c r="A163" t="inlineStr">
        <is>
          <t>Entry and marriage fines with tithingpenny</t>
        </is>
      </c>
      <c r="B163" t="n">
        <v>1</v>
      </c>
      <c r="C163" t="n">
        <v>13</v>
      </c>
      <c r="D163" t="n">
        <v>4</v>
      </c>
      <c r="F163" s="72" t="n">
        <v>1.67</v>
      </c>
      <c r="H163" t="inlineStr">
        <is>
          <t>£1 13 shilling 4pence from Thomas, son of William de Schireve, to have 1 messuage and 1 virgate of land which belonged to his father.</t>
        </is>
      </c>
    </row>
    <row r="164">
      <c r="A164" t="inlineStr">
        <is>
          <t>Entry and marriage fines with tithingpenny</t>
        </is>
      </c>
      <c r="B164" t="n">
        <v>0</v>
      </c>
      <c r="C164" t="n">
        <v>6</v>
      </c>
      <c r="D164" t="n">
        <v>8</v>
      </c>
      <c r="F164" s="72" t="n">
        <v>0.33</v>
      </c>
      <c r="H164" t="inlineStr">
        <is>
          <t>6 shilling 8pence from Richard Corps to have 3.5 acres of land by surrender of William ate Wod'.</t>
        </is>
      </c>
    </row>
    <row r="165">
      <c r="A165" t="inlineStr">
        <is>
          <t>Entry and marriage fines with tithingpenny</t>
        </is>
      </c>
      <c r="B165" t="n">
        <v>0</v>
      </c>
      <c r="C165" t="n">
        <v>13</v>
      </c>
      <c r="D165" t="n">
        <v>4</v>
      </c>
      <c r="F165" s="72" t="n">
        <v>0.67</v>
      </c>
      <c r="H165" t="inlineStr">
        <is>
          <t>13 shilling 4pence from John Corps to have 1 virgate of land of Martin Waterlyde.</t>
        </is>
      </c>
    </row>
    <row r="166">
      <c r="A166" t="inlineStr">
        <is>
          <t>Entry and marriage fines with tithingpenny</t>
        </is>
      </c>
      <c r="B166" t="n">
        <v>0</v>
      </c>
      <c r="C166" t="n">
        <v>1</v>
      </c>
      <c r="D166" t="n">
        <v>0</v>
      </c>
      <c r="F166" s="72" t="n">
        <v>0.05</v>
      </c>
      <c r="H166" t="inlineStr">
        <is>
          <t>1 shilling from Joan Quirteflod' to retain 1 acre of land which belonged to Richard Schireve her husband.</t>
        </is>
      </c>
    </row>
    <row r="167">
      <c r="A167" t="inlineStr">
        <is>
          <t>Entry and marriage fines with tithingpenny</t>
        </is>
      </c>
      <c r="B167" t="n">
        <v>0</v>
      </c>
      <c r="C167" t="n">
        <v>2</v>
      </c>
      <c r="D167" t="n">
        <v>0</v>
      </c>
      <c r="F167" s="72" t="n">
        <v>0.1</v>
      </c>
      <c r="H167" t="inlineStr">
        <is>
          <t>2 shilling from Geoffrey ate Garston to have 1 house and 2 day-works of land by surrender of Andrew de Borden'.</t>
        </is>
      </c>
    </row>
    <row r="168">
      <c r="A168" t="inlineStr">
        <is>
          <t>Entry and marriage fines with tithingpenny</t>
        </is>
      </c>
      <c r="B168" t="n">
        <v>0</v>
      </c>
      <c r="C168" t="n">
        <v>2</v>
      </c>
      <c r="D168" t="n">
        <v>4</v>
      </c>
      <c r="F168" s="72" t="n">
        <v>0.12</v>
      </c>
      <c r="H168" t="inlineStr">
        <is>
          <t>2 shilling from Henry Keppyng to have 1 day-work of land by surrender of John Herberd', and he will relieve the aforesaid John of 4pence annual rent.</t>
        </is>
      </c>
    </row>
    <row r="169">
      <c r="A169" t="inlineStr">
        <is>
          <t>Entry and marriage fines with tithingpenny</t>
        </is>
      </c>
      <c r="B169" t="n">
        <v>0</v>
      </c>
      <c r="C169" t="n">
        <v>1</v>
      </c>
      <c r="D169" t="n">
        <v>0</v>
      </c>
      <c r="F169" s="72" t="n">
        <v>0.05</v>
      </c>
      <c r="H169" t="inlineStr">
        <is>
          <t>1 shilling from John Miles to retain a certain purpresture, 12 feet long and 4 feet wide at one end and 1.5 feet at the other end, which before he encroached upon without licence.</t>
        </is>
      </c>
    </row>
    <row r="170">
      <c r="A170" t="inlineStr">
        <is>
          <t>Entry and marriage fines with tithingpenny</t>
        </is>
      </c>
      <c r="B170" t="n">
        <v>2</v>
      </c>
      <c r="C170" t="n">
        <v>0</v>
      </c>
      <c r="D170" t="n">
        <v>0</v>
      </c>
      <c r="F170" s="72" t="n">
        <v>2</v>
      </c>
      <c r="H170" t="inlineStr">
        <is>
          <t>£2 from William Colevile to have 1 messuage and 1 cotland which belonged to his father whose heir he is.</t>
        </is>
      </c>
    </row>
    <row r="171">
      <c r="A171" t="inlineStr">
        <is>
          <t>Entry and marriage fines with tithingpenny</t>
        </is>
      </c>
      <c r="B171" t="n">
        <v>1</v>
      </c>
      <c r="C171" t="n">
        <v>0</v>
      </c>
      <c r="D171" t="n">
        <v>0</v>
      </c>
      <c r="F171" s="72" t="n">
        <v>1</v>
      </c>
      <c r="H171" t="inlineStr">
        <is>
          <t>£1 from Cecilia, relict of Nicholas ate Ock', to retain the lands and tenements which belonged to the same Nicholas her husband.</t>
        </is>
      </c>
    </row>
    <row r="172">
      <c r="A172" t="inlineStr">
        <is>
          <t>Entry and marriage fines with tithingpenny</t>
        </is>
      </c>
      <c r="B172" t="n">
        <v>1</v>
      </c>
      <c r="C172" t="n">
        <v>6</v>
      </c>
      <c r="D172" t="n">
        <v>8</v>
      </c>
      <c r="F172" s="72" t="n">
        <v>1.33</v>
      </c>
      <c r="H172" t="inlineStr">
        <is>
          <t>£1 6 shilling 8pence from Robert de Borden' to have 1 messuage and 1 virgate of land which belonged to Robert his father.</t>
        </is>
      </c>
    </row>
    <row r="173">
      <c r="A173" t="inlineStr">
        <is>
          <t>Entry and marriage fines with tithingpenny</t>
        </is>
      </c>
      <c r="B173" t="n">
        <v>0</v>
      </c>
      <c r="C173" t="n">
        <v>6</v>
      </c>
      <c r="D173" t="n">
        <v>8</v>
      </c>
      <c r="F173" s="72" t="n">
        <v>0.33</v>
      </c>
      <c r="H173" t="inlineStr">
        <is>
          <t>6 shilling 8pence from Emma, relict of William ate Pleystowe, to retain 1 messuage and 1 virgate of land which belonged to her husband.</t>
        </is>
      </c>
    </row>
    <row r="174">
      <c r="A174" t="inlineStr">
        <is>
          <t>Entry and marriage fines with tithingpenny</t>
        </is>
      </c>
      <c r="B174" t="n">
        <v>1</v>
      </c>
      <c r="C174" t="n">
        <v>6</v>
      </c>
      <c r="D174" t="n">
        <v>8</v>
      </c>
      <c r="F174" s="72" t="n">
        <v>1.33</v>
      </c>
      <c r="H174" t="inlineStr">
        <is>
          <t>£1 6 shilling 8pence from Henry de Pipercumbe to have 1 messuage and .5 virgate of land and a purpresture which belonged to Gilbert his father.</t>
        </is>
      </c>
    </row>
    <row r="175">
      <c r="A175" t="inlineStr">
        <is>
          <t>Entry and marriage fines with tithingpenny</t>
        </is>
      </c>
      <c r="B175" t="n">
        <v>0</v>
      </c>
      <c r="C175" t="n">
        <v>6</v>
      </c>
      <c r="D175" t="n">
        <v>8</v>
      </c>
      <c r="F175" s="72" t="n">
        <v>0.33</v>
      </c>
      <c r="H175" t="inlineStr">
        <is>
          <t>6 shilling 8pence from Walter Whyte and Matilda his wife to have''/ virgate of land which descended to the same Matilda by the death of Emma Kokenild'.</t>
        </is>
      </c>
    </row>
    <row r="176">
      <c r="A176" t="inlineStr">
        <is>
          <t>Entry and marriage fines with tithingpenny</t>
        </is>
      </c>
      <c r="B176" t="n">
        <v>0</v>
      </c>
      <c r="C176" t="n">
        <v>6</v>
      </c>
      <c r="D176" t="n">
        <v>8</v>
      </c>
      <c r="F176" s="72" t="n">
        <v>0.33</v>
      </c>
      <c r="H176" t="inlineStr">
        <is>
          <t>6 shilling 8pence from John, son of Walter le Whyte, to have the aforesaid .5 virgate of land by surrender of the said Walter and Matilda.</t>
        </is>
      </c>
    </row>
    <row r="177">
      <c r="A177" t="inlineStr">
        <is>
          <t>Entry and marriage fines with tithingpenny</t>
        </is>
      </c>
      <c r="B177" t="n">
        <v>0</v>
      </c>
      <c r="C177" t="n">
        <v>13</v>
      </c>
      <c r="D177" t="n">
        <v>4</v>
      </c>
      <c r="F177" s="72" t="n">
        <v>0.67</v>
      </c>
      <c r="H177" t="inlineStr">
        <is>
          <t>13 shilling 4pence from John Aylwyn' to have 0.5 virgate of land which belonged to William his father.</t>
        </is>
      </c>
    </row>
    <row r="178">
      <c r="A178" t="inlineStr">
        <is>
          <t>Entry and marriage fines with tithingpenny</t>
        </is>
      </c>
      <c r="B178" t="n">
        <v>1</v>
      </c>
      <c r="C178" t="n">
        <v>0</v>
      </c>
      <c r="D178" t="n">
        <v>0</v>
      </c>
      <c r="F178" s="72" t="n">
        <v>1</v>
      </c>
      <c r="H178" t="inlineStr">
        <is>
          <t>£1 from Peter ate Bure to have Christina, who was wife of John Crispyn, with her land.</t>
        </is>
      </c>
    </row>
    <row r="179">
      <c r="A179" t="inlineStr">
        <is>
          <t>Entry and marriage fines with tithingpenny</t>
        </is>
      </c>
      <c r="B179" t="n">
        <v>0</v>
      </c>
      <c r="C179" t="n">
        <v>13</v>
      </c>
      <c r="D179" t="n">
        <v>4</v>
      </c>
      <c r="F179" s="72" t="n">
        <v>0.67</v>
      </c>
      <c r="H179" t="inlineStr">
        <is>
          <t>13 shilling 4pence from Walter Schireve to have Cecilia, relict of Gilbert ate Brok', with'/ virgate of her land.</t>
        </is>
      </c>
    </row>
    <row r="180">
      <c r="A180" t="inlineStr">
        <is>
          <t>Entry and marriage fines with tithingpenny</t>
        </is>
      </c>
      <c r="B180" t="n">
        <v>0</v>
      </c>
      <c r="C180" t="n">
        <v>1</v>
      </c>
      <c r="D180" t="n">
        <v>0</v>
      </c>
      <c r="F180" s="72" t="n">
        <v>0.05</v>
      </c>
      <c r="H180" t="inlineStr">
        <is>
          <t>1 shilling from Joan de Quirteflod' to have 1 curtilage which is called Westpark by surrender of Avice de Quirteflod'.</t>
        </is>
      </c>
    </row>
    <row r="181">
      <c r="A181" t="inlineStr">
        <is>
          <t>Entry and marriage fines with tithingpenny</t>
        </is>
      </c>
      <c r="B181" t="n">
        <v>0</v>
      </c>
      <c r="C181" t="n">
        <v>1</v>
      </c>
      <c r="D181" t="n">
        <v>2</v>
      </c>
      <c r="F181" s="72" t="n">
        <v>0.06</v>
      </c>
      <c r="H181" t="inlineStr">
        <is>
          <t>1 shilling from Adam de Ayford' to have the aforesaid curtilage by surrender of Joan de Quirteflod', so that the said Adam will relieve the said Avice de Quirteflod' of 2pence of her rent for the year.</t>
        </is>
      </c>
    </row>
    <row r="182">
      <c r="A182" t="inlineStr">
        <is>
          <t>Entry and marriage fines with tithingpenny</t>
        </is>
      </c>
      <c r="B182" t="n">
        <v>0</v>
      </c>
      <c r="C182" t="n">
        <v>1</v>
      </c>
      <c r="D182" t="n">
        <v>0</v>
      </c>
      <c r="F182" s="72" t="n">
        <v>0.05</v>
      </c>
      <c r="H182" t="inlineStr">
        <is>
          <t>1 shilling from Agnes Fermyn for marrying Agnes her daughter outside.</t>
        </is>
      </c>
    </row>
    <row r="183">
      <c r="A183" t="inlineStr">
        <is>
          <t>Entry and marriage fines with tithingpenny</t>
        </is>
      </c>
      <c r="B183" t="n">
        <v>1</v>
      </c>
      <c r="C183" t="n">
        <v>0</v>
      </c>
      <c r="D183" t="n">
        <v>0</v>
      </c>
      <c r="F183" s="72" t="n">
        <v>1</v>
      </c>
      <c r="H183" t="inlineStr">
        <is>
          <t>£1 from William, son of Walter le Swhyte, to have 1 virgate of land by surrender of Walter his father and Matilda, wife of the said Walter.</t>
        </is>
      </c>
    </row>
    <row r="184">
      <c r="A184" t="inlineStr">
        <is>
          <t>Entry and marriage fines with tithingpenny</t>
        </is>
      </c>
      <c r="B184" t="n">
        <v>23</v>
      </c>
      <c r="C184" t="n">
        <v>7</v>
      </c>
      <c r="D184" t="n">
        <v>0</v>
      </c>
      <c r="F184" s="72" t="n">
        <v>23.35</v>
      </c>
      <c r="H184" t="inlineStr">
        <is>
          <t>Total, £23 7 shilling</t>
        </is>
      </c>
    </row>
    <row r="185">
      <c r="A185" t="inlineStr">
        <is>
          <t>Entry and marriage fines with tithingpenny</t>
        </is>
      </c>
      <c r="F185" s="72" t="n">
        <v>23.41</v>
      </c>
      <c r="G185" s="137" t="n">
        <v>0.05999999999999872</v>
      </c>
      <c r="H185" t="inlineStr">
        <is>
          <t>Total</t>
        </is>
      </c>
    </row>
    <row r="186"/>
    <row r="187">
      <c r="A187" t="inlineStr">
        <is>
          <t>Perquisites</t>
        </is>
      </c>
      <c r="B187" t="n">
        <v>0</v>
      </c>
      <c r="C187" t="n">
        <v>1</v>
      </c>
      <c r="D187" t="n">
        <v>0</v>
      </c>
      <c r="F187" s="72" t="n">
        <v>0.05</v>
      </c>
      <c r="H187" t="inlineStr">
        <is>
          <t>The same render account for 1 shilling from William Cuteprist for unjustly withholding a debt.</t>
        </is>
      </c>
    </row>
    <row r="188">
      <c r="A188" t="inlineStr">
        <is>
          <t>Perquisites</t>
        </is>
      </c>
      <c r="B188" t="n">
        <v>0</v>
      </c>
      <c r="C188" t="n">
        <v>8</v>
      </c>
      <c r="D188" t="n">
        <v>6</v>
      </c>
      <c r="F188" s="72" t="n">
        <v>0.43</v>
      </c>
      <c r="H188" t="inlineStr">
        <is>
          <t>8 shilling 6pence from Alice Tapecut' and her fellows for trespass of pasture and default o labour service and other transgressions.</t>
        </is>
      </c>
    </row>
    <row r="189">
      <c r="A189" t="inlineStr">
        <is>
          <t>Perquisites</t>
        </is>
      </c>
      <c r="B189" t="n">
        <v>0</v>
      </c>
      <c r="C189" t="n">
        <v>4</v>
      </c>
      <c r="D189" t="n">
        <v>6</v>
      </c>
      <c r="F189" s="72" t="n">
        <v>0.23</v>
      </c>
      <c r="H189" t="inlineStr">
        <is>
          <t>4 shilling 6pence from Nicholas ate Pyth' for transgression against his neighbour and trespass of pasture.</t>
        </is>
      </c>
    </row>
    <row r="190">
      <c r="A190" t="inlineStr">
        <is>
          <t>Perquisites</t>
        </is>
      </c>
      <c r="B190" t="n">
        <v>0</v>
      </c>
      <c r="C190" t="n">
        <v>4</v>
      </c>
      <c r="D190" t="n">
        <v>0</v>
      </c>
      <c r="F190" s="72" t="n">
        <v>0.2</v>
      </c>
      <c r="H190" t="inlineStr">
        <is>
          <t>4 shilling from Alice, daughter of Richard de Naddeham, Ralph ate Stupe and their fellows for many transgressions.</t>
        </is>
      </c>
    </row>
    <row r="191">
      <c r="A191" t="inlineStr">
        <is>
          <t>Perquisites</t>
        </is>
      </c>
      <c r="B191" t="n">
        <v>0</v>
      </c>
      <c r="C191" t="n">
        <v>5</v>
      </c>
      <c r="D191" t="n">
        <v>6</v>
      </c>
      <c r="F191" s="72" t="n">
        <v>0.28</v>
      </c>
      <c r="H191" t="inlineStr">
        <is>
          <t>5 shilling 6pence from Richard Crespyn, Robert Parker and others for transgression against their neighbours, trespass of wood, and other transgressions.</t>
        </is>
      </c>
    </row>
    <row r="192">
      <c r="A192" t="inlineStr">
        <is>
          <t>Perquisites</t>
        </is>
      </c>
      <c r="B192" t="n">
        <v>0</v>
      </c>
      <c r="C192" t="n">
        <v>1</v>
      </c>
      <c r="D192" t="n">
        <v>9</v>
      </c>
      <c r="F192" s="72" t="n">
        <v>0.09</v>
      </c>
      <c r="H192" t="inlineStr">
        <is>
          <t>1 shilling 9pence from Matilda le Tayllur, John de Halywll' and others for transgression against their neighbours and trespass of wood and pasture.</t>
        </is>
      </c>
    </row>
    <row r="193">
      <c r="A193" t="inlineStr">
        <is>
          <t>Perquisites</t>
        </is>
      </c>
      <c r="B193" t="n">
        <v>0</v>
      </c>
      <c r="C193" t="n">
        <v>0</v>
      </c>
      <c r="D193" t="n">
        <v>6</v>
      </c>
      <c r="F193" s="72" t="n">
        <v>0.03</v>
      </c>
      <c r="H193" t="inlineStr">
        <is>
          <t>6pence from Alice de Chutescombe for transgression against her neighbour.</t>
        </is>
      </c>
    </row>
    <row r="194">
      <c r="A194" t="inlineStr">
        <is>
          <t>Perquisites</t>
        </is>
      </c>
      <c r="B194" t="n">
        <v>0</v>
      </c>
      <c r="C194" t="n">
        <v>6</v>
      </c>
      <c r="D194" t="n">
        <v>8</v>
      </c>
      <c r="F194" s="72" t="n">
        <v>0.33</v>
      </c>
      <c r="H194" t="inlineStr">
        <is>
          <t>6 shilling 8pence from Adam Kay the younger for keeping the plough-horses badly.</t>
        </is>
      </c>
    </row>
    <row r="195">
      <c r="A195" t="inlineStr">
        <is>
          <t>Perquisites</t>
        </is>
      </c>
      <c r="B195" t="n">
        <v>0</v>
      </c>
      <c r="C195" t="n">
        <v>1</v>
      </c>
      <c r="D195" t="n">
        <v>6</v>
      </c>
      <c r="F195" s="72" t="n">
        <v>0.08</v>
      </c>
      <c r="H195" t="inlineStr">
        <is>
          <t>1 shilling 6pence from Thomas ate Church', John le Kay and their fellows for transgression against their neighbours and false complaint.</t>
        </is>
      </c>
    </row>
    <row r="196">
      <c r="A196" t="inlineStr">
        <is>
          <t>Perquisites</t>
        </is>
      </c>
      <c r="B196" t="n">
        <v>0</v>
      </c>
      <c r="C196" t="n">
        <v>2</v>
      </c>
      <c r="D196" t="n">
        <v>0</v>
      </c>
      <c r="F196" s="72" t="n">
        <v>0.1</v>
      </c>
      <c r="H196" t="inlineStr">
        <is>
          <t>2 shilling from Henry le Er for trespass of multure of part of the corn at the lord's mill.</t>
        </is>
      </c>
    </row>
    <row r="197">
      <c r="A197" t="inlineStr">
        <is>
          <t>Perquisites</t>
        </is>
      </c>
      <c r="B197" t="n">
        <v>0</v>
      </c>
      <c r="C197" t="n">
        <v>3</v>
      </c>
      <c r="D197" t="n">
        <v>0</v>
      </c>
      <c r="F197" s="72" t="n">
        <v>0.15</v>
      </c>
      <c r="H197" t="inlineStr">
        <is>
          <t>3 shilling from Adam Kay for having his pigs at the barn door.</t>
        </is>
      </c>
    </row>
    <row r="198">
      <c r="A198" t="inlineStr">
        <is>
          <t>Perquisites</t>
        </is>
      </c>
      <c r="B198" t="n">
        <v>0</v>
      </c>
      <c r="C198" t="n">
        <v>2</v>
      </c>
      <c r="D198" t="n">
        <v>0</v>
      </c>
      <c r="F198" s="72" t="n">
        <v>0.1</v>
      </c>
      <c r="H198" t="inlineStr">
        <is>
          <t>2 shilling from John Kynho for trespass of herbage in the lord's meadow.</t>
        </is>
      </c>
    </row>
    <row r="199">
      <c r="A199" t="inlineStr">
        <is>
          <t>Perquisites</t>
        </is>
      </c>
      <c r="B199" t="n">
        <v>0</v>
      </c>
      <c r="C199" t="n">
        <v>2</v>
      </c>
      <c r="D199" t="n">
        <v>0</v>
      </c>
      <c r="F199" s="72" t="n">
        <v>0.1</v>
      </c>
      <c r="H199" t="inlineStr">
        <is>
          <t>2 shilling from William Fynamur and his sons for transgression against Walter Sweyn.</t>
        </is>
      </c>
    </row>
    <row r="200">
      <c r="A200" t="inlineStr">
        <is>
          <t>Perquisites</t>
        </is>
      </c>
      <c r="B200" t="n">
        <v>2</v>
      </c>
      <c r="C200" t="n">
        <v>18</v>
      </c>
      <c r="D200" t="n">
        <v>5</v>
      </c>
      <c r="F200" s="72" t="n">
        <v>2.92</v>
      </c>
      <c r="H200" t="inlineStr">
        <is>
          <t>£2 18 shilling 5pence from various men for various transgressions.</t>
        </is>
      </c>
    </row>
    <row r="201">
      <c r="A201" t="inlineStr">
        <is>
          <t>Perquisites</t>
        </is>
      </c>
      <c r="B201" t="n">
        <v>0</v>
      </c>
      <c r="C201" t="n">
        <v>18</v>
      </c>
      <c r="D201" t="n">
        <v>0</v>
      </c>
      <c r="F201" s="72" t="n">
        <v>0.9</v>
      </c>
      <c r="H201" t="inlineStr">
        <is>
          <t>18 shilling from various men for various transgressions from the 2 courts held after the tourn of Hockday.</t>
        </is>
      </c>
    </row>
    <row r="202">
      <c r="A202" t="inlineStr">
        <is>
          <t>Perquisites</t>
        </is>
      </c>
      <c r="B202" t="n">
        <v>5</v>
      </c>
      <c r="C202" t="n">
        <v>19</v>
      </c>
      <c r="D202" t="n">
        <v>4</v>
      </c>
      <c r="F202" s="72" t="n">
        <v>5.97</v>
      </c>
      <c r="H202" t="inlineStr">
        <is>
          <t>Total, £5 19 shilling 4pence</t>
        </is>
      </c>
    </row>
    <row r="203">
      <c r="A203" t="inlineStr">
        <is>
          <t>Perquisites</t>
        </is>
      </c>
      <c r="F203" s="72" t="n">
        <v>5.99</v>
      </c>
      <c r="G203" s="137" t="n">
        <v>0.02000000000000046</v>
      </c>
      <c r="H203" t="inlineStr">
        <is>
          <t>Total</t>
        </is>
      </c>
    </row>
    <row r="204"/>
    <row r="205">
      <c r="A205" s="38" t="inlineStr">
        <is>
          <t>Total of all receipts recorded in accounts</t>
        </is>
      </c>
      <c r="B205" t="n">
        <v>270</v>
      </c>
      <c r="C205" t="n">
        <v>1</v>
      </c>
      <c r="D205" t="n">
        <v>11.5</v>
      </c>
      <c r="F205" s="72" t="n">
        <v>270.1</v>
      </c>
      <c r="H205" t="inlineStr">
        <is>
          <t>Total of all receipts, £270 1 shilling 11.5pence</t>
        </is>
      </c>
    </row>
    <row r="206" ht="16" customHeight="1">
      <c r="A206" s="9" t="inlineStr">
        <is>
          <t>Total cross-check without arrears</t>
        </is>
      </c>
      <c r="F206" s="72">
        <f>F185+F154+F150+F143+F132+F63+F54+F50+F46+F41</f>
        <v/>
      </c>
      <c r="G206" s="137">
        <f>F206-F205</f>
        <v/>
      </c>
    </row>
    <row r="207" ht="16" customHeight="1">
      <c r="A207" s="9" t="inlineStr">
        <is>
          <t>Total cross-check with arrears</t>
        </is>
      </c>
      <c r="F207" s="72">
        <f>F206+F6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2"/>
  <sheetViews>
    <sheetView topLeftCell="A1" workbookViewId="0">
      <selection activeCell="A1" sqref="A1"/>
    </sheetView>
  </sheetViews>
  <sheetFormatPr baseColWidth="8" defaultRowHeight="15"/>
  <cols>
    <col width="33.1640625" customWidth="1" min="1" max="1"/>
    <col width="8.83203125" customWidth="1" min="6" max="6"/>
    <col width="8.83203125" customWidth="1" min="7" max="7"/>
    <col width="62.5" customWidth="1" min="8" max="8"/>
    <col width="17.1640625" customWidth="1" min="10" max="10"/>
    <col width="23.83203125" customWidth="1" min="11" max="11"/>
  </cols>
  <sheetData>
    <row r="1" ht="16" customHeight="1">
      <c r="A1" s="2" t="inlineStr">
        <is>
          <t>EAST MEON EXPENSES</t>
        </is>
      </c>
    </row>
    <row r="2" ht="17"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Cost of ploughs</t>
        </is>
      </c>
      <c r="B3" t="n">
        <v>0</v>
      </c>
      <c r="C3" t="n">
        <v>14</v>
      </c>
      <c r="D3" t="n">
        <v>3</v>
      </c>
      <c r="F3" s="72" t="n">
        <v>0.71</v>
      </c>
      <c r="H3" t="inlineStr">
        <is>
          <t>In ironwork of 5 ox-ploughs and 3 horse-ploughs (caruc' affr') for the year and 1 horse-plough (caruc' equin') at the Lenten sowing, 14 shilling 3pence this year, on account of the excessive drought.</t>
        </is>
      </c>
      <c r="J3" s="72">
        <f>F3</f>
        <v/>
      </c>
      <c r="K3" s="72">
        <f>J3</f>
        <v/>
      </c>
    </row>
    <row r="4">
      <c r="A4" t="inlineStr">
        <is>
          <t>Cost of ploughs</t>
        </is>
      </c>
      <c r="B4" t="n">
        <v>0</v>
      </c>
      <c r="C4" t="n">
        <v>8</v>
      </c>
      <c r="D4" t="n">
        <v>0</v>
      </c>
      <c r="F4" s="72" t="n">
        <v>0.4</v>
      </c>
      <c r="H4" t="inlineStr">
        <is>
          <t>stipend of the smith forging the ironwork of the said ploughs for the year, 8 shilling by fixed agreement.</t>
        </is>
      </c>
      <c r="J4" s="72">
        <f>F4</f>
        <v/>
      </c>
      <c r="K4">
        <f>J4/2</f>
        <v/>
      </c>
    </row>
    <row r="5">
      <c r="A5" t="inlineStr">
        <is>
          <t>Cost of ploughs</t>
        </is>
      </c>
      <c r="B5" t="n">
        <v>0</v>
      </c>
      <c r="C5" t="n">
        <v>3</v>
      </c>
      <c r="D5" t="n">
        <v>9</v>
      </c>
      <c r="F5" s="72" t="n">
        <v>0.19</v>
      </c>
      <c r="H5" t="inlineStr">
        <is>
          <t>5 ploughshares bought 3 shilling 9pence.</t>
        </is>
      </c>
      <c r="J5" s="72">
        <f>F5</f>
        <v/>
      </c>
      <c r="K5" s="72">
        <f>J5</f>
        <v/>
      </c>
    </row>
    <row r="6">
      <c r="A6" t="inlineStr">
        <is>
          <t>Cost of ploughs</t>
        </is>
      </c>
      <c r="B6" t="n">
        <v>0</v>
      </c>
      <c r="C6" t="n">
        <v>0</v>
      </c>
      <c r="D6" t="n">
        <v>0</v>
      </c>
      <c r="F6" s="72" t="n">
        <v>0</v>
      </c>
      <c r="H6" t="inlineStr">
        <is>
          <t>2 coulters mended 44..</t>
        </is>
      </c>
      <c r="J6" s="72">
        <f>F6</f>
        <v/>
      </c>
      <c r="K6">
        <f>J6/2</f>
        <v/>
      </c>
    </row>
    <row r="7">
      <c r="A7" t="inlineStr">
        <is>
          <t>Cost of ploughs</t>
        </is>
      </c>
      <c r="B7" t="n">
        <v>0</v>
      </c>
      <c r="C7" t="n">
        <v>2</v>
      </c>
      <c r="D7" t="n">
        <v>11</v>
      </c>
      <c r="F7" s="72" t="n">
        <v>0.15</v>
      </c>
      <c r="H7" t="inlineStr">
        <is>
          <t>7 plough feet bought 2 shilling 11pence, at 5pence each.</t>
        </is>
      </c>
      <c r="J7" s="72">
        <f>F7</f>
        <v/>
      </c>
      <c r="K7" s="72">
        <f>J7</f>
        <v/>
      </c>
    </row>
    <row r="8">
      <c r="A8" t="inlineStr">
        <is>
          <t>Cost of ploughs</t>
        </is>
      </c>
      <c r="B8" t="n">
        <v>0</v>
      </c>
      <c r="C8" t="n">
        <v>7</v>
      </c>
      <c r="D8" t="n">
        <v>4</v>
      </c>
      <c r="F8" s="72" t="n">
        <v>0.37</v>
      </c>
      <c r="H8" t="inlineStr">
        <is>
          <t>a new plough and harrow made and others mended for the year, 7 shilling 4pence by fixed agreement, and so much because the worker was not at the bailiff's table.</t>
        </is>
      </c>
      <c r="J8" s="72">
        <f>F8</f>
        <v/>
      </c>
      <c r="K8">
        <f>J8/2</f>
        <v/>
      </c>
    </row>
    <row r="9">
      <c r="A9" t="inlineStr">
        <is>
          <t>Cost of ploughs</t>
        </is>
      </c>
      <c r="B9" t="n">
        <v>0</v>
      </c>
      <c r="C9" t="n">
        <v>0</v>
      </c>
      <c r="D9" t="n">
        <v>6</v>
      </c>
      <c r="F9" s="72" t="n">
        <v>0.03</v>
      </c>
      <c r="H9" t="inlineStr">
        <is>
          <t>fitting the ploughs with iron tyres 6pence.</t>
        </is>
      </c>
      <c r="J9" s="72">
        <f>F9</f>
        <v/>
      </c>
      <c r="K9" s="72">
        <f>J9</f>
        <v/>
      </c>
    </row>
    <row r="10">
      <c r="A10" t="inlineStr">
        <is>
          <t>Cost of ploughs</t>
        </is>
      </c>
      <c r="B10" t="n">
        <v>0</v>
      </c>
      <c r="C10" t="n">
        <v>2</v>
      </c>
      <c r="D10" t="n">
        <v>0</v>
      </c>
      <c r="F10" s="72" t="n">
        <v>0.1</v>
      </c>
      <c r="H10" t="inlineStr">
        <is>
          <t>6 pairs of wheels bought for the ploughs 2 shilling.</t>
        </is>
      </c>
      <c r="J10" s="72">
        <f>F10</f>
        <v/>
      </c>
      <c r="K10">
        <f>J10/2</f>
        <v/>
      </c>
    </row>
    <row r="11">
      <c r="A11" t="inlineStr">
        <is>
          <t>Cost of ploughs</t>
        </is>
      </c>
      <c r="B11" t="n">
        <v>0</v>
      </c>
      <c r="C11" t="n">
        <v>1</v>
      </c>
      <c r="D11" t="n">
        <v>6</v>
      </c>
      <c r="F11" s="72" t="n">
        <v>0.08</v>
      </c>
      <c r="H11" t="inlineStr">
        <is>
          <t>shoeing 18 plough-horses for the year 1 shilling 6pence.</t>
        </is>
      </c>
      <c r="J11" s="72">
        <f>F11</f>
        <v/>
      </c>
      <c r="K11" s="72">
        <f>J11</f>
        <v/>
      </c>
    </row>
    <row r="12">
      <c r="A12" t="inlineStr">
        <is>
          <t>Cost of ploughs</t>
        </is>
      </c>
      <c r="B12" t="n">
        <v>0</v>
      </c>
      <c r="C12" t="n">
        <v>0</v>
      </c>
      <c r="D12" t="n">
        <v>4</v>
      </c>
      <c r="F12" s="72" t="n">
        <v>0.02</v>
      </c>
      <c r="H12" t="inlineStr">
        <is>
          <t>fastening the same 4pence.</t>
        </is>
      </c>
      <c r="J12" s="72">
        <f>F12</f>
        <v/>
      </c>
      <c r="K12">
        <f>J12/2</f>
        <v/>
      </c>
    </row>
    <row r="13">
      <c r="A13" t="inlineStr">
        <is>
          <t>Cost of ploughs</t>
        </is>
      </c>
      <c r="B13" t="n">
        <v>0</v>
      </c>
      <c r="C13" t="n">
        <v>2</v>
      </c>
      <c r="D13" t="n">
        <v>2</v>
      </c>
      <c r="F13" s="72" t="n">
        <v>0.11</v>
      </c>
      <c r="H13" t="inlineStr">
        <is>
          <t>stipend of 1 harrower at both sowings 2 shilling 2pence.</t>
        </is>
      </c>
      <c r="J13" s="72">
        <f>F13</f>
        <v/>
      </c>
      <c r="K13" s="72">
        <f>J13</f>
        <v/>
      </c>
    </row>
    <row r="14">
      <c r="A14" t="inlineStr">
        <is>
          <t>Cost of ploughs</t>
        </is>
      </c>
      <c r="B14" t="n">
        <v>0</v>
      </c>
      <c r="C14" t="n">
        <v>0</v>
      </c>
      <c r="D14" t="n">
        <v>4</v>
      </c>
      <c r="F14" s="72" t="n">
        <v>0.02</v>
      </c>
      <c r="H14" t="inlineStr">
        <is>
          <t>16 halters made from the horses' own hair 4pence.</t>
        </is>
      </c>
      <c r="J14" s="72">
        <f>F14</f>
        <v/>
      </c>
      <c r="K14">
        <f>J14/2</f>
        <v/>
      </c>
    </row>
    <row r="15">
      <c r="A15" t="inlineStr">
        <is>
          <t>Cost of ploughs</t>
        </is>
      </c>
      <c r="B15" t="n">
        <v>0</v>
      </c>
      <c r="C15" t="n">
        <v>0</v>
      </c>
      <c r="D15" t="n">
        <v>1.5</v>
      </c>
      <c r="F15" s="72" t="n">
        <v>0.01</v>
      </c>
      <c r="H15" t="inlineStr">
        <is>
          <t>1 seed-basket bought 1.5pence.</t>
        </is>
      </c>
      <c r="J15" s="72">
        <f>F15</f>
        <v/>
      </c>
      <c r="K15" s="72">
        <f>J15</f>
        <v/>
      </c>
    </row>
    <row r="16">
      <c r="A16" t="inlineStr">
        <is>
          <t>Cost of ploughs</t>
        </is>
      </c>
      <c r="B16" t="n">
        <v>0</v>
      </c>
      <c r="C16" t="n">
        <v>9</v>
      </c>
      <c r="D16" t="n">
        <v>0</v>
      </c>
      <c r="F16" s="72" t="n">
        <v>0.45</v>
      </c>
      <c r="H16" t="inlineStr">
        <is>
          <t>stipend of 3 drovers for the year 9 shilling.</t>
        </is>
      </c>
    </row>
    <row r="17">
      <c r="A17" t="inlineStr">
        <is>
          <t>Cost of ploughs</t>
        </is>
      </c>
      <c r="B17" t="n">
        <v>0</v>
      </c>
      <c r="C17" t="n">
        <v>10</v>
      </c>
      <c r="D17" t="n">
        <v>0</v>
      </c>
      <c r="F17" s="72" t="n">
        <v>0.5</v>
      </c>
      <c r="H17" t="inlineStr">
        <is>
          <t>stipend of 2 drovers for the year 10 shilling.</t>
        </is>
      </c>
    </row>
    <row r="18">
      <c r="A18" t="inlineStr">
        <is>
          <t>Cost of ploughs</t>
        </is>
      </c>
      <c r="B18" t="n">
        <v>0</v>
      </c>
      <c r="C18" t="n">
        <v>3</v>
      </c>
      <c r="D18" t="n">
        <v>0</v>
      </c>
      <c r="F18" s="72" t="n">
        <v>0.15</v>
      </c>
      <c r="H18" t="inlineStr">
        <is>
          <t>stipend of 1 hayward for the year 3 shilling.</t>
        </is>
      </c>
    </row>
    <row r="19">
      <c r="A19" t="inlineStr">
        <is>
          <t>Cost of ploughs</t>
        </is>
      </c>
      <c r="B19" t="n">
        <v>0</v>
      </c>
      <c r="C19" t="n">
        <v>3</v>
      </c>
      <c r="D19" t="n">
        <v>0</v>
      </c>
      <c r="F19" s="72" t="n">
        <v>0.15</v>
      </c>
      <c r="H19" t="inlineStr">
        <is>
          <t>stipend of 1 cowherd for the year 3 shilling.</t>
        </is>
      </c>
    </row>
    <row r="20">
      <c r="A20" t="inlineStr">
        <is>
          <t>Cost of ploughs</t>
        </is>
      </c>
      <c r="B20" t="n">
        <v>0</v>
      </c>
      <c r="C20" t="n">
        <v>3</v>
      </c>
      <c r="D20" t="n">
        <v>0</v>
      </c>
      <c r="F20" s="72" t="n">
        <v>0.15</v>
      </c>
      <c r="H20" t="inlineStr">
        <is>
          <t>stipend of 1 keeper of lambs and hoggs for the year 3 shilling.</t>
        </is>
      </c>
    </row>
    <row r="21">
      <c r="A21" t="inlineStr">
        <is>
          <t>Cost of ploughs</t>
        </is>
      </c>
      <c r="B21" t="n">
        <v>0</v>
      </c>
      <c r="C21" t="n">
        <v>0</v>
      </c>
      <c r="D21" t="n">
        <v>1</v>
      </c>
      <c r="F21" s="72" t="n">
        <v>0</v>
      </c>
      <c r="H21" t="inlineStr">
        <is>
          <t>ploughing boon-works in winter or Lent, nothing this year, that is, they are bound to plough 26 acres for landrihf in winter and 26 acres in Lent, because the land which William le Fissar' holds is commuted as made clear above, and those who plough for landrihe in winter are bound to thresh seed for 1 acre or give 1pence for the threshing at the lord's will.</t>
        </is>
      </c>
    </row>
    <row r="22">
      <c r="A22" t="inlineStr">
        <is>
          <t>Cost of ploughs</t>
        </is>
      </c>
      <c r="B22" t="n">
        <v>0</v>
      </c>
      <c r="C22" t="n">
        <v>0</v>
      </c>
      <c r="D22" t="n">
        <v>3</v>
      </c>
      <c r="F22" s="72" t="n">
        <v>0.01</v>
      </c>
      <c r="H22" t="inlineStr">
        <is>
          <t>blood-letting of oxen 3pence.</t>
        </is>
      </c>
    </row>
    <row r="23">
      <c r="A23" t="inlineStr">
        <is>
          <t>Cost of ploughs</t>
        </is>
      </c>
      <c r="B23" t="n">
        <v>0</v>
      </c>
      <c r="C23" t="n">
        <v>1</v>
      </c>
      <c r="D23" t="n">
        <v>0</v>
      </c>
      <c r="F23" s="72" t="n">
        <v>0.05</v>
      </c>
      <c r="H23" t="inlineStr">
        <is>
          <t>hiring men for the ploughs when they plough after dinner 1 shilling.</t>
        </is>
      </c>
    </row>
    <row r="24">
      <c r="A24" t="inlineStr">
        <is>
          <t>Cost of ploughs</t>
        </is>
      </c>
      <c r="B24" t="n">
        <v>5</v>
      </c>
      <c r="C24" t="n">
        <v>6</v>
      </c>
      <c r="D24" t="n">
        <v>1.5</v>
      </c>
      <c r="F24" s="72" t="n">
        <v>5.31</v>
      </c>
      <c r="H24" t="inlineStr">
        <is>
          <t>11 plough-horses bought for the ploughs £5 6 shilling 1.5pence, at 9 shilling each for 3, 9 shilling 6pence each for 2, and 10 shilling each for 6, plus 1.5pence in all.</t>
        </is>
      </c>
    </row>
    <row r="25">
      <c r="A25" t="inlineStr">
        <is>
          <t>Cost of ploughs</t>
        </is>
      </c>
      <c r="B25" t="n">
        <v>6</v>
      </c>
      <c r="C25" t="n">
        <v>7</v>
      </c>
      <c r="D25" t="n">
        <v>0</v>
      </c>
      <c r="F25" s="72" t="n">
        <v>6.35</v>
      </c>
      <c r="H25" t="inlineStr">
        <is>
          <t>10 oxen bought for ploughs £6 7 shilling .25pence, at 12 shilling .25pence for 1, 12 shilling 6pence each for 4, and 13 shilling each for 5..</t>
        </is>
      </c>
    </row>
    <row r="26">
      <c r="A26" t="inlineStr">
        <is>
          <t>Cost of ploughs</t>
        </is>
      </c>
      <c r="B26" t="n">
        <v>0</v>
      </c>
      <c r="C26" t="n">
        <v>1</v>
      </c>
      <c r="D26" t="n">
        <v>0</v>
      </c>
      <c r="F26" s="72">
        <f>B26+C26/20+D26/240</f>
        <v/>
      </c>
      <c r="H26" t="inlineStr">
        <is>
          <t xml:space="preserve">2 sacks bought 1 shilling </t>
        </is>
      </c>
    </row>
    <row r="27">
      <c r="A27" t="inlineStr">
        <is>
          <t>Cost of ploughs</t>
        </is>
      </c>
      <c r="B27" t="n">
        <v>15</v>
      </c>
      <c r="C27" t="n">
        <v>6</v>
      </c>
      <c r="D27" t="n">
        <v>11.25</v>
      </c>
      <c r="F27" s="72" t="n">
        <v>15.35</v>
      </c>
      <c r="H27" t="inlineStr">
        <is>
          <t>Total, £15 6 shilling 11.25pence</t>
        </is>
      </c>
    </row>
    <row r="28">
      <c r="A28" t="inlineStr">
        <is>
          <t>Cost of ploughs</t>
        </is>
      </c>
      <c r="F28" s="72">
        <f>SUM(F3:F26)</f>
        <v/>
      </c>
      <c r="G28" s="137">
        <f>F28-F27</f>
        <v/>
      </c>
      <c r="H28" t="inlineStr">
        <is>
          <t>Total</t>
        </is>
      </c>
    </row>
    <row r="29"/>
    <row r="30">
      <c r="A30" t="inlineStr">
        <is>
          <t>Cost of carts</t>
        </is>
      </c>
      <c r="B30" t="n">
        <v>0</v>
      </c>
      <c r="C30" t="n">
        <v>0</v>
      </c>
      <c r="D30" t="n">
        <v>10</v>
      </c>
      <c r="F30" s="72" t="n">
        <v>0.04</v>
      </c>
      <c r="H30" t="inlineStr">
        <is>
          <t>In 1 pair of wheels made from the lord's timber 10pence.</t>
        </is>
      </c>
      <c r="J30" s="72">
        <f>F30</f>
        <v/>
      </c>
      <c r="K30" s="72">
        <f>J30</f>
        <v/>
      </c>
    </row>
    <row r="31">
      <c r="A31" t="inlineStr">
        <is>
          <t>Cost of carts</t>
        </is>
      </c>
      <c r="B31" t="n">
        <v>0</v>
      </c>
      <c r="C31" t="n">
        <v>4</v>
      </c>
      <c r="D31" t="n">
        <v>2.5</v>
      </c>
      <c r="F31" s="72" t="n">
        <v>0.21</v>
      </c>
      <c r="H31" t="inlineStr">
        <is>
          <t>an old binding fitted to the said wheels, with clamps and large and small nails bought for the same, and with the stipend of the smith, 4 shilling 2.5pence.</t>
        </is>
      </c>
      <c r="J31" s="72">
        <f>F31</f>
        <v/>
      </c>
      <c r="K31" s="72">
        <f>J31</f>
        <v/>
      </c>
    </row>
    <row r="32">
      <c r="A32" t="inlineStr">
        <is>
          <t>Cost of carts</t>
        </is>
      </c>
      <c r="B32" t="n">
        <v>0</v>
      </c>
      <c r="C32" t="n">
        <v>0</v>
      </c>
      <c r="D32" t="n">
        <v>2</v>
      </c>
      <c r="F32" s="72" t="n">
        <v>0.01</v>
      </c>
      <c r="H32" t="inlineStr">
        <is>
          <t>hooping the hubs of the cart with iron 2pence.</t>
        </is>
      </c>
      <c r="J32" s="72">
        <f>F32</f>
        <v/>
      </c>
      <c r="K32" s="72">
        <f>J32</f>
        <v/>
      </c>
    </row>
    <row r="33">
      <c r="A33" t="inlineStr">
        <is>
          <t>Cost of carts</t>
        </is>
      </c>
      <c r="B33" t="n">
        <v>0</v>
      </c>
      <c r="C33" t="n">
        <v>0</v>
      </c>
      <c r="D33" t="n">
        <v>6</v>
      </c>
      <c r="F33" s="72" t="n">
        <v>0.03</v>
      </c>
      <c r="H33" t="inlineStr">
        <is>
          <t>fitting the cart with axles for the year 6pence.</t>
        </is>
      </c>
      <c r="J33" s="72">
        <f>F33</f>
        <v/>
      </c>
      <c r="K33" s="72">
        <f>J33</f>
        <v/>
      </c>
    </row>
    <row r="34">
      <c r="A34" t="inlineStr">
        <is>
          <t>Cost of carts</t>
        </is>
      </c>
      <c r="B34" t="n">
        <v>0</v>
      </c>
      <c r="C34" t="n">
        <v>2</v>
      </c>
      <c r="D34" t="n">
        <v>10</v>
      </c>
      <c r="F34" s="72" t="n">
        <v>0.14</v>
      </c>
      <c r="H34" t="inlineStr">
        <is>
          <t>clouts, nails and grease bought for the same, 2 shilling 10pence this year, for carrying timber to the chapel.</t>
        </is>
      </c>
      <c r="J34" s="72">
        <f>F34</f>
        <v/>
      </c>
      <c r="K34" s="72">
        <f>J34</f>
        <v/>
      </c>
    </row>
    <row r="35">
      <c r="A35" t="inlineStr">
        <is>
          <t>Cost of carts</t>
        </is>
      </c>
      <c r="B35" t="n">
        <v>0</v>
      </c>
      <c r="C35" t="n">
        <v>0</v>
      </c>
      <c r="D35" t="n">
        <v>6</v>
      </c>
      <c r="F35" s="72" t="n">
        <v>0.03</v>
      </c>
      <c r="H35" t="inlineStr">
        <is>
          <t>white leather bought for mending harnesses 6pence.</t>
        </is>
      </c>
      <c r="J35" s="72">
        <f>F35</f>
        <v/>
      </c>
      <c r="K35" s="72">
        <f>J35</f>
        <v/>
      </c>
    </row>
    <row r="36">
      <c r="A36" t="inlineStr">
        <is>
          <t>Cost of carts</t>
        </is>
      </c>
      <c r="B36" t="n">
        <v>0</v>
      </c>
      <c r="C36" t="n">
        <v>0</v>
      </c>
      <c r="D36" t="n">
        <v>7</v>
      </c>
      <c r="F36" s="72" t="n">
        <v>0.03</v>
      </c>
      <c r="H36" t="inlineStr">
        <is>
          <t>1 pair of traces bought 7pence.</t>
        </is>
      </c>
      <c r="J36" s="72">
        <f>F36</f>
        <v/>
      </c>
      <c r="K36" s="72">
        <f>J36</f>
        <v/>
      </c>
    </row>
    <row r="37">
      <c r="A37" t="inlineStr">
        <is>
          <t>Cost of carts</t>
        </is>
      </c>
      <c r="B37" t="n">
        <v>0</v>
      </c>
      <c r="C37" t="n">
        <v>0</v>
      </c>
      <c r="D37" t="n">
        <v>6.5</v>
      </c>
      <c r="F37" s="72" t="n">
        <v>0.03</v>
      </c>
      <c r="H37" t="inlineStr">
        <is>
          <t>1 collar 6.5pence.</t>
        </is>
      </c>
      <c r="J37" s="72">
        <f>F37</f>
        <v/>
      </c>
      <c r="K37" s="72">
        <f>J37</f>
        <v/>
      </c>
    </row>
    <row r="38">
      <c r="A38" t="inlineStr">
        <is>
          <t>Cost of carts</t>
        </is>
      </c>
      <c r="B38" t="n">
        <v>0</v>
      </c>
      <c r="C38" t="n">
        <v>0</v>
      </c>
      <c r="D38" t="n">
        <v>2</v>
      </c>
      <c r="F38" s="72" t="n">
        <v>0.01</v>
      </c>
      <c r="H38" t="inlineStr">
        <is>
          <t>2 halters bought 2pence.</t>
        </is>
      </c>
      <c r="J38" s="72">
        <f>F38</f>
        <v/>
      </c>
      <c r="K38" s="72">
        <f>J38</f>
        <v/>
      </c>
    </row>
    <row r="39">
      <c r="A39" t="inlineStr">
        <is>
          <t>Cost of carts</t>
        </is>
      </c>
      <c r="B39" t="n">
        <v>0</v>
      </c>
      <c r="C39" t="n">
        <v>0</v>
      </c>
      <c r="D39" t="n">
        <v>8</v>
      </c>
      <c r="F39" s="72" t="n">
        <v>0.03</v>
      </c>
      <c r="H39" t="inlineStr">
        <is>
          <t>1 cart-body and 1 cart-rail made anew 8pence.</t>
        </is>
      </c>
      <c r="J39" s="72">
        <f>F39</f>
        <v/>
      </c>
      <c r="K39" s="72">
        <f>J39</f>
        <v/>
      </c>
    </row>
    <row r="40">
      <c r="A40" t="inlineStr">
        <is>
          <t>Cost of carts</t>
        </is>
      </c>
      <c r="B40" t="n">
        <v>0</v>
      </c>
      <c r="C40" t="n">
        <v>0</v>
      </c>
      <c r="D40" t="n">
        <v>8</v>
      </c>
      <c r="F40" s="72" t="n">
        <v>0.03</v>
      </c>
      <c r="H40" t="inlineStr">
        <is>
          <t>mending the old cart at various times 8pence in doctoring horses 4pence.</t>
        </is>
      </c>
      <c r="J40" s="72">
        <f>F40</f>
        <v/>
      </c>
      <c r="K40" s="72">
        <f>J40</f>
        <v/>
      </c>
    </row>
    <row r="41">
      <c r="A41" t="inlineStr">
        <is>
          <t>Cost of carts</t>
        </is>
      </c>
      <c r="B41" t="n">
        <v>0</v>
      </c>
      <c r="C41" t="n">
        <v>2</v>
      </c>
      <c r="D41" t="n">
        <v>0</v>
      </c>
      <c r="F41" s="72" t="n">
        <v>0.1</v>
      </c>
      <c r="H41" t="inlineStr">
        <is>
          <t>shoeing 2 cart-horses for the year 2 shilling.</t>
        </is>
      </c>
      <c r="J41" s="72">
        <f>F41</f>
        <v/>
      </c>
      <c r="K41" s="72">
        <f>J41</f>
        <v/>
      </c>
    </row>
    <row r="42">
      <c r="A42" t="inlineStr">
        <is>
          <t>Cost of carts</t>
        </is>
      </c>
      <c r="B42" t="n">
        <v>0</v>
      </c>
      <c r="C42" t="n">
        <v>3</v>
      </c>
      <c r="D42" t="n">
        <v>0</v>
      </c>
      <c r="F42" s="72" t="n">
        <v>0.15</v>
      </c>
      <c r="H42" t="inlineStr">
        <is>
          <t xml:space="preserve">stipend of 1 carter for the year 3 shilling </t>
        </is>
      </c>
    </row>
    <row r="43">
      <c r="A43" t="inlineStr">
        <is>
          <t>Cost of carts</t>
        </is>
      </c>
      <c r="B43" t="n">
        <v>0</v>
      </c>
      <c r="C43" t="n">
        <v>17</v>
      </c>
      <c r="D43" t="n">
        <v>0</v>
      </c>
      <c r="F43" s="72">
        <f>B43+C43/20+D43/240</f>
        <v/>
      </c>
      <c r="H43" t="inlineStr">
        <is>
          <t>Total, 17 shilling</t>
        </is>
      </c>
    </row>
    <row r="44">
      <c r="A44" t="inlineStr">
        <is>
          <t>Cost of carts</t>
        </is>
      </c>
      <c r="F44" s="72">
        <f>SUM(F30:F42)</f>
        <v/>
      </c>
      <c r="G44" s="137">
        <f>F44-F43</f>
        <v/>
      </c>
      <c r="H44" t="inlineStr">
        <is>
          <t>Total</t>
        </is>
      </c>
    </row>
    <row r="45"/>
    <row r="46">
      <c r="A46" t="inlineStr">
        <is>
          <t>Cost of the dairy</t>
        </is>
      </c>
      <c r="B46" t="n">
        <v>0</v>
      </c>
      <c r="C46" t="n">
        <v>2</v>
      </c>
      <c r="D46" t="n">
        <v>3</v>
      </c>
      <c r="F46" s="72" t="n">
        <v>0.11</v>
      </c>
      <c r="H46" t="inlineStr">
        <is>
          <t>In 1 qr 1 bushels of salt bought for the dairy 2 shilling 3pence.</t>
        </is>
      </c>
      <c r="J46" s="72">
        <f>F46</f>
        <v/>
      </c>
      <c r="K46" s="72">
        <f>J46</f>
        <v/>
      </c>
    </row>
    <row r="47">
      <c r="A47" t="inlineStr">
        <is>
          <t>Cost of the dairy</t>
        </is>
      </c>
      <c r="B47" t="n">
        <v>0</v>
      </c>
      <c r="C47" t="n">
        <v>1</v>
      </c>
      <c r="D47" t="n">
        <v>3</v>
      </c>
      <c r="F47" s="72" t="n">
        <v>0.06</v>
      </c>
      <c r="H47" t="inlineStr">
        <is>
          <t>5 bushels of salt bought for the pottage of the manorial servants 1 shilling 3pence.</t>
        </is>
      </c>
      <c r="J47" s="72">
        <f>F47</f>
        <v/>
      </c>
      <c r="K47" s="72">
        <f>J47</f>
        <v/>
      </c>
    </row>
    <row r="48">
      <c r="A48" t="inlineStr">
        <is>
          <t>Cost of the dairy</t>
        </is>
      </c>
      <c r="B48" t="n">
        <v>0</v>
      </c>
      <c r="C48" t="n">
        <v>0</v>
      </c>
      <c r="D48" t="n">
        <v>6</v>
      </c>
      <c r="F48" s="72" t="n">
        <v>0.03</v>
      </c>
      <c r="H48" t="inlineStr">
        <is>
          <t>a press bought 6pence.</t>
        </is>
      </c>
      <c r="J48" s="72">
        <f>F48</f>
        <v/>
      </c>
      <c r="K48" s="72">
        <f>J48</f>
        <v/>
      </c>
    </row>
    <row r="49">
      <c r="A49" t="inlineStr">
        <is>
          <t>Cost of the dairy</t>
        </is>
      </c>
      <c r="B49" t="n">
        <v>0</v>
      </c>
      <c r="C49" t="n">
        <v>1</v>
      </c>
      <c r="D49" t="n">
        <v>0</v>
      </c>
      <c r="F49" s="72" t="n">
        <v>0.05</v>
      </c>
      <c r="H49" t="inlineStr">
        <is>
          <t>linen and woollen cloth bought 1 shilling.</t>
        </is>
      </c>
      <c r="J49" s="72">
        <f>F49</f>
        <v/>
      </c>
      <c r="K49" s="72">
        <f>J49</f>
        <v/>
      </c>
    </row>
    <row r="50">
      <c r="A50" t="inlineStr">
        <is>
          <t>Cost of the dairy</t>
        </is>
      </c>
      <c r="B50" t="n">
        <v>0</v>
      </c>
      <c r="C50" t="n">
        <v>0</v>
      </c>
      <c r="D50" t="n">
        <v>6</v>
      </c>
      <c r="F50" s="72" t="n">
        <v>0.03</v>
      </c>
      <c r="H50" t="inlineStr">
        <is>
          <t>mending buckets and utensils of the dairy 6pence.</t>
        </is>
      </c>
      <c r="J50" s="72">
        <f>F50</f>
        <v/>
      </c>
      <c r="K50" s="72">
        <f>J50</f>
        <v/>
      </c>
    </row>
    <row r="51">
      <c r="A51" t="inlineStr">
        <is>
          <t>Cost of the dairy</t>
        </is>
      </c>
      <c r="B51" t="n">
        <v>0</v>
      </c>
      <c r="C51" t="n">
        <v>0</v>
      </c>
      <c r="D51" t="n">
        <v>6</v>
      </c>
      <c r="F51" s="72" t="n">
        <v>0.03</v>
      </c>
      <c r="H51" t="inlineStr">
        <is>
          <t>earthenware pots and pans bought 6pence.</t>
        </is>
      </c>
      <c r="J51" s="72">
        <f>F51</f>
        <v/>
      </c>
      <c r="K51" s="72">
        <f>J51</f>
        <v/>
      </c>
    </row>
    <row r="52">
      <c r="A52" t="inlineStr">
        <is>
          <t>Cost of the dairy</t>
        </is>
      </c>
      <c r="B52" t="n">
        <v>0</v>
      </c>
      <c r="C52" t="n">
        <v>18</v>
      </c>
      <c r="D52" t="n">
        <v>6</v>
      </c>
      <c r="F52" s="72" t="n">
        <v>0.93</v>
      </c>
      <c r="H52" t="inlineStr">
        <is>
          <t>grease, copperas and vinegar bought for greasing sheep 18 shilling 6pence.</t>
        </is>
      </c>
      <c r="J52" s="72">
        <f>F52</f>
        <v/>
      </c>
      <c r="K52" s="72">
        <f>J52</f>
        <v/>
      </c>
    </row>
    <row r="53">
      <c r="A53" t="inlineStr">
        <is>
          <t>Cost of the dairy</t>
        </is>
      </c>
      <c r="B53" t="n">
        <v>0</v>
      </c>
      <c r="C53" t="n">
        <v>7</v>
      </c>
      <c r="D53" t="n">
        <v>0</v>
      </c>
      <c r="F53" s="72">
        <f>B53+C53/20+D53/240</f>
        <v/>
      </c>
      <c r="H53" t="inlineStr">
        <is>
          <t>28 ells of canvas bought for packing wool 7 shilling, at 3pence an ell.</t>
        </is>
      </c>
      <c r="J53" s="72">
        <f>F53</f>
        <v/>
      </c>
      <c r="K53" s="72">
        <f>J53</f>
        <v/>
      </c>
    </row>
    <row r="54">
      <c r="A54" t="inlineStr">
        <is>
          <t>Cost of the dairy</t>
        </is>
      </c>
      <c r="B54" t="n">
        <v>0</v>
      </c>
      <c r="C54" t="n">
        <v>1</v>
      </c>
      <c r="D54" t="n">
        <v>2</v>
      </c>
      <c r="F54" s="72" t="n">
        <v>0.06</v>
      </c>
      <c r="H54" t="inlineStr">
        <is>
          <t>packing the wool and making sacks with thread bought for the same 1 shilling 2pence.</t>
        </is>
      </c>
      <c r="J54" s="72">
        <f>F54</f>
        <v/>
      </c>
      <c r="K54" s="72">
        <f>J54</f>
        <v/>
      </c>
    </row>
    <row r="55">
      <c r="A55" t="inlineStr">
        <is>
          <t>Cost of the dairy</t>
        </is>
      </c>
      <c r="B55" t="n">
        <v>0</v>
      </c>
      <c r="C55" t="n">
        <v>2</v>
      </c>
      <c r="D55" t="n">
        <v>2</v>
      </c>
      <c r="F55" s="72" t="n">
        <v>0.11</v>
      </c>
      <c r="H55" t="inlineStr">
        <is>
          <t>60 hurdles made for the fold 2 shilling, at 2pence per 5 hurdles.</t>
        </is>
      </c>
      <c r="J55" s="72">
        <f>F55</f>
        <v/>
      </c>
      <c r="K55" s="72">
        <f>J55</f>
        <v/>
      </c>
    </row>
    <row r="56">
      <c r="A56" t="inlineStr">
        <is>
          <t>Cost of the dairy</t>
        </is>
      </c>
      <c r="B56" t="n">
        <v>0</v>
      </c>
      <c r="C56" t="n">
        <v>2</v>
      </c>
      <c r="D56" t="n">
        <v>8</v>
      </c>
      <c r="F56" s="72" t="n">
        <v>0.13</v>
      </c>
      <c r="H56" t="inlineStr">
        <is>
          <t>wattling 80 hurdles 2 shilling 8pence, at 2pence per 5 hurdles.</t>
        </is>
      </c>
      <c r="J56" s="72">
        <f>F56</f>
        <v/>
      </c>
      <c r="K56" s="72">
        <f>J56</f>
        <v/>
      </c>
    </row>
    <row r="57">
      <c r="A57" t="inlineStr">
        <is>
          <t>Cost of the dairy</t>
        </is>
      </c>
      <c r="B57" t="n">
        <v>0</v>
      </c>
      <c r="C57" t="n">
        <v>0</v>
      </c>
      <c r="D57" t="n">
        <v>10</v>
      </c>
      <c r="F57" s="72" t="n">
        <v>0.04</v>
      </c>
      <c r="H57" t="inlineStr">
        <is>
          <t>30 hurdles made for pens 10pence, at 1pence per 3 hurdles.</t>
        </is>
      </c>
      <c r="J57" s="72">
        <f>F57</f>
        <v/>
      </c>
      <c r="K57" s="72">
        <f>J57</f>
        <v/>
      </c>
    </row>
    <row r="58">
      <c r="A58" t="inlineStr">
        <is>
          <t>Cost of the dairy</t>
        </is>
      </c>
      <c r="B58" t="n">
        <v>0</v>
      </c>
      <c r="C58" t="n">
        <v>1</v>
      </c>
      <c r="D58" t="n">
        <v>6</v>
      </c>
      <c r="F58" s="72" t="n">
        <v>0.08</v>
      </c>
      <c r="H58" t="inlineStr">
        <is>
          <t>mending the walls of the sheepcote of Holecumbe, putting in sills, and enclosing, 1 shilling 6pence.</t>
        </is>
      </c>
      <c r="J58" s="72">
        <f>F58</f>
        <v/>
      </c>
      <c r="K58" s="72">
        <f>J58</f>
        <v/>
      </c>
    </row>
    <row r="59">
      <c r="A59" t="inlineStr">
        <is>
          <t>Cost of the dairy</t>
        </is>
      </c>
      <c r="B59" t="n">
        <v>0</v>
      </c>
      <c r="C59" t="n">
        <v>0</v>
      </c>
      <c r="D59" t="n">
        <v>8</v>
      </c>
      <c r="F59" s="72" t="n">
        <v>0.03</v>
      </c>
      <c r="H59" t="inlineStr">
        <is>
          <t>cratches made for the hoggs 8pence.</t>
        </is>
      </c>
      <c r="J59" s="72">
        <f>F59</f>
        <v/>
      </c>
      <c r="K59" s="72">
        <f>J59</f>
        <v/>
      </c>
    </row>
    <row r="60">
      <c r="A60" t="inlineStr">
        <is>
          <t>Cost of the dairy</t>
        </is>
      </c>
      <c r="B60" t="n">
        <v>0</v>
      </c>
      <c r="C60" t="n">
        <v>0</v>
      </c>
      <c r="D60" t="n">
        <v>8</v>
      </c>
      <c r="F60" s="72" t="n">
        <v>0.03</v>
      </c>
      <c r="H60" t="inlineStr">
        <is>
          <t>roofing and mending the said sheepcote in places 8pence.</t>
        </is>
      </c>
      <c r="J60" s="72">
        <f>F60</f>
        <v/>
      </c>
      <c r="K60" s="72">
        <f>J60</f>
        <v/>
      </c>
    </row>
    <row r="61">
      <c r="A61" t="inlineStr">
        <is>
          <t>Cost of the dairy</t>
        </is>
      </c>
      <c r="B61" t="n">
        <v>0</v>
      </c>
      <c r="C61" t="n">
        <v>0</v>
      </c>
      <c r="D61" t="n">
        <v>4</v>
      </c>
      <c r="F61" s="72">
        <f>B61+C61/20+D61/240</f>
        <v/>
      </c>
      <c r="H61" t="inlineStr">
        <is>
          <t xml:space="preserve">castrating and spaying pigs 4pence </t>
        </is>
      </c>
    </row>
    <row r="62">
      <c r="A62" t="inlineStr">
        <is>
          <t>Cost of the dairy</t>
        </is>
      </c>
      <c r="B62" t="n">
        <v>2</v>
      </c>
      <c r="C62" t="n">
        <v>1</v>
      </c>
      <c r="D62" t="n">
        <v>4</v>
      </c>
      <c r="F62" s="72" t="n">
        <v>2.07</v>
      </c>
      <c r="H62" t="inlineStr">
        <is>
          <t>Total, £2 1 shilling 4pence</t>
        </is>
      </c>
    </row>
    <row r="63">
      <c r="A63" t="inlineStr">
        <is>
          <t>Cost of the dairy</t>
        </is>
      </c>
      <c r="F63" s="72">
        <f>SUM(F46:F61)</f>
        <v/>
      </c>
      <c r="G63" s="137">
        <f>F63-F62</f>
        <v/>
      </c>
      <c r="H63" t="inlineStr">
        <is>
          <t>Total</t>
        </is>
      </c>
    </row>
    <row r="64"/>
    <row r="65">
      <c r="A65" t="inlineStr">
        <is>
          <t>Cost of buildings</t>
        </is>
      </c>
      <c r="B65" t="n">
        <v>0</v>
      </c>
      <c r="C65" t="n">
        <v>3</v>
      </c>
      <c r="D65" t="n">
        <v>10</v>
      </c>
      <c r="F65" s="72" t="n">
        <v>0.19</v>
      </c>
      <c r="H65" t="inlineStr">
        <is>
          <t>In roofing and mending the barn beside the pinfold and other buildings 3 shilling 10pence.</t>
        </is>
      </c>
      <c r="J65" s="72">
        <f>F65</f>
        <v/>
      </c>
      <c r="K65" s="72">
        <f>J65</f>
        <v/>
      </c>
    </row>
    <row r="66">
      <c r="A66" t="inlineStr">
        <is>
          <t>Cost of buildings</t>
        </is>
      </c>
      <c r="B66" t="n">
        <v>0</v>
      </c>
      <c r="C66" t="n">
        <v>2</v>
      </c>
      <c r="D66" t="n">
        <v>9</v>
      </c>
      <c r="F66" s="72" t="n">
        <v>0.14</v>
      </c>
      <c r="H66" t="inlineStr">
        <is>
          <t>rebuilding the walls of the plough-horses' shed which collapsed and making and mending the great fodder-rack with nails bought for the same 2 shilling 9pence.</t>
        </is>
      </c>
      <c r="J66" s="72">
        <f>F66</f>
        <v/>
      </c>
      <c r="K66" s="72">
        <f>J66</f>
        <v/>
      </c>
    </row>
    <row r="67">
      <c r="A67" t="inlineStr">
        <is>
          <t>Cost of buildings</t>
        </is>
      </c>
      <c r="B67" t="n">
        <v>0</v>
      </c>
      <c r="C67" t="n">
        <v>0</v>
      </c>
      <c r="D67" t="n">
        <v>4</v>
      </c>
      <c r="F67" s="72" t="n">
        <v>0.02</v>
      </c>
      <c r="H67" t="inlineStr">
        <is>
          <t>mending the gate of the byre with nails bought 4pence.</t>
        </is>
      </c>
      <c r="J67" s="72">
        <f>F67</f>
        <v/>
      </c>
      <c r="K67" s="72">
        <f>J67</f>
        <v/>
      </c>
    </row>
    <row r="68">
      <c r="A68" t="inlineStr">
        <is>
          <t>Cost of buildings</t>
        </is>
      </c>
      <c r="B68" t="n">
        <v>0</v>
      </c>
      <c r="C68" t="n">
        <v>1</v>
      </c>
      <c r="D68" t="n">
        <v>7.5</v>
      </c>
      <c r="F68" s="72" t="n">
        <v>0.08</v>
      </c>
      <c r="H68" t="inlineStr">
        <is>
          <t>building and mending the walls of the barley-barn which collapsed 1 shilling 7.5pence.</t>
        </is>
      </c>
      <c r="J68" s="72">
        <f>F68</f>
        <v/>
      </c>
      <c r="K68" s="72">
        <f>J68</f>
        <v/>
      </c>
    </row>
    <row r="69">
      <c r="A69" t="inlineStr">
        <is>
          <t>Cost of buildings</t>
        </is>
      </c>
      <c r="B69" t="n">
        <v>0</v>
      </c>
      <c r="C69" t="n">
        <v>0</v>
      </c>
      <c r="D69" t="n">
        <v>6</v>
      </c>
      <c r="F69" s="72" t="n">
        <v>0.03</v>
      </c>
      <c r="H69" t="inlineStr">
        <is>
          <t>mending and fitting with iron 3 shovels and 1 spade 6pence.</t>
        </is>
      </c>
      <c r="J69" s="72">
        <f>F69</f>
        <v/>
      </c>
      <c r="K69" s="72">
        <f>J69</f>
        <v/>
      </c>
    </row>
    <row r="70">
      <c r="A70" t="inlineStr">
        <is>
          <t>Cost of buildings</t>
        </is>
      </c>
      <c r="B70" t="n">
        <v>0</v>
      </c>
      <c r="C70" t="n">
        <v>2</v>
      </c>
      <c r="D70" t="n">
        <v>1.5</v>
      </c>
      <c r="F70" s="72" t="n">
        <v>0.11</v>
      </c>
      <c r="H70" t="inlineStr">
        <is>
          <t>enclosing 34 perches on this side of the pinfold and elsewhere in the curia with hedges 2 shilling 1.5pence, at 0.75pence a perch.</t>
        </is>
      </c>
      <c r="J70" s="72">
        <f>F70</f>
        <v/>
      </c>
      <c r="K70" s="72">
        <f>J70</f>
        <v/>
      </c>
    </row>
    <row r="71">
      <c r="A71" t="inlineStr">
        <is>
          <t>Cost of buildings</t>
        </is>
      </c>
      <c r="B71" t="n">
        <v>0</v>
      </c>
      <c r="C71" t="n">
        <v>0</v>
      </c>
      <c r="D71" t="n">
        <v>6</v>
      </c>
      <c r="F71" s="72" t="n">
        <v>0.03</v>
      </c>
      <c r="H71" t="inlineStr">
        <is>
          <t>hooping and mending 2 cider-casks and making and hooping 2 tubs 6pence.</t>
        </is>
      </c>
      <c r="J71" s="72">
        <f>F71</f>
        <v/>
      </c>
      <c r="K71" s="72">
        <f>J71</f>
        <v/>
      </c>
    </row>
    <row r="72">
      <c r="A72" t="inlineStr">
        <is>
          <t>Cost of buildings</t>
        </is>
      </c>
      <c r="B72" t="n">
        <v>0</v>
      </c>
      <c r="C72" t="n">
        <v>0</v>
      </c>
      <c r="D72" t="n">
        <v>8</v>
      </c>
      <c r="F72" s="72">
        <f>B72+C72/20+D72/240</f>
        <v/>
      </c>
      <c r="H72" t="inlineStr">
        <is>
          <t xml:space="preserve">making 2 casks of cider 8pence </t>
        </is>
      </c>
      <c r="J72" s="72">
        <f>F72</f>
        <v/>
      </c>
      <c r="K72" s="72">
        <f>J72</f>
        <v/>
      </c>
    </row>
    <row r="73">
      <c r="A73" t="inlineStr">
        <is>
          <t>Cost of buildings</t>
        </is>
      </c>
      <c r="B73" t="n">
        <v>0</v>
      </c>
      <c r="C73" t="n">
        <v>12</v>
      </c>
      <c r="D73" t="n">
        <v>4</v>
      </c>
      <c r="F73" s="72">
        <f>B73+C73/20+D73/240</f>
        <v/>
      </c>
      <c r="H73" t="inlineStr">
        <is>
          <t>Total, 12 shilling 4pence</t>
        </is>
      </c>
    </row>
    <row r="74">
      <c r="A74" t="inlineStr">
        <is>
          <t>Cost of buildings</t>
        </is>
      </c>
      <c r="F74" s="72">
        <f>SUM(F65:F72)</f>
        <v/>
      </c>
      <c r="G74" s="137">
        <f>F74-F73</f>
        <v/>
      </c>
      <c r="H74" t="inlineStr">
        <is>
          <t>Total</t>
        </is>
      </c>
    </row>
    <row r="75"/>
    <row r="76">
      <c r="A76" t="inlineStr">
        <is>
          <t>Cost of the park</t>
        </is>
      </c>
      <c r="B76" t="n">
        <v>0</v>
      </c>
      <c r="C76" t="n">
        <v>10</v>
      </c>
      <c r="D76" t="n">
        <v>8</v>
      </c>
      <c r="F76" s="72">
        <f>B76+C76/20+D76/240</f>
        <v/>
      </c>
      <c r="H76" t="inlineStr">
        <is>
          <t>In enclosing 4 furlongs 8 perches around the park with hedges 10 shilling 8pence.</t>
        </is>
      </c>
    </row>
    <row r="77">
      <c r="A77" t="inlineStr">
        <is>
          <t>Cost of the park</t>
        </is>
      </c>
      <c r="B77" t="n">
        <v>0</v>
      </c>
      <c r="C77" t="n">
        <v>5</v>
      </c>
      <c r="D77" t="n">
        <v>0</v>
      </c>
      <c r="F77" s="72">
        <f>B77+C77/20+D77/240</f>
        <v/>
      </c>
      <c r="H77" t="inlineStr">
        <is>
          <t xml:space="preserve">making and mending the palisade of the park 5 shilling </t>
        </is>
      </c>
    </row>
    <row r="78">
      <c r="A78" t="inlineStr">
        <is>
          <t>Cost of the park</t>
        </is>
      </c>
      <c r="C78" t="n">
        <v>15</v>
      </c>
      <c r="D78" t="n">
        <v>8</v>
      </c>
      <c r="F78" s="72">
        <f>B78+C78/20+D78/240</f>
        <v/>
      </c>
      <c r="H78" t="inlineStr">
        <is>
          <t>Total, 15 shilling 8pence</t>
        </is>
      </c>
    </row>
    <row r="79">
      <c r="A79" t="inlineStr">
        <is>
          <t>Cost of the park</t>
        </is>
      </c>
      <c r="F79" s="72">
        <f>SUM(F76:F77)</f>
        <v/>
      </c>
      <c r="G79" s="137">
        <f>F79-F78</f>
        <v/>
      </c>
      <c r="H79" t="inlineStr">
        <is>
          <t>Total</t>
        </is>
      </c>
    </row>
    <row r="80"/>
    <row r="81">
      <c r="A81" t="inlineStr">
        <is>
          <t>Threshing</t>
        </is>
      </c>
      <c r="B81" t="n">
        <v>2</v>
      </c>
      <c r="C81" t="n">
        <v>19</v>
      </c>
      <c r="D81" t="n">
        <v>1.25</v>
      </c>
      <c r="F81" s="72">
        <f>B81+C81/20+D81/240</f>
        <v/>
      </c>
      <c r="H81" t="inlineStr">
        <is>
          <t>In threshing and winnowing 354 quarters 7 bushels of wheat and curall by piece-work £2 19 shilling 1.25pence, at 2pence a struck quarter.</t>
        </is>
      </c>
    </row>
    <row r="82">
      <c r="A82" t="inlineStr">
        <is>
          <t>Threshing</t>
        </is>
      </c>
      <c r="B82" t="n">
        <v>0</v>
      </c>
      <c r="C82" t="n">
        <v>10</v>
      </c>
      <c r="D82" t="n">
        <v>0</v>
      </c>
      <c r="F82" s="72">
        <f>B82+C82/20+D82/240</f>
        <v/>
      </c>
      <c r="H82" t="inlineStr">
        <is>
          <t>threshing and winnowing 101 quarters 1 bushels of barley by piece-work 10 shilling 1.5pence, at 1.5pence per 10 struck bushe1 shilling.</t>
        </is>
      </c>
    </row>
    <row r="83">
      <c r="A83" t="inlineStr">
        <is>
          <t>Threshing</t>
        </is>
      </c>
      <c r="B83" t="n">
        <v>1</v>
      </c>
      <c r="C83" t="n">
        <v>18</v>
      </c>
      <c r="D83" t="n">
        <v>2.25</v>
      </c>
      <c r="F83" s="72">
        <f>B83+C83/20+D83/240</f>
        <v/>
      </c>
      <c r="H83" t="inlineStr">
        <is>
          <t xml:space="preserve">threshing and winnowing 572 quarters 7 bushels of oats by piece-work £1 18 shilling 2.25pence, at 1pence per 10 struck bushe1 shilling </t>
        </is>
      </c>
    </row>
    <row r="84">
      <c r="A84" t="inlineStr">
        <is>
          <t>Threshing</t>
        </is>
      </c>
      <c r="B84" t="n">
        <v>5</v>
      </c>
      <c r="C84" t="n">
        <v>7</v>
      </c>
      <c r="D84" t="n">
        <v>5.5</v>
      </c>
      <c r="F84" s="72">
        <f>B84+C84/20+D84/240</f>
        <v/>
      </c>
      <c r="H84" t="inlineStr">
        <is>
          <t>Total, £5 7 shilling 5.5pence</t>
        </is>
      </c>
    </row>
    <row r="85">
      <c r="A85" t="inlineStr">
        <is>
          <t>Threshing</t>
        </is>
      </c>
      <c r="F85" s="72">
        <f>SUM(F81:F83)</f>
        <v/>
      </c>
      <c r="G85" s="137">
        <f>F85-F84</f>
        <v/>
      </c>
      <c r="H85" t="inlineStr">
        <is>
          <t>Total</t>
        </is>
      </c>
    </row>
    <row r="86"/>
    <row r="87">
      <c r="A87" t="inlineStr">
        <is>
          <t>Harvest-time</t>
        </is>
      </c>
      <c r="B87" t="n">
        <v>6</v>
      </c>
      <c r="C87" t="n">
        <v>12</v>
      </c>
      <c r="D87" t="n">
        <v>4.25</v>
      </c>
      <c r="F87" s="72">
        <f>B87+C87/20+D87/240</f>
        <v/>
      </c>
      <c r="H87" t="inlineStr">
        <is>
          <t>In all costs for the great boon-work with 17 other boon-works of 1,807 men who reaped and bound all the corn, together with 1 boon-work of 160 men without food, £6 12 shilling  4.25pence, and each had .25pence of bread and 2 herrings or 1 cheese worth 'Apence, and for the great boon-work they had bread, meat and ale.</t>
        </is>
      </c>
    </row>
    <row r="88">
      <c r="A88" t="inlineStr">
        <is>
          <t>Harvest-time</t>
        </is>
      </c>
      <c r="B88" t="n">
        <v>0</v>
      </c>
      <c r="C88" t="n">
        <v>1</v>
      </c>
      <c r="D88" t="n">
        <v>0</v>
      </c>
      <c r="F88" s="72">
        <f>B88+C88/20+D88/240</f>
        <v/>
      </c>
      <c r="H88" t="inlineStr">
        <is>
          <t>mowing and tossing the meadow of Munnonce 1 shilling.</t>
        </is>
      </c>
    </row>
    <row r="89">
      <c r="A89" t="inlineStr">
        <is>
          <t>Harvest-time</t>
        </is>
      </c>
      <c r="B89" t="n">
        <v>0</v>
      </c>
      <c r="C89" t="n">
        <v>1</v>
      </c>
      <c r="D89" t="n">
        <v>4</v>
      </c>
      <c r="F89" s="72">
        <f>B89+C89/20+D89/240</f>
        <v/>
      </c>
      <c r="H89" t="inlineStr">
        <is>
          <t xml:space="preserve">mowing and tossing the garden 1 shilling 4pence </t>
        </is>
      </c>
    </row>
    <row r="90">
      <c r="A90" t="inlineStr">
        <is>
          <t>Harvest-time</t>
        </is>
      </c>
      <c r="B90" t="n">
        <v>6</v>
      </c>
      <c r="C90" t="n">
        <v>14</v>
      </c>
      <c r="D90" t="n">
        <v>8.25</v>
      </c>
      <c r="F90" s="72">
        <f>B90+C90/20+D90/240</f>
        <v/>
      </c>
      <c r="H90" t="inlineStr">
        <is>
          <t>Total, £6 14 shilling 8.25pence</t>
        </is>
      </c>
    </row>
    <row r="91">
      <c r="A91" t="inlineStr">
        <is>
          <t>Harvest-time</t>
        </is>
      </c>
      <c r="F91" s="72">
        <f>SUM(F87:F89)</f>
        <v/>
      </c>
      <c r="G91" s="137">
        <f>F91-F90</f>
        <v/>
      </c>
      <c r="H91" t="inlineStr">
        <is>
          <t>Total</t>
        </is>
      </c>
    </row>
    <row r="92"/>
    <row r="93">
      <c r="A93" t="inlineStr">
        <is>
          <t>Expenses of the steward</t>
        </is>
      </c>
      <c r="B93" t="n">
        <v>0</v>
      </c>
      <c r="C93" t="n">
        <v>11</v>
      </c>
      <c r="D93" t="n">
        <v>8.5</v>
      </c>
      <c r="F93" s="72">
        <f>B93+C93/20+D93/240</f>
        <v/>
      </c>
      <c r="H93" t="inlineStr">
        <is>
          <t>In expenses of the steward at the 2 hundred-courts by 1 tally 11 shilling 8.5pence.</t>
        </is>
      </c>
    </row>
    <row r="94">
      <c r="A94" t="inlineStr">
        <is>
          <t>Expenses of the steward</t>
        </is>
      </c>
      <c r="B94" t="n">
        <v>6</v>
      </c>
      <c r="C94" t="n">
        <v>15</v>
      </c>
      <c r="D94" t="n">
        <v>6</v>
      </c>
      <c r="F94" s="72">
        <f>B94+C94/20+D94/240</f>
        <v/>
      </c>
      <c r="H94" t="inlineStr">
        <is>
          <t>expenses of the bailiff for the year £6 15 shilling 6pence.</t>
        </is>
      </c>
    </row>
    <row r="95">
      <c r="A95" t="inlineStr">
        <is>
          <t>Expenses of the steward</t>
        </is>
      </c>
      <c r="B95" t="n">
        <v>0</v>
      </c>
      <c r="C95" t="n">
        <v>3</v>
      </c>
      <c r="D95" t="n">
        <v>0</v>
      </c>
      <c r="F95" s="72">
        <f>B95+C95/20+D95/240</f>
        <v/>
      </c>
      <c r="H95" t="inlineStr">
        <is>
          <t xml:space="preserve">fur for the summer livery of the same 3 shilling </t>
        </is>
      </c>
    </row>
    <row r="96">
      <c r="A96" t="inlineStr">
        <is>
          <t>Expenses of the steward</t>
        </is>
      </c>
      <c r="B96" t="n">
        <v>7</v>
      </c>
      <c r="C96" t="n">
        <v>10</v>
      </c>
      <c r="D96" t="n">
        <v>2.5</v>
      </c>
      <c r="F96" s="72">
        <f>B96+C96/20+D96/240</f>
        <v/>
      </c>
      <c r="H96" t="inlineStr">
        <is>
          <t>Total, £7 10 shilling 2.5pence</t>
        </is>
      </c>
    </row>
    <row r="97">
      <c r="A97" t="inlineStr">
        <is>
          <t>Expenses of the steward</t>
        </is>
      </c>
      <c r="F97" s="72">
        <f>SUM(F93:F95)</f>
        <v/>
      </c>
      <c r="G97" s="137">
        <f>F97-F96</f>
        <v/>
      </c>
      <c r="H97" t="inlineStr">
        <is>
          <t>Total</t>
        </is>
      </c>
    </row>
    <row r="98"/>
    <row r="99">
      <c r="A99" t="inlineStr">
        <is>
          <t xml:space="preserve">Total of all expenses </t>
        </is>
      </c>
      <c r="B99" t="n">
        <v>39</v>
      </c>
      <c r="C99" t="n">
        <v>5</v>
      </c>
      <c r="D99" t="n">
        <v>7.5</v>
      </c>
      <c r="F99" t="n">
        <v>39.28</v>
      </c>
      <c r="H99" t="inlineStr">
        <is>
          <t>Total of all expenses, £39 5 shilling 7.5pence</t>
        </is>
      </c>
    </row>
    <row r="100">
      <c r="A100" t="inlineStr">
        <is>
          <t xml:space="preserve">Total of all expenses </t>
        </is>
      </c>
      <c r="F100">
        <f>F99</f>
        <v/>
      </c>
      <c r="G100" s="137">
        <f>F100-F99</f>
        <v/>
      </c>
      <c r="H100" t="inlineStr">
        <is>
          <t>Total</t>
        </is>
      </c>
    </row>
    <row r="101"/>
    <row r="102">
      <c r="A102" t="inlineStr">
        <is>
          <t>And he owes</t>
        </is>
      </c>
      <c r="B102" t="n">
        <v>230</v>
      </c>
      <c r="C102" t="n">
        <v>16</v>
      </c>
      <c r="D102" t="n">
        <v>4</v>
      </c>
      <c r="F102" s="72" t="n">
        <v>230.82</v>
      </c>
      <c r="H102" t="inlineStr">
        <is>
          <t>And he owes, £230 16 shilling 4pence</t>
        </is>
      </c>
    </row>
    <row r="103">
      <c r="A103" t="inlineStr">
        <is>
          <t>And he owes</t>
        </is>
      </c>
      <c r="F103" s="72" t="n">
        <v>230.82</v>
      </c>
      <c r="G103" s="137" t="n">
        <v>0</v>
      </c>
      <c r="H103" t="inlineStr">
        <is>
          <t>Total</t>
        </is>
      </c>
    </row>
    <row r="104"/>
    <row r="105">
      <c r="A105" t="inlineStr">
        <is>
          <t>Cash deliveries</t>
        </is>
      </c>
      <c r="B105" t="n">
        <v>139</v>
      </c>
      <c r="C105" t="n">
        <v>2</v>
      </c>
      <c r="D105" t="n">
        <v>0</v>
      </c>
      <c r="F105" s="72" t="n">
        <v>139.1</v>
      </c>
      <c r="H105" t="inlineStr">
        <is>
          <t>Delivered to Sir Geoffrey, treasurer of Wolvesey, by 2 tallies, £139 2 shilling</t>
        </is>
      </c>
    </row>
    <row r="106"/>
    <row r="107">
      <c r="A107" t="inlineStr">
        <is>
          <t>And he owes clear</t>
        </is>
      </c>
      <c r="B107" t="n">
        <v>91</v>
      </c>
      <c r="C107" t="n">
        <v>14</v>
      </c>
      <c r="D107" t="n">
        <v>4</v>
      </c>
      <c r="F107" t="n">
        <v>91.72</v>
      </c>
      <c r="H107" t="inlineStr">
        <is>
          <t>And he owes clear, £91 14 shilling 4pence, of which £36 3.5pence against Richard de Poukepole, and £55 14 shilling 0.5pence against Adam de Cumbe.</t>
        </is>
      </c>
    </row>
    <row r="108"/>
    <row r="109" ht="16" customHeight="1">
      <c r="A109" s="12" t="inlineStr">
        <is>
          <t>Total of all expenses per account</t>
        </is>
      </c>
      <c r="F109" s="72">
        <f>F100</f>
        <v/>
      </c>
    </row>
    <row r="110" ht="16" customHeight="1">
      <c r="A110" s="12" t="inlineStr">
        <is>
          <t>Total of all expenses (calculated here)</t>
        </is>
      </c>
      <c r="F110" s="72">
        <f>F97+F91+F85+F79+F74+F63+F44+F28</f>
        <v/>
      </c>
      <c r="G110" s="137">
        <f>F110-F109</f>
        <v/>
      </c>
    </row>
    <row r="111" ht="16" customHeight="1">
      <c r="A111" s="12" t="inlineStr">
        <is>
          <t>Total fixed investment</t>
        </is>
      </c>
      <c r="F111" s="72">
        <f>SUM(J3:J74)</f>
        <v/>
      </c>
    </row>
    <row r="112" ht="16" customHeight="1">
      <c r="A112" s="12" t="inlineStr">
        <is>
          <t>Total Demesne fixed investment</t>
        </is>
      </c>
      <c r="F112" s="72">
        <f>SUM(K3:K73)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8"/>
  <sheetViews>
    <sheetView topLeftCell="A1" workbookViewId="0">
      <selection activeCell="A1" sqref="A1"/>
    </sheetView>
  </sheetViews>
  <sheetFormatPr baseColWidth="8" defaultRowHeight="15"/>
  <cols>
    <col width="30" customWidth="1" min="1" max="1"/>
    <col width="12.1640625" customWidth="1" min="2" max="2"/>
    <col width="19.1640625" customWidth="1" min="3" max="3"/>
    <col width="20" customWidth="1" min="4" max="4"/>
    <col width="21.5" customWidth="1" min="5" max="5"/>
    <col width="15.83203125" customWidth="1" min="6" max="6"/>
    <col width="18" customWidth="1" min="7" max="7"/>
    <col width="17" customWidth="1" min="10" max="10"/>
    <col width="18" customWidth="1" min="11" max="11"/>
    <col width="16.33203125" customWidth="1" min="12" max="12"/>
    <col width="14.1640625" customWidth="1" min="13" max="13"/>
    <col width="10.5" customWidth="1" min="15" max="15"/>
    <col width="15.1640625" customWidth="1" min="16" max="16"/>
  </cols>
  <sheetData>
    <row r="1" ht="48" customHeight="1">
      <c r="A1" s="138" t="inlineStr">
        <is>
          <t>Gross Output</t>
        </is>
      </c>
      <c r="B1" s="138" t="inlineStr">
        <is>
          <t>Total Quantity</t>
        </is>
      </c>
      <c r="C1" s="138" t="inlineStr">
        <is>
          <t>Account Total Quarters</t>
        </is>
      </c>
      <c r="D1" s="138" t="inlineStr">
        <is>
          <t>Bought in Total Quarters</t>
        </is>
      </c>
      <c r="E1" s="138" t="inlineStr">
        <is>
          <t>Received from churchscot</t>
        </is>
      </c>
      <c r="F1" s="138" t="inlineStr">
        <is>
          <t>Sold Total Quarters</t>
        </is>
      </c>
      <c r="G1" s="139" t="inlineStr">
        <is>
          <t>Difference Produced+Bought-Sold</t>
        </is>
      </c>
      <c r="H1" s="139" t="inlineStr">
        <is>
          <t>Weighted Average Price per Quarter</t>
        </is>
      </c>
      <c r="I1" s="140" t="inlineStr">
        <is>
          <t>Value of Total Production weighted</t>
        </is>
      </c>
      <c r="J1" s="141" t="n"/>
      <c r="K1" s="141" t="n"/>
      <c r="L1" s="141" t="n"/>
      <c r="M1" s="141" t="n"/>
      <c r="N1" s="141" t="n"/>
      <c r="O1" s="141" t="n"/>
      <c r="P1" s="141" t="n"/>
      <c r="Q1" s="141" t="n"/>
      <c r="R1" s="141" t="n"/>
      <c r="S1" s="141" t="n"/>
      <c r="T1" s="141" t="n"/>
    </row>
    <row r="2">
      <c r="A2" t="inlineStr">
        <is>
          <t>wheat</t>
        </is>
      </c>
      <c r="B2" t="n">
        <v>357.875</v>
      </c>
      <c r="D2" t="n">
        <v>0</v>
      </c>
      <c r="F2" t="n">
        <v>274.25</v>
      </c>
      <c r="G2">
        <f>B2-F2</f>
        <v/>
      </c>
      <c r="H2" s="72" t="n">
        <v>0.275372227286539</v>
      </c>
      <c r="I2" s="72">
        <f>H2*B2</f>
        <v/>
      </c>
    </row>
    <row r="3">
      <c r="A3" t="inlineStr">
        <is>
          <t>curall</t>
        </is>
      </c>
      <c r="B3" t="n">
        <v>14</v>
      </c>
      <c r="D3" t="n">
        <v>0</v>
      </c>
      <c r="F3" t="n">
        <v>14</v>
      </c>
      <c r="G3">
        <f>B3-F3</f>
        <v/>
      </c>
      <c r="H3" s="72" t="n">
        <v>0.1666666666666667</v>
      </c>
      <c r="I3" s="72">
        <f>H3*B3</f>
        <v/>
      </c>
    </row>
    <row r="4">
      <c r="A4" t="inlineStr">
        <is>
          <t>barley</t>
        </is>
      </c>
      <c r="B4" t="n">
        <v>115.6875</v>
      </c>
      <c r="D4" t="n">
        <v>0</v>
      </c>
      <c r="F4" t="n">
        <v>28.625</v>
      </c>
      <c r="G4">
        <f>B4-F4</f>
        <v/>
      </c>
      <c r="H4" s="72" t="n">
        <v>0.1936681222707424</v>
      </c>
      <c r="I4" s="72">
        <f>H4*B4</f>
        <v/>
      </c>
    </row>
    <row r="5">
      <c r="A5" t="inlineStr">
        <is>
          <t>oats</t>
        </is>
      </c>
      <c r="B5" t="n">
        <v>616.5625</v>
      </c>
      <c r="D5" t="n">
        <v>0</v>
      </c>
      <c r="F5" t="n">
        <v>275.375</v>
      </c>
      <c r="G5">
        <f>B5-F5</f>
        <v/>
      </c>
      <c r="H5" s="72" t="n">
        <v>0.1032039642911182</v>
      </c>
      <c r="I5" s="72">
        <f>H5*B5</f>
        <v/>
      </c>
    </row>
    <row r="6"/>
    <row r="7"/>
    <row r="8">
      <c r="A8" s="142" t="inlineStr">
        <is>
          <t>Total Production</t>
        </is>
      </c>
    </row>
    <row r="9">
      <c r="A9" s="142" t="inlineStr">
        <is>
          <t>Sales of corn (as recorded in accounts)</t>
        </is>
      </c>
    </row>
    <row r="10"/>
    <row r="11"/>
    <row r="12" ht="48" customHeight="1">
      <c r="A12" s="38" t="inlineStr">
        <is>
          <t>Net output</t>
        </is>
      </c>
      <c r="B12" s="143" t="inlineStr">
        <is>
          <t>Gross output</t>
        </is>
      </c>
      <c r="C12" s="144" t="inlineStr">
        <is>
          <t>Seed quarters</t>
        </is>
      </c>
      <c r="D12" s="144" t="inlineStr">
        <is>
          <t>Seed bushels</t>
        </is>
      </c>
      <c r="E12" s="144" t="inlineStr">
        <is>
          <t>Seed total quarters</t>
        </is>
      </c>
      <c r="F12" s="38" t="inlineStr">
        <is>
          <t>tithe quarters</t>
        </is>
      </c>
      <c r="G12" s="144" t="inlineStr">
        <is>
          <t>tithe bushels</t>
        </is>
      </c>
      <c r="H12" s="144" t="inlineStr">
        <is>
          <t>tithe total</t>
        </is>
      </c>
      <c r="I12" s="144" t="inlineStr">
        <is>
          <t>manorial servants quarters</t>
        </is>
      </c>
      <c r="J12" s="144" t="inlineStr">
        <is>
          <t>manorial servants bushels</t>
        </is>
      </c>
      <c r="K12" s="145" t="inlineStr">
        <is>
          <t>manorial servants total quarters</t>
        </is>
      </c>
      <c r="L12" s="144" t="inlineStr">
        <is>
          <t>output net of tithe, seed, liveries</t>
        </is>
      </c>
      <c r="M12" s="144" t="inlineStr">
        <is>
          <t>in stock from last year</t>
        </is>
      </c>
      <c r="N12" s="146" t="inlineStr">
        <is>
          <t>Price in £</t>
        </is>
      </c>
      <c r="O12" s="146" t="inlineStr">
        <is>
          <t>Value of net output in £</t>
        </is>
      </c>
      <c r="P12" s="143" t="inlineStr">
        <is>
          <t>Value of sales (in "Sale of Corn") in £</t>
        </is>
      </c>
    </row>
    <row r="13">
      <c r="A13" t="inlineStr">
        <is>
          <t>wheat</t>
        </is>
      </c>
      <c r="B13" s="72">
        <f>B2</f>
        <v/>
      </c>
      <c r="C13" t="n">
        <v>67</v>
      </c>
      <c r="D13" t="n">
        <v>6</v>
      </c>
      <c r="E13">
        <f>C13+D13/8</f>
        <v/>
      </c>
      <c r="I13">
        <f>8+10+5</f>
        <v/>
      </c>
      <c r="J13">
        <f>2+7</f>
        <v/>
      </c>
      <c r="K13">
        <f>I13+J13/8</f>
        <v/>
      </c>
      <c r="L13" s="72">
        <f>B13-E13-H13-K13</f>
        <v/>
      </c>
      <c r="N13" s="72">
        <f>H2</f>
        <v/>
      </c>
      <c r="O13" s="72">
        <f>N13*L13</f>
        <v/>
      </c>
    </row>
    <row r="14">
      <c r="A14" t="inlineStr">
        <is>
          <t>curall</t>
        </is>
      </c>
      <c r="B14" s="72">
        <f>B3</f>
        <v/>
      </c>
      <c r="E14">
        <f>C14+D14/8</f>
        <v/>
      </c>
      <c r="K14">
        <f>I14+J14/8</f>
        <v/>
      </c>
      <c r="L14" s="72">
        <f>B14-E14-H14-K14</f>
        <v/>
      </c>
      <c r="N14" s="72">
        <f>H3</f>
        <v/>
      </c>
      <c r="O14" s="72">
        <f>N14*L14</f>
        <v/>
      </c>
    </row>
    <row r="15">
      <c r="A15" t="inlineStr">
        <is>
          <t>barley</t>
        </is>
      </c>
      <c r="B15" s="72">
        <f>B4</f>
        <v/>
      </c>
      <c r="C15" t="n">
        <v>26.5</v>
      </c>
      <c r="D15" t="n">
        <v>4.5</v>
      </c>
      <c r="E15">
        <f>C15+D15/8</f>
        <v/>
      </c>
      <c r="I15">
        <f>32.5+10+5+4+4+3</f>
        <v/>
      </c>
      <c r="J15">
        <f>3+1.5+2.5+5</f>
        <v/>
      </c>
      <c r="K15">
        <f>I15+J15/8</f>
        <v/>
      </c>
      <c r="L15" s="72">
        <f>B15-E15-H15-K15</f>
        <v/>
      </c>
      <c r="N15" s="72">
        <f>H4</f>
        <v/>
      </c>
      <c r="O15" s="72">
        <f>N15*L15</f>
        <v/>
      </c>
    </row>
    <row r="16">
      <c r="A16" t="inlineStr">
        <is>
          <t>oats</t>
        </is>
      </c>
      <c r="B16" s="72">
        <f>B5</f>
        <v/>
      </c>
      <c r="C16" t="n">
        <v>190</v>
      </c>
      <c r="E16">
        <f>C16+D16/8</f>
        <v/>
      </c>
      <c r="I16">
        <f>18+52.5+5+42+10.5+1.5+20</f>
        <v/>
      </c>
      <c r="K16">
        <f>I16+J16/8</f>
        <v/>
      </c>
      <c r="L16" s="72">
        <f>B16-E16-H16-K16</f>
        <v/>
      </c>
      <c r="N16" s="72">
        <f>H5</f>
        <v/>
      </c>
      <c r="O16" s="72">
        <f>N16*L16</f>
        <v/>
      </c>
    </row>
    <row r="17"/>
    <row r="18">
      <c r="A18"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1"/>
  <sheetViews>
    <sheetView topLeftCell="A1" workbookViewId="0">
      <selection activeCell="A1" sqref="A1"/>
    </sheetView>
  </sheetViews>
  <sheetFormatPr baseColWidth="8" defaultRowHeight="15"/>
  <cols>
    <col width="44.33203125" customWidth="1" min="1" max="1"/>
    <col width="11.33203125" customWidth="1" min="2" max="2"/>
    <col width="17.6640625" customWidth="1" min="10" max="10"/>
    <col width="14.83203125" customWidth="1" min="14" max="14"/>
    <col width="19.33203125" customWidth="1" min="16" max="16"/>
    <col width="16.1640625" customWidth="1" min="17" max="17"/>
    <col width="17.1640625" customWidth="1" min="19" max="19"/>
    <col width="15.5" customWidth="1" min="20" max="20"/>
  </cols>
  <sheetData>
    <row r="1" ht="16" customHeight="1">
      <c r="A1" s="12" t="inlineStr">
        <is>
          <t>EAST MEON STOCK ACCOUNT</t>
        </is>
      </c>
    </row>
    <row r="2" ht="16" customHeight="1">
      <c r="A2" s="12" t="n"/>
    </row>
    <row r="3">
      <c r="A3" s="44" t="n"/>
      <c r="B3" s="44" t="n"/>
      <c r="C3" s="125" t="inlineStr">
        <is>
          <t>added</t>
        </is>
      </c>
      <c r="G3" s="126" t="inlineStr">
        <is>
          <t>subtracted</t>
        </is>
      </c>
      <c r="K3" s="44" t="n"/>
      <c r="L3" s="44" t="n"/>
      <c r="M3" s="44" t="n"/>
      <c r="N3" s="44" t="n"/>
      <c r="O3" s="44"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2</v>
      </c>
      <c r="K5" t="n">
        <v>2</v>
      </c>
    </row>
    <row r="6" ht="16" customHeight="1">
      <c r="A6" s="44" t="inlineStr">
        <is>
          <t>Mares</t>
        </is>
      </c>
    </row>
    <row r="7">
      <c r="A7" t="inlineStr">
        <is>
          <t>Plough horses</t>
        </is>
      </c>
      <c r="B7" t="n">
        <v>18</v>
      </c>
      <c r="C7" t="n">
        <v>11</v>
      </c>
      <c r="H7" t="n">
        <v>3</v>
      </c>
      <c r="I7" t="n">
        <v>9</v>
      </c>
      <c r="K7" t="n">
        <v>17</v>
      </c>
      <c r="R7" s="72">
        <f>Receipts!F134</f>
        <v/>
      </c>
    </row>
    <row r="8">
      <c r="A8" t="inlineStr">
        <is>
          <t>Colts (unspecified years)</t>
        </is>
      </c>
      <c r="B8" t="n">
        <v>2</v>
      </c>
      <c r="I8" t="n">
        <v>2</v>
      </c>
      <c r="K8" t="n">
        <v>0</v>
      </c>
    </row>
    <row r="9">
      <c r="A9" t="inlineStr">
        <is>
          <t>Colts (2 years)</t>
        </is>
      </c>
      <c r="B9" t="n">
        <v>1</v>
      </c>
      <c r="K9" t="n">
        <v>1</v>
      </c>
    </row>
    <row r="10">
      <c r="A10" t="inlineStr">
        <is>
          <t>Colts (1 year)</t>
        </is>
      </c>
    </row>
    <row r="11">
      <c r="A11" t="inlineStr">
        <is>
          <t>Foals</t>
        </is>
      </c>
      <c r="B11" t="n">
        <v>2</v>
      </c>
      <c r="I11" t="n">
        <v>1</v>
      </c>
      <c r="K11" t="n">
        <v>1</v>
      </c>
    </row>
    <row r="12">
      <c r="A12" t="inlineStr">
        <is>
          <t>Oxen</t>
        </is>
      </c>
      <c r="B12" t="n">
        <v>57</v>
      </c>
      <c r="C12">
        <f>8+3+10</f>
        <v/>
      </c>
      <c r="H12" t="n">
        <v>7</v>
      </c>
      <c r="I12" t="n">
        <v>5</v>
      </c>
      <c r="K12" t="n">
        <v>66</v>
      </c>
      <c r="R12" s="72">
        <f>Receipts!F135</f>
        <v/>
      </c>
    </row>
    <row r="13">
      <c r="A13" t="inlineStr">
        <is>
          <t>Bulls</t>
        </is>
      </c>
      <c r="B13" t="n">
        <v>1</v>
      </c>
      <c r="K13" t="n">
        <v>1</v>
      </c>
    </row>
    <row r="14">
      <c r="A14" t="inlineStr">
        <is>
          <t>Cows</t>
        </is>
      </c>
      <c r="B14" t="n">
        <v>18</v>
      </c>
      <c r="C14">
        <f>4+1</f>
        <v/>
      </c>
      <c r="H14" t="n">
        <v>1</v>
      </c>
      <c r="K14" t="n">
        <v>22</v>
      </c>
      <c r="R14" s="72">
        <f>Receipts!F136</f>
        <v/>
      </c>
    </row>
    <row r="15">
      <c r="A15" t="inlineStr">
        <is>
          <t>Steers</t>
        </is>
      </c>
      <c r="B15" t="n">
        <v>11</v>
      </c>
      <c r="C15" t="n">
        <v>1</v>
      </c>
      <c r="J15">
        <f>8+4</f>
        <v/>
      </c>
      <c r="K15" t="n">
        <v>0</v>
      </c>
    </row>
    <row r="16">
      <c r="A16" t="inlineStr">
        <is>
          <t>Bullocks</t>
        </is>
      </c>
      <c r="B16" t="n">
        <v>9</v>
      </c>
      <c r="K16" t="n">
        <v>9</v>
      </c>
    </row>
    <row r="17">
      <c r="A17" t="inlineStr">
        <is>
          <t>Yearlings</t>
        </is>
      </c>
      <c r="B17" t="n">
        <v>6</v>
      </c>
      <c r="K17" t="n">
        <v>6</v>
      </c>
    </row>
    <row r="18">
      <c r="A18" t="inlineStr">
        <is>
          <t>Calves</t>
        </is>
      </c>
      <c r="B18" t="n">
        <v>22</v>
      </c>
      <c r="H18" t="n">
        <v>8</v>
      </c>
      <c r="I18" t="n">
        <v>1</v>
      </c>
      <c r="K18" t="n">
        <v>13</v>
      </c>
      <c r="R18" s="72">
        <f>Receipts!F137</f>
        <v/>
      </c>
    </row>
    <row r="19">
      <c r="A19" t="inlineStr">
        <is>
          <t>Wethers</t>
        </is>
      </c>
      <c r="B19" t="n">
        <v>450</v>
      </c>
      <c r="C19" t="n">
        <v>129</v>
      </c>
      <c r="H19" t="n">
        <v>21</v>
      </c>
      <c r="I19">
        <f>43+26</f>
        <v/>
      </c>
      <c r="J19" t="n">
        <v>3</v>
      </c>
      <c r="K19" t="n">
        <v>486</v>
      </c>
      <c r="R19" s="72">
        <f>Receipts!F138</f>
        <v/>
      </c>
    </row>
    <row r="20">
      <c r="A20" t="inlineStr">
        <is>
          <t>Rams</t>
        </is>
      </c>
    </row>
    <row r="21">
      <c r="A21" t="inlineStr">
        <is>
          <t>Ewes</t>
        </is>
      </c>
      <c r="B21" t="n">
        <v>797</v>
      </c>
      <c r="C21">
        <f>184+6</f>
        <v/>
      </c>
      <c r="H21">
        <f>100</f>
        <v/>
      </c>
      <c r="I21">
        <f>12+26+9</f>
        <v/>
      </c>
      <c r="J21">
        <f>9</f>
        <v/>
      </c>
      <c r="K21" t="n">
        <v>831</v>
      </c>
      <c r="R21" s="72">
        <f>Receipts!F139</f>
        <v/>
      </c>
    </row>
    <row r="22">
      <c r="A22" t="inlineStr">
        <is>
          <t>Hoggs</t>
        </is>
      </c>
      <c r="B22" t="n">
        <v>402</v>
      </c>
      <c r="H22" t="n">
        <v>9</v>
      </c>
      <c r="I22">
        <f>30</f>
        <v/>
      </c>
      <c r="J22">
        <f>129+184+50</f>
        <v/>
      </c>
      <c r="K22" t="n">
        <v>0</v>
      </c>
      <c r="R22" s="72">
        <f>Receipts!F140</f>
        <v/>
      </c>
    </row>
    <row r="23">
      <c r="A23" t="inlineStr">
        <is>
          <t>Lambs</t>
        </is>
      </c>
      <c r="B23" t="n">
        <v>555</v>
      </c>
      <c r="C23">
        <f>9+29</f>
        <v/>
      </c>
      <c r="I23">
        <f>134+23+9+3</f>
        <v/>
      </c>
      <c r="K23" t="n">
        <v>424</v>
      </c>
    </row>
    <row r="24">
      <c r="A24" t="inlineStr">
        <is>
          <t>Boars</t>
        </is>
      </c>
    </row>
    <row r="25">
      <c r="A25" t="inlineStr">
        <is>
          <t>Sows</t>
        </is>
      </c>
      <c r="B25" t="n">
        <v>2</v>
      </c>
      <c r="C25" t="n">
        <v>2</v>
      </c>
      <c r="I25" t="n">
        <v>2</v>
      </c>
      <c r="K25" t="n">
        <v>2</v>
      </c>
    </row>
    <row r="26">
      <c r="A26" t="inlineStr">
        <is>
          <t>Pigs</t>
        </is>
      </c>
      <c r="B26" t="n">
        <v>35</v>
      </c>
      <c r="C26" t="n">
        <v>28</v>
      </c>
      <c r="H26" t="n">
        <v>19</v>
      </c>
      <c r="I26" t="n">
        <v>4</v>
      </c>
      <c r="K26" t="n">
        <v>50</v>
      </c>
      <c r="R26" s="72">
        <f>Receipts!F141</f>
        <v/>
      </c>
    </row>
    <row r="27">
      <c r="A27" t="inlineStr">
        <is>
          <t>Hoggets</t>
        </is>
      </c>
      <c r="B27" t="n">
        <v>50</v>
      </c>
      <c r="I27" t="n">
        <v>10</v>
      </c>
      <c r="J27">
        <f>2+38</f>
        <v/>
      </c>
      <c r="K27" t="n">
        <v>0</v>
      </c>
    </row>
    <row r="28">
      <c r="A28" t="inlineStr">
        <is>
          <t>Piglets</t>
        </is>
      </c>
      <c r="C28">
        <f>45+8</f>
        <v/>
      </c>
      <c r="I28" t="n">
        <v>9</v>
      </c>
      <c r="K28" t="n">
        <v>44</v>
      </c>
    </row>
    <row r="29">
      <c r="A29" t="inlineStr">
        <is>
          <t>Swans</t>
        </is>
      </c>
      <c r="B29" t="n">
        <v>3</v>
      </c>
      <c r="C29" t="n">
        <v>2</v>
      </c>
      <c r="I29" t="n">
        <v>1</v>
      </c>
      <c r="K29" t="n">
        <v>4</v>
      </c>
    </row>
    <row r="30">
      <c r="A30" t="inlineStr">
        <is>
          <t>Peacocks</t>
        </is>
      </c>
      <c r="B30" t="n">
        <v>6</v>
      </c>
      <c r="I30" t="n">
        <v>1</v>
      </c>
      <c r="K30" t="n">
        <v>5</v>
      </c>
    </row>
    <row r="31" ht="16" customHeight="1">
      <c r="A31" s="67" t="inlineStr">
        <is>
          <t>Total Value</t>
        </is>
      </c>
      <c r="R31" s="39">
        <f>SUM(R5:R30)</f>
        <v/>
      </c>
    </row>
    <row r="32"/>
    <row r="33"/>
    <row r="34" ht="17" customHeight="1">
      <c r="A34" s="66" t="inlineStr">
        <is>
          <t>Wool</t>
        </is>
      </c>
    </row>
    <row r="35">
      <c r="A35" t="inlineStr">
        <is>
          <t>Coarse wool</t>
        </is>
      </c>
      <c r="C35" t="n">
        <v>1405</v>
      </c>
      <c r="J35" t="n">
        <v>1405</v>
      </c>
      <c r="K35" t="n">
        <v>0</v>
      </c>
      <c r="O35" s="72" t="n">
        <v>0.02</v>
      </c>
      <c r="T35">
        <f>O35*J35</f>
        <v/>
      </c>
    </row>
    <row r="36">
      <c r="A36" t="inlineStr">
        <is>
          <t>Lamb's wool</t>
        </is>
      </c>
      <c r="C36" t="n">
        <v>433</v>
      </c>
      <c r="J36" t="n">
        <v>433</v>
      </c>
      <c r="K36" t="n">
        <v>0</v>
      </c>
      <c r="O36" s="72" t="n">
        <v>0.01</v>
      </c>
      <c r="T36">
        <f>O36*J36</f>
        <v/>
      </c>
    </row>
    <row r="37">
      <c r="A37" t="inlineStr">
        <is>
          <t>Wool locks</t>
        </is>
      </c>
      <c r="C37" t="inlineStr">
        <is>
          <t>20 cloves 5 lb</t>
        </is>
      </c>
      <c r="H37" t="inlineStr">
        <is>
          <t>20 cloves 5 lb</t>
        </is>
      </c>
      <c r="R37" s="72">
        <f>Receipts!F110</f>
        <v/>
      </c>
      <c r="T37" s="72">
        <f>R37</f>
        <v/>
      </c>
    </row>
    <row r="38">
      <c r="A38" t="inlineStr">
        <is>
          <t>Wool sold at shearing</t>
        </is>
      </c>
    </row>
    <row r="39" ht="16" customHeight="1">
      <c r="A39" s="67" t="inlineStr">
        <is>
          <t>Total wool</t>
        </is>
      </c>
      <c r="R39" s="147">
        <f>R37</f>
        <v/>
      </c>
      <c r="T39" s="147">
        <f>SUM(T35:T38)</f>
        <v/>
      </c>
    </row>
    <row r="40"/>
    <row r="41"/>
    <row r="42" ht="17" customHeight="1">
      <c r="A42" s="66" t="inlineStr">
        <is>
          <t>Hides</t>
        </is>
      </c>
    </row>
    <row r="43">
      <c r="A43" t="inlineStr">
        <is>
          <t>Ox hides</t>
        </is>
      </c>
      <c r="C43" t="n">
        <v>5</v>
      </c>
    </row>
    <row r="44">
      <c r="A44" t="inlineStr">
        <is>
          <t>plough horses</t>
        </is>
      </c>
      <c r="C44" t="n">
        <v>9</v>
      </c>
    </row>
    <row r="45">
      <c r="A45" t="inlineStr">
        <is>
          <t>colts</t>
        </is>
      </c>
      <c r="C45" t="n">
        <v>2</v>
      </c>
    </row>
    <row r="46">
      <c r="A46" t="inlineStr">
        <is>
          <t>Mare</t>
        </is>
      </c>
    </row>
    <row r="47">
      <c r="A47" t="inlineStr">
        <is>
          <t>Steer</t>
        </is>
      </c>
    </row>
    <row r="48">
      <c r="A48" t="inlineStr">
        <is>
          <t>calves</t>
        </is>
      </c>
      <c r="C48" t="n">
        <v>1</v>
      </c>
    </row>
    <row r="49">
      <c r="A49" s="68" t="inlineStr">
        <is>
          <t>pigs</t>
        </is>
      </c>
    </row>
    <row r="50">
      <c r="A50" t="inlineStr">
        <is>
          <t>Woolskins</t>
        </is>
      </c>
    </row>
    <row r="51">
      <c r="A51" s="28" t="inlineStr">
        <is>
          <t>wethers</t>
        </is>
      </c>
      <c r="C51" t="n">
        <v>43</v>
      </c>
      <c r="H51" t="n">
        <v>43</v>
      </c>
      <c r="K51" t="n">
        <v>0</v>
      </c>
    </row>
    <row r="52">
      <c r="A52" s="28" t="inlineStr">
        <is>
          <t>rams</t>
        </is>
      </c>
    </row>
    <row r="53">
      <c r="A53" s="28" t="inlineStr">
        <is>
          <t>ewes</t>
        </is>
      </c>
      <c r="C53" t="n">
        <v>38</v>
      </c>
      <c r="H53" t="n">
        <v>38</v>
      </c>
      <c r="K53" t="n">
        <v>0</v>
      </c>
    </row>
    <row r="54">
      <c r="A54" s="28" t="inlineStr">
        <is>
          <t>hoggs</t>
        </is>
      </c>
      <c r="C54" t="n">
        <v>30</v>
      </c>
      <c r="H54" t="n">
        <v>30</v>
      </c>
      <c r="K54" t="n">
        <v>0</v>
      </c>
      <c r="U54" t="inlineStr">
        <is>
          <t>issues only lists 28 whethers but stock lists 38</t>
        </is>
      </c>
    </row>
    <row r="55">
      <c r="A55" s="69" t="inlineStr">
        <is>
          <t>Woolskins</t>
        </is>
      </c>
      <c r="C55">
        <f>SUM(C51:C54)</f>
        <v/>
      </c>
      <c r="H55">
        <f>SUM(H51:H54)</f>
        <v/>
      </c>
      <c r="O55" s="72">
        <f>R55/H55</f>
        <v/>
      </c>
      <c r="P55" s="72" t="n"/>
      <c r="Q55" s="72" t="n"/>
      <c r="R55" s="72">
        <f>Receipts!F117</f>
        <v/>
      </c>
      <c r="S55" s="72" t="n"/>
      <c r="T55" s="72">
        <f>O55*C55</f>
        <v/>
      </c>
    </row>
    <row r="56">
      <c r="A56" s="43" t="inlineStr">
        <is>
          <t>Bareskins</t>
        </is>
      </c>
      <c r="O56" s="72" t="n"/>
      <c r="P56" s="72" t="n"/>
      <c r="Q56" s="72" t="n"/>
      <c r="R56" s="72" t="n"/>
      <c r="S56" s="72" t="n"/>
      <c r="T56" s="72" t="n"/>
    </row>
    <row r="57">
      <c r="A57" s="28" t="inlineStr">
        <is>
          <t>wethers</t>
        </is>
      </c>
      <c r="C57" t="n">
        <v>26</v>
      </c>
      <c r="H57" t="n">
        <v>26</v>
      </c>
      <c r="K57" t="n">
        <v>0</v>
      </c>
      <c r="O57" s="72">
        <f>R57/H57</f>
        <v/>
      </c>
      <c r="P57" s="72" t="n"/>
      <c r="Q57" s="72" t="n"/>
      <c r="R57" s="72" t="n"/>
      <c r="S57" s="72" t="n"/>
      <c r="T57" s="72">
        <f>O57*C57</f>
        <v/>
      </c>
    </row>
    <row r="58">
      <c r="A58" s="28" t="inlineStr">
        <is>
          <t>rams</t>
        </is>
      </c>
      <c r="O58" s="72" t="n"/>
      <c r="P58" s="72" t="n"/>
      <c r="Q58" s="72" t="n"/>
      <c r="R58" s="72" t="n"/>
      <c r="S58" s="72" t="n"/>
      <c r="T58" s="72" t="n"/>
    </row>
    <row r="59">
      <c r="A59" s="28" t="inlineStr">
        <is>
          <t>ewes</t>
        </is>
      </c>
      <c r="C59" t="n">
        <v>10</v>
      </c>
      <c r="H59" t="n">
        <v>10</v>
      </c>
      <c r="K59" t="n">
        <v>0</v>
      </c>
      <c r="O59" s="72">
        <f>R59/H59</f>
        <v/>
      </c>
      <c r="P59" s="72" t="n"/>
      <c r="Q59" s="72" t="n"/>
      <c r="R59" s="72" t="n"/>
      <c r="S59" s="72" t="n"/>
      <c r="T59" s="72">
        <f>O59*C59</f>
        <v/>
      </c>
    </row>
    <row r="60">
      <c r="A60" s="28" t="inlineStr">
        <is>
          <t>hoggs</t>
        </is>
      </c>
      <c r="O60" s="72" t="n"/>
      <c r="P60" s="72" t="n"/>
      <c r="Q60" s="72" t="n"/>
      <c r="R60" s="72" t="n"/>
      <c r="S60" s="72" t="n"/>
      <c r="T60" s="72" t="n"/>
    </row>
    <row r="61">
      <c r="A61" s="69" t="inlineStr">
        <is>
          <t>Bareskins (total)</t>
        </is>
      </c>
      <c r="C61">
        <f>SUM(C57:C60)</f>
        <v/>
      </c>
      <c r="H61">
        <f>SUM(H57:H60)</f>
        <v/>
      </c>
      <c r="O61" s="72">
        <f>R61/H61</f>
        <v/>
      </c>
      <c r="P61" s="72" t="n"/>
      <c r="Q61" s="72" t="n"/>
      <c r="R61" s="72">
        <f>Receipts!F118</f>
        <v/>
      </c>
      <c r="S61" s="72" t="n"/>
      <c r="T61" s="72">
        <f>O61*C61</f>
        <v/>
      </c>
    </row>
    <row r="62">
      <c r="A62" t="inlineStr">
        <is>
          <t>Lambskins</t>
        </is>
      </c>
      <c r="C62" t="n">
        <v>166</v>
      </c>
      <c r="H62" t="n">
        <v>166</v>
      </c>
      <c r="K62" t="n">
        <v>0</v>
      </c>
      <c r="O62" s="72">
        <f>R62/H62</f>
        <v/>
      </c>
      <c r="P62" s="72" t="n"/>
      <c r="Q62" s="72" t="n"/>
      <c r="R62" s="72">
        <f>Receipts!F119</f>
        <v/>
      </c>
      <c r="S62" s="72" t="n"/>
      <c r="T62" s="72">
        <f>O62*C62</f>
        <v/>
      </c>
    </row>
    <row r="63">
      <c r="A63" t="inlineStr">
        <is>
          <t>Rotted skins</t>
        </is>
      </c>
    </row>
    <row r="64">
      <c r="A64" t="inlineStr">
        <is>
          <t>Shorn skins</t>
        </is>
      </c>
    </row>
    <row r="65">
      <c r="A65" s="39" t="inlineStr">
        <is>
          <t xml:space="preserve">Total </t>
        </is>
      </c>
      <c r="R65" s="39">
        <f>SUM(R45:R64)</f>
        <v/>
      </c>
      <c r="T65" s="147">
        <f>SUM(T55:T62)</f>
        <v/>
      </c>
    </row>
    <row r="66"/>
    <row r="67"/>
    <row r="68" ht="17" customHeight="1">
      <c r="A68" s="66" t="inlineStr">
        <is>
          <t>Poultry stock</t>
        </is>
      </c>
    </row>
    <row r="69" ht="16" customHeight="1">
      <c r="A69" s="44" t="inlineStr">
        <is>
          <t>Hens</t>
        </is>
      </c>
      <c r="F69" t="n">
        <v>325</v>
      </c>
      <c r="G69">
        <f>5+22+7+2+2+2</f>
        <v/>
      </c>
      <c r="H69" t="n">
        <v>286</v>
      </c>
      <c r="K69" t="n">
        <v>0</v>
      </c>
      <c r="O69">
        <f>R69/H69</f>
        <v/>
      </c>
      <c r="R69" s="72">
        <f>Receipts!F111</f>
        <v/>
      </c>
      <c r="T69">
        <f>O69*H69</f>
        <v/>
      </c>
    </row>
    <row r="70">
      <c r="A70" t="inlineStr">
        <is>
          <t>Geese</t>
        </is>
      </c>
    </row>
    <row r="71">
      <c r="A71" t="inlineStr">
        <is>
          <t>Capons (from chickens)</t>
        </is>
      </c>
    </row>
    <row r="72">
      <c r="A72" t="inlineStr">
        <is>
          <t>Cocks &amp; hens</t>
        </is>
      </c>
    </row>
    <row r="73">
      <c r="A73" s="39" t="inlineStr">
        <is>
          <t>Total poultry stock</t>
        </is>
      </c>
      <c r="R73" s="39">
        <f>SUM(R67:R72)</f>
        <v/>
      </c>
      <c r="T73" s="39">
        <f>SUM(T69:T72)</f>
        <v/>
      </c>
    </row>
    <row r="74">
      <c r="A74" s="71" t="inlineStr">
        <is>
          <t>Total poultry excluding churchscot</t>
        </is>
      </c>
    </row>
    <row r="75"/>
    <row r="76" ht="16" customHeight="1">
      <c r="A76" s="12" t="inlineStr">
        <is>
          <t>Poultry production</t>
        </is>
      </c>
    </row>
    <row r="77">
      <c r="A77" t="inlineStr">
        <is>
          <t>Eggs</t>
        </is>
      </c>
    </row>
    <row r="78">
      <c r="A78" t="inlineStr">
        <is>
          <t>Cocks &amp; hens from churchscot of customary tenants</t>
        </is>
      </c>
    </row>
    <row r="79">
      <c r="A79" t="inlineStr">
        <is>
          <t>Sum of above</t>
        </is>
      </c>
    </row>
    <row r="80">
      <c r="A80" s="39" t="inlineStr">
        <is>
          <t>Total</t>
        </is>
      </c>
    </row>
    <row r="81"/>
    <row r="82"/>
    <row r="83" ht="16" customHeight="1">
      <c r="A83" s="12" t="inlineStr">
        <is>
          <t>Meat</t>
        </is>
      </c>
    </row>
    <row r="84">
      <c r="A84" t="inlineStr">
        <is>
          <t>Beef</t>
        </is>
      </c>
    </row>
    <row r="85">
      <c r="A85" t="inlineStr">
        <is>
          <t>Mutton</t>
        </is>
      </c>
    </row>
    <row r="86">
      <c r="A86" t="inlineStr">
        <is>
          <t>Pork</t>
        </is>
      </c>
    </row>
    <row r="87" ht="16" customHeight="1">
      <c r="A87" s="57" t="inlineStr">
        <is>
          <t xml:space="preserve">Total </t>
        </is>
      </c>
    </row>
    <row r="88"/>
    <row r="89" ht="16" customHeight="1">
      <c r="A89" s="12" t="inlineStr">
        <is>
          <t>Cheese</t>
        </is>
      </c>
    </row>
    <row r="90">
      <c r="A90" t="inlineStr">
        <is>
          <t>Winter cheese</t>
        </is>
      </c>
      <c r="C90" t="n">
        <v>37</v>
      </c>
      <c r="H90" t="n">
        <v>37</v>
      </c>
      <c r="K90" t="n">
        <v>0</v>
      </c>
      <c r="O90" s="72">
        <f>R90/H90</f>
        <v/>
      </c>
      <c r="R90" s="72">
        <f>Receipts!F121</f>
        <v/>
      </c>
      <c r="T90" s="72">
        <f>O90*C90</f>
        <v/>
      </c>
    </row>
    <row r="91">
      <c r="A91" t="inlineStr">
        <is>
          <t>Summer cheese</t>
        </is>
      </c>
      <c r="C91" t="n">
        <v>176</v>
      </c>
      <c r="H91" t="n">
        <v>173</v>
      </c>
      <c r="J91">
        <f>2+1</f>
        <v/>
      </c>
      <c r="K91" t="n">
        <v>0</v>
      </c>
      <c r="O91" s="72">
        <f>R91/H91</f>
        <v/>
      </c>
      <c r="R91" s="72">
        <f>Receipts!F122</f>
        <v/>
      </c>
      <c r="T91" s="72">
        <f>O91*C91</f>
        <v/>
      </c>
    </row>
    <row r="92" ht="16" customHeight="1">
      <c r="A92" s="67" t="inlineStr">
        <is>
          <t>Total</t>
        </is>
      </c>
      <c r="R92" s="147">
        <f>SUM(R90:R91)</f>
        <v/>
      </c>
      <c r="T92" s="147">
        <f>SUM(T90:T91)</f>
        <v/>
      </c>
    </row>
    <row r="93"/>
    <row r="94" ht="16" customHeight="1">
      <c r="A94" s="12" t="inlineStr">
        <is>
          <t>Butter</t>
        </is>
      </c>
    </row>
    <row r="95">
      <c r="A95" t="inlineStr">
        <is>
          <t>Butter</t>
        </is>
      </c>
      <c r="C95" t="n">
        <v>1</v>
      </c>
      <c r="H95" t="n">
        <v>1</v>
      </c>
      <c r="K95" t="n">
        <v>0</v>
      </c>
      <c r="R95" s="72">
        <f>Receipts!F123</f>
        <v/>
      </c>
      <c r="T95" s="72">
        <f>R95</f>
        <v/>
      </c>
    </row>
    <row r="96" ht="16" customHeight="1">
      <c r="A96" s="67" t="inlineStr">
        <is>
          <t>Total</t>
        </is>
      </c>
      <c r="R96" s="147">
        <f>SUM(R95)</f>
        <v/>
      </c>
      <c r="T96" s="147">
        <f>T95</f>
        <v/>
      </c>
    </row>
    <row r="97" ht="16" customHeight="1">
      <c r="A97" s="13" t="n"/>
    </row>
    <row r="98" ht="16" customHeight="1">
      <c r="A98" s="57" t="inlineStr">
        <is>
          <t>Total Dairy Sales</t>
        </is>
      </c>
    </row>
    <row r="99"/>
    <row r="100"/>
    <row r="101" ht="16" customHeight="1">
      <c r="A101" s="12" t="inlineStr">
        <is>
          <t>Cider</t>
        </is>
      </c>
    </row>
    <row r="102">
      <c r="A102" t="inlineStr">
        <is>
          <t>Cider</t>
        </is>
      </c>
      <c r="B102" t="n">
        <v>3</v>
      </c>
      <c r="C102" t="n">
        <v>2</v>
      </c>
      <c r="H102" t="n">
        <v>3</v>
      </c>
      <c r="K102" t="n">
        <v>2</v>
      </c>
      <c r="R102" s="72">
        <f>Receipts!F125</f>
        <v/>
      </c>
      <c r="T102" s="72">
        <f>R102</f>
        <v/>
      </c>
    </row>
    <row r="103">
      <c r="A103" s="39" t="inlineStr">
        <is>
          <t>Total</t>
        </is>
      </c>
      <c r="R103" s="147">
        <f>SUM(R102)</f>
        <v/>
      </c>
      <c r="T103" s="147">
        <f>T102</f>
        <v/>
      </c>
    </row>
    <row r="104"/>
    <row r="105" ht="16" customHeight="1">
      <c r="A105" s="13" t="inlineStr">
        <is>
          <t>Additional Information (not necessarily useful)</t>
        </is>
      </c>
    </row>
    <row r="106" ht="16" customHeight="1">
      <c r="A106" s="12" t="inlineStr">
        <is>
          <t>Utensils</t>
        </is>
      </c>
    </row>
    <row r="107">
      <c r="A107" t="inlineStr">
        <is>
          <t>ploughs</t>
        </is>
      </c>
    </row>
    <row r="108">
      <c r="A108" t="inlineStr">
        <is>
          <t>carts</t>
        </is>
      </c>
    </row>
    <row r="109">
      <c r="A109" t="inlineStr">
        <is>
          <t>cart-ropes</t>
        </is>
      </c>
    </row>
    <row r="110">
      <c r="A110" t="inlineStr">
        <is>
          <t>corn baskets</t>
        </is>
      </c>
    </row>
    <row r="111">
      <c r="A111" t="inlineStr">
        <is>
          <t>seed-sacks</t>
        </is>
      </c>
    </row>
    <row r="112">
      <c r="A112" t="inlineStr">
        <is>
          <t>seed basket</t>
        </is>
      </c>
    </row>
    <row r="113">
      <c r="A113" t="inlineStr">
        <is>
          <t>locks for the doors</t>
        </is>
      </c>
    </row>
    <row r="114">
      <c r="A114" t="inlineStr">
        <is>
          <t>lead vessel</t>
        </is>
      </c>
    </row>
    <row r="115">
      <c r="A115" t="inlineStr">
        <is>
          <t>brass pots</t>
        </is>
      </c>
    </row>
    <row r="116">
      <c r="A116" t="inlineStr">
        <is>
          <t>pans</t>
        </is>
      </c>
    </row>
    <row r="117">
      <c r="A117" t="inlineStr">
        <is>
          <t>tripods</t>
        </is>
      </c>
    </row>
    <row r="118">
      <c r="A118" t="inlineStr">
        <is>
          <t>mortar</t>
        </is>
      </c>
    </row>
    <row r="119">
      <c r="A119" t="inlineStr">
        <is>
          <t>axe</t>
        </is>
      </c>
    </row>
    <row r="120">
      <c r="A120" t="inlineStr">
        <is>
          <t>casks</t>
        </is>
      </c>
    </row>
    <row r="121">
      <c r="A121" t="inlineStr">
        <is>
          <t>tubs</t>
        </is>
      </c>
    </row>
    <row r="122">
      <c r="A122" t="inlineStr">
        <is>
          <t>troughs</t>
        </is>
      </c>
    </row>
    <row r="123">
      <c r="A123" t="inlineStr">
        <is>
          <t>bucket</t>
        </is>
      </c>
    </row>
    <row r="124">
      <c r="A124" t="inlineStr">
        <is>
          <t>cheese basket</t>
        </is>
      </c>
    </row>
    <row r="125">
      <c r="A125" t="inlineStr">
        <is>
          <t>tables</t>
        </is>
      </c>
    </row>
    <row r="126">
      <c r="A126" t="inlineStr">
        <is>
          <t>table with trestles</t>
        </is>
      </c>
    </row>
    <row r="127">
      <c r="A127" t="inlineStr">
        <is>
          <t>benches</t>
        </is>
      </c>
    </row>
    <row r="128">
      <c r="A128" t="inlineStr">
        <is>
          <t>ewer with a basin</t>
        </is>
      </c>
    </row>
    <row r="129">
      <c r="A129" t="inlineStr">
        <is>
          <t>ladders</t>
        </is>
      </c>
    </row>
    <row r="130">
      <c r="A130" t="inlineStr">
        <is>
          <t>cloth</t>
        </is>
      </c>
    </row>
    <row r="131">
      <c r="A131"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P312"/>
  <sheetViews>
    <sheetView topLeftCell="A1" workbookViewId="0">
      <selection activeCell="A1" sqref="A1"/>
    </sheetView>
  </sheetViews>
  <sheetFormatPr baseColWidth="8" defaultRowHeight="15"/>
  <cols>
    <col width="75.3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quarter 5</t>
        </is>
      </c>
      <c r="AH1" s="1" t="inlineStr">
        <is>
          <t>pence a quarter 5</t>
        </is>
      </c>
      <c r="AI1" s="1" t="inlineStr">
        <is>
          <t>shilling a bushel 1</t>
        </is>
      </c>
      <c r="AJ1" s="1" t="inlineStr">
        <is>
          <t>pence a bushel 1</t>
        </is>
      </c>
      <c r="AK1" s="1" t="inlineStr">
        <is>
          <t>shilling a bushel 2</t>
        </is>
      </c>
      <c r="AL1" s="1" t="inlineStr">
        <is>
          <t>pence a bushel 2</t>
        </is>
      </c>
      <c r="AM1" s="1" t="inlineStr">
        <is>
          <t>shilling a bushel 3</t>
        </is>
      </c>
      <c r="AN1" s="1" t="inlineStr">
        <is>
          <t>pence a bushel 3</t>
        </is>
      </c>
      <c r="AO1" s="1" t="inlineStr">
        <is>
          <t>shilling a bushel 4</t>
        </is>
      </c>
      <c r="AP1" s="1" t="inlineStr">
        <is>
          <t>pence a bushel 4</t>
        </is>
      </c>
    </row>
    <row r="2">
      <c r="A2" t="inlineStr">
        <is>
          <t>Arrears</t>
        </is>
      </c>
      <c r="B2" t="inlineStr">
        <is>
          <t>Nicholas de Ychen', bailiff, and Richard Pokepole and Adam de Cumbe, reeves, render account for £94 4 shilling 10.5pence of arrears from the previous year.</t>
        </is>
      </c>
      <c r="C2" t="n">
        <v>94.23999999999999</v>
      </c>
      <c r="D2" t="n">
        <v>94</v>
      </c>
      <c r="E2" t="n">
        <v>4</v>
      </c>
      <c r="F2" t="n">
        <v>10.5</v>
      </c>
      <c r="H2" t="n">
        <v>0</v>
      </c>
      <c r="I2" t="n">
        <v>0</v>
      </c>
      <c r="J2" t="n">
        <v>0</v>
      </c>
      <c r="K2" t="n">
        <v>0</v>
      </c>
      <c r="L2" t="n">
        <v>0</v>
      </c>
      <c r="M2" t="n">
        <v>0</v>
      </c>
      <c r="N2" t="n">
        <v>0</v>
      </c>
    </row>
    <row r="3">
      <c r="A3" t="inlineStr">
        <is>
          <t>Arrears</t>
        </is>
      </c>
      <c r="B3" t="inlineStr">
        <is>
          <t>All delivered to Sir Geoffrey, treasurer of Wolvesey, by 1 tally.</t>
        </is>
      </c>
      <c r="C3" t="n">
        <v>0</v>
      </c>
      <c r="D3" t="n">
        <v>0</v>
      </c>
      <c r="E3" t="n">
        <v>0</v>
      </c>
      <c r="F3" t="n">
        <v>0</v>
      </c>
      <c r="H3" t="n">
        <v>0</v>
      </c>
      <c r="I3" t="n">
        <v>0</v>
      </c>
      <c r="J3" t="n">
        <v>0</v>
      </c>
      <c r="K3" t="n">
        <v>0</v>
      </c>
      <c r="L3" t="n">
        <v>0</v>
      </c>
      <c r="M3" t="n">
        <v>0</v>
      </c>
      <c r="N3" t="n">
        <v>0</v>
      </c>
    </row>
    <row r="4">
      <c r="A4" t="inlineStr">
        <is>
          <t>Arrears</t>
        </is>
      </c>
      <c r="B4" t="inlineStr">
        <is>
          <t>They are quit.</t>
        </is>
      </c>
      <c r="C4" t="n">
        <v>0</v>
      </c>
      <c r="D4" t="n">
        <v>0</v>
      </c>
      <c r="E4" t="n">
        <v>0</v>
      </c>
      <c r="F4" t="n">
        <v>0</v>
      </c>
      <c r="H4" t="n">
        <v>0</v>
      </c>
      <c r="I4" t="n">
        <v>0</v>
      </c>
      <c r="J4" t="n">
        <v>0</v>
      </c>
      <c r="K4" t="n">
        <v>0</v>
      </c>
      <c r="L4" t="n">
        <v>0</v>
      </c>
      <c r="M4" t="n">
        <v>0</v>
      </c>
      <c r="N4" t="n">
        <v>0</v>
      </c>
    </row>
    <row r="5">
      <c r="A5" t="inlineStr">
        <is>
          <t>Rents of assize</t>
        </is>
      </c>
      <c r="B5" t="inlineStr">
        <is>
          <t>The same render account for £23 2 shilling 8.5pence for all rents of assize at Christmas.</t>
        </is>
      </c>
      <c r="C5" t="n">
        <v>23.14</v>
      </c>
      <c r="D5" t="n">
        <v>23</v>
      </c>
      <c r="E5" t="n">
        <v>2</v>
      </c>
      <c r="F5" t="n">
        <v>8.5</v>
      </c>
      <c r="H5" t="n">
        <v>0</v>
      </c>
      <c r="I5" t="n">
        <v>0</v>
      </c>
      <c r="J5" t="n">
        <v>0</v>
      </c>
      <c r="K5" t="n">
        <v>0</v>
      </c>
      <c r="L5" t="n">
        <v>0</v>
      </c>
      <c r="M5" t="n">
        <v>0</v>
      </c>
      <c r="N5" t="n">
        <v>0</v>
      </c>
    </row>
    <row r="6">
      <c r="A6" t="inlineStr">
        <is>
          <t>Rents of assize</t>
        </is>
      </c>
      <c r="B6" t="inlineStr">
        <is>
          <t>£23 2 shilling 8.5pence at Easter (22 April).</t>
        </is>
      </c>
      <c r="C6" t="n">
        <v>23.14</v>
      </c>
      <c r="D6" t="n">
        <v>23</v>
      </c>
      <c r="E6" t="n">
        <v>2</v>
      </c>
      <c r="F6" t="n">
        <v>8.5</v>
      </c>
      <c r="H6" t="n">
        <v>0</v>
      </c>
      <c r="I6" t="n">
        <v>0</v>
      </c>
      <c r="J6" t="n">
        <v>0</v>
      </c>
      <c r="K6" t="n">
        <v>0</v>
      </c>
      <c r="L6" t="n">
        <v>0</v>
      </c>
      <c r="M6" t="n">
        <v>0</v>
      </c>
      <c r="N6" t="n">
        <v>0</v>
      </c>
    </row>
    <row r="7">
      <c r="A7" t="inlineStr">
        <is>
          <t>Rents of assize</t>
        </is>
      </c>
      <c r="B7" t="inlineStr">
        <is>
          <t>£23 2 shilling 8.5pence at the feast of St John the Baptist (24 June).</t>
        </is>
      </c>
      <c r="C7" t="n">
        <v>23.14</v>
      </c>
      <c r="D7" t="n">
        <v>23</v>
      </c>
      <c r="E7" t="n">
        <v>2</v>
      </c>
      <c r="F7" t="n">
        <v>8.5</v>
      </c>
      <c r="H7" t="n">
        <v>0</v>
      </c>
      <c r="I7" t="n">
        <v>0</v>
      </c>
      <c r="J7" t="n">
        <v>0</v>
      </c>
      <c r="K7" t="n">
        <v>0</v>
      </c>
      <c r="L7" t="n">
        <v>0</v>
      </c>
      <c r="M7" t="n">
        <v>0</v>
      </c>
      <c r="N7" t="n">
        <v>0</v>
      </c>
    </row>
    <row r="8">
      <c r="A8" t="inlineStr">
        <is>
          <t>Rents of assize</t>
        </is>
      </c>
      <c r="B8" t="inlineStr">
        <is>
          <t>£27 18 shilling 4pence at Michaelmas (29 September).</t>
        </is>
      </c>
      <c r="C8" t="n">
        <v>27.92</v>
      </c>
      <c r="D8" t="n">
        <v>27</v>
      </c>
      <c r="E8" t="n">
        <v>18</v>
      </c>
      <c r="F8" t="n">
        <v>4</v>
      </c>
      <c r="H8" t="n">
        <v>0</v>
      </c>
      <c r="I8" t="n">
        <v>0</v>
      </c>
      <c r="J8" t="n">
        <v>0</v>
      </c>
      <c r="K8" t="n">
        <v>0</v>
      </c>
      <c r="L8" t="n">
        <v>0</v>
      </c>
      <c r="M8" t="n">
        <v>0</v>
      </c>
      <c r="N8" t="n">
        <v>0</v>
      </c>
    </row>
    <row r="9">
      <c r="A9" t="inlineStr">
        <is>
          <t>Rents of assize</t>
        </is>
      </c>
      <c r="B9" t="inlineStr">
        <is>
          <t>Total, £97 6 shilling 5.5pence</t>
        </is>
      </c>
      <c r="C9" t="n">
        <v>97.31999999999999</v>
      </c>
      <c r="D9" t="n">
        <v>97</v>
      </c>
      <c r="E9" t="n">
        <v>6</v>
      </c>
      <c r="F9" t="n">
        <v>5.5</v>
      </c>
      <c r="H9" t="n">
        <v>0</v>
      </c>
      <c r="I9" t="n">
        <v>0</v>
      </c>
      <c r="J9" t="n">
        <v>0</v>
      </c>
      <c r="K9" t="n">
        <v>0</v>
      </c>
      <c r="L9" t="n">
        <v>0</v>
      </c>
      <c r="M9" t="n">
        <v>0</v>
      </c>
      <c r="N9" t="n">
        <v>0</v>
      </c>
    </row>
    <row r="10">
      <c r="A10" t="inlineStr">
        <is>
          <t>Increment</t>
        </is>
      </c>
      <c r="B10" t="inlineStr">
        <is>
          <t>The same render account for .5pence from John Miles for the increment of rent for a certain purpresture which before he encroached upon without licence of the lorpence Total the same.</t>
        </is>
      </c>
      <c r="C10" t="n">
        <v>0.02</v>
      </c>
      <c r="D10" t="n">
        <v>0</v>
      </c>
      <c r="E10" t="n">
        <v>0</v>
      </c>
      <c r="F10" t="n">
        <v>5</v>
      </c>
      <c r="H10" t="n">
        <v>0</v>
      </c>
      <c r="I10" t="n">
        <v>0</v>
      </c>
      <c r="J10" t="n">
        <v>0</v>
      </c>
      <c r="K10" t="n">
        <v>0</v>
      </c>
      <c r="L10" t="n">
        <v>0</v>
      </c>
      <c r="M10" t="n">
        <v>0</v>
      </c>
      <c r="N10" t="n">
        <v>0</v>
      </c>
    </row>
    <row r="11">
      <c r="A11" t="inlineStr">
        <is>
          <t>Total of all rents with increment</t>
        </is>
      </c>
      <c r="B11" t="inlineStr">
        <is>
          <t>Total of all rents with increment, £97 6 shilling 6pence</t>
        </is>
      </c>
      <c r="C11" t="n">
        <v>97.33</v>
      </c>
      <c r="D11" t="n">
        <v>97</v>
      </c>
      <c r="E11" t="n">
        <v>6</v>
      </c>
      <c r="F11" t="n">
        <v>6</v>
      </c>
      <c r="H11" t="n">
        <v>0</v>
      </c>
      <c r="I11" t="n">
        <v>0</v>
      </c>
      <c r="J11" t="n">
        <v>0</v>
      </c>
      <c r="K11" t="n">
        <v>0</v>
      </c>
      <c r="L11" t="n">
        <v>0</v>
      </c>
      <c r="M11" t="n">
        <v>0</v>
      </c>
      <c r="N11" t="n">
        <v>0</v>
      </c>
    </row>
    <row r="12">
      <c r="A12" t="inlineStr">
        <is>
          <t>Quittances</t>
        </is>
      </c>
      <c r="B12" t="inlineStr">
        <is>
          <t>In quittance of 1 reeve for the year 5 shilling.</t>
        </is>
      </c>
      <c r="C12" t="n">
        <v>0.25</v>
      </c>
      <c r="D12" t="n">
        <v>0</v>
      </c>
      <c r="E12" t="n">
        <v>5</v>
      </c>
      <c r="F12" t="n">
        <v>0</v>
      </c>
      <c r="H12" t="n">
        <v>0</v>
      </c>
      <c r="I12" t="n">
        <v>0</v>
      </c>
      <c r="J12" t="n">
        <v>0</v>
      </c>
      <c r="K12" t="n">
        <v>0</v>
      </c>
      <c r="L12" t="n">
        <v>0</v>
      </c>
      <c r="M12" t="n">
        <v>0</v>
      </c>
      <c r="N12" t="n">
        <v>0</v>
      </c>
    </row>
    <row r="13">
      <c r="A13" t="inlineStr">
        <is>
          <t>Quittances</t>
        </is>
      </c>
      <c r="B13" t="inlineStr">
        <is>
          <t>8 ploughmen, 3 shepherds and 1 swineherd for the year £1 10 shilling, or 2 shilling 6pence each.</t>
        </is>
      </c>
      <c r="C13" t="n">
        <v>1.5</v>
      </c>
      <c r="D13" t="n">
        <v>1</v>
      </c>
      <c r="E13" t="n">
        <v>10</v>
      </c>
      <c r="F13" t="n">
        <v>0</v>
      </c>
      <c r="H13" t="n">
        <v>0</v>
      </c>
      <c r="I13" t="n">
        <v>0</v>
      </c>
      <c r="J13" t="n">
        <v>0</v>
      </c>
      <c r="K13" t="n">
        <v>0</v>
      </c>
      <c r="L13" t="n">
        <v>0</v>
      </c>
      <c r="M13" t="n">
        <v>0</v>
      </c>
      <c r="N13" t="n">
        <v>0</v>
      </c>
    </row>
    <row r="14">
      <c r="A14" t="inlineStr">
        <is>
          <t>Quittances</t>
        </is>
      </c>
      <c r="B14" t="inlineStr">
        <is>
          <t>3 ploughmen for the year who replaced 3 drovers who were at liberty 7 shilling 6pence Total, £2 2 shilling 6pence</t>
        </is>
      </c>
      <c r="C14" t="n">
        <v>2.12</v>
      </c>
      <c r="D14" t="n">
        <v>2</v>
      </c>
      <c r="E14" t="n">
        <v>2</v>
      </c>
      <c r="F14" t="n">
        <v>6</v>
      </c>
      <c r="H14" t="n">
        <v>0</v>
      </c>
      <c r="I14" t="n">
        <v>0</v>
      </c>
      <c r="J14" t="n">
        <v>0</v>
      </c>
      <c r="K14" t="n">
        <v>0</v>
      </c>
      <c r="L14" t="n">
        <v>0</v>
      </c>
      <c r="M14" t="n">
        <v>0</v>
      </c>
      <c r="N14" t="n">
        <v>0</v>
      </c>
    </row>
    <row r="15">
      <c r="A15" t="inlineStr">
        <is>
          <t>Defaults of rent</t>
        </is>
      </c>
      <c r="B15" t="inlineStr">
        <is>
          <t>In default of the land drawn into demesne, £1 1 shilling 7.5pence for the year.</t>
        </is>
      </c>
      <c r="C15" t="n">
        <v>1.08</v>
      </c>
      <c r="D15" t="n">
        <v>1</v>
      </c>
      <c r="E15" t="n">
        <v>1</v>
      </c>
      <c r="F15" t="n">
        <v>7.5</v>
      </c>
      <c r="H15" t="n">
        <v>0</v>
      </c>
      <c r="I15" t="n">
        <v>0</v>
      </c>
      <c r="J15" t="n">
        <v>0</v>
      </c>
      <c r="K15" t="n">
        <v>0</v>
      </c>
      <c r="L15" t="n">
        <v>0</v>
      </c>
      <c r="M15" t="n">
        <v>0</v>
      </c>
      <c r="N15" t="n">
        <v>0</v>
      </c>
    </row>
    <row r="16">
      <c r="A16" t="inlineStr">
        <is>
          <t>Defaults of rent</t>
        </is>
      </c>
      <c r="B16" t="inlineStr">
        <is>
          <t>the land of Rethecumbe given to the canons of Newark Priory by Bishop Godfrey, £5 for the year.</t>
        </is>
      </c>
      <c r="C16" t="n">
        <v>5</v>
      </c>
      <c r="D16" t="n">
        <v>5</v>
      </c>
      <c r="E16" t="n">
        <v>0</v>
      </c>
      <c r="F16" t="n">
        <v>0</v>
      </c>
      <c r="H16" t="n">
        <v>0</v>
      </c>
      <c r="I16" t="n">
        <v>0</v>
      </c>
      <c r="J16" t="n">
        <v>0</v>
      </c>
      <c r="K16" t="n">
        <v>0</v>
      </c>
      <c r="L16" t="n">
        <v>0</v>
      </c>
      <c r="M16" t="n">
        <v>0</v>
      </c>
      <c r="N16" t="n">
        <v>0</v>
      </c>
    </row>
    <row r="17">
      <c r="A17" t="inlineStr">
        <is>
          <t>Defaults of rent</t>
        </is>
      </c>
      <c r="B17" t="inlineStr">
        <is>
          <t>the pasture and wood of Balluns which belonged to Thomas de Cumbe drawn into demesne, £2 for the year.</t>
        </is>
      </c>
      <c r="C17" t="n">
        <v>2</v>
      </c>
      <c r="D17" t="n">
        <v>2</v>
      </c>
      <c r="E17" t="n">
        <v>0</v>
      </c>
      <c r="F17" t="n">
        <v>0</v>
      </c>
      <c r="H17" t="n">
        <v>0</v>
      </c>
      <c r="I17" t="n">
        <v>0</v>
      </c>
      <c r="J17" t="n">
        <v>0</v>
      </c>
      <c r="K17" t="n">
        <v>0</v>
      </c>
      <c r="L17" t="n">
        <v>0</v>
      </c>
      <c r="M17" t="n">
        <v>0</v>
      </c>
      <c r="N17" t="n">
        <v>0</v>
      </c>
    </row>
    <row r="18">
      <c r="A18" t="inlineStr">
        <is>
          <t>Defaults of rent</t>
        </is>
      </c>
      <c r="B18" t="inlineStr">
        <is>
          <t>the mill which Robert Molendinarius sometimes held drawn into demesne, £1 for the year.</t>
        </is>
      </c>
      <c r="C18" t="n">
        <v>1</v>
      </c>
      <c r="D18" t="n">
        <v>1</v>
      </c>
      <c r="E18" t="n">
        <v>0</v>
      </c>
      <c r="F18" t="n">
        <v>0</v>
      </c>
      <c r="H18" t="n">
        <v>0</v>
      </c>
      <c r="I18" t="n">
        <v>0</v>
      </c>
      <c r="J18" t="n">
        <v>0</v>
      </c>
      <c r="K18" t="n">
        <v>0</v>
      </c>
      <c r="L18" t="n">
        <v>0</v>
      </c>
      <c r="M18" t="n">
        <v>0</v>
      </c>
      <c r="N18" t="n">
        <v>0</v>
      </c>
    </row>
    <row r="19">
      <c r="A19" t="inlineStr">
        <is>
          <t>Defaults of rent</t>
        </is>
      </c>
      <c r="B19" t="inlineStr">
        <is>
          <t>8 acres of land which Deodatus (Deudoenis) le Hayward sometimes held drawn into demesne, 3 shilling for the year.</t>
        </is>
      </c>
      <c r="C19" t="n">
        <v>0.15</v>
      </c>
      <c r="D19" t="n">
        <v>0</v>
      </c>
      <c r="E19" t="n">
        <v>3</v>
      </c>
      <c r="F19" t="n">
        <v>0</v>
      </c>
      <c r="H19" t="n">
        <v>0</v>
      </c>
      <c r="I19" t="n">
        <v>0</v>
      </c>
      <c r="J19" t="n">
        <v>0</v>
      </c>
      <c r="K19" t="n">
        <v>0</v>
      </c>
      <c r="L19" t="n">
        <v>0</v>
      </c>
      <c r="M19" t="n">
        <v>0</v>
      </c>
      <c r="N19" t="n">
        <v>0</v>
      </c>
    </row>
    <row r="20">
      <c r="A20" t="inlineStr">
        <is>
          <t>Defaults of rent</t>
        </is>
      </c>
      <c r="B20" t="inlineStr">
        <is>
          <t>the land which the Abbot of Durford held drawn into demesne, 3 shilling 5pence for the year.</t>
        </is>
      </c>
      <c r="C20" t="n">
        <v>0.17</v>
      </c>
      <c r="D20" t="n">
        <v>0</v>
      </c>
      <c r="E20" t="n">
        <v>3</v>
      </c>
      <c r="F20" t="n">
        <v>5</v>
      </c>
      <c r="H20" t="n">
        <v>0</v>
      </c>
      <c r="I20" t="n">
        <v>0</v>
      </c>
      <c r="J20" t="n">
        <v>0</v>
      </c>
      <c r="K20" t="n">
        <v>0</v>
      </c>
      <c r="L20" t="n">
        <v>0</v>
      </c>
      <c r="M20" t="n">
        <v>0</v>
      </c>
      <c r="N20" t="n">
        <v>0</v>
      </c>
    </row>
    <row r="21">
      <c r="A21" t="inlineStr">
        <is>
          <t>Defaults of rent</t>
        </is>
      </c>
      <c r="B21" t="inlineStr">
        <is>
          <t>the land of Barlych' drawn into the park, 3 shilling 2pence for the year.</t>
        </is>
      </c>
      <c r="C21" t="n">
        <v>0.16</v>
      </c>
      <c r="D21" t="n">
        <v>0</v>
      </c>
      <c r="E21" t="n">
        <v>3</v>
      </c>
      <c r="F21" t="n">
        <v>2</v>
      </c>
      <c r="H21" t="n">
        <v>0</v>
      </c>
      <c r="I21" t="n">
        <v>0</v>
      </c>
      <c r="J21" t="n">
        <v>0</v>
      </c>
      <c r="K21" t="n">
        <v>0</v>
      </c>
      <c r="L21" t="n">
        <v>0</v>
      </c>
      <c r="M21" t="n">
        <v>0</v>
      </c>
      <c r="N21" t="n">
        <v>0</v>
      </c>
    </row>
    <row r="22">
      <c r="A22" t="inlineStr">
        <is>
          <t>Defaults of rent</t>
        </is>
      </c>
      <c r="B22" t="inlineStr">
        <is>
          <t>1 purpresture which belonged to William Gibbe drawn into demesne, 6pence for the year.</t>
        </is>
      </c>
      <c r="C22" t="n">
        <v>0.03</v>
      </c>
      <c r="D22" t="n">
        <v>0</v>
      </c>
      <c r="E22" t="n">
        <v>0</v>
      </c>
      <c r="F22" t="n">
        <v>6</v>
      </c>
      <c r="H22" t="n">
        <v>0</v>
      </c>
      <c r="I22" t="n">
        <v>0</v>
      </c>
      <c r="J22" t="n">
        <v>0</v>
      </c>
      <c r="K22" t="n">
        <v>0</v>
      </c>
      <c r="L22" t="n">
        <v>0</v>
      </c>
      <c r="M22" t="n">
        <v>0</v>
      </c>
      <c r="N22" t="n">
        <v>0</v>
      </c>
    </row>
    <row r="23">
      <c r="A23" t="inlineStr">
        <is>
          <t>Defaults of rent</t>
        </is>
      </c>
      <c r="B23" t="inlineStr">
        <is>
          <t>1 plot beside the marl-pit of Wetham which H. de Borden' held, 4pence, because it was a nuisance to the neighbourhoopence Total, £9 12 shilling .5pence</t>
        </is>
      </c>
      <c r="C23" t="n">
        <v>9.6</v>
      </c>
      <c r="D23" t="n">
        <v>9</v>
      </c>
      <c r="E23" t="n">
        <v>12</v>
      </c>
      <c r="F23" t="n">
        <v>0</v>
      </c>
      <c r="H23" t="n">
        <v>0</v>
      </c>
      <c r="I23" t="n">
        <v>0</v>
      </c>
      <c r="J23" t="n">
        <v>0</v>
      </c>
      <c r="K23" t="n">
        <v>0</v>
      </c>
      <c r="L23" t="n">
        <v>0</v>
      </c>
      <c r="M23" t="n">
        <v>0</v>
      </c>
      <c r="N23" t="n">
        <v>0</v>
      </c>
    </row>
    <row r="24">
      <c r="A24" t="inlineStr">
        <is>
          <t>Total of quittances and defaults of rent</t>
        </is>
      </c>
      <c r="B24" t="inlineStr">
        <is>
          <t>Total of quittances and defaults of rent, £11 14 shilling 6.5pence</t>
        </is>
      </c>
      <c r="C24" t="n">
        <v>11.73</v>
      </c>
      <c r="D24" t="n">
        <v>11</v>
      </c>
      <c r="E24" t="n">
        <v>14</v>
      </c>
      <c r="F24" t="n">
        <v>6.5</v>
      </c>
      <c r="H24" t="n">
        <v>0</v>
      </c>
      <c r="I24" t="n">
        <v>0</v>
      </c>
      <c r="J24" t="n">
        <v>0</v>
      </c>
      <c r="K24" t="n">
        <v>0</v>
      </c>
      <c r="L24" t="n">
        <v>0</v>
      </c>
      <c r="M24" t="n">
        <v>0</v>
      </c>
      <c r="N24" t="n">
        <v>0</v>
      </c>
    </row>
    <row r="25">
      <c r="A25" t="inlineStr">
        <is>
          <t>Total of rents remaining</t>
        </is>
      </c>
      <c r="B25" t="inlineStr">
        <is>
          <t>Total of rents remaining, £85 11 shilling 11.5pence</t>
        </is>
      </c>
      <c r="C25" t="n">
        <v>85.59999999999999</v>
      </c>
      <c r="D25" t="n">
        <v>85</v>
      </c>
      <c r="E25" t="n">
        <v>11</v>
      </c>
      <c r="F25" t="n">
        <v>11.5</v>
      </c>
      <c r="H25" t="n">
        <v>0</v>
      </c>
      <c r="I25" t="n">
        <v>0</v>
      </c>
      <c r="J25" t="n">
        <v>0</v>
      </c>
      <c r="K25" t="n">
        <v>0</v>
      </c>
      <c r="L25" t="n">
        <v>0</v>
      </c>
      <c r="M25" t="n">
        <v>0</v>
      </c>
      <c r="N25" t="n">
        <v>0</v>
      </c>
    </row>
    <row r="26">
      <c r="A26" t="inlineStr">
        <is>
          <t>Cumin</t>
        </is>
      </c>
      <c r="B26" t="inlineStr">
        <is>
          <t>The same render account for .5 lb of cumin from the rent of William ate Bere.</t>
        </is>
      </c>
      <c r="C26" t="n">
        <v>0</v>
      </c>
      <c r="D26" t="n">
        <v>0</v>
      </c>
      <c r="E26" t="n">
        <v>0</v>
      </c>
      <c r="F26" t="n">
        <v>0</v>
      </c>
      <c r="H26" t="n">
        <v>0</v>
      </c>
      <c r="I26" t="n">
        <v>0</v>
      </c>
      <c r="J26" t="n">
        <v>0</v>
      </c>
      <c r="K26" t="n">
        <v>0</v>
      </c>
      <c r="L26" t="n">
        <v>0</v>
      </c>
      <c r="M26" t="n">
        <v>0</v>
      </c>
      <c r="N26" t="n">
        <v>0</v>
      </c>
    </row>
    <row r="27">
      <c r="A27" t="inlineStr">
        <is>
          <t>Cumin</t>
        </is>
      </c>
      <c r="B27" t="inlineStr">
        <is>
          <t>1 lb of cumin from Andrew de Holeweye for annual recognizance.</t>
        </is>
      </c>
      <c r="C27" t="n">
        <v>0</v>
      </c>
      <c r="D27" t="n">
        <v>0</v>
      </c>
      <c r="E27" t="n">
        <v>0</v>
      </c>
      <c r="F27" t="n">
        <v>0</v>
      </c>
      <c r="H27" t="n">
        <v>0</v>
      </c>
      <c r="I27" t="n">
        <v>0</v>
      </c>
      <c r="J27" t="n">
        <v>0</v>
      </c>
      <c r="K27" t="n">
        <v>0</v>
      </c>
      <c r="L27" t="n">
        <v>0</v>
      </c>
      <c r="M27" t="n">
        <v>0</v>
      </c>
      <c r="N27" t="n">
        <v>0</v>
      </c>
    </row>
    <row r="28">
      <c r="A28" t="inlineStr">
        <is>
          <t>Cumin</t>
        </is>
      </c>
      <c r="B28" t="inlineStr">
        <is>
          <t>Total, 1.5 lbs.</t>
        </is>
      </c>
      <c r="C28" t="n">
        <v>0</v>
      </c>
      <c r="D28" t="n">
        <v>0</v>
      </c>
      <c r="E28" t="n">
        <v>0</v>
      </c>
      <c r="F28" t="n">
        <v>0</v>
      </c>
      <c r="H28" t="n">
        <v>0</v>
      </c>
      <c r="I28" t="n">
        <v>0</v>
      </c>
      <c r="J28" t="n">
        <v>0</v>
      </c>
      <c r="K28" t="n">
        <v>0</v>
      </c>
      <c r="L28" t="n">
        <v>0</v>
      </c>
      <c r="M28" t="n">
        <v>0</v>
      </c>
      <c r="N28" t="n">
        <v>0</v>
      </c>
    </row>
    <row r="29">
      <c r="A29" t="inlineStr">
        <is>
          <t>Gloves</t>
        </is>
      </c>
      <c r="B29" t="inlineStr">
        <is>
          <t>The same render account for 1 pair of gloves from the rent of William Gilberd'.</t>
        </is>
      </c>
      <c r="C29" t="n">
        <v>0</v>
      </c>
      <c r="D29" t="n">
        <v>0</v>
      </c>
      <c r="E29" t="n">
        <v>0</v>
      </c>
      <c r="F29" t="n">
        <v>0</v>
      </c>
      <c r="H29" t="n">
        <v>0</v>
      </c>
      <c r="I29" t="n">
        <v>0</v>
      </c>
      <c r="J29" t="n">
        <v>0</v>
      </c>
      <c r="K29" t="n">
        <v>0</v>
      </c>
      <c r="L29" t="n">
        <v>0</v>
      </c>
      <c r="M29" t="n">
        <v>0</v>
      </c>
      <c r="N29" t="n">
        <v>0</v>
      </c>
    </row>
    <row r="30">
      <c r="A30" t="inlineStr">
        <is>
          <t>Gloves</t>
        </is>
      </c>
      <c r="B30" t="inlineStr">
        <is>
          <t>all delivered to Wolvesey.</t>
        </is>
      </c>
      <c r="C30" t="n">
        <v>0</v>
      </c>
      <c r="D30" t="n">
        <v>0</v>
      </c>
      <c r="E30" t="n">
        <v>0</v>
      </c>
      <c r="F30" t="n">
        <v>0</v>
      </c>
      <c r="H30" t="n">
        <v>0</v>
      </c>
      <c r="I30" t="n">
        <v>0</v>
      </c>
      <c r="J30" t="n">
        <v>0</v>
      </c>
      <c r="K30" t="n">
        <v>0</v>
      </c>
      <c r="L30" t="n">
        <v>0</v>
      </c>
      <c r="M30" t="n">
        <v>0</v>
      </c>
      <c r="N30" t="n">
        <v>0</v>
      </c>
    </row>
    <row r="31">
      <c r="A31" t="inlineStr">
        <is>
          <t>Wax</t>
        </is>
      </c>
      <c r="B31" t="inlineStr">
        <is>
          <t>The same render account for 1 lb of wax from Adam Osmund' for annual recognizance.</t>
        </is>
      </c>
      <c r="C31" t="n">
        <v>0</v>
      </c>
      <c r="D31" t="n">
        <v>0</v>
      </c>
      <c r="E31" t="n">
        <v>0</v>
      </c>
      <c r="F31" t="n">
        <v>0</v>
      </c>
      <c r="H31" t="n">
        <v>0</v>
      </c>
      <c r="I31" t="n">
        <v>0</v>
      </c>
      <c r="J31" t="n">
        <v>0</v>
      </c>
      <c r="K31" t="n">
        <v>0</v>
      </c>
      <c r="L31" t="n">
        <v>0</v>
      </c>
      <c r="M31" t="n">
        <v>0</v>
      </c>
      <c r="N31" t="n">
        <v>0</v>
      </c>
    </row>
    <row r="32">
      <c r="A32" t="inlineStr">
        <is>
          <t>Wax</t>
        </is>
      </c>
      <c r="B32" t="inlineStr">
        <is>
          <t>all delivered to Wolvesey.</t>
        </is>
      </c>
      <c r="C32" t="n">
        <v>0</v>
      </c>
      <c r="D32" t="n">
        <v>0</v>
      </c>
      <c r="E32" t="n">
        <v>0</v>
      </c>
      <c r="F32" t="n">
        <v>0</v>
      </c>
      <c r="H32" t="n">
        <v>0</v>
      </c>
      <c r="I32" t="n">
        <v>0</v>
      </c>
      <c r="J32" t="n">
        <v>0</v>
      </c>
      <c r="K32" t="n">
        <v>0</v>
      </c>
      <c r="L32" t="n">
        <v>0</v>
      </c>
      <c r="M32" t="n">
        <v>0</v>
      </c>
      <c r="N32" t="n">
        <v>0</v>
      </c>
    </row>
    <row r="33">
      <c r="A33" t="inlineStr">
        <is>
          <t>Annual recognizance</t>
        </is>
      </c>
      <c r="B33" t="inlineStr">
        <is>
          <t>The same render account for 3pence from John le Espicir for annual recognizance.</t>
        </is>
      </c>
      <c r="C33" t="n">
        <v>0.01</v>
      </c>
      <c r="D33" t="n">
        <v>0</v>
      </c>
      <c r="E33" t="n">
        <v>0</v>
      </c>
      <c r="F33" t="n">
        <v>3</v>
      </c>
      <c r="H33" t="n">
        <v>0</v>
      </c>
      <c r="I33" t="n">
        <v>0</v>
      </c>
      <c r="J33" t="n">
        <v>0</v>
      </c>
      <c r="K33" t="n">
        <v>0</v>
      </c>
      <c r="L33" t="n">
        <v>0</v>
      </c>
      <c r="M33" t="n">
        <v>0</v>
      </c>
      <c r="N33" t="n">
        <v>0</v>
      </c>
    </row>
    <row r="34">
      <c r="A34" t="inlineStr">
        <is>
          <t>Annual recognizance</t>
        </is>
      </c>
      <c r="B34" t="inlineStr">
        <is>
          <t>6pence from Henry de Afford' so that he may come and go within the hundred and pay suit of court for the tithing at the 2 hundred-courts.</t>
        </is>
      </c>
      <c r="C34" t="n">
        <v>0.03</v>
      </c>
      <c r="D34" t="n">
        <v>0</v>
      </c>
      <c r="E34" t="n">
        <v>0</v>
      </c>
      <c r="F34" t="n">
        <v>6</v>
      </c>
      <c r="H34" t="n">
        <v>0</v>
      </c>
      <c r="I34" t="n">
        <v>0</v>
      </c>
      <c r="J34" t="n">
        <v>0</v>
      </c>
      <c r="K34" t="n">
        <v>0</v>
      </c>
      <c r="L34" t="n">
        <v>0</v>
      </c>
      <c r="M34" t="n">
        <v>0</v>
      </c>
      <c r="N34" t="n">
        <v>0</v>
      </c>
    </row>
    <row r="35">
      <c r="A35" t="inlineStr">
        <is>
          <t>Annual recognizance</t>
        </is>
      </c>
      <c r="B35" t="inlineStr">
        <is>
          <t>6pence from William de Stomore for the same.</t>
        </is>
      </c>
      <c r="C35" t="n">
        <v>0.03</v>
      </c>
      <c r="D35" t="n">
        <v>0</v>
      </c>
      <c r="E35" t="n">
        <v>0</v>
      </c>
      <c r="F35" t="n">
        <v>6</v>
      </c>
      <c r="H35" t="n">
        <v>0</v>
      </c>
      <c r="I35" t="n">
        <v>0</v>
      </c>
      <c r="J35" t="n">
        <v>0</v>
      </c>
      <c r="K35" t="n">
        <v>0</v>
      </c>
      <c r="L35" t="n">
        <v>0</v>
      </c>
      <c r="M35" t="n">
        <v>0</v>
      </c>
      <c r="N35" t="n">
        <v>0</v>
      </c>
    </row>
    <row r="36">
      <c r="A36" t="inlineStr">
        <is>
          <t>Annual recognizance</t>
        </is>
      </c>
      <c r="B36" t="inlineStr">
        <is>
          <t>3pence from Robert Judde for annual recognizance so that he need not pay suit of court for the tithing.</t>
        </is>
      </c>
      <c r="C36" t="n">
        <v>0.01</v>
      </c>
      <c r="D36" t="n">
        <v>0</v>
      </c>
      <c r="E36" t="n">
        <v>0</v>
      </c>
      <c r="F36" t="n">
        <v>3</v>
      </c>
      <c r="H36" t="n">
        <v>0</v>
      </c>
      <c r="I36" t="n">
        <v>0</v>
      </c>
      <c r="J36" t="n">
        <v>0</v>
      </c>
      <c r="K36" t="n">
        <v>0</v>
      </c>
      <c r="L36" t="n">
        <v>0</v>
      </c>
      <c r="M36" t="n">
        <v>0</v>
      </c>
      <c r="N36" t="n">
        <v>0</v>
      </c>
    </row>
    <row r="37">
      <c r="A37" t="inlineStr">
        <is>
          <t>Annual recognizance</t>
        </is>
      </c>
      <c r="B37" t="inlineStr">
        <is>
          <t>3pence from Robert Faber for annual recognizance.</t>
        </is>
      </c>
      <c r="C37" t="n">
        <v>0.01</v>
      </c>
      <c r="D37" t="n">
        <v>0</v>
      </c>
      <c r="E37" t="n">
        <v>0</v>
      </c>
      <c r="F37" t="n">
        <v>3</v>
      </c>
      <c r="H37" t="n">
        <v>0</v>
      </c>
      <c r="I37" t="n">
        <v>0</v>
      </c>
      <c r="J37" t="n">
        <v>0</v>
      </c>
      <c r="K37" t="n">
        <v>0</v>
      </c>
      <c r="L37" t="n">
        <v>0</v>
      </c>
      <c r="M37" t="n">
        <v>0</v>
      </c>
      <c r="N37" t="n">
        <v>0</v>
      </c>
    </row>
    <row r="38">
      <c r="A38" t="inlineStr">
        <is>
          <t>Annual recognizance</t>
        </is>
      </c>
      <c r="B38" t="inlineStr">
        <is>
          <t>3pence from Henry ate Thorn' for the same, plus William ate Churche.</t>
        </is>
      </c>
      <c r="C38" t="n">
        <v>0.01</v>
      </c>
      <c r="D38" t="n">
        <v>0</v>
      </c>
      <c r="E38" t="n">
        <v>0</v>
      </c>
      <c r="F38" t="n">
        <v>3</v>
      </c>
      <c r="H38" t="n">
        <v>0</v>
      </c>
      <c r="I38" t="n">
        <v>0</v>
      </c>
      <c r="J38" t="n">
        <v>0</v>
      </c>
      <c r="K38" t="n">
        <v>0</v>
      </c>
      <c r="L38" t="n">
        <v>0</v>
      </c>
      <c r="M38" t="n">
        <v>0</v>
      </c>
      <c r="N38" t="n">
        <v>0</v>
      </c>
    </row>
    <row r="39">
      <c r="A39" t="inlineStr">
        <is>
          <t>Annual recognizance</t>
        </is>
      </c>
      <c r="B39" t="inlineStr">
        <is>
          <t>Total, 2 shilling</t>
        </is>
      </c>
      <c r="C39" t="n">
        <v>0.1</v>
      </c>
      <c r="D39" t="n">
        <v>0</v>
      </c>
      <c r="E39" t="n">
        <v>2</v>
      </c>
      <c r="F39" t="n">
        <v>0</v>
      </c>
      <c r="H39" t="n">
        <v>0</v>
      </c>
      <c r="I39" t="n">
        <v>0</v>
      </c>
      <c r="J39" t="n">
        <v>0</v>
      </c>
      <c r="K39" t="n">
        <v>0</v>
      </c>
      <c r="L39" t="n">
        <v>0</v>
      </c>
      <c r="M39" t="n">
        <v>0</v>
      </c>
      <c r="N39" t="n">
        <v>0</v>
      </c>
    </row>
    <row r="40">
      <c r="A40" t="inlineStr">
        <is>
          <t>Issues of the manor</t>
        </is>
      </c>
      <c r="B40" t="inlineStr">
        <is>
          <t>The same render account for £2 19 shilling 10.5pence from pannage of pigs within the hundred this year.</t>
        </is>
      </c>
      <c r="C40" t="n">
        <v>2.99</v>
      </c>
      <c r="D40" t="n">
        <v>2</v>
      </c>
      <c r="E40" t="n">
        <v>19</v>
      </c>
      <c r="F40" t="n">
        <v>10.5</v>
      </c>
      <c r="H40" t="n">
        <v>0</v>
      </c>
      <c r="I40" t="n">
        <v>0</v>
      </c>
      <c r="J40" t="n">
        <v>0</v>
      </c>
      <c r="K40" t="n">
        <v>0</v>
      </c>
      <c r="L40" t="n">
        <v>0</v>
      </c>
      <c r="M40" t="n">
        <v>0</v>
      </c>
      <c r="N40" t="n">
        <v>0</v>
      </c>
    </row>
    <row r="41">
      <c r="A41" t="inlineStr">
        <is>
          <t>Issues of the manor</t>
        </is>
      </c>
      <c r="B41" t="inlineStr">
        <is>
          <t>nothing from foreign pannage or in the park this year for a want of mast.</t>
        </is>
      </c>
      <c r="C41" t="n">
        <v>0</v>
      </c>
      <c r="D41" t="n">
        <v>0</v>
      </c>
      <c r="E41" t="n">
        <v>0</v>
      </c>
      <c r="F41" t="n">
        <v>0</v>
      </c>
      <c r="H41" t="n">
        <v>0</v>
      </c>
      <c r="I41" t="n">
        <v>0</v>
      </c>
      <c r="J41" t="n">
        <v>0</v>
      </c>
      <c r="K41" t="n">
        <v>0</v>
      </c>
      <c r="L41" t="n">
        <v>0</v>
      </c>
      <c r="M41" t="n">
        <v>0</v>
      </c>
      <c r="N41" t="n">
        <v>0</v>
      </c>
    </row>
    <row r="42">
      <c r="A42" t="inlineStr">
        <is>
          <t>Issues of the manor</t>
        </is>
      </c>
      <c r="B42" t="inlineStr">
        <is>
          <t>nothing from the pasturage in the stubble this year.</t>
        </is>
      </c>
      <c r="C42" t="n">
        <v>0</v>
      </c>
      <c r="D42" t="n">
        <v>0</v>
      </c>
      <c r="E42" t="n">
        <v>0</v>
      </c>
      <c r="F42" t="n">
        <v>0</v>
      </c>
      <c r="H42" t="n">
        <v>0</v>
      </c>
      <c r="I42" t="n">
        <v>0</v>
      </c>
      <c r="J42" t="n">
        <v>0</v>
      </c>
      <c r="K42" t="n">
        <v>0</v>
      </c>
      <c r="L42" t="n">
        <v>0</v>
      </c>
      <c r="M42" t="n">
        <v>0</v>
      </c>
      <c r="N42" t="n">
        <v>0</v>
      </c>
    </row>
    <row r="43">
      <c r="A43" t="inlineStr">
        <is>
          <t>Issues of the manor</t>
        </is>
      </c>
      <c r="B43" t="inlineStr">
        <is>
          <t>7 shilling 4pence from winter pasturage in Hydon' which is called Blakedon on the west side of Astederod' which is the common land of East Meon, because the other part is enclosed for the lord's profit.</t>
        </is>
      </c>
      <c r="C43" t="n">
        <v>0.37</v>
      </c>
      <c r="D43" t="n">
        <v>0</v>
      </c>
      <c r="E43" t="n">
        <v>7</v>
      </c>
      <c r="F43" t="n">
        <v>4</v>
      </c>
      <c r="H43" t="n">
        <v>0</v>
      </c>
      <c r="I43" t="n">
        <v>0</v>
      </c>
      <c r="J43" t="n">
        <v>0</v>
      </c>
      <c r="K43" t="n">
        <v>0</v>
      </c>
      <c r="L43" t="n">
        <v>0</v>
      </c>
      <c r="M43" t="n">
        <v>0</v>
      </c>
      <c r="N43" t="n">
        <v>0</v>
      </c>
    </row>
    <row r="44">
      <c r="A44" t="inlineStr">
        <is>
          <t>Issues of the manor</t>
        </is>
      </c>
      <c r="B44" t="inlineStr">
        <is>
          <t>nothing from the pasturage in Smaldon' this year on account of the lord's stock.</t>
        </is>
      </c>
      <c r="C44" t="n">
        <v>0</v>
      </c>
      <c r="D44" t="n">
        <v>0</v>
      </c>
      <c r="E44" t="n">
        <v>0</v>
      </c>
      <c r="F44" t="n">
        <v>0</v>
      </c>
      <c r="H44" t="n">
        <v>0</v>
      </c>
      <c r="I44" t="n">
        <v>0</v>
      </c>
      <c r="J44" t="n">
        <v>0</v>
      </c>
      <c r="K44" t="n">
        <v>0</v>
      </c>
      <c r="L44" t="n">
        <v>0</v>
      </c>
      <c r="M44" t="n">
        <v>0</v>
      </c>
      <c r="N44" t="n">
        <v>0</v>
      </c>
    </row>
    <row r="45">
      <c r="A45" t="inlineStr">
        <is>
          <t>Issues of the manor</t>
        </is>
      </c>
      <c r="B45" t="inlineStr">
        <is>
          <t>3 shilling from the pasturage of the meadow below Godeshull' sold in winter.</t>
        </is>
      </c>
      <c r="C45" t="n">
        <v>0.15</v>
      </c>
      <c r="D45" t="n">
        <v>0</v>
      </c>
      <c r="E45" t="n">
        <v>3</v>
      </c>
      <c r="F45" t="n">
        <v>0</v>
      </c>
      <c r="H45" t="n">
        <v>0</v>
      </c>
      <c r="I45" t="n">
        <v>0</v>
      </c>
      <c r="J45" t="n">
        <v>0</v>
      </c>
      <c r="K45" t="n">
        <v>0</v>
      </c>
      <c r="L45" t="n">
        <v>0</v>
      </c>
      <c r="M45" t="n">
        <v>0</v>
      </c>
      <c r="N45" t="n">
        <v>0</v>
      </c>
    </row>
    <row r="46">
      <c r="A46" t="inlineStr">
        <is>
          <t>Issues of the manor</t>
        </is>
      </c>
      <c r="B46" t="inlineStr">
        <is>
          <t>nothing from the pasturage of Innom' in winter or summer this year because it was mown.</t>
        </is>
      </c>
      <c r="C46" t="n">
        <v>0</v>
      </c>
      <c r="D46" t="n">
        <v>0</v>
      </c>
      <c r="E46" t="n">
        <v>0</v>
      </c>
      <c r="F46" t="n">
        <v>0</v>
      </c>
      <c r="H46" t="n">
        <v>0</v>
      </c>
      <c r="I46" t="n">
        <v>0</v>
      </c>
      <c r="J46" t="n">
        <v>0</v>
      </c>
      <c r="K46" t="n">
        <v>0</v>
      </c>
      <c r="L46" t="n">
        <v>0</v>
      </c>
      <c r="M46" t="n">
        <v>0</v>
      </c>
      <c r="N46" t="n">
        <v>0</v>
      </c>
    </row>
    <row r="47">
      <c r="A47" t="inlineStr">
        <is>
          <t>Issues of the manor</t>
        </is>
      </c>
      <c r="B47" t="inlineStr">
        <is>
          <t>£1 2 shilling 8pence from summer pasturage sold in Hydon' by agistment by the head.</t>
        </is>
      </c>
      <c r="C47" t="n">
        <v>1.13</v>
      </c>
      <c r="D47" t="n">
        <v>1</v>
      </c>
      <c r="E47" t="n">
        <v>2</v>
      </c>
      <c r="F47" t="n">
        <v>8</v>
      </c>
      <c r="H47" t="n">
        <v>0</v>
      </c>
      <c r="I47" t="n">
        <v>0</v>
      </c>
      <c r="J47" t="n">
        <v>0</v>
      </c>
      <c r="K47" t="n">
        <v>0</v>
      </c>
      <c r="L47" t="n">
        <v>0</v>
      </c>
      <c r="M47" t="n">
        <v>0</v>
      </c>
      <c r="N47" t="n">
        <v>0</v>
      </c>
    </row>
    <row r="48">
      <c r="A48" t="inlineStr">
        <is>
          <t>Issues of the manor</t>
        </is>
      </c>
      <c r="B48" t="inlineStr">
        <is>
          <t>7 shilling from the pasturage beside the sheepcote of Holecumbe sold in summer.</t>
        </is>
      </c>
      <c r="C48" t="n">
        <v>0.35</v>
      </c>
      <c r="D48" t="n">
        <v>0</v>
      </c>
      <c r="E48" t="n">
        <v>7</v>
      </c>
      <c r="F48" t="n">
        <v>0</v>
      </c>
      <c r="H48" t="n">
        <v>0</v>
      </c>
      <c r="I48" t="n">
        <v>0</v>
      </c>
      <c r="J48" t="n">
        <v>0</v>
      </c>
      <c r="K48" t="n">
        <v>0</v>
      </c>
      <c r="L48" t="n">
        <v>0</v>
      </c>
      <c r="M48" t="n">
        <v>0</v>
      </c>
      <c r="N48" t="n">
        <v>0</v>
      </c>
    </row>
    <row r="49">
      <c r="A49" t="inlineStr">
        <is>
          <t>Issues of the manor</t>
        </is>
      </c>
      <c r="B49" t="inlineStr">
        <is>
          <t>4 shilling from the pasturage in la Garston sold this year in summer.</t>
        </is>
      </c>
      <c r="C49" t="n">
        <v>0.2</v>
      </c>
      <c r="D49" t="n">
        <v>0</v>
      </c>
      <c r="E49" t="n">
        <v>4</v>
      </c>
      <c r="F49" t="n">
        <v>0</v>
      </c>
      <c r="H49" t="n">
        <v>0</v>
      </c>
      <c r="I49" t="n">
        <v>0</v>
      </c>
      <c r="J49" t="n">
        <v>0</v>
      </c>
      <c r="K49" t="n">
        <v>0</v>
      </c>
      <c r="L49" t="n">
        <v>0</v>
      </c>
      <c r="M49" t="n">
        <v>0</v>
      </c>
      <c r="N49" t="n">
        <v>0</v>
      </c>
    </row>
    <row r="50">
      <c r="A50" t="inlineStr">
        <is>
          <t>Issues of the manor</t>
        </is>
      </c>
      <c r="B50" t="inlineStr">
        <is>
          <t>nothing from the pasturage of Wodeueslynch' this year for the lord's lambs.</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pasturage of Bekes this year on account of the lord's sheep.</t>
        </is>
      </c>
      <c r="C51" t="n">
        <v>0</v>
      </c>
      <c r="D51" t="n">
        <v>0</v>
      </c>
      <c r="E51" t="n">
        <v>0</v>
      </c>
      <c r="F51" t="n">
        <v>0</v>
      </c>
      <c r="H51" t="n">
        <v>0</v>
      </c>
      <c r="I51" t="n">
        <v>0</v>
      </c>
      <c r="J51" t="n">
        <v>0</v>
      </c>
      <c r="K51" t="n">
        <v>0</v>
      </c>
      <c r="L51" t="n">
        <v>0</v>
      </c>
      <c r="M51" t="n">
        <v>0</v>
      </c>
      <c r="N51" t="n">
        <v>0</v>
      </c>
    </row>
    <row r="52">
      <c r="A52" t="inlineStr">
        <is>
          <t>Issues of the manor</t>
        </is>
      </c>
      <c r="B52" t="inlineStr">
        <is>
          <t>nothing from the pasturage of 1 plot of Hardescombe this year for the lord's lambs.</t>
        </is>
      </c>
      <c r="C52" t="n">
        <v>0</v>
      </c>
      <c r="D52" t="n">
        <v>0</v>
      </c>
      <c r="E52" t="n">
        <v>0</v>
      </c>
      <c r="F52" t="n">
        <v>0</v>
      </c>
      <c r="H52" t="n">
        <v>0</v>
      </c>
      <c r="I52" t="n">
        <v>0</v>
      </c>
      <c r="J52" t="n">
        <v>0</v>
      </c>
      <c r="K52" t="n">
        <v>0</v>
      </c>
      <c r="L52" t="n">
        <v>0</v>
      </c>
      <c r="M52" t="n">
        <v>0</v>
      </c>
      <c r="N52" t="n">
        <v>0</v>
      </c>
    </row>
    <row r="53">
      <c r="A53" t="inlineStr">
        <is>
          <t>Issues of the manor</t>
        </is>
      </c>
      <c r="B53" t="inlineStr">
        <is>
          <t>8 shilling from the pasturage of Lokewell' and Hullyden' sold this year.</t>
        </is>
      </c>
      <c r="C53" t="n">
        <v>0.4</v>
      </c>
      <c r="D53" t="n">
        <v>0</v>
      </c>
      <c r="E53" t="n">
        <v>8</v>
      </c>
      <c r="F53" t="n">
        <v>0</v>
      </c>
      <c r="H53" t="n">
        <v>0</v>
      </c>
      <c r="I53" t="n">
        <v>0</v>
      </c>
      <c r="J53" t="n">
        <v>0</v>
      </c>
      <c r="K53" t="n">
        <v>0</v>
      </c>
      <c r="L53" t="n">
        <v>0</v>
      </c>
      <c r="M53" t="n">
        <v>0</v>
      </c>
      <c r="N53" t="n">
        <v>0</v>
      </c>
    </row>
    <row r="54">
      <c r="A54" t="inlineStr">
        <is>
          <t>Issues of the manor</t>
        </is>
      </c>
      <c r="B54" t="inlineStr">
        <is>
          <t>7 shilling from the pasturage of Brodemed' sold after mowing.</t>
        </is>
      </c>
      <c r="C54" t="n">
        <v>0.35</v>
      </c>
      <c r="D54" t="n">
        <v>0</v>
      </c>
      <c r="E54" t="n">
        <v>7</v>
      </c>
      <c r="F54" t="n">
        <v>0</v>
      </c>
      <c r="H54" t="n">
        <v>0</v>
      </c>
      <c r="I54" t="n">
        <v>0</v>
      </c>
      <c r="J54" t="n">
        <v>0</v>
      </c>
      <c r="K54" t="n">
        <v>0</v>
      </c>
      <c r="L54" t="n">
        <v>0</v>
      </c>
      <c r="M54" t="n">
        <v>0</v>
      </c>
      <c r="N54" t="n">
        <v>0</v>
      </c>
    </row>
    <row r="55">
      <c r="A55" t="inlineStr">
        <is>
          <t>Issues of the manor</t>
        </is>
      </c>
      <c r="B55" t="inlineStr">
        <is>
          <t>nothing from the pasturage in the park this year on account of the lord's stock.</t>
        </is>
      </c>
      <c r="C55" t="n">
        <v>0</v>
      </c>
      <c r="D55" t="n">
        <v>0</v>
      </c>
      <c r="E55" t="n">
        <v>0</v>
      </c>
      <c r="F55" t="n">
        <v>0</v>
      </c>
      <c r="H55" t="n">
        <v>0</v>
      </c>
      <c r="I55" t="n">
        <v>0</v>
      </c>
      <c r="J55" t="n">
        <v>0</v>
      </c>
      <c r="K55" t="n">
        <v>0</v>
      </c>
      <c r="L55" t="n">
        <v>0</v>
      </c>
      <c r="M55" t="n">
        <v>0</v>
      </c>
      <c r="N55" t="n">
        <v>0</v>
      </c>
    </row>
    <row r="56">
      <c r="A56" t="inlineStr">
        <is>
          <t>Issues of the manor</t>
        </is>
      </c>
      <c r="B56" t="inlineStr">
        <is>
          <t>5 shilling from the pasturage of Oldefiswer' as far as Selecumbe and Sabwey sold this year.</t>
        </is>
      </c>
      <c r="C56" t="n">
        <v>0.25</v>
      </c>
      <c r="D56" t="n">
        <v>0</v>
      </c>
      <c r="E56" t="n">
        <v>5</v>
      </c>
      <c r="F56" t="n">
        <v>0</v>
      </c>
      <c r="H56" t="n">
        <v>0</v>
      </c>
      <c r="I56" t="n">
        <v>0</v>
      </c>
      <c r="J56" t="n">
        <v>0</v>
      </c>
      <c r="K56" t="n">
        <v>0</v>
      </c>
      <c r="L56" t="n">
        <v>0</v>
      </c>
      <c r="M56" t="n">
        <v>0</v>
      </c>
      <c r="N56" t="n">
        <v>0</v>
      </c>
    </row>
    <row r="57">
      <c r="A57" t="inlineStr">
        <is>
          <t>Issues of the manor</t>
        </is>
      </c>
      <c r="B57" t="inlineStr">
        <is>
          <t>25. from the pasturage of the heath beside Hydon sold.</t>
        </is>
      </c>
      <c r="C57" t="n">
        <v>0</v>
      </c>
      <c r="D57" t="n">
        <v>0</v>
      </c>
      <c r="E57" t="n">
        <v>0</v>
      </c>
      <c r="F57" t="n">
        <v>0</v>
      </c>
      <c r="H57" t="n">
        <v>0</v>
      </c>
      <c r="I57" t="n">
        <v>0</v>
      </c>
      <c r="J57" t="n">
        <v>0</v>
      </c>
      <c r="K57" t="n">
        <v>0</v>
      </c>
      <c r="L57" t="n">
        <v>0</v>
      </c>
      <c r="M57" t="n">
        <v>0</v>
      </c>
      <c r="N57" t="n">
        <v>0</v>
      </c>
    </row>
    <row r="58">
      <c r="A58" t="inlineStr">
        <is>
          <t>Issues of the manor</t>
        </is>
      </c>
      <c r="B58" t="inlineStr">
        <is>
          <t>8pence from the pasturage beside the sheepcote of Westcrembe sold.</t>
        </is>
      </c>
      <c r="C58" t="n">
        <v>0.03</v>
      </c>
      <c r="D58" t="n">
        <v>0</v>
      </c>
      <c r="E58" t="n">
        <v>0</v>
      </c>
      <c r="F58" t="n">
        <v>8</v>
      </c>
      <c r="H58" t="n">
        <v>0</v>
      </c>
      <c r="I58" t="n">
        <v>0</v>
      </c>
      <c r="J58" t="n">
        <v>0</v>
      </c>
      <c r="K58" t="n">
        <v>0</v>
      </c>
      <c r="L58" t="n">
        <v>0</v>
      </c>
      <c r="M58" t="n">
        <v>0</v>
      </c>
      <c r="N58" t="n">
        <v>0</v>
      </c>
    </row>
    <row r="59">
      <c r="A59" t="inlineStr">
        <is>
          <t>Issues of the manor</t>
        </is>
      </c>
      <c r="B59" t="inlineStr">
        <is>
          <t>nothing from the pasturage of the garden this year because it was mown.</t>
        </is>
      </c>
      <c r="C59" t="n">
        <v>0</v>
      </c>
      <c r="D59" t="n">
        <v>0</v>
      </c>
      <c r="E59" t="n">
        <v>0</v>
      </c>
      <c r="F59" t="n">
        <v>0</v>
      </c>
      <c r="H59" t="n">
        <v>0</v>
      </c>
      <c r="I59" t="n">
        <v>0</v>
      </c>
      <c r="J59" t="n">
        <v>0</v>
      </c>
      <c r="K59" t="n">
        <v>0</v>
      </c>
      <c r="L59" t="n">
        <v>0</v>
      </c>
      <c r="M59" t="n">
        <v>0</v>
      </c>
      <c r="N59" t="n">
        <v>0</v>
      </c>
    </row>
    <row r="60">
      <c r="A60" t="inlineStr">
        <is>
          <t>Issues of the manor</t>
        </is>
      </c>
      <c r="B60" t="inlineStr">
        <is>
          <t>3 shilling 6pence from the pasturage of 1 parcel of Selescumbe sold this year because the rest was sown.</t>
        </is>
      </c>
      <c r="C60" t="n">
        <v>0.17</v>
      </c>
      <c r="D60" t="n">
        <v>0</v>
      </c>
      <c r="E60" t="n">
        <v>3</v>
      </c>
      <c r="F60" t="n">
        <v>6</v>
      </c>
      <c r="H60" t="n">
        <v>0</v>
      </c>
      <c r="I60" t="n">
        <v>0</v>
      </c>
      <c r="J60" t="n">
        <v>0</v>
      </c>
      <c r="K60" t="n">
        <v>0</v>
      </c>
      <c r="L60" t="n">
        <v>0</v>
      </c>
      <c r="M60" t="n">
        <v>0</v>
      </c>
      <c r="N60" t="n">
        <v>0</v>
      </c>
    </row>
    <row r="61">
      <c r="A61" t="inlineStr">
        <is>
          <t>Issues of the manor</t>
        </is>
      </c>
      <c r="B61" t="inlineStr">
        <is>
          <t>nothing from the pasturage of Wodeslynch' this year on account of the lord's lambs.</t>
        </is>
      </c>
      <c r="C61" t="n">
        <v>0</v>
      </c>
      <c r="D61" t="n">
        <v>0</v>
      </c>
      <c r="E61" t="n">
        <v>0</v>
      </c>
      <c r="F61" t="n">
        <v>0</v>
      </c>
      <c r="H61" t="n">
        <v>0</v>
      </c>
      <c r="I61" t="n">
        <v>0</v>
      </c>
      <c r="J61" t="n">
        <v>0</v>
      </c>
      <c r="K61" t="n">
        <v>0</v>
      </c>
      <c r="L61" t="n">
        <v>0</v>
      </c>
      <c r="M61" t="n">
        <v>0</v>
      </c>
      <c r="N61" t="n">
        <v>0</v>
      </c>
    </row>
    <row r="62">
      <c r="A62" t="inlineStr">
        <is>
          <t>Issues of the manor</t>
        </is>
      </c>
      <c r="B62" t="inlineStr">
        <is>
          <t>nothing from the pasturage on this side (citra) of Northebrok' this year because it was fallow.</t>
        </is>
      </c>
      <c r="C62" t="n">
        <v>0</v>
      </c>
      <c r="D62" t="n">
        <v>0</v>
      </c>
      <c r="E62" t="n">
        <v>0</v>
      </c>
      <c r="F62" t="n">
        <v>0</v>
      </c>
      <c r="H62" t="n">
        <v>0</v>
      </c>
      <c r="I62" t="n">
        <v>0</v>
      </c>
      <c r="J62" t="n">
        <v>0</v>
      </c>
      <c r="K62" t="n">
        <v>0</v>
      </c>
      <c r="L62" t="n">
        <v>0</v>
      </c>
      <c r="M62" t="n">
        <v>0</v>
      </c>
      <c r="N62" t="n">
        <v>0</v>
      </c>
    </row>
    <row r="63">
      <c r="A63" t="inlineStr">
        <is>
          <t>Issues of the manor</t>
        </is>
      </c>
      <c r="B63" t="inlineStr">
        <is>
          <t>nothing from the pasturage of Litlecumbe this year on account of the lord's stock.</t>
        </is>
      </c>
      <c r="C63" t="n">
        <v>0</v>
      </c>
      <c r="D63" t="n">
        <v>0</v>
      </c>
      <c r="E63" t="n">
        <v>0</v>
      </c>
      <c r="F63" t="n">
        <v>0</v>
      </c>
      <c r="H63" t="n">
        <v>0</v>
      </c>
      <c r="I63" t="n">
        <v>0</v>
      </c>
      <c r="J63" t="n">
        <v>0</v>
      </c>
      <c r="K63" t="n">
        <v>0</v>
      </c>
      <c r="L63" t="n">
        <v>0</v>
      </c>
      <c r="M63" t="n">
        <v>0</v>
      </c>
      <c r="N63" t="n">
        <v>0</v>
      </c>
    </row>
    <row r="64">
      <c r="A64" t="inlineStr">
        <is>
          <t>Issues of the manor</t>
        </is>
      </c>
      <c r="B64" t="inlineStr">
        <is>
          <t>2 shilling from the pasturage of la Ford' sold as far as the mill and this side of the chapel.</t>
        </is>
      </c>
      <c r="C64" t="n">
        <v>0.1</v>
      </c>
      <c r="D64" t="n">
        <v>0</v>
      </c>
      <c r="E64" t="n">
        <v>2</v>
      </c>
      <c r="F64" t="n">
        <v>0</v>
      </c>
      <c r="H64" t="n">
        <v>0</v>
      </c>
      <c r="I64" t="n">
        <v>0</v>
      </c>
      <c r="J64" t="n">
        <v>0</v>
      </c>
      <c r="K64" t="n">
        <v>0</v>
      </c>
      <c r="L64" t="n">
        <v>0</v>
      </c>
      <c r="M64" t="n">
        <v>0</v>
      </c>
      <c r="N64" t="n">
        <v>0</v>
      </c>
    </row>
    <row r="65">
      <c r="A65" t="inlineStr">
        <is>
          <t>Issues of the manor</t>
        </is>
      </c>
      <c r="B65" t="inlineStr">
        <is>
          <t>2 shilling from the pasturage from the mill as far as Holewey and this side of the fishpond sold.</t>
        </is>
      </c>
      <c r="C65" t="n">
        <v>0.1</v>
      </c>
      <c r="D65" t="n">
        <v>0</v>
      </c>
      <c r="E65" t="n">
        <v>2</v>
      </c>
      <c r="F65" t="n">
        <v>0</v>
      </c>
      <c r="H65" t="n">
        <v>0</v>
      </c>
      <c r="I65" t="n">
        <v>0</v>
      </c>
      <c r="J65" t="n">
        <v>0</v>
      </c>
      <c r="K65" t="n">
        <v>0</v>
      </c>
      <c r="L65" t="n">
        <v>0</v>
      </c>
      <c r="M65" t="n">
        <v>0</v>
      </c>
      <c r="N65" t="n">
        <v>0</v>
      </c>
    </row>
    <row r="66">
      <c r="A66" t="inlineStr">
        <is>
          <t>Issues of the manor</t>
        </is>
      </c>
      <c r="B66" t="inlineStr">
        <is>
          <t>2 shilling from the pasturage from the mill as far as Lymput' sold.</t>
        </is>
      </c>
      <c r="C66" t="n">
        <v>0.1</v>
      </c>
      <c r="D66" t="n">
        <v>0</v>
      </c>
      <c r="E66" t="n">
        <v>2</v>
      </c>
      <c r="F66" t="n">
        <v>0</v>
      </c>
      <c r="H66" t="n">
        <v>0</v>
      </c>
      <c r="I66" t="n">
        <v>0</v>
      </c>
      <c r="J66" t="n">
        <v>0</v>
      </c>
      <c r="K66" t="n">
        <v>0</v>
      </c>
      <c r="L66" t="n">
        <v>0</v>
      </c>
      <c r="M66" t="n">
        <v>0</v>
      </c>
      <c r="N66" t="n">
        <v>0</v>
      </c>
    </row>
    <row r="67">
      <c r="A67" t="inlineStr">
        <is>
          <t>Issues of the manor</t>
        </is>
      </c>
      <c r="B67" t="inlineStr">
        <is>
          <t>7 shilling from the pasturage of Chalvecroft sold.</t>
        </is>
      </c>
      <c r="C67" t="n">
        <v>0.35</v>
      </c>
      <c r="D67" t="n">
        <v>0</v>
      </c>
      <c r="E67" t="n">
        <v>7</v>
      </c>
      <c r="F67" t="n">
        <v>0</v>
      </c>
      <c r="H67" t="n">
        <v>0</v>
      </c>
      <c r="I67" t="n">
        <v>0</v>
      </c>
      <c r="J67" t="n">
        <v>0</v>
      </c>
      <c r="K67" t="n">
        <v>0</v>
      </c>
      <c r="L67" t="n">
        <v>0</v>
      </c>
      <c r="M67" t="n">
        <v>0</v>
      </c>
      <c r="N67" t="n">
        <v>0</v>
      </c>
    </row>
    <row r="68">
      <c r="A68" t="inlineStr">
        <is>
          <t>Issues of the manor</t>
        </is>
      </c>
      <c r="B68" t="inlineStr">
        <is>
          <t>nothing from the pasturage of Wethull this year on account of the lord's stock.</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,Woasddon' on account of the lord's lambs.</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pasturage of the quarry as far as Masecombe for the same.</t>
        </is>
      </c>
      <c r="C70" t="n">
        <v>0</v>
      </c>
      <c r="D70" t="n">
        <v>0</v>
      </c>
      <c r="E70" t="n">
        <v>0</v>
      </c>
      <c r="F70" t="n">
        <v>0</v>
      </c>
      <c r="H70" t="n">
        <v>0</v>
      </c>
      <c r="I70" t="n">
        <v>0</v>
      </c>
      <c r="J70" t="n">
        <v>0</v>
      </c>
      <c r="K70" t="n">
        <v>0</v>
      </c>
      <c r="L70" t="n">
        <v>0</v>
      </c>
      <c r="M70" t="n">
        <v>0</v>
      </c>
      <c r="N70" t="n">
        <v>0</v>
      </c>
    </row>
    <row r="71">
      <c r="A71" t="inlineStr">
        <is>
          <t>Issues of the manor</t>
        </is>
      </c>
      <c r="B71" t="inlineStr">
        <is>
          <t>nothing from the pasturage of the way to Hullymed' from Fydeham and Wapseburw this year because it was fallow.</t>
        </is>
      </c>
      <c r="C71" t="n">
        <v>0</v>
      </c>
      <c r="D71" t="n">
        <v>0</v>
      </c>
      <c r="E71" t="n">
        <v>0</v>
      </c>
      <c r="F71" t="n">
        <v>0</v>
      </c>
      <c r="H71" t="n">
        <v>0</v>
      </c>
      <c r="I71" t="n">
        <v>0</v>
      </c>
      <c r="J71" t="n">
        <v>0</v>
      </c>
      <c r="K71" t="n">
        <v>0</v>
      </c>
      <c r="L71" t="n">
        <v>0</v>
      </c>
      <c r="M71" t="n">
        <v>0</v>
      </c>
      <c r="N71" t="n">
        <v>0</v>
      </c>
    </row>
    <row r="72">
      <c r="A72" t="inlineStr">
        <is>
          <t>Issues of the manor</t>
        </is>
      </c>
      <c r="B72" t="inlineStr">
        <is>
          <t>1 shilling from the Pasturage of 1 plot rbesidel the mill and Drayton' below Garstonmed' and Pykes sold.</t>
        </is>
      </c>
      <c r="C72" t="n">
        <v>0.05</v>
      </c>
      <c r="D72" t="n">
        <v>0</v>
      </c>
      <c r="E72" t="n">
        <v>1</v>
      </c>
      <c r="F72" t="n">
        <v>0</v>
      </c>
      <c r="H72" t="n">
        <v>0</v>
      </c>
      <c r="I72" t="n">
        <v>0</v>
      </c>
      <c r="J72" t="n">
        <v>0</v>
      </c>
      <c r="K72" t="n">
        <v>0</v>
      </c>
      <c r="L72" t="n">
        <v>0</v>
      </c>
      <c r="M72" t="n">
        <v>0</v>
      </c>
      <c r="N72" t="n">
        <v>0</v>
      </c>
    </row>
    <row r="73">
      <c r="A73" t="inlineStr">
        <is>
          <t>Issues of the manor</t>
        </is>
      </c>
      <c r="B73" t="inlineStr">
        <is>
          <t>2 shilling from the pasturage of 1 plot below Notesburgh' which is called Ynnom' sold.</t>
        </is>
      </c>
      <c r="C73" t="n">
        <v>0.1</v>
      </c>
      <c r="D73" t="n">
        <v>0</v>
      </c>
      <c r="E73" t="n">
        <v>2</v>
      </c>
      <c r="F73" t="n">
        <v>0</v>
      </c>
      <c r="H73" t="n">
        <v>0</v>
      </c>
      <c r="I73" t="n">
        <v>0</v>
      </c>
      <c r="J73" t="n">
        <v>0</v>
      </c>
      <c r="K73" t="n">
        <v>0</v>
      </c>
      <c r="L73" t="n">
        <v>0</v>
      </c>
      <c r="M73" t="n">
        <v>0</v>
      </c>
      <c r="N73" t="n">
        <v>0</v>
      </c>
    </row>
    <row r="74">
      <c r="A74" t="inlineStr">
        <is>
          <t>Issues of the manor</t>
        </is>
      </c>
      <c r="B74" t="inlineStr">
        <is>
          <t>3 shilling from the pasturage of Godeshullemed' sold after mowing.</t>
        </is>
      </c>
      <c r="C74" t="n">
        <v>0.15</v>
      </c>
      <c r="D74" t="n">
        <v>0</v>
      </c>
      <c r="E74" t="n">
        <v>3</v>
      </c>
      <c r="F74" t="n">
        <v>0</v>
      </c>
      <c r="H74" t="n">
        <v>0</v>
      </c>
      <c r="I74" t="n">
        <v>0</v>
      </c>
      <c r="J74" t="n">
        <v>0</v>
      </c>
      <c r="K74" t="n">
        <v>0</v>
      </c>
      <c r="L74" t="n">
        <v>0</v>
      </c>
      <c r="M74" t="n">
        <v>0</v>
      </c>
      <c r="N74" t="n">
        <v>0</v>
      </c>
    </row>
    <row r="75">
      <c r="A75" t="inlineStr">
        <is>
          <t>Issues of the manor</t>
        </is>
      </c>
      <c r="B75" t="inlineStr">
        <is>
          <t>5 shilling 6pence from the pasturage in various places sold this year.</t>
        </is>
      </c>
      <c r="C75" t="n">
        <v>0.28</v>
      </c>
      <c r="D75" t="n">
        <v>0</v>
      </c>
      <c r="E75" t="n">
        <v>5</v>
      </c>
      <c r="F75" t="n">
        <v>6</v>
      </c>
      <c r="H75" t="n">
        <v>0</v>
      </c>
      <c r="I75" t="n">
        <v>0</v>
      </c>
      <c r="J75" t="n">
        <v>0</v>
      </c>
      <c r="K75" t="n">
        <v>0</v>
      </c>
      <c r="L75" t="n">
        <v>0</v>
      </c>
      <c r="M75" t="n">
        <v>0</v>
      </c>
      <c r="N75" t="n">
        <v>0</v>
      </c>
    </row>
    <row r="76">
      <c r="A76" t="inlineStr">
        <is>
          <t>Issues of the manor</t>
        </is>
      </c>
      <c r="B76" t="inlineStr">
        <is>
          <t>nothing from thickets in Holescumbe, cablish in la Bornett' and the park and from thickets in Hydon' this year.</t>
        </is>
      </c>
      <c r="C76" t="n">
        <v>0</v>
      </c>
      <c r="D76" t="n">
        <v>0</v>
      </c>
      <c r="E76" t="n">
        <v>0</v>
      </c>
      <c r="F76" t="n">
        <v>0</v>
      </c>
      <c r="H76" t="n">
        <v>0</v>
      </c>
      <c r="I76" t="n">
        <v>0</v>
      </c>
      <c r="J76" t="n">
        <v>0</v>
      </c>
      <c r="K76" t="n">
        <v>0</v>
      </c>
      <c r="L76" t="n">
        <v>0</v>
      </c>
      <c r="M76" t="n">
        <v>0</v>
      </c>
      <c r="N76" t="n">
        <v>0</v>
      </c>
    </row>
    <row r="77">
      <c r="A77" t="inlineStr">
        <is>
          <t>Issues of the manor</t>
        </is>
      </c>
      <c r="B77" t="inlineStr">
        <is>
          <t>3 shilling 7pence from pinfolding 18 cows and 2 bullocks in winter and 26 cows in summer, because they are bound to give pinfold twice a year.</t>
        </is>
      </c>
      <c r="C77" t="n">
        <v>0.18</v>
      </c>
      <c r="D77" t="n">
        <v>0</v>
      </c>
      <c r="E77" t="n">
        <v>3</v>
      </c>
      <c r="F77" t="n">
        <v>7</v>
      </c>
      <c r="H77" t="n">
        <v>0</v>
      </c>
      <c r="I77" t="n">
        <v>0</v>
      </c>
      <c r="J77" t="n">
        <v>0</v>
      </c>
      <c r="K77" t="n">
        <v>0</v>
      </c>
      <c r="L77" t="n">
        <v>0</v>
      </c>
      <c r="M77" t="n">
        <v>0</v>
      </c>
      <c r="N77" t="n">
        <v>0</v>
      </c>
    </row>
    <row r="78">
      <c r="A78" t="inlineStr">
        <is>
          <t>Issues of the manor</t>
        </is>
      </c>
      <c r="B78" t="inlineStr">
        <is>
          <t>8 shilling 5pence from pinfolding sheep this year, at 1pence per 5 sheep, unless they have 20 sheep, because then they give the twentieth sheep.</t>
        </is>
      </c>
      <c r="C78" t="n">
        <v>0.42</v>
      </c>
      <c r="D78" t="n">
        <v>0</v>
      </c>
      <c r="E78" t="n">
        <v>8</v>
      </c>
      <c r="F78" t="n">
        <v>5</v>
      </c>
      <c r="H78" t="n">
        <v>0</v>
      </c>
      <c r="I78" t="n">
        <v>0</v>
      </c>
      <c r="J78" t="n">
        <v>0</v>
      </c>
      <c r="K78" t="n">
        <v>0</v>
      </c>
      <c r="L78" t="n">
        <v>0</v>
      </c>
      <c r="M78" t="n">
        <v>0</v>
      </c>
      <c r="N78" t="n">
        <v>0</v>
      </c>
    </row>
    <row r="79">
      <c r="A79" t="inlineStr">
        <is>
          <t>Issues of the manor</t>
        </is>
      </c>
      <c r="B79" t="inlineStr">
        <is>
          <t>2 shilling 2pence from 26 customary tenants because the land of William le Fissar' is commuted, each of whom ploughs for landrihe and everyone is bound to thresh separately 3 bushels of wheat for sowing over 1 acre in winter or give 1pence at the lord's will for the threshing.</t>
        </is>
      </c>
      <c r="C79" t="n">
        <v>0.11</v>
      </c>
      <c r="D79" t="n">
        <v>0</v>
      </c>
      <c r="E79" t="n">
        <v>2</v>
      </c>
      <c r="F79" t="n">
        <v>2</v>
      </c>
      <c r="G79" t="inlineStr">
        <is>
          <t>wheat</t>
        </is>
      </c>
      <c r="H79" t="n">
        <v>0</v>
      </c>
      <c r="I79" t="n">
        <v>3</v>
      </c>
      <c r="J79" t="n">
        <v>0.375</v>
      </c>
      <c r="K79" t="n">
        <v>0.375</v>
      </c>
      <c r="L79" t="n">
        <v>0</v>
      </c>
      <c r="M79" t="n">
        <v>0</v>
      </c>
      <c r="N79" t="n">
        <v>3</v>
      </c>
    </row>
    <row r="80">
      <c r="A80" t="inlineStr">
        <is>
          <t>Issues of the manor</t>
        </is>
      </c>
      <c r="B80" t="inlineStr">
        <is>
          <t>£3 4 shilling 9pence from 448 labour services by the perch sold this year, at 2pence each for 329, and 1pence each for 119.</t>
        </is>
      </c>
      <c r="C80" t="n">
        <v>3.24</v>
      </c>
      <c r="D80" t="n">
        <v>3</v>
      </c>
      <c r="E80" t="n">
        <v>4</v>
      </c>
      <c r="F80" t="n">
        <v>9</v>
      </c>
      <c r="H80" t="n">
        <v>0</v>
      </c>
      <c r="I80" t="n">
        <v>0</v>
      </c>
      <c r="J80" t="n">
        <v>0</v>
      </c>
      <c r="K80" t="n">
        <v>0</v>
      </c>
      <c r="L80" t="n">
        <v>0</v>
      </c>
      <c r="M80" t="n">
        <v>0</v>
      </c>
      <c r="N80" t="n">
        <v>0</v>
      </c>
    </row>
    <row r="81">
      <c r="A81" t="inlineStr">
        <is>
          <t>Issues of the manor</t>
        </is>
      </c>
      <c r="B81" t="inlineStr">
        <is>
          <t>nothing from Avice de Quorteslod' separately because she worked with the others.</t>
        </is>
      </c>
      <c r="C81" t="n">
        <v>0</v>
      </c>
      <c r="D81" t="n">
        <v>0</v>
      </c>
      <c r="E81" t="n">
        <v>0</v>
      </c>
      <c r="F81" t="n">
        <v>0</v>
      </c>
      <c r="H81" t="n">
        <v>0</v>
      </c>
      <c r="I81" t="n">
        <v>0</v>
      </c>
      <c r="J81" t="n">
        <v>0</v>
      </c>
      <c r="K81" t="n">
        <v>0</v>
      </c>
      <c r="L81" t="n">
        <v>0</v>
      </c>
      <c r="M81" t="n">
        <v>0</v>
      </c>
      <c r="N81" t="n">
        <v>0</v>
      </c>
    </row>
    <row r="82">
      <c r="A82" t="inlineStr">
        <is>
          <t>Issues of the manor</t>
        </is>
      </c>
      <c r="B82" t="inlineStr">
        <is>
          <t>1 shilling from William Ramwyle for release from labour service for the year.</t>
        </is>
      </c>
      <c r="C82" t="n">
        <v>0.05</v>
      </c>
      <c r="D82" t="n">
        <v>0</v>
      </c>
      <c r="E82" t="n">
        <v>1</v>
      </c>
      <c r="F82" t="n">
        <v>0</v>
      </c>
      <c r="H82" t="n">
        <v>0</v>
      </c>
      <c r="I82" t="n">
        <v>0</v>
      </c>
      <c r="J82" t="n">
        <v>0</v>
      </c>
      <c r="K82" t="n">
        <v>0</v>
      </c>
      <c r="L82" t="n">
        <v>0</v>
      </c>
      <c r="M82" t="n">
        <v>0</v>
      </c>
      <c r="N82" t="n">
        <v>0</v>
      </c>
    </row>
    <row r="83">
      <c r="A83" t="inlineStr">
        <is>
          <t>Issues of the manor</t>
        </is>
      </c>
      <c r="B83" t="inlineStr">
        <is>
          <t>nothing from John de Halewell' because he worked with the others.</t>
        </is>
      </c>
      <c r="C83" t="n">
        <v>0</v>
      </c>
      <c r="D83" t="n">
        <v>0</v>
      </c>
      <c r="E83" t="n">
        <v>0</v>
      </c>
      <c r="F83" t="n">
        <v>0</v>
      </c>
      <c r="H83" t="n">
        <v>0</v>
      </c>
      <c r="I83" t="n">
        <v>0</v>
      </c>
      <c r="J83" t="n">
        <v>0</v>
      </c>
      <c r="K83" t="n">
        <v>0</v>
      </c>
      <c r="L83" t="n">
        <v>0</v>
      </c>
      <c r="M83" t="n">
        <v>0</v>
      </c>
      <c r="N83" t="n">
        <v>0</v>
      </c>
    </row>
    <row r="84">
      <c r="A84" t="inlineStr">
        <is>
          <t>Issues of the manor</t>
        </is>
      </c>
      <c r="B84" t="inlineStr">
        <is>
          <t>nothing from coarse wool and lamb's-wool here because it is sent to Wolvesey.</t>
        </is>
      </c>
      <c r="C84" t="n">
        <v>0</v>
      </c>
      <c r="D84" t="n">
        <v>0</v>
      </c>
      <c r="E84" t="n">
        <v>0</v>
      </c>
      <c r="F84" t="n">
        <v>0</v>
      </c>
      <c r="H84" t="n">
        <v>0</v>
      </c>
      <c r="I84" t="n">
        <v>0</v>
      </c>
      <c r="J84" t="n">
        <v>0</v>
      </c>
      <c r="K84" t="n">
        <v>0</v>
      </c>
      <c r="L84" t="n">
        <v>0</v>
      </c>
      <c r="M84" t="n">
        <v>0</v>
      </c>
      <c r="N84" t="n">
        <v>0</v>
      </c>
    </row>
    <row r="85">
      <c r="A85" t="inlineStr">
        <is>
          <t>Issues of the manor</t>
        </is>
      </c>
      <c r="B85" t="inlineStr">
        <is>
          <t>18 shilling 1.5pence from 20 cloves 5 lb of wool locks sold, at 10.5pence a clove.</t>
        </is>
      </c>
      <c r="C85" t="n">
        <v>0.91</v>
      </c>
      <c r="D85" t="n">
        <v>0</v>
      </c>
      <c r="E85" t="n">
        <v>18</v>
      </c>
      <c r="F85" t="n">
        <v>1.5</v>
      </c>
      <c r="H85" t="n">
        <v>0</v>
      </c>
      <c r="I85" t="n">
        <v>0</v>
      </c>
      <c r="J85" t="n">
        <v>0</v>
      </c>
      <c r="K85" t="n">
        <v>0</v>
      </c>
      <c r="L85" t="n">
        <v>0</v>
      </c>
      <c r="M85" t="n">
        <v>0</v>
      </c>
      <c r="N85" t="n">
        <v>0</v>
      </c>
    </row>
    <row r="86">
      <c r="A86" t="inlineStr">
        <is>
          <t>Issues of the manor</t>
        </is>
      </c>
      <c r="B86" t="inlineStr">
        <is>
          <t>£1 3 shilling 10pence from 286 hens from churchscot sold.</t>
        </is>
      </c>
      <c r="C86" t="n">
        <v>1.19</v>
      </c>
      <c r="D86" t="n">
        <v>1</v>
      </c>
      <c r="E86" t="n">
        <v>3</v>
      </c>
      <c r="F86" t="n">
        <v>10</v>
      </c>
      <c r="H86" t="n">
        <v>0</v>
      </c>
      <c r="I86" t="n">
        <v>0</v>
      </c>
      <c r="J86" t="n">
        <v>0</v>
      </c>
      <c r="K86" t="n">
        <v>0</v>
      </c>
      <c r="L86" t="n">
        <v>0</v>
      </c>
      <c r="M86" t="n">
        <v>0</v>
      </c>
      <c r="N86" t="n">
        <v>0</v>
      </c>
    </row>
    <row r="87">
      <c r="A87" t="inlineStr">
        <is>
          <t>Issues of the manor</t>
        </is>
      </c>
      <c r="B87" t="inlineStr">
        <is>
          <t>6 shilling from the hides sold of 9 plough-horses in murrain, at 8pence each.</t>
        </is>
      </c>
      <c r="C87" t="n">
        <v>0.33</v>
      </c>
      <c r="D87" t="n">
        <v>0</v>
      </c>
      <c r="E87" t="n">
        <v>6</v>
      </c>
      <c r="F87" t="n">
        <v>8</v>
      </c>
      <c r="H87" t="n">
        <v>0</v>
      </c>
      <c r="I87" t="n">
        <v>0</v>
      </c>
      <c r="J87" t="n">
        <v>0</v>
      </c>
      <c r="K87" t="n">
        <v>0</v>
      </c>
      <c r="L87" t="n">
        <v>0</v>
      </c>
      <c r="M87" t="n">
        <v>0</v>
      </c>
      <c r="N87" t="n">
        <v>0</v>
      </c>
    </row>
    <row r="88">
      <c r="A88" t="inlineStr">
        <is>
          <t>Issues of the manor</t>
        </is>
      </c>
      <c r="B88" t="inlineStr">
        <is>
          <t>1 shilling from the hides of 2 colts sold.</t>
        </is>
      </c>
      <c r="C88" t="n">
        <v>0.05</v>
      </c>
      <c r="D88" t="n">
        <v>0</v>
      </c>
      <c r="E88" t="n">
        <v>1</v>
      </c>
      <c r="F88" t="n">
        <v>0</v>
      </c>
      <c r="H88" t="n">
        <v>0</v>
      </c>
      <c r="I88" t="n">
        <v>0</v>
      </c>
      <c r="J88" t="n">
        <v>0</v>
      </c>
      <c r="K88" t="n">
        <v>0</v>
      </c>
      <c r="L88" t="n">
        <v>0</v>
      </c>
      <c r="M88" t="n">
        <v>0</v>
      </c>
      <c r="N88" t="n">
        <v>0</v>
      </c>
    </row>
    <row r="89">
      <c r="A89" t="inlineStr">
        <is>
          <t>Issues of the manor</t>
        </is>
      </c>
      <c r="B89" t="inlineStr">
        <is>
          <t>5 shilling 6pence from the hides and flesh sold of 2 oxen in murrain.</t>
        </is>
      </c>
      <c r="C89" t="n">
        <v>0.28</v>
      </c>
      <c r="D89" t="n">
        <v>0</v>
      </c>
      <c r="E89" t="n">
        <v>5</v>
      </c>
      <c r="F89" t="n">
        <v>6</v>
      </c>
      <c r="H89" t="n">
        <v>0</v>
      </c>
      <c r="I89" t="n">
        <v>0</v>
      </c>
      <c r="J89" t="n">
        <v>0</v>
      </c>
      <c r="K89" t="n">
        <v>0</v>
      </c>
      <c r="L89" t="n">
        <v>0</v>
      </c>
      <c r="M89" t="n">
        <v>0</v>
      </c>
      <c r="N89" t="n">
        <v>0</v>
      </c>
    </row>
    <row r="90">
      <c r="A90" t="inlineStr">
        <is>
          <t>Issues of the manor</t>
        </is>
      </c>
      <c r="B90" t="inlineStr">
        <is>
          <t>6 shilling from the hides sold of 3 oxen in murrain.</t>
        </is>
      </c>
      <c r="C90" t="n">
        <v>0.3</v>
      </c>
      <c r="D90" t="n">
        <v>0</v>
      </c>
      <c r="E90" t="n">
        <v>6</v>
      </c>
      <c r="F90" t="n">
        <v>0</v>
      </c>
      <c r="H90" t="n">
        <v>0</v>
      </c>
      <c r="I90" t="n">
        <v>0</v>
      </c>
      <c r="J90" t="n">
        <v>0</v>
      </c>
      <c r="K90" t="n">
        <v>0</v>
      </c>
      <c r="L90" t="n">
        <v>0</v>
      </c>
      <c r="M90" t="n">
        <v>0</v>
      </c>
      <c r="N90" t="n">
        <v>0</v>
      </c>
    </row>
    <row r="91">
      <c r="A91" t="inlineStr">
        <is>
          <t>Issues of the manor</t>
        </is>
      </c>
      <c r="B91" t="inlineStr">
        <is>
          <t>1pence from the hide sold of 1 calf in murrain.</t>
        </is>
      </c>
      <c r="C91" t="n">
        <v>0</v>
      </c>
      <c r="D91" t="n">
        <v>0</v>
      </c>
      <c r="E91" t="n">
        <v>0</v>
      </c>
      <c r="F91" t="n">
        <v>1</v>
      </c>
      <c r="H91" t="n">
        <v>0</v>
      </c>
      <c r="I91" t="n">
        <v>0</v>
      </c>
      <c r="J91" t="n">
        <v>0</v>
      </c>
      <c r="K91" t="n">
        <v>0</v>
      </c>
      <c r="L91" t="n">
        <v>0</v>
      </c>
      <c r="M91" t="n">
        <v>0</v>
      </c>
      <c r="N91" t="n">
        <v>0</v>
      </c>
    </row>
    <row r="92">
      <c r="A92" t="inlineStr">
        <is>
          <t>Issues of the manor</t>
        </is>
      </c>
      <c r="B92" t="inlineStr">
        <is>
          <t>£1 2 shilling 5pence from the skins sold of 43 wethers, 28 ewes and 30 hoggs in murrain before shearing, at 3pence a skin of wethers, 2.5pence a skin of ewes, and 1.5pence a skin of hoggs.</t>
        </is>
      </c>
      <c r="C92" t="n">
        <v>1.12</v>
      </c>
      <c r="D92" t="n">
        <v>1</v>
      </c>
      <c r="E92" t="n">
        <v>2</v>
      </c>
      <c r="F92" t="n">
        <v>5</v>
      </c>
      <c r="H92" t="n">
        <v>0</v>
      </c>
      <c r="I92" t="n">
        <v>0</v>
      </c>
      <c r="J92" t="n">
        <v>0</v>
      </c>
      <c r="K92" t="n">
        <v>0</v>
      </c>
      <c r="L92" t="n">
        <v>0</v>
      </c>
      <c r="M92" t="n">
        <v>0</v>
      </c>
      <c r="N92" t="n">
        <v>0</v>
      </c>
    </row>
    <row r="93">
      <c r="A93" t="inlineStr">
        <is>
          <t>Issues of the manor</t>
        </is>
      </c>
      <c r="B93" t="inlineStr">
        <is>
          <t>3 shilling from the skins sold of 26 wethers and 10 ewes in murrain after shearing, at 1pence a skin.</t>
        </is>
      </c>
      <c r="C93" t="n">
        <v>0.15</v>
      </c>
      <c r="D93" t="n">
        <v>0</v>
      </c>
      <c r="E93" t="n">
        <v>3</v>
      </c>
      <c r="F93" t="n">
        <v>1</v>
      </c>
      <c r="H93" t="n">
        <v>0</v>
      </c>
      <c r="I93" t="n">
        <v>0</v>
      </c>
      <c r="J93" t="n">
        <v>0</v>
      </c>
      <c r="K93" t="n">
        <v>0</v>
      </c>
      <c r="L93" t="n">
        <v>0</v>
      </c>
      <c r="M93" t="n">
        <v>0</v>
      </c>
      <c r="N93" t="n">
        <v>0</v>
      </c>
    </row>
    <row r="94">
      <c r="A94" t="inlineStr">
        <is>
          <t>Issues of the manor</t>
        </is>
      </c>
      <c r="B94" t="inlineStr">
        <is>
          <t>9 shilling 9.75pence from the skins sold of 134 lambs in murrain before weaning, and 23 after weaning and before shearing, at .75pence a skin.</t>
        </is>
      </c>
      <c r="C94" t="n">
        <v>0.49</v>
      </c>
      <c r="D94" t="n">
        <v>0</v>
      </c>
      <c r="E94" t="n">
        <v>9</v>
      </c>
      <c r="F94" t="n">
        <v>9.75</v>
      </c>
      <c r="H94" t="n">
        <v>0</v>
      </c>
      <c r="I94" t="n">
        <v>0</v>
      </c>
      <c r="J94" t="n">
        <v>0</v>
      </c>
      <c r="K94" t="n">
        <v>0</v>
      </c>
      <c r="L94" t="n">
        <v>0</v>
      </c>
      <c r="M94" t="n">
        <v>0</v>
      </c>
      <c r="N94" t="n">
        <v>0</v>
      </c>
    </row>
    <row r="95">
      <c r="A95" t="inlineStr">
        <is>
          <t>Issues of the manor</t>
        </is>
      </c>
      <c r="B95" t="inlineStr">
        <is>
          <t>3pence from the skins sold wholesale of 9 lambs in murrain after shearing.</t>
        </is>
      </c>
      <c r="C95" t="n">
        <v>0.01</v>
      </c>
      <c r="D95" t="n">
        <v>0</v>
      </c>
      <c r="E95" t="n">
        <v>0</v>
      </c>
      <c r="F95" t="n">
        <v>3</v>
      </c>
      <c r="H95" t="n">
        <v>0</v>
      </c>
      <c r="I95" t="n">
        <v>0</v>
      </c>
      <c r="J95" t="n">
        <v>0</v>
      </c>
      <c r="K95" t="n">
        <v>0</v>
      </c>
      <c r="L95" t="n">
        <v>0</v>
      </c>
      <c r="M95" t="n">
        <v>0</v>
      </c>
      <c r="N95" t="n">
        <v>0</v>
      </c>
    </row>
    <row r="96">
      <c r="A96" t="inlineStr">
        <is>
          <t>Issues of the manor</t>
        </is>
      </c>
      <c r="B96" t="inlineStr">
        <is>
          <t>4 shilling .75pence from 13 cloves of winter cheese sold, at 3.75pence a clove.</t>
        </is>
      </c>
      <c r="C96" t="n">
        <v>0.51</v>
      </c>
      <c r="D96" t="n">
        <v>0</v>
      </c>
      <c r="E96" t="n">
        <v>4</v>
      </c>
      <c r="F96" t="n">
        <v>75</v>
      </c>
      <c r="H96" t="n">
        <v>0</v>
      </c>
      <c r="I96" t="n">
        <v>0</v>
      </c>
      <c r="J96" t="n">
        <v>0</v>
      </c>
      <c r="K96" t="n">
        <v>0</v>
      </c>
      <c r="L96" t="n">
        <v>0</v>
      </c>
      <c r="M96" t="n">
        <v>0</v>
      </c>
      <c r="N96" t="n">
        <v>0</v>
      </c>
    </row>
    <row r="97">
      <c r="A97" t="inlineStr">
        <is>
          <t>Issues of the manor</t>
        </is>
      </c>
      <c r="B97" t="inlineStr">
        <is>
          <t>£6 15 shilling from 15 weys of summer cheese sold, at 9 shilling a wey.</t>
        </is>
      </c>
      <c r="C97" t="n">
        <v>6.75</v>
      </c>
      <c r="D97" t="n">
        <v>6</v>
      </c>
      <c r="E97" t="n">
        <v>15</v>
      </c>
      <c r="F97" t="n">
        <v>0</v>
      </c>
      <c r="H97" t="n">
        <v>0</v>
      </c>
      <c r="I97" t="n">
        <v>0</v>
      </c>
      <c r="J97" t="n">
        <v>0</v>
      </c>
      <c r="K97" t="n">
        <v>0</v>
      </c>
      <c r="L97" t="n">
        <v>0</v>
      </c>
      <c r="M97" t="n">
        <v>0</v>
      </c>
      <c r="N97" t="n">
        <v>0</v>
      </c>
    </row>
    <row r="98">
      <c r="A98" t="inlineStr">
        <is>
          <t>Issues of the manor</t>
        </is>
      </c>
      <c r="B98" t="inlineStr">
        <is>
          <t>9 shilling from 1 wey of butter sold.</t>
        </is>
      </c>
      <c r="C98" t="n">
        <v>0.45</v>
      </c>
      <c r="D98" t="n">
        <v>0</v>
      </c>
      <c r="E98" t="n">
        <v>9</v>
      </c>
      <c r="F98" t="n">
        <v>0</v>
      </c>
      <c r="H98" t="n">
        <v>0</v>
      </c>
      <c r="I98" t="n">
        <v>0</v>
      </c>
      <c r="J98" t="n">
        <v>0</v>
      </c>
      <c r="K98" t="n">
        <v>0</v>
      </c>
      <c r="L98" t="n">
        <v>0</v>
      </c>
      <c r="M98" t="n">
        <v>0</v>
      </c>
      <c r="N98" t="n">
        <v>0</v>
      </c>
    </row>
    <row r="99">
      <c r="A99" t="inlineStr">
        <is>
          <t>Issues of the manor</t>
        </is>
      </c>
      <c r="B99" t="inlineStr">
        <is>
          <t>nothing from honey this year.</t>
        </is>
      </c>
      <c r="C99" t="n">
        <v>0</v>
      </c>
      <c r="D99" t="n">
        <v>0</v>
      </c>
      <c r="E99" t="n">
        <v>0</v>
      </c>
      <c r="F99" t="n">
        <v>0</v>
      </c>
      <c r="H99" t="n">
        <v>0</v>
      </c>
      <c r="I99" t="n">
        <v>0</v>
      </c>
      <c r="J99" t="n">
        <v>0</v>
      </c>
      <c r="K99" t="n">
        <v>0</v>
      </c>
      <c r="L99" t="n">
        <v>0</v>
      </c>
      <c r="M99" t="n">
        <v>0</v>
      </c>
      <c r="N99" t="n">
        <v>0</v>
      </c>
    </row>
    <row r="100">
      <c r="A100" t="inlineStr">
        <is>
          <t>Issues of the manor</t>
        </is>
      </c>
      <c r="B100" t="inlineStr">
        <is>
          <t>£2 2 shilling 8pence from 3 casks of cider sold, 1 of them with the wood for 16 shilling, and 2 without the wood at 13 shilling 4pence each.</t>
        </is>
      </c>
      <c r="C100" t="n">
        <v>2.13</v>
      </c>
      <c r="D100" t="n">
        <v>2</v>
      </c>
      <c r="E100" t="n">
        <v>2</v>
      </c>
      <c r="F100" t="n">
        <v>8</v>
      </c>
      <c r="H100" t="n">
        <v>0</v>
      </c>
      <c r="I100" t="n">
        <v>0</v>
      </c>
      <c r="J100" t="n">
        <v>0</v>
      </c>
      <c r="K100" t="n">
        <v>0</v>
      </c>
      <c r="L100" t="n">
        <v>0</v>
      </c>
      <c r="M100" t="n">
        <v>0</v>
      </c>
      <c r="N100" t="n">
        <v>0</v>
      </c>
    </row>
    <row r="101">
      <c r="A101" t="inlineStr">
        <is>
          <t>Issues of the manor</t>
        </is>
      </c>
      <c r="B101" t="inlineStr">
        <is>
          <t>1 shilling from the heriot of Gilbert ate Brok' because he did not have 1 beast.</t>
        </is>
      </c>
      <c r="C101" t="n">
        <v>0.05</v>
      </c>
      <c r="D101" t="n">
        <v>0</v>
      </c>
      <c r="E101" t="n">
        <v>1</v>
      </c>
      <c r="F101" t="n">
        <v>0</v>
      </c>
      <c r="H101" t="n">
        <v>0</v>
      </c>
      <c r="I101" t="n">
        <v>0</v>
      </c>
      <c r="J101" t="n">
        <v>0</v>
      </c>
      <c r="K101" t="n">
        <v>0</v>
      </c>
      <c r="L101" t="n">
        <v>0</v>
      </c>
      <c r="M101" t="n">
        <v>0</v>
      </c>
      <c r="N101" t="n">
        <v>0</v>
      </c>
    </row>
    <row r="102">
      <c r="A102" t="inlineStr">
        <is>
          <t>Issues of the manor</t>
        </is>
      </c>
      <c r="B102" t="inlineStr">
        <is>
          <t>1 shilling from the heriot of Christina Colevil'.</t>
        </is>
      </c>
      <c r="C102" t="n">
        <v>0.05</v>
      </c>
      <c r="D102" t="n">
        <v>0</v>
      </c>
      <c r="E102" t="n">
        <v>1</v>
      </c>
      <c r="F102" t="n">
        <v>0</v>
      </c>
      <c r="H102" t="n">
        <v>0</v>
      </c>
      <c r="I102" t="n">
        <v>0</v>
      </c>
      <c r="J102" t="n">
        <v>0</v>
      </c>
      <c r="K102" t="n">
        <v>0</v>
      </c>
      <c r="L102" t="n">
        <v>0</v>
      </c>
      <c r="M102" t="n">
        <v>0</v>
      </c>
      <c r="N102" t="n">
        <v>0</v>
      </c>
    </row>
    <row r="103">
      <c r="A103" t="inlineStr">
        <is>
          <t>Issues of the manor</t>
        </is>
      </c>
      <c r="B103" t="inlineStr">
        <is>
          <t>1 shilling from the heriot of William Aylwyn' for the same.</t>
        </is>
      </c>
      <c r="C103" t="n">
        <v>0.05</v>
      </c>
      <c r="D103" t="n">
        <v>0</v>
      </c>
      <c r="E103" t="n">
        <v>1</v>
      </c>
      <c r="F103" t="n">
        <v>0</v>
      </c>
      <c r="H103" t="n">
        <v>0</v>
      </c>
      <c r="I103" t="n">
        <v>0</v>
      </c>
      <c r="J103" t="n">
        <v>0</v>
      </c>
      <c r="K103" t="n">
        <v>0</v>
      </c>
      <c r="L103" t="n">
        <v>0</v>
      </c>
      <c r="M103" t="n">
        <v>0</v>
      </c>
      <c r="N103" t="n">
        <v>0</v>
      </c>
    </row>
    <row r="104">
      <c r="A104" t="inlineStr">
        <is>
          <t>Issues of the manor</t>
        </is>
      </c>
      <c r="B104" t="inlineStr">
        <is>
          <t>5pence from the tails and feathers of 2 peacocks sold.</t>
        </is>
      </c>
      <c r="C104" t="n">
        <v>0.02</v>
      </c>
      <c r="D104" t="n">
        <v>0</v>
      </c>
      <c r="E104" t="n">
        <v>0</v>
      </c>
      <c r="F104" t="n">
        <v>5</v>
      </c>
      <c r="H104" t="n">
        <v>0</v>
      </c>
      <c r="I104" t="n">
        <v>0</v>
      </c>
      <c r="J104" t="n">
        <v>0</v>
      </c>
      <c r="K104" t="n">
        <v>0</v>
      </c>
      <c r="L104" t="n">
        <v>0</v>
      </c>
      <c r="M104" t="n">
        <v>0</v>
      </c>
      <c r="N104" t="n">
        <v>0</v>
      </c>
    </row>
    <row r="105">
      <c r="A105" t="inlineStr">
        <is>
          <t>Issues of the manor</t>
        </is>
      </c>
      <c r="B105" t="inlineStr">
        <is>
          <t>2 shilling 1.75pence from dairy produce sold at the audit.</t>
        </is>
      </c>
      <c r="C105" t="n">
        <v>0.11</v>
      </c>
      <c r="D105" t="n">
        <v>0</v>
      </c>
      <c r="E105" t="n">
        <v>2</v>
      </c>
      <c r="F105" t="n">
        <v>1.75</v>
      </c>
      <c r="H105" t="n">
        <v>0</v>
      </c>
      <c r="I105" t="n">
        <v>0</v>
      </c>
      <c r="J105" t="n">
        <v>0</v>
      </c>
      <c r="K105" t="n">
        <v>0</v>
      </c>
      <c r="L105" t="n">
        <v>0</v>
      </c>
      <c r="M105" t="n">
        <v>0</v>
      </c>
      <c r="N105" t="n">
        <v>0</v>
      </c>
    </row>
    <row r="106">
      <c r="A106" t="inlineStr">
        <is>
          <t>Issues of the manor</t>
        </is>
      </c>
      <c r="B106" t="inlineStr">
        <is>
          <t>Total, £26 6 shilling 9.75pence</t>
        </is>
      </c>
      <c r="C106" t="n">
        <v>26.34</v>
      </c>
      <c r="D106" t="n">
        <v>26</v>
      </c>
      <c r="E106" t="n">
        <v>6</v>
      </c>
      <c r="F106" t="n">
        <v>9.75</v>
      </c>
      <c r="H106" t="n">
        <v>0</v>
      </c>
      <c r="I106" t="n">
        <v>0</v>
      </c>
      <c r="J106" t="n">
        <v>0</v>
      </c>
      <c r="K106" t="n">
        <v>0</v>
      </c>
      <c r="L106" t="n">
        <v>0</v>
      </c>
      <c r="M106" t="n">
        <v>0</v>
      </c>
      <c r="N106" t="n">
        <v>0</v>
      </c>
    </row>
    <row r="107">
      <c r="A107" t="inlineStr">
        <is>
          <t>Sale of stock</t>
        </is>
      </c>
      <c r="B107" t="inlineStr">
        <is>
          <t>10 shilling from 3 old and feeble plough-horses sold, rat 3 shilling 4pence eachi because nearly dead.</t>
        </is>
      </c>
      <c r="C107" t="n">
        <v>0.52</v>
      </c>
      <c r="D107" t="n">
        <v>0</v>
      </c>
      <c r="E107" t="n">
        <v>10</v>
      </c>
      <c r="F107" t="n">
        <v>4</v>
      </c>
      <c r="H107" t="n">
        <v>0</v>
      </c>
      <c r="I107" t="n">
        <v>0</v>
      </c>
      <c r="J107" t="n">
        <v>0</v>
      </c>
      <c r="K107" t="n">
        <v>0</v>
      </c>
      <c r="L107" t="n">
        <v>0</v>
      </c>
      <c r="M107" t="n">
        <v>0</v>
      </c>
      <c r="N107" t="n">
        <v>0</v>
      </c>
    </row>
    <row r="108">
      <c r="A108" t="inlineStr">
        <is>
          <t>Sale of stock</t>
        </is>
      </c>
      <c r="B108" t="inlineStr">
        <is>
          <t>£4 2 shilling from 7 oxen sold, at 12 shilling each for 3, and 1 1 shilling 6pence each for 4.</t>
        </is>
      </c>
      <c r="C108" t="n">
        <v>4.1</v>
      </c>
      <c r="D108" t="n">
        <v>4</v>
      </c>
      <c r="E108" t="n">
        <v>2</v>
      </c>
      <c r="F108" t="n">
        <v>0</v>
      </c>
      <c r="H108" t="n">
        <v>0</v>
      </c>
      <c r="I108" t="n">
        <v>0</v>
      </c>
      <c r="J108" t="n">
        <v>0</v>
      </c>
      <c r="K108" t="n">
        <v>0</v>
      </c>
      <c r="L108" t="n">
        <v>0</v>
      </c>
      <c r="M108" t="n">
        <v>0</v>
      </c>
      <c r="N108" t="n">
        <v>0</v>
      </c>
    </row>
    <row r="109">
      <c r="A109" t="inlineStr">
        <is>
          <t>Sale of stock</t>
        </is>
      </c>
      <c r="B109" t="inlineStr">
        <is>
          <t>8 shilling from 1 cow sold at Martinmas (11 November).</t>
        </is>
      </c>
      <c r="C109" t="n">
        <v>0.4</v>
      </c>
      <c r="D109" t="n">
        <v>0</v>
      </c>
      <c r="E109" t="n">
        <v>8</v>
      </c>
      <c r="F109" t="n">
        <v>0</v>
      </c>
      <c r="H109" t="n">
        <v>0</v>
      </c>
      <c r="I109" t="n">
        <v>0</v>
      </c>
      <c r="J109" t="n">
        <v>0</v>
      </c>
      <c r="K109" t="n">
        <v>0</v>
      </c>
      <c r="L109" t="n">
        <v>0</v>
      </c>
      <c r="M109" t="n">
        <v>0</v>
      </c>
      <c r="N109" t="n">
        <v>0</v>
      </c>
    </row>
    <row r="110">
      <c r="A110" t="inlineStr">
        <is>
          <t>Sale of stock</t>
        </is>
      </c>
      <c r="B110" t="inlineStr">
        <is>
          <t>8 shilling from 8 late-born calves sold, at 1 shilling each.</t>
        </is>
      </c>
      <c r="C110" t="n">
        <v>0.4</v>
      </c>
      <c r="D110" t="n">
        <v>0</v>
      </c>
      <c r="E110" t="n">
        <v>8</v>
      </c>
      <c r="F110" t="n">
        <v>0</v>
      </c>
      <c r="H110" t="n">
        <v>0</v>
      </c>
      <c r="I110" t="n">
        <v>0</v>
      </c>
      <c r="J110" t="n">
        <v>0</v>
      </c>
      <c r="K110" t="n">
        <v>0</v>
      </c>
      <c r="L110" t="n">
        <v>0</v>
      </c>
      <c r="M110" t="n">
        <v>0</v>
      </c>
      <c r="N110" t="n">
        <v>0</v>
      </c>
    </row>
    <row r="111">
      <c r="A111" t="inlineStr">
        <is>
          <t>Sale of stock</t>
        </is>
      </c>
      <c r="B111" t="inlineStr">
        <is>
          <t>£1 4 shilling 6pence from 21 wethers sold at Martinmas, at 1 shilling 2pence each.</t>
        </is>
      </c>
      <c r="C111" t="n">
        <v>1.22</v>
      </c>
      <c r="D111" t="n">
        <v>1</v>
      </c>
      <c r="E111" t="n">
        <v>4</v>
      </c>
      <c r="F111" t="n">
        <v>6</v>
      </c>
      <c r="H111" t="n">
        <v>0</v>
      </c>
      <c r="I111" t="n">
        <v>0</v>
      </c>
      <c r="J111" t="n">
        <v>0</v>
      </c>
      <c r="K111" t="n">
        <v>0</v>
      </c>
      <c r="L111" t="n">
        <v>0</v>
      </c>
      <c r="M111" t="n">
        <v>0</v>
      </c>
      <c r="N111" t="n">
        <v>0</v>
      </c>
    </row>
    <row r="112">
      <c r="A112" t="inlineStr">
        <is>
          <t>Sale of stock</t>
        </is>
      </c>
      <c r="B112" t="inlineStr">
        <is>
          <t>£5 from 100 ewes sold at the same feast, at 1 shilling each.</t>
        </is>
      </c>
      <c r="C112" t="n">
        <v>5</v>
      </c>
      <c r="D112" t="n">
        <v>5</v>
      </c>
      <c r="E112" t="n">
        <v>0</v>
      </c>
      <c r="F112" t="n">
        <v>0</v>
      </c>
      <c r="H112" t="n">
        <v>0</v>
      </c>
      <c r="I112" t="n">
        <v>0</v>
      </c>
      <c r="J112" t="n">
        <v>0</v>
      </c>
      <c r="K112" t="n">
        <v>0</v>
      </c>
      <c r="L112" t="n">
        <v>0</v>
      </c>
      <c r="M112" t="n">
        <v>0</v>
      </c>
      <c r="N112" t="n">
        <v>0</v>
      </c>
    </row>
    <row r="113">
      <c r="A113" t="inlineStr">
        <is>
          <t>Sale of stock</t>
        </is>
      </c>
      <c r="B113" t="inlineStr">
        <is>
          <t>4 shilling 6pence from 9 feeble hoggs sold, at 6pence each.</t>
        </is>
      </c>
      <c r="C113" t="n">
        <v>0.23</v>
      </c>
      <c r="D113" t="n">
        <v>0</v>
      </c>
      <c r="E113" t="n">
        <v>4</v>
      </c>
      <c r="F113" t="n">
        <v>6</v>
      </c>
      <c r="H113" t="n">
        <v>0</v>
      </c>
      <c r="I113" t="n">
        <v>0</v>
      </c>
      <c r="J113" t="n">
        <v>0</v>
      </c>
      <c r="K113" t="n">
        <v>0</v>
      </c>
      <c r="L113" t="n">
        <v>0</v>
      </c>
      <c r="M113" t="n">
        <v>0</v>
      </c>
      <c r="N113" t="n">
        <v>0</v>
      </c>
    </row>
    <row r="114">
      <c r="A114" t="inlineStr">
        <is>
          <t>Sale of stock</t>
        </is>
      </c>
      <c r="B114" t="inlineStr">
        <is>
          <t>£3 6 shilling 6pence from 19 pigs sold at Martinmas, at 3 shilling 6pence each.</t>
        </is>
      </c>
      <c r="C114" t="n">
        <v>3.32</v>
      </c>
      <c r="D114" t="n">
        <v>3</v>
      </c>
      <c r="E114" t="n">
        <v>6</v>
      </c>
      <c r="F114" t="n">
        <v>6</v>
      </c>
      <c r="H114" t="n">
        <v>0</v>
      </c>
      <c r="I114" t="n">
        <v>0</v>
      </c>
      <c r="J114" t="n">
        <v>0</v>
      </c>
      <c r="K114" t="n">
        <v>0</v>
      </c>
      <c r="L114" t="n">
        <v>0</v>
      </c>
      <c r="M114" t="n">
        <v>0</v>
      </c>
      <c r="N114" t="n">
        <v>0</v>
      </c>
    </row>
    <row r="115">
      <c r="A115" t="inlineStr">
        <is>
          <t>Sale of stock</t>
        </is>
      </c>
      <c r="B115" t="inlineStr">
        <is>
          <t>Total, £15 3 shilling 6pence</t>
        </is>
      </c>
      <c r="C115" t="n">
        <v>15.18</v>
      </c>
      <c r="D115" t="n">
        <v>15</v>
      </c>
      <c r="E115" t="n">
        <v>3</v>
      </c>
      <c r="F115" t="n">
        <v>6</v>
      </c>
      <c r="H115" t="n">
        <v>0</v>
      </c>
      <c r="I115" t="n">
        <v>0</v>
      </c>
      <c r="J115" t="n">
        <v>0</v>
      </c>
      <c r="K115" t="n">
        <v>0</v>
      </c>
      <c r="L115" t="n">
        <v>0</v>
      </c>
      <c r="M115" t="n">
        <v>0</v>
      </c>
      <c r="N115" t="n">
        <v>0</v>
      </c>
    </row>
    <row r="116">
      <c r="A116" t="inlineStr">
        <is>
          <t>Sale of corn</t>
        </is>
      </c>
      <c r="B116" t="inlineStr">
        <is>
          <t>The same render account for £75 10 shilling 5pence from 274 quarters 2 bushels of wheat sold, at 4 shilling a quarters for 29 quarters 2 bushels, 5 shilling a quarters for 70 quarters 6 bushels, 5 shilling 4pence a quarters for 82 quarters 3 bushels, 6 shilling a quarters for 18 quarters 2 bushels, and 6 shilling 8pence a quarters for 73 quarters 5 bushels.</t>
        </is>
      </c>
      <c r="C116" t="n">
        <v>75.52</v>
      </c>
      <c r="D116" t="n">
        <v>75</v>
      </c>
      <c r="E116" t="n">
        <v>10</v>
      </c>
      <c r="F116" t="n">
        <v>5</v>
      </c>
      <c r="G116" t="inlineStr">
        <is>
          <t>wheat</t>
        </is>
      </c>
      <c r="H116" t="n">
        <v>272</v>
      </c>
      <c r="I116" t="n">
        <v>18</v>
      </c>
      <c r="J116" t="n">
        <v>274.25</v>
      </c>
      <c r="K116" t="n">
        <v>274.25</v>
      </c>
      <c r="L116" t="n">
        <v>0</v>
      </c>
      <c r="M116" t="n">
        <v>274</v>
      </c>
      <c r="N116" t="n">
        <v>2</v>
      </c>
      <c r="O116" t="n">
        <v>29</v>
      </c>
      <c r="P116" t="n">
        <v>2</v>
      </c>
      <c r="Q116" t="n">
        <v>70</v>
      </c>
      <c r="R116" t="n">
        <v>6</v>
      </c>
      <c r="S116" t="n">
        <v>82</v>
      </c>
      <c r="T116" t="n">
        <v>3</v>
      </c>
      <c r="U116" t="n">
        <v>18</v>
      </c>
      <c r="V116" t="n">
        <v>2</v>
      </c>
      <c r="W116" t="n">
        <v>73</v>
      </c>
      <c r="X116" t="n">
        <v>5</v>
      </c>
      <c r="Y116" t="n">
        <v>4</v>
      </c>
      <c r="Z116" t="n">
        <v>0</v>
      </c>
      <c r="AA116" t="n">
        <v>5</v>
      </c>
      <c r="AB116" t="n">
        <v>0</v>
      </c>
      <c r="AC116" t="n">
        <v>5</v>
      </c>
      <c r="AD116" t="n">
        <v>4</v>
      </c>
      <c r="AE116" t="n">
        <v>6</v>
      </c>
      <c r="AF116" t="n">
        <v>0</v>
      </c>
      <c r="AG116" t="n">
        <v>6</v>
      </c>
      <c r="AH116" t="n">
        <v>8</v>
      </c>
    </row>
    <row r="117">
      <c r="A117" t="inlineStr">
        <is>
          <t>Sale of corn</t>
        </is>
      </c>
      <c r="B117" t="inlineStr">
        <is>
          <t>£2 6 shilling 8pence from 14 quarters of curall sold, at 3 shilling 4pence a quarters.</t>
        </is>
      </c>
      <c r="C117" t="n">
        <v>2.33</v>
      </c>
      <c r="D117" t="n">
        <v>2</v>
      </c>
      <c r="E117" t="n">
        <v>6</v>
      </c>
      <c r="F117" t="n">
        <v>8</v>
      </c>
      <c r="G117" t="inlineStr">
        <is>
          <t>curall</t>
        </is>
      </c>
      <c r="H117" t="n">
        <v>14</v>
      </c>
      <c r="I117" t="n">
        <v>0</v>
      </c>
      <c r="J117" t="n">
        <v>14</v>
      </c>
      <c r="K117" t="n">
        <v>14</v>
      </c>
      <c r="L117" t="n">
        <v>0</v>
      </c>
      <c r="M117" t="n">
        <v>14</v>
      </c>
      <c r="N117" t="n">
        <v>0</v>
      </c>
      <c r="Y117" t="n">
        <v>3</v>
      </c>
      <c r="Z117" t="n">
        <v>4</v>
      </c>
    </row>
    <row r="118">
      <c r="A118" t="inlineStr">
        <is>
          <t>Sale of corn</t>
        </is>
      </c>
      <c r="B118" t="inlineStr">
        <is>
          <t>£5 10 shilling 10.5pence from 28 quarters 5 bushels of barley sold, at 4 shilling a quarters for 25 quarters, and 3 shilling a quarters for 3 quarters 5 bushels.</t>
        </is>
      </c>
      <c r="C118" t="n">
        <v>5.54</v>
      </c>
      <c r="D118" t="n">
        <v>5</v>
      </c>
      <c r="E118" t="n">
        <v>10</v>
      </c>
      <c r="F118" t="n">
        <v>10.5</v>
      </c>
      <c r="G118" t="inlineStr">
        <is>
          <t>barley</t>
        </is>
      </c>
      <c r="H118" t="n">
        <v>28</v>
      </c>
      <c r="I118" t="n">
        <v>5</v>
      </c>
      <c r="J118" t="n">
        <v>28.625</v>
      </c>
      <c r="K118" t="n">
        <v>28.625</v>
      </c>
      <c r="L118" t="n">
        <v>0</v>
      </c>
      <c r="M118" t="n">
        <v>28</v>
      </c>
      <c r="N118" t="n">
        <v>5</v>
      </c>
      <c r="O118" t="n">
        <v>25</v>
      </c>
      <c r="P118" t="n">
        <v>0</v>
      </c>
      <c r="Q118" t="n">
        <v>3</v>
      </c>
      <c r="R118" t="n">
        <v>5</v>
      </c>
      <c r="Y118" t="n">
        <v>4</v>
      </c>
      <c r="Z118" t="n">
        <v>0</v>
      </c>
      <c r="AA118" t="n">
        <v>3</v>
      </c>
      <c r="AB118" t="n">
        <v>0</v>
      </c>
    </row>
    <row r="119">
      <c r="A119" t="inlineStr">
        <is>
          <t>Sale of corn</t>
        </is>
      </c>
      <c r="B119" t="inlineStr">
        <is>
          <t>£28 8 shilling 4.75pence from 275 quarters 3 bushels of oats sold, at 1 shilling 8pence a quarters for 55 quarters 3 bushels, 2 shilling a quarters for 86 quarters 3 bushels, 2 shilling 2pence a quarters for 50 quarters 5 bushels, and 2 shilling 4pence a quarters for 83 quarters.</t>
        </is>
      </c>
      <c r="C119" t="n">
        <v>28.42</v>
      </c>
      <c r="D119" t="n">
        <v>28</v>
      </c>
      <c r="E119" t="n">
        <v>8</v>
      </c>
      <c r="F119" t="n">
        <v>4.75</v>
      </c>
      <c r="G119" t="inlineStr">
        <is>
          <t>oats</t>
        </is>
      </c>
      <c r="H119" t="n">
        <v>274</v>
      </c>
      <c r="I119" t="n">
        <v>11</v>
      </c>
      <c r="J119" t="n">
        <v>275.375</v>
      </c>
      <c r="K119" t="n">
        <v>275.375</v>
      </c>
      <c r="L119" t="n">
        <v>0</v>
      </c>
      <c r="M119" t="n">
        <v>275</v>
      </c>
      <c r="N119" t="n">
        <v>3</v>
      </c>
      <c r="O119" t="n">
        <v>55</v>
      </c>
      <c r="P119" t="n">
        <v>3</v>
      </c>
      <c r="Q119" t="n">
        <v>86</v>
      </c>
      <c r="R119" t="n">
        <v>3</v>
      </c>
      <c r="S119" t="n">
        <v>50</v>
      </c>
      <c r="T119" t="n">
        <v>5</v>
      </c>
      <c r="U119" t="n">
        <v>83</v>
      </c>
      <c r="V119" t="n">
        <v>0</v>
      </c>
      <c r="Y119" t="n">
        <v>1</v>
      </c>
      <c r="Z119" t="n">
        <v>8</v>
      </c>
      <c r="AA119" t="n">
        <v>2</v>
      </c>
      <c r="AB119" t="n">
        <v>0</v>
      </c>
      <c r="AC119" t="n">
        <v>2</v>
      </c>
      <c r="AD119" t="n">
        <v>2</v>
      </c>
      <c r="AE119" t="n">
        <v>2</v>
      </c>
      <c r="AF119" t="n">
        <v>4</v>
      </c>
    </row>
    <row r="120">
      <c r="A120" t="inlineStr">
        <is>
          <t>Sale of corn</t>
        </is>
      </c>
      <c r="B120" t="inlineStr">
        <is>
          <t>Total of all corn sold, £111 16 shilling 4.25pence</t>
        </is>
      </c>
      <c r="C120" t="n">
        <v>111.82</v>
      </c>
      <c r="D120" t="n">
        <v>111</v>
      </c>
      <c r="E120" t="n">
        <v>16</v>
      </c>
      <c r="F120" t="n">
        <v>4.25</v>
      </c>
      <c r="H120" t="n">
        <v>0</v>
      </c>
      <c r="I120" t="n">
        <v>0</v>
      </c>
      <c r="J120" t="n">
        <v>0</v>
      </c>
      <c r="K120" t="n">
        <v>0</v>
      </c>
      <c r="L120" t="n">
        <v>0</v>
      </c>
      <c r="M120" t="n">
        <v>0</v>
      </c>
      <c r="N120" t="n">
        <v>0</v>
      </c>
    </row>
    <row r="121">
      <c r="A121" t="inlineStr">
        <is>
          <t>Farm of the mill</t>
        </is>
      </c>
      <c r="B121" t="inlineStr">
        <is>
          <t>The same render account for £1 15 shilling from the mill let at farm this year.</t>
        </is>
      </c>
      <c r="C121" t="n">
        <v>1.75</v>
      </c>
      <c r="D121" t="n">
        <v>1</v>
      </c>
      <c r="E121" t="n">
        <v>15</v>
      </c>
      <c r="F121" t="n">
        <v>0</v>
      </c>
      <c r="H121" t="n">
        <v>0</v>
      </c>
      <c r="I121" t="n">
        <v>0</v>
      </c>
      <c r="J121" t="n">
        <v>0</v>
      </c>
      <c r="K121" t="n">
        <v>0</v>
      </c>
      <c r="L121" t="n">
        <v>0</v>
      </c>
      <c r="M121" t="n">
        <v>0</v>
      </c>
      <c r="N121" t="n">
        <v>0</v>
      </c>
    </row>
    <row r="122">
      <c r="A122" t="inlineStr">
        <is>
          <t>Farm of the mill</t>
        </is>
      </c>
      <c r="B122" t="inlineStr">
        <is>
          <t>Total, £1 15 shilling</t>
        </is>
      </c>
      <c r="C122" t="n">
        <v>1.75</v>
      </c>
      <c r="D122" t="n">
        <v>1</v>
      </c>
      <c r="E122" t="n">
        <v>15</v>
      </c>
      <c r="F122" t="n">
        <v>0</v>
      </c>
      <c r="H122" t="n">
        <v>0</v>
      </c>
      <c r="I122" t="n">
        <v>0</v>
      </c>
      <c r="J122" t="n">
        <v>0</v>
      </c>
      <c r="K122" t="n">
        <v>0</v>
      </c>
      <c r="L122" t="n">
        <v>0</v>
      </c>
      <c r="M122" t="n">
        <v>0</v>
      </c>
      <c r="N122" t="n">
        <v>0</v>
      </c>
    </row>
    <row r="123">
      <c r="A123" t="inlineStr">
        <is>
          <t>Entry and marriage fines with tithingpenny</t>
        </is>
      </c>
      <c r="B123" t="inlineStr">
        <is>
          <t>The same render account for £3 6 shilling 8pence from all the tithings of the hundred for tithingpenny at the hundred-court of Martinmas.</t>
        </is>
      </c>
      <c r="C123" t="n">
        <v>3.33</v>
      </c>
      <c r="D123" t="n">
        <v>3</v>
      </c>
      <c r="E123" t="n">
        <v>6</v>
      </c>
      <c r="F123" t="n">
        <v>8</v>
      </c>
      <c r="H123" t="n">
        <v>0</v>
      </c>
      <c r="I123" t="n">
        <v>0</v>
      </c>
      <c r="J123" t="n">
        <v>0</v>
      </c>
      <c r="K123" t="n">
        <v>0</v>
      </c>
      <c r="L123" t="n">
        <v>0</v>
      </c>
      <c r="M123" t="n">
        <v>0</v>
      </c>
      <c r="N123" t="n">
        <v>0</v>
      </c>
    </row>
    <row r="124">
      <c r="A124" t="inlineStr">
        <is>
          <t>Entry and marriage fines with tithingpenny</t>
        </is>
      </c>
      <c r="B124" t="inlineStr">
        <is>
          <t>£3 6 shilling 8pence from the same tithings at the hundred-court of Hockday.</t>
        </is>
      </c>
      <c r="C124" t="n">
        <v>3.33</v>
      </c>
      <c r="D124" t="n">
        <v>3</v>
      </c>
      <c r="E124" t="n">
        <v>6</v>
      </c>
      <c r="F124" t="n">
        <v>8</v>
      </c>
      <c r="H124" t="n">
        <v>0</v>
      </c>
      <c r="I124" t="n">
        <v>0</v>
      </c>
      <c r="J124" t="n">
        <v>0</v>
      </c>
      <c r="K124" t="n">
        <v>0</v>
      </c>
      <c r="L124" t="n">
        <v>0</v>
      </c>
      <c r="M124" t="n">
        <v>0</v>
      </c>
      <c r="N124" t="n">
        <v>0</v>
      </c>
    </row>
    <row r="125">
      <c r="A125" t="inlineStr">
        <is>
          <t>Entry and marriage fines with tithingpenny</t>
        </is>
      </c>
      <c r="B125" t="inlineStr">
        <is>
          <t>£2 10 shilling from Nicholas, son and heir of Nicholas de Langriss', for fine to have all the lands and tenements which belonged to his father in the manor of East Meon.</t>
        </is>
      </c>
      <c r="C125" t="n">
        <v>2.5</v>
      </c>
      <c r="D125" t="n">
        <v>2</v>
      </c>
      <c r="E125" t="n">
        <v>10</v>
      </c>
      <c r="F125" t="n">
        <v>0</v>
      </c>
      <c r="H125" t="n">
        <v>0</v>
      </c>
      <c r="I125" t="n">
        <v>0</v>
      </c>
      <c r="J125" t="n">
        <v>0</v>
      </c>
      <c r="K125" t="n">
        <v>0</v>
      </c>
      <c r="L125" t="n">
        <v>0</v>
      </c>
      <c r="M125" t="n">
        <v>0</v>
      </c>
      <c r="N125" t="n">
        <v>0</v>
      </c>
    </row>
    <row r="126">
      <c r="A126" t="inlineStr">
        <is>
          <t>Entry and marriage fines with tithingpenny</t>
        </is>
      </c>
      <c r="B126" t="inlineStr">
        <is>
          <t>13 shilling 4pence from Cecilia, relict of Gilbert ate Brok', to retain 1 messuage and 0.5 virgate of land which belonged to her husband.</t>
        </is>
      </c>
      <c r="C126" t="n">
        <v>0.67</v>
      </c>
      <c r="D126" t="n">
        <v>0</v>
      </c>
      <c r="E126" t="n">
        <v>13</v>
      </c>
      <c r="F126" t="n">
        <v>4</v>
      </c>
      <c r="H126" t="n">
        <v>0</v>
      </c>
      <c r="I126" t="n">
        <v>0</v>
      </c>
      <c r="J126" t="n">
        <v>0</v>
      </c>
      <c r="K126" t="n">
        <v>0</v>
      </c>
      <c r="L126" t="n">
        <v>0</v>
      </c>
      <c r="M126" t="n">
        <v>0</v>
      </c>
      <c r="N126" t="n">
        <v>0</v>
      </c>
    </row>
    <row r="127">
      <c r="A127" t="inlineStr">
        <is>
          <t>Entry and marriage fines with tithingpenny</t>
        </is>
      </c>
      <c r="B127" t="inlineStr">
        <is>
          <t>4 shilling from William de Radesole to have 1.5 acres of land by surrender of Richard ate Burgh, and the aforesaid William will relieve the said Richard of 5.5pence annual rent.</t>
        </is>
      </c>
      <c r="C127" t="n">
        <v>0.22</v>
      </c>
      <c r="D127" t="n">
        <v>0</v>
      </c>
      <c r="E127" t="n">
        <v>4</v>
      </c>
      <c r="F127" t="n">
        <v>5.5</v>
      </c>
      <c r="H127" t="n">
        <v>0</v>
      </c>
      <c r="I127" t="n">
        <v>0</v>
      </c>
      <c r="J127" t="n">
        <v>0</v>
      </c>
      <c r="K127" t="n">
        <v>0</v>
      </c>
      <c r="L127" t="n">
        <v>0</v>
      </c>
      <c r="M127" t="n">
        <v>0</v>
      </c>
      <c r="N127" t="n">
        <v>0</v>
      </c>
    </row>
    <row r="128">
      <c r="A128" t="inlineStr">
        <is>
          <t>Entry and marriage fines with tithingpenny</t>
        </is>
      </c>
      <c r="B128" t="inlineStr">
        <is>
          <t>1 shilling from Richard Clericus to have 1 plot which contains 2 day-works of land by surrender of William ate Church', and he will relieve the said William of 1 shilling annual rent.</t>
        </is>
      </c>
      <c r="C128" t="n">
        <v>0.05</v>
      </c>
      <c r="D128" t="n">
        <v>0</v>
      </c>
      <c r="E128" t="n">
        <v>1</v>
      </c>
      <c r="F128" t="n">
        <v>0</v>
      </c>
      <c r="H128" t="n">
        <v>0</v>
      </c>
      <c r="I128" t="n">
        <v>0</v>
      </c>
      <c r="J128" t="n">
        <v>0</v>
      </c>
      <c r="K128" t="n">
        <v>0</v>
      </c>
      <c r="L128" t="n">
        <v>0</v>
      </c>
      <c r="M128" t="n">
        <v>0</v>
      </c>
      <c r="N128" t="n">
        <v>0</v>
      </c>
    </row>
    <row r="129">
      <c r="A129" t="inlineStr">
        <is>
          <t>Entry and marriage fines with tithingpenny</t>
        </is>
      </c>
      <c r="B129" t="inlineStr">
        <is>
          <t>3 shilling from Roginald Boll' to have 1 acre of land by surrender of John Tribald, and he will relieve the said John of 6pence annual rent.</t>
        </is>
      </c>
      <c r="C129" t="n">
        <v>0.17</v>
      </c>
      <c r="D129" t="n">
        <v>0</v>
      </c>
      <c r="E129" t="n">
        <v>3</v>
      </c>
      <c r="F129" t="n">
        <v>6</v>
      </c>
      <c r="H129" t="n">
        <v>0</v>
      </c>
      <c r="I129" t="n">
        <v>0</v>
      </c>
      <c r="J129" t="n">
        <v>0</v>
      </c>
      <c r="K129" t="n">
        <v>0</v>
      </c>
      <c r="L129" t="n">
        <v>0</v>
      </c>
      <c r="M129" t="n">
        <v>0</v>
      </c>
      <c r="N129" t="n">
        <v>0</v>
      </c>
    </row>
    <row r="130">
      <c r="A130" t="inlineStr">
        <is>
          <t>Entry and marriage fines with tithingpenny</t>
        </is>
      </c>
      <c r="B130" t="inlineStr">
        <is>
          <t>£1 13 shilling 4pence from Thomas, son of William de Schireve, to have 1 messuage and 1 virgate of land which belonged to his father.</t>
        </is>
      </c>
      <c r="C130" t="n">
        <v>1.67</v>
      </c>
      <c r="D130" t="n">
        <v>1</v>
      </c>
      <c r="E130" t="n">
        <v>13</v>
      </c>
      <c r="F130" t="n">
        <v>4</v>
      </c>
      <c r="H130" t="n">
        <v>0</v>
      </c>
      <c r="I130" t="n">
        <v>0</v>
      </c>
      <c r="J130" t="n">
        <v>0</v>
      </c>
      <c r="K130" t="n">
        <v>0</v>
      </c>
      <c r="L130" t="n">
        <v>0</v>
      </c>
      <c r="M130" t="n">
        <v>0</v>
      </c>
      <c r="N130" t="n">
        <v>0</v>
      </c>
    </row>
    <row r="131">
      <c r="A131" t="inlineStr">
        <is>
          <t>Entry and marriage fines with tithingpenny</t>
        </is>
      </c>
      <c r="B131" t="inlineStr">
        <is>
          <t>6 shilling 8pence from Richard Corps to have 3.5 acres of land by surrender of William ate Wod'.</t>
        </is>
      </c>
      <c r="C131" t="n">
        <v>0.33</v>
      </c>
      <c r="D131" t="n">
        <v>0</v>
      </c>
      <c r="E131" t="n">
        <v>6</v>
      </c>
      <c r="F131" t="n">
        <v>8</v>
      </c>
      <c r="H131" t="n">
        <v>0</v>
      </c>
      <c r="I131" t="n">
        <v>0</v>
      </c>
      <c r="J131" t="n">
        <v>0</v>
      </c>
      <c r="K131" t="n">
        <v>0</v>
      </c>
      <c r="L131" t="n">
        <v>0</v>
      </c>
      <c r="M131" t="n">
        <v>0</v>
      </c>
      <c r="N131" t="n">
        <v>0</v>
      </c>
    </row>
    <row r="132">
      <c r="A132" t="inlineStr">
        <is>
          <t>Entry and marriage fines with tithingpenny</t>
        </is>
      </c>
      <c r="B132" t="inlineStr">
        <is>
          <t>13 shilling 4pence from John Corps to have 1 virgate of land of Martin Waterlyde.</t>
        </is>
      </c>
      <c r="C132" t="n">
        <v>0.67</v>
      </c>
      <c r="D132" t="n">
        <v>0</v>
      </c>
      <c r="E132" t="n">
        <v>13</v>
      </c>
      <c r="F132" t="n">
        <v>4</v>
      </c>
      <c r="H132" t="n">
        <v>0</v>
      </c>
      <c r="I132" t="n">
        <v>0</v>
      </c>
      <c r="J132" t="n">
        <v>0</v>
      </c>
      <c r="K132" t="n">
        <v>0</v>
      </c>
      <c r="L132" t="n">
        <v>0</v>
      </c>
      <c r="M132" t="n">
        <v>0</v>
      </c>
      <c r="N132" t="n">
        <v>0</v>
      </c>
    </row>
    <row r="133">
      <c r="A133" t="inlineStr">
        <is>
          <t>Entry and marriage fines with tithingpenny</t>
        </is>
      </c>
      <c r="B133" t="inlineStr">
        <is>
          <t>1 shilling from Joan Quirteflod' to retain 1 acre of land which belonged to Richard Schireve her husband.</t>
        </is>
      </c>
      <c r="C133" t="n">
        <v>0.05</v>
      </c>
      <c r="D133" t="n">
        <v>0</v>
      </c>
      <c r="E133" t="n">
        <v>1</v>
      </c>
      <c r="F133" t="n">
        <v>0</v>
      </c>
      <c r="H133" t="n">
        <v>0</v>
      </c>
      <c r="I133" t="n">
        <v>0</v>
      </c>
      <c r="J133" t="n">
        <v>0</v>
      </c>
      <c r="K133" t="n">
        <v>0</v>
      </c>
      <c r="L133" t="n">
        <v>0</v>
      </c>
      <c r="M133" t="n">
        <v>0</v>
      </c>
      <c r="N133" t="n">
        <v>0</v>
      </c>
    </row>
    <row r="134">
      <c r="A134" t="inlineStr">
        <is>
          <t>Entry and marriage fines with tithingpenny</t>
        </is>
      </c>
      <c r="B134" t="inlineStr">
        <is>
          <t>2 shilling from Geoffrey ate Garston to have 1 house and 2 day-works of land by surrender of Andrew de Borden'.</t>
        </is>
      </c>
      <c r="C134" t="n">
        <v>0.1</v>
      </c>
      <c r="D134" t="n">
        <v>0</v>
      </c>
      <c r="E134" t="n">
        <v>2</v>
      </c>
      <c r="F134" t="n">
        <v>0</v>
      </c>
      <c r="H134" t="n">
        <v>0</v>
      </c>
      <c r="I134" t="n">
        <v>0</v>
      </c>
      <c r="J134" t="n">
        <v>0</v>
      </c>
      <c r="K134" t="n">
        <v>0</v>
      </c>
      <c r="L134" t="n">
        <v>0</v>
      </c>
      <c r="M134" t="n">
        <v>0</v>
      </c>
      <c r="N134" t="n">
        <v>0</v>
      </c>
    </row>
    <row r="135">
      <c r="A135" t="inlineStr">
        <is>
          <t>Entry and marriage fines with tithingpenny</t>
        </is>
      </c>
      <c r="B135" t="inlineStr">
        <is>
          <t>2 shilling from Henry Keppyng to have 1 day-work of land by surrender of John Herberd', and he will relieve the aforesaid John of 4pence annual rent.</t>
        </is>
      </c>
      <c r="C135" t="n">
        <v>0.12</v>
      </c>
      <c r="D135" t="n">
        <v>0</v>
      </c>
      <c r="E135" t="n">
        <v>2</v>
      </c>
      <c r="F135" t="n">
        <v>4</v>
      </c>
      <c r="H135" t="n">
        <v>0</v>
      </c>
      <c r="I135" t="n">
        <v>0</v>
      </c>
      <c r="J135" t="n">
        <v>0</v>
      </c>
      <c r="K135" t="n">
        <v>0</v>
      </c>
      <c r="L135" t="n">
        <v>0</v>
      </c>
      <c r="M135" t="n">
        <v>0</v>
      </c>
      <c r="N135" t="n">
        <v>0</v>
      </c>
    </row>
    <row r="136">
      <c r="A136" t="inlineStr">
        <is>
          <t>Entry and marriage fines with tithingpenny</t>
        </is>
      </c>
      <c r="B136" t="inlineStr">
        <is>
          <t>1 shilling from John Miles to retain a certain purpresture, 12 feet long and 4 feet wide at one end and 1.5 feet at the other end, which before he encroached upon without licence.</t>
        </is>
      </c>
      <c r="C136" t="n">
        <v>0.05</v>
      </c>
      <c r="D136" t="n">
        <v>0</v>
      </c>
      <c r="E136" t="n">
        <v>1</v>
      </c>
      <c r="F136" t="n">
        <v>0</v>
      </c>
      <c r="H136" t="n">
        <v>0</v>
      </c>
      <c r="I136" t="n">
        <v>0</v>
      </c>
      <c r="J136" t="n">
        <v>0</v>
      </c>
      <c r="K136" t="n">
        <v>0</v>
      </c>
      <c r="L136" t="n">
        <v>0</v>
      </c>
      <c r="M136" t="n">
        <v>0</v>
      </c>
      <c r="N136" t="n">
        <v>0</v>
      </c>
    </row>
    <row r="137">
      <c r="A137" t="inlineStr">
        <is>
          <t>Entry and marriage fines with tithingpenny</t>
        </is>
      </c>
      <c r="B137" t="inlineStr">
        <is>
          <t>£2 from William Colevile to have 1 messuage and 1 cotland which belonged to his father whose heir he is.</t>
        </is>
      </c>
      <c r="C137" t="n">
        <v>2</v>
      </c>
      <c r="D137" t="n">
        <v>2</v>
      </c>
      <c r="E137" t="n">
        <v>0</v>
      </c>
      <c r="F137" t="n">
        <v>0</v>
      </c>
      <c r="H137" t="n">
        <v>0</v>
      </c>
      <c r="I137" t="n">
        <v>0</v>
      </c>
      <c r="J137" t="n">
        <v>0</v>
      </c>
      <c r="K137" t="n">
        <v>0</v>
      </c>
      <c r="L137" t="n">
        <v>0</v>
      </c>
      <c r="M137" t="n">
        <v>0</v>
      </c>
      <c r="N137" t="n">
        <v>0</v>
      </c>
    </row>
    <row r="138">
      <c r="A138" t="inlineStr">
        <is>
          <t>Entry and marriage fines with tithingpenny</t>
        </is>
      </c>
      <c r="B138" t="inlineStr">
        <is>
          <t>£1 from Cecilia, relict of Nicholas ate Ock', to retain the lands and tenements which belonged to the same Nicholas her husband.</t>
        </is>
      </c>
      <c r="C138" t="n">
        <v>1</v>
      </c>
      <c r="D138" t="n">
        <v>1</v>
      </c>
      <c r="E138" t="n">
        <v>0</v>
      </c>
      <c r="F138" t="n">
        <v>0</v>
      </c>
      <c r="H138" t="n">
        <v>0</v>
      </c>
      <c r="I138" t="n">
        <v>0</v>
      </c>
      <c r="J138" t="n">
        <v>0</v>
      </c>
      <c r="K138" t="n">
        <v>0</v>
      </c>
      <c r="L138" t="n">
        <v>0</v>
      </c>
      <c r="M138" t="n">
        <v>0</v>
      </c>
      <c r="N138" t="n">
        <v>0</v>
      </c>
    </row>
    <row r="139">
      <c r="A139" t="inlineStr">
        <is>
          <t>Entry and marriage fines with tithingpenny</t>
        </is>
      </c>
      <c r="B139" t="inlineStr">
        <is>
          <t>£1 6 shilling 8pence from Robert de Borden' to have 1 messuage and 1 virgate of land which belonged to Robert his father.</t>
        </is>
      </c>
      <c r="C139" t="n">
        <v>1.33</v>
      </c>
      <c r="D139" t="n">
        <v>1</v>
      </c>
      <c r="E139" t="n">
        <v>6</v>
      </c>
      <c r="F139" t="n">
        <v>8</v>
      </c>
      <c r="H139" t="n">
        <v>0</v>
      </c>
      <c r="I139" t="n">
        <v>0</v>
      </c>
      <c r="J139" t="n">
        <v>0</v>
      </c>
      <c r="K139" t="n">
        <v>0</v>
      </c>
      <c r="L139" t="n">
        <v>0</v>
      </c>
      <c r="M139" t="n">
        <v>0</v>
      </c>
      <c r="N139" t="n">
        <v>0</v>
      </c>
    </row>
    <row r="140">
      <c r="A140" t="inlineStr">
        <is>
          <t>Entry and marriage fines with tithingpenny</t>
        </is>
      </c>
      <c r="B140" t="inlineStr">
        <is>
          <t>6 shilling 8pence from Emma, relict of William ate Pleystowe, to retain 1 messuage and 1 virgate of land which belonged to her husband.</t>
        </is>
      </c>
      <c r="C140" t="n">
        <v>0.33</v>
      </c>
      <c r="D140" t="n">
        <v>0</v>
      </c>
      <c r="E140" t="n">
        <v>6</v>
      </c>
      <c r="F140" t="n">
        <v>8</v>
      </c>
      <c r="H140" t="n">
        <v>0</v>
      </c>
      <c r="I140" t="n">
        <v>0</v>
      </c>
      <c r="J140" t="n">
        <v>0</v>
      </c>
      <c r="K140" t="n">
        <v>0</v>
      </c>
      <c r="L140" t="n">
        <v>0</v>
      </c>
      <c r="M140" t="n">
        <v>0</v>
      </c>
      <c r="N140" t="n">
        <v>0</v>
      </c>
    </row>
    <row r="141">
      <c r="A141" t="inlineStr">
        <is>
          <t>Entry and marriage fines with tithingpenny</t>
        </is>
      </c>
      <c r="B141" t="inlineStr">
        <is>
          <t>£1 6 shilling 8pence from Henry de Pipercumbe to have 1 messuage and .5 virgate of land and a purpresture which belonged to Gilbert his father.</t>
        </is>
      </c>
      <c r="C141" t="n">
        <v>1.33</v>
      </c>
      <c r="D141" t="n">
        <v>1</v>
      </c>
      <c r="E141" t="n">
        <v>6</v>
      </c>
      <c r="F141" t="n">
        <v>8</v>
      </c>
      <c r="H141" t="n">
        <v>0</v>
      </c>
      <c r="I141" t="n">
        <v>0</v>
      </c>
      <c r="J141" t="n">
        <v>0</v>
      </c>
      <c r="K141" t="n">
        <v>0</v>
      </c>
      <c r="L141" t="n">
        <v>0</v>
      </c>
      <c r="M141" t="n">
        <v>0</v>
      </c>
      <c r="N141" t="n">
        <v>0</v>
      </c>
    </row>
    <row r="142">
      <c r="A142" t="inlineStr">
        <is>
          <t>Entry and marriage fines with tithingpenny</t>
        </is>
      </c>
      <c r="B142" t="inlineStr">
        <is>
          <t>6 shilling 8pence from Walter Whyte and Matilda his wife to have''/ virgate of land which descended to the same Matilda by the death of Emma Kokenild'.</t>
        </is>
      </c>
      <c r="C142" t="n">
        <v>0.33</v>
      </c>
      <c r="D142" t="n">
        <v>0</v>
      </c>
      <c r="E142" t="n">
        <v>6</v>
      </c>
      <c r="F142" t="n">
        <v>8</v>
      </c>
      <c r="H142" t="n">
        <v>0</v>
      </c>
      <c r="I142" t="n">
        <v>0</v>
      </c>
      <c r="J142" t="n">
        <v>0</v>
      </c>
      <c r="K142" t="n">
        <v>0</v>
      </c>
      <c r="L142" t="n">
        <v>0</v>
      </c>
      <c r="M142" t="n">
        <v>0</v>
      </c>
      <c r="N142" t="n">
        <v>0</v>
      </c>
    </row>
    <row r="143">
      <c r="A143" t="inlineStr">
        <is>
          <t>Entry and marriage fines with tithingpenny</t>
        </is>
      </c>
      <c r="B143" t="inlineStr">
        <is>
          <t>6 shilling 8pence from John, son of Walter le Whyte, to have the aforesaid .5 virgate of land by surrender of the said Walter and Matilda.</t>
        </is>
      </c>
      <c r="C143" t="n">
        <v>0.33</v>
      </c>
      <c r="D143" t="n">
        <v>0</v>
      </c>
      <c r="E143" t="n">
        <v>6</v>
      </c>
      <c r="F143" t="n">
        <v>8</v>
      </c>
      <c r="H143" t="n">
        <v>0</v>
      </c>
      <c r="I143" t="n">
        <v>0</v>
      </c>
      <c r="J143" t="n">
        <v>0</v>
      </c>
      <c r="K143" t="n">
        <v>0</v>
      </c>
      <c r="L143" t="n">
        <v>0</v>
      </c>
      <c r="M143" t="n">
        <v>0</v>
      </c>
      <c r="N143" t="n">
        <v>0</v>
      </c>
    </row>
    <row r="144">
      <c r="A144" t="inlineStr">
        <is>
          <t>Entry and marriage fines with tithingpenny</t>
        </is>
      </c>
      <c r="B144" t="inlineStr">
        <is>
          <t>13 shilling 4pence from John Aylwyn' to have 0.5 virgate of land which belonged to William his father.</t>
        </is>
      </c>
      <c r="C144" t="n">
        <v>0.67</v>
      </c>
      <c r="D144" t="n">
        <v>0</v>
      </c>
      <c r="E144" t="n">
        <v>13</v>
      </c>
      <c r="F144" t="n">
        <v>4</v>
      </c>
      <c r="H144" t="n">
        <v>0</v>
      </c>
      <c r="I144" t="n">
        <v>0</v>
      </c>
      <c r="J144" t="n">
        <v>0</v>
      </c>
      <c r="K144" t="n">
        <v>0</v>
      </c>
      <c r="L144" t="n">
        <v>0</v>
      </c>
      <c r="M144" t="n">
        <v>0</v>
      </c>
      <c r="N144" t="n">
        <v>0</v>
      </c>
    </row>
    <row r="145">
      <c r="A145" t="inlineStr">
        <is>
          <t>Entry and marriage fines with tithingpenny</t>
        </is>
      </c>
      <c r="B145" t="inlineStr">
        <is>
          <t>£1 from Peter ate Bure to have Christina, who was wife of John Crispyn, with her land.</t>
        </is>
      </c>
      <c r="C145" t="n">
        <v>1</v>
      </c>
      <c r="D145" t="n">
        <v>1</v>
      </c>
      <c r="E145" t="n">
        <v>0</v>
      </c>
      <c r="F145" t="n">
        <v>0</v>
      </c>
      <c r="H145" t="n">
        <v>0</v>
      </c>
      <c r="I145" t="n">
        <v>0</v>
      </c>
      <c r="J145" t="n">
        <v>0</v>
      </c>
      <c r="K145" t="n">
        <v>0</v>
      </c>
      <c r="L145" t="n">
        <v>0</v>
      </c>
      <c r="M145" t="n">
        <v>0</v>
      </c>
      <c r="N145" t="n">
        <v>0</v>
      </c>
    </row>
    <row r="146">
      <c r="A146" t="inlineStr">
        <is>
          <t>Entry and marriage fines with tithingpenny</t>
        </is>
      </c>
      <c r="B146" t="inlineStr">
        <is>
          <t>13 shilling 4pence from Walter Schireve to have Cecilia, relict of Gilbert ate Brok', with'/ virgate of her land.</t>
        </is>
      </c>
      <c r="C146" t="n">
        <v>0.67</v>
      </c>
      <c r="D146" t="n">
        <v>0</v>
      </c>
      <c r="E146" t="n">
        <v>13</v>
      </c>
      <c r="F146" t="n">
        <v>4</v>
      </c>
      <c r="H146" t="n">
        <v>0</v>
      </c>
      <c r="I146" t="n">
        <v>0</v>
      </c>
      <c r="J146" t="n">
        <v>0</v>
      </c>
      <c r="K146" t="n">
        <v>0</v>
      </c>
      <c r="L146" t="n">
        <v>0</v>
      </c>
      <c r="M146" t="n">
        <v>0</v>
      </c>
      <c r="N146" t="n">
        <v>0</v>
      </c>
    </row>
    <row r="147">
      <c r="A147" t="inlineStr">
        <is>
          <t>Entry and marriage fines with tithingpenny</t>
        </is>
      </c>
      <c r="B147" t="inlineStr">
        <is>
          <t>1 shilling from Joan de Quirteflod' to have 1 curtilage which is called Westpark by surrender of Avice de Quirteflod'.</t>
        </is>
      </c>
      <c r="C147" t="n">
        <v>0.05</v>
      </c>
      <c r="D147" t="n">
        <v>0</v>
      </c>
      <c r="E147" t="n">
        <v>1</v>
      </c>
      <c r="F147" t="n">
        <v>0</v>
      </c>
      <c r="H147" t="n">
        <v>0</v>
      </c>
      <c r="I147" t="n">
        <v>0</v>
      </c>
      <c r="J147" t="n">
        <v>0</v>
      </c>
      <c r="K147" t="n">
        <v>0</v>
      </c>
      <c r="L147" t="n">
        <v>0</v>
      </c>
      <c r="M147" t="n">
        <v>0</v>
      </c>
      <c r="N147" t="n">
        <v>0</v>
      </c>
    </row>
    <row r="148">
      <c r="A148" t="inlineStr">
        <is>
          <t>Entry and marriage fines with tithingpenny</t>
        </is>
      </c>
      <c r="B148" t="inlineStr">
        <is>
          <t>1 shilling from Adam de Ayford' to have the aforesaid curtilage by surrender of Joan de Quirteflod', so that the said Adam will relieve the said Avice de Quirteflod' of 2pence of her rent for the year.</t>
        </is>
      </c>
      <c r="C148" t="n">
        <v>0.06</v>
      </c>
      <c r="D148" t="n">
        <v>0</v>
      </c>
      <c r="E148" t="n">
        <v>1</v>
      </c>
      <c r="F148" t="n">
        <v>2</v>
      </c>
      <c r="H148" t="n">
        <v>0</v>
      </c>
      <c r="I148" t="n">
        <v>0</v>
      </c>
      <c r="J148" t="n">
        <v>0</v>
      </c>
      <c r="K148" t="n">
        <v>0</v>
      </c>
      <c r="L148" t="n">
        <v>0</v>
      </c>
      <c r="M148" t="n">
        <v>0</v>
      </c>
      <c r="N148" t="n">
        <v>0</v>
      </c>
    </row>
    <row r="149">
      <c r="A149" t="inlineStr">
        <is>
          <t>Entry and marriage fines with tithingpenny</t>
        </is>
      </c>
      <c r="B149" t="inlineStr">
        <is>
          <t>1 shilling from Agnes Fermyn for marrying Agnes her daughter outside.</t>
        </is>
      </c>
      <c r="C149" t="n">
        <v>0.05</v>
      </c>
      <c r="D149" t="n">
        <v>0</v>
      </c>
      <c r="E149" t="n">
        <v>1</v>
      </c>
      <c r="F149" t="n">
        <v>0</v>
      </c>
      <c r="H149" t="n">
        <v>0</v>
      </c>
      <c r="I149" t="n">
        <v>0</v>
      </c>
      <c r="J149" t="n">
        <v>0</v>
      </c>
      <c r="K149" t="n">
        <v>0</v>
      </c>
      <c r="L149" t="n">
        <v>0</v>
      </c>
      <c r="M149" t="n">
        <v>0</v>
      </c>
      <c r="N149" t="n">
        <v>0</v>
      </c>
    </row>
    <row r="150">
      <c r="A150" t="inlineStr">
        <is>
          <t>Entry and marriage fines with tithingpenny</t>
        </is>
      </c>
      <c r="B150" t="inlineStr">
        <is>
          <t>£1 from William, son of Walter le Swhyte, to have 1 virgate of land by surrender of Walter his father and Matilda, wife of the said Walter.</t>
        </is>
      </c>
      <c r="C150" t="n">
        <v>1</v>
      </c>
      <c r="D150" t="n">
        <v>1</v>
      </c>
      <c r="E150" t="n">
        <v>0</v>
      </c>
      <c r="F150" t="n">
        <v>0</v>
      </c>
      <c r="H150" t="n">
        <v>0</v>
      </c>
      <c r="I150" t="n">
        <v>0</v>
      </c>
      <c r="J150" t="n">
        <v>0</v>
      </c>
      <c r="K150" t="n">
        <v>0</v>
      </c>
      <c r="L150" t="n">
        <v>0</v>
      </c>
      <c r="M150" t="n">
        <v>0</v>
      </c>
      <c r="N150" t="n">
        <v>0</v>
      </c>
    </row>
    <row r="151">
      <c r="A151" t="inlineStr">
        <is>
          <t>Entry and marriage fines with tithingpenny</t>
        </is>
      </c>
      <c r="B151" t="inlineStr">
        <is>
          <t>Total, £23 7 shilling</t>
        </is>
      </c>
      <c r="C151" t="n">
        <v>23.35</v>
      </c>
      <c r="D151" t="n">
        <v>23</v>
      </c>
      <c r="E151" t="n">
        <v>7</v>
      </c>
      <c r="F151" t="n">
        <v>0</v>
      </c>
      <c r="H151" t="n">
        <v>0</v>
      </c>
      <c r="I151" t="n">
        <v>0</v>
      </c>
      <c r="J151" t="n">
        <v>0</v>
      </c>
      <c r="K151" t="n">
        <v>0</v>
      </c>
      <c r="L151" t="n">
        <v>0</v>
      </c>
      <c r="M151" t="n">
        <v>0</v>
      </c>
      <c r="N151" t="n">
        <v>0</v>
      </c>
    </row>
    <row r="152">
      <c r="A152" t="inlineStr">
        <is>
          <t>Perquisites</t>
        </is>
      </c>
      <c r="B152" t="inlineStr">
        <is>
          <t>The same render account for 1 shilling from William Cuteprist for unjustly withholding a debt.</t>
        </is>
      </c>
      <c r="C152" t="n">
        <v>0.05</v>
      </c>
      <c r="D152" t="n">
        <v>0</v>
      </c>
      <c r="E152" t="n">
        <v>1</v>
      </c>
      <c r="F152" t="n">
        <v>0</v>
      </c>
      <c r="H152" t="n">
        <v>0</v>
      </c>
      <c r="I152" t="n">
        <v>0</v>
      </c>
      <c r="J152" t="n">
        <v>0</v>
      </c>
      <c r="K152" t="n">
        <v>0</v>
      </c>
      <c r="L152" t="n">
        <v>0</v>
      </c>
      <c r="M152" t="n">
        <v>0</v>
      </c>
      <c r="N152" t="n">
        <v>0</v>
      </c>
    </row>
    <row r="153">
      <c r="A153" t="inlineStr">
        <is>
          <t>Perquisites</t>
        </is>
      </c>
      <c r="B153" t="inlineStr">
        <is>
          <t>8 shilling 6pence from Alice Tapecut' and her fellows for trespass of pasture and default o labour service and other transgressions.</t>
        </is>
      </c>
      <c r="C153" t="n">
        <v>0.43</v>
      </c>
      <c r="D153" t="n">
        <v>0</v>
      </c>
      <c r="E153" t="n">
        <v>8</v>
      </c>
      <c r="F153" t="n">
        <v>6</v>
      </c>
      <c r="H153" t="n">
        <v>0</v>
      </c>
      <c r="I153" t="n">
        <v>0</v>
      </c>
      <c r="J153" t="n">
        <v>0</v>
      </c>
      <c r="K153" t="n">
        <v>0</v>
      </c>
      <c r="L153" t="n">
        <v>0</v>
      </c>
      <c r="M153" t="n">
        <v>0</v>
      </c>
      <c r="N153" t="n">
        <v>0</v>
      </c>
    </row>
    <row r="154">
      <c r="A154" t="inlineStr">
        <is>
          <t>Perquisites</t>
        </is>
      </c>
      <c r="B154" t="inlineStr">
        <is>
          <t>4 shilling 6pence from Nicholas ate Pyth' for transgression against his neighbour and trespass of pasture.</t>
        </is>
      </c>
      <c r="C154" t="n">
        <v>0.23</v>
      </c>
      <c r="D154" t="n">
        <v>0</v>
      </c>
      <c r="E154" t="n">
        <v>4</v>
      </c>
      <c r="F154" t="n">
        <v>6</v>
      </c>
      <c r="H154" t="n">
        <v>0</v>
      </c>
      <c r="I154" t="n">
        <v>0</v>
      </c>
      <c r="J154" t="n">
        <v>0</v>
      </c>
      <c r="K154" t="n">
        <v>0</v>
      </c>
      <c r="L154" t="n">
        <v>0</v>
      </c>
      <c r="M154" t="n">
        <v>0</v>
      </c>
      <c r="N154" t="n">
        <v>0</v>
      </c>
    </row>
    <row r="155">
      <c r="A155" t="inlineStr">
        <is>
          <t>Perquisites</t>
        </is>
      </c>
      <c r="B155" t="inlineStr">
        <is>
          <t>4 shilling from Alice, daughter of Richard de Naddeham, Ralph ate Stupe and their fellows for many transgressions.</t>
        </is>
      </c>
      <c r="C155" t="n">
        <v>0.2</v>
      </c>
      <c r="D155" t="n">
        <v>0</v>
      </c>
      <c r="E155" t="n">
        <v>4</v>
      </c>
      <c r="F155" t="n">
        <v>0</v>
      </c>
      <c r="H155" t="n">
        <v>0</v>
      </c>
      <c r="I155" t="n">
        <v>0</v>
      </c>
      <c r="J155" t="n">
        <v>0</v>
      </c>
      <c r="K155" t="n">
        <v>0</v>
      </c>
      <c r="L155" t="n">
        <v>0</v>
      </c>
      <c r="M155" t="n">
        <v>0</v>
      </c>
      <c r="N155" t="n">
        <v>0</v>
      </c>
    </row>
    <row r="156">
      <c r="A156" t="inlineStr">
        <is>
          <t>Perquisites</t>
        </is>
      </c>
      <c r="B156" t="inlineStr">
        <is>
          <t>5 shilling 6pence from Richard Crespyn, Robert Parker and others for transgression against their neighbours, trespass of wood, and other transgressions.</t>
        </is>
      </c>
      <c r="C156" t="n">
        <v>0.28</v>
      </c>
      <c r="D156" t="n">
        <v>0</v>
      </c>
      <c r="E156" t="n">
        <v>5</v>
      </c>
      <c r="F156" t="n">
        <v>6</v>
      </c>
      <c r="H156" t="n">
        <v>0</v>
      </c>
      <c r="I156" t="n">
        <v>0</v>
      </c>
      <c r="J156" t="n">
        <v>0</v>
      </c>
      <c r="K156" t="n">
        <v>0</v>
      </c>
      <c r="L156" t="n">
        <v>0</v>
      </c>
      <c r="M156" t="n">
        <v>0</v>
      </c>
      <c r="N156" t="n">
        <v>0</v>
      </c>
    </row>
    <row r="157">
      <c r="A157" t="inlineStr">
        <is>
          <t>Perquisites</t>
        </is>
      </c>
      <c r="B157" t="inlineStr">
        <is>
          <t>1 shilling 9pence from Matilda le Tayllur, John de Halywll' and others for transgression against their neighbours and trespass of wood and pasture.</t>
        </is>
      </c>
      <c r="C157" t="n">
        <v>0.09</v>
      </c>
      <c r="D157" t="n">
        <v>0</v>
      </c>
      <c r="E157" t="n">
        <v>1</v>
      </c>
      <c r="F157" t="n">
        <v>9</v>
      </c>
      <c r="H157" t="n">
        <v>0</v>
      </c>
      <c r="I157" t="n">
        <v>0</v>
      </c>
      <c r="J157" t="n">
        <v>0</v>
      </c>
      <c r="K157" t="n">
        <v>0</v>
      </c>
      <c r="L157" t="n">
        <v>0</v>
      </c>
      <c r="M157" t="n">
        <v>0</v>
      </c>
      <c r="N157" t="n">
        <v>0</v>
      </c>
    </row>
    <row r="158">
      <c r="A158" t="inlineStr">
        <is>
          <t>Perquisites</t>
        </is>
      </c>
      <c r="B158" t="inlineStr">
        <is>
          <t>6pence from Alice de Chutescombe for transgression against her neighbour.</t>
        </is>
      </c>
      <c r="C158" t="n">
        <v>0.03</v>
      </c>
      <c r="D158" t="n">
        <v>0</v>
      </c>
      <c r="E158" t="n">
        <v>0</v>
      </c>
      <c r="F158" t="n">
        <v>6</v>
      </c>
      <c r="H158" t="n">
        <v>0</v>
      </c>
      <c r="I158" t="n">
        <v>0</v>
      </c>
      <c r="J158" t="n">
        <v>0</v>
      </c>
      <c r="K158" t="n">
        <v>0</v>
      </c>
      <c r="L158" t="n">
        <v>0</v>
      </c>
      <c r="M158" t="n">
        <v>0</v>
      </c>
      <c r="N158" t="n">
        <v>0</v>
      </c>
    </row>
    <row r="159">
      <c r="A159" t="inlineStr">
        <is>
          <t>Perquisites</t>
        </is>
      </c>
      <c r="B159" t="inlineStr">
        <is>
          <t>6 shilling 8pence from Adam Kay the younger for keeping the plough-horses badly.</t>
        </is>
      </c>
      <c r="C159" t="n">
        <v>0.33</v>
      </c>
      <c r="D159" t="n">
        <v>0</v>
      </c>
      <c r="E159" t="n">
        <v>6</v>
      </c>
      <c r="F159" t="n">
        <v>8</v>
      </c>
      <c r="H159" t="n">
        <v>0</v>
      </c>
      <c r="I159" t="n">
        <v>0</v>
      </c>
      <c r="J159" t="n">
        <v>0</v>
      </c>
      <c r="K159" t="n">
        <v>0</v>
      </c>
      <c r="L159" t="n">
        <v>0</v>
      </c>
      <c r="M159" t="n">
        <v>0</v>
      </c>
      <c r="N159" t="n">
        <v>0</v>
      </c>
    </row>
    <row r="160">
      <c r="A160" t="inlineStr">
        <is>
          <t>Perquisites</t>
        </is>
      </c>
      <c r="B160" t="inlineStr">
        <is>
          <t>1 shilling 6pence from Thomas ate Church', John le Kay and their fellows for transgression against their neighbours and false complaint.</t>
        </is>
      </c>
      <c r="C160" t="n">
        <v>0.08</v>
      </c>
      <c r="D160" t="n">
        <v>0</v>
      </c>
      <c r="E160" t="n">
        <v>1</v>
      </c>
      <c r="F160" t="n">
        <v>6</v>
      </c>
      <c r="H160" t="n">
        <v>0</v>
      </c>
      <c r="I160" t="n">
        <v>0</v>
      </c>
      <c r="J160" t="n">
        <v>0</v>
      </c>
      <c r="K160" t="n">
        <v>0</v>
      </c>
      <c r="L160" t="n">
        <v>0</v>
      </c>
      <c r="M160" t="n">
        <v>0</v>
      </c>
      <c r="N160" t="n">
        <v>0</v>
      </c>
    </row>
    <row r="161">
      <c r="A161" t="inlineStr">
        <is>
          <t>Perquisites</t>
        </is>
      </c>
      <c r="B161" t="inlineStr">
        <is>
          <t>2 shilling from Henry le Er for trespass of multure of part of the corn at the lord's mill.</t>
        </is>
      </c>
      <c r="C161" t="n">
        <v>0.1</v>
      </c>
      <c r="D161" t="n">
        <v>0</v>
      </c>
      <c r="E161" t="n">
        <v>2</v>
      </c>
      <c r="F161" t="n">
        <v>0</v>
      </c>
      <c r="H161" t="n">
        <v>0</v>
      </c>
      <c r="I161" t="n">
        <v>0</v>
      </c>
      <c r="J161" t="n">
        <v>0</v>
      </c>
      <c r="K161" t="n">
        <v>0</v>
      </c>
      <c r="L161" t="n">
        <v>0</v>
      </c>
      <c r="M161" t="n">
        <v>0</v>
      </c>
      <c r="N161" t="n">
        <v>0</v>
      </c>
    </row>
    <row r="162">
      <c r="A162" t="inlineStr">
        <is>
          <t>Perquisites</t>
        </is>
      </c>
      <c r="B162" t="inlineStr">
        <is>
          <t>3 shilling from Adam Kay for having his pigs at the barn door.</t>
        </is>
      </c>
      <c r="C162" t="n">
        <v>0.15</v>
      </c>
      <c r="D162" t="n">
        <v>0</v>
      </c>
      <c r="E162" t="n">
        <v>3</v>
      </c>
      <c r="F162" t="n">
        <v>0</v>
      </c>
      <c r="H162" t="n">
        <v>0</v>
      </c>
      <c r="I162" t="n">
        <v>0</v>
      </c>
      <c r="J162" t="n">
        <v>0</v>
      </c>
      <c r="K162" t="n">
        <v>0</v>
      </c>
      <c r="L162" t="n">
        <v>0</v>
      </c>
      <c r="M162" t="n">
        <v>0</v>
      </c>
      <c r="N162" t="n">
        <v>0</v>
      </c>
    </row>
    <row r="163">
      <c r="A163" t="inlineStr">
        <is>
          <t>Perquisites</t>
        </is>
      </c>
      <c r="B163" t="inlineStr">
        <is>
          <t>2 shilling from John Kynho for trespass of herbage in the lord's meadow.</t>
        </is>
      </c>
      <c r="C163" t="n">
        <v>0.1</v>
      </c>
      <c r="D163" t="n">
        <v>0</v>
      </c>
      <c r="E163" t="n">
        <v>2</v>
      </c>
      <c r="F163" t="n">
        <v>0</v>
      </c>
      <c r="H163" t="n">
        <v>0</v>
      </c>
      <c r="I163" t="n">
        <v>0</v>
      </c>
      <c r="J163" t="n">
        <v>0</v>
      </c>
      <c r="K163" t="n">
        <v>0</v>
      </c>
      <c r="L163" t="n">
        <v>0</v>
      </c>
      <c r="M163" t="n">
        <v>0</v>
      </c>
      <c r="N163" t="n">
        <v>0</v>
      </c>
    </row>
    <row r="164">
      <c r="A164" t="inlineStr">
        <is>
          <t>Perquisites</t>
        </is>
      </c>
      <c r="B164" t="inlineStr">
        <is>
          <t>2 shilling from William Fynamur and his sons for transgression against Walter Sweyn.</t>
        </is>
      </c>
      <c r="C164" t="n">
        <v>0.1</v>
      </c>
      <c r="D164" t="n">
        <v>0</v>
      </c>
      <c r="E164" t="n">
        <v>2</v>
      </c>
      <c r="F164" t="n">
        <v>0</v>
      </c>
      <c r="H164" t="n">
        <v>0</v>
      </c>
      <c r="I164" t="n">
        <v>0</v>
      </c>
      <c r="J164" t="n">
        <v>0</v>
      </c>
      <c r="K164" t="n">
        <v>0</v>
      </c>
      <c r="L164" t="n">
        <v>0</v>
      </c>
      <c r="M164" t="n">
        <v>0</v>
      </c>
      <c r="N164" t="n">
        <v>0</v>
      </c>
    </row>
    <row r="165">
      <c r="A165" t="inlineStr">
        <is>
          <t>Perquisites</t>
        </is>
      </c>
      <c r="B165" t="inlineStr">
        <is>
          <t>£2 18 shilling 5pence from various men for various transgressions.</t>
        </is>
      </c>
      <c r="C165" t="n">
        <v>2.92</v>
      </c>
      <c r="D165" t="n">
        <v>2</v>
      </c>
      <c r="E165" t="n">
        <v>18</v>
      </c>
      <c r="F165" t="n">
        <v>5</v>
      </c>
      <c r="H165" t="n">
        <v>0</v>
      </c>
      <c r="I165" t="n">
        <v>0</v>
      </c>
      <c r="J165" t="n">
        <v>0</v>
      </c>
      <c r="K165" t="n">
        <v>0</v>
      </c>
      <c r="L165" t="n">
        <v>0</v>
      </c>
      <c r="M165" t="n">
        <v>0</v>
      </c>
      <c r="N165" t="n">
        <v>0</v>
      </c>
    </row>
    <row r="166">
      <c r="A166" t="inlineStr">
        <is>
          <t>Perquisites</t>
        </is>
      </c>
      <c r="B166" t="inlineStr">
        <is>
          <t>18 shilling from various men for various transgressions from the 2 courts held after the tourn of Hockday.</t>
        </is>
      </c>
      <c r="C166" t="n">
        <v>0.9</v>
      </c>
      <c r="D166" t="n">
        <v>0</v>
      </c>
      <c r="E166" t="n">
        <v>18</v>
      </c>
      <c r="F166" t="n">
        <v>0</v>
      </c>
      <c r="H166" t="n">
        <v>0</v>
      </c>
      <c r="I166" t="n">
        <v>0</v>
      </c>
      <c r="J166" t="n">
        <v>0</v>
      </c>
      <c r="K166" t="n">
        <v>0</v>
      </c>
      <c r="L166" t="n">
        <v>0</v>
      </c>
      <c r="M166" t="n">
        <v>0</v>
      </c>
      <c r="N166" t="n">
        <v>0</v>
      </c>
    </row>
    <row r="167">
      <c r="A167" t="inlineStr">
        <is>
          <t>Perquisites</t>
        </is>
      </c>
      <c r="B167" t="inlineStr">
        <is>
          <t>Total, £5 19 shilling 4pence</t>
        </is>
      </c>
      <c r="C167" t="n">
        <v>5.97</v>
      </c>
      <c r="D167" t="n">
        <v>5</v>
      </c>
      <c r="E167" t="n">
        <v>19</v>
      </c>
      <c r="F167" t="n">
        <v>4</v>
      </c>
      <c r="H167" t="n">
        <v>0</v>
      </c>
      <c r="I167" t="n">
        <v>0</v>
      </c>
      <c r="J167" t="n">
        <v>0</v>
      </c>
      <c r="K167" t="n">
        <v>0</v>
      </c>
      <c r="L167" t="n">
        <v>0</v>
      </c>
      <c r="M167" t="n">
        <v>0</v>
      </c>
      <c r="N167" t="n">
        <v>0</v>
      </c>
    </row>
    <row r="168">
      <c r="A168" t="inlineStr">
        <is>
          <t>Total of both</t>
        </is>
      </c>
      <c r="B168" t="inlineStr">
        <is>
          <t>Total of both, £29 6 shilling 4pence</t>
        </is>
      </c>
      <c r="C168" t="n">
        <v>29.32</v>
      </c>
      <c r="D168" t="n">
        <v>29</v>
      </c>
      <c r="E168" t="n">
        <v>6</v>
      </c>
      <c r="F168" t="n">
        <v>4</v>
      </c>
      <c r="H168" t="n">
        <v>0</v>
      </c>
      <c r="I168" t="n">
        <v>0</v>
      </c>
      <c r="J168" t="n">
        <v>0</v>
      </c>
      <c r="K168" t="n">
        <v>0</v>
      </c>
      <c r="L168" t="n">
        <v>0</v>
      </c>
      <c r="M168" t="n">
        <v>0</v>
      </c>
      <c r="N168" t="n">
        <v>0</v>
      </c>
    </row>
    <row r="169">
      <c r="A169" t="inlineStr">
        <is>
          <t>Total of all receipts</t>
        </is>
      </c>
      <c r="B169" t="inlineStr">
        <is>
          <t>Total of all receipts, £270 1 shilling 11.5pence</t>
        </is>
      </c>
      <c r="C169" t="n">
        <v>270.1</v>
      </c>
      <c r="D169" t="n">
        <v>270</v>
      </c>
      <c r="E169" t="n">
        <v>1</v>
      </c>
      <c r="F169" t="n">
        <v>11.5</v>
      </c>
      <c r="H169" t="n">
        <v>0</v>
      </c>
      <c r="I169" t="n">
        <v>0</v>
      </c>
      <c r="J169" t="n">
        <v>0</v>
      </c>
      <c r="K169" t="n">
        <v>0</v>
      </c>
      <c r="L169" t="n">
        <v>0</v>
      </c>
      <c r="M169" t="n">
        <v>0</v>
      </c>
      <c r="N169" t="n">
        <v>0</v>
      </c>
    </row>
    <row r="170">
      <c r="A170" t="inlineStr">
        <is>
          <t>Cost of ploughs</t>
        </is>
      </c>
      <c r="B170" t="inlineStr">
        <is>
          <t>In ironwork of 5 ox-ploughs and 3 horse-ploughs (caruc' affr') for the year and 1 horse-plough (caruc' equin') at the Lenten sowing, 14 shilling 3pence this year, on account of the excessive drought.</t>
        </is>
      </c>
      <c r="C170" t="n">
        <v>0.71</v>
      </c>
      <c r="D170" t="n">
        <v>0</v>
      </c>
      <c r="E170" t="n">
        <v>14</v>
      </c>
      <c r="F170" t="n">
        <v>3</v>
      </c>
      <c r="H170" t="n">
        <v>0</v>
      </c>
      <c r="I170" t="n">
        <v>0</v>
      </c>
      <c r="J170" t="n">
        <v>0</v>
      </c>
      <c r="K170" t="n">
        <v>0</v>
      </c>
      <c r="L170" t="n">
        <v>0</v>
      </c>
      <c r="M170" t="n">
        <v>0</v>
      </c>
      <c r="N170" t="n">
        <v>0</v>
      </c>
    </row>
    <row r="171">
      <c r="A171" t="inlineStr">
        <is>
          <t>Cost of ploughs</t>
        </is>
      </c>
      <c r="B171" t="inlineStr">
        <is>
          <t>.</t>
        </is>
      </c>
      <c r="C171" t="n">
        <v>0</v>
      </c>
      <c r="D171" t="n">
        <v>0</v>
      </c>
      <c r="E171" t="n">
        <v>0</v>
      </c>
      <c r="F171" t="n">
        <v>0</v>
      </c>
      <c r="H171" t="n">
        <v>0</v>
      </c>
      <c r="I171" t="n">
        <v>0</v>
      </c>
      <c r="J171" t="n">
        <v>0</v>
      </c>
      <c r="K171" t="n">
        <v>0</v>
      </c>
      <c r="L171" t="n">
        <v>0</v>
      </c>
      <c r="M171" t="n">
        <v>0</v>
      </c>
      <c r="N171" t="n">
        <v>0</v>
      </c>
    </row>
    <row r="172">
      <c r="A172" t="inlineStr">
        <is>
          <t>Cost of ploughs</t>
        </is>
      </c>
      <c r="B172" t="inlineStr">
        <is>
          <t>stipend of the smith forging the ironwork of the said ploughs for the year, 8 shilling by fixed agreement.</t>
        </is>
      </c>
      <c r="C172" t="n">
        <v>0.4</v>
      </c>
      <c r="D172" t="n">
        <v>0</v>
      </c>
      <c r="E172" t="n">
        <v>8</v>
      </c>
      <c r="F172" t="n">
        <v>0</v>
      </c>
      <c r="H172" t="n">
        <v>0</v>
      </c>
      <c r="I172" t="n">
        <v>0</v>
      </c>
      <c r="J172" t="n">
        <v>0</v>
      </c>
      <c r="K172" t="n">
        <v>0</v>
      </c>
      <c r="L172" t="n">
        <v>0</v>
      </c>
      <c r="M172" t="n">
        <v>0</v>
      </c>
      <c r="N172" t="n">
        <v>0</v>
      </c>
    </row>
    <row r="173">
      <c r="A173" t="inlineStr">
        <is>
          <t>Cost of ploughs</t>
        </is>
      </c>
      <c r="B173" t="inlineStr">
        <is>
          <t>.</t>
        </is>
      </c>
      <c r="C173" t="n">
        <v>0</v>
      </c>
      <c r="D173" t="n">
        <v>0</v>
      </c>
      <c r="E173" t="n">
        <v>0</v>
      </c>
      <c r="F173" t="n">
        <v>0</v>
      </c>
      <c r="H173" t="n">
        <v>0</v>
      </c>
      <c r="I173" t="n">
        <v>0</v>
      </c>
      <c r="J173" t="n">
        <v>0</v>
      </c>
      <c r="K173" t="n">
        <v>0</v>
      </c>
      <c r="L173" t="n">
        <v>0</v>
      </c>
      <c r="M173" t="n">
        <v>0</v>
      </c>
      <c r="N173" t="n">
        <v>0</v>
      </c>
    </row>
    <row r="174">
      <c r="A174" t="inlineStr">
        <is>
          <t>Cost of ploughs</t>
        </is>
      </c>
      <c r="B174" t="inlineStr">
        <is>
          <t>5 ploughshares bought 3 shilling 9pence.</t>
        </is>
      </c>
      <c r="C174" t="n">
        <v>0.19</v>
      </c>
      <c r="D174" t="n">
        <v>0</v>
      </c>
      <c r="E174" t="n">
        <v>3</v>
      </c>
      <c r="F174" t="n">
        <v>9</v>
      </c>
      <c r="H174" t="n">
        <v>0</v>
      </c>
      <c r="I174" t="n">
        <v>0</v>
      </c>
      <c r="J174" t="n">
        <v>0</v>
      </c>
      <c r="K174" t="n">
        <v>0</v>
      </c>
      <c r="L174" t="n">
        <v>0</v>
      </c>
      <c r="M174" t="n">
        <v>0</v>
      </c>
      <c r="N174" t="n">
        <v>0</v>
      </c>
    </row>
    <row r="175">
      <c r="A175" t="inlineStr">
        <is>
          <t>Cost of ploughs</t>
        </is>
      </c>
      <c r="B175" t="inlineStr">
        <is>
          <t>2 coulters mended 44..</t>
        </is>
      </c>
      <c r="C175" t="n">
        <v>0</v>
      </c>
      <c r="D175" t="n">
        <v>0</v>
      </c>
      <c r="E175" t="n">
        <v>0</v>
      </c>
      <c r="F175" t="n">
        <v>0</v>
      </c>
      <c r="H175" t="n">
        <v>0</v>
      </c>
      <c r="I175" t="n">
        <v>0</v>
      </c>
      <c r="J175" t="n">
        <v>0</v>
      </c>
      <c r="K175" t="n">
        <v>0</v>
      </c>
      <c r="L175" t="n">
        <v>0</v>
      </c>
      <c r="M175" t="n">
        <v>0</v>
      </c>
      <c r="N175" t="n">
        <v>0</v>
      </c>
    </row>
    <row r="176">
      <c r="A176" t="inlineStr">
        <is>
          <t>Cost of ploughs</t>
        </is>
      </c>
      <c r="B176" t="inlineStr">
        <is>
          <t>7 plough feet bought 2 shilling 11pence, at 5pence each.</t>
        </is>
      </c>
      <c r="C176" t="n">
        <v>0.15</v>
      </c>
      <c r="D176" t="n">
        <v>0</v>
      </c>
      <c r="E176" t="n">
        <v>2</v>
      </c>
      <c r="F176" t="n">
        <v>11</v>
      </c>
      <c r="H176" t="n">
        <v>0</v>
      </c>
      <c r="I176" t="n">
        <v>0</v>
      </c>
      <c r="J176" t="n">
        <v>0</v>
      </c>
      <c r="K176" t="n">
        <v>0</v>
      </c>
      <c r="L176" t="n">
        <v>0</v>
      </c>
      <c r="M176" t="n">
        <v>0</v>
      </c>
      <c r="N176" t="n">
        <v>0</v>
      </c>
    </row>
    <row r="177">
      <c r="A177" t="inlineStr">
        <is>
          <t>Cost of ploughs</t>
        </is>
      </c>
      <c r="B177" t="inlineStr">
        <is>
          <t>.</t>
        </is>
      </c>
      <c r="C177" t="n">
        <v>0</v>
      </c>
      <c r="D177" t="n">
        <v>0</v>
      </c>
      <c r="E177" t="n">
        <v>0</v>
      </c>
      <c r="F177" t="n">
        <v>0</v>
      </c>
      <c r="H177" t="n">
        <v>0</v>
      </c>
      <c r="I177" t="n">
        <v>0</v>
      </c>
      <c r="J177" t="n">
        <v>0</v>
      </c>
      <c r="K177" t="n">
        <v>0</v>
      </c>
      <c r="L177" t="n">
        <v>0</v>
      </c>
      <c r="M177" t="n">
        <v>0</v>
      </c>
      <c r="N177" t="n">
        <v>0</v>
      </c>
    </row>
    <row r="178">
      <c r="A178" t="inlineStr">
        <is>
          <t>Cost of ploughs</t>
        </is>
      </c>
      <c r="B178" t="inlineStr">
        <is>
          <t>a new plough and harrow made and others mended for the year, 7 shilling 4pence by fixed agreement, and so much because the worker was not at the bailiff's table.</t>
        </is>
      </c>
      <c r="C178" t="n">
        <v>0.37</v>
      </c>
      <c r="D178" t="n">
        <v>0</v>
      </c>
      <c r="E178" t="n">
        <v>7</v>
      </c>
      <c r="F178" t="n">
        <v>4</v>
      </c>
      <c r="H178" t="n">
        <v>0</v>
      </c>
      <c r="I178" t="n">
        <v>0</v>
      </c>
      <c r="J178" t="n">
        <v>0</v>
      </c>
      <c r="K178" t="n">
        <v>0</v>
      </c>
      <c r="L178" t="n">
        <v>0</v>
      </c>
      <c r="M178" t="n">
        <v>0</v>
      </c>
      <c r="N178" t="n">
        <v>0</v>
      </c>
    </row>
    <row r="179">
      <c r="A179" t="inlineStr">
        <is>
          <t>Cost of ploughs</t>
        </is>
      </c>
      <c r="B179" t="inlineStr">
        <is>
          <t>.</t>
        </is>
      </c>
      <c r="C179" t="n">
        <v>0</v>
      </c>
      <c r="D179" t="n">
        <v>0</v>
      </c>
      <c r="E179" t="n">
        <v>0</v>
      </c>
      <c r="F179" t="n">
        <v>0</v>
      </c>
      <c r="H179" t="n">
        <v>0</v>
      </c>
      <c r="I179" t="n">
        <v>0</v>
      </c>
      <c r="J179" t="n">
        <v>0</v>
      </c>
      <c r="K179" t="n">
        <v>0</v>
      </c>
      <c r="L179" t="n">
        <v>0</v>
      </c>
      <c r="M179" t="n">
        <v>0</v>
      </c>
      <c r="N179" t="n">
        <v>0</v>
      </c>
    </row>
    <row r="180">
      <c r="A180" t="inlineStr">
        <is>
          <t>Cost of ploughs</t>
        </is>
      </c>
      <c r="B180" t="inlineStr">
        <is>
          <t>fitting the ploughs with iron tyres 6pence.</t>
        </is>
      </c>
      <c r="C180" t="n">
        <v>0.03</v>
      </c>
      <c r="D180" t="n">
        <v>0</v>
      </c>
      <c r="E180" t="n">
        <v>0</v>
      </c>
      <c r="F180" t="n">
        <v>6</v>
      </c>
      <c r="H180" t="n">
        <v>0</v>
      </c>
      <c r="I180" t="n">
        <v>0</v>
      </c>
      <c r="J180" t="n">
        <v>0</v>
      </c>
      <c r="K180" t="n">
        <v>0</v>
      </c>
      <c r="L180" t="n">
        <v>0</v>
      </c>
      <c r="M180" t="n">
        <v>0</v>
      </c>
      <c r="N180" t="n">
        <v>0</v>
      </c>
    </row>
    <row r="181">
      <c r="A181" t="inlineStr">
        <is>
          <t>Cost of ploughs</t>
        </is>
      </c>
      <c r="B181" t="inlineStr">
        <is>
          <t>6 pairs of wheels bought for the ploughs 2 shilling.</t>
        </is>
      </c>
      <c r="C181" t="n">
        <v>0.1</v>
      </c>
      <c r="D181" t="n">
        <v>0</v>
      </c>
      <c r="E181" t="n">
        <v>2</v>
      </c>
      <c r="F181" t="n">
        <v>0</v>
      </c>
      <c r="H181" t="n">
        <v>0</v>
      </c>
      <c r="I181" t="n">
        <v>0</v>
      </c>
      <c r="J181" t="n">
        <v>0</v>
      </c>
      <c r="K181" t="n">
        <v>0</v>
      </c>
      <c r="L181" t="n">
        <v>0</v>
      </c>
      <c r="M181" t="n">
        <v>0</v>
      </c>
      <c r="N181" t="n">
        <v>0</v>
      </c>
    </row>
    <row r="182">
      <c r="A182" t="inlineStr">
        <is>
          <t>Cost of ploughs</t>
        </is>
      </c>
      <c r="B182" t="inlineStr">
        <is>
          <t>shoeing 18 plough-horses for the year 1 shilling 6pence.</t>
        </is>
      </c>
      <c r="C182" t="n">
        <v>0.08</v>
      </c>
      <c r="D182" t="n">
        <v>0</v>
      </c>
      <c r="E182" t="n">
        <v>1</v>
      </c>
      <c r="F182" t="n">
        <v>6</v>
      </c>
      <c r="H182" t="n">
        <v>0</v>
      </c>
      <c r="I182" t="n">
        <v>0</v>
      </c>
      <c r="J182" t="n">
        <v>0</v>
      </c>
      <c r="K182" t="n">
        <v>0</v>
      </c>
      <c r="L182" t="n">
        <v>0</v>
      </c>
      <c r="M182" t="n">
        <v>0</v>
      </c>
      <c r="N182" t="n">
        <v>0</v>
      </c>
    </row>
    <row r="183">
      <c r="A183" t="inlineStr">
        <is>
          <t>Cost of ploughs</t>
        </is>
      </c>
      <c r="B183" t="inlineStr">
        <is>
          <t>fastening the same 4pence.</t>
        </is>
      </c>
      <c r="C183" t="n">
        <v>0.02</v>
      </c>
      <c r="D183" t="n">
        <v>0</v>
      </c>
      <c r="E183" t="n">
        <v>0</v>
      </c>
      <c r="F183" t="n">
        <v>4</v>
      </c>
      <c r="H183" t="n">
        <v>0</v>
      </c>
      <c r="I183" t="n">
        <v>0</v>
      </c>
      <c r="J183" t="n">
        <v>0</v>
      </c>
      <c r="K183" t="n">
        <v>0</v>
      </c>
      <c r="L183" t="n">
        <v>0</v>
      </c>
      <c r="M183" t="n">
        <v>0</v>
      </c>
      <c r="N183" t="n">
        <v>0</v>
      </c>
    </row>
    <row r="184">
      <c r="A184" t="inlineStr">
        <is>
          <t>Cost of ploughs</t>
        </is>
      </c>
      <c r="B184" t="inlineStr">
        <is>
          <t>stipend of 1 harrower at both sowings 2 shilling 2pence.</t>
        </is>
      </c>
      <c r="C184" t="n">
        <v>0.11</v>
      </c>
      <c r="D184" t="n">
        <v>0</v>
      </c>
      <c r="E184" t="n">
        <v>2</v>
      </c>
      <c r="F184" t="n">
        <v>2</v>
      </c>
      <c r="H184" t="n">
        <v>0</v>
      </c>
      <c r="I184" t="n">
        <v>0</v>
      </c>
      <c r="J184" t="n">
        <v>0</v>
      </c>
      <c r="K184" t="n">
        <v>0</v>
      </c>
      <c r="L184" t="n">
        <v>0</v>
      </c>
      <c r="M184" t="n">
        <v>0</v>
      </c>
      <c r="N184" t="n">
        <v>0</v>
      </c>
    </row>
    <row r="185">
      <c r="A185" t="inlineStr">
        <is>
          <t>Cost of ploughs</t>
        </is>
      </c>
      <c r="B185" t="inlineStr">
        <is>
          <t>16 halters made from the horses' own hair 4pence.</t>
        </is>
      </c>
      <c r="C185" t="n">
        <v>0.02</v>
      </c>
      <c r="D185" t="n">
        <v>0</v>
      </c>
      <c r="E185" t="n">
        <v>0</v>
      </c>
      <c r="F185" t="n">
        <v>4</v>
      </c>
      <c r="H185" t="n">
        <v>0</v>
      </c>
      <c r="I185" t="n">
        <v>0</v>
      </c>
      <c r="J185" t="n">
        <v>0</v>
      </c>
      <c r="K185" t="n">
        <v>0</v>
      </c>
      <c r="L185" t="n">
        <v>0</v>
      </c>
      <c r="M185" t="n">
        <v>0</v>
      </c>
      <c r="N185" t="n">
        <v>0</v>
      </c>
    </row>
    <row r="186">
      <c r="A186" t="inlineStr">
        <is>
          <t>Cost of ploughs</t>
        </is>
      </c>
      <c r="B186" t="inlineStr">
        <is>
          <t>1 seed-basket bought 1.5pence.</t>
        </is>
      </c>
      <c r="C186" t="n">
        <v>0.01</v>
      </c>
      <c r="D186" t="n">
        <v>0</v>
      </c>
      <c r="E186" t="n">
        <v>0</v>
      </c>
      <c r="F186" t="n">
        <v>1.5</v>
      </c>
      <c r="H186" t="n">
        <v>0</v>
      </c>
      <c r="I186" t="n">
        <v>0</v>
      </c>
      <c r="J186" t="n">
        <v>0</v>
      </c>
      <c r="K186" t="n">
        <v>0</v>
      </c>
      <c r="L186" t="n">
        <v>0</v>
      </c>
      <c r="M186" t="n">
        <v>0</v>
      </c>
      <c r="N186" t="n">
        <v>0</v>
      </c>
    </row>
    <row r="187">
      <c r="A187" t="inlineStr">
        <is>
          <t>Cost of ploughs</t>
        </is>
      </c>
      <c r="B187" t="inlineStr">
        <is>
          <t>stipend of 3 drovers for the year 9 shilling.</t>
        </is>
      </c>
      <c r="C187" t="n">
        <v>0.45</v>
      </c>
      <c r="D187" t="n">
        <v>0</v>
      </c>
      <c r="E187" t="n">
        <v>9</v>
      </c>
      <c r="F187" t="n">
        <v>0</v>
      </c>
      <c r="H187" t="n">
        <v>0</v>
      </c>
      <c r="I187" t="n">
        <v>0</v>
      </c>
      <c r="J187" t="n">
        <v>0</v>
      </c>
      <c r="K187" t="n">
        <v>0</v>
      </c>
      <c r="L187" t="n">
        <v>0</v>
      </c>
      <c r="M187" t="n">
        <v>0</v>
      </c>
      <c r="N187" t="n">
        <v>0</v>
      </c>
    </row>
    <row r="188">
      <c r="A188" t="inlineStr">
        <is>
          <t>Cost of ploughs</t>
        </is>
      </c>
      <c r="B188" t="inlineStr">
        <is>
          <t>stipend of 2 drovers for the year 10 shilling.</t>
        </is>
      </c>
      <c r="C188" t="n">
        <v>0.5</v>
      </c>
      <c r="D188" t="n">
        <v>0</v>
      </c>
      <c r="E188" t="n">
        <v>10</v>
      </c>
      <c r="F188" t="n">
        <v>0</v>
      </c>
      <c r="H188" t="n">
        <v>0</v>
      </c>
      <c r="I188" t="n">
        <v>0</v>
      </c>
      <c r="J188" t="n">
        <v>0</v>
      </c>
      <c r="K188" t="n">
        <v>0</v>
      </c>
      <c r="L188" t="n">
        <v>0</v>
      </c>
      <c r="M188" t="n">
        <v>0</v>
      </c>
      <c r="N188" t="n">
        <v>0</v>
      </c>
    </row>
    <row r="189">
      <c r="A189" t="inlineStr">
        <is>
          <t>Cost of ploughs</t>
        </is>
      </c>
      <c r="B189" t="inlineStr">
        <is>
          <t>stipend of 1 hayward for the year 3 shilling.</t>
        </is>
      </c>
      <c r="C189" t="n">
        <v>0.15</v>
      </c>
      <c r="D189" t="n">
        <v>0</v>
      </c>
      <c r="E189" t="n">
        <v>3</v>
      </c>
      <c r="F189" t="n">
        <v>0</v>
      </c>
      <c r="H189" t="n">
        <v>0</v>
      </c>
      <c r="I189" t="n">
        <v>0</v>
      </c>
      <c r="J189" t="n">
        <v>0</v>
      </c>
      <c r="K189" t="n">
        <v>0</v>
      </c>
      <c r="L189" t="n">
        <v>0</v>
      </c>
      <c r="M189" t="n">
        <v>0</v>
      </c>
      <c r="N189" t="n">
        <v>0</v>
      </c>
    </row>
    <row r="190">
      <c r="A190" t="inlineStr">
        <is>
          <t>Cost of ploughs</t>
        </is>
      </c>
      <c r="B190" t="inlineStr">
        <is>
          <t>stipend of 1 cowherd for the year 3 shilling.</t>
        </is>
      </c>
      <c r="C190" t="n">
        <v>0.15</v>
      </c>
      <c r="D190" t="n">
        <v>0</v>
      </c>
      <c r="E190" t="n">
        <v>3</v>
      </c>
      <c r="F190" t="n">
        <v>0</v>
      </c>
      <c r="H190" t="n">
        <v>0</v>
      </c>
      <c r="I190" t="n">
        <v>0</v>
      </c>
      <c r="J190" t="n">
        <v>0</v>
      </c>
      <c r="K190" t="n">
        <v>0</v>
      </c>
      <c r="L190" t="n">
        <v>0</v>
      </c>
      <c r="M190" t="n">
        <v>0</v>
      </c>
      <c r="N190" t="n">
        <v>0</v>
      </c>
    </row>
    <row r="191">
      <c r="A191" t="inlineStr">
        <is>
          <t>Cost of ploughs</t>
        </is>
      </c>
      <c r="B191" t="inlineStr">
        <is>
          <t>stipend of 1 keeper of lambs and hoggs for the year 3 shilling.</t>
        </is>
      </c>
      <c r="C191" t="n">
        <v>0.15</v>
      </c>
      <c r="D191" t="n">
        <v>0</v>
      </c>
      <c r="E191" t="n">
        <v>3</v>
      </c>
      <c r="F191" t="n">
        <v>0</v>
      </c>
      <c r="H191" t="n">
        <v>0</v>
      </c>
      <c r="I191" t="n">
        <v>0</v>
      </c>
      <c r="J191" t="n">
        <v>0</v>
      </c>
      <c r="K191" t="n">
        <v>0</v>
      </c>
      <c r="L191" t="n">
        <v>0</v>
      </c>
      <c r="M191" t="n">
        <v>0</v>
      </c>
      <c r="N191" t="n">
        <v>0</v>
      </c>
    </row>
    <row r="192">
      <c r="A192" t="inlineStr">
        <is>
          <t>Cost of ploughs</t>
        </is>
      </c>
      <c r="B192" t="inlineStr">
        <is>
          <t>ploughing boon-works in winter or Lent, nothing this year, that is, they are bound to plough 26 acres for landrihf in winter and 26 acres in Lent, because the land which William le Fissar' holds is commuted as made clear above, and those who plough for landrihe in winter are bound to thresh seed for 1 acre or give 1pence for the threshing at the lord's will.</t>
        </is>
      </c>
      <c r="C192" t="n">
        <v>0</v>
      </c>
      <c r="D192" t="n">
        <v>0</v>
      </c>
      <c r="E192" t="n">
        <v>0</v>
      </c>
      <c r="F192" t="n">
        <v>1</v>
      </c>
      <c r="H192" t="n">
        <v>0</v>
      </c>
      <c r="I192" t="n">
        <v>0</v>
      </c>
      <c r="J192" t="n">
        <v>0</v>
      </c>
      <c r="K192" t="n">
        <v>0</v>
      </c>
      <c r="L192" t="n">
        <v>0</v>
      </c>
      <c r="M192" t="n">
        <v>0</v>
      </c>
      <c r="N192" t="n">
        <v>0</v>
      </c>
    </row>
    <row r="193">
      <c r="A193" t="inlineStr">
        <is>
          <t>Cost of ploughs</t>
        </is>
      </c>
      <c r="B193" t="inlineStr">
        <is>
          <t>.</t>
        </is>
      </c>
      <c r="C193" t="n">
        <v>0</v>
      </c>
      <c r="D193" t="n">
        <v>0</v>
      </c>
      <c r="E193" t="n">
        <v>0</v>
      </c>
      <c r="F193" t="n">
        <v>0</v>
      </c>
      <c r="H193" t="n">
        <v>0</v>
      </c>
      <c r="I193" t="n">
        <v>0</v>
      </c>
      <c r="J193" t="n">
        <v>0</v>
      </c>
      <c r="K193" t="n">
        <v>0</v>
      </c>
      <c r="L193" t="n">
        <v>0</v>
      </c>
      <c r="M193" t="n">
        <v>0</v>
      </c>
      <c r="N193" t="n">
        <v>0</v>
      </c>
    </row>
    <row r="194">
      <c r="A194" t="inlineStr">
        <is>
          <t>Cost of ploughs</t>
        </is>
      </c>
      <c r="B194" t="inlineStr">
        <is>
          <t>blood-letting of oxen 3pence.</t>
        </is>
      </c>
      <c r="C194" t="n">
        <v>0.01</v>
      </c>
      <c r="D194" t="n">
        <v>0</v>
      </c>
      <c r="E194" t="n">
        <v>0</v>
      </c>
      <c r="F194" t="n">
        <v>3</v>
      </c>
      <c r="H194" t="n">
        <v>0</v>
      </c>
      <c r="I194" t="n">
        <v>0</v>
      </c>
      <c r="J194" t="n">
        <v>0</v>
      </c>
      <c r="K194" t="n">
        <v>0</v>
      </c>
      <c r="L194" t="n">
        <v>0</v>
      </c>
      <c r="M194" t="n">
        <v>0</v>
      </c>
      <c r="N194" t="n">
        <v>0</v>
      </c>
    </row>
    <row r="195">
      <c r="A195" t="inlineStr">
        <is>
          <t>Cost of ploughs</t>
        </is>
      </c>
      <c r="B195" t="inlineStr">
        <is>
          <t>hiring men for the ploughs when they plough after dinner 1 shilling.</t>
        </is>
      </c>
      <c r="C195" t="n">
        <v>0.05</v>
      </c>
      <c r="D195" t="n">
        <v>0</v>
      </c>
      <c r="E195" t="n">
        <v>1</v>
      </c>
      <c r="F195" t="n">
        <v>0</v>
      </c>
      <c r="H195" t="n">
        <v>0</v>
      </c>
      <c r="I195" t="n">
        <v>0</v>
      </c>
      <c r="J195" t="n">
        <v>0</v>
      </c>
      <c r="K195" t="n">
        <v>0</v>
      </c>
      <c r="L195" t="n">
        <v>0</v>
      </c>
      <c r="M195" t="n">
        <v>0</v>
      </c>
      <c r="N195" t="n">
        <v>0</v>
      </c>
    </row>
    <row r="196">
      <c r="A196" t="inlineStr">
        <is>
          <t>Cost of ploughs</t>
        </is>
      </c>
      <c r="B196" t="inlineStr">
        <is>
          <t>11 plough-horses bought for the ploughs £5 6 shilling 1.5pence, at 9 shilling each for 3, 9 shilling 6pence each for 2, and 10 shilling each for 6, plus 1.5pence in all.</t>
        </is>
      </c>
      <c r="C196" t="n">
        <v>5.31</v>
      </c>
      <c r="D196" t="n">
        <v>5</v>
      </c>
      <c r="E196" t="n">
        <v>6</v>
      </c>
      <c r="F196" t="n">
        <v>1.5</v>
      </c>
      <c r="H196" t="n">
        <v>0</v>
      </c>
      <c r="I196" t="n">
        <v>0</v>
      </c>
      <c r="J196" t="n">
        <v>0</v>
      </c>
      <c r="K196" t="n">
        <v>0</v>
      </c>
      <c r="L196" t="n">
        <v>0</v>
      </c>
      <c r="M196" t="n">
        <v>0</v>
      </c>
      <c r="N196" t="n">
        <v>0</v>
      </c>
    </row>
    <row r="197">
      <c r="A197" t="inlineStr">
        <is>
          <t>Cost of ploughs</t>
        </is>
      </c>
      <c r="B197" t="inlineStr">
        <is>
          <t>.</t>
        </is>
      </c>
      <c r="C197" t="n">
        <v>0</v>
      </c>
      <c r="D197" t="n">
        <v>0</v>
      </c>
      <c r="E197" t="n">
        <v>0</v>
      </c>
      <c r="F197" t="n">
        <v>0</v>
      </c>
      <c r="H197" t="n">
        <v>0</v>
      </c>
      <c r="I197" t="n">
        <v>0</v>
      </c>
      <c r="J197" t="n">
        <v>0</v>
      </c>
      <c r="K197" t="n">
        <v>0</v>
      </c>
      <c r="L197" t="n">
        <v>0</v>
      </c>
      <c r="M197" t="n">
        <v>0</v>
      </c>
      <c r="N197" t="n">
        <v>0</v>
      </c>
    </row>
    <row r="198">
      <c r="A198" t="inlineStr">
        <is>
          <t>Cost of ploughs</t>
        </is>
      </c>
      <c r="B198" t="inlineStr">
        <is>
          <t>10 oxen bought for ploughs £6 7 shilling .25pence, at 12 shilling .25pence for 1, 12 shilling 6pence each for 4, and 13 shilling each for 5..</t>
        </is>
      </c>
      <c r="C198" t="n">
        <v>6.35</v>
      </c>
      <c r="D198" t="n">
        <v>6</v>
      </c>
      <c r="E198" t="n">
        <v>7</v>
      </c>
      <c r="F198" t="n">
        <v>0</v>
      </c>
      <c r="H198" t="n">
        <v>0</v>
      </c>
      <c r="I198" t="n">
        <v>0</v>
      </c>
      <c r="J198" t="n">
        <v>0</v>
      </c>
      <c r="K198" t="n">
        <v>0</v>
      </c>
      <c r="L198" t="n">
        <v>0</v>
      </c>
      <c r="M198" t="n">
        <v>0</v>
      </c>
      <c r="N198" t="n">
        <v>0</v>
      </c>
    </row>
    <row r="199">
      <c r="A199" t="inlineStr">
        <is>
          <t>Cost of ploughs</t>
        </is>
      </c>
      <c r="B199" t="inlineStr">
        <is>
          <t>2 sacks bought 1 shilling Total, £15 6 shilling 11.25pence</t>
        </is>
      </c>
      <c r="C199" t="n">
        <v>15.35</v>
      </c>
      <c r="D199" t="n">
        <v>15</v>
      </c>
      <c r="E199" t="n">
        <v>6</v>
      </c>
      <c r="F199" t="n">
        <v>11.25</v>
      </c>
      <c r="H199" t="n">
        <v>0</v>
      </c>
      <c r="I199" t="n">
        <v>0</v>
      </c>
      <c r="J199" t="n">
        <v>0</v>
      </c>
      <c r="K199" t="n">
        <v>0</v>
      </c>
      <c r="L199" t="n">
        <v>0</v>
      </c>
      <c r="M199" t="n">
        <v>0</v>
      </c>
      <c r="N199" t="n">
        <v>0</v>
      </c>
    </row>
    <row r="200">
      <c r="A200" t="inlineStr">
        <is>
          <t>Cost of carts</t>
        </is>
      </c>
      <c r="B200" t="inlineStr">
        <is>
          <t>In 1 pair of wheels made from the lord's timber 10pence.</t>
        </is>
      </c>
      <c r="C200" t="n">
        <v>0.04</v>
      </c>
      <c r="D200" t="n">
        <v>0</v>
      </c>
      <c r="E200" t="n">
        <v>0</v>
      </c>
      <c r="F200" t="n">
        <v>10</v>
      </c>
      <c r="H200" t="n">
        <v>0</v>
      </c>
      <c r="I200" t="n">
        <v>0</v>
      </c>
      <c r="J200" t="n">
        <v>0</v>
      </c>
      <c r="K200" t="n">
        <v>0</v>
      </c>
      <c r="L200" t="n">
        <v>0</v>
      </c>
      <c r="M200" t="n">
        <v>0</v>
      </c>
      <c r="N200" t="n">
        <v>0</v>
      </c>
    </row>
    <row r="201">
      <c r="A201" t="inlineStr">
        <is>
          <t>Cost of carts</t>
        </is>
      </c>
      <c r="B201" t="inlineStr">
        <is>
          <t>an old binding fitted to the said wheels, with clamps and large and small nails bought for the same, and with the stipend of the smith, 4 shilling 2.5pence.</t>
        </is>
      </c>
      <c r="C201" t="n">
        <v>0.21</v>
      </c>
      <c r="D201" t="n">
        <v>0</v>
      </c>
      <c r="E201" t="n">
        <v>4</v>
      </c>
      <c r="F201" t="n">
        <v>2.5</v>
      </c>
      <c r="H201" t="n">
        <v>0</v>
      </c>
      <c r="I201" t="n">
        <v>0</v>
      </c>
      <c r="J201" t="n">
        <v>0</v>
      </c>
      <c r="K201" t="n">
        <v>0</v>
      </c>
      <c r="L201" t="n">
        <v>0</v>
      </c>
      <c r="M201" t="n">
        <v>0</v>
      </c>
      <c r="N201" t="n">
        <v>0</v>
      </c>
    </row>
    <row r="202">
      <c r="A202" t="inlineStr">
        <is>
          <t>Cost of carts</t>
        </is>
      </c>
      <c r="B202" t="inlineStr">
        <is>
          <t>hooping the hubs of the cart with iron 2pence.</t>
        </is>
      </c>
      <c r="C202" t="n">
        <v>0.01</v>
      </c>
      <c r="D202" t="n">
        <v>0</v>
      </c>
      <c r="E202" t="n">
        <v>0</v>
      </c>
      <c r="F202" t="n">
        <v>2</v>
      </c>
      <c r="H202" t="n">
        <v>0</v>
      </c>
      <c r="I202" t="n">
        <v>0</v>
      </c>
      <c r="J202" t="n">
        <v>0</v>
      </c>
      <c r="K202" t="n">
        <v>0</v>
      </c>
      <c r="L202" t="n">
        <v>0</v>
      </c>
      <c r="M202" t="n">
        <v>0</v>
      </c>
      <c r="N202" t="n">
        <v>0</v>
      </c>
    </row>
    <row r="203">
      <c r="A203" t="inlineStr">
        <is>
          <t>Cost of carts</t>
        </is>
      </c>
      <c r="B203" t="inlineStr">
        <is>
          <t>fitting the cart with axles for the year 6pence.</t>
        </is>
      </c>
      <c r="C203" t="n">
        <v>0.03</v>
      </c>
      <c r="D203" t="n">
        <v>0</v>
      </c>
      <c r="E203" t="n">
        <v>0</v>
      </c>
      <c r="F203" t="n">
        <v>6</v>
      </c>
      <c r="H203" t="n">
        <v>0</v>
      </c>
      <c r="I203" t="n">
        <v>0</v>
      </c>
      <c r="J203" t="n">
        <v>0</v>
      </c>
      <c r="K203" t="n">
        <v>0</v>
      </c>
      <c r="L203" t="n">
        <v>0</v>
      </c>
      <c r="M203" t="n">
        <v>0</v>
      </c>
      <c r="N203" t="n">
        <v>0</v>
      </c>
    </row>
    <row r="204">
      <c r="A204" t="inlineStr">
        <is>
          <t>Cost of carts</t>
        </is>
      </c>
      <c r="B204" t="inlineStr">
        <is>
          <t>clouts, nails and grease bought for the same, 2 shilling 10pence this year, for carrying timber to the chapel.</t>
        </is>
      </c>
      <c r="C204" t="n">
        <v>0.14</v>
      </c>
      <c r="D204" t="n">
        <v>0</v>
      </c>
      <c r="E204" t="n">
        <v>2</v>
      </c>
      <c r="F204" t="n">
        <v>10</v>
      </c>
      <c r="H204" t="n">
        <v>0</v>
      </c>
      <c r="I204" t="n">
        <v>0</v>
      </c>
      <c r="J204" t="n">
        <v>0</v>
      </c>
      <c r="K204" t="n">
        <v>0</v>
      </c>
      <c r="L204" t="n">
        <v>0</v>
      </c>
      <c r="M204" t="n">
        <v>0</v>
      </c>
      <c r="N204" t="n">
        <v>0</v>
      </c>
    </row>
    <row r="205">
      <c r="A205" t="inlineStr">
        <is>
          <t>Cost of carts</t>
        </is>
      </c>
      <c r="B205" t="inlineStr">
        <is>
          <t>.</t>
        </is>
      </c>
      <c r="C205" t="n">
        <v>0</v>
      </c>
      <c r="D205" t="n">
        <v>0</v>
      </c>
      <c r="E205" t="n">
        <v>0</v>
      </c>
      <c r="F205" t="n">
        <v>0</v>
      </c>
      <c r="H205" t="n">
        <v>0</v>
      </c>
      <c r="I205" t="n">
        <v>0</v>
      </c>
      <c r="J205" t="n">
        <v>0</v>
      </c>
      <c r="K205" t="n">
        <v>0</v>
      </c>
      <c r="L205" t="n">
        <v>0</v>
      </c>
      <c r="M205" t="n">
        <v>0</v>
      </c>
      <c r="N205" t="n">
        <v>0</v>
      </c>
    </row>
    <row r="206">
      <c r="A206" t="inlineStr">
        <is>
          <t>Cost of carts</t>
        </is>
      </c>
      <c r="B206" t="inlineStr">
        <is>
          <t>white leather bought for mending harnesses 6pence.</t>
        </is>
      </c>
      <c r="C206" t="n">
        <v>0.03</v>
      </c>
      <c r="D206" t="n">
        <v>0</v>
      </c>
      <c r="E206" t="n">
        <v>0</v>
      </c>
      <c r="F206" t="n">
        <v>6</v>
      </c>
      <c r="H206" t="n">
        <v>0</v>
      </c>
      <c r="I206" t="n">
        <v>0</v>
      </c>
      <c r="J206" t="n">
        <v>0</v>
      </c>
      <c r="K206" t="n">
        <v>0</v>
      </c>
      <c r="L206" t="n">
        <v>0</v>
      </c>
      <c r="M206" t="n">
        <v>0</v>
      </c>
      <c r="N206" t="n">
        <v>0</v>
      </c>
    </row>
    <row r="207">
      <c r="A207" t="inlineStr">
        <is>
          <t>Cost of carts</t>
        </is>
      </c>
      <c r="B207" t="inlineStr">
        <is>
          <t>1 pair of traces bought 7pence.</t>
        </is>
      </c>
      <c r="C207" t="n">
        <v>0.03</v>
      </c>
      <c r="D207" t="n">
        <v>0</v>
      </c>
      <c r="E207" t="n">
        <v>0</v>
      </c>
      <c r="F207" t="n">
        <v>7</v>
      </c>
      <c r="H207" t="n">
        <v>0</v>
      </c>
      <c r="I207" t="n">
        <v>0</v>
      </c>
      <c r="J207" t="n">
        <v>0</v>
      </c>
      <c r="K207" t="n">
        <v>0</v>
      </c>
      <c r="L207" t="n">
        <v>0</v>
      </c>
      <c r="M207" t="n">
        <v>0</v>
      </c>
      <c r="N207" t="n">
        <v>0</v>
      </c>
    </row>
    <row r="208">
      <c r="A208" t="inlineStr">
        <is>
          <t>Cost of carts</t>
        </is>
      </c>
      <c r="B208" t="inlineStr">
        <is>
          <t>1 collar 6.5pence.</t>
        </is>
      </c>
      <c r="C208" t="n">
        <v>0.03</v>
      </c>
      <c r="D208" t="n">
        <v>0</v>
      </c>
      <c r="E208" t="n">
        <v>0</v>
      </c>
      <c r="F208" t="n">
        <v>6.5</v>
      </c>
      <c r="H208" t="n">
        <v>0</v>
      </c>
      <c r="I208" t="n">
        <v>0</v>
      </c>
      <c r="J208" t="n">
        <v>0</v>
      </c>
      <c r="K208" t="n">
        <v>0</v>
      </c>
      <c r="L208" t="n">
        <v>0</v>
      </c>
      <c r="M208" t="n">
        <v>0</v>
      </c>
      <c r="N208" t="n">
        <v>0</v>
      </c>
    </row>
    <row r="209">
      <c r="A209" t="inlineStr">
        <is>
          <t>Cost of carts</t>
        </is>
      </c>
      <c r="B209" t="inlineStr">
        <is>
          <t>2 halters bought 2pence.</t>
        </is>
      </c>
      <c r="C209" t="n">
        <v>0.01</v>
      </c>
      <c r="D209" t="n">
        <v>0</v>
      </c>
      <c r="E209" t="n">
        <v>0</v>
      </c>
      <c r="F209" t="n">
        <v>2</v>
      </c>
      <c r="H209" t="n">
        <v>0</v>
      </c>
      <c r="I209" t="n">
        <v>0</v>
      </c>
      <c r="J209" t="n">
        <v>0</v>
      </c>
      <c r="K209" t="n">
        <v>0</v>
      </c>
      <c r="L209" t="n">
        <v>0</v>
      </c>
      <c r="M209" t="n">
        <v>0</v>
      </c>
      <c r="N209" t="n">
        <v>0</v>
      </c>
    </row>
    <row r="210">
      <c r="A210" t="inlineStr">
        <is>
          <t>Cost of carts</t>
        </is>
      </c>
      <c r="B210" t="inlineStr">
        <is>
          <t>1 cart-body and 1 cart-rail made anew 8pence.</t>
        </is>
      </c>
      <c r="C210" t="n">
        <v>0.03</v>
      </c>
      <c r="D210" t="n">
        <v>0</v>
      </c>
      <c r="E210" t="n">
        <v>0</v>
      </c>
      <c r="F210" t="n">
        <v>8</v>
      </c>
      <c r="H210" t="n">
        <v>0</v>
      </c>
      <c r="I210" t="n">
        <v>0</v>
      </c>
      <c r="J210" t="n">
        <v>0</v>
      </c>
      <c r="K210" t="n">
        <v>0</v>
      </c>
      <c r="L210" t="n">
        <v>0</v>
      </c>
      <c r="M210" t="n">
        <v>0</v>
      </c>
      <c r="N210" t="n">
        <v>0</v>
      </c>
    </row>
    <row r="211">
      <c r="A211" t="inlineStr">
        <is>
          <t>Cost of carts</t>
        </is>
      </c>
      <c r="B211" t="inlineStr">
        <is>
          <t>mending the old cart at various times 8pence in doctoring horses 4pence.</t>
        </is>
      </c>
      <c r="C211" t="n">
        <v>0.03</v>
      </c>
      <c r="D211" t="n">
        <v>0</v>
      </c>
      <c r="E211" t="n">
        <v>0</v>
      </c>
      <c r="F211" t="n">
        <v>8</v>
      </c>
      <c r="H211" t="n">
        <v>0</v>
      </c>
      <c r="I211" t="n">
        <v>0</v>
      </c>
      <c r="J211" t="n">
        <v>0</v>
      </c>
      <c r="K211" t="n">
        <v>0</v>
      </c>
      <c r="L211" t="n">
        <v>0</v>
      </c>
      <c r="M211" t="n">
        <v>0</v>
      </c>
      <c r="N211" t="n">
        <v>0</v>
      </c>
    </row>
    <row r="212">
      <c r="A212" t="inlineStr">
        <is>
          <t>Cost of carts</t>
        </is>
      </c>
      <c r="B212" t="inlineStr">
        <is>
          <t>shoeing 2 cart-horses for the year 2 shilling.</t>
        </is>
      </c>
      <c r="C212" t="n">
        <v>0.1</v>
      </c>
      <c r="D212" t="n">
        <v>0</v>
      </c>
      <c r="E212" t="n">
        <v>2</v>
      </c>
      <c r="F212" t="n">
        <v>0</v>
      </c>
      <c r="H212" t="n">
        <v>0</v>
      </c>
      <c r="I212" t="n">
        <v>0</v>
      </c>
      <c r="J212" t="n">
        <v>0</v>
      </c>
      <c r="K212" t="n">
        <v>0</v>
      </c>
      <c r="L212" t="n">
        <v>0</v>
      </c>
      <c r="M212" t="n">
        <v>0</v>
      </c>
      <c r="N212" t="n">
        <v>0</v>
      </c>
    </row>
    <row r="213">
      <c r="A213" t="inlineStr">
        <is>
          <t>Cost of carts</t>
        </is>
      </c>
      <c r="B213" t="inlineStr">
        <is>
          <t>stipend of 1 carter for the year 3 shilling Total, 17 shilling</t>
        </is>
      </c>
      <c r="C213" t="n">
        <v>0.15</v>
      </c>
      <c r="D213" t="n">
        <v>0</v>
      </c>
      <c r="E213" t="n">
        <v>3</v>
      </c>
      <c r="F213" t="n">
        <v>0</v>
      </c>
      <c r="H213" t="n">
        <v>0</v>
      </c>
      <c r="I213" t="n">
        <v>0</v>
      </c>
      <c r="J213" t="n">
        <v>0</v>
      </c>
      <c r="K213" t="n">
        <v>0</v>
      </c>
      <c r="L213" t="n">
        <v>0</v>
      </c>
      <c r="M213" t="n">
        <v>0</v>
      </c>
      <c r="N213" t="n">
        <v>0</v>
      </c>
    </row>
    <row r="214">
      <c r="A214" t="inlineStr">
        <is>
          <t>Cost of the dairy</t>
        </is>
      </c>
      <c r="B214" t="inlineStr">
        <is>
          <t>In 1 quarters 1 bushels of salt bought for the dairy 2 shilling 3pence.</t>
        </is>
      </c>
      <c r="C214" t="n">
        <v>0.11</v>
      </c>
      <c r="D214" t="n">
        <v>0</v>
      </c>
      <c r="E214" t="n">
        <v>2</v>
      </c>
      <c r="F214" t="n">
        <v>3</v>
      </c>
      <c r="H214" t="n">
        <v>1</v>
      </c>
      <c r="I214" t="n">
        <v>1</v>
      </c>
      <c r="J214" t="n">
        <v>1.125</v>
      </c>
      <c r="K214" t="n">
        <v>1.125</v>
      </c>
      <c r="L214" t="n">
        <v>0</v>
      </c>
      <c r="M214" t="n">
        <v>1</v>
      </c>
      <c r="N214" t="n">
        <v>1</v>
      </c>
    </row>
    <row r="215">
      <c r="A215" t="inlineStr">
        <is>
          <t>Cost of the dairy</t>
        </is>
      </c>
      <c r="B215" t="inlineStr">
        <is>
          <t>5 bushels of salt bought for the pottage of the manorial servants 1 shilling 3pence.</t>
        </is>
      </c>
      <c r="C215" t="n">
        <v>0.06</v>
      </c>
      <c r="D215" t="n">
        <v>0</v>
      </c>
      <c r="E215" t="n">
        <v>1</v>
      </c>
      <c r="F215" t="n">
        <v>3</v>
      </c>
      <c r="H215" t="n">
        <v>0</v>
      </c>
      <c r="I215" t="n">
        <v>5</v>
      </c>
      <c r="J215" t="n">
        <v>0.625</v>
      </c>
      <c r="K215" t="n">
        <v>0.625</v>
      </c>
      <c r="L215" t="n">
        <v>0</v>
      </c>
      <c r="M215" t="n">
        <v>0</v>
      </c>
      <c r="N215" t="n">
        <v>5</v>
      </c>
    </row>
    <row r="216">
      <c r="A216" t="inlineStr">
        <is>
          <t>Cost of the dairy</t>
        </is>
      </c>
      <c r="B216" t="inlineStr">
        <is>
          <t>a press bought 6pence.</t>
        </is>
      </c>
      <c r="C216" t="n">
        <v>0.03</v>
      </c>
      <c r="D216" t="n">
        <v>0</v>
      </c>
      <c r="E216" t="n">
        <v>0</v>
      </c>
      <c r="F216" t="n">
        <v>6</v>
      </c>
      <c r="H216" t="n">
        <v>0</v>
      </c>
      <c r="I216" t="n">
        <v>0</v>
      </c>
      <c r="J216" t="n">
        <v>0</v>
      </c>
      <c r="K216" t="n">
        <v>0</v>
      </c>
      <c r="L216" t="n">
        <v>0</v>
      </c>
      <c r="M216" t="n">
        <v>0</v>
      </c>
      <c r="N216" t="n">
        <v>0</v>
      </c>
    </row>
    <row r="217">
      <c r="A217" t="inlineStr">
        <is>
          <t>Cost of the dairy</t>
        </is>
      </c>
      <c r="B217" t="inlineStr">
        <is>
          <t>linen and woollen cloth bought 1 shilling.</t>
        </is>
      </c>
      <c r="C217" t="n">
        <v>0.05</v>
      </c>
      <c r="D217" t="n">
        <v>0</v>
      </c>
      <c r="E217" t="n">
        <v>1</v>
      </c>
      <c r="F217" t="n">
        <v>0</v>
      </c>
      <c r="H217" t="n">
        <v>0</v>
      </c>
      <c r="I217" t="n">
        <v>0</v>
      </c>
      <c r="J217" t="n">
        <v>0</v>
      </c>
      <c r="K217" t="n">
        <v>0</v>
      </c>
      <c r="L217" t="n">
        <v>0</v>
      </c>
      <c r="M217" t="n">
        <v>0</v>
      </c>
      <c r="N217" t="n">
        <v>0</v>
      </c>
    </row>
    <row r="218">
      <c r="A218" t="inlineStr">
        <is>
          <t>Cost of the dairy</t>
        </is>
      </c>
      <c r="B218" t="inlineStr">
        <is>
          <t>mending buckets and utensils of the dairy 6pence.</t>
        </is>
      </c>
      <c r="C218" t="n">
        <v>0.03</v>
      </c>
      <c r="D218" t="n">
        <v>0</v>
      </c>
      <c r="E218" t="n">
        <v>0</v>
      </c>
      <c r="F218" t="n">
        <v>6</v>
      </c>
      <c r="H218" t="n">
        <v>0</v>
      </c>
      <c r="I218" t="n">
        <v>0</v>
      </c>
      <c r="J218" t="n">
        <v>0</v>
      </c>
      <c r="K218" t="n">
        <v>0</v>
      </c>
      <c r="L218" t="n">
        <v>0</v>
      </c>
      <c r="M218" t="n">
        <v>0</v>
      </c>
      <c r="N218" t="n">
        <v>0</v>
      </c>
    </row>
    <row r="219">
      <c r="A219" t="inlineStr">
        <is>
          <t>Cost of the dairy</t>
        </is>
      </c>
      <c r="B219" t="inlineStr">
        <is>
          <t>earthenware pots and pans bought 6pence.</t>
        </is>
      </c>
      <c r="C219" t="n">
        <v>0.03</v>
      </c>
      <c r="D219" t="n">
        <v>0</v>
      </c>
      <c r="E219" t="n">
        <v>0</v>
      </c>
      <c r="F219" t="n">
        <v>6</v>
      </c>
      <c r="H219" t="n">
        <v>0</v>
      </c>
      <c r="I219" t="n">
        <v>0</v>
      </c>
      <c r="J219" t="n">
        <v>0</v>
      </c>
      <c r="K219" t="n">
        <v>0</v>
      </c>
      <c r="L219" t="n">
        <v>0</v>
      </c>
      <c r="M219" t="n">
        <v>0</v>
      </c>
      <c r="N219" t="n">
        <v>0</v>
      </c>
    </row>
    <row r="220">
      <c r="A220" t="inlineStr">
        <is>
          <t>Cost of the dairy</t>
        </is>
      </c>
      <c r="B220" t="inlineStr">
        <is>
          <t>grease, copperas and vinegar bought for greasing sheep 18 shilling 6pence.</t>
        </is>
      </c>
      <c r="C220" t="n">
        <v>0.93</v>
      </c>
      <c r="D220" t="n">
        <v>0</v>
      </c>
      <c r="E220" t="n">
        <v>18</v>
      </c>
      <c r="F220" t="n">
        <v>6</v>
      </c>
      <c r="H220" t="n">
        <v>0</v>
      </c>
      <c r="I220" t="n">
        <v>0</v>
      </c>
      <c r="J220" t="n">
        <v>0</v>
      </c>
      <c r="K220" t="n">
        <v>0</v>
      </c>
      <c r="L220" t="n">
        <v>0</v>
      </c>
      <c r="M220" t="n">
        <v>0</v>
      </c>
      <c r="N220" t="n">
        <v>0</v>
      </c>
    </row>
    <row r="221">
      <c r="A221" t="inlineStr">
        <is>
          <t>Cost of the dairy</t>
        </is>
      </c>
      <c r="B221" t="inlineStr">
        <is>
          <t>28 ells of canvas bought for packing wool 7 shilling, at 3pence an ell.</t>
        </is>
      </c>
      <c r="C221" t="n">
        <v>0.36</v>
      </c>
      <c r="D221" t="n">
        <v>0</v>
      </c>
      <c r="E221" t="n">
        <v>7</v>
      </c>
      <c r="F221" t="n">
        <v>3</v>
      </c>
      <c r="H221" t="n">
        <v>0</v>
      </c>
      <c r="I221" t="n">
        <v>0</v>
      </c>
      <c r="J221" t="n">
        <v>0</v>
      </c>
      <c r="K221" t="n">
        <v>0</v>
      </c>
      <c r="L221" t="n">
        <v>0</v>
      </c>
      <c r="M221" t="n">
        <v>0</v>
      </c>
      <c r="N221" t="n">
        <v>0</v>
      </c>
    </row>
    <row r="222">
      <c r="A222" t="inlineStr">
        <is>
          <t>Cost of the dairy</t>
        </is>
      </c>
      <c r="B222" t="inlineStr">
        <is>
          <t>.</t>
        </is>
      </c>
      <c r="C222" t="n">
        <v>0</v>
      </c>
      <c r="D222" t="n">
        <v>0</v>
      </c>
      <c r="E222" t="n">
        <v>0</v>
      </c>
      <c r="F222" t="n">
        <v>0</v>
      </c>
      <c r="H222" t="n">
        <v>0</v>
      </c>
      <c r="I222" t="n">
        <v>0</v>
      </c>
      <c r="J222" t="n">
        <v>0</v>
      </c>
      <c r="K222" t="n">
        <v>0</v>
      </c>
      <c r="L222" t="n">
        <v>0</v>
      </c>
      <c r="M222" t="n">
        <v>0</v>
      </c>
      <c r="N222" t="n">
        <v>0</v>
      </c>
    </row>
    <row r="223">
      <c r="A223" t="inlineStr">
        <is>
          <t>Cost of the dairy</t>
        </is>
      </c>
      <c r="B223" t="inlineStr">
        <is>
          <t>packing the wool and making sacks with thread bought for the same 1 shilling 2pence.</t>
        </is>
      </c>
      <c r="C223" t="n">
        <v>0.06</v>
      </c>
      <c r="D223" t="n">
        <v>0</v>
      </c>
      <c r="E223" t="n">
        <v>1</v>
      </c>
      <c r="F223" t="n">
        <v>2</v>
      </c>
      <c r="H223" t="n">
        <v>0</v>
      </c>
      <c r="I223" t="n">
        <v>0</v>
      </c>
      <c r="J223" t="n">
        <v>0</v>
      </c>
      <c r="K223" t="n">
        <v>0</v>
      </c>
      <c r="L223" t="n">
        <v>0</v>
      </c>
      <c r="M223" t="n">
        <v>0</v>
      </c>
      <c r="N223" t="n">
        <v>0</v>
      </c>
    </row>
    <row r="224">
      <c r="A224" t="inlineStr">
        <is>
          <t>Cost of the dairy</t>
        </is>
      </c>
      <c r="B224" t="inlineStr">
        <is>
          <t>60 hurdles made for the fold 2 shilling, at 2pence per 5 hurdles.</t>
        </is>
      </c>
      <c r="C224" t="n">
        <v>0.11</v>
      </c>
      <c r="D224" t="n">
        <v>0</v>
      </c>
      <c r="E224" t="n">
        <v>2</v>
      </c>
      <c r="F224" t="n">
        <v>2</v>
      </c>
      <c r="H224" t="n">
        <v>0</v>
      </c>
      <c r="I224" t="n">
        <v>0</v>
      </c>
      <c r="J224" t="n">
        <v>0</v>
      </c>
      <c r="K224" t="n">
        <v>0</v>
      </c>
      <c r="L224" t="n">
        <v>0</v>
      </c>
      <c r="M224" t="n">
        <v>0</v>
      </c>
      <c r="N224" t="n">
        <v>0</v>
      </c>
    </row>
    <row r="225">
      <c r="A225" t="inlineStr">
        <is>
          <t>Cost of the dairy</t>
        </is>
      </c>
      <c r="B225" t="inlineStr">
        <is>
          <t>.</t>
        </is>
      </c>
      <c r="C225" t="n">
        <v>0</v>
      </c>
      <c r="D225" t="n">
        <v>0</v>
      </c>
      <c r="E225" t="n">
        <v>0</v>
      </c>
      <c r="F225" t="n">
        <v>0</v>
      </c>
      <c r="H225" t="n">
        <v>0</v>
      </c>
      <c r="I225" t="n">
        <v>0</v>
      </c>
      <c r="J225" t="n">
        <v>0</v>
      </c>
      <c r="K225" t="n">
        <v>0</v>
      </c>
      <c r="L225" t="n">
        <v>0</v>
      </c>
      <c r="M225" t="n">
        <v>0</v>
      </c>
      <c r="N225" t="n">
        <v>0</v>
      </c>
    </row>
    <row r="226">
      <c r="A226" t="inlineStr">
        <is>
          <t>Cost of the dairy</t>
        </is>
      </c>
      <c r="B226" t="inlineStr">
        <is>
          <t>wattling 80 hurdles 2 shilling 8pence, at 2pence per 5 hurdles.</t>
        </is>
      </c>
      <c r="C226" t="n">
        <v>0.13</v>
      </c>
      <c r="D226" t="n">
        <v>0</v>
      </c>
      <c r="E226" t="n">
        <v>2</v>
      </c>
      <c r="F226" t="n">
        <v>8</v>
      </c>
      <c r="H226" t="n">
        <v>0</v>
      </c>
      <c r="I226" t="n">
        <v>0</v>
      </c>
      <c r="J226" t="n">
        <v>0</v>
      </c>
      <c r="K226" t="n">
        <v>0</v>
      </c>
      <c r="L226" t="n">
        <v>0</v>
      </c>
      <c r="M226" t="n">
        <v>0</v>
      </c>
      <c r="N226" t="n">
        <v>0</v>
      </c>
    </row>
    <row r="227">
      <c r="A227" t="inlineStr">
        <is>
          <t>Cost of the dairy</t>
        </is>
      </c>
      <c r="B227" t="inlineStr">
        <is>
          <t>.</t>
        </is>
      </c>
      <c r="C227" t="n">
        <v>0</v>
      </c>
      <c r="D227" t="n">
        <v>0</v>
      </c>
      <c r="E227" t="n">
        <v>0</v>
      </c>
      <c r="F227" t="n">
        <v>0</v>
      </c>
      <c r="H227" t="n">
        <v>0</v>
      </c>
      <c r="I227" t="n">
        <v>0</v>
      </c>
      <c r="J227" t="n">
        <v>0</v>
      </c>
      <c r="K227" t="n">
        <v>0</v>
      </c>
      <c r="L227" t="n">
        <v>0</v>
      </c>
      <c r="M227" t="n">
        <v>0</v>
      </c>
      <c r="N227" t="n">
        <v>0</v>
      </c>
    </row>
    <row r="228">
      <c r="A228" t="inlineStr">
        <is>
          <t>Cost of the dairy</t>
        </is>
      </c>
      <c r="B228" t="inlineStr">
        <is>
          <t>30 hurdles made for pens 10pence, at 1pence per 3 hurdles.</t>
        </is>
      </c>
      <c r="C228" t="n">
        <v>0.04</v>
      </c>
      <c r="D228" t="n">
        <v>0</v>
      </c>
      <c r="E228" t="n">
        <v>0</v>
      </c>
      <c r="F228" t="n">
        <v>10</v>
      </c>
      <c r="H228" t="n">
        <v>0</v>
      </c>
      <c r="I228" t="n">
        <v>0</v>
      </c>
      <c r="J228" t="n">
        <v>0</v>
      </c>
      <c r="K228" t="n">
        <v>0</v>
      </c>
      <c r="L228" t="n">
        <v>0</v>
      </c>
      <c r="M228" t="n">
        <v>0</v>
      </c>
      <c r="N228" t="n">
        <v>0</v>
      </c>
    </row>
    <row r="229">
      <c r="A229" t="inlineStr">
        <is>
          <t>Cost of the dairy</t>
        </is>
      </c>
      <c r="B229" t="inlineStr">
        <is>
          <t>.</t>
        </is>
      </c>
      <c r="C229" t="n">
        <v>0</v>
      </c>
      <c r="D229" t="n">
        <v>0</v>
      </c>
      <c r="E229" t="n">
        <v>0</v>
      </c>
      <c r="F229" t="n">
        <v>0</v>
      </c>
      <c r="H229" t="n">
        <v>0</v>
      </c>
      <c r="I229" t="n">
        <v>0</v>
      </c>
      <c r="J229" t="n">
        <v>0</v>
      </c>
      <c r="K229" t="n">
        <v>0</v>
      </c>
      <c r="L229" t="n">
        <v>0</v>
      </c>
      <c r="M229" t="n">
        <v>0</v>
      </c>
      <c r="N229" t="n">
        <v>0</v>
      </c>
    </row>
    <row r="230">
      <c r="A230" t="inlineStr">
        <is>
          <t>Cost of the dairy</t>
        </is>
      </c>
      <c r="B230" t="inlineStr">
        <is>
          <t>mending the walls of the sheepcote of Holecumbe, putting in sills, and enclosing, 1 shilling 6pence.</t>
        </is>
      </c>
      <c r="C230" t="n">
        <v>0.08</v>
      </c>
      <c r="D230" t="n">
        <v>0</v>
      </c>
      <c r="E230" t="n">
        <v>1</v>
      </c>
      <c r="F230" t="n">
        <v>6</v>
      </c>
      <c r="H230" t="n">
        <v>0</v>
      </c>
      <c r="I230" t="n">
        <v>0</v>
      </c>
      <c r="J230" t="n">
        <v>0</v>
      </c>
      <c r="K230" t="n">
        <v>0</v>
      </c>
      <c r="L230" t="n">
        <v>0</v>
      </c>
      <c r="M230" t="n">
        <v>0</v>
      </c>
      <c r="N230" t="n">
        <v>0</v>
      </c>
    </row>
    <row r="231">
      <c r="A231" t="inlineStr">
        <is>
          <t>Cost of the dairy</t>
        </is>
      </c>
      <c r="B231" t="inlineStr">
        <is>
          <t>cratches made for the hoggs 8pence.</t>
        </is>
      </c>
      <c r="C231" t="n">
        <v>0.03</v>
      </c>
      <c r="D231" t="n">
        <v>0</v>
      </c>
      <c r="E231" t="n">
        <v>0</v>
      </c>
      <c r="F231" t="n">
        <v>8</v>
      </c>
      <c r="H231" t="n">
        <v>0</v>
      </c>
      <c r="I231" t="n">
        <v>0</v>
      </c>
      <c r="J231" t="n">
        <v>0</v>
      </c>
      <c r="K231" t="n">
        <v>0</v>
      </c>
      <c r="L231" t="n">
        <v>0</v>
      </c>
      <c r="M231" t="n">
        <v>0</v>
      </c>
      <c r="N231" t="n">
        <v>0</v>
      </c>
    </row>
    <row r="232">
      <c r="A232" t="inlineStr">
        <is>
          <t>Cost of the dairy</t>
        </is>
      </c>
      <c r="B232" t="inlineStr">
        <is>
          <t>roofing and mending the said sheepcote in places 8pence.</t>
        </is>
      </c>
      <c r="C232" t="n">
        <v>0.03</v>
      </c>
      <c r="D232" t="n">
        <v>0</v>
      </c>
      <c r="E232" t="n">
        <v>0</v>
      </c>
      <c r="F232" t="n">
        <v>8</v>
      </c>
      <c r="H232" t="n">
        <v>0</v>
      </c>
      <c r="I232" t="n">
        <v>0</v>
      </c>
      <c r="J232" t="n">
        <v>0</v>
      </c>
      <c r="K232" t="n">
        <v>0</v>
      </c>
      <c r="L232" t="n">
        <v>0</v>
      </c>
      <c r="M232" t="n">
        <v>0</v>
      </c>
      <c r="N232" t="n">
        <v>0</v>
      </c>
    </row>
    <row r="233">
      <c r="A233" t="inlineStr">
        <is>
          <t>Cost of the dairy</t>
        </is>
      </c>
      <c r="B233" t="inlineStr">
        <is>
          <t>castrating and spaying pigs 4pence Total, £2 1 shilling 4pence</t>
        </is>
      </c>
      <c r="C233" t="n">
        <v>2.07</v>
      </c>
      <c r="D233" t="n">
        <v>2</v>
      </c>
      <c r="E233" t="n">
        <v>1</v>
      </c>
      <c r="F233" t="n">
        <v>4</v>
      </c>
      <c r="H233" t="n">
        <v>0</v>
      </c>
      <c r="I233" t="n">
        <v>0</v>
      </c>
      <c r="J233" t="n">
        <v>0</v>
      </c>
      <c r="K233" t="n">
        <v>0</v>
      </c>
      <c r="L233" t="n">
        <v>0</v>
      </c>
      <c r="M233" t="n">
        <v>0</v>
      </c>
      <c r="N233" t="n">
        <v>0</v>
      </c>
    </row>
    <row r="234">
      <c r="A234" t="inlineStr">
        <is>
          <t>Cost of buildings</t>
        </is>
      </c>
      <c r="B234" t="inlineStr">
        <is>
          <t>In roofing and mending the barn beside the pinfold and other buildings 3 shilling 10pence.</t>
        </is>
      </c>
      <c r="C234" t="n">
        <v>0.19</v>
      </c>
      <c r="D234" t="n">
        <v>0</v>
      </c>
      <c r="E234" t="n">
        <v>3</v>
      </c>
      <c r="F234" t="n">
        <v>10</v>
      </c>
      <c r="H234" t="n">
        <v>0</v>
      </c>
      <c r="I234" t="n">
        <v>0</v>
      </c>
      <c r="J234" t="n">
        <v>0</v>
      </c>
      <c r="K234" t="n">
        <v>0</v>
      </c>
      <c r="L234" t="n">
        <v>0</v>
      </c>
      <c r="M234" t="n">
        <v>0</v>
      </c>
      <c r="N234" t="n">
        <v>0</v>
      </c>
    </row>
    <row r="235">
      <c r="A235" t="inlineStr">
        <is>
          <t>Cost of buildings</t>
        </is>
      </c>
      <c r="B235" t="inlineStr">
        <is>
          <t>rebuilding the walls of the plough-horses' shed which collapsed and making and mending the great fodder-rack with nails bought for the same 2 shilling 9pence.</t>
        </is>
      </c>
      <c r="C235" t="n">
        <v>0.14</v>
      </c>
      <c r="D235" t="n">
        <v>0</v>
      </c>
      <c r="E235" t="n">
        <v>2</v>
      </c>
      <c r="F235" t="n">
        <v>9</v>
      </c>
      <c r="H235" t="n">
        <v>0</v>
      </c>
      <c r="I235" t="n">
        <v>0</v>
      </c>
      <c r="J235" t="n">
        <v>0</v>
      </c>
      <c r="K235" t="n">
        <v>0</v>
      </c>
      <c r="L235" t="n">
        <v>0</v>
      </c>
      <c r="M235" t="n">
        <v>0</v>
      </c>
      <c r="N235" t="n">
        <v>0</v>
      </c>
    </row>
    <row r="236">
      <c r="A236" t="inlineStr">
        <is>
          <t>Cost of buildings</t>
        </is>
      </c>
      <c r="B236" t="inlineStr">
        <is>
          <t>mending the gate of the byre with nails bought 4pence.</t>
        </is>
      </c>
      <c r="C236" t="n">
        <v>0.02</v>
      </c>
      <c r="D236" t="n">
        <v>0</v>
      </c>
      <c r="E236" t="n">
        <v>0</v>
      </c>
      <c r="F236" t="n">
        <v>4</v>
      </c>
      <c r="H236" t="n">
        <v>0</v>
      </c>
      <c r="I236" t="n">
        <v>0</v>
      </c>
      <c r="J236" t="n">
        <v>0</v>
      </c>
      <c r="K236" t="n">
        <v>0</v>
      </c>
      <c r="L236" t="n">
        <v>0</v>
      </c>
      <c r="M236" t="n">
        <v>0</v>
      </c>
      <c r="N236" t="n">
        <v>0</v>
      </c>
    </row>
    <row r="237">
      <c r="A237" t="inlineStr">
        <is>
          <t>Cost of buildings</t>
        </is>
      </c>
      <c r="B237" t="inlineStr">
        <is>
          <t>building and mending the walls of the barley-barn which collapsed 1 shilling 7.5pence.</t>
        </is>
      </c>
      <c r="C237" t="n">
        <v>0.08</v>
      </c>
      <c r="D237" t="n">
        <v>0</v>
      </c>
      <c r="E237" t="n">
        <v>1</v>
      </c>
      <c r="F237" t="n">
        <v>7.5</v>
      </c>
      <c r="G237" t="inlineStr">
        <is>
          <t>barley</t>
        </is>
      </c>
      <c r="H237" t="n">
        <v>0</v>
      </c>
      <c r="I237" t="n">
        <v>0</v>
      </c>
      <c r="J237" t="n">
        <v>0</v>
      </c>
      <c r="K237" t="n">
        <v>0</v>
      </c>
      <c r="L237" t="n">
        <v>0</v>
      </c>
      <c r="M237" t="n">
        <v>0</v>
      </c>
      <c r="N237" t="n">
        <v>0</v>
      </c>
    </row>
    <row r="238">
      <c r="A238" t="inlineStr">
        <is>
          <t>Cost of buildings</t>
        </is>
      </c>
      <c r="B238" t="inlineStr">
        <is>
          <t>mending and fitting with iron 3 shovels and 1 spade 6pence.</t>
        </is>
      </c>
      <c r="C238" t="n">
        <v>0.03</v>
      </c>
      <c r="D238" t="n">
        <v>0</v>
      </c>
      <c r="E238" t="n">
        <v>0</v>
      </c>
      <c r="F238" t="n">
        <v>6</v>
      </c>
      <c r="H238" t="n">
        <v>0</v>
      </c>
      <c r="I238" t="n">
        <v>0</v>
      </c>
      <c r="J238" t="n">
        <v>0</v>
      </c>
      <c r="K238" t="n">
        <v>0</v>
      </c>
      <c r="L238" t="n">
        <v>0</v>
      </c>
      <c r="M238" t="n">
        <v>0</v>
      </c>
      <c r="N238" t="n">
        <v>0</v>
      </c>
    </row>
    <row r="239">
      <c r="A239" t="inlineStr">
        <is>
          <t>Cost of buildings</t>
        </is>
      </c>
      <c r="B239" t="inlineStr">
        <is>
          <t>enclosing 34 perches on this side of the pinfold and elsewhere in the curia with hedges 2 shilling 1.5pence, at 0.75pence a perch.</t>
        </is>
      </c>
      <c r="C239" t="n">
        <v>0.11</v>
      </c>
      <c r="D239" t="n">
        <v>0</v>
      </c>
      <c r="E239" t="n">
        <v>2</v>
      </c>
      <c r="F239" t="n">
        <v>1.5</v>
      </c>
      <c r="H239" t="n">
        <v>0</v>
      </c>
      <c r="I239" t="n">
        <v>0</v>
      </c>
      <c r="J239" t="n">
        <v>0</v>
      </c>
      <c r="K239" t="n">
        <v>0</v>
      </c>
      <c r="L239" t="n">
        <v>0</v>
      </c>
      <c r="M239" t="n">
        <v>0</v>
      </c>
      <c r="N239" t="n">
        <v>0</v>
      </c>
    </row>
    <row r="240">
      <c r="A240" t="inlineStr">
        <is>
          <t>Cost of buildings</t>
        </is>
      </c>
      <c r="B240" t="inlineStr">
        <is>
          <t>.</t>
        </is>
      </c>
      <c r="C240" t="n">
        <v>0</v>
      </c>
      <c r="D240" t="n">
        <v>0</v>
      </c>
      <c r="E240" t="n">
        <v>0</v>
      </c>
      <c r="F240" t="n">
        <v>0</v>
      </c>
      <c r="H240" t="n">
        <v>0</v>
      </c>
      <c r="I240" t="n">
        <v>0</v>
      </c>
      <c r="J240" t="n">
        <v>0</v>
      </c>
      <c r="K240" t="n">
        <v>0</v>
      </c>
      <c r="L240" t="n">
        <v>0</v>
      </c>
      <c r="M240" t="n">
        <v>0</v>
      </c>
      <c r="N240" t="n">
        <v>0</v>
      </c>
    </row>
    <row r="241">
      <c r="A241" t="inlineStr">
        <is>
          <t>Cost of buildings</t>
        </is>
      </c>
      <c r="B241" t="inlineStr">
        <is>
          <t>hooping and mending 2 cider-casks and making and hooping 2 tubs 6pence.</t>
        </is>
      </c>
      <c r="C241" t="n">
        <v>0.03</v>
      </c>
      <c r="D241" t="n">
        <v>0</v>
      </c>
      <c r="E241" t="n">
        <v>0</v>
      </c>
      <c r="F241" t="n">
        <v>6</v>
      </c>
      <c r="H241" t="n">
        <v>0</v>
      </c>
      <c r="I241" t="n">
        <v>0</v>
      </c>
      <c r="J241" t="n">
        <v>0</v>
      </c>
      <c r="K241" t="n">
        <v>0</v>
      </c>
      <c r="L241" t="n">
        <v>0</v>
      </c>
      <c r="M241" t="n">
        <v>0</v>
      </c>
      <c r="N241" t="n">
        <v>0</v>
      </c>
    </row>
    <row r="242">
      <c r="A242" t="inlineStr">
        <is>
          <t>Cost of buildings</t>
        </is>
      </c>
      <c r="B242" t="inlineStr">
        <is>
          <t>making 2 casks of cider 8pence Total, 12 shilling 4pence</t>
        </is>
      </c>
      <c r="C242" t="n">
        <v>0.63</v>
      </c>
      <c r="D242" t="n">
        <v>0</v>
      </c>
      <c r="E242" t="n">
        <v>12</v>
      </c>
      <c r="F242" t="n">
        <v>8</v>
      </c>
      <c r="H242" t="n">
        <v>0</v>
      </c>
      <c r="I242" t="n">
        <v>0</v>
      </c>
      <c r="J242" t="n">
        <v>0</v>
      </c>
      <c r="K242" t="n">
        <v>0</v>
      </c>
      <c r="L242" t="n">
        <v>0</v>
      </c>
      <c r="M242" t="n">
        <v>0</v>
      </c>
      <c r="N242" t="n">
        <v>0</v>
      </c>
    </row>
    <row r="243">
      <c r="A243" t="inlineStr">
        <is>
          <t>Cost of the park</t>
        </is>
      </c>
      <c r="B243" t="inlineStr">
        <is>
          <t>In enclosing 4 furlongs 8 perches around the park with hedges 10 shilling 8pence.</t>
        </is>
      </c>
      <c r="C243" t="n">
        <v>0.53</v>
      </c>
      <c r="D243" t="n">
        <v>0</v>
      </c>
      <c r="E243" t="n">
        <v>10</v>
      </c>
      <c r="F243" t="n">
        <v>8</v>
      </c>
      <c r="H243" t="n">
        <v>0</v>
      </c>
      <c r="I243" t="n">
        <v>0</v>
      </c>
      <c r="J243" t="n">
        <v>0</v>
      </c>
      <c r="K243" t="n">
        <v>0</v>
      </c>
      <c r="L243" t="n">
        <v>0</v>
      </c>
      <c r="M243" t="n">
        <v>0</v>
      </c>
      <c r="N243" t="n">
        <v>0</v>
      </c>
    </row>
    <row r="244">
      <c r="A244" t="inlineStr">
        <is>
          <t>Cost of the park</t>
        </is>
      </c>
      <c r="B244" t="inlineStr">
        <is>
          <t>making and mending the palisade of the park 5 shilling Total, 15 shilling 8pence</t>
        </is>
      </c>
      <c r="C244" t="n">
        <v>0.28</v>
      </c>
      <c r="D244" t="n">
        <v>0</v>
      </c>
      <c r="E244" t="n">
        <v>5</v>
      </c>
      <c r="F244" t="n">
        <v>8</v>
      </c>
      <c r="H244" t="n">
        <v>0</v>
      </c>
      <c r="I244" t="n">
        <v>0</v>
      </c>
      <c r="J244" t="n">
        <v>0</v>
      </c>
      <c r="K244" t="n">
        <v>0</v>
      </c>
      <c r="L244" t="n">
        <v>0</v>
      </c>
      <c r="M244" t="n">
        <v>0</v>
      </c>
      <c r="N244" t="n">
        <v>0</v>
      </c>
    </row>
    <row r="245">
      <c r="A245" t="inlineStr">
        <is>
          <t xml:space="preserve">Cost of the mill </t>
        </is>
      </c>
      <c r="B245" t="inlineStr">
        <is>
          <t>Nothing this year.</t>
        </is>
      </c>
      <c r="C245" t="n">
        <v>0</v>
      </c>
      <c r="D245" t="n">
        <v>0</v>
      </c>
      <c r="E245" t="n">
        <v>0</v>
      </c>
      <c r="F245" t="n">
        <v>0</v>
      </c>
      <c r="H245" t="n">
        <v>0</v>
      </c>
      <c r="I245" t="n">
        <v>0</v>
      </c>
      <c r="J245" t="n">
        <v>0</v>
      </c>
      <c r="K245" t="n">
        <v>0</v>
      </c>
      <c r="L245" t="n">
        <v>0</v>
      </c>
      <c r="M245" t="n">
        <v>0</v>
      </c>
      <c r="N245" t="n">
        <v>0</v>
      </c>
    </row>
    <row r="246">
      <c r="A246" t="inlineStr">
        <is>
          <t>Threshing</t>
        </is>
      </c>
      <c r="B246" t="inlineStr">
        <is>
          <t>In threshing and winnowing 354 quarters 7 bushels of wheat and curall by piece-work £219 shilling 1.25pence, at 2pence a struck quarter.</t>
        </is>
      </c>
      <c r="C246" t="n">
        <v>219</v>
      </c>
      <c r="D246" t="n">
        <v>219</v>
      </c>
      <c r="E246" t="n">
        <v>0</v>
      </c>
      <c r="F246" t="n">
        <v>0</v>
      </c>
      <c r="G246" t="inlineStr">
        <is>
          <t>curall, wheat</t>
        </is>
      </c>
      <c r="H246" t="n">
        <v>354</v>
      </c>
      <c r="I246" t="n">
        <v>7</v>
      </c>
      <c r="J246" t="n">
        <v>354.875</v>
      </c>
      <c r="K246" t="n">
        <v>354.875</v>
      </c>
      <c r="L246" t="n">
        <v>0</v>
      </c>
      <c r="M246" t="n">
        <v>354</v>
      </c>
      <c r="N246" t="n">
        <v>7</v>
      </c>
    </row>
    <row r="247">
      <c r="A247" t="inlineStr">
        <is>
          <t>Threshing</t>
        </is>
      </c>
      <c r="B247" t="inlineStr">
        <is>
          <t>.</t>
        </is>
      </c>
      <c r="C247" t="n">
        <v>0</v>
      </c>
      <c r="D247" t="n">
        <v>0</v>
      </c>
      <c r="E247" t="n">
        <v>0</v>
      </c>
      <c r="F247" t="n">
        <v>0</v>
      </c>
      <c r="H247" t="n">
        <v>0</v>
      </c>
      <c r="I247" t="n">
        <v>0</v>
      </c>
      <c r="J247" t="n">
        <v>0</v>
      </c>
      <c r="K247" t="n">
        <v>0</v>
      </c>
      <c r="L247" t="n">
        <v>0</v>
      </c>
      <c r="M247" t="n">
        <v>0</v>
      </c>
      <c r="N247" t="n">
        <v>0</v>
      </c>
    </row>
    <row r="248">
      <c r="A248" t="inlineStr">
        <is>
          <t>Threshing</t>
        </is>
      </c>
      <c r="B248" t="inlineStr">
        <is>
          <t>threshing and winnowing 101 quarters 1 bushels of barley by piece-work 10 shilling 1.5pence, at 1.5pence per 10 struck bushe1 shilling.</t>
        </is>
      </c>
      <c r="C248" t="n">
        <v>0.51</v>
      </c>
      <c r="D248" t="n">
        <v>0</v>
      </c>
      <c r="E248" t="n">
        <v>10</v>
      </c>
      <c r="F248" t="n">
        <v>1.5</v>
      </c>
      <c r="G248" t="inlineStr">
        <is>
          <t>barley</t>
        </is>
      </c>
      <c r="H248" t="n">
        <v>101</v>
      </c>
      <c r="I248" t="n">
        <v>1</v>
      </c>
      <c r="J248" t="n">
        <v>101.125</v>
      </c>
      <c r="K248" t="n">
        <v>101.125</v>
      </c>
      <c r="L248" t="n">
        <v>0</v>
      </c>
      <c r="M248" t="n">
        <v>101</v>
      </c>
      <c r="N248" t="n">
        <v>1</v>
      </c>
    </row>
    <row r="249">
      <c r="A249" t="inlineStr">
        <is>
          <t>Threshing</t>
        </is>
      </c>
      <c r="B249" t="inlineStr">
        <is>
          <t>threshing and winnowing 572 quarters 7 bushels of oats by piece-work £1 18 shilling 2.25pence, at 1pence per 10 struck bushe1 shilling Total, £57 shilling 5.5pence</t>
        </is>
      </c>
      <c r="C249" t="n">
        <v>1.91</v>
      </c>
      <c r="D249" t="n">
        <v>1</v>
      </c>
      <c r="E249" t="n">
        <v>18</v>
      </c>
      <c r="F249" t="n">
        <v>2.25</v>
      </c>
      <c r="G249" t="inlineStr">
        <is>
          <t>oats</t>
        </is>
      </c>
      <c r="H249" t="n">
        <v>572</v>
      </c>
      <c r="I249" t="n">
        <v>7</v>
      </c>
      <c r="J249" t="n">
        <v>572.875</v>
      </c>
      <c r="K249" t="n">
        <v>572.875</v>
      </c>
      <c r="L249" t="n">
        <v>0</v>
      </c>
      <c r="M249" t="n">
        <v>572</v>
      </c>
      <c r="N249" t="n">
        <v>7</v>
      </c>
    </row>
    <row r="250">
      <c r="A250" t="inlineStr">
        <is>
          <t>Harvest-time</t>
        </is>
      </c>
      <c r="B250" t="inlineStr">
        <is>
          <t>In all costs for the great boon-work with 17 other boon-works of 1,807 men who reaped and bound all the corn, together with 1 boon-work of 160 men without food, £612 shilling  4.25pence, and each had .25pence of bread and 2 herrings or 1 cheese worth 'Apence, and for the great boon-work they had bread, meat and ale.</t>
        </is>
      </c>
      <c r="C250" t="n">
        <v>612</v>
      </c>
      <c r="D250" t="n">
        <v>612</v>
      </c>
      <c r="E250" t="n">
        <v>0</v>
      </c>
      <c r="F250" t="n">
        <v>0</v>
      </c>
      <c r="H250" t="n">
        <v>0</v>
      </c>
      <c r="I250" t="n">
        <v>0</v>
      </c>
      <c r="J250" t="n">
        <v>0</v>
      </c>
      <c r="K250" t="n">
        <v>0</v>
      </c>
      <c r="L250" t="n">
        <v>0</v>
      </c>
      <c r="M250" t="n">
        <v>0</v>
      </c>
      <c r="N250" t="n">
        <v>0</v>
      </c>
    </row>
    <row r="251">
      <c r="A251" t="inlineStr">
        <is>
          <t>Harvest-time</t>
        </is>
      </c>
      <c r="B251" t="inlineStr">
        <is>
          <t>.</t>
        </is>
      </c>
      <c r="C251" t="n">
        <v>0</v>
      </c>
      <c r="D251" t="n">
        <v>0</v>
      </c>
      <c r="E251" t="n">
        <v>0</v>
      </c>
      <c r="F251" t="n">
        <v>0</v>
      </c>
      <c r="H251" t="n">
        <v>0</v>
      </c>
      <c r="I251" t="n">
        <v>0</v>
      </c>
      <c r="J251" t="n">
        <v>0</v>
      </c>
      <c r="K251" t="n">
        <v>0</v>
      </c>
      <c r="L251" t="n">
        <v>0</v>
      </c>
      <c r="M251" t="n">
        <v>0</v>
      </c>
      <c r="N251" t="n">
        <v>0</v>
      </c>
    </row>
    <row r="252">
      <c r="A252" t="inlineStr">
        <is>
          <t>Harvest-time</t>
        </is>
      </c>
      <c r="B252" t="inlineStr">
        <is>
          <t>mowing and tossing the meadow of Munnonce 1 shilling.</t>
        </is>
      </c>
      <c r="C252" t="n">
        <v>0.05</v>
      </c>
      <c r="D252" t="n">
        <v>0</v>
      </c>
      <c r="E252" t="n">
        <v>1</v>
      </c>
      <c r="F252" t="n">
        <v>0</v>
      </c>
      <c r="H252" t="n">
        <v>0</v>
      </c>
      <c r="I252" t="n">
        <v>0</v>
      </c>
      <c r="J252" t="n">
        <v>0</v>
      </c>
      <c r="K252" t="n">
        <v>0</v>
      </c>
      <c r="L252" t="n">
        <v>0</v>
      </c>
      <c r="M252" t="n">
        <v>0</v>
      </c>
      <c r="N252" t="n">
        <v>0</v>
      </c>
    </row>
    <row r="253">
      <c r="A253" t="inlineStr">
        <is>
          <t>Harvest-time</t>
        </is>
      </c>
      <c r="B253" t="inlineStr">
        <is>
          <t>mowing and tossing the garden 1 shilling 4pence Total, £6 14 shilling 8.25pence</t>
        </is>
      </c>
      <c r="C253" t="n">
        <v>6.73</v>
      </c>
      <c r="D253" t="n">
        <v>6</v>
      </c>
      <c r="E253" t="n">
        <v>14</v>
      </c>
      <c r="F253" t="n">
        <v>8.25</v>
      </c>
      <c r="H253" t="n">
        <v>0</v>
      </c>
      <c r="I253" t="n">
        <v>0</v>
      </c>
      <c r="J253" t="n">
        <v>0</v>
      </c>
      <c r="K253" t="n">
        <v>0</v>
      </c>
      <c r="L253" t="n">
        <v>0</v>
      </c>
      <c r="M253" t="n">
        <v>0</v>
      </c>
      <c r="N253" t="n">
        <v>0</v>
      </c>
    </row>
    <row r="254">
      <c r="A254" t="inlineStr">
        <is>
          <t>Expenses of the steward</t>
        </is>
      </c>
      <c r="B254" t="inlineStr">
        <is>
          <t>In expenses of the steward at the 2 hundred-courts by 1 tally l1 shilling 8.5pence.</t>
        </is>
      </c>
      <c r="C254" t="n">
        <v>0.09</v>
      </c>
      <c r="D254" t="n">
        <v>0</v>
      </c>
      <c r="E254" t="n">
        <v>1</v>
      </c>
      <c r="F254" t="n">
        <v>8.5</v>
      </c>
      <c r="H254" t="n">
        <v>0</v>
      </c>
      <c r="I254" t="n">
        <v>0</v>
      </c>
      <c r="J254" t="n">
        <v>0</v>
      </c>
      <c r="K254" t="n">
        <v>0</v>
      </c>
      <c r="L254" t="n">
        <v>0</v>
      </c>
      <c r="M254" t="n">
        <v>0</v>
      </c>
      <c r="N254" t="n">
        <v>0</v>
      </c>
    </row>
    <row r="255">
      <c r="A255" t="inlineStr">
        <is>
          <t>Expenses of the steward</t>
        </is>
      </c>
      <c r="B255" t="inlineStr">
        <is>
          <t>expenses of the bailiff for the year £6 15 shilling 6pence.</t>
        </is>
      </c>
      <c r="C255" t="n">
        <v>6.78</v>
      </c>
      <c r="D255" t="n">
        <v>6</v>
      </c>
      <c r="E255" t="n">
        <v>15</v>
      </c>
      <c r="F255" t="n">
        <v>6</v>
      </c>
      <c r="H255" t="n">
        <v>0</v>
      </c>
      <c r="I255" t="n">
        <v>0</v>
      </c>
      <c r="J255" t="n">
        <v>0</v>
      </c>
      <c r="K255" t="n">
        <v>0</v>
      </c>
      <c r="L255" t="n">
        <v>0</v>
      </c>
      <c r="M255" t="n">
        <v>0</v>
      </c>
      <c r="N255" t="n">
        <v>0</v>
      </c>
    </row>
    <row r="256">
      <c r="A256" t="inlineStr">
        <is>
          <t>Expenses of the steward</t>
        </is>
      </c>
      <c r="B256" t="inlineStr">
        <is>
          <t>fur for the summer livery of the same 3 shilling Total, £7 10 shilling 2.5pence</t>
        </is>
      </c>
      <c r="C256" t="n">
        <v>7.51</v>
      </c>
      <c r="D256" t="n">
        <v>7</v>
      </c>
      <c r="E256" t="n">
        <v>10</v>
      </c>
      <c r="F256" t="n">
        <v>2.5</v>
      </c>
      <c r="H256" t="n">
        <v>0</v>
      </c>
      <c r="I256" t="n">
        <v>0</v>
      </c>
      <c r="J256" t="n">
        <v>0</v>
      </c>
      <c r="K256" t="n">
        <v>0</v>
      </c>
      <c r="L256" t="n">
        <v>0</v>
      </c>
      <c r="M256" t="n">
        <v>0</v>
      </c>
      <c r="N256" t="n">
        <v>0</v>
      </c>
    </row>
    <row r="257">
      <c r="A257" t="inlineStr">
        <is>
          <t xml:space="preserve">Total of all expenses </t>
        </is>
      </c>
      <c r="B257" t="inlineStr">
        <is>
          <t>Total of all expenses, £39 5 shilling 7.5pence</t>
        </is>
      </c>
      <c r="C257" t="n">
        <v>39.28</v>
      </c>
      <c r="D257" t="n">
        <v>39</v>
      </c>
      <c r="E257" t="n">
        <v>5</v>
      </c>
      <c r="F257" t="n">
        <v>7.5</v>
      </c>
      <c r="H257" t="n">
        <v>0</v>
      </c>
      <c r="I257" t="n">
        <v>0</v>
      </c>
      <c r="J257" t="n">
        <v>0</v>
      </c>
      <c r="K257" t="n">
        <v>0</v>
      </c>
      <c r="L257" t="n">
        <v>0</v>
      </c>
      <c r="M257" t="n">
        <v>0</v>
      </c>
      <c r="N257" t="n">
        <v>0</v>
      </c>
    </row>
    <row r="258">
      <c r="A258" t="inlineStr">
        <is>
          <t>And he owes</t>
        </is>
      </c>
      <c r="B258" t="inlineStr">
        <is>
          <t>And he owes, £230 16 shilling 4pence</t>
        </is>
      </c>
      <c r="C258" t="n">
        <v>230.82</v>
      </c>
      <c r="D258" t="n">
        <v>230</v>
      </c>
      <c r="E258" t="n">
        <v>16</v>
      </c>
      <c r="F258" t="n">
        <v>4</v>
      </c>
      <c r="H258" t="n">
        <v>0</v>
      </c>
      <c r="I258" t="n">
        <v>0</v>
      </c>
      <c r="J258" t="n">
        <v>0</v>
      </c>
      <c r="K258" t="n">
        <v>0</v>
      </c>
      <c r="L258" t="n">
        <v>0</v>
      </c>
      <c r="M258" t="n">
        <v>0</v>
      </c>
      <c r="N258" t="n">
        <v>0</v>
      </c>
    </row>
    <row r="259">
      <c r="A259" t="inlineStr">
        <is>
          <t>Cash deliveries</t>
        </is>
      </c>
      <c r="B259" t="inlineStr">
        <is>
          <t>Delivered to Sir Geoffrey, treasurer of Wolvesey, by 2 tallies, £139 2 shilling</t>
        </is>
      </c>
      <c r="C259" t="n">
        <v>139.1</v>
      </c>
      <c r="D259" t="n">
        <v>139</v>
      </c>
      <c r="E259" t="n">
        <v>2</v>
      </c>
      <c r="F259" t="n">
        <v>0</v>
      </c>
      <c r="H259" t="n">
        <v>0</v>
      </c>
      <c r="I259" t="n">
        <v>0</v>
      </c>
      <c r="J259" t="n">
        <v>0</v>
      </c>
      <c r="K259" t="n">
        <v>0</v>
      </c>
      <c r="L259" t="n">
        <v>0</v>
      </c>
      <c r="M259" t="n">
        <v>0</v>
      </c>
      <c r="N259" t="n">
        <v>0</v>
      </c>
    </row>
    <row r="260">
      <c r="A260" t="inlineStr">
        <is>
          <t>And he owes clear</t>
        </is>
      </c>
      <c r="B260" t="inlineStr">
        <is>
          <t>And he owes clear, £91 14 shilling 4pence, of which £36 3.5pence against Richard de Poukepole, and £55 14 shilling 0.5pence against Adam de Cumbe.</t>
        </is>
      </c>
      <c r="C260" t="n">
        <v>91.72</v>
      </c>
      <c r="D260" t="n">
        <v>91</v>
      </c>
      <c r="E260" t="n">
        <v>14</v>
      </c>
      <c r="F260" t="n">
        <v>4</v>
      </c>
      <c r="H260" t="n">
        <v>0</v>
      </c>
      <c r="I260" t="n">
        <v>0</v>
      </c>
      <c r="J260" t="n">
        <v>0</v>
      </c>
      <c r="K260" t="n">
        <v>0</v>
      </c>
      <c r="L260" t="n">
        <v>0</v>
      </c>
      <c r="M260" t="n">
        <v>0</v>
      </c>
      <c r="N260" t="n">
        <v>0</v>
      </c>
    </row>
    <row r="261">
      <c r="A261" t="inlineStr">
        <is>
          <t>Wheat</t>
        </is>
      </c>
      <c r="B261" t="inlineStr">
        <is>
          <t>{yield: 6-fold plus 13 quarters 5 bushels}</t>
        </is>
      </c>
      <c r="C261" t="n">
        <v>0</v>
      </c>
      <c r="D261" t="n">
        <v>0</v>
      </c>
      <c r="E261" t="n">
        <v>0</v>
      </c>
      <c r="F261" t="n">
        <v>0</v>
      </c>
      <c r="H261" t="n">
        <v>13</v>
      </c>
      <c r="I261" t="n">
        <v>5</v>
      </c>
      <c r="J261" t="n">
        <v>13.625</v>
      </c>
      <c r="K261" t="n">
        <v>13.625</v>
      </c>
      <c r="L261" t="n">
        <v>0</v>
      </c>
      <c r="M261" t="n">
        <v>13</v>
      </c>
      <c r="N261" t="n">
        <v>5</v>
      </c>
    </row>
    <row r="262">
      <c r="A262" t="inlineStr">
        <is>
          <t>Wheat</t>
        </is>
      </c>
      <c r="B262" t="inlineStr">
        <is>
          <t>The same render account for 14 quarters of wheat remaining in the granary from the previous year.</t>
        </is>
      </c>
      <c r="C262" t="n">
        <v>0</v>
      </c>
      <c r="D262" t="n">
        <v>0</v>
      </c>
      <c r="E262" t="n">
        <v>0</v>
      </c>
      <c r="F262" t="n">
        <v>0</v>
      </c>
      <c r="G262" t="inlineStr">
        <is>
          <t>wheat</t>
        </is>
      </c>
      <c r="H262" t="n">
        <v>14</v>
      </c>
      <c r="I262" t="n">
        <v>0</v>
      </c>
      <c r="J262" t="n">
        <v>14</v>
      </c>
      <c r="K262" t="n">
        <v>14</v>
      </c>
      <c r="L262" t="n">
        <v>0</v>
      </c>
      <c r="M262" t="n">
        <v>14</v>
      </c>
      <c r="N262" t="n">
        <v>0</v>
      </c>
    </row>
    <row r="263">
      <c r="A263" t="inlineStr">
        <is>
          <t>Wheat</t>
        </is>
      </c>
      <c r="B263" t="inlineStr">
        <is>
          <t>340 quarters 7 bushels from the whole issue of the grange by struck measure.</t>
        </is>
      </c>
      <c r="C263" t="n">
        <v>0</v>
      </c>
      <c r="D263" t="n">
        <v>0</v>
      </c>
      <c r="E263" t="n">
        <v>0</v>
      </c>
      <c r="F263" t="n">
        <v>0</v>
      </c>
      <c r="H263" t="n">
        <v>340</v>
      </c>
      <c r="I263" t="n">
        <v>7</v>
      </c>
      <c r="J263" t="n">
        <v>340.875</v>
      </c>
      <c r="K263" t="n">
        <v>340.875</v>
      </c>
      <c r="L263" t="n">
        <v>0</v>
      </c>
      <c r="M263" t="n">
        <v>340</v>
      </c>
      <c r="N263" t="n">
        <v>7</v>
      </c>
    </row>
    <row r="264">
      <c r="A264" t="inlineStr">
        <is>
          <t>Wheat</t>
        </is>
      </c>
      <c r="B264" t="inlineStr">
        <is>
          <t>3 quarters from churchscot.</t>
        </is>
      </c>
      <c r="C264" t="n">
        <v>0</v>
      </c>
      <c r="D264" t="n">
        <v>0</v>
      </c>
      <c r="E264" t="n">
        <v>0</v>
      </c>
      <c r="F264" t="n">
        <v>0</v>
      </c>
      <c r="H264" t="n">
        <v>3</v>
      </c>
      <c r="I264" t="n">
        <v>0</v>
      </c>
      <c r="J264" t="n">
        <v>3</v>
      </c>
      <c r="K264" t="n">
        <v>3</v>
      </c>
      <c r="L264" t="n">
        <v>0</v>
      </c>
      <c r="M264" t="n">
        <v>3</v>
      </c>
      <c r="N264" t="n">
        <v>0</v>
      </c>
    </row>
    <row r="265">
      <c r="A265" t="inlineStr">
        <is>
          <t>Wheat</t>
        </is>
      </c>
      <c r="B265" t="inlineStr">
        <is>
          <t>Total, 357 quarters 7 bushels</t>
        </is>
      </c>
      <c r="C265" t="n">
        <v>0</v>
      </c>
      <c r="D265" t="n">
        <v>0</v>
      </c>
      <c r="E265" t="n">
        <v>0</v>
      </c>
      <c r="F265" t="n">
        <v>0</v>
      </c>
      <c r="H265" t="n">
        <v>357</v>
      </c>
      <c r="I265" t="n">
        <v>7</v>
      </c>
      <c r="J265" t="n">
        <v>357.875</v>
      </c>
      <c r="K265" t="n">
        <v>357.875</v>
      </c>
      <c r="L265" t="n">
        <v>0</v>
      </c>
      <c r="M265" t="n">
        <v>357</v>
      </c>
      <c r="N265" t="n">
        <v>7</v>
      </c>
    </row>
    <row r="266">
      <c r="A266" t="inlineStr">
        <is>
          <t>Wheat</t>
        </is>
      </c>
      <c r="B266" t="inlineStr">
        <is>
          <t>Sown over 608 acres as they lie in Selescumbe, Stonyelond', and Pykes, 67 quarters 6 bushels.</t>
        </is>
      </c>
      <c r="C266" t="n">
        <v>0</v>
      </c>
      <c r="D266" t="n">
        <v>0</v>
      </c>
      <c r="E266" t="n">
        <v>0</v>
      </c>
      <c r="F266" t="n">
        <v>0</v>
      </c>
      <c r="H266" t="n">
        <v>67</v>
      </c>
      <c r="I266" t="n">
        <v>6</v>
      </c>
      <c r="J266" t="n">
        <v>67.75</v>
      </c>
      <c r="K266" t="n">
        <v>67.75</v>
      </c>
      <c r="L266" t="n">
        <v>0</v>
      </c>
      <c r="M266" t="n">
        <v>67</v>
      </c>
      <c r="N266" t="n">
        <v>6</v>
      </c>
    </row>
    <row r="267">
      <c r="A267" t="inlineStr">
        <is>
          <t>Wheat</t>
        </is>
      </c>
      <c r="B267" t="inlineStr">
        <is>
          <t>that is, 1 bushels an acre, less 8 quarters 2 bushels in all.</t>
        </is>
      </c>
      <c r="C267" t="n">
        <v>0</v>
      </c>
      <c r="D267" t="n">
        <v>0</v>
      </c>
      <c r="E267" t="n">
        <v>0</v>
      </c>
      <c r="F267" t="n">
        <v>0</v>
      </c>
      <c r="H267" t="n">
        <v>8</v>
      </c>
      <c r="I267" t="n">
        <v>2</v>
      </c>
      <c r="J267" t="n">
        <v>8.25</v>
      </c>
      <c r="K267" t="n">
        <v>0.125</v>
      </c>
      <c r="L267" t="n">
        <v>8.125</v>
      </c>
      <c r="M267" t="n">
        <v>0</v>
      </c>
      <c r="N267" t="n">
        <v>1</v>
      </c>
      <c r="O267" t="n">
        <v>8</v>
      </c>
      <c r="P267" t="n">
        <v>2</v>
      </c>
    </row>
    <row r="268">
      <c r="A268" t="inlineStr">
        <is>
          <t>Wheat</t>
        </is>
      </c>
      <c r="B268" t="inlineStr">
        <is>
          <t>.</t>
        </is>
      </c>
      <c r="C268" t="n">
        <v>0</v>
      </c>
      <c r="D268" t="n">
        <v>0</v>
      </c>
      <c r="E268" t="n">
        <v>0</v>
      </c>
      <c r="F268" t="n">
        <v>0</v>
      </c>
      <c r="H268" t="n">
        <v>0</v>
      </c>
      <c r="I268" t="n">
        <v>0</v>
      </c>
      <c r="J268" t="n">
        <v>0</v>
      </c>
      <c r="K268" t="n">
        <v>0</v>
      </c>
      <c r="L268" t="n">
        <v>0</v>
      </c>
      <c r="M268" t="n">
        <v>0</v>
      </c>
      <c r="N268" t="n">
        <v>0</v>
      </c>
    </row>
    <row r="269">
      <c r="A269" t="inlineStr">
        <is>
          <t>Wheat</t>
        </is>
      </c>
      <c r="B269" t="inlineStr">
        <is>
          <t>provision of the steward for his visits by 1 tally, 7 bushels.</t>
        </is>
      </c>
      <c r="C269" t="n">
        <v>0</v>
      </c>
      <c r="D269" t="n">
        <v>0</v>
      </c>
      <c r="E269" t="n">
        <v>0</v>
      </c>
      <c r="F269" t="n">
        <v>0</v>
      </c>
      <c r="H269" t="n">
        <v>0</v>
      </c>
      <c r="I269" t="n">
        <v>7</v>
      </c>
      <c r="J269" t="n">
        <v>0.875</v>
      </c>
      <c r="K269" t="n">
        <v>0.875</v>
      </c>
      <c r="L269" t="n">
        <v>0</v>
      </c>
      <c r="M269" t="n">
        <v>0</v>
      </c>
      <c r="N269" t="n">
        <v>7</v>
      </c>
    </row>
    <row r="270">
      <c r="A270" t="inlineStr">
        <is>
          <t>Wheat</t>
        </is>
      </c>
      <c r="B270" t="inlineStr">
        <is>
          <t>provision of the bailiff for the year, 10 quarters, because he takes the rest from East Meon Church.</t>
        </is>
      </c>
      <c r="C270" t="n">
        <v>0</v>
      </c>
      <c r="D270" t="n">
        <v>0</v>
      </c>
      <c r="E270" t="n">
        <v>0</v>
      </c>
      <c r="F270" t="n">
        <v>0</v>
      </c>
      <c r="H270" t="n">
        <v>10</v>
      </c>
      <c r="I270" t="n">
        <v>0</v>
      </c>
      <c r="J270" t="n">
        <v>10</v>
      </c>
      <c r="K270" t="n">
        <v>10</v>
      </c>
      <c r="L270" t="n">
        <v>0</v>
      </c>
      <c r="M270" t="n">
        <v>10</v>
      </c>
      <c r="N270" t="n">
        <v>0</v>
      </c>
    </row>
    <row r="271">
      <c r="A271" t="inlineStr">
        <is>
          <t>Wheat</t>
        </is>
      </c>
      <c r="B271" t="inlineStr">
        <is>
          <t>Delivered to the vicar for his carrying-service, 5 quarters.</t>
        </is>
      </c>
      <c r="C271" t="n">
        <v>0</v>
      </c>
      <c r="D271" t="n">
        <v>0</v>
      </c>
      <c r="E271" t="n">
        <v>0</v>
      </c>
      <c r="F271" t="n">
        <v>0</v>
      </c>
      <c r="H271" t="n">
        <v>5</v>
      </c>
      <c r="I271" t="n">
        <v>0</v>
      </c>
      <c r="J271" t="n">
        <v>5</v>
      </c>
      <c r="K271" t="n">
        <v>5</v>
      </c>
      <c r="L271" t="n">
        <v>0</v>
      </c>
      <c r="M271" t="n">
        <v>5</v>
      </c>
      <c r="N271" t="n">
        <v>0</v>
      </c>
    </row>
    <row r="272">
      <c r="A272" t="inlineStr">
        <is>
          <t>Wheat</t>
        </is>
      </c>
      <c r="B272" t="inlineStr">
        <is>
          <t>Sold, 274 quarters 2 bushels</t>
        </is>
      </c>
      <c r="C272" t="n">
        <v>0</v>
      </c>
      <c r="D272" t="n">
        <v>0</v>
      </c>
      <c r="E272" t="n">
        <v>0</v>
      </c>
      <c r="F272" t="n">
        <v>0</v>
      </c>
      <c r="H272" t="n">
        <v>274</v>
      </c>
      <c r="I272" t="n">
        <v>2</v>
      </c>
      <c r="J272" t="n">
        <v>274.25</v>
      </c>
      <c r="K272" t="n">
        <v>274.25</v>
      </c>
      <c r="L272" t="n">
        <v>0</v>
      </c>
      <c r="M272" t="n">
        <v>274</v>
      </c>
      <c r="N272" t="n">
        <v>2</v>
      </c>
    </row>
    <row r="273">
      <c r="A273" t="inlineStr">
        <is>
          <t>Curall</t>
        </is>
      </c>
      <c r="B273" t="inlineStr">
        <is>
          <t>The same render account for 14 quarters from the whole issue of curall from the same wheat by struck measure.</t>
        </is>
      </c>
      <c r="C273" t="n">
        <v>0</v>
      </c>
      <c r="D273" t="n">
        <v>0</v>
      </c>
      <c r="E273" t="n">
        <v>0</v>
      </c>
      <c r="F273" t="n">
        <v>0</v>
      </c>
      <c r="G273" t="inlineStr">
        <is>
          <t>curall, wheat</t>
        </is>
      </c>
      <c r="H273" t="n">
        <v>14</v>
      </c>
      <c r="I273" t="n">
        <v>0</v>
      </c>
      <c r="J273" t="n">
        <v>14</v>
      </c>
      <c r="K273" t="n">
        <v>14</v>
      </c>
      <c r="L273" t="n">
        <v>0</v>
      </c>
      <c r="M273" t="n">
        <v>14</v>
      </c>
      <c r="N273" t="n">
        <v>0</v>
      </c>
    </row>
    <row r="274">
      <c r="A274" t="inlineStr">
        <is>
          <t>Curall</t>
        </is>
      </c>
      <c r="B274" t="inlineStr">
        <is>
          <t>Sold, 14 quarters.</t>
        </is>
      </c>
      <c r="C274" t="n">
        <v>0</v>
      </c>
      <c r="D274" t="n">
        <v>0</v>
      </c>
      <c r="E274" t="n">
        <v>0</v>
      </c>
      <c r="F274" t="n">
        <v>0</v>
      </c>
      <c r="H274" t="n">
        <v>14</v>
      </c>
      <c r="I274" t="n">
        <v>0</v>
      </c>
      <c r="J274" t="n">
        <v>14</v>
      </c>
      <c r="K274" t="n">
        <v>14</v>
      </c>
      <c r="L274" t="n">
        <v>0</v>
      </c>
      <c r="M274" t="n">
        <v>14</v>
      </c>
      <c r="N274" t="n">
        <v>0</v>
      </c>
    </row>
    <row r="275">
      <c r="A275" t="inlineStr">
        <is>
          <t>Barley</t>
        </is>
      </c>
      <c r="B275" t="inlineStr">
        <is>
          <t>{yield: three-and-a-half-fold less 3 quarters 7 bushels}</t>
        </is>
      </c>
      <c r="C275" t="n">
        <v>0</v>
      </c>
      <c r="D275" t="n">
        <v>0</v>
      </c>
      <c r="E275" t="n">
        <v>0</v>
      </c>
      <c r="F275" t="n">
        <v>0</v>
      </c>
      <c r="H275" t="n">
        <v>3</v>
      </c>
      <c r="I275" t="n">
        <v>7</v>
      </c>
      <c r="J275" t="n">
        <v>3.875</v>
      </c>
      <c r="K275" t="n">
        <v>3.875</v>
      </c>
      <c r="L275" t="n">
        <v>0</v>
      </c>
      <c r="M275" t="n">
        <v>3</v>
      </c>
      <c r="N275" t="n">
        <v>7</v>
      </c>
    </row>
    <row r="276">
      <c r="A276" t="inlineStr">
        <is>
          <t>Barley</t>
        </is>
      </c>
      <c r="B276" t="inlineStr">
        <is>
          <t>The same render account for 14 quarters of barley remaining from the previous year in the granary.</t>
        </is>
      </c>
      <c r="C276" t="n">
        <v>0</v>
      </c>
      <c r="D276" t="n">
        <v>0</v>
      </c>
      <c r="E276" t="n">
        <v>0</v>
      </c>
      <c r="F276" t="n">
        <v>0</v>
      </c>
      <c r="G276" t="inlineStr">
        <is>
          <t>barley</t>
        </is>
      </c>
      <c r="H276" t="n">
        <v>14</v>
      </c>
      <c r="I276" t="n">
        <v>0</v>
      </c>
      <c r="J276" t="n">
        <v>14</v>
      </c>
      <c r="K276" t="n">
        <v>14</v>
      </c>
      <c r="L276" t="n">
        <v>0</v>
      </c>
      <c r="M276" t="n">
        <v>14</v>
      </c>
      <c r="N276" t="n">
        <v>0</v>
      </c>
    </row>
    <row r="277">
      <c r="A277" t="inlineStr">
        <is>
          <t>Barley</t>
        </is>
      </c>
      <c r="B277" t="inlineStr">
        <is>
          <t>101 quarters 1 bushels from the whole issue of barley this year by struck measure.</t>
        </is>
      </c>
      <c r="C277" t="n">
        <v>0</v>
      </c>
      <c r="D277" t="n">
        <v>0</v>
      </c>
      <c r="E277" t="n">
        <v>0</v>
      </c>
      <c r="F277" t="n">
        <v>0</v>
      </c>
      <c r="G277" t="inlineStr">
        <is>
          <t>barley</t>
        </is>
      </c>
      <c r="H277" t="n">
        <v>101</v>
      </c>
      <c r="I277" t="n">
        <v>1</v>
      </c>
      <c r="J277" t="n">
        <v>101.125</v>
      </c>
      <c r="K277" t="n">
        <v>101.125</v>
      </c>
      <c r="L277" t="n">
        <v>0</v>
      </c>
      <c r="M277" t="n">
        <v>101</v>
      </c>
      <c r="N277" t="n">
        <v>1</v>
      </c>
    </row>
    <row r="278">
      <c r="A278" t="inlineStr">
        <is>
          <t>Barley</t>
        </is>
      </c>
      <c r="B278" t="inlineStr">
        <is>
          <t>Total, 115 quarters 1 bushels</t>
        </is>
      </c>
      <c r="C278" t="n">
        <v>0</v>
      </c>
      <c r="D278" t="n">
        <v>0</v>
      </c>
      <c r="E278" t="n">
        <v>0</v>
      </c>
      <c r="F278" t="n">
        <v>0</v>
      </c>
      <c r="H278" t="n">
        <v>115</v>
      </c>
      <c r="I278" t="n">
        <v>1</v>
      </c>
      <c r="J278" t="n">
        <v>115.125</v>
      </c>
      <c r="K278" t="n">
        <v>115.125</v>
      </c>
      <c r="L278" t="n">
        <v>0</v>
      </c>
      <c r="M278" t="n">
        <v>115</v>
      </c>
      <c r="N278" t="n">
        <v>1</v>
      </c>
    </row>
    <row r="279">
      <c r="A279" t="inlineStr">
        <is>
          <t>Barley</t>
        </is>
      </c>
      <c r="B279" t="inlineStr">
        <is>
          <t>Sown over 95 acres as they lie in the field of la Chapele, 26.5 quarters.</t>
        </is>
      </c>
      <c r="C279" t="n">
        <v>0</v>
      </c>
      <c r="D279" t="n">
        <v>0</v>
      </c>
      <c r="E279" t="n">
        <v>0</v>
      </c>
      <c r="F279" t="n">
        <v>0</v>
      </c>
      <c r="H279" t="n">
        <v>26.5</v>
      </c>
      <c r="I279" t="n">
        <v>0</v>
      </c>
      <c r="J279" t="n">
        <v>26.5</v>
      </c>
      <c r="K279" t="n">
        <v>26.5</v>
      </c>
      <c r="L279" t="n">
        <v>0</v>
      </c>
      <c r="M279" t="n">
        <v>26.5</v>
      </c>
      <c r="N279" t="n">
        <v>0</v>
      </c>
    </row>
    <row r="280">
      <c r="A280" t="inlineStr">
        <is>
          <t>Barley</t>
        </is>
      </c>
      <c r="B280" t="inlineStr">
        <is>
          <t>that is, 4.5 bushels over 2 acres, less 1.5 bushels in all.</t>
        </is>
      </c>
      <c r="C280" t="n">
        <v>0</v>
      </c>
      <c r="D280" t="n">
        <v>0</v>
      </c>
      <c r="E280" t="n">
        <v>0</v>
      </c>
      <c r="F280" t="n">
        <v>0</v>
      </c>
      <c r="H280" t="n">
        <v>0</v>
      </c>
      <c r="I280" t="n">
        <v>1.5</v>
      </c>
      <c r="J280" t="n">
        <v>0.1875</v>
      </c>
      <c r="K280" t="n">
        <v>0.5625</v>
      </c>
      <c r="L280" t="n">
        <v>-0.375</v>
      </c>
      <c r="M280" t="n">
        <v>0</v>
      </c>
      <c r="N280" t="n">
        <v>4.5</v>
      </c>
      <c r="O280" t="n">
        <v>0</v>
      </c>
      <c r="P280" t="n">
        <v>1.5</v>
      </c>
    </row>
    <row r="281">
      <c r="A281" t="inlineStr">
        <is>
          <t>Barley</t>
        </is>
      </c>
      <c r="B281" t="inlineStr">
        <is>
          <t>Delivered to 1 carter, 3 stot-keepers, and 1 keeper of hoggs and lambs for the year, 32.5 quarters, taking a quarter every 8 weeks.</t>
        </is>
      </c>
      <c r="C281" t="n">
        <v>0</v>
      </c>
      <c r="D281" t="n">
        <v>0</v>
      </c>
      <c r="E281" t="n">
        <v>0</v>
      </c>
      <c r="F281" t="n">
        <v>0</v>
      </c>
      <c r="H281" t="n">
        <v>32.5</v>
      </c>
      <c r="I281" t="n">
        <v>0</v>
      </c>
      <c r="J281" t="n">
        <v>32.5</v>
      </c>
      <c r="K281" t="n">
        <v>32.5</v>
      </c>
      <c r="L281" t="n">
        <v>0</v>
      </c>
      <c r="M281" t="n">
        <v>32.5</v>
      </c>
      <c r="N281" t="n">
        <v>0</v>
      </c>
    </row>
    <row r="282">
      <c r="A282" t="inlineStr">
        <is>
          <t>Barley</t>
        </is>
      </c>
      <c r="B282" t="inlineStr">
        <is>
          <t>Delivered to 2 oxherds for the year, because 3 customary tenants were drovers for the whole year to the advantage of the lord, 10 quarters 3 bushels, taking a quarter every 10 weeks.</t>
        </is>
      </c>
      <c r="C282" t="n">
        <v>0</v>
      </c>
      <c r="D282" t="n">
        <v>0</v>
      </c>
      <c r="E282" t="n">
        <v>0</v>
      </c>
      <c r="F282" t="n">
        <v>0</v>
      </c>
      <c r="H282" t="n">
        <v>10</v>
      </c>
      <c r="I282" t="n">
        <v>3</v>
      </c>
      <c r="J282" t="n">
        <v>10.375</v>
      </c>
      <c r="K282" t="n">
        <v>10.375</v>
      </c>
      <c r="L282" t="n">
        <v>0</v>
      </c>
      <c r="M282" t="n">
        <v>10</v>
      </c>
      <c r="N282" t="n">
        <v>3</v>
      </c>
    </row>
    <row r="283">
      <c r="A283" t="inlineStr">
        <is>
          <t>Barley</t>
        </is>
      </c>
      <c r="B283" t="inlineStr">
        <is>
          <t>Delivered to 1 dairymaid for the year, 5 quarters 1.5 bushels Delivered to 1 cowherd for the year, who takes a quarter every 12 weeks, 4 quarters 2.5 bushels Delivered to 3 keepers of lambs this year, 4 quarters 5 bushels.</t>
        </is>
      </c>
      <c r="C283" t="n">
        <v>0</v>
      </c>
      <c r="D283" t="n">
        <v>0</v>
      </c>
      <c r="E283" t="n">
        <v>0</v>
      </c>
      <c r="F283" t="n">
        <v>0</v>
      </c>
      <c r="H283" t="n">
        <v>8</v>
      </c>
      <c r="I283" t="n">
        <v>7.5</v>
      </c>
      <c r="J283" t="n">
        <v>8.9375</v>
      </c>
      <c r="K283" t="n">
        <v>5.1875</v>
      </c>
      <c r="L283" t="n">
        <v>3.75</v>
      </c>
      <c r="M283" t="n">
        <v>5</v>
      </c>
      <c r="N283" t="n">
        <v>1.5</v>
      </c>
      <c r="O283" t="n">
        <v>4</v>
      </c>
      <c r="P283" t="n">
        <v>2.5</v>
      </c>
      <c r="Q283" t="n">
        <v>4</v>
      </c>
      <c r="R283" t="n">
        <v>5</v>
      </c>
    </row>
    <row r="284">
      <c r="A284" t="inlineStr">
        <is>
          <t>Barley</t>
        </is>
      </c>
      <c r="B284" t="inlineStr">
        <is>
          <t>provision of the bailiff's attendant, 3 quarters.</t>
        </is>
      </c>
      <c r="C284" t="n">
        <v>0</v>
      </c>
      <c r="D284" t="n">
        <v>0</v>
      </c>
      <c r="E284" t="n">
        <v>0</v>
      </c>
      <c r="F284" t="n">
        <v>0</v>
      </c>
      <c r="H284" t="n">
        <v>3</v>
      </c>
      <c r="I284" t="n">
        <v>0</v>
      </c>
      <c r="J284" t="n">
        <v>3</v>
      </c>
      <c r="K284" t="n">
        <v>3</v>
      </c>
      <c r="L284" t="n">
        <v>0</v>
      </c>
      <c r="M284" t="n">
        <v>3</v>
      </c>
      <c r="N284" t="n">
        <v>0</v>
      </c>
    </row>
    <row r="285">
      <c r="A285" t="inlineStr">
        <is>
          <t>Barley</t>
        </is>
      </c>
      <c r="B285" t="inlineStr">
        <is>
          <t>Sold, 28 quarters 5 bushels</t>
        </is>
      </c>
      <c r="C285" t="n">
        <v>0</v>
      </c>
      <c r="D285" t="n">
        <v>0</v>
      </c>
      <c r="E285" t="n">
        <v>0</v>
      </c>
      <c r="F285" t="n">
        <v>0</v>
      </c>
      <c r="H285" t="n">
        <v>28</v>
      </c>
      <c r="I285" t="n">
        <v>5</v>
      </c>
      <c r="J285" t="n">
        <v>28.625</v>
      </c>
      <c r="K285" t="n">
        <v>28.625</v>
      </c>
      <c r="L285" t="n">
        <v>0</v>
      </c>
      <c r="M285" t="n">
        <v>28</v>
      </c>
      <c r="N285" t="n">
        <v>5</v>
      </c>
    </row>
    <row r="286">
      <c r="A286" t="inlineStr">
        <is>
          <t>Oats</t>
        </is>
      </c>
      <c r="B286" t="inlineStr">
        <is>
          <t>{yield: two-fold less 40 quarters 1 bushels)</t>
        </is>
      </c>
      <c r="C286" t="n">
        <v>0</v>
      </c>
      <c r="D286" t="n">
        <v>0</v>
      </c>
      <c r="E286" t="n">
        <v>0</v>
      </c>
      <c r="F286" t="n">
        <v>0</v>
      </c>
      <c r="H286" t="n">
        <v>40</v>
      </c>
      <c r="I286" t="n">
        <v>1</v>
      </c>
      <c r="J286" t="n">
        <v>40.125</v>
      </c>
      <c r="K286" t="n">
        <v>40.125</v>
      </c>
      <c r="L286" t="n">
        <v>0</v>
      </c>
      <c r="M286" t="n">
        <v>40</v>
      </c>
      <c r="N286" t="n">
        <v>1</v>
      </c>
    </row>
    <row r="287">
      <c r="A287" t="inlineStr">
        <is>
          <t>Oats</t>
        </is>
      </c>
      <c r="B287" t="inlineStr">
        <is>
          <t>The same render account for 572 quarters 7 bushels from the whole issue of oats by struck measure.</t>
        </is>
      </c>
      <c r="C287" t="n">
        <v>0</v>
      </c>
      <c r="D287" t="n">
        <v>0</v>
      </c>
      <c r="E287" t="n">
        <v>0</v>
      </c>
      <c r="F287" t="n">
        <v>0</v>
      </c>
      <c r="G287" t="inlineStr">
        <is>
          <t>oats</t>
        </is>
      </c>
      <c r="H287" t="n">
        <v>572</v>
      </c>
      <c r="I287" t="n">
        <v>7</v>
      </c>
      <c r="J287" t="n">
        <v>572.875</v>
      </c>
      <c r="K287" t="n">
        <v>572.875</v>
      </c>
      <c r="L287" t="n">
        <v>0</v>
      </c>
      <c r="M287" t="n">
        <v>572</v>
      </c>
      <c r="N287" t="n">
        <v>7</v>
      </c>
    </row>
    <row r="288">
      <c r="A288" t="inlineStr">
        <is>
          <t>Oats</t>
        </is>
      </c>
      <c r="B288" t="inlineStr">
        <is>
          <t>42 quarters by estimation in sheaves.</t>
        </is>
      </c>
      <c r="C288" t="n">
        <v>0</v>
      </c>
      <c r="D288" t="n">
        <v>0</v>
      </c>
      <c r="E288" t="n">
        <v>0</v>
      </c>
      <c r="F288" t="n">
        <v>0</v>
      </c>
      <c r="H288" t="n">
        <v>42</v>
      </c>
      <c r="I288" t="n">
        <v>0</v>
      </c>
      <c r="J288" t="n">
        <v>42</v>
      </c>
      <c r="K288" t="n">
        <v>42</v>
      </c>
      <c r="L288" t="n">
        <v>0</v>
      </c>
      <c r="M288" t="n">
        <v>42</v>
      </c>
      <c r="N288" t="n">
        <v>0</v>
      </c>
    </row>
    <row r="289">
      <c r="A289" t="inlineStr">
        <is>
          <t>Oats</t>
        </is>
      </c>
      <c r="B289" t="inlineStr">
        <is>
          <t>Total, 614 quarters 7 bushels</t>
        </is>
      </c>
      <c r="C289" t="n">
        <v>0</v>
      </c>
      <c r="D289" t="n">
        <v>0</v>
      </c>
      <c r="E289" t="n">
        <v>0</v>
      </c>
      <c r="F289" t="n">
        <v>0</v>
      </c>
      <c r="H289" t="n">
        <v>614</v>
      </c>
      <c r="I289" t="n">
        <v>7</v>
      </c>
      <c r="J289" t="n">
        <v>614.875</v>
      </c>
      <c r="K289" t="n">
        <v>614.875</v>
      </c>
      <c r="L289" t="n">
        <v>0</v>
      </c>
      <c r="M289" t="n">
        <v>614</v>
      </c>
      <c r="N289" t="n">
        <v>7</v>
      </c>
    </row>
    <row r="290">
      <c r="A290" t="inlineStr">
        <is>
          <t>Oats</t>
        </is>
      </c>
      <c r="B290" t="inlineStr">
        <is>
          <t>Sown over 685 acres as they lie in the fields of la Chapele, Ponfaldesgore, and Crembe, 190 quarters.</t>
        </is>
      </c>
      <c r="C290" t="n">
        <v>0</v>
      </c>
      <c r="D290" t="n">
        <v>0</v>
      </c>
      <c r="E290" t="n">
        <v>0</v>
      </c>
      <c r="F290" t="n">
        <v>0</v>
      </c>
      <c r="H290" t="n">
        <v>190</v>
      </c>
      <c r="I290" t="n">
        <v>0</v>
      </c>
      <c r="J290" t="n">
        <v>190</v>
      </c>
      <c r="K290" t="n">
        <v>190</v>
      </c>
      <c r="L290" t="n">
        <v>0</v>
      </c>
      <c r="M290" t="n">
        <v>190</v>
      </c>
      <c r="N290" t="n">
        <v>0</v>
      </c>
    </row>
    <row r="291">
      <c r="A291" t="inlineStr">
        <is>
          <t>Oats</t>
        </is>
      </c>
      <c r="B291" t="inlineStr">
        <is>
          <t>that is, 4.5 bushels over 2 acres, less 2 quarters 5 bushels in all.</t>
        </is>
      </c>
      <c r="C291" t="n">
        <v>0</v>
      </c>
      <c r="D291" t="n">
        <v>0</v>
      </c>
      <c r="E291" t="n">
        <v>0</v>
      </c>
      <c r="F291" t="n">
        <v>0</v>
      </c>
      <c r="H291" t="n">
        <v>2</v>
      </c>
      <c r="I291" t="n">
        <v>5</v>
      </c>
      <c r="J291" t="n">
        <v>2.625</v>
      </c>
      <c r="K291" t="n">
        <v>0.5625</v>
      </c>
      <c r="L291" t="n">
        <v>2.0625</v>
      </c>
      <c r="M291" t="n">
        <v>0</v>
      </c>
      <c r="N291" t="n">
        <v>4.5</v>
      </c>
      <c r="O291" t="n">
        <v>2</v>
      </c>
      <c r="P291" t="n">
        <v>5</v>
      </c>
    </row>
    <row r="292">
      <c r="A292" t="inlineStr">
        <is>
          <t>Oats</t>
        </is>
      </c>
      <c r="B292" t="inlineStr">
        <is>
          <t>.</t>
        </is>
      </c>
      <c r="C292" t="n">
        <v>0</v>
      </c>
      <c r="D292" t="n">
        <v>0</v>
      </c>
      <c r="E292" t="n">
        <v>0</v>
      </c>
      <c r="F292" t="n">
        <v>0</v>
      </c>
      <c r="H292" t="n">
        <v>0</v>
      </c>
      <c r="I292" t="n">
        <v>0</v>
      </c>
      <c r="J292" t="n">
        <v>0</v>
      </c>
      <c r="K292" t="n">
        <v>0</v>
      </c>
      <c r="L292" t="n">
        <v>0</v>
      </c>
      <c r="M292" t="n">
        <v>0</v>
      </c>
      <c r="N292" t="n">
        <v>0</v>
      </c>
    </row>
    <row r="293">
      <c r="A293" t="inlineStr">
        <is>
          <t>Oats</t>
        </is>
      </c>
      <c r="B293" t="inlineStr">
        <is>
          <t>fodder of 2 cart-horses for the year, 18 quarters.</t>
        </is>
      </c>
      <c r="C293" t="n">
        <v>0</v>
      </c>
      <c r="D293" t="n">
        <v>0</v>
      </c>
      <c r="E293" t="n">
        <v>0</v>
      </c>
      <c r="F293" t="n">
        <v>0</v>
      </c>
      <c r="H293" t="n">
        <v>18</v>
      </c>
      <c r="I293" t="n">
        <v>0</v>
      </c>
      <c r="J293" t="n">
        <v>18</v>
      </c>
      <c r="K293" t="n">
        <v>18</v>
      </c>
      <c r="L293" t="n">
        <v>0</v>
      </c>
      <c r="M293" t="n">
        <v>18</v>
      </c>
      <c r="N293" t="n">
        <v>0</v>
      </c>
    </row>
    <row r="294">
      <c r="A294" t="inlineStr">
        <is>
          <t>Oats</t>
        </is>
      </c>
      <c r="B294" t="inlineStr">
        <is>
          <t>.</t>
        </is>
      </c>
      <c r="C294" t="n">
        <v>0</v>
      </c>
      <c r="D294" t="n">
        <v>0</v>
      </c>
      <c r="E294" t="n">
        <v>0</v>
      </c>
      <c r="F294" t="n">
        <v>0</v>
      </c>
      <c r="H294" t="n">
        <v>0</v>
      </c>
      <c r="I294" t="n">
        <v>0</v>
      </c>
      <c r="J294" t="n">
        <v>0</v>
      </c>
      <c r="K294" t="n">
        <v>0</v>
      </c>
      <c r="L294" t="n">
        <v>0</v>
      </c>
      <c r="M294" t="n">
        <v>0</v>
      </c>
      <c r="N294" t="n">
        <v>0</v>
      </c>
    </row>
    <row r="295">
      <c r="A295" t="inlineStr">
        <is>
          <t>Oats</t>
        </is>
      </c>
      <c r="B295" t="inlineStr">
        <is>
          <t>fodder of 18 plough-horses from the feast of the Circumcision (1 January) until Sunday before the feast of St Augustine (20 May), for 140 nights, 52.5 quarters, at 3 bushels a night.</t>
        </is>
      </c>
      <c r="C295" t="n">
        <v>0</v>
      </c>
      <c r="D295" t="n">
        <v>0</v>
      </c>
      <c r="E295" t="n">
        <v>0</v>
      </c>
      <c r="F295" t="n">
        <v>0</v>
      </c>
      <c r="H295" t="n">
        <v>52.5</v>
      </c>
      <c r="I295" t="n">
        <v>3</v>
      </c>
      <c r="J295" t="n">
        <v>52.875</v>
      </c>
      <c r="K295" t="n">
        <v>52.5</v>
      </c>
      <c r="L295" t="n">
        <v>0.375</v>
      </c>
      <c r="M295" t="n">
        <v>52.5</v>
      </c>
      <c r="N295" t="n">
        <v>0</v>
      </c>
      <c r="O295" t="n">
        <v>0</v>
      </c>
      <c r="P295" t="n">
        <v>3</v>
      </c>
    </row>
    <row r="296">
      <c r="A296" t="inlineStr">
        <is>
          <t>Oats</t>
        </is>
      </c>
      <c r="B296" t="inlineStr">
        <is>
          <t>.</t>
        </is>
      </c>
      <c r="C296" t="n">
        <v>0</v>
      </c>
      <c r="D296" t="n">
        <v>0</v>
      </c>
      <c r="E296" t="n">
        <v>0</v>
      </c>
      <c r="F296" t="n">
        <v>0</v>
      </c>
      <c r="H296" t="n">
        <v>0</v>
      </c>
      <c r="I296" t="n">
        <v>0</v>
      </c>
      <c r="J296" t="n">
        <v>0</v>
      </c>
      <c r="K296" t="n">
        <v>0</v>
      </c>
      <c r="L296" t="n">
        <v>0</v>
      </c>
      <c r="M296" t="n">
        <v>0</v>
      </c>
      <c r="N296" t="n">
        <v>0</v>
      </c>
    </row>
    <row r="297">
      <c r="A297" t="inlineStr">
        <is>
          <t>Oats</t>
        </is>
      </c>
      <c r="B297" t="inlineStr">
        <is>
          <t>fodder of the same when they ploughed after dinner, 5 quarters.</t>
        </is>
      </c>
      <c r="C297" t="n">
        <v>0</v>
      </c>
      <c r="D297" t="n">
        <v>0</v>
      </c>
      <c r="E297" t="n">
        <v>0</v>
      </c>
      <c r="F297" t="n">
        <v>0</v>
      </c>
      <c r="H297" t="n">
        <v>5</v>
      </c>
      <c r="I297" t="n">
        <v>0</v>
      </c>
      <c r="J297" t="n">
        <v>5</v>
      </c>
      <c r="K297" t="n">
        <v>5</v>
      </c>
      <c r="L297" t="n">
        <v>0</v>
      </c>
      <c r="M297" t="n">
        <v>5</v>
      </c>
      <c r="N297" t="n">
        <v>0</v>
      </c>
    </row>
    <row r="298">
      <c r="A298" t="inlineStr">
        <is>
          <t>Oats</t>
        </is>
      </c>
      <c r="B298" t="inlineStr">
        <is>
          <t>.</t>
        </is>
      </c>
      <c r="C298" t="n">
        <v>0</v>
      </c>
      <c r="D298" t="n">
        <v>0</v>
      </c>
      <c r="E298" t="n">
        <v>0</v>
      </c>
      <c r="F298" t="n">
        <v>0</v>
      </c>
      <c r="H298" t="n">
        <v>0</v>
      </c>
      <c r="I298" t="n">
        <v>0</v>
      </c>
      <c r="J298" t="n">
        <v>0</v>
      </c>
      <c r="K298" t="n">
        <v>0</v>
      </c>
      <c r="L298" t="n">
        <v>0</v>
      </c>
      <c r="M298" t="n">
        <v>0</v>
      </c>
      <c r="N298" t="n">
        <v>0</v>
      </c>
    </row>
    <row r="299">
      <c r="A299" t="inlineStr">
        <is>
          <t>Oats</t>
        </is>
      </c>
      <c r="B299" t="inlineStr">
        <is>
          <t>fodder of oxen by estimation in sheaves, 42 quarters.</t>
        </is>
      </c>
      <c r="C299" t="n">
        <v>0</v>
      </c>
      <c r="D299" t="n">
        <v>0</v>
      </c>
      <c r="E299" t="n">
        <v>0</v>
      </c>
      <c r="F299" t="n">
        <v>0</v>
      </c>
      <c r="H299" t="n">
        <v>42</v>
      </c>
      <c r="I299" t="n">
        <v>0</v>
      </c>
      <c r="J299" t="n">
        <v>42</v>
      </c>
      <c r="K299" t="n">
        <v>42</v>
      </c>
      <c r="L299" t="n">
        <v>0</v>
      </c>
      <c r="M299" t="n">
        <v>42</v>
      </c>
      <c r="N299" t="n">
        <v>0</v>
      </c>
    </row>
    <row r="300">
      <c r="A300" t="inlineStr">
        <is>
          <t>Oats</t>
        </is>
      </c>
      <c r="B300" t="inlineStr">
        <is>
          <t>.</t>
        </is>
      </c>
      <c r="C300" t="n">
        <v>0</v>
      </c>
      <c r="D300" t="n">
        <v>0</v>
      </c>
      <c r="E300" t="n">
        <v>0</v>
      </c>
      <c r="F300" t="n">
        <v>0</v>
      </c>
      <c r="H300" t="n">
        <v>0</v>
      </c>
      <c r="I300" t="n">
        <v>0</v>
      </c>
      <c r="J300" t="n">
        <v>0</v>
      </c>
      <c r="K300" t="n">
        <v>0</v>
      </c>
      <c r="L300" t="n">
        <v>0</v>
      </c>
      <c r="M300" t="n">
        <v>0</v>
      </c>
      <c r="N300" t="n">
        <v>0</v>
      </c>
    </row>
    <row r="301">
      <c r="A301" t="inlineStr">
        <is>
          <t>Oats</t>
        </is>
      </c>
      <c r="B301" t="inlineStr">
        <is>
          <t>customary payment to 8 ploughmen, 3 shepherds, and 3 customary tenants who replaced 3 drovers, who were accustomed to be at liberty, 10.5 quarters, or 6 bushels each.</t>
        </is>
      </c>
      <c r="C301" t="n">
        <v>0</v>
      </c>
      <c r="D301" t="n">
        <v>0</v>
      </c>
      <c r="E301" t="n">
        <v>0</v>
      </c>
      <c r="F301" t="n">
        <v>0</v>
      </c>
      <c r="H301" t="n">
        <v>10.5</v>
      </c>
      <c r="I301" t="n">
        <v>6</v>
      </c>
      <c r="J301" t="n">
        <v>11.25</v>
      </c>
      <c r="K301" t="n">
        <v>10.5</v>
      </c>
      <c r="L301" t="n">
        <v>0.75</v>
      </c>
      <c r="M301" t="n">
        <v>10.5</v>
      </c>
      <c r="N301" t="n">
        <v>0</v>
      </c>
      <c r="O301" t="n">
        <v>0</v>
      </c>
      <c r="P301" t="n">
        <v>6</v>
      </c>
    </row>
    <row r="302">
      <c r="A302" t="inlineStr">
        <is>
          <t>Oats</t>
        </is>
      </c>
      <c r="B302" t="inlineStr">
        <is>
          <t>.</t>
        </is>
      </c>
      <c r="C302" t="n">
        <v>0</v>
      </c>
      <c r="D302" t="n">
        <v>0</v>
      </c>
      <c r="E302" t="n">
        <v>0</v>
      </c>
      <c r="F302" t="n">
        <v>0</v>
      </c>
      <c r="H302" t="n">
        <v>0</v>
      </c>
      <c r="I302" t="n">
        <v>0</v>
      </c>
      <c r="J302" t="n">
        <v>0</v>
      </c>
      <c r="K302" t="n">
        <v>0</v>
      </c>
      <c r="L302" t="n">
        <v>0</v>
      </c>
      <c r="M302" t="n">
        <v>0</v>
      </c>
      <c r="N302" t="n">
        <v>0</v>
      </c>
    </row>
    <row r="303">
      <c r="A303" t="inlineStr">
        <is>
          <t>Oats</t>
        </is>
      </c>
      <c r="B303" t="inlineStr">
        <is>
          <t>fodder of the steward's horses for his visits by 1 tally, 1.5 quarters.</t>
        </is>
      </c>
      <c r="C303" t="n">
        <v>0</v>
      </c>
      <c r="D303" t="n">
        <v>0</v>
      </c>
      <c r="E303" t="n">
        <v>0</v>
      </c>
      <c r="F303" t="n">
        <v>0</v>
      </c>
      <c r="H303" t="n">
        <v>1.5</v>
      </c>
      <c r="I303" t="n">
        <v>0</v>
      </c>
      <c r="J303" t="n">
        <v>1.5</v>
      </c>
      <c r="K303" t="n">
        <v>1.5</v>
      </c>
      <c r="L303" t="n">
        <v>0</v>
      </c>
      <c r="M303" t="n">
        <v>1.5</v>
      </c>
      <c r="N303" t="n">
        <v>0</v>
      </c>
    </row>
    <row r="304">
      <c r="A304" t="inlineStr">
        <is>
          <t>Oats</t>
        </is>
      </c>
      <c r="B304" t="inlineStr">
        <is>
          <t>.</t>
        </is>
      </c>
      <c r="C304" t="n">
        <v>0</v>
      </c>
      <c r="D304" t="n">
        <v>0</v>
      </c>
      <c r="E304" t="n">
        <v>0</v>
      </c>
      <c r="F304" t="n">
        <v>0</v>
      </c>
      <c r="H304" t="n">
        <v>0</v>
      </c>
      <c r="I304" t="n">
        <v>0</v>
      </c>
      <c r="J304" t="n">
        <v>0</v>
      </c>
      <c r="K304" t="n">
        <v>0</v>
      </c>
      <c r="L304" t="n">
        <v>0</v>
      </c>
      <c r="M304" t="n">
        <v>0</v>
      </c>
      <c r="N304" t="n">
        <v>0</v>
      </c>
    </row>
    <row r="305">
      <c r="A305" t="inlineStr">
        <is>
          <t>Oats</t>
        </is>
      </c>
      <c r="B305" t="inlineStr">
        <is>
          <t>fodder of the bailiff's horses for the year, 20 quarters.</t>
        </is>
      </c>
      <c r="C305" t="n">
        <v>0</v>
      </c>
      <c r="D305" t="n">
        <v>0</v>
      </c>
      <c r="E305" t="n">
        <v>0</v>
      </c>
      <c r="F305" t="n">
        <v>0</v>
      </c>
      <c r="H305" t="n">
        <v>20</v>
      </c>
      <c r="I305" t="n">
        <v>0</v>
      </c>
      <c r="J305" t="n">
        <v>20</v>
      </c>
      <c r="K305" t="n">
        <v>20</v>
      </c>
      <c r="L305" t="n">
        <v>0</v>
      </c>
      <c r="M305" t="n">
        <v>20</v>
      </c>
      <c r="N305" t="n">
        <v>0</v>
      </c>
    </row>
    <row r="306">
      <c r="A306" t="inlineStr">
        <is>
          <t>Oats</t>
        </is>
      </c>
      <c r="B306" t="inlineStr">
        <is>
          <t>Sold, 275 quarters 3 bushels</t>
        </is>
      </c>
      <c r="C306" t="n">
        <v>0</v>
      </c>
      <c r="D306" t="n">
        <v>0</v>
      </c>
      <c r="E306" t="n">
        <v>0</v>
      </c>
      <c r="F306" t="n">
        <v>0</v>
      </c>
      <c r="H306" t="n">
        <v>275</v>
      </c>
      <c r="I306" t="n">
        <v>3</v>
      </c>
      <c r="J306" t="n">
        <v>275.375</v>
      </c>
      <c r="K306" t="n">
        <v>275.375</v>
      </c>
      <c r="L306" t="n">
        <v>0</v>
      </c>
      <c r="M306" t="n">
        <v>275</v>
      </c>
      <c r="N306" t="n">
        <v>3</v>
      </c>
    </row>
    <row r="307">
      <c r="A307" t="inlineStr">
        <is>
          <t>Calves: 22 from the offspring of the said cows this year. [1 in murrain]; 8 sold. Total, 9. 13 remain.</t>
        </is>
      </c>
      <c r="B307" t="inlineStr">
        <is>
          <t>Wethers: 450 remain from the previous year.</t>
        </is>
      </c>
      <c r="C307" t="n">
        <v>0</v>
      </c>
      <c r="D307" t="n">
        <v>0</v>
      </c>
      <c r="E307" t="n">
        <v>0</v>
      </c>
      <c r="F307" t="n">
        <v>0</v>
      </c>
      <c r="H307" t="n">
        <v>0</v>
      </c>
      <c r="I307" t="n">
        <v>0</v>
      </c>
      <c r="J307" t="n">
        <v>0</v>
      </c>
      <c r="K307" t="n">
        <v>0</v>
      </c>
      <c r="L307" t="n">
        <v>0</v>
      </c>
      <c r="M307" t="n">
        <v>0</v>
      </c>
      <c r="N307" t="n">
        <v>0</v>
      </c>
    </row>
    <row r="308">
      <c r="A308" t="inlineStr">
        <is>
          <t>Calves: 22 from the offspring of the said cows this year. [1 in murrain]; 8 sold. Total, 9. 13 remain.</t>
        </is>
      </c>
      <c r="B308" t="inlineStr">
        <is>
          <t>129 added from hoggs after shearing.</t>
        </is>
      </c>
      <c r="C308" t="n">
        <v>0</v>
      </c>
      <c r="D308" t="n">
        <v>0</v>
      </c>
      <c r="E308" t="n">
        <v>0</v>
      </c>
      <c r="F308" t="n">
        <v>0</v>
      </c>
      <c r="H308" t="n">
        <v>0</v>
      </c>
      <c r="I308" t="n">
        <v>0</v>
      </c>
      <c r="J308" t="n">
        <v>0</v>
      </c>
      <c r="K308" t="n">
        <v>0</v>
      </c>
      <c r="L308" t="n">
        <v>0</v>
      </c>
      <c r="M308" t="n">
        <v>0</v>
      </c>
      <c r="N308" t="n">
        <v>0</v>
      </c>
    </row>
    <row r="309">
      <c r="A309" t="inlineStr">
        <is>
          <t>Calves: 22 from the offspring of the said cows this year. [1 in murrain]; 8 sold. Total, 9. 13 remain.</t>
        </is>
      </c>
      <c r="B309" t="inlineStr">
        <is>
          <t>Total, 579. 21 sold at Martinmas.</t>
        </is>
      </c>
      <c r="C309" t="n">
        <v>0</v>
      </c>
      <c r="D309" t="n">
        <v>0</v>
      </c>
      <c r="E309" t="n">
        <v>0</v>
      </c>
      <c r="F309" t="n">
        <v>0</v>
      </c>
      <c r="H309" t="n">
        <v>0</v>
      </c>
      <c r="I309" t="n">
        <v>0</v>
      </c>
      <c r="J309" t="n">
        <v>0</v>
      </c>
      <c r="K309" t="n">
        <v>0</v>
      </c>
      <c r="L309" t="n">
        <v>0</v>
      </c>
      <c r="M309" t="n">
        <v>0</v>
      </c>
      <c r="N309" t="n">
        <v>0</v>
      </c>
    </row>
    <row r="310">
      <c r="A310" t="inlineStr">
        <is>
          <t>Calves: 22 from the offspring of the said cows this year. [1 in murrain]; 8 sold. Total, 9. 13 remain.</t>
        </is>
      </c>
      <c r="B310" t="inlineStr">
        <is>
          <t>43 in murrain before shearing, 26 after shearing.</t>
        </is>
      </c>
      <c r="C310" t="n">
        <v>0</v>
      </c>
      <c r="D310" t="n">
        <v>0</v>
      </c>
      <c r="E310" t="n">
        <v>0</v>
      </c>
      <c r="F310" t="n">
        <v>0</v>
      </c>
      <c r="H310" t="n">
        <v>0</v>
      </c>
      <c r="I310" t="n">
        <v>0</v>
      </c>
      <c r="J310" t="n">
        <v>0</v>
      </c>
      <c r="K310" t="n">
        <v>0</v>
      </c>
      <c r="L310" t="n">
        <v>0</v>
      </c>
      <c r="M310" t="n">
        <v>0</v>
      </c>
      <c r="N310" t="n">
        <v>0</v>
      </c>
    </row>
    <row r="311">
      <c r="A311" t="inlineStr">
        <is>
          <t>Calves: 22 from the offspring of the said cows this year. [1 in murrain]; 8 sold. Total, 9. 13 remain.</t>
        </is>
      </c>
      <c r="B311" t="inlineStr">
        <is>
          <t>3 in customary payment after shearing for the mowing of the meadow.</t>
        </is>
      </c>
      <c r="C311" t="n">
        <v>0</v>
      </c>
      <c r="D311" t="n">
        <v>0</v>
      </c>
      <c r="E311" t="n">
        <v>0</v>
      </c>
      <c r="F311" t="n">
        <v>0</v>
      </c>
      <c r="H311" t="n">
        <v>0</v>
      </c>
      <c r="I311" t="n">
        <v>0</v>
      </c>
      <c r="J311" t="n">
        <v>0</v>
      </c>
      <c r="K311" t="n">
        <v>0</v>
      </c>
      <c r="L311" t="n">
        <v>0</v>
      </c>
      <c r="M311" t="n">
        <v>0</v>
      </c>
      <c r="N311" t="n">
        <v>0</v>
      </c>
    </row>
    <row r="312">
      <c r="A312" t="inlineStr">
        <is>
          <t>Calves: 22 from the offspring of the said cows this year. [1 in murrain]; 8 sold. Total, 9. 13 remain.</t>
        </is>
      </c>
      <c r="B312" t="inlineStr">
        <is>
          <t>Total, 93. 486 remain.</t>
        </is>
      </c>
      <c r="C312" t="n">
        <v>0</v>
      </c>
      <c r="D312" t="n">
        <v>0</v>
      </c>
      <c r="E312" t="n">
        <v>0</v>
      </c>
      <c r="F312" t="n">
        <v>0</v>
      </c>
      <c r="H312" t="n">
        <v>0</v>
      </c>
      <c r="I312" t="n">
        <v>0</v>
      </c>
      <c r="J312" t="n">
        <v>0</v>
      </c>
      <c r="K312" t="n">
        <v>0</v>
      </c>
      <c r="L312" t="n">
        <v>0</v>
      </c>
      <c r="M312" t="n">
        <v>0</v>
      </c>
      <c r="N31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94"/>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6-fold plus 13 quarters 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13</v>
      </c>
      <c r="Y3" t="n">
        <v>5</v>
      </c>
      <c r="Z3" t="n">
        <v>13.625</v>
      </c>
      <c r="AA3" t="n">
        <v>13.625</v>
      </c>
      <c r="AB3" t="n">
        <v>0</v>
      </c>
      <c r="AC3" t="n">
        <v>13</v>
      </c>
      <c r="AD3" t="n">
        <v>5</v>
      </c>
    </row>
    <row r="4">
      <c r="A4" t="inlineStr">
        <is>
          <t>Wheat</t>
        </is>
      </c>
      <c r="B4" t="inlineStr">
        <is>
          <t>The same render account for 14 quarters of wheat remaining in the granary from the previous year.</t>
        </is>
      </c>
      <c r="C4" t="n">
        <v>0</v>
      </c>
      <c r="D4" t="n">
        <v>0</v>
      </c>
      <c r="E4" t="n">
        <v>0</v>
      </c>
      <c r="F4" t="n">
        <v>0</v>
      </c>
      <c r="G4" t="n">
        <v>0</v>
      </c>
      <c r="H4" t="n">
        <v>0</v>
      </c>
      <c r="I4" t="n">
        <v>0</v>
      </c>
      <c r="J4" t="n">
        <v>0</v>
      </c>
      <c r="K4" t="n">
        <v>0</v>
      </c>
      <c r="L4" t="n">
        <v>0</v>
      </c>
      <c r="M4" t="n">
        <v>0</v>
      </c>
      <c r="N4" t="n">
        <v>0</v>
      </c>
      <c r="O4" t="n">
        <v>0</v>
      </c>
      <c r="P4" t="n">
        <v>0</v>
      </c>
      <c r="Q4" t="n">
        <v>0</v>
      </c>
      <c r="R4" t="n">
        <v>0</v>
      </c>
      <c r="S4" t="n">
        <v>0</v>
      </c>
      <c r="T4" t="n">
        <v>14</v>
      </c>
      <c r="U4" t="n">
        <v>0</v>
      </c>
      <c r="V4" t="n">
        <v>14</v>
      </c>
      <c r="W4" t="n">
        <v>0</v>
      </c>
      <c r="X4" t="n">
        <v>14</v>
      </c>
      <c r="Y4" t="n">
        <v>0</v>
      </c>
      <c r="Z4" t="n">
        <v>14</v>
      </c>
      <c r="AA4" t="n">
        <v>14</v>
      </c>
      <c r="AB4" t="n">
        <v>0</v>
      </c>
      <c r="AC4" t="n">
        <v>14</v>
      </c>
      <c r="AD4" t="n">
        <v>0</v>
      </c>
    </row>
    <row r="5">
      <c r="A5" t="inlineStr">
        <is>
          <t>Wheat</t>
        </is>
      </c>
      <c r="B5" t="inlineStr">
        <is>
          <t>340 quarters 7 bushels from the whole issue of the grange by struck measure.</t>
        </is>
      </c>
      <c r="C5" t="n">
        <v>0</v>
      </c>
      <c r="D5" t="n">
        <v>0</v>
      </c>
      <c r="E5" t="n">
        <v>0</v>
      </c>
      <c r="F5" t="n">
        <v>0</v>
      </c>
      <c r="G5" t="n">
        <v>0</v>
      </c>
      <c r="H5" t="n">
        <v>0</v>
      </c>
      <c r="I5" t="n">
        <v>0</v>
      </c>
      <c r="J5" t="n">
        <v>0</v>
      </c>
      <c r="K5" t="n">
        <v>0</v>
      </c>
      <c r="L5" t="n">
        <v>0</v>
      </c>
      <c r="M5" t="n">
        <v>0</v>
      </c>
      <c r="N5" t="n">
        <v>0</v>
      </c>
      <c r="O5" t="n">
        <v>0</v>
      </c>
      <c r="P5" t="n">
        <v>0</v>
      </c>
      <c r="Q5" t="n">
        <v>0</v>
      </c>
      <c r="R5" t="n">
        <v>0</v>
      </c>
      <c r="S5" t="n">
        <v>0</v>
      </c>
      <c r="T5" t="n">
        <v>340</v>
      </c>
      <c r="U5" t="n">
        <v>7</v>
      </c>
      <c r="V5" t="n">
        <v>340.875</v>
      </c>
      <c r="W5" t="n">
        <v>0</v>
      </c>
      <c r="X5" t="n">
        <v>340</v>
      </c>
      <c r="Y5" t="n">
        <v>7</v>
      </c>
      <c r="Z5" t="n">
        <v>340.875</v>
      </c>
      <c r="AA5" t="n">
        <v>340.875</v>
      </c>
      <c r="AB5" t="n">
        <v>0</v>
      </c>
      <c r="AC5" t="n">
        <v>340</v>
      </c>
      <c r="AD5" t="n">
        <v>7</v>
      </c>
    </row>
    <row r="6">
      <c r="A6" t="inlineStr">
        <is>
          <t>Wheat</t>
        </is>
      </c>
      <c r="B6" t="inlineStr">
        <is>
          <t>3 quarters from churchscot.</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v>
      </c>
      <c r="Y6" t="n">
        <v>0</v>
      </c>
      <c r="Z6" t="n">
        <v>3</v>
      </c>
      <c r="AA6" t="n">
        <v>3</v>
      </c>
      <c r="AB6" t="n">
        <v>0</v>
      </c>
      <c r="AC6" t="n">
        <v>3</v>
      </c>
      <c r="AD6" t="n">
        <v>0</v>
      </c>
    </row>
    <row r="7">
      <c r="A7" t="inlineStr">
        <is>
          <t>Wheat</t>
        </is>
      </c>
      <c r="B7" t="inlineStr">
        <is>
          <t>Total, 357 quarters 7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357</v>
      </c>
      <c r="Y7" t="n">
        <v>7</v>
      </c>
      <c r="Z7" t="n">
        <v>357.875</v>
      </c>
      <c r="AA7" t="n">
        <v>357.875</v>
      </c>
      <c r="AB7" t="n">
        <v>0</v>
      </c>
      <c r="AC7" t="n">
        <v>357</v>
      </c>
      <c r="AD7" t="n">
        <v>7</v>
      </c>
    </row>
    <row r="8">
      <c r="A8" t="inlineStr">
        <is>
          <t>Wheat</t>
        </is>
      </c>
      <c r="B8" t="inlineStr">
        <is>
          <t>Sown over 608 acres as they lie in Selescumbe, Stonyelond', and Pykes, 67 quarters 6 bushels.</t>
        </is>
      </c>
      <c r="C8" t="n">
        <v>0</v>
      </c>
      <c r="D8" t="n">
        <v>0</v>
      </c>
      <c r="E8" t="n">
        <v>67</v>
      </c>
      <c r="F8" t="n">
        <v>6</v>
      </c>
      <c r="G8" t="n">
        <v>67.75</v>
      </c>
      <c r="H8" t="n">
        <v>0</v>
      </c>
      <c r="I8" t="n">
        <v>0</v>
      </c>
      <c r="J8" t="n">
        <v>0</v>
      </c>
      <c r="K8" t="n">
        <v>0</v>
      </c>
      <c r="L8" t="n">
        <v>0</v>
      </c>
      <c r="M8" t="n">
        <v>0</v>
      </c>
      <c r="N8" t="n">
        <v>0</v>
      </c>
      <c r="O8" t="n">
        <v>0</v>
      </c>
      <c r="P8" t="n">
        <v>0</v>
      </c>
      <c r="Q8" t="n">
        <v>0</v>
      </c>
      <c r="R8" t="n">
        <v>0</v>
      </c>
      <c r="S8" t="n">
        <v>0</v>
      </c>
      <c r="T8" t="n">
        <v>0</v>
      </c>
      <c r="U8" t="n">
        <v>0</v>
      </c>
      <c r="V8" t="n">
        <v>0</v>
      </c>
      <c r="W8" t="n">
        <v>0</v>
      </c>
      <c r="X8" t="n">
        <v>67</v>
      </c>
      <c r="Y8" t="n">
        <v>6</v>
      </c>
      <c r="Z8" t="n">
        <v>67.75</v>
      </c>
      <c r="AA8" t="n">
        <v>67.75</v>
      </c>
      <c r="AB8" t="n">
        <v>0</v>
      </c>
      <c r="AC8" t="n">
        <v>67</v>
      </c>
      <c r="AD8" t="n">
        <v>6</v>
      </c>
    </row>
    <row r="9">
      <c r="A9" t="inlineStr">
        <is>
          <t>Wheat</t>
        </is>
      </c>
      <c r="B9" t="inlineStr">
        <is>
          <t>that is, 1 bushels an acre, less 8 quarters 2 bushels in all.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8</v>
      </c>
      <c r="Y9" t="n">
        <v>2</v>
      </c>
      <c r="Z9" t="n">
        <v>8.25</v>
      </c>
      <c r="AA9" t="n">
        <v>0.125</v>
      </c>
      <c r="AB9" t="n">
        <v>8.125</v>
      </c>
      <c r="AC9" t="n">
        <v>0</v>
      </c>
      <c r="AD9" t="n">
        <v>1</v>
      </c>
      <c r="AE9" t="n">
        <v>8</v>
      </c>
      <c r="AF9" t="n">
        <v>2</v>
      </c>
    </row>
    <row r="10">
      <c r="A10" t="inlineStr">
        <is>
          <t>Wheat</t>
        </is>
      </c>
      <c r="B10" t="inlineStr">
        <is>
          <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row>
    <row r="11">
      <c r="A11" t="inlineStr">
        <is>
          <t>Wheat</t>
        </is>
      </c>
      <c r="B11" t="inlineStr">
        <is>
          <t>provision of the steward for his visits by 1 tally, 7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7</v>
      </c>
      <c r="Z11" t="n">
        <v>0.875</v>
      </c>
      <c r="AA11" t="n">
        <v>0.875</v>
      </c>
      <c r="AB11" t="n">
        <v>0</v>
      </c>
      <c r="AC11" t="n">
        <v>0</v>
      </c>
      <c r="AD11" t="n">
        <v>7</v>
      </c>
    </row>
    <row r="12">
      <c r="A12" t="inlineStr">
        <is>
          <t>Wheat</t>
        </is>
      </c>
      <c r="B12" t="inlineStr">
        <is>
          <t>provision of the bailiff for the year, 10 quarters, because he takes the rest from East Meon Church.</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10</v>
      </c>
      <c r="Y12" t="n">
        <v>0</v>
      </c>
      <c r="Z12" t="n">
        <v>10</v>
      </c>
      <c r="AA12" t="n">
        <v>10</v>
      </c>
      <c r="AB12" t="n">
        <v>0</v>
      </c>
      <c r="AC12" t="n">
        <v>10</v>
      </c>
      <c r="AD12" t="n">
        <v>0</v>
      </c>
    </row>
    <row r="13">
      <c r="A13" t="inlineStr">
        <is>
          <t>Wheat</t>
        </is>
      </c>
      <c r="B13" t="inlineStr">
        <is>
          <t>Delivered to the vicar for his carrying-service, 5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5</v>
      </c>
      <c r="Y13" t="n">
        <v>0</v>
      </c>
      <c r="Z13" t="n">
        <v>5</v>
      </c>
      <c r="AA13" t="n">
        <v>5</v>
      </c>
      <c r="AB13" t="n">
        <v>0</v>
      </c>
      <c r="AC13" t="n">
        <v>5</v>
      </c>
      <c r="AD13" t="n">
        <v>0</v>
      </c>
    </row>
    <row r="14">
      <c r="A14" t="inlineStr">
        <is>
          <t>Wheat</t>
        </is>
      </c>
      <c r="B14" t="inlineStr">
        <is>
          <t>Sold, 274 quarters 2 bushels</t>
        </is>
      </c>
      <c r="C14" t="n">
        <v>0</v>
      </c>
      <c r="D14" t="n">
        <v>0</v>
      </c>
      <c r="E14" t="n">
        <v>0</v>
      </c>
      <c r="F14" t="n">
        <v>0</v>
      </c>
      <c r="G14" t="n">
        <v>0</v>
      </c>
      <c r="H14" t="n">
        <v>0</v>
      </c>
      <c r="I14" t="n">
        <v>0</v>
      </c>
      <c r="J14" t="n">
        <v>0</v>
      </c>
      <c r="K14" t="n">
        <v>0</v>
      </c>
      <c r="L14" t="n">
        <v>0</v>
      </c>
      <c r="M14" t="n">
        <v>0</v>
      </c>
      <c r="N14" t="n">
        <v>0</v>
      </c>
      <c r="O14" t="n">
        <v>0</v>
      </c>
      <c r="P14" t="n">
        <v>0</v>
      </c>
      <c r="Q14" t="n">
        <v>274</v>
      </c>
      <c r="R14" t="n">
        <v>2</v>
      </c>
      <c r="S14" t="n">
        <v>274.25</v>
      </c>
      <c r="T14" t="n">
        <v>0</v>
      </c>
      <c r="U14" t="n">
        <v>0</v>
      </c>
      <c r="V14" t="n">
        <v>0</v>
      </c>
      <c r="W14" t="n">
        <v>0</v>
      </c>
      <c r="X14" t="n">
        <v>274</v>
      </c>
      <c r="Y14" t="n">
        <v>2</v>
      </c>
      <c r="Z14" t="n">
        <v>274.25</v>
      </c>
      <c r="AA14" t="n">
        <v>274.25</v>
      </c>
      <c r="AB14" t="n">
        <v>0</v>
      </c>
      <c r="AC14" t="n">
        <v>274</v>
      </c>
      <c r="AD14" t="n">
        <v>2</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t="inlineStr">
        <is>
          <t>Curall</t>
        </is>
      </c>
      <c r="B16" t="inlineStr">
        <is>
          <t>The same render account for 14 quarters from the whole issue of curall from the same wheat by struck measure.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14</v>
      </c>
      <c r="U16" t="n">
        <v>0</v>
      </c>
      <c r="V16" t="n">
        <v>14</v>
      </c>
      <c r="W16" t="n">
        <v>0</v>
      </c>
      <c r="X16" t="n">
        <v>14</v>
      </c>
      <c r="Y16" t="n">
        <v>0</v>
      </c>
      <c r="Z16" t="n">
        <v>14</v>
      </c>
      <c r="AA16" t="n">
        <v>14</v>
      </c>
      <c r="AB16" t="n">
        <v>0</v>
      </c>
      <c r="AC16" t="n">
        <v>14</v>
      </c>
      <c r="AD16" t="n">
        <v>0</v>
      </c>
    </row>
    <row r="17">
      <c r="A17" t="inlineStr">
        <is>
          <t>Curall</t>
        </is>
      </c>
      <c r="B17" t="inlineStr">
        <is>
          <t>Sold, 14 quarters.</t>
        </is>
      </c>
      <c r="C17" t="n">
        <v>0</v>
      </c>
      <c r="D17" t="n">
        <v>0</v>
      </c>
      <c r="E17" t="n">
        <v>0</v>
      </c>
      <c r="F17" t="n">
        <v>0</v>
      </c>
      <c r="G17" t="n">
        <v>0</v>
      </c>
      <c r="H17" t="n">
        <v>0</v>
      </c>
      <c r="I17" t="n">
        <v>0</v>
      </c>
      <c r="J17" t="n">
        <v>0</v>
      </c>
      <c r="K17" t="n">
        <v>0</v>
      </c>
      <c r="L17" t="n">
        <v>0</v>
      </c>
      <c r="M17" t="n">
        <v>0</v>
      </c>
      <c r="N17" t="n">
        <v>0</v>
      </c>
      <c r="O17" t="n">
        <v>0</v>
      </c>
      <c r="P17" t="n">
        <v>0</v>
      </c>
      <c r="Q17" t="n">
        <v>14</v>
      </c>
      <c r="R17" t="n">
        <v>0</v>
      </c>
      <c r="S17" t="n">
        <v>14</v>
      </c>
      <c r="T17" t="n">
        <v>0</v>
      </c>
      <c r="U17" t="n">
        <v>0</v>
      </c>
      <c r="V17" t="n">
        <v>0</v>
      </c>
      <c r="W17" t="n">
        <v>0</v>
      </c>
      <c r="X17" t="n">
        <v>14</v>
      </c>
      <c r="Y17" t="n">
        <v>0</v>
      </c>
      <c r="Z17" t="n">
        <v>14</v>
      </c>
      <c r="AA17" t="n">
        <v>14</v>
      </c>
      <c r="AB17" t="n">
        <v>0</v>
      </c>
      <c r="AC17" t="n">
        <v>14</v>
      </c>
      <c r="AD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row>
    <row r="19">
      <c r="A19" t="inlineStr">
        <is>
          <t>Barley</t>
        </is>
      </c>
      <c r="B19" t="inlineStr">
        <is>
          <t>{yield: three-and-a-half-fold less 3 quarters 7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v>
      </c>
      <c r="Y19" t="n">
        <v>7</v>
      </c>
      <c r="Z19" t="n">
        <v>3.875</v>
      </c>
      <c r="AA19" t="n">
        <v>3.875</v>
      </c>
      <c r="AB19" t="n">
        <v>0</v>
      </c>
      <c r="AC19" t="n">
        <v>3</v>
      </c>
      <c r="AD19" t="n">
        <v>7</v>
      </c>
    </row>
    <row r="20">
      <c r="A20" t="inlineStr">
        <is>
          <t>Barley</t>
        </is>
      </c>
      <c r="B20" t="inlineStr">
        <is>
          <t>The same render account for 14 quarters of barley remaining from the previous year in the granary.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14</v>
      </c>
      <c r="U20" t="n">
        <v>0</v>
      </c>
      <c r="V20" t="n">
        <v>14</v>
      </c>
      <c r="W20" t="n">
        <v>0</v>
      </c>
      <c r="X20" t="n">
        <v>14</v>
      </c>
      <c r="Y20" t="n">
        <v>0</v>
      </c>
      <c r="Z20" t="n">
        <v>14</v>
      </c>
      <c r="AA20" t="n">
        <v>14</v>
      </c>
      <c r="AB20" t="n">
        <v>0</v>
      </c>
      <c r="AC20" t="n">
        <v>14</v>
      </c>
      <c r="AD20" t="n">
        <v>0</v>
      </c>
    </row>
    <row r="21">
      <c r="A21" t="inlineStr">
        <is>
          <t>Barley</t>
        </is>
      </c>
      <c r="B21" t="inlineStr">
        <is>
          <t>101 quarters 1 bushels from the whole issue of barley this year by struck measure.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101</v>
      </c>
      <c r="U21" t="n">
        <v>1</v>
      </c>
      <c r="V21" t="n">
        <v>101.125</v>
      </c>
      <c r="W21" t="n">
        <v>0</v>
      </c>
      <c r="X21" t="n">
        <v>101</v>
      </c>
      <c r="Y21" t="n">
        <v>1</v>
      </c>
      <c r="Z21" t="n">
        <v>101.125</v>
      </c>
      <c r="AA21" t="n">
        <v>101.125</v>
      </c>
      <c r="AB21" t="n">
        <v>0</v>
      </c>
      <c r="AC21" t="n">
        <v>101</v>
      </c>
      <c r="AD21" t="n">
        <v>1</v>
      </c>
    </row>
    <row r="22">
      <c r="A22" t="inlineStr">
        <is>
          <t>Barley</t>
        </is>
      </c>
      <c r="B22" t="inlineStr">
        <is>
          <t>Total, 115 quarters 1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115</v>
      </c>
      <c r="Y22" t="n">
        <v>1</v>
      </c>
      <c r="Z22" t="n">
        <v>115.125</v>
      </c>
      <c r="AA22" t="n">
        <v>115.125</v>
      </c>
      <c r="AB22" t="n">
        <v>0</v>
      </c>
      <c r="AC22" t="n">
        <v>115</v>
      </c>
      <c r="AD22" t="n">
        <v>1</v>
      </c>
    </row>
    <row r="23">
      <c r="A23" t="inlineStr">
        <is>
          <t>Barley</t>
        </is>
      </c>
      <c r="B23" t="inlineStr">
        <is>
          <t>Sown over 95 acres as they lie in the field of la Chapele, 26.5 quarters.</t>
        </is>
      </c>
      <c r="C23" t="n">
        <v>0</v>
      </c>
      <c r="D23" t="n">
        <v>0</v>
      </c>
      <c r="E23" t="n">
        <v>26.5</v>
      </c>
      <c r="F23" t="n">
        <v>0</v>
      </c>
      <c r="G23" t="n">
        <v>26.5</v>
      </c>
      <c r="H23" t="n">
        <v>0</v>
      </c>
      <c r="I23" t="n">
        <v>0</v>
      </c>
      <c r="J23" t="n">
        <v>0</v>
      </c>
      <c r="K23" t="n">
        <v>0</v>
      </c>
      <c r="L23" t="n">
        <v>0</v>
      </c>
      <c r="M23" t="n">
        <v>0</v>
      </c>
      <c r="N23" t="n">
        <v>0</v>
      </c>
      <c r="O23" t="n">
        <v>0</v>
      </c>
      <c r="P23" t="n">
        <v>0</v>
      </c>
      <c r="Q23" t="n">
        <v>0</v>
      </c>
      <c r="R23" t="n">
        <v>0</v>
      </c>
      <c r="S23" t="n">
        <v>0</v>
      </c>
      <c r="T23" t="n">
        <v>0</v>
      </c>
      <c r="U23" t="n">
        <v>0</v>
      </c>
      <c r="V23" t="n">
        <v>0</v>
      </c>
      <c r="W23" t="n">
        <v>0</v>
      </c>
      <c r="X23" t="n">
        <v>26.5</v>
      </c>
      <c r="Y23" t="n">
        <v>0</v>
      </c>
      <c r="Z23" t="n">
        <v>26.5</v>
      </c>
      <c r="AA23" t="n">
        <v>26.5</v>
      </c>
      <c r="AB23" t="n">
        <v>0</v>
      </c>
      <c r="AC23" t="n">
        <v>26.5</v>
      </c>
      <c r="AD23" t="n">
        <v>0</v>
      </c>
    </row>
    <row r="24">
      <c r="A24" t="inlineStr">
        <is>
          <t>Barley</t>
        </is>
      </c>
      <c r="B24" t="inlineStr">
        <is>
          <t>that is, 4.5 bushels over 2 acres, less 1.5 bushels in all.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1.5</v>
      </c>
      <c r="Z24" t="n">
        <v>0.1875</v>
      </c>
      <c r="AA24" t="n">
        <v>0.5625</v>
      </c>
      <c r="AB24" t="n">
        <v>-0.375</v>
      </c>
      <c r="AC24" t="n">
        <v>0</v>
      </c>
      <c r="AD24" t="n">
        <v>4.5</v>
      </c>
      <c r="AE24" t="n">
        <v>0</v>
      </c>
      <c r="AF24" t="n">
        <v>1.5</v>
      </c>
    </row>
    <row r="25">
      <c r="A25" t="inlineStr">
        <is>
          <t>Barley</t>
        </is>
      </c>
      <c r="B25" t="inlineStr">
        <is>
          <t>Delivered to 1 carter, 3 stot-keepers, and 1 keeper of hoggs and lambs for the year, 32.5 quarters, taking a quarter every 8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32.5</v>
      </c>
      <c r="Y25" t="n">
        <v>0</v>
      </c>
      <c r="Z25" t="n">
        <v>32.5</v>
      </c>
      <c r="AA25" t="n">
        <v>32.5</v>
      </c>
      <c r="AB25" t="n">
        <v>0</v>
      </c>
      <c r="AC25" t="n">
        <v>32.5</v>
      </c>
      <c r="AD25" t="n">
        <v>0</v>
      </c>
    </row>
    <row r="26">
      <c r="A26" t="inlineStr">
        <is>
          <t>Barley</t>
        </is>
      </c>
      <c r="B26" t="inlineStr">
        <is>
          <t>Delivered to 2 oxherds for the year, because 3 customary tenants were drovers for the whole year to the advantage of the lord, 10 quarters 3 bushels, taking a quarter every 10 weeks.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10</v>
      </c>
      <c r="Y26" t="n">
        <v>3</v>
      </c>
      <c r="Z26" t="n">
        <v>10.375</v>
      </c>
      <c r="AA26" t="n">
        <v>10.375</v>
      </c>
      <c r="AB26" t="n">
        <v>0</v>
      </c>
      <c r="AC26" t="n">
        <v>10</v>
      </c>
      <c r="AD26" t="n">
        <v>3</v>
      </c>
    </row>
    <row r="27">
      <c r="A27" t="inlineStr">
        <is>
          <t>Barley</t>
        </is>
      </c>
      <c r="B27" t="inlineStr">
        <is>
          <t>Delivered to 1 dairymaid for the year, 5 quarters 1.5 bushels Delivered to 1 cowherd for the year, who takes a quarter every 12 weeks, 4 quarters 2.5 bushels Delivered to 3 keepers of lambs this year, 4 quarters 5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8</v>
      </c>
      <c r="Y27" t="n">
        <v>7.5</v>
      </c>
      <c r="Z27" t="n">
        <v>8.9375</v>
      </c>
      <c r="AA27" t="n">
        <v>5.1875</v>
      </c>
      <c r="AB27" t="n">
        <v>3.75</v>
      </c>
      <c r="AC27" t="n">
        <v>5</v>
      </c>
      <c r="AD27" t="n">
        <v>1.5</v>
      </c>
      <c r="AE27" t="n">
        <v>4</v>
      </c>
      <c r="AF27" t="n">
        <v>2.5</v>
      </c>
      <c r="AG27" t="n">
        <v>4</v>
      </c>
      <c r="AH27" t="n">
        <v>5</v>
      </c>
    </row>
    <row r="28">
      <c r="A28" t="inlineStr">
        <is>
          <t>Barley</t>
        </is>
      </c>
      <c r="B28" t="inlineStr">
        <is>
          <t>provision of the bailiff's attendant, 3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row>
    <row r="29">
      <c r="A29" t="inlineStr">
        <is>
          <t>Barley</t>
        </is>
      </c>
      <c r="B29" t="inlineStr">
        <is>
          <t>Sold, 28 quarters 5 bushels</t>
        </is>
      </c>
      <c r="C29" t="n">
        <v>0</v>
      </c>
      <c r="D29" t="n">
        <v>0</v>
      </c>
      <c r="E29" t="n">
        <v>0</v>
      </c>
      <c r="F29" t="n">
        <v>0</v>
      </c>
      <c r="G29" t="n">
        <v>0</v>
      </c>
      <c r="H29" t="n">
        <v>0</v>
      </c>
      <c r="I29" t="n">
        <v>0</v>
      </c>
      <c r="J29" t="n">
        <v>0</v>
      </c>
      <c r="K29" t="n">
        <v>0</v>
      </c>
      <c r="L29" t="n">
        <v>0</v>
      </c>
      <c r="M29" t="n">
        <v>0</v>
      </c>
      <c r="N29" t="n">
        <v>0</v>
      </c>
      <c r="O29" t="n">
        <v>0</v>
      </c>
      <c r="P29" t="n">
        <v>0</v>
      </c>
      <c r="Q29" t="n">
        <v>28</v>
      </c>
      <c r="R29" t="n">
        <v>5</v>
      </c>
      <c r="S29" t="n">
        <v>28.625</v>
      </c>
      <c r="T29" t="n">
        <v>0</v>
      </c>
      <c r="U29" t="n">
        <v>0</v>
      </c>
      <c r="V29" t="n">
        <v>0</v>
      </c>
      <c r="W29" t="n">
        <v>0</v>
      </c>
      <c r="X29" t="n">
        <v>28</v>
      </c>
      <c r="Y29" t="n">
        <v>5</v>
      </c>
      <c r="Z29" t="n">
        <v>28.625</v>
      </c>
      <c r="AA29" t="n">
        <v>28.625</v>
      </c>
      <c r="AB29" t="n">
        <v>0</v>
      </c>
      <c r="AC29" t="n">
        <v>28</v>
      </c>
      <c r="AD29" t="n">
        <v>5</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inlineStr">
        <is>
          <t>Oats</t>
        </is>
      </c>
      <c r="B31" t="inlineStr">
        <is>
          <t>{yield: two-fold less 40 quarters 1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40</v>
      </c>
      <c r="Y31" t="n">
        <v>1</v>
      </c>
      <c r="Z31" t="n">
        <v>40.125</v>
      </c>
      <c r="AA31" t="n">
        <v>40.125</v>
      </c>
      <c r="AB31" t="n">
        <v>0</v>
      </c>
      <c r="AC31" t="n">
        <v>40</v>
      </c>
      <c r="AD31" t="n">
        <v>1</v>
      </c>
    </row>
    <row r="32">
      <c r="A32" t="inlineStr">
        <is>
          <t>Oats</t>
        </is>
      </c>
      <c r="B32" t="inlineStr">
        <is>
          <t>The same render account for 572 quarters 7 bushels from the whole issue of oats by struck measure.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572</v>
      </c>
      <c r="U32" t="n">
        <v>7</v>
      </c>
      <c r="V32" t="n">
        <v>572.875</v>
      </c>
      <c r="W32" t="n">
        <v>0</v>
      </c>
      <c r="X32" t="n">
        <v>572</v>
      </c>
      <c r="Y32" t="n">
        <v>7</v>
      </c>
      <c r="Z32" t="n">
        <v>572.875</v>
      </c>
      <c r="AA32" t="n">
        <v>572.875</v>
      </c>
      <c r="AB32" t="n">
        <v>0</v>
      </c>
      <c r="AC32" t="n">
        <v>572</v>
      </c>
      <c r="AD32" t="n">
        <v>7</v>
      </c>
    </row>
    <row r="33">
      <c r="A33" t="inlineStr">
        <is>
          <t>Oats</t>
        </is>
      </c>
      <c r="B33" t="inlineStr">
        <is>
          <t>42 quarters by estimation in sheaves.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42</v>
      </c>
      <c r="Y33" t="n">
        <v>0</v>
      </c>
      <c r="Z33" t="n">
        <v>42</v>
      </c>
      <c r="AA33" t="n">
        <v>42</v>
      </c>
      <c r="AB33" t="n">
        <v>0</v>
      </c>
      <c r="AC33" t="n">
        <v>42</v>
      </c>
      <c r="AD33" t="n">
        <v>0</v>
      </c>
    </row>
    <row r="34">
      <c r="A34" t="inlineStr">
        <is>
          <t>Oats</t>
        </is>
      </c>
      <c r="B34" t="inlineStr">
        <is>
          <t>Total, 614 quarters 7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614</v>
      </c>
      <c r="Y34" t="n">
        <v>7</v>
      </c>
      <c r="Z34" t="n">
        <v>614.875</v>
      </c>
      <c r="AA34" t="n">
        <v>614.875</v>
      </c>
      <c r="AB34" t="n">
        <v>0</v>
      </c>
      <c r="AC34" t="n">
        <v>614</v>
      </c>
      <c r="AD34" t="n">
        <v>7</v>
      </c>
    </row>
    <row r="35">
      <c r="A35" t="inlineStr">
        <is>
          <t>Oats</t>
        </is>
      </c>
      <c r="B35" t="inlineStr">
        <is>
          <t>Sown over 685 acres as they lie in the fields of la Chapele, Ponfaldesgore, and Crembe, 190 quarters.</t>
        </is>
      </c>
      <c r="C35" t="n">
        <v>0</v>
      </c>
      <c r="D35" t="n">
        <v>0</v>
      </c>
      <c r="E35" t="n">
        <v>190</v>
      </c>
      <c r="F35" t="n">
        <v>0</v>
      </c>
      <c r="G35" t="n">
        <v>190</v>
      </c>
      <c r="H35" t="n">
        <v>0</v>
      </c>
      <c r="I35" t="n">
        <v>0</v>
      </c>
      <c r="J35" t="n">
        <v>0</v>
      </c>
      <c r="K35" t="n">
        <v>0</v>
      </c>
      <c r="L35" t="n">
        <v>0</v>
      </c>
      <c r="M35" t="n">
        <v>0</v>
      </c>
      <c r="N35" t="n">
        <v>0</v>
      </c>
      <c r="O35" t="n">
        <v>0</v>
      </c>
      <c r="P35" t="n">
        <v>0</v>
      </c>
      <c r="Q35" t="n">
        <v>0</v>
      </c>
      <c r="R35" t="n">
        <v>0</v>
      </c>
      <c r="S35" t="n">
        <v>0</v>
      </c>
      <c r="T35" t="n">
        <v>0</v>
      </c>
      <c r="U35" t="n">
        <v>0</v>
      </c>
      <c r="V35" t="n">
        <v>0</v>
      </c>
      <c r="W35" t="n">
        <v>0</v>
      </c>
      <c r="X35" t="n">
        <v>190</v>
      </c>
      <c r="Y35" t="n">
        <v>0</v>
      </c>
      <c r="Z35" t="n">
        <v>190</v>
      </c>
      <c r="AA35" t="n">
        <v>190</v>
      </c>
      <c r="AB35" t="n">
        <v>0</v>
      </c>
      <c r="AC35" t="n">
        <v>190</v>
      </c>
      <c r="AD35" t="n">
        <v>0</v>
      </c>
    </row>
    <row r="36">
      <c r="A36" t="inlineStr">
        <is>
          <t>Oats</t>
        </is>
      </c>
      <c r="B36" t="inlineStr">
        <is>
          <t>that is, 4.5 bushels over 2 acres, less 2 quarters 5 bushels in all.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5</v>
      </c>
      <c r="Z36" t="n">
        <v>2.625</v>
      </c>
      <c r="AA36" t="n">
        <v>0.5625</v>
      </c>
      <c r="AB36" t="n">
        <v>2.0625</v>
      </c>
      <c r="AC36" t="n">
        <v>0</v>
      </c>
      <c r="AD36" t="n">
        <v>4.5</v>
      </c>
      <c r="AE36" t="n">
        <v>2</v>
      </c>
      <c r="AF36" t="n">
        <v>5</v>
      </c>
    </row>
    <row r="37">
      <c r="A37" t="inlineStr">
        <is>
          <t>Oats</t>
        </is>
      </c>
      <c r="B37" t="inlineStr">
        <is>
          <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Oats</t>
        </is>
      </c>
      <c r="B40" t="inlineStr">
        <is>
          <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Oats</t>
        </is>
      </c>
      <c r="B41" t="inlineStr">
        <is>
          <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Oats</t>
        </is>
      </c>
      <c r="B42" t="inlineStr">
        <is>
          <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Oats</t>
        </is>
      </c>
      <c r="B43" t="inlineStr">
        <is>
          <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Oats</t>
        </is>
      </c>
      <c r="B44" t="inlineStr">
        <is>
          <t>fodder of 2 cart-horses for the year, 18 quarters.</t>
        </is>
      </c>
      <c r="C44" t="n">
        <v>0</v>
      </c>
      <c r="D44" t="n">
        <v>0</v>
      </c>
      <c r="E44" t="n">
        <v>0</v>
      </c>
      <c r="F44" t="n">
        <v>0</v>
      </c>
      <c r="G44" t="n">
        <v>0</v>
      </c>
      <c r="H44" t="n">
        <v>0</v>
      </c>
      <c r="I44" t="n">
        <v>0</v>
      </c>
      <c r="J44" t="n">
        <v>0</v>
      </c>
      <c r="K44" t="n">
        <v>0</v>
      </c>
      <c r="L44" t="n">
        <v>0</v>
      </c>
      <c r="M44" t="n">
        <v>0</v>
      </c>
      <c r="N44" t="n">
        <v>18</v>
      </c>
      <c r="O44" t="n">
        <v>0</v>
      </c>
      <c r="P44" t="n">
        <v>18</v>
      </c>
      <c r="Q44" t="n">
        <v>0</v>
      </c>
      <c r="R44" t="n">
        <v>0</v>
      </c>
      <c r="S44" t="n">
        <v>0</v>
      </c>
      <c r="T44" t="n">
        <v>0</v>
      </c>
      <c r="U44" t="n">
        <v>0</v>
      </c>
      <c r="V44" t="n">
        <v>0</v>
      </c>
      <c r="W44" t="n">
        <v>0</v>
      </c>
      <c r="X44" t="n">
        <v>18</v>
      </c>
      <c r="Y44" t="n">
        <v>0</v>
      </c>
      <c r="Z44" t="n">
        <v>18</v>
      </c>
      <c r="AA44" t="n">
        <v>18</v>
      </c>
      <c r="AB44" t="n">
        <v>0</v>
      </c>
      <c r="AC44" t="n">
        <v>18</v>
      </c>
      <c r="AD44" t="n">
        <v>0</v>
      </c>
    </row>
    <row r="45">
      <c r="A45" t="inlineStr">
        <is>
          <t>Oats</t>
        </is>
      </c>
      <c r="B45" t="inlineStr">
        <is>
          <t>.</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Oats</t>
        </is>
      </c>
      <c r="B46" t="inlineStr">
        <is>
          <t>.</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t="inlineStr">
        <is>
          <t>Oats</t>
        </is>
      </c>
      <c r="B47" t="inlineStr">
        <is>
          <t>.</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row>
    <row r="48">
      <c r="A48" t="inlineStr">
        <is>
          <t>Oats</t>
        </is>
      </c>
      <c r="B48" t="inlineStr">
        <is>
          <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Oats</t>
        </is>
      </c>
      <c r="B49" t="inlineStr">
        <is>
          <t>.</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Oats</t>
        </is>
      </c>
      <c r="B50" t="inlineStr">
        <is>
          <t>.</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Oats</t>
        </is>
      </c>
      <c r="B51" t="inlineStr">
        <is>
          <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Oats</t>
        </is>
      </c>
      <c r="B52" t="inlineStr">
        <is>
          <t>fodder of 18 plough-horses from the feast of the Circumcision (1 January) until Sunday before the feast of St Augustine (20 May), for 140 nights, 52.5 quarters, at 3 bushels a night.</t>
        </is>
      </c>
      <c r="C52" t="n">
        <v>0</v>
      </c>
      <c r="D52" t="n">
        <v>0</v>
      </c>
      <c r="E52" t="n">
        <v>0</v>
      </c>
      <c r="F52" t="n">
        <v>0</v>
      </c>
      <c r="G52" t="n">
        <v>0</v>
      </c>
      <c r="H52" t="n">
        <v>0</v>
      </c>
      <c r="I52" t="n">
        <v>0</v>
      </c>
      <c r="J52" t="n">
        <v>0</v>
      </c>
      <c r="K52" t="n">
        <v>0</v>
      </c>
      <c r="L52" t="n">
        <v>0</v>
      </c>
      <c r="M52" t="n">
        <v>0</v>
      </c>
      <c r="N52" t="n">
        <v>52.5</v>
      </c>
      <c r="O52" t="n">
        <v>0</v>
      </c>
      <c r="P52" t="n">
        <v>52.5</v>
      </c>
      <c r="Q52" t="n">
        <v>0</v>
      </c>
      <c r="R52" t="n">
        <v>0</v>
      </c>
      <c r="S52" t="n">
        <v>0</v>
      </c>
      <c r="T52" t="n">
        <v>0</v>
      </c>
      <c r="U52" t="n">
        <v>0</v>
      </c>
      <c r="V52" t="n">
        <v>0</v>
      </c>
      <c r="W52" t="n">
        <v>0</v>
      </c>
      <c r="X52" t="n">
        <v>52.5</v>
      </c>
      <c r="Y52" t="n">
        <v>3</v>
      </c>
      <c r="Z52" t="n">
        <v>52.875</v>
      </c>
      <c r="AA52" t="n">
        <v>52.5</v>
      </c>
      <c r="AB52" t="n">
        <v>0.375</v>
      </c>
      <c r="AC52" t="n">
        <v>52.5</v>
      </c>
      <c r="AD52" t="n">
        <v>0</v>
      </c>
      <c r="AE52" t="n">
        <v>0</v>
      </c>
      <c r="AF52" t="n">
        <v>3</v>
      </c>
    </row>
    <row r="53">
      <c r="A53" t="inlineStr">
        <is>
          <t>Oats</t>
        </is>
      </c>
      <c r="B53" t="inlineStr">
        <is>
          <t>.</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Oats</t>
        </is>
      </c>
      <c r="B54" t="inlineStr">
        <is>
          <t>.</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Oats</t>
        </is>
      </c>
      <c r="B55" t="inlineStr">
        <is>
          <t>.</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row>
    <row r="56">
      <c r="A56" t="inlineStr">
        <is>
          <t>Oats</t>
        </is>
      </c>
      <c r="B56" t="inlineStr">
        <is>
          <t>.</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Oats</t>
        </is>
      </c>
      <c r="B57" t="inlineStr">
        <is>
          <t>.</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Oats</t>
        </is>
      </c>
      <c r="B58" t="inlineStr">
        <is>
          <t>.</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row>
    <row r="59">
      <c r="A59" t="inlineStr">
        <is>
          <t>Oats</t>
        </is>
      </c>
      <c r="B59" t="inlineStr">
        <is>
          <t>.</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Oats</t>
        </is>
      </c>
      <c r="B60" t="inlineStr">
        <is>
          <t>fodder of the same when they ploughed after dinner, 5 quarters.</t>
        </is>
      </c>
      <c r="C60" t="n">
        <v>0</v>
      </c>
      <c r="D60" t="n">
        <v>0</v>
      </c>
      <c r="E60" t="n">
        <v>0</v>
      </c>
      <c r="F60" t="n">
        <v>0</v>
      </c>
      <c r="G60" t="n">
        <v>0</v>
      </c>
      <c r="H60" t="n">
        <v>0</v>
      </c>
      <c r="I60" t="n">
        <v>0</v>
      </c>
      <c r="J60" t="n">
        <v>0</v>
      </c>
      <c r="K60" t="n">
        <v>0</v>
      </c>
      <c r="L60" t="n">
        <v>0</v>
      </c>
      <c r="M60" t="n">
        <v>0</v>
      </c>
      <c r="N60" t="n">
        <v>5</v>
      </c>
      <c r="O60" t="n">
        <v>0</v>
      </c>
      <c r="P60" t="n">
        <v>5</v>
      </c>
      <c r="Q60" t="n">
        <v>0</v>
      </c>
      <c r="R60" t="n">
        <v>0</v>
      </c>
      <c r="S60" t="n">
        <v>0</v>
      </c>
      <c r="T60" t="n">
        <v>0</v>
      </c>
      <c r="U60" t="n">
        <v>0</v>
      </c>
      <c r="V60" t="n">
        <v>0</v>
      </c>
      <c r="W60" t="n">
        <v>0</v>
      </c>
      <c r="X60" t="n">
        <v>5</v>
      </c>
      <c r="Y60" t="n">
        <v>0</v>
      </c>
      <c r="Z60" t="n">
        <v>5</v>
      </c>
      <c r="AA60" t="n">
        <v>5</v>
      </c>
      <c r="AB60" t="n">
        <v>0</v>
      </c>
      <c r="AC60" t="n">
        <v>5</v>
      </c>
      <c r="AD60" t="n">
        <v>0</v>
      </c>
    </row>
    <row r="61">
      <c r="A61" t="inlineStr">
        <is>
          <t>Oats</t>
        </is>
      </c>
      <c r="B61" t="inlineStr">
        <is>
          <t>.</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row>
    <row r="62">
      <c r="A62" t="inlineStr">
        <is>
          <t>Oats</t>
        </is>
      </c>
      <c r="B62" t="inlineStr">
        <is>
          <t>.</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row>
    <row r="63">
      <c r="A63" t="inlineStr">
        <is>
          <t>Oats</t>
        </is>
      </c>
      <c r="B63" t="inlineStr">
        <is>
          <t>.</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t="inlineStr">
        <is>
          <t>Oats</t>
        </is>
      </c>
      <c r="B64" t="inlineStr">
        <is>
          <t>.</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Oats</t>
        </is>
      </c>
      <c r="B65" t="inlineStr">
        <is>
          <t>.</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row>
    <row r="66">
      <c r="A66" t="inlineStr">
        <is>
          <t>Oats</t>
        </is>
      </c>
      <c r="B66" t="inlineStr">
        <is>
          <t>.</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t="inlineStr">
        <is>
          <t>Oats</t>
        </is>
      </c>
      <c r="B67" t="inlineStr">
        <is>
          <t>.</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t="inlineStr">
        <is>
          <t>Oats</t>
        </is>
      </c>
      <c r="B68" t="inlineStr">
        <is>
          <t>fodder of oxen by estimation in sheaves, 42 quarters.</t>
        </is>
      </c>
      <c r="C68" t="n">
        <v>0</v>
      </c>
      <c r="D68" t="n">
        <v>0</v>
      </c>
      <c r="E68" t="n">
        <v>0</v>
      </c>
      <c r="F68" t="n">
        <v>0</v>
      </c>
      <c r="G68" t="n">
        <v>0</v>
      </c>
      <c r="H68" t="n">
        <v>0</v>
      </c>
      <c r="I68" t="n">
        <v>0</v>
      </c>
      <c r="J68" t="n">
        <v>0</v>
      </c>
      <c r="K68" t="n">
        <v>0</v>
      </c>
      <c r="L68" t="n">
        <v>0</v>
      </c>
      <c r="M68" t="n">
        <v>0</v>
      </c>
      <c r="N68" t="n">
        <v>42</v>
      </c>
      <c r="O68" t="n">
        <v>0</v>
      </c>
      <c r="P68" t="n">
        <v>42</v>
      </c>
      <c r="Q68" t="n">
        <v>0</v>
      </c>
      <c r="R68" t="n">
        <v>0</v>
      </c>
      <c r="S68" t="n">
        <v>0</v>
      </c>
      <c r="T68" t="n">
        <v>0</v>
      </c>
      <c r="U68" t="n">
        <v>0</v>
      </c>
      <c r="V68" t="n">
        <v>0</v>
      </c>
      <c r="W68" t="n">
        <v>0</v>
      </c>
      <c r="X68" t="n">
        <v>42</v>
      </c>
      <c r="Y68" t="n">
        <v>0</v>
      </c>
      <c r="Z68" t="n">
        <v>42</v>
      </c>
      <c r="AA68" t="n">
        <v>42</v>
      </c>
      <c r="AB68" t="n">
        <v>0</v>
      </c>
      <c r="AC68" t="n">
        <v>42</v>
      </c>
      <c r="AD68" t="n">
        <v>0</v>
      </c>
    </row>
    <row r="69">
      <c r="A69" t="inlineStr">
        <is>
          <t>Oats</t>
        </is>
      </c>
      <c r="B69" t="inlineStr">
        <is>
          <t>.</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Oats</t>
        </is>
      </c>
      <c r="B70" t="inlineStr">
        <is>
          <t>.</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row>
    <row r="71">
      <c r="A71" t="inlineStr">
        <is>
          <t>Oats</t>
        </is>
      </c>
      <c r="B71" t="inlineStr">
        <is>
          <t>.</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t="inlineStr">
        <is>
          <t>Oats</t>
        </is>
      </c>
      <c r="B72" t="inlineStr">
        <is>
          <t>.</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row>
    <row r="73">
      <c r="A73" t="inlineStr">
        <is>
          <t>Oats</t>
        </is>
      </c>
      <c r="B73" t="inlineStr">
        <is>
          <t>.</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row>
    <row r="74">
      <c r="A74" t="inlineStr">
        <is>
          <t>Oats</t>
        </is>
      </c>
      <c r="B74" t="inlineStr">
        <is>
          <t>.</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row>
    <row r="75">
      <c r="A75" t="inlineStr">
        <is>
          <t>Oats</t>
        </is>
      </c>
      <c r="B75" t="inlineStr">
        <is>
          <t>.</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row>
    <row r="76">
      <c r="A76" t="inlineStr">
        <is>
          <t>Oats</t>
        </is>
      </c>
      <c r="B76" t="inlineStr">
        <is>
          <t>customary payment to 8 ploughmen, 3 shepherds, and 3 customary tenants who replaced 3 drovers, who were accustomed to be at liberty, 10.5 quarters, or 6 bushels each.</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10.5</v>
      </c>
      <c r="Y76" t="n">
        <v>6</v>
      </c>
      <c r="Z76" t="n">
        <v>11.25</v>
      </c>
      <c r="AA76" t="n">
        <v>10.5</v>
      </c>
      <c r="AB76" t="n">
        <v>0.75</v>
      </c>
      <c r="AC76" t="n">
        <v>10.5</v>
      </c>
      <c r="AD76" t="n">
        <v>0</v>
      </c>
      <c r="AE76" t="n">
        <v>0</v>
      </c>
      <c r="AF76" t="n">
        <v>6</v>
      </c>
    </row>
    <row r="77">
      <c r="A77" t="inlineStr">
        <is>
          <t>Oats</t>
        </is>
      </c>
      <c r="B77" t="inlineStr">
        <is>
          <t>.</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row>
    <row r="78">
      <c r="A78" t="inlineStr">
        <is>
          <t>Oats</t>
        </is>
      </c>
      <c r="B78" t="inlineStr">
        <is>
          <t>.</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row>
    <row r="79">
      <c r="A79" t="inlineStr">
        <is>
          <t>Oats</t>
        </is>
      </c>
      <c r="B79" t="inlineStr">
        <is>
          <t>.</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Oats</t>
        </is>
      </c>
      <c r="B80" t="inlineStr">
        <is>
          <t>.</t>
        </is>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row>
    <row r="81">
      <c r="A81" t="inlineStr">
        <is>
          <t>Oats</t>
        </is>
      </c>
      <c r="B81" t="inlineStr">
        <is>
          <t>.</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row>
    <row r="82">
      <c r="A82" t="inlineStr">
        <is>
          <t>Oats</t>
        </is>
      </c>
      <c r="B82" t="inlineStr">
        <is>
          <t>.</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t="inlineStr">
        <is>
          <t>Oats</t>
        </is>
      </c>
      <c r="B83" t="inlineStr">
        <is>
          <t>.</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row>
    <row r="84">
      <c r="A84" t="inlineStr">
        <is>
          <t>Oats</t>
        </is>
      </c>
      <c r="B84" t="inlineStr">
        <is>
          <t>fodder of the steward's horses for his visits by 1 tally, 1.5 quarters.</t>
        </is>
      </c>
      <c r="C84" t="n">
        <v>0</v>
      </c>
      <c r="D84" t="n">
        <v>0</v>
      </c>
      <c r="E84" t="n">
        <v>0</v>
      </c>
      <c r="F84" t="n">
        <v>0</v>
      </c>
      <c r="G84" t="n">
        <v>0</v>
      </c>
      <c r="H84" t="n">
        <v>0</v>
      </c>
      <c r="I84" t="n">
        <v>0</v>
      </c>
      <c r="J84" t="n">
        <v>0</v>
      </c>
      <c r="K84" t="n">
        <v>0</v>
      </c>
      <c r="L84" t="n">
        <v>0</v>
      </c>
      <c r="M84" t="n">
        <v>0</v>
      </c>
      <c r="N84" t="n">
        <v>1.5</v>
      </c>
      <c r="O84" t="n">
        <v>0</v>
      </c>
      <c r="P84" t="n">
        <v>1.5</v>
      </c>
      <c r="Q84" t="n">
        <v>0</v>
      </c>
      <c r="R84" t="n">
        <v>0</v>
      </c>
      <c r="S84" t="n">
        <v>0</v>
      </c>
      <c r="T84" t="n">
        <v>0</v>
      </c>
      <c r="U84" t="n">
        <v>0</v>
      </c>
      <c r="V84" t="n">
        <v>0</v>
      </c>
      <c r="W84" t="n">
        <v>0</v>
      </c>
      <c r="X84" t="n">
        <v>1.5</v>
      </c>
      <c r="Y84" t="n">
        <v>0</v>
      </c>
      <c r="Z84" t="n">
        <v>1.5</v>
      </c>
      <c r="AA84" t="n">
        <v>1.5</v>
      </c>
      <c r="AB84" t="n">
        <v>0</v>
      </c>
      <c r="AC84" t="n">
        <v>1.5</v>
      </c>
      <c r="AD84" t="n">
        <v>0</v>
      </c>
    </row>
    <row r="85">
      <c r="A85" t="inlineStr">
        <is>
          <t>Oats</t>
        </is>
      </c>
      <c r="B85" t="inlineStr">
        <is>
          <t>.</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Oats</t>
        </is>
      </c>
      <c r="B86" t="inlineStr">
        <is>
          <t>.</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Oats</t>
        </is>
      </c>
      <c r="B87" t="inlineStr">
        <is>
          <t>.</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Oats</t>
        </is>
      </c>
      <c r="B88" t="inlineStr">
        <is>
          <t>.</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row>
    <row r="89">
      <c r="A89" t="inlineStr">
        <is>
          <t>Oats</t>
        </is>
      </c>
      <c r="B89" t="inlineStr">
        <is>
          <t>.</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row>
    <row r="90">
      <c r="A90" t="inlineStr">
        <is>
          <t>Oats</t>
        </is>
      </c>
      <c r="B90" t="inlineStr">
        <is>
          <t>.</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row>
    <row r="91">
      <c r="A91" t="inlineStr">
        <is>
          <t>Oats</t>
        </is>
      </c>
      <c r="B91" t="inlineStr">
        <is>
          <t>.</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t="inlineStr">
        <is>
          <t>Oats</t>
        </is>
      </c>
      <c r="B92" t="inlineStr">
        <is>
          <t>fodder of the bailiff's horses for the year, 20 quarters.</t>
        </is>
      </c>
      <c r="C92" t="n">
        <v>0</v>
      </c>
      <c r="D92" t="n">
        <v>0</v>
      </c>
      <c r="E92" t="n">
        <v>0</v>
      </c>
      <c r="F92" t="n">
        <v>0</v>
      </c>
      <c r="G92" t="n">
        <v>0</v>
      </c>
      <c r="H92" t="n">
        <v>0</v>
      </c>
      <c r="I92" t="n">
        <v>0</v>
      </c>
      <c r="J92" t="n">
        <v>0</v>
      </c>
      <c r="K92" t="n">
        <v>0</v>
      </c>
      <c r="L92" t="n">
        <v>0</v>
      </c>
      <c r="M92" t="n">
        <v>0</v>
      </c>
      <c r="N92" t="n">
        <v>20</v>
      </c>
      <c r="O92" t="n">
        <v>0</v>
      </c>
      <c r="P92" t="n">
        <v>20</v>
      </c>
      <c r="Q92" t="n">
        <v>0</v>
      </c>
      <c r="R92" t="n">
        <v>0</v>
      </c>
      <c r="S92" t="n">
        <v>0</v>
      </c>
      <c r="T92" t="n">
        <v>0</v>
      </c>
      <c r="U92" t="n">
        <v>0</v>
      </c>
      <c r="V92" t="n">
        <v>0</v>
      </c>
      <c r="W92" t="n">
        <v>0</v>
      </c>
      <c r="X92" t="n">
        <v>20</v>
      </c>
      <c r="Y92" t="n">
        <v>0</v>
      </c>
      <c r="Z92" t="n">
        <v>20</v>
      </c>
      <c r="AA92" t="n">
        <v>20</v>
      </c>
      <c r="AB92" t="n">
        <v>0</v>
      </c>
      <c r="AC92" t="n">
        <v>20</v>
      </c>
      <c r="AD92" t="n">
        <v>0</v>
      </c>
    </row>
    <row r="93">
      <c r="A93" t="inlineStr">
        <is>
          <t>Oats</t>
        </is>
      </c>
      <c r="B93" t="inlineStr">
        <is>
          <t>Sold, 275 quarters 3 bushels</t>
        </is>
      </c>
      <c r="C93" t="n">
        <v>0</v>
      </c>
      <c r="D93" t="n">
        <v>0</v>
      </c>
      <c r="E93" t="n">
        <v>0</v>
      </c>
      <c r="F93" t="n">
        <v>0</v>
      </c>
      <c r="G93" t="n">
        <v>0</v>
      </c>
      <c r="H93" t="n">
        <v>0</v>
      </c>
      <c r="I93" t="n">
        <v>0</v>
      </c>
      <c r="J93" t="n">
        <v>0</v>
      </c>
      <c r="K93" t="n">
        <v>0</v>
      </c>
      <c r="L93" t="n">
        <v>0</v>
      </c>
      <c r="M93" t="n">
        <v>0</v>
      </c>
      <c r="N93" t="n">
        <v>0</v>
      </c>
      <c r="O93" t="n">
        <v>0</v>
      </c>
      <c r="P93" t="n">
        <v>0</v>
      </c>
      <c r="Q93" t="n">
        <v>275</v>
      </c>
      <c r="R93" t="n">
        <v>3</v>
      </c>
      <c r="S93" t="n">
        <v>275.375</v>
      </c>
      <c r="T93" t="n">
        <v>0</v>
      </c>
      <c r="U93" t="n">
        <v>0</v>
      </c>
      <c r="V93" t="n">
        <v>0</v>
      </c>
      <c r="W93" t="n">
        <v>0</v>
      </c>
      <c r="X93" t="n">
        <v>275</v>
      </c>
      <c r="Y93" t="n">
        <v>3</v>
      </c>
      <c r="Z93" t="n">
        <v>275.375</v>
      </c>
      <c r="AA93" t="n">
        <v>275.375</v>
      </c>
      <c r="AB93" t="n">
        <v>0</v>
      </c>
      <c r="AC93" t="n">
        <v>275</v>
      </c>
      <c r="AD93" t="n">
        <v>3</v>
      </c>
    </row>
    <row r="94">
      <c r="A94" t="inlineStr">
        <is>
          <t>Oats</t>
        </is>
      </c>
      <c r="B94" t="inlineStr">
        <is>
          <t>Total</t>
        </is>
      </c>
      <c r="C94" t="n">
        <v>0</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Q6"/>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shilling a quarter 5</t>
        </is>
      </c>
      <c r="AF1" s="1" t="inlineStr">
        <is>
          <t>pence a quarter 5</t>
        </is>
      </c>
      <c r="AG1" s="1" t="inlineStr">
        <is>
          <t>Quarters 5</t>
        </is>
      </c>
      <c r="AH1" s="1" t="inlineStr">
        <is>
          <t>Bushels 5</t>
        </is>
      </c>
      <c r="AI1" s="1" t="inlineStr">
        <is>
          <t>£ a quarter 1</t>
        </is>
      </c>
      <c r="AJ1" s="1" t="inlineStr">
        <is>
          <t>£ a quarter 2</t>
        </is>
      </c>
      <c r="AK1" s="1" t="inlineStr">
        <is>
          <t>£ a quarter 3</t>
        </is>
      </c>
      <c r="AL1" s="1" t="inlineStr">
        <is>
          <t>£ a quarter 4</t>
        </is>
      </c>
      <c r="AM1" s="1" t="inlineStr">
        <is>
          <t>£ a quarter 5</t>
        </is>
      </c>
      <c r="AN1" s="1" t="inlineStr">
        <is>
          <t>Quarters Sold</t>
        </is>
      </c>
      <c r="AO1" s="1" t="inlineStr">
        <is>
          <t>Weighted Average Price per Quarter</t>
        </is>
      </c>
      <c r="AP1" s="1" t="inlineStr">
        <is>
          <t>Non-Weighted Average Price per Quarter</t>
        </is>
      </c>
      <c r="AQ1" s="1" t="inlineStr">
        <is>
          <t>Corn lowercase</t>
        </is>
      </c>
    </row>
    <row r="2">
      <c r="A2" t="inlineStr">
        <is>
          <t>Sale of corn</t>
        </is>
      </c>
      <c r="B2" t="inlineStr">
        <is>
          <t>The same render account for £75 10 shilling 5pence from 274 quarters 2 bushels of wheat sold, at 4 shilling a quarters for 29 quarters 2 bushels, 5 shilling a quarters for 70 quarters 6 bushels, 5 shilling 4pence a quarters for 82 quarters 3 bushels, 6 shilling a quarters for 18 quarters 2 bushels, and 6 shilling 8pence a quarters for 73 quarters 5 bushels.</t>
        </is>
      </c>
      <c r="C2" t="n">
        <v>75.52</v>
      </c>
      <c r="D2" t="n">
        <v>75</v>
      </c>
      <c r="E2" t="n">
        <v>10</v>
      </c>
      <c r="F2" t="n">
        <v>5</v>
      </c>
      <c r="G2" t="inlineStr">
        <is>
          <t>wheat</t>
        </is>
      </c>
      <c r="H2" t="n">
        <v>272</v>
      </c>
      <c r="I2" t="n">
        <v>18</v>
      </c>
      <c r="J2" t="n">
        <v>274.25</v>
      </c>
      <c r="K2" t="n">
        <v>274.25</v>
      </c>
      <c r="L2" t="n">
        <v>0</v>
      </c>
      <c r="M2" t="n">
        <v>274</v>
      </c>
      <c r="N2" t="n">
        <v>2</v>
      </c>
      <c r="O2" t="n">
        <v>4</v>
      </c>
      <c r="P2" t="n">
        <v>0</v>
      </c>
      <c r="Q2" t="n">
        <v>29</v>
      </c>
      <c r="R2" t="n">
        <v>2</v>
      </c>
      <c r="S2" t="n">
        <v>5</v>
      </c>
      <c r="T2" t="n">
        <v>0</v>
      </c>
      <c r="U2" t="n">
        <v>70</v>
      </c>
      <c r="V2" t="n">
        <v>6</v>
      </c>
      <c r="W2" t="n">
        <v>5</v>
      </c>
      <c r="X2" t="n">
        <v>4</v>
      </c>
      <c r="Y2" t="n">
        <v>82</v>
      </c>
      <c r="Z2" t="n">
        <v>3</v>
      </c>
      <c r="AA2" t="n">
        <v>6</v>
      </c>
      <c r="AB2" t="n">
        <v>0</v>
      </c>
      <c r="AC2" t="n">
        <v>18</v>
      </c>
      <c r="AD2" t="n">
        <v>2</v>
      </c>
      <c r="AE2" t="n">
        <v>6</v>
      </c>
      <c r="AF2" t="n">
        <v>8</v>
      </c>
      <c r="AG2" t="n">
        <v>73</v>
      </c>
      <c r="AH2" t="n">
        <v>5</v>
      </c>
      <c r="AI2" t="n">
        <v>0.2</v>
      </c>
      <c r="AJ2" t="n">
        <v>0.25</v>
      </c>
      <c r="AK2" t="n">
        <v>0.2666666666666667</v>
      </c>
      <c r="AL2" t="n">
        <v>0.3</v>
      </c>
      <c r="AM2" t="n">
        <v>0.3333333333333333</v>
      </c>
      <c r="AN2" t="n">
        <v>274.25</v>
      </c>
      <c r="AO2" t="n">
        <v>0.275372227286539</v>
      </c>
      <c r="AP2" t="n">
        <v>0.27</v>
      </c>
      <c r="AQ2" t="inlineStr">
        <is>
          <t>wheat</t>
        </is>
      </c>
    </row>
    <row r="3">
      <c r="A3" t="inlineStr">
        <is>
          <t>Sale of corn</t>
        </is>
      </c>
      <c r="B3" t="inlineStr">
        <is>
          <t>£2 6 shilling 8pence from 14 quarters of curall sold, at 3 shilling 4pence a quarters.</t>
        </is>
      </c>
      <c r="C3" t="n">
        <v>2.33</v>
      </c>
      <c r="D3" t="n">
        <v>2</v>
      </c>
      <c r="E3" t="n">
        <v>6</v>
      </c>
      <c r="F3" t="n">
        <v>8</v>
      </c>
      <c r="G3" t="inlineStr">
        <is>
          <t>curall</t>
        </is>
      </c>
      <c r="H3" t="n">
        <v>14</v>
      </c>
      <c r="I3" t="n">
        <v>0</v>
      </c>
      <c r="J3" t="n">
        <v>14</v>
      </c>
      <c r="K3" t="n">
        <v>14</v>
      </c>
      <c r="L3" t="n">
        <v>0</v>
      </c>
      <c r="M3" t="n">
        <v>14</v>
      </c>
      <c r="N3" t="n">
        <v>0</v>
      </c>
      <c r="O3" t="n">
        <v>3</v>
      </c>
      <c r="P3" t="n">
        <v>4</v>
      </c>
      <c r="AI3" t="n">
        <v>0.1666666666666667</v>
      </c>
      <c r="AN3" t="n">
        <v>14</v>
      </c>
      <c r="AO3" t="n">
        <v>0.1666666666666667</v>
      </c>
      <c r="AP3" t="n">
        <v>0.1666666666666667</v>
      </c>
      <c r="AQ3" t="inlineStr">
        <is>
          <t>curall</t>
        </is>
      </c>
    </row>
    <row r="4">
      <c r="A4" t="inlineStr">
        <is>
          <t>Sale of corn</t>
        </is>
      </c>
      <c r="B4" t="inlineStr">
        <is>
          <t>£5 10 shilling 10.5pence from 28 quarters 5 bushels of barley sold, at 4 shilling a quarters for 25 quarters, and 3 shilling a quarters for 3 quarters 5 bushels.</t>
        </is>
      </c>
      <c r="C4" t="n">
        <v>5.54</v>
      </c>
      <c r="D4" t="n">
        <v>5</v>
      </c>
      <c r="E4" t="n">
        <v>10</v>
      </c>
      <c r="F4" t="n">
        <v>10.5</v>
      </c>
      <c r="G4" t="inlineStr">
        <is>
          <t>barley</t>
        </is>
      </c>
      <c r="H4" t="n">
        <v>28</v>
      </c>
      <c r="I4" t="n">
        <v>5</v>
      </c>
      <c r="J4" t="n">
        <v>28.625</v>
      </c>
      <c r="K4" t="n">
        <v>28.625</v>
      </c>
      <c r="L4" t="n">
        <v>0</v>
      </c>
      <c r="M4" t="n">
        <v>28</v>
      </c>
      <c r="N4" t="n">
        <v>5</v>
      </c>
      <c r="O4" t="n">
        <v>4</v>
      </c>
      <c r="P4" t="n">
        <v>0</v>
      </c>
      <c r="Q4" t="n">
        <v>25</v>
      </c>
      <c r="R4" t="n">
        <v>0</v>
      </c>
      <c r="S4" t="n">
        <v>3</v>
      </c>
      <c r="T4" t="n">
        <v>0</v>
      </c>
      <c r="U4" t="n">
        <v>3</v>
      </c>
      <c r="V4" t="n">
        <v>5</v>
      </c>
      <c r="AI4" t="n">
        <v>0.2</v>
      </c>
      <c r="AJ4" t="n">
        <v>0.15</v>
      </c>
      <c r="AN4" t="n">
        <v>28.625</v>
      </c>
      <c r="AO4" t="n">
        <v>0.1936681222707424</v>
      </c>
      <c r="AP4" t="n">
        <v>0.175</v>
      </c>
      <c r="AQ4" t="inlineStr">
        <is>
          <t>barley</t>
        </is>
      </c>
    </row>
    <row r="5">
      <c r="A5" t="inlineStr">
        <is>
          <t>Sale of corn</t>
        </is>
      </c>
      <c r="B5" t="inlineStr">
        <is>
          <t>£28 8 shilling 4.75pence from 275 quarters 3 bushels of oats sold, at 1 shilling 8pence a quarters for 55 quarters 3 bushels, 2 shilling a quarters for 86 quarters 3 bushels, 2 shilling 2pence a quarters for 50 quarters 5 bushels, and 2 shilling 4pence a quarters for 83 quarters.</t>
        </is>
      </c>
      <c r="C5" t="n">
        <v>28.42</v>
      </c>
      <c r="D5" t="n">
        <v>28</v>
      </c>
      <c r="E5" t="n">
        <v>8</v>
      </c>
      <c r="F5" t="n">
        <v>4.75</v>
      </c>
      <c r="G5" t="inlineStr">
        <is>
          <t>oats</t>
        </is>
      </c>
      <c r="H5" t="n">
        <v>274</v>
      </c>
      <c r="I5" t="n">
        <v>11</v>
      </c>
      <c r="J5" t="n">
        <v>275.375</v>
      </c>
      <c r="K5" t="n">
        <v>275.375</v>
      </c>
      <c r="L5" t="n">
        <v>0</v>
      </c>
      <c r="M5" t="n">
        <v>275</v>
      </c>
      <c r="N5" t="n">
        <v>3</v>
      </c>
      <c r="O5" t="n">
        <v>1</v>
      </c>
      <c r="P5" t="n">
        <v>8</v>
      </c>
      <c r="Q5" t="n">
        <v>55</v>
      </c>
      <c r="R5" t="n">
        <v>3</v>
      </c>
      <c r="S5" t="n">
        <v>2</v>
      </c>
      <c r="T5" t="n">
        <v>0</v>
      </c>
      <c r="U5" t="n">
        <v>86</v>
      </c>
      <c r="V5" t="n">
        <v>3</v>
      </c>
      <c r="W5" t="n">
        <v>2</v>
      </c>
      <c r="X5" t="n">
        <v>2</v>
      </c>
      <c r="Y5" t="n">
        <v>50</v>
      </c>
      <c r="Z5" t="n">
        <v>5</v>
      </c>
      <c r="AA5" t="n">
        <v>2</v>
      </c>
      <c r="AB5" t="n">
        <v>4</v>
      </c>
      <c r="AC5" t="n">
        <v>83</v>
      </c>
      <c r="AD5" t="n">
        <v>0</v>
      </c>
      <c r="AI5" t="n">
        <v>0.08333333333333334</v>
      </c>
      <c r="AJ5" t="n">
        <v>0.1</v>
      </c>
      <c r="AK5" t="n">
        <v>0.1083333333333333</v>
      </c>
      <c r="AL5" t="n">
        <v>0.1166666666666667</v>
      </c>
      <c r="AN5" t="n">
        <v>275.375</v>
      </c>
      <c r="AO5" t="n">
        <v>0.1032039642911182</v>
      </c>
      <c r="AP5" t="n">
        <v>0.1020833333333333</v>
      </c>
      <c r="AQ5" t="inlineStr">
        <is>
          <t>oats</t>
        </is>
      </c>
    </row>
    <row r="6">
      <c r="A6" t="inlineStr">
        <is>
          <t>Sale of corn</t>
        </is>
      </c>
      <c r="B6" t="inlineStr">
        <is>
          <t>Total of all corn sold, £111 16 shilling 4.25pence</t>
        </is>
      </c>
      <c r="C6" t="n">
        <v>111.82</v>
      </c>
      <c r="D6" t="n">
        <v>111</v>
      </c>
      <c r="E6" t="n">
        <v>16</v>
      </c>
      <c r="F6" t="n">
        <v>4.25</v>
      </c>
      <c r="H6" t="n">
        <v>0</v>
      </c>
      <c r="I6" t="n">
        <v>0</v>
      </c>
      <c r="J6" t="n">
        <v>0</v>
      </c>
      <c r="K6" t="n">
        <v>0</v>
      </c>
      <c r="L6" t="n">
        <v>0</v>
      </c>
      <c r="M6" t="n">
        <v>0</v>
      </c>
      <c r="N6" t="n">
        <v>0</v>
      </c>
      <c r="AI6" t="inlineStr">
        <is>
          <t>inf</t>
        </is>
      </c>
      <c r="AN6" t="n">
        <v>0</v>
      </c>
      <c r="AO6" t="inlineStr">
        <is>
          <t>inf</t>
        </is>
      </c>
      <c r="AP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2025-12-18T10:17:02Z</dcterms:modified>
  <cp:lastModifiedBy>Kowalski, Kuba</cp:lastModifiedBy>
</cp:coreProperties>
</file>
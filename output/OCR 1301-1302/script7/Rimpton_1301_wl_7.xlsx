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2.xml" ContentType="application/vnd.openxmlformats-officedocument.spreadsheetml.comment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omments/comment3.xml" ContentType="application/vnd.openxmlformats-officedocument.spreadsheetml.comments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38520" yWindow="5790" windowWidth="38640" windowHeight="21120" tabRatio="600" firstSheet="0" activeTab="0" autoFilterDateGrouping="1"/>
  </bookViews>
  <sheets>
    <sheet xmlns:r="http://schemas.openxmlformats.org/officeDocument/2006/relationships" name="Rimpton Overview - Completed" sheetId="1" state="visible" r:id="rId1"/>
    <sheet xmlns:r="http://schemas.openxmlformats.org/officeDocument/2006/relationships" name="Prices" sheetId="2" state="visible" r:id="rId2"/>
    <sheet xmlns:r="http://schemas.openxmlformats.org/officeDocument/2006/relationships" name="Labour Rents" sheetId="3" state="visible" r:id="rId3"/>
    <sheet xmlns:r="http://schemas.openxmlformats.org/officeDocument/2006/relationships" name="Overview" sheetId="4" state="visible" r:id="rId4"/>
    <sheet xmlns:r="http://schemas.openxmlformats.org/officeDocument/2006/relationships" name="Receipts" sheetId="5" state="visible" r:id="rId5"/>
    <sheet xmlns:r="http://schemas.openxmlformats.org/officeDocument/2006/relationships" name="Expenses" sheetId="6" state="visible" r:id="rId6"/>
    <sheet xmlns:r="http://schemas.openxmlformats.org/officeDocument/2006/relationships" name="Issues of the Grange" sheetId="7" state="visible" r:id="rId7"/>
    <sheet xmlns:r="http://schemas.openxmlformats.org/officeDocument/2006/relationships" name="Issues of the Mills" sheetId="8" state="visible" r:id="rId8"/>
    <sheet xmlns:r="http://schemas.openxmlformats.org/officeDocument/2006/relationships" name="Stock" sheetId="9" state="visible" r:id="rId9"/>
    <sheet xmlns:r="http://schemas.openxmlformats.org/officeDocument/2006/relationships" name="raw data" sheetId="10" state="visible" r:id="rId10"/>
    <sheet xmlns:r="http://schemas.openxmlformats.org/officeDocument/2006/relationships" name="Issues of the Grange raw" sheetId="11" state="visible" r:id="rId11"/>
    <sheet xmlns:r="http://schemas.openxmlformats.org/officeDocument/2006/relationships" name="Sale of Corn Prices" sheetId="12" state="visible" r:id="rId12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#,##0.000000"/>
  </numFmts>
  <fonts count="30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sz val="11"/>
    </font>
    <font>
      <name val="Calibri"/>
      <family val="2"/>
      <color rgb="FFFF0000"/>
      <sz val="12"/>
      <scheme val="minor"/>
    </font>
    <font>
      <name val="Calibri"/>
      <family val="2"/>
      <b val="1"/>
      <color theme="1"/>
      <sz val="12"/>
      <scheme val="minor"/>
    </font>
    <font>
      <name val="Calibri (Body)"/>
      <b val="1"/>
      <color theme="1"/>
      <sz val="12"/>
    </font>
    <font>
      <name val="Calibri (Body)"/>
      <b val="1"/>
      <color rgb="FFFF0000"/>
      <sz val="12"/>
    </font>
    <font>
      <name val="Calibri"/>
      <family val="2"/>
      <b val="1"/>
      <sz val="12"/>
    </font>
    <font>
      <name val="Calibri"/>
      <family val="2"/>
      <b val="1"/>
      <color rgb="FF000000"/>
      <sz val="12"/>
      <scheme val="minor"/>
    </font>
    <font>
      <name val="Calibri"/>
      <family val="2"/>
      <i val="1"/>
      <color theme="1"/>
      <sz val="12"/>
      <scheme val="minor"/>
    </font>
    <font>
      <name val="Calibri"/>
      <family val="2"/>
      <b val="1"/>
      <i val="1"/>
      <color theme="1"/>
      <sz val="12"/>
      <scheme val="minor"/>
    </font>
    <font>
      <name val="Calibri"/>
      <family val="2"/>
      <color rgb="FF000000"/>
      <sz val="12"/>
      <scheme val="minor"/>
    </font>
    <font>
      <name val="Calibri"/>
      <family val="2"/>
      <i val="1"/>
      <color rgb="FF000000"/>
      <sz val="12"/>
      <scheme val="minor"/>
    </font>
    <font>
      <name val="Calibri"/>
      <family val="2"/>
      <b val="1"/>
      <i val="1"/>
      <color rgb="FF000000"/>
      <sz val="12"/>
      <scheme val="minor"/>
    </font>
    <font>
      <name val="Calibri (Body)"/>
      <color rgb="FFFF0000"/>
      <sz val="12"/>
    </font>
    <font>
      <name val="Calibri"/>
      <family val="2"/>
      <b val="1"/>
      <color theme="1"/>
      <sz val="11"/>
      <scheme val="minor"/>
    </font>
    <font>
      <name val="Calibri"/>
      <family val="2"/>
      <i val="1"/>
      <color rgb="FFFF0000"/>
      <sz val="12"/>
      <scheme val="minor"/>
    </font>
    <font>
      <name val="Tahoma"/>
      <family val="2"/>
      <b val="1"/>
      <color rgb="FF000000"/>
      <sz val="10"/>
    </font>
    <font>
      <name val="Tahoma"/>
      <family val="2"/>
      <color rgb="FF000000"/>
      <sz val="10"/>
    </font>
    <font>
      <name val="Calibri"/>
      <family val="2"/>
      <i val="1"/>
      <color theme="1"/>
      <sz val="11"/>
      <scheme val="minor"/>
    </font>
    <font>
      <name val="Calibri"/>
      <family val="2"/>
      <i val="1"/>
      <color rgb="FFFF0000"/>
      <sz val="11"/>
      <scheme val="minor"/>
    </font>
    <font>
      <name val="Calibri"/>
      <family val="2"/>
      <sz val="12"/>
      <scheme val="minor"/>
    </font>
    <font>
      <name val="Calibri"/>
      <family val="2"/>
      <b val="1"/>
      <color rgb="FFFF0000"/>
      <sz val="12"/>
      <scheme val="minor"/>
    </font>
    <font>
      <name val="Calibri (Body)"/>
      <color rgb="FFFF0000"/>
      <sz val="11"/>
    </font>
    <font>
      <name val="Calibri"/>
      <family val="2"/>
      <b val="1"/>
      <color rgb="FF000000"/>
      <sz val="11"/>
      <scheme val="minor"/>
    </font>
  </fonts>
  <fills count="12">
    <fill>
      <patternFill/>
    </fill>
    <fill>
      <patternFill patternType="gray125"/>
    </fill>
    <fill>
      <patternFill patternType="solid">
        <fgColor rgb="FFF2F2F2"/>
        <bgColor rgb="FF000000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7" tint="0.7999816888943144"/>
        <bgColor rgb="FF000000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0499893185216834"/>
        <bgColor rgb="FF000000"/>
      </patternFill>
    </fill>
    <fill>
      <patternFill patternType="solid">
        <fgColor theme="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A6A6A6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theme="0" tint="-0.3499862666707358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41">
    <xf numFmtId="0" fontId="0" fillId="0" borderId="0" pivotButton="0" quotePrefix="0" xfId="0"/>
    <xf numFmtId="0" fontId="7" fillId="0" borderId="1" applyAlignment="1" pivotButton="0" quotePrefix="0" xfId="0">
      <alignment horizontal="center" vertical="top"/>
    </xf>
    <xf numFmtId="0" fontId="10" fillId="0" borderId="0" pivotButton="0" quotePrefix="0" xfId="0"/>
    <xf numFmtId="4" fontId="10" fillId="0" borderId="0" applyAlignment="1" pivotButton="0" quotePrefix="0" xfId="0">
      <alignment horizontal="right"/>
    </xf>
    <xf numFmtId="0" fontId="10" fillId="0" borderId="0" applyAlignment="1" pivotButton="0" quotePrefix="0" xfId="0">
      <alignment horizontal="right"/>
    </xf>
    <xf numFmtId="4" fontId="9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 vertical="top"/>
    </xf>
    <xf numFmtId="0" fontId="12" fillId="0" borderId="0" applyAlignment="1" pivotButton="0" quotePrefix="0" xfId="0">
      <alignment horizontal="left" vertical="top"/>
    </xf>
    <xf numFmtId="0" fontId="13" fillId="0" borderId="0" pivotButton="0" quotePrefix="0" xfId="0"/>
    <xf numFmtId="0" fontId="6" fillId="0" borderId="0" pivotButton="0" quotePrefix="0" xfId="0"/>
    <xf numFmtId="0" fontId="8" fillId="0" borderId="0" pivotButton="0" quotePrefix="0" xfId="0"/>
    <xf numFmtId="0" fontId="12" fillId="0" borderId="0" applyAlignment="1" pivotButton="0" quotePrefix="0" xfId="0">
      <alignment horizontal="center" vertical="top"/>
    </xf>
    <xf numFmtId="0" fontId="9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6" fillId="0" borderId="0" pivotButton="0" quotePrefix="0" xfId="0"/>
    <xf numFmtId="0" fontId="13" fillId="2" borderId="0" pivotButton="0" quotePrefix="0" xfId="0"/>
    <xf numFmtId="0" fontId="17" fillId="2" borderId="0" pivotButton="0" quotePrefix="0" xfId="0"/>
    <xf numFmtId="0" fontId="16" fillId="3" borderId="0" pivotButton="0" quotePrefix="0" xfId="0"/>
    <xf numFmtId="0" fontId="17" fillId="3" borderId="0" pivotButton="0" quotePrefix="0" xfId="0"/>
    <xf numFmtId="0" fontId="17" fillId="4" borderId="0" pivotButton="0" quotePrefix="0" xfId="0"/>
    <xf numFmtId="0" fontId="13" fillId="5" borderId="0" pivotButton="0" quotePrefix="0" xfId="0"/>
    <xf numFmtId="0" fontId="16" fillId="0" borderId="0" applyAlignment="1" pivotButton="0" quotePrefix="0" xfId="0">
      <alignment wrapText="1"/>
    </xf>
    <xf numFmtId="0" fontId="16" fillId="0" borderId="2" pivotButton="0" quotePrefix="0" xfId="0"/>
    <xf numFmtId="0" fontId="16" fillId="0" borderId="0" applyAlignment="1" pivotButton="0" quotePrefix="0" xfId="0">
      <alignment horizontal="right"/>
    </xf>
    <xf numFmtId="0" fontId="16" fillId="0" borderId="2" applyAlignment="1" pivotButton="0" quotePrefix="0" xfId="0">
      <alignment horizontal="left"/>
    </xf>
    <xf numFmtId="2" fontId="6" fillId="0" borderId="0" pivotButton="0" quotePrefix="0" xfId="0"/>
    <xf numFmtId="0" fontId="0" fillId="0" borderId="0" applyAlignment="1" pivotButton="0" quotePrefix="0" xfId="0">
      <alignment horizontal="right" wrapText="1"/>
    </xf>
    <xf numFmtId="0" fontId="0" fillId="0" borderId="0" applyAlignment="1" pivotButton="0" quotePrefix="0" xfId="0">
      <alignment horizontal="right"/>
    </xf>
    <xf numFmtId="0" fontId="9" fillId="0" borderId="0" applyAlignment="1" pivotButton="0" quotePrefix="0" xfId="0">
      <alignment horizontal="right" wrapText="1"/>
    </xf>
    <xf numFmtId="0" fontId="12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4" fontId="10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2" fontId="9" fillId="0" borderId="0" applyAlignment="1" pivotButton="0" quotePrefix="0" xfId="0">
      <alignment horizontal="center" vertical="center"/>
    </xf>
    <xf numFmtId="0" fontId="5" fillId="0" borderId="0" pivotButton="0" quotePrefix="0" xfId="0"/>
    <xf numFmtId="0" fontId="7" fillId="0" borderId="0" applyAlignment="1" pivotButton="0" quotePrefix="0" xfId="0">
      <alignment horizontal="center" vertical="top"/>
    </xf>
    <xf numFmtId="0" fontId="20" fillId="0" borderId="0" pivotButton="0" quotePrefix="0" xfId="0"/>
    <xf numFmtId="0" fontId="0" fillId="6" borderId="0" pivotButton="0" quotePrefix="0" xfId="0"/>
    <xf numFmtId="0" fontId="21" fillId="0" borderId="0" pivotButton="0" quotePrefix="0" xfId="0"/>
    <xf numFmtId="0" fontId="0" fillId="0" borderId="0" applyAlignment="1" pivotButton="0" quotePrefix="0" xfId="0">
      <alignment horizontal="center"/>
    </xf>
    <xf numFmtId="0" fontId="0" fillId="8" borderId="0" pivotButton="0" quotePrefix="0" xfId="0"/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wrapText="1"/>
    </xf>
    <xf numFmtId="4" fontId="0" fillId="0" borderId="0" applyAlignment="1" pivotButton="0" quotePrefix="0" xfId="0">
      <alignment horizontal="right" wrapText="1"/>
    </xf>
    <xf numFmtId="0" fontId="0" fillId="0" borderId="3" applyAlignment="1" pivotButton="0" quotePrefix="0" xfId="0">
      <alignment horizontal="right"/>
    </xf>
    <xf numFmtId="0" fontId="0" fillId="0" borderId="4" applyAlignment="1" pivotButton="0" quotePrefix="0" xfId="0">
      <alignment horizontal="right"/>
    </xf>
    <xf numFmtId="0" fontId="0" fillId="0" borderId="5" applyAlignment="1" pivotButton="0" quotePrefix="0" xfId="0">
      <alignment horizontal="right"/>
    </xf>
    <xf numFmtId="0" fontId="0" fillId="0" borderId="4" applyAlignment="1" pivotButton="0" quotePrefix="0" xfId="0">
      <alignment horizontal="center"/>
    </xf>
    <xf numFmtId="2" fontId="19" fillId="0" borderId="0" pivotButton="0" quotePrefix="0" xfId="0"/>
    <xf numFmtId="2" fontId="11" fillId="0" borderId="0" applyAlignment="1" pivotButton="0" quotePrefix="0" xfId="0">
      <alignment horizontal="center" vertical="center"/>
    </xf>
    <xf numFmtId="2" fontId="9" fillId="0" borderId="0" applyAlignment="1" pivotButton="0" quotePrefix="0" xfId="0">
      <alignment horizontal="center" vertical="center" wrapText="1"/>
    </xf>
    <xf numFmtId="0" fontId="9" fillId="5" borderId="0" pivotButton="0" quotePrefix="0" xfId="0"/>
    <xf numFmtId="0" fontId="6" fillId="5" borderId="0" pivotButton="0" quotePrefix="0" xfId="0"/>
    <xf numFmtId="2" fontId="6" fillId="5" borderId="0" pivotButton="0" quotePrefix="0" xfId="0"/>
    <xf numFmtId="2" fontId="19" fillId="5" borderId="0" pivotButton="0" quotePrefix="0" xfId="0"/>
    <xf numFmtId="0" fontId="14" fillId="5" borderId="0" pivotButton="0" quotePrefix="0" xfId="0"/>
    <xf numFmtId="0" fontId="21" fillId="5" borderId="0" pivotButton="0" quotePrefix="0" xfId="0"/>
    <xf numFmtId="0" fontId="24" fillId="0" borderId="0" pivotButton="0" quotePrefix="0" xfId="0"/>
    <xf numFmtId="0" fontId="0" fillId="0" borderId="4" pivotButton="0" quotePrefix="0" xfId="0"/>
    <xf numFmtId="0" fontId="25" fillId="0" borderId="0" pivotButton="0" quotePrefix="0" xfId="0"/>
    <xf numFmtId="164" fontId="26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165" fontId="0" fillId="0" borderId="0" pivotButton="0" quotePrefix="0" xfId="0"/>
    <xf numFmtId="164" fontId="0" fillId="0" borderId="0" pivotButton="0" quotePrefix="0" xfId="0"/>
    <xf numFmtId="0" fontId="9" fillId="0" borderId="0" applyAlignment="1" pivotButton="0" quotePrefix="0" xfId="0">
      <alignment wrapText="1"/>
    </xf>
    <xf numFmtId="0" fontId="14" fillId="6" borderId="0" pivotButton="0" quotePrefix="0" xfId="0"/>
    <xf numFmtId="0" fontId="0" fillId="0" borderId="6" pivotButton="0" quotePrefix="0" xfId="0"/>
    <xf numFmtId="0" fontId="0" fillId="0" borderId="6" applyAlignment="1" pivotButton="0" quotePrefix="0" xfId="0">
      <alignment horizontal="left"/>
    </xf>
    <xf numFmtId="0" fontId="0" fillId="5" borderId="0" pivotButton="0" quotePrefix="0" xfId="0"/>
    <xf numFmtId="0" fontId="0" fillId="9" borderId="0" pivotButton="0" quotePrefix="0" xfId="0"/>
    <xf numFmtId="2" fontId="0" fillId="0" borderId="0" pivotButton="0" quotePrefix="0" xfId="0"/>
    <xf numFmtId="2" fontId="0" fillId="0" borderId="0" applyAlignment="1" pivotButton="0" quotePrefix="0" xfId="0">
      <alignment wrapText="1"/>
    </xf>
    <xf numFmtId="2" fontId="9" fillId="0" borderId="0" applyAlignment="1" pivotButton="0" quotePrefix="0" xfId="0">
      <alignment wrapText="1"/>
    </xf>
    <xf numFmtId="4" fontId="0" fillId="0" borderId="0" applyAlignment="1" pivotButton="0" quotePrefix="0" xfId="0">
      <alignment horizontal="right"/>
    </xf>
    <xf numFmtId="0" fontId="4" fillId="0" borderId="0" pivotButton="0" quotePrefix="0" xfId="0"/>
    <xf numFmtId="2" fontId="13" fillId="0" borderId="0" applyAlignment="1" pivotButton="0" quotePrefix="0" xfId="0">
      <alignment horizontal="right"/>
    </xf>
    <xf numFmtId="2" fontId="27" fillId="0" borderId="0" applyAlignment="1" pivotButton="0" quotePrefix="0" xfId="0">
      <alignment horizontal="right"/>
    </xf>
    <xf numFmtId="0" fontId="4" fillId="0" borderId="8" pivotButton="0" quotePrefix="0" xfId="0"/>
    <xf numFmtId="0" fontId="8" fillId="0" borderId="8" pivotButton="0" quotePrefix="0" xfId="0"/>
    <xf numFmtId="0" fontId="15" fillId="5" borderId="8" pivotButton="0" quotePrefix="0" xfId="0"/>
    <xf numFmtId="0" fontId="15" fillId="5" borderId="0" pivotButton="0" quotePrefix="0" xfId="0"/>
    <xf numFmtId="0" fontId="18" fillId="2" borderId="0" pivotButton="0" quotePrefix="0" xfId="0"/>
    <xf numFmtId="2" fontId="4" fillId="0" borderId="0" pivotButton="0" quotePrefix="0" xfId="0"/>
    <xf numFmtId="0" fontId="16" fillId="0" borderId="4" pivotButton="0" quotePrefix="0" xfId="0"/>
    <xf numFmtId="2" fontId="4" fillId="0" borderId="4" pivotButton="0" quotePrefix="0" xfId="0"/>
    <xf numFmtId="0" fontId="8" fillId="0" borderId="4" pivotButton="0" quotePrefix="0" xfId="0"/>
    <xf numFmtId="0" fontId="4" fillId="0" borderId="4" pivotButton="0" quotePrefix="0" xfId="0"/>
    <xf numFmtId="4" fontId="9" fillId="0" borderId="0" applyAlignment="1" pivotButton="0" quotePrefix="0" xfId="0">
      <alignment horizontal="right"/>
    </xf>
    <xf numFmtId="0" fontId="9" fillId="0" borderId="0" applyAlignment="1" pivotButton="0" quotePrefix="0" xfId="0">
      <alignment horizontal="right"/>
    </xf>
    <xf numFmtId="2" fontId="13" fillId="5" borderId="0" applyAlignment="1" pivotButton="0" quotePrefix="0" xfId="0">
      <alignment horizontal="right"/>
    </xf>
    <xf numFmtId="0" fontId="13" fillId="10" borderId="0" pivotButton="0" quotePrefix="0" xfId="0"/>
    <xf numFmtId="0" fontId="4" fillId="5" borderId="0" pivotButton="0" quotePrefix="0" xfId="0"/>
    <xf numFmtId="0" fontId="8" fillId="5" borderId="0" pivotButton="0" quotePrefix="0" xfId="0"/>
    <xf numFmtId="0" fontId="9" fillId="5" borderId="0" applyAlignment="1" pivotButton="0" quotePrefix="0" xfId="0">
      <alignment horizontal="right"/>
    </xf>
    <xf numFmtId="0" fontId="3" fillId="0" borderId="0" pivotButton="0" quotePrefix="0" xfId="0"/>
    <xf numFmtId="0" fontId="17" fillId="2" borderId="9" pivotButton="0" quotePrefix="0" xfId="0"/>
    <xf numFmtId="0" fontId="17" fillId="4" borderId="9" pivotButton="0" quotePrefix="0" xfId="0"/>
    <xf numFmtId="0" fontId="16" fillId="0" borderId="9" pivotButton="0" quotePrefix="0" xfId="0"/>
    <xf numFmtId="10" fontId="17" fillId="2" borderId="9" pivotButton="0" quotePrefix="0" xfId="0"/>
    <xf numFmtId="10" fontId="17" fillId="4" borderId="11" pivotButton="0" quotePrefix="0" xfId="0"/>
    <xf numFmtId="0" fontId="8" fillId="0" borderId="12" pivotButton="0" quotePrefix="0" xfId="0"/>
    <xf numFmtId="0" fontId="16" fillId="5" borderId="14" pivotButton="0" quotePrefix="0" xfId="0"/>
    <xf numFmtId="2" fontId="13" fillId="5" borderId="15" applyAlignment="1" pivotButton="0" quotePrefix="0" xfId="0">
      <alignment horizontal="right"/>
    </xf>
    <xf numFmtId="0" fontId="8" fillId="5" borderId="15" pivotButton="0" quotePrefix="0" xfId="0"/>
    <xf numFmtId="0" fontId="3" fillId="0" borderId="12" pivotButton="0" quotePrefix="0" xfId="0"/>
    <xf numFmtId="2" fontId="4" fillId="5" borderId="0" pivotButton="0" quotePrefix="0" xfId="0"/>
    <xf numFmtId="0" fontId="2" fillId="5" borderId="15" pivotButton="0" quotePrefix="0" xfId="0"/>
    <xf numFmtId="0" fontId="2" fillId="5" borderId="16" pivotButton="0" quotePrefix="0" xfId="0"/>
    <xf numFmtId="2" fontId="2" fillId="0" borderId="0" pivotButton="0" quotePrefix="0" xfId="0"/>
    <xf numFmtId="0" fontId="2" fillId="0" borderId="0" pivotButton="0" quotePrefix="0" xfId="0"/>
    <xf numFmtId="0" fontId="2" fillId="0" borderId="10" pivotButton="0" quotePrefix="0" xfId="0"/>
    <xf numFmtId="10" fontId="2" fillId="0" borderId="0" pivotButton="0" quotePrefix="0" xfId="0"/>
    <xf numFmtId="0" fontId="2" fillId="0" borderId="12" pivotButton="0" quotePrefix="0" xfId="0"/>
    <xf numFmtId="0" fontId="2" fillId="0" borderId="13" pivotButton="0" quotePrefix="0" xfId="0"/>
    <xf numFmtId="0" fontId="1" fillId="0" borderId="0" pivotButton="0" quotePrefix="0" xfId="0"/>
    <xf numFmtId="2" fontId="9" fillId="5" borderId="0" pivotButton="0" quotePrefix="0" xfId="0"/>
    <xf numFmtId="2" fontId="13" fillId="0" borderId="0" applyAlignment="1" pivotButton="0" quotePrefix="0" xfId="0">
      <alignment horizontal="left" vertical="center" wrapText="1"/>
    </xf>
    <xf numFmtId="0" fontId="17" fillId="10" borderId="0" pivotButton="0" quotePrefix="0" xfId="0"/>
    <xf numFmtId="0" fontId="9" fillId="5" borderId="0" applyAlignment="1" pivotButton="0" quotePrefix="0" xfId="0">
      <alignment horizontal="center"/>
    </xf>
    <xf numFmtId="0" fontId="0" fillId="7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3" borderId="3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wrapText="1"/>
    </xf>
    <xf numFmtId="0" fontId="0" fillId="0" borderId="7" applyAlignment="1" pivotButton="0" quotePrefix="0" xfId="0">
      <alignment horizontal="center" wrapText="1"/>
    </xf>
    <xf numFmtId="2" fontId="9" fillId="0" borderId="0" applyAlignment="1" pivotButton="0" quotePrefix="0" xfId="0">
      <alignment horizontal="center"/>
    </xf>
    <xf numFmtId="2" fontId="11" fillId="0" borderId="0" applyAlignment="1" pivotButton="0" quotePrefix="0" xfId="0">
      <alignment horizontal="center" vertical="top"/>
    </xf>
    <xf numFmtId="2" fontId="28" fillId="0" borderId="0" pivotButton="0" quotePrefix="0" xfId="0"/>
    <xf numFmtId="0" fontId="7" fillId="0" borderId="0" applyAlignment="1" pivotButton="0" quotePrefix="0" xfId="0">
      <alignment horizontal="center" vertical="top" wrapText="1"/>
    </xf>
    <xf numFmtId="2" fontId="7" fillId="0" borderId="0" applyAlignment="1" pivotButton="0" quotePrefix="0" xfId="0">
      <alignment horizontal="center" vertical="top" wrapText="1"/>
    </xf>
    <xf numFmtId="0" fontId="0" fillId="11" borderId="0" pivotButton="0" quotePrefix="0" xfId="0"/>
    <xf numFmtId="0" fontId="20" fillId="0" borderId="0" applyAlignment="1" pivotButton="0" quotePrefix="0" xfId="0">
      <alignment horizontal="right" wrapText="1"/>
    </xf>
    <xf numFmtId="0" fontId="20" fillId="0" borderId="0" applyAlignment="1" pivotButton="0" quotePrefix="0" xfId="0">
      <alignment wrapText="1"/>
    </xf>
    <xf numFmtId="0" fontId="29" fillId="0" borderId="3" applyAlignment="1" pivotButton="0" quotePrefix="0" xfId="0">
      <alignment wrapText="1"/>
    </xf>
    <xf numFmtId="2" fontId="20" fillId="0" borderId="0" applyAlignment="1" pivotButton="0" quotePrefix="0" xfId="0">
      <alignment horizontal="right" wrapText="1"/>
    </xf>
    <xf numFmtId="0" fontId="0" fillId="0" borderId="3" pivotButton="0" quotePrefix="0" xfId="0"/>
    <xf numFmtId="2" fontId="9" fillId="0" borderId="0" applyAlignment="1" pivotButton="0" quotePrefix="0" xfId="0">
      <alignment horizontal="right" wrapText="1"/>
    </xf>
    <xf numFmtId="2" fontId="0" fillId="6" borderId="0" pivotButton="0" quotePrefix="0" xfId="0"/>
    <xf numFmtId="2" fontId="0" fillId="5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omments/comment1.xml><?xml version="1.0" encoding="utf-8"?>
<comments xmlns="http://schemas.openxmlformats.org/spreadsheetml/2006/main">
  <authors>
    <author>Victoria Gierok</author>
  </authors>
  <commentList>
    <comment ref="F86" authorId="0" shapeId="0">
      <text>
        <t>Victoria Gierok:
valued at sales prices where available</t>
      </text>
    </comment>
    <comment ref="F117" authorId="0" shapeId="0">
      <text>
        <t>Victoria Gierok:
valued at sales prices where available</t>
      </text>
    </comment>
    <comment ref="F126" authorId="0" shapeId="0">
      <text>
        <t>Victoria Gierok:
valued at sales prices where available</t>
      </text>
    </comment>
    <comment ref="F150" authorId="0" shapeId="0">
      <text>
        <t>Victoria Gierok:
valued at sales prices where available</t>
      </text>
    </comment>
    <comment ref="F158" authorId="0" shapeId="0">
      <text>
        <t>Victoria Gierok:
valued at sales prices where available</t>
      </text>
    </comment>
    <comment ref="F165" authorId="0" shapeId="0">
      <text>
        <t>Victoria Gierok:
valued at sales prices where available</t>
      </text>
    </comment>
  </commentList>
</comments>
</file>

<file path=xl/comments/comment2.xml><?xml version="1.0" encoding="utf-8"?>
<comments xmlns="http://schemas.openxmlformats.org/spreadsheetml/2006/main">
  <authors>
    <author>Victoria Gierok</author>
  </authors>
  <commentList>
    <comment ref="C14" authorId="0" shapeId="0">
      <text>
        <t xml:space="preserve">Victoria Gierok:
from Issue of the grange </t>
      </text>
    </comment>
  </commentList>
</comments>
</file>

<file path=xl/comments/comment3.xml><?xml version="1.0" encoding="utf-8"?>
<comments xmlns="http://schemas.openxmlformats.org/spreadsheetml/2006/main">
  <authors>
    <author>Victoria Gierok</author>
  </authors>
  <commentList>
    <comment ref="D4" authorId="0" shapeId="0">
      <text>
        <t>Victoria Gierok:
strays that the seem to have added to their own stock?</t>
      </text>
    </comment>
    <comment ref="E4" authorId="0" shapeId="0">
      <text>
        <t>Victoria Gierok:
herbage = a type of customary payment to the lord; hence an addition to the stock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3"/>
  <sheetViews>
    <sheetView topLeftCell="A1" workbookViewId="0">
      <selection activeCell="A1" sqref="A1"/>
    </sheetView>
  </sheetViews>
  <sheetFormatPr baseColWidth="8" defaultColWidth="10.81640625" defaultRowHeight="15.5"/>
  <cols>
    <col width="80" bestFit="1" customWidth="1" style="76" min="1" max="1"/>
    <col width="10.81640625" customWidth="1" style="76" min="2" max="2"/>
    <col width="10.81640625" customWidth="1" style="10" min="3" max="3"/>
    <col width="30.81640625" bestFit="1" customWidth="1" style="76" min="4" max="4"/>
    <col width="29.36328125" bestFit="1" customWidth="1" style="76" min="5" max="5"/>
    <col width="35.453125" bestFit="1" customWidth="1" style="76" min="6" max="6"/>
    <col width="21.1796875" customWidth="1" style="76" min="7" max="7"/>
    <col width="10.81640625" customWidth="1" style="76" min="8" max="16384"/>
  </cols>
  <sheetData>
    <row r="1">
      <c r="A1" s="8" t="inlineStr">
        <is>
          <t>RIMPTON OVERVIEW - COMPLETED</t>
        </is>
      </c>
      <c r="B1" s="77" t="inlineStr">
        <is>
          <t>Total in £</t>
        </is>
      </c>
      <c r="C1" s="78" t="inlineStr">
        <is>
          <t>Error</t>
        </is>
      </c>
      <c r="D1" s="12" t="inlineStr">
        <is>
          <t>Note</t>
        </is>
      </c>
      <c r="E1" s="12" t="n"/>
    </row>
    <row r="2">
      <c r="A2" s="8" t="inlineStr">
        <is>
          <t>CASH ACCOUNT</t>
        </is>
      </c>
    </row>
    <row r="3">
      <c r="A3" s="16" t="inlineStr">
        <is>
          <t>RECEIPTS</t>
        </is>
      </c>
    </row>
    <row r="4">
      <c r="A4" s="15" t="inlineStr">
        <is>
          <t>Arrears total</t>
        </is>
      </c>
      <c r="B4" s="76" t="n"/>
      <c r="D4" s="13" t="n"/>
      <c r="E4" s="13" t="n"/>
    </row>
    <row r="5">
      <c r="A5" s="15" t="inlineStr">
        <is>
          <t>Rents of assize total</t>
        </is>
      </c>
      <c r="B5" s="76" t="n">
        <v>4.885</v>
      </c>
    </row>
    <row r="6">
      <c r="A6" s="15" t="inlineStr">
        <is>
          <t>Quittances total</t>
        </is>
      </c>
      <c r="B6" s="76" t="n">
        <v>2.55</v>
      </c>
    </row>
    <row r="7">
      <c r="A7" s="15" t="inlineStr">
        <is>
          <t>Defaults of rent total</t>
        </is>
      </c>
      <c r="B7" s="76" t="n">
        <v>0.05</v>
      </c>
    </row>
    <row r="8">
      <c r="A8" s="76" t="inlineStr">
        <is>
          <t>Defaults of rent through the pestilence total</t>
        </is>
      </c>
      <c r="B8" s="76" t="n"/>
    </row>
    <row r="9">
      <c r="A9" s="76" t="inlineStr">
        <is>
          <t>Cotlands defaults total</t>
        </is>
      </c>
      <c r="B9" s="76" t="n"/>
    </row>
    <row r="10">
      <c r="A10" s="76" t="inlineStr">
        <is>
          <t>Cotlands total</t>
        </is>
      </c>
      <c r="B10" s="76" t="n"/>
    </row>
    <row r="11">
      <c r="A11" s="76" t="inlineStr">
        <is>
          <t>Total of quittances and defaults of rent total</t>
        </is>
      </c>
      <c r="B11" s="76" t="n">
        <v>2.6</v>
      </c>
    </row>
    <row r="12">
      <c r="A12" s="76" t="inlineStr">
        <is>
          <t>Total of rents remaining clear total</t>
        </is>
      </c>
      <c r="B12" s="76" t="n"/>
    </row>
    <row r="13">
      <c r="A13" s="76" t="inlineStr">
        <is>
          <t>Farms total</t>
        </is>
      </c>
      <c r="B13" s="76" t="n"/>
    </row>
    <row r="14">
      <c r="A14" s="15" t="inlineStr">
        <is>
          <t>Annual recognizances total</t>
        </is>
      </c>
      <c r="B14" s="76" t="n"/>
    </row>
    <row r="15">
      <c r="A15" s="15" t="inlineStr">
        <is>
          <t>Issues of the Manor total</t>
        </is>
      </c>
      <c r="B15" s="76" t="n">
        <v>16.64</v>
      </c>
    </row>
    <row r="16">
      <c r="A16" s="76" t="inlineStr">
        <is>
          <t>Issues of the tenements in the lord's hands total</t>
        </is>
      </c>
      <c r="B16" s="76" t="n"/>
    </row>
    <row r="17">
      <c r="A17" s="76" t="inlineStr">
        <is>
          <t>Sale of labour services total</t>
        </is>
      </c>
      <c r="B17" s="76" t="n"/>
    </row>
    <row r="18">
      <c r="A18" s="15" t="inlineStr">
        <is>
          <t>Sale of corn total</t>
        </is>
      </c>
      <c r="B18" s="76" t="n">
        <v>46.02500000000001</v>
      </c>
    </row>
    <row r="19">
      <c r="A19" s="15" t="inlineStr">
        <is>
          <t>Entry and marriage fines total</t>
        </is>
      </c>
      <c r="B19" s="76" t="n">
        <v>11.37</v>
      </c>
    </row>
    <row r="20">
      <c r="A20" s="15" t="inlineStr">
        <is>
          <t>Pleas &amp; perquisites total</t>
        </is>
      </c>
      <c r="B20" s="76" t="n"/>
    </row>
    <row r="21">
      <c r="A21" s="76" t="inlineStr">
        <is>
          <t>Forfeited chattels total</t>
        </is>
      </c>
      <c r="B21" s="76" t="n"/>
    </row>
    <row r="22">
      <c r="A22" s="76" t="inlineStr">
        <is>
          <t>Farm of the demesne land total</t>
        </is>
      </c>
      <c r="B22" s="76" t="n"/>
      <c r="D22" s="88" t="n"/>
    </row>
    <row r="23">
      <c r="A23" s="81" t="inlineStr">
        <is>
          <t>Total of all receipts (calculated here)</t>
        </is>
      </c>
      <c r="B23" s="79">
        <f>SUM(B5:B22)</f>
        <v/>
      </c>
      <c r="C23" s="80" t="n"/>
    </row>
    <row r="24">
      <c r="A24" s="82" t="inlineStr">
        <is>
          <t>Total of all receipts (calculated here) incl arrears</t>
        </is>
      </c>
      <c r="B24">
        <f>SUM(B4:B22)</f>
        <v/>
      </c>
      <c r="D24" s="13" t="n"/>
      <c r="E24" s="13" t="n"/>
    </row>
    <row r="25">
      <c r="A25" s="83" t="inlineStr">
        <is>
          <t>Total recorded in the accounts excl. arrears</t>
        </is>
      </c>
      <c r="B25" s="76" t="n"/>
      <c r="C25" s="10">
        <f>B23-B25</f>
        <v/>
      </c>
    </row>
    <row r="26">
      <c r="A26" s="83" t="inlineStr">
        <is>
          <t>Total recorded in the accounts incl. arrears</t>
        </is>
      </c>
      <c r="B26">
        <f>B25+B4</f>
        <v/>
      </c>
      <c r="D26" s="13" t="n"/>
      <c r="E26" s="13" t="n"/>
    </row>
    <row r="27">
      <c r="A27" s="15" t="n"/>
    </row>
    <row r="28">
      <c r="A28" s="15" t="n"/>
    </row>
    <row r="29">
      <c r="A29" s="16" t="inlineStr">
        <is>
          <t>EXPENSES</t>
        </is>
      </c>
    </row>
    <row r="30">
      <c r="A30" s="15" t="inlineStr">
        <is>
          <t>Cost of ploughs total</t>
        </is>
      </c>
      <c r="B30" t="n">
        <v>8.109999999999999</v>
      </c>
    </row>
    <row r="31">
      <c r="A31" s="15" t="inlineStr">
        <is>
          <t>Purchase of corn total</t>
        </is>
      </c>
    </row>
    <row r="32">
      <c r="A32" s="15" t="inlineStr">
        <is>
          <t>Cost of carts and wagons total</t>
        </is>
      </c>
    </row>
    <row r="33">
      <c r="A33" s="15" t="inlineStr">
        <is>
          <t>Cost of dairy total</t>
        </is>
      </c>
    </row>
    <row r="34">
      <c r="A34" s="15" t="inlineStr">
        <is>
          <t>Purchase of stock total</t>
        </is>
      </c>
    </row>
    <row r="35">
      <c r="A35" s="15" t="inlineStr">
        <is>
          <t>Sheepcote total</t>
        </is>
      </c>
    </row>
    <row r="36">
      <c r="A36" s="15" t="inlineStr">
        <is>
          <t>Cost of buildings total</t>
        </is>
      </c>
      <c r="B36" s="84" t="n"/>
    </row>
    <row r="37">
      <c r="A37" s="15" t="inlineStr">
        <is>
          <t>Threshing total</t>
        </is>
      </c>
    </row>
    <row r="38">
      <c r="A38" s="15" t="inlineStr">
        <is>
          <t>Barley expenses</t>
        </is>
      </c>
    </row>
    <row r="39">
      <c r="A39" s="15" t="inlineStr">
        <is>
          <t>Expenses of the harvest total</t>
        </is>
      </c>
    </row>
    <row r="40">
      <c r="A40" s="15" t="inlineStr">
        <is>
          <t>Necessary expenses</t>
        </is>
      </c>
    </row>
    <row r="41">
      <c r="A41" s="15" t="inlineStr">
        <is>
          <t>Wages of the bailiff</t>
        </is>
      </c>
      <c r="B41" s="84" t="n"/>
    </row>
    <row r="42">
      <c r="A42" s="15" t="inlineStr">
        <is>
          <t>Steward's expenses total</t>
        </is>
      </c>
      <c r="B42" s="84" t="n"/>
    </row>
    <row r="43">
      <c r="A43" s="85" t="inlineStr">
        <is>
          <t>Annual fees</t>
        </is>
      </c>
      <c r="B43" s="86" t="n"/>
      <c r="C43" s="87" t="n"/>
      <c r="D43" s="88" t="n"/>
    </row>
    <row r="44">
      <c r="A44" s="82" t="inlineStr">
        <is>
          <t>Total of all expenses per account</t>
        </is>
      </c>
      <c r="B44" s="84" t="n"/>
    </row>
    <row r="45">
      <c r="A45" s="82" t="inlineStr">
        <is>
          <t>Total of all expenses (calculated here)</t>
        </is>
      </c>
      <c r="B45" s="84" t="n"/>
    </row>
    <row r="46">
      <c r="A46" s="82" t="inlineStr">
        <is>
          <t>Total fixed investment</t>
        </is>
      </c>
      <c r="B46" s="84" t="n"/>
    </row>
    <row r="47">
      <c r="A47" s="82" t="inlineStr">
        <is>
          <t>Total Demesne fixed investment</t>
        </is>
      </c>
      <c r="B47" s="84" t="n"/>
    </row>
    <row r="48">
      <c r="A48" s="12" t="n"/>
    </row>
    <row r="49">
      <c r="A49" s="18" t="inlineStr">
        <is>
          <t>Owed by the reeve</t>
        </is>
      </c>
      <c r="B49" s="84">
        <f>B23-B45</f>
        <v/>
      </c>
    </row>
    <row r="50">
      <c r="A50" s="18" t="inlineStr">
        <is>
          <t>From accounts</t>
        </is>
      </c>
      <c r="B50" s="84" t="n">
        <v>14</v>
      </c>
    </row>
    <row r="51">
      <c r="A51" s="15" t="n"/>
    </row>
    <row r="52">
      <c r="A52" s="18" t="inlineStr">
        <is>
          <t>Allowances</t>
        </is>
      </c>
      <c r="B52" s="84" t="n"/>
    </row>
    <row r="53">
      <c r="A53" s="18" t="inlineStr">
        <is>
          <t>Cash deliveries</t>
        </is>
      </c>
      <c r="B53" s="84" t="n">
        <v>38</v>
      </c>
    </row>
    <row r="54">
      <c r="A54" s="19" t="inlineStr">
        <is>
          <t>Sum of the above</t>
        </is>
      </c>
      <c r="B54" s="84">
        <f>SUM(B52:B53)</f>
        <v/>
      </c>
    </row>
    <row r="55">
      <c r="A55" s="20" t="inlineStr">
        <is>
          <t>Total of all allowances and cash deliveries in accounts</t>
        </is>
      </c>
    </row>
    <row r="56">
      <c r="A56" s="15" t="n"/>
    </row>
    <row r="57">
      <c r="A57" s="18" t="inlineStr">
        <is>
          <t>Net amount owed</t>
        </is>
      </c>
      <c r="B57" s="84">
        <f>B50-B54</f>
        <v/>
      </c>
    </row>
    <row r="58">
      <c r="A58" s="18" t="inlineStr">
        <is>
          <t>Net amount owed in accounts</t>
        </is>
      </c>
    </row>
    <row r="59">
      <c r="A59" s="15" t="n"/>
    </row>
    <row r="60">
      <c r="A60" s="16" t="inlineStr">
        <is>
          <t xml:space="preserve">GRANGE ACCOUNT </t>
        </is>
      </c>
      <c r="B60" s="120" t="inlineStr">
        <is>
          <t>Total Production</t>
        </is>
      </c>
      <c r="D60" s="117" t="inlineStr">
        <is>
          <t>Value of total gross production in £</t>
        </is>
      </c>
      <c r="E60" s="117" t="inlineStr">
        <is>
          <t>Value of total net production in £</t>
        </is>
      </c>
    </row>
    <row r="61">
      <c r="A61" s="8" t="inlineStr">
        <is>
          <t>Grange</t>
        </is>
      </c>
      <c r="B61" s="89" t="inlineStr">
        <is>
          <t>qrs</t>
        </is>
      </c>
      <c r="C61" s="90" t="inlineStr">
        <is>
          <t>bus</t>
        </is>
      </c>
    </row>
    <row r="62">
      <c r="A62" s="76" t="inlineStr">
        <is>
          <t>Wheat</t>
        </is>
      </c>
      <c r="B62" t="n">
        <v>144.5</v>
      </c>
      <c r="E62" t="n">
        <v>32.55</v>
      </c>
      <c r="F62" s="13" t="n"/>
    </row>
    <row r="63">
      <c r="A63" s="76" t="inlineStr">
        <is>
          <t>Rye</t>
        </is>
      </c>
      <c r="F63" s="13" t="n"/>
    </row>
    <row r="64">
      <c r="A64" s="76" t="inlineStr">
        <is>
          <t>Dredge</t>
        </is>
      </c>
      <c r="F64" s="13" t="n"/>
    </row>
    <row r="65">
      <c r="A65" s="76" t="inlineStr">
        <is>
          <t>Curall</t>
        </is>
      </c>
      <c r="B65" t="n">
        <v>20.125</v>
      </c>
      <c r="E65" t="n">
        <v>1.173958333333334</v>
      </c>
      <c r="F65" s="13" t="n"/>
    </row>
    <row r="66">
      <c r="A66" s="76" t="inlineStr">
        <is>
          <t>Barley</t>
        </is>
      </c>
      <c r="B66" t="n">
        <v>10</v>
      </c>
      <c r="E66" t="n">
        <v>0.6666666666666669</v>
      </c>
      <c r="F66" s="13" t="n"/>
    </row>
    <row r="67">
      <c r="A67" s="76" t="inlineStr">
        <is>
          <t>Oats</t>
        </is>
      </c>
      <c r="B67" t="n">
        <v>107.875</v>
      </c>
      <c r="E67" t="n">
        <v>5.998958333333332</v>
      </c>
      <c r="F67" s="13" t="n"/>
    </row>
    <row r="68">
      <c r="A68" s="76" t="inlineStr">
        <is>
          <t>Beans</t>
        </is>
      </c>
      <c r="B68" t="n">
        <v>28.25</v>
      </c>
      <c r="F68" s="13" t="n"/>
    </row>
    <row r="69">
      <c r="A69" s="76" t="inlineStr">
        <is>
          <t>Peas</t>
        </is>
      </c>
      <c r="B69" t="n">
        <v>7.625</v>
      </c>
      <c r="E69" t="n">
        <v>0.5875</v>
      </c>
      <c r="F69" s="13" t="n"/>
    </row>
    <row r="70">
      <c r="A70" s="76" t="inlineStr">
        <is>
          <t>Vetches</t>
        </is>
      </c>
      <c r="B70" t="n">
        <v>1.75</v>
      </c>
      <c r="E70" t="n">
        <v>0.09166666666666666</v>
      </c>
    </row>
    <row r="71">
      <c r="A71" s="17" t="inlineStr">
        <is>
          <t>Total value of gross production (sum of the above)</t>
        </is>
      </c>
      <c r="B71" s="93" t="n"/>
      <c r="C71" s="94" t="n"/>
      <c r="D71" s="93" t="n"/>
      <c r="E71" s="93" t="n"/>
    </row>
    <row r="72">
      <c r="A72" s="17" t="inlineStr">
        <is>
          <t>Total value of net production</t>
        </is>
      </c>
      <c r="B72" s="93" t="n"/>
      <c r="C72" s="94" t="n"/>
      <c r="D72" s="93" t="n"/>
      <c r="E72" s="93" t="n"/>
    </row>
    <row r="73">
      <c r="A73" s="17" t="inlineStr">
        <is>
          <t>Value of sales</t>
        </is>
      </c>
      <c r="B73" s="93" t="n"/>
      <c r="C73" s="94" t="n"/>
      <c r="D73" s="93" t="n"/>
      <c r="E73" s="93" t="n"/>
    </row>
    <row r="74">
      <c r="A74" s="15" t="n"/>
    </row>
    <row r="75">
      <c r="A75" s="16" t="inlineStr">
        <is>
          <t>MILL ACCOUNT</t>
        </is>
      </c>
      <c r="B75" s="120" t="inlineStr">
        <is>
          <t>Total Production</t>
        </is>
      </c>
      <c r="D75" s="91" t="inlineStr">
        <is>
          <t>Total in £</t>
        </is>
      </c>
      <c r="E75" s="91" t="n"/>
    </row>
    <row r="76">
      <c r="A76" s="8" t="inlineStr">
        <is>
          <t>Issues of the mill</t>
        </is>
      </c>
      <c r="B76" s="89" t="inlineStr">
        <is>
          <t>qrs</t>
        </is>
      </c>
      <c r="C76" s="90" t="inlineStr">
        <is>
          <t>bus</t>
        </is>
      </c>
    </row>
    <row r="77">
      <c r="A77" s="15" t="inlineStr">
        <is>
          <t>Wheat</t>
        </is>
      </c>
      <c r="F77" s="13" t="n"/>
    </row>
    <row r="78">
      <c r="A78" s="15" t="inlineStr">
        <is>
          <t>Oatmeal</t>
        </is>
      </c>
    </row>
    <row r="79">
      <c r="A79" s="15" t="inlineStr">
        <is>
          <t>1st grade malt</t>
        </is>
      </c>
    </row>
    <row r="80">
      <c r="A80" s="15" t="inlineStr">
        <is>
          <t>2nd grade malt</t>
        </is>
      </c>
    </row>
    <row r="81">
      <c r="A81" s="15" t="inlineStr">
        <is>
          <t>Maslin</t>
        </is>
      </c>
    </row>
    <row r="82">
      <c r="A82" s="17" t="inlineStr">
        <is>
          <t>Total value of production (sum of the above)</t>
        </is>
      </c>
      <c r="B82" s="93" t="n"/>
      <c r="C82" s="94" t="n"/>
      <c r="D82" s="93" t="n"/>
      <c r="E82" s="93" t="n"/>
    </row>
    <row r="83">
      <c r="A83" s="17" t="inlineStr">
        <is>
          <t>Value of sales</t>
        </is>
      </c>
      <c r="B83" s="93" t="n"/>
      <c r="C83" s="94" t="n"/>
      <c r="D83" s="93" t="n"/>
      <c r="E83" s="93" t="n"/>
    </row>
    <row r="84">
      <c r="A84" s="15" t="n"/>
    </row>
    <row r="85">
      <c r="A85" s="92" t="inlineStr">
        <is>
          <t>STOCK ACCOUNT</t>
        </is>
      </c>
      <c r="B85" s="93" t="n"/>
      <c r="C85" s="94" t="n"/>
      <c r="D85" s="93" t="n"/>
      <c r="E85" s="93" t="n"/>
      <c r="F85" s="93" t="n"/>
      <c r="G85" s="93" t="n"/>
    </row>
    <row r="86">
      <c r="A86" s="21" t="inlineStr">
        <is>
          <t>Livestock</t>
        </is>
      </c>
      <c r="B86" s="95" t="inlineStr">
        <is>
          <t>Begin stock</t>
        </is>
      </c>
      <c r="C86" s="95" t="inlineStr">
        <is>
          <t>End stock</t>
        </is>
      </c>
      <c r="D86" s="95" t="inlineStr">
        <is>
          <t>Stockbuilding</t>
        </is>
      </c>
      <c r="E86" s="95" t="n"/>
      <c r="F86" s="95" t="inlineStr">
        <is>
          <t>Value of stock in £</t>
        </is>
      </c>
      <c r="G86" s="53" t="inlineStr">
        <is>
          <t>Value of stockbuilding</t>
        </is>
      </c>
    </row>
    <row r="87">
      <c r="A87" s="22" t="inlineStr">
        <is>
          <t>Cart-horses</t>
        </is>
      </c>
      <c r="B87" s="76" t="n"/>
      <c r="C87" s="76" t="n"/>
      <c r="D87" s="76">
        <f>C87-B87</f>
        <v/>
      </c>
      <c r="F87" s="84">
        <f>'Stock'!K5*'Stock'!O5</f>
        <v/>
      </c>
      <c r="G87" s="84">
        <f>D87*'Stock'!O5</f>
        <v/>
      </c>
    </row>
    <row r="88">
      <c r="A88" s="22" t="inlineStr">
        <is>
          <t>Mares</t>
        </is>
      </c>
      <c r="B88" s="76" t="n"/>
      <c r="C88" s="76" t="n"/>
      <c r="D88" s="76">
        <f>C88-B88</f>
        <v/>
      </c>
      <c r="F88" s="84">
        <f>'Stock'!K6*'Stock'!O6</f>
        <v/>
      </c>
      <c r="G88" s="84">
        <f>D88*'Stock'!O6</f>
        <v/>
      </c>
    </row>
    <row r="89">
      <c r="A89" s="15" t="inlineStr">
        <is>
          <t>Plough horses</t>
        </is>
      </c>
      <c r="B89" s="76" t="n">
        <v>2</v>
      </c>
      <c r="C89" s="76" t="n">
        <v>2</v>
      </c>
      <c r="D89" s="76" t="n">
        <v>0</v>
      </c>
      <c r="F89" s="84" t="n">
        <v>0.64</v>
      </c>
      <c r="G89" s="84" t="n">
        <v>0</v>
      </c>
    </row>
    <row r="90">
      <c r="A90" s="15" t="inlineStr">
        <is>
          <t>Colts (2 years)</t>
        </is>
      </c>
      <c r="B90" s="76" t="n"/>
      <c r="C90" s="76" t="n"/>
      <c r="D90" s="76">
        <f>C90-B90</f>
        <v/>
      </c>
      <c r="F90" s="84">
        <f>'Stock'!K9*'Stock'!O9</f>
        <v/>
      </c>
      <c r="G90" s="84">
        <f>D90*'Stock'!O9</f>
        <v/>
      </c>
    </row>
    <row r="91">
      <c r="A91" s="15" t="inlineStr">
        <is>
          <t>Colts (2 years)</t>
        </is>
      </c>
      <c r="B91" s="76" t="n"/>
      <c r="C91" s="76" t="n"/>
      <c r="D91" s="76">
        <f>C91-B91</f>
        <v/>
      </c>
      <c r="F91" s="84">
        <f>'Stock'!K9*'Stock'!O9</f>
        <v/>
      </c>
      <c r="G91" s="84">
        <f>D91*'Stock'!O9</f>
        <v/>
      </c>
    </row>
    <row r="92">
      <c r="A92" s="15" t="inlineStr">
        <is>
          <t>Colts (1 year)</t>
        </is>
      </c>
      <c r="B92" s="76" t="n"/>
      <c r="C92" s="76" t="n"/>
      <c r="D92" s="76">
        <f>C92-B92</f>
        <v/>
      </c>
      <c r="F92" s="84">
        <f>'Stock'!K10*'Stock'!O10</f>
        <v/>
      </c>
      <c r="G92" s="84">
        <f>D92*'Stock'!O10</f>
        <v/>
      </c>
    </row>
    <row r="93">
      <c r="A93" s="15" t="inlineStr">
        <is>
          <t>Foals</t>
        </is>
      </c>
      <c r="B93" s="76" t="n"/>
      <c r="C93" s="76" t="n"/>
      <c r="D93" s="76">
        <f>C93-B93</f>
        <v/>
      </c>
      <c r="F93" s="84">
        <f>'Stock'!K11*'Stock'!O11</f>
        <v/>
      </c>
      <c r="G93" s="84">
        <f>D93*'Stock'!O11</f>
        <v/>
      </c>
    </row>
    <row r="94">
      <c r="A94" s="15" t="inlineStr">
        <is>
          <t>Oxen</t>
        </is>
      </c>
      <c r="B94" s="76" t="n">
        <v>36</v>
      </c>
      <c r="C94" s="76" t="n">
        <v>35</v>
      </c>
      <c r="D94" s="76" t="n">
        <v>-1</v>
      </c>
      <c r="F94" s="84" t="n">
        <v>16.01923076923077</v>
      </c>
      <c r="G94" s="84" t="n">
        <v>-0.4576923076923077</v>
      </c>
    </row>
    <row r="95">
      <c r="A95" s="15" t="inlineStr">
        <is>
          <t>Bulls</t>
        </is>
      </c>
      <c r="B95" s="76" t="n">
        <v>1</v>
      </c>
      <c r="C95" s="76" t="n">
        <v>1</v>
      </c>
      <c r="D95" s="76" t="n">
        <v>0</v>
      </c>
      <c r="F95" s="84">
        <f>'Stock'!K13*'Stock'!O13</f>
        <v/>
      </c>
      <c r="G95" s="84">
        <f>D95*'Stock'!O13</f>
        <v/>
      </c>
    </row>
    <row r="96">
      <c r="A96" s="15" t="inlineStr">
        <is>
          <t>Cows</t>
        </is>
      </c>
      <c r="B96" s="76" t="n">
        <v>18</v>
      </c>
      <c r="C96" s="76" t="n">
        <v>14</v>
      </c>
      <c r="D96" s="76" t="n">
        <v>-4</v>
      </c>
      <c r="F96" s="84">
        <f>'Stock'!K14*'Stock'!O14</f>
        <v/>
      </c>
      <c r="G96" s="84">
        <f>D96*'Stock'!O14</f>
        <v/>
      </c>
    </row>
    <row r="97">
      <c r="A97" s="15" t="inlineStr">
        <is>
          <t>Steers</t>
        </is>
      </c>
      <c r="B97" s="76" t="n">
        <v>5</v>
      </c>
      <c r="C97" s="76" t="n">
        <v>5</v>
      </c>
      <c r="D97" s="76" t="n">
        <v>0</v>
      </c>
      <c r="F97" s="84">
        <f>'Stock'!K15*'Stock'!O15</f>
        <v/>
      </c>
      <c r="G97" s="84">
        <f>D97*'Stock'!O15</f>
        <v/>
      </c>
    </row>
    <row r="98">
      <c r="A98" s="15" t="inlineStr">
        <is>
          <t>Bullocks</t>
        </is>
      </c>
      <c r="B98" s="76" t="n">
        <v>6</v>
      </c>
      <c r="C98" s="76" t="n">
        <v>3</v>
      </c>
      <c r="D98" s="76" t="n">
        <v>-3</v>
      </c>
      <c r="F98" s="84" t="n">
        <v>0.5700000000000001</v>
      </c>
      <c r="G98" s="84" t="n">
        <v>-0.5700000000000001</v>
      </c>
    </row>
    <row r="99">
      <c r="A99" s="15" t="inlineStr">
        <is>
          <t>Yearlings</t>
        </is>
      </c>
      <c r="B99" s="76" t="n">
        <v>9</v>
      </c>
      <c r="C99" s="76" t="n">
        <v>9</v>
      </c>
      <c r="D99" s="76" t="n">
        <v>0</v>
      </c>
      <c r="F99" s="84">
        <f>'Stock'!K17*'Stock'!O17</f>
        <v/>
      </c>
      <c r="G99" s="84">
        <f>D99*'Stock'!O17</f>
        <v/>
      </c>
    </row>
    <row r="100">
      <c r="A100" s="15" t="inlineStr">
        <is>
          <t>Calves</t>
        </is>
      </c>
      <c r="B100" s="76" t="n">
        <v>14</v>
      </c>
      <c r="C100" s="76" t="n">
        <v>6</v>
      </c>
      <c r="D100" s="76" t="n">
        <v>-8</v>
      </c>
      <c r="F100" s="84">
        <f>'Stock'!K18*'Stock'!O18</f>
        <v/>
      </c>
      <c r="G100" s="84">
        <f>D100*'Stock'!O18</f>
        <v/>
      </c>
    </row>
    <row r="101">
      <c r="A101" s="15" t="inlineStr">
        <is>
          <t>Wethers</t>
        </is>
      </c>
      <c r="B101" s="76" t="n"/>
      <c r="C101" s="76" t="n"/>
      <c r="D101" s="76">
        <f>C101-B101</f>
        <v/>
      </c>
      <c r="F101" s="84">
        <f>'Stock'!K19*'Stock'!O19</f>
        <v/>
      </c>
      <c r="G101" s="84">
        <f>D101*'Stock'!O19</f>
        <v/>
      </c>
    </row>
    <row r="102">
      <c r="A102" s="15" t="inlineStr">
        <is>
          <t>Rams</t>
        </is>
      </c>
      <c r="B102" s="76" t="n"/>
      <c r="C102" s="76" t="n"/>
      <c r="D102" s="76">
        <f>C102-B102</f>
        <v/>
      </c>
      <c r="F102" s="84">
        <f>'Stock'!K20*'Stock'!O20</f>
        <v/>
      </c>
      <c r="G102" s="84">
        <f>D102*'Stock'!O20</f>
        <v/>
      </c>
    </row>
    <row r="103">
      <c r="A103" s="15" t="inlineStr">
        <is>
          <t>Ewes</t>
        </is>
      </c>
      <c r="B103" s="76" t="n"/>
      <c r="C103" s="76" t="n"/>
      <c r="D103" s="76">
        <f>C103-B103</f>
        <v/>
      </c>
      <c r="F103" s="84">
        <f>'Stock'!K21*'Stock'!O21</f>
        <v/>
      </c>
      <c r="G103" s="84">
        <f>D103*'Stock'!O21</f>
        <v/>
      </c>
    </row>
    <row r="104">
      <c r="A104" s="15" t="inlineStr">
        <is>
          <t>Hoggs</t>
        </is>
      </c>
      <c r="B104" s="76" t="n"/>
      <c r="C104" s="76" t="n"/>
      <c r="D104" s="76">
        <f>C104-B104</f>
        <v/>
      </c>
      <c r="F104" s="84">
        <f>'Stock'!K22*'Stock'!O22</f>
        <v/>
      </c>
      <c r="G104" s="84">
        <f>D104*'Stock'!O22</f>
        <v/>
      </c>
    </row>
    <row r="105">
      <c r="A105" s="15" t="inlineStr">
        <is>
          <t>Lambs</t>
        </is>
      </c>
      <c r="B105" s="76" t="n"/>
      <c r="C105" s="76" t="n"/>
      <c r="D105" s="76">
        <f>C105-B105</f>
        <v/>
      </c>
      <c r="F105" s="84">
        <f>'Stock'!K23*'Stock'!O23</f>
        <v/>
      </c>
      <c r="G105" s="84">
        <f>D105*'Stock'!O23</f>
        <v/>
      </c>
    </row>
    <row r="106">
      <c r="A106" s="15" t="inlineStr">
        <is>
          <t>Boars</t>
        </is>
      </c>
      <c r="B106" s="76" t="n"/>
      <c r="C106" s="76" t="n"/>
      <c r="D106" s="76">
        <f>C106-B106</f>
        <v/>
      </c>
      <c r="F106" s="84">
        <f>'Stock'!K24*'Stock'!O24</f>
        <v/>
      </c>
      <c r="G106" s="84">
        <f>D106*'Stock'!O24</f>
        <v/>
      </c>
    </row>
    <row r="107">
      <c r="A107" s="15" t="inlineStr">
        <is>
          <t>Sows</t>
        </is>
      </c>
      <c r="B107" s="76" t="n"/>
      <c r="C107" s="76" t="n"/>
      <c r="D107" s="76">
        <f>C107-B107</f>
        <v/>
      </c>
      <c r="F107" s="84">
        <f>'Stock'!K25*'Stock'!O25</f>
        <v/>
      </c>
      <c r="G107" s="84">
        <f>D107*'Stock'!O25</f>
        <v/>
      </c>
    </row>
    <row r="108">
      <c r="A108" s="15" t="inlineStr">
        <is>
          <t>Pigs</t>
        </is>
      </c>
      <c r="B108" s="76" t="n">
        <v>16</v>
      </c>
      <c r="C108" s="76" t="n">
        <v>27</v>
      </c>
      <c r="D108" s="76" t="n">
        <v>11</v>
      </c>
      <c r="F108" s="84" t="n">
        <v>3.9636</v>
      </c>
      <c r="G108" s="84" t="n">
        <v>1.6148</v>
      </c>
    </row>
    <row r="109">
      <c r="A109" s="15" t="inlineStr">
        <is>
          <t>Hoggets</t>
        </is>
      </c>
      <c r="B109" s="76" t="n">
        <v>38</v>
      </c>
      <c r="C109" s="76" t="n">
        <v>0</v>
      </c>
      <c r="D109" s="76" t="n">
        <v>-38</v>
      </c>
      <c r="F109" s="84">
        <f>'Stock'!K27*'Stock'!O27</f>
        <v/>
      </c>
      <c r="G109" s="84">
        <f>D109*'Stock'!O27</f>
        <v/>
      </c>
    </row>
    <row r="110">
      <c r="A110" s="15" t="inlineStr">
        <is>
          <t>Piglets</t>
        </is>
      </c>
      <c r="B110" s="76" t="n"/>
      <c r="C110" s="76" t="n">
        <v>32</v>
      </c>
      <c r="D110" s="76">
        <f>C110-B110</f>
        <v/>
      </c>
      <c r="F110" s="84">
        <f>'Stock'!K28*'Stock'!O28</f>
        <v/>
      </c>
      <c r="G110" s="84">
        <f>D110*'Stock'!O28</f>
        <v/>
      </c>
    </row>
    <row r="111">
      <c r="A111" s="15" t="inlineStr">
        <is>
          <t>Swans</t>
        </is>
      </c>
      <c r="B111" s="76" t="n"/>
      <c r="C111" s="76" t="n"/>
      <c r="D111" s="76">
        <f>C111-B111</f>
        <v/>
      </c>
      <c r="F111" s="84">
        <f>'Stock'!K29*'Stock'!O29</f>
        <v/>
      </c>
      <c r="G111" s="84">
        <f>D111*'Stock'!O29</f>
        <v/>
      </c>
    </row>
    <row r="112">
      <c r="A112" s="15" t="inlineStr">
        <is>
          <t>Peacocks</t>
        </is>
      </c>
      <c r="B112" s="76" t="n"/>
      <c r="C112" s="76" t="n"/>
      <c r="D112" s="76">
        <f>C112-B112</f>
        <v/>
      </c>
      <c r="F112" s="84">
        <f>'Stock'!K30*'Stock'!O30</f>
        <v/>
      </c>
      <c r="G112" s="84">
        <f>D112*'Stock'!O30</f>
        <v/>
      </c>
    </row>
    <row r="113">
      <c r="A113" s="17" t="inlineStr">
        <is>
          <t>Total value of stock (sum of the above)</t>
        </is>
      </c>
      <c r="B113" s="93" t="n"/>
      <c r="C113" s="94" t="n"/>
      <c r="D113" s="93" t="n"/>
      <c r="E113" s="93" t="n"/>
      <c r="F113" s="107">
        <f>SUM(F87:F112)</f>
        <v/>
      </c>
      <c r="G113" s="107">
        <f>SUM(G87:G112)</f>
        <v/>
      </c>
    </row>
    <row r="114">
      <c r="A114" s="17" t="inlineStr">
        <is>
          <t>Total value of production</t>
        </is>
      </c>
      <c r="B114" s="93" t="n"/>
      <c r="C114" s="94" t="n"/>
      <c r="D114" s="93" t="n"/>
      <c r="E114" s="93" t="n"/>
      <c r="F114" s="107">
        <f>SUM('Stock'!T5:T30)</f>
        <v/>
      </c>
      <c r="G114" s="107" t="n"/>
    </row>
    <row r="115">
      <c r="A115" s="17" t="inlineStr">
        <is>
          <t>Value of sales</t>
        </is>
      </c>
      <c r="B115" s="93" t="n"/>
      <c r="C115" s="94" t="n"/>
      <c r="D115" s="93" t="n"/>
      <c r="E115" s="93" t="n"/>
      <c r="F115" s="107">
        <f>SUM('Stock'!R5:R30)</f>
        <v/>
      </c>
      <c r="G115" s="107" t="n"/>
    </row>
    <row r="116">
      <c r="A116" s="15" t="n"/>
    </row>
    <row r="117">
      <c r="A117" s="16" t="inlineStr">
        <is>
          <t>Wool</t>
        </is>
      </c>
      <c r="B117" s="95" t="inlineStr">
        <is>
          <t>Begin stock</t>
        </is>
      </c>
      <c r="C117" s="95" t="inlineStr">
        <is>
          <t>End stock</t>
        </is>
      </c>
      <c r="D117" s="95" t="inlineStr">
        <is>
          <t>Stockbuilding</t>
        </is>
      </c>
      <c r="E117" s="95" t="n"/>
      <c r="F117" s="95" t="inlineStr">
        <is>
          <t>Value of stock in £</t>
        </is>
      </c>
    </row>
    <row r="118">
      <c r="A118" s="22" t="inlineStr">
        <is>
          <t>Fleeces</t>
        </is>
      </c>
      <c r="G118" s="96" t="n"/>
    </row>
    <row r="119">
      <c r="A119" s="15" t="inlineStr">
        <is>
          <t>Coarse wool</t>
        </is>
      </c>
      <c r="F119">
        <f>C119*'Stock'!O35</f>
        <v/>
      </c>
    </row>
    <row r="120">
      <c r="A120" s="15" t="inlineStr">
        <is>
          <t>Lamb's wool</t>
        </is>
      </c>
      <c r="F120">
        <f>C120*'Stock'!O36</f>
        <v/>
      </c>
    </row>
    <row r="121">
      <c r="A121" s="15" t="inlineStr">
        <is>
          <t>Wool locks</t>
        </is>
      </c>
      <c r="F121">
        <f>C121*'Stock'!O37</f>
        <v/>
      </c>
    </row>
    <row r="122">
      <c r="A122" s="15" t="inlineStr">
        <is>
          <t>Wool sold at shearing</t>
        </is>
      </c>
      <c r="F122">
        <f>C122*'Stock'!O38</f>
        <v/>
      </c>
    </row>
    <row r="123">
      <c r="A123" s="119" t="inlineStr">
        <is>
          <t>Total value of production (sum of the above)</t>
        </is>
      </c>
      <c r="B123" s="93" t="n"/>
      <c r="C123" s="94" t="n"/>
      <c r="D123" s="93" t="n"/>
      <c r="E123" s="93" t="n"/>
      <c r="F123" s="93" t="n"/>
    </row>
    <row r="124">
      <c r="A124" s="119" t="inlineStr">
        <is>
          <t>Value of sales</t>
        </is>
      </c>
      <c r="B124" s="93" t="n"/>
      <c r="C124" s="94" t="n"/>
      <c r="D124" s="93" t="n"/>
      <c r="E124" s="93" t="n"/>
      <c r="F124" s="93" t="n"/>
    </row>
    <row r="125">
      <c r="A125" s="8" t="n"/>
    </row>
    <row r="126">
      <c r="A126" s="16" t="inlineStr">
        <is>
          <t>Hides</t>
        </is>
      </c>
      <c r="B126" s="95" t="inlineStr">
        <is>
          <t>Begin stock</t>
        </is>
      </c>
      <c r="C126" s="95" t="inlineStr">
        <is>
          <t>End stock</t>
        </is>
      </c>
      <c r="D126" s="95" t="inlineStr">
        <is>
          <t>Stockbuilding</t>
        </is>
      </c>
      <c r="E126" s="95" t="n"/>
      <c r="F126" s="95" t="inlineStr">
        <is>
          <t>Value of stock in £</t>
        </is>
      </c>
    </row>
    <row r="127">
      <c r="A127" s="15" t="inlineStr">
        <is>
          <t>Ox hides</t>
        </is>
      </c>
      <c r="G127" s="96" t="n"/>
    </row>
    <row r="128">
      <c r="A128" s="15" t="inlineStr">
        <is>
          <t>Cow hides</t>
        </is>
      </c>
    </row>
    <row r="129">
      <c r="A129" s="15" t="inlineStr">
        <is>
          <t>Mare hides</t>
        </is>
      </c>
    </row>
    <row r="130">
      <c r="A130" s="15" t="inlineStr">
        <is>
          <t>Steer hides</t>
        </is>
      </c>
    </row>
    <row r="131">
      <c r="A131" s="15" t="inlineStr">
        <is>
          <t>Yearling Calf hides</t>
        </is>
      </c>
    </row>
    <row r="132">
      <c r="A132" s="15" t="inlineStr">
        <is>
          <t>Calf hides</t>
        </is>
      </c>
    </row>
    <row r="133">
      <c r="A133" s="23" t="inlineStr">
        <is>
          <t>Pig hides</t>
        </is>
      </c>
    </row>
    <row r="134">
      <c r="A134" s="24" t="inlineStr">
        <is>
          <t>Wether woolskins</t>
        </is>
      </c>
    </row>
    <row r="135">
      <c r="A135" s="24" t="inlineStr">
        <is>
          <t>Ram woolskins</t>
        </is>
      </c>
    </row>
    <row r="136">
      <c r="A136" s="24" t="inlineStr">
        <is>
          <t>Ewe woolskins</t>
        </is>
      </c>
    </row>
    <row r="137">
      <c r="A137" s="24" t="inlineStr">
        <is>
          <t>Hogg woolskins</t>
        </is>
      </c>
    </row>
    <row r="138">
      <c r="A138" s="25" t="inlineStr">
        <is>
          <t>Woolskins (total)</t>
        </is>
      </c>
    </row>
    <row r="139">
      <c r="A139" s="24" t="inlineStr">
        <is>
          <t>Wether bareskins</t>
        </is>
      </c>
    </row>
    <row r="140">
      <c r="A140" s="24" t="inlineStr">
        <is>
          <t>Ram bareskins</t>
        </is>
      </c>
    </row>
    <row r="141">
      <c r="A141" s="24" t="inlineStr">
        <is>
          <t>Ewe bareskins</t>
        </is>
      </c>
    </row>
    <row r="142">
      <c r="A142" s="24" t="inlineStr">
        <is>
          <t>Hogg bareskins</t>
        </is>
      </c>
    </row>
    <row r="143">
      <c r="A143" s="25" t="inlineStr">
        <is>
          <t>Bareskins (total)</t>
        </is>
      </c>
    </row>
    <row r="144">
      <c r="A144" s="15" t="inlineStr">
        <is>
          <t>Lambskins</t>
        </is>
      </c>
    </row>
    <row r="145">
      <c r="A145" s="15" t="inlineStr">
        <is>
          <t>Rotted skins</t>
        </is>
      </c>
    </row>
    <row r="146">
      <c r="A146" s="15" t="inlineStr">
        <is>
          <t>Shorn skins</t>
        </is>
      </c>
    </row>
    <row r="147">
      <c r="A147" s="17" t="inlineStr">
        <is>
          <t>Total value of production (sum of the above)</t>
        </is>
      </c>
      <c r="B147" s="93" t="n"/>
      <c r="C147" s="94" t="n"/>
      <c r="D147" s="93" t="n"/>
      <c r="E147" s="93" t="n"/>
      <c r="F147" s="93" t="n"/>
    </row>
    <row r="148">
      <c r="A148" s="17" t="inlineStr">
        <is>
          <t>Value of sales</t>
        </is>
      </c>
      <c r="B148" s="93" t="n"/>
      <c r="C148" s="94" t="n"/>
      <c r="D148" s="93" t="n"/>
      <c r="E148" s="93" t="n"/>
      <c r="F148" s="93" t="n"/>
    </row>
    <row r="149">
      <c r="A149" s="15" t="n"/>
    </row>
    <row r="150">
      <c r="A150" s="16" t="inlineStr">
        <is>
          <t>Poultry stock</t>
        </is>
      </c>
      <c r="B150" s="95" t="inlineStr">
        <is>
          <t>Begin stock</t>
        </is>
      </c>
      <c r="C150" s="95" t="inlineStr">
        <is>
          <t>End stock</t>
        </is>
      </c>
      <c r="D150" s="95" t="inlineStr">
        <is>
          <t>Stockbuilding</t>
        </is>
      </c>
      <c r="E150" s="95" t="n"/>
      <c r="F150" s="95" t="inlineStr">
        <is>
          <t>Value of stock in £</t>
        </is>
      </c>
    </row>
    <row r="151">
      <c r="A151" s="22" t="inlineStr">
        <is>
          <t>Hens</t>
        </is>
      </c>
      <c r="B151" s="76" t="n">
        <v>0</v>
      </c>
      <c r="C151" s="76" t="n">
        <v>0</v>
      </c>
      <c r="D151" s="76" t="n">
        <v>0</v>
      </c>
      <c r="F151" s="76">
        <f>C151*'Stock'!O70</f>
        <v/>
      </c>
      <c r="G151" s="96" t="n"/>
    </row>
    <row r="152">
      <c r="A152" s="15" t="inlineStr">
        <is>
          <t>Geese</t>
        </is>
      </c>
      <c r="B152" s="76" t="n">
        <v>0</v>
      </c>
      <c r="C152" s="76" t="n">
        <v>0</v>
      </c>
      <c r="D152" s="76" t="n">
        <v>0</v>
      </c>
      <c r="F152" s="76">
        <f>C152*'Stock'!O71</f>
        <v/>
      </c>
    </row>
    <row r="153">
      <c r="A153" s="15" t="inlineStr">
        <is>
          <t>Capons (from chickens)</t>
        </is>
      </c>
      <c r="B153" s="76" t="n">
        <v>0</v>
      </c>
      <c r="C153" s="76" t="n">
        <v>0</v>
      </c>
      <c r="D153" s="76" t="n">
        <v>0</v>
      </c>
      <c r="F153" s="76" t="n">
        <v>0</v>
      </c>
    </row>
    <row r="154">
      <c r="A154" s="15" t="inlineStr">
        <is>
          <t>Cocks &amp; hens</t>
        </is>
      </c>
      <c r="B154" s="76" t="n">
        <v>0</v>
      </c>
      <c r="C154" s="76" t="n">
        <v>0</v>
      </c>
      <c r="D154" s="76" t="n">
        <v>0</v>
      </c>
      <c r="F154" s="76" t="n">
        <v>0</v>
      </c>
    </row>
    <row r="155">
      <c r="A155" s="119" t="inlineStr">
        <is>
          <t>Total value of production (sum of the above)</t>
        </is>
      </c>
      <c r="B155" s="93" t="n"/>
      <c r="C155" s="93" t="n"/>
      <c r="D155" s="93" t="n"/>
      <c r="E155" s="93" t="n"/>
      <c r="F155" s="93">
        <f>SUM(F151:F154)</f>
        <v/>
      </c>
    </row>
    <row r="156">
      <c r="A156" s="119" t="inlineStr">
        <is>
          <t>Value of sales</t>
        </is>
      </c>
      <c r="B156" s="93" t="n"/>
      <c r="C156" s="94" t="n"/>
      <c r="D156" s="93" t="n"/>
      <c r="E156" s="93" t="n"/>
      <c r="F156" s="93">
        <f>SUM('Stock'!R67:R70)</f>
        <v/>
      </c>
    </row>
    <row r="157">
      <c r="A157" s="15" t="n"/>
    </row>
    <row r="158">
      <c r="A158" s="16" t="inlineStr">
        <is>
          <t>Poultry production</t>
        </is>
      </c>
      <c r="B158" s="95" t="inlineStr">
        <is>
          <t>Begin stock</t>
        </is>
      </c>
      <c r="C158" s="95" t="inlineStr">
        <is>
          <t>End stock</t>
        </is>
      </c>
      <c r="D158" s="95" t="inlineStr">
        <is>
          <t>Stockbuilding</t>
        </is>
      </c>
      <c r="E158" s="95" t="n"/>
      <c r="F158" s="95" t="inlineStr">
        <is>
          <t>Value of stock in £</t>
        </is>
      </c>
    </row>
    <row r="159">
      <c r="A159" s="15" t="inlineStr">
        <is>
          <t>Eggs</t>
        </is>
      </c>
      <c r="B159" t="n">
        <v>0</v>
      </c>
      <c r="C159" t="n">
        <v>0</v>
      </c>
      <c r="D159" t="n">
        <v>0</v>
      </c>
      <c r="F159" t="n">
        <v>0</v>
      </c>
      <c r="G159" s="116" t="n"/>
    </row>
    <row r="160">
      <c r="A160" s="15" t="inlineStr">
        <is>
          <t>Cocks &amp; hens from churchscot of customary tenants</t>
        </is>
      </c>
      <c r="B160" t="n">
        <v>0</v>
      </c>
      <c r="C160" t="n">
        <v>0</v>
      </c>
      <c r="D160" t="n">
        <v>0</v>
      </c>
      <c r="F160" t="n">
        <v>0</v>
      </c>
    </row>
    <row r="161">
      <c r="A161" s="15" t="inlineStr">
        <is>
          <t>Sum of above</t>
        </is>
      </c>
    </row>
    <row r="162">
      <c r="A162" s="17" t="inlineStr">
        <is>
          <t>Total value of stock</t>
        </is>
      </c>
      <c r="B162" s="93" t="n"/>
      <c r="C162" s="94" t="n"/>
      <c r="D162" s="93" t="n"/>
      <c r="E162" s="93" t="n"/>
      <c r="F162" s="93" t="n"/>
    </row>
    <row r="163">
      <c r="A163" s="17" t="inlineStr">
        <is>
          <t>Value of sales</t>
        </is>
      </c>
      <c r="B163" s="93" t="n"/>
      <c r="C163" s="94" t="n"/>
      <c r="D163" s="93" t="n"/>
      <c r="E163" s="93" t="n"/>
      <c r="F163" s="93" t="n"/>
    </row>
    <row r="164">
      <c r="A164" s="15" t="n"/>
    </row>
    <row r="165">
      <c r="A165" s="16" t="inlineStr">
        <is>
          <t>Dairy Production</t>
        </is>
      </c>
      <c r="B165" s="95" t="inlineStr">
        <is>
          <t>Begin stock</t>
        </is>
      </c>
      <c r="C165" s="95" t="inlineStr">
        <is>
          <t>End stock</t>
        </is>
      </c>
      <c r="D165" s="95" t="inlineStr">
        <is>
          <t>Stockbuilding</t>
        </is>
      </c>
      <c r="E165" s="95" t="n"/>
      <c r="F165" s="95" t="inlineStr">
        <is>
          <t>Value of stock in £</t>
        </is>
      </c>
    </row>
    <row r="166">
      <c r="A166" s="15" t="inlineStr">
        <is>
          <t>Butter</t>
        </is>
      </c>
      <c r="B166" t="n">
        <v>0</v>
      </c>
      <c r="C166" t="n">
        <v>0</v>
      </c>
      <c r="D166" t="n">
        <v>0</v>
      </c>
      <c r="F166" t="n">
        <v>0</v>
      </c>
      <c r="G166" s="116" t="n"/>
    </row>
    <row r="167">
      <c r="A167" s="15" t="inlineStr">
        <is>
          <t>Winter Cheese</t>
        </is>
      </c>
      <c r="B167" t="n">
        <v>0</v>
      </c>
      <c r="C167" t="n">
        <v>0</v>
      </c>
      <c r="D167" t="n">
        <v>0</v>
      </c>
      <c r="F167">
        <f>C167*'Stock'!O91</f>
        <v/>
      </c>
    </row>
    <row r="168">
      <c r="A168" s="15" t="inlineStr">
        <is>
          <t>Summer Cheese</t>
        </is>
      </c>
      <c r="B168" t="n">
        <v>0</v>
      </c>
      <c r="C168" t="n">
        <v>0</v>
      </c>
      <c r="D168" t="n">
        <v>0</v>
      </c>
      <c r="F168">
        <f>C168*'Stock'!O92</f>
        <v/>
      </c>
    </row>
    <row r="169">
      <c r="A169" s="17" t="inlineStr">
        <is>
          <t>Total value of production (sum of the above)</t>
        </is>
      </c>
      <c r="B169" s="93" t="n"/>
      <c r="C169" s="94" t="n"/>
      <c r="D169" s="93" t="n"/>
      <c r="E169" s="93" t="n"/>
      <c r="F169" s="93" t="n"/>
    </row>
    <row r="170">
      <c r="A170" s="17" t="inlineStr">
        <is>
          <t>Value of sales</t>
        </is>
      </c>
      <c r="B170" s="93" t="n"/>
      <c r="C170" s="94" t="n"/>
      <c r="D170" s="93" t="n"/>
      <c r="E170" s="93" t="n"/>
      <c r="F170" s="93" t="n"/>
    </row>
    <row r="171">
      <c r="A171" s="15" t="n"/>
    </row>
    <row r="172">
      <c r="A172" s="15" t="n"/>
    </row>
    <row r="173" ht="16" customHeight="1" thickBot="1"/>
    <row r="174" ht="16" customHeight="1" thickBot="1">
      <c r="A174" s="103" t="n"/>
      <c r="B174" s="104" t="inlineStr">
        <is>
          <t>Total in £</t>
        </is>
      </c>
      <c r="C174" s="105" t="n"/>
      <c r="D174" s="108" t="n"/>
      <c r="E174" s="108" t="n"/>
      <c r="F174" s="109" t="n"/>
    </row>
    <row r="175">
      <c r="A175" s="97" t="inlineStr">
        <is>
          <t>Total Production Value of all Output (Grange, Dairy, Livestock Sales, Wools, Skins - NO Mill)</t>
        </is>
      </c>
      <c r="B175" s="110">
        <f>F169+F162+F156+F147+F123+F115+D71</f>
        <v/>
      </c>
      <c r="D175" s="111" t="n"/>
      <c r="E175" s="111" t="n"/>
      <c r="F175" s="112" t="n"/>
    </row>
    <row r="176">
      <c r="A176" s="98" t="inlineStr">
        <is>
          <t>Total Sales Value of all Output as defined above</t>
        </is>
      </c>
      <c r="B176" s="110">
        <f>F170+F163+F156+F148+F124+F115+D73</f>
        <v/>
      </c>
      <c r="D176" s="111" t="n"/>
      <c r="E176" s="111" t="n"/>
      <c r="F176" s="112" t="n"/>
    </row>
    <row r="177">
      <c r="A177" s="98" t="inlineStr">
        <is>
          <t>Total Sales of Corn + Issues of the Manor as recorded in account</t>
        </is>
      </c>
      <c r="B177" s="110">
        <f>B15+B18</f>
        <v/>
      </c>
      <c r="D177" s="111" t="n"/>
      <c r="E177" s="111" t="n"/>
      <c r="F177" s="112" t="n"/>
    </row>
    <row r="178">
      <c r="A178" s="98" t="inlineStr">
        <is>
          <t>Production Value + Cash Receipts (excl. Arrears, Issues, Corn and Mill)</t>
        </is>
      </c>
      <c r="B178" s="110">
        <f>B175+B12+B13+B14+B16+B17+B19+B20+B21+B22</f>
        <v/>
      </c>
      <c r="D178" s="111" t="n"/>
      <c r="E178" s="111" t="n"/>
      <c r="F178" s="112" t="n"/>
    </row>
    <row r="179">
      <c r="A179" s="99" t="n"/>
      <c r="B179" s="111" t="n"/>
      <c r="D179" s="111" t="n"/>
      <c r="E179" s="111" t="n"/>
      <c r="F179" s="112" t="n"/>
    </row>
    <row r="180">
      <c r="A180" s="100" t="inlineStr">
        <is>
          <t>% of capital expenses in terms of total production</t>
        </is>
      </c>
      <c r="B180" s="113">
        <f>B47/B175</f>
        <v/>
      </c>
      <c r="C180" s="13" t="n"/>
      <c r="F180" s="112" t="n"/>
    </row>
    <row r="181">
      <c r="A181" s="98" t="inlineStr">
        <is>
          <t>% of capital expenses in terms of total production + cash receipts</t>
        </is>
      </c>
      <c r="B181" s="113">
        <f>B47/B178</f>
        <v/>
      </c>
      <c r="D181" s="111" t="n"/>
      <c r="E181" s="111" t="n"/>
      <c r="F181" s="112" t="n"/>
    </row>
    <row r="182">
      <c r="A182" s="99" t="n"/>
      <c r="D182" s="111" t="n"/>
      <c r="E182" s="111" t="n"/>
      <c r="F182" s="112" t="n"/>
    </row>
    <row r="183" ht="16" customHeight="1" thickBot="1">
      <c r="A183" s="101" t="inlineStr">
        <is>
          <t>% of capital expenses as calculated previously</t>
        </is>
      </c>
      <c r="B183" s="106" t="inlineStr">
        <is>
          <t>n/a</t>
        </is>
      </c>
      <c r="C183" s="102" t="n"/>
      <c r="D183" s="114" t="n"/>
      <c r="E183" s="114" t="n"/>
      <c r="F183" s="115" t="n"/>
    </row>
  </sheetData>
  <mergeCells count="2">
    <mergeCell ref="B60:C60"/>
    <mergeCell ref="B75:C75"/>
  </mergeCells>
  <pageMargins left="0.7" right="0.7" top="0.75" bottom="0.75" header="0.3" footer="0.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topLeftCell="A1" workbookViewId="0">
      <selection activeCell="A1" sqref="A1"/>
    </sheetView>
  </sheetViews>
  <sheetFormatPr baseColWidth="8" defaultColWidth="12.6328125" defaultRowHeight="14.5"/>
  <sheetData>
    <row r="1" ht="15.5" customHeight="1">
      <c r="A1" s="12" t="inlineStr">
        <is>
          <t>Meat &amp; Dairy Prices</t>
        </is>
      </c>
    </row>
    <row r="2">
      <c r="C2" t="n">
        <v>1301</v>
      </c>
      <c r="D2" t="n">
        <v>1302</v>
      </c>
      <c r="E2" s="28" t="inlineStr">
        <is>
          <t>Average</t>
        </is>
      </c>
    </row>
    <row r="3" ht="15.5" customHeight="1">
      <c r="A3" t="inlineStr">
        <is>
          <t>Beef</t>
        </is>
      </c>
      <c r="B3" t="inlineStr">
        <is>
          <t>£ per lb</t>
        </is>
      </c>
      <c r="C3" s="62" t="n">
        <v>0.003335185413087333</v>
      </c>
      <c r="D3" s="62" t="n">
        <v>0.003260853786849182</v>
      </c>
      <c r="E3" s="63">
        <f>AVERAGE(C3:D3)</f>
        <v/>
      </c>
    </row>
    <row r="4">
      <c r="A4" t="inlineStr">
        <is>
          <t>Mutton</t>
        </is>
      </c>
      <c r="B4" t="inlineStr">
        <is>
          <t>£ per lb</t>
        </is>
      </c>
      <c r="C4" s="63" t="n">
        <v>0.003659397726835158</v>
      </c>
      <c r="D4" s="63" t="n">
        <v>0.003712551295250783</v>
      </c>
      <c r="E4" s="63">
        <f>AVERAGE(C4:D4)</f>
        <v/>
      </c>
    </row>
    <row r="5">
      <c r="A5" t="inlineStr">
        <is>
          <t>Pork</t>
        </is>
      </c>
      <c r="B5" t="inlineStr">
        <is>
          <t>£ per lb</t>
        </is>
      </c>
      <c r="C5" s="63" t="n">
        <v>0.003843132608634785</v>
      </c>
      <c r="D5" s="63" t="n">
        <v>0.003757480310106574</v>
      </c>
      <c r="E5" s="63">
        <f>AVERAGE(C5:D5)</f>
        <v/>
      </c>
    </row>
    <row r="6">
      <c r="A6" t="inlineStr">
        <is>
          <t>Cheese</t>
        </is>
      </c>
      <c r="B6" t="inlineStr">
        <is>
          <t>£ per lb</t>
        </is>
      </c>
      <c r="C6" s="64" t="n">
        <v>0.005576875401355813</v>
      </c>
      <c r="D6" s="63" t="n">
        <v>0.005665489823647453</v>
      </c>
      <c r="E6" s="63">
        <f>AVERAGE(C6:D6)</f>
        <v/>
      </c>
    </row>
    <row r="7">
      <c r="A7" t="inlineStr">
        <is>
          <t>Butter</t>
        </is>
      </c>
      <c r="B7" t="inlineStr">
        <is>
          <t>£ per lb</t>
        </is>
      </c>
      <c r="C7" s="63" t="n">
        <v>0.00366262210285494</v>
      </c>
      <c r="D7" s="63" t="n">
        <v>0.003593507742292381</v>
      </c>
      <c r="E7" s="63">
        <f>AVERAGE(C7:D7)</f>
        <v/>
      </c>
    </row>
    <row r="8">
      <c r="A8" t="inlineStr">
        <is>
          <t>Milk</t>
        </is>
      </c>
      <c r="B8" t="inlineStr">
        <is>
          <t>£ per gallon</t>
        </is>
      </c>
      <c r="C8" s="65" t="n">
        <v>0.005576875401355813</v>
      </c>
      <c r="D8" s="63" t="n">
        <v>0.005665489823647453</v>
      </c>
      <c r="E8" s="63">
        <f>AVERAGE(C8:D8)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topLeftCell="A1" workbookViewId="0">
      <selection activeCell="A1" sqref="A1"/>
    </sheetView>
  </sheetViews>
  <sheetFormatPr baseColWidth="8" defaultColWidth="8.81640625" defaultRowHeight="14.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83"/>
  <sheetViews>
    <sheetView topLeftCell="A1"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8" t="inlineStr">
        <is>
          <t>RIMPTON</t>
        </is>
      </c>
      <c r="B1" s="77" t="inlineStr">
        <is>
          <t>Total in £</t>
        </is>
      </c>
      <c r="C1" s="78" t="inlineStr">
        <is>
          <t>Error</t>
        </is>
      </c>
      <c r="D1" s="12" t="inlineStr">
        <is>
          <t>Note</t>
        </is>
      </c>
    </row>
    <row r="2">
      <c r="A2" s="8" t="inlineStr">
        <is>
          <t>CASH ACCOUNT</t>
        </is>
      </c>
    </row>
    <row r="3">
      <c r="A3" s="16" t="inlineStr">
        <is>
          <t>RECEIPTS</t>
        </is>
      </c>
    </row>
    <row r="4">
      <c r="A4" s="15" t="inlineStr">
        <is>
          <t>Arrears total</t>
        </is>
      </c>
    </row>
    <row r="5">
      <c r="A5" s="15" t="inlineStr">
        <is>
          <t>Rents of assize total</t>
        </is>
      </c>
    </row>
    <row r="6">
      <c r="A6" s="15" t="inlineStr">
        <is>
          <t>Quittances total</t>
        </is>
      </c>
    </row>
    <row r="7">
      <c r="A7" s="15" t="inlineStr">
        <is>
          <t>Defaults of rent total</t>
        </is>
      </c>
    </row>
    <row r="8">
      <c r="A8" s="9" t="inlineStr">
        <is>
          <t>Defaults of rent through the pestilence total</t>
        </is>
      </c>
    </row>
    <row r="9">
      <c r="A9" s="9" t="inlineStr">
        <is>
          <t>Cotlands defaults total</t>
        </is>
      </c>
    </row>
    <row r="10">
      <c r="A10" s="9" t="inlineStr">
        <is>
          <t>Cotlands total</t>
        </is>
      </c>
    </row>
    <row r="11">
      <c r="A11" s="9" t="inlineStr">
        <is>
          <t>Total of quittances and defaults of rent total</t>
        </is>
      </c>
    </row>
    <row r="12">
      <c r="A12" s="9" t="inlineStr">
        <is>
          <t>Total of rents remaining clear total</t>
        </is>
      </c>
    </row>
    <row r="13">
      <c r="A13" s="9" t="inlineStr">
        <is>
          <t>Farms total</t>
        </is>
      </c>
    </row>
    <row r="14">
      <c r="A14" s="15" t="inlineStr">
        <is>
          <t>Annual recognizances total</t>
        </is>
      </c>
    </row>
    <row r="15">
      <c r="A15" s="15" t="inlineStr">
        <is>
          <t>Issues of the Manor total</t>
        </is>
      </c>
    </row>
    <row r="16">
      <c r="A16" s="9" t="inlineStr">
        <is>
          <t>Issues of the tenements in the lord's hands total</t>
        </is>
      </c>
    </row>
    <row r="17">
      <c r="A17" s="9" t="inlineStr">
        <is>
          <t>Sale of labour services total</t>
        </is>
      </c>
    </row>
    <row r="18">
      <c r="A18" s="15" t="inlineStr">
        <is>
          <t>Sale of corn total</t>
        </is>
      </c>
    </row>
    <row r="19">
      <c r="A19" s="15" t="inlineStr">
        <is>
          <t>Entry and marriage fines total</t>
        </is>
      </c>
    </row>
    <row r="20">
      <c r="A20" s="15" t="inlineStr">
        <is>
          <t>Pleas &amp; perquisites total</t>
        </is>
      </c>
    </row>
    <row r="21">
      <c r="A21" s="9" t="inlineStr">
        <is>
          <t>Forfeited chattels total</t>
        </is>
      </c>
    </row>
    <row r="22">
      <c r="A22" s="9" t="inlineStr">
        <is>
          <t>Farm of the demesne land total</t>
        </is>
      </c>
    </row>
    <row r="23">
      <c r="A23" s="81" t="inlineStr">
        <is>
          <t>Total of all receipts (calculated here)</t>
        </is>
      </c>
    </row>
    <row r="24">
      <c r="A24" s="82" t="inlineStr">
        <is>
          <t>Total of all receipts (calculated here) incl arrears</t>
        </is>
      </c>
    </row>
    <row r="25">
      <c r="A25" s="83" t="inlineStr">
        <is>
          <t>Total recorded in the accounts excl. arrears</t>
        </is>
      </c>
    </row>
    <row r="26">
      <c r="A26" s="83" t="inlineStr">
        <is>
          <t>Total recorded in the accounts incl. arrears</t>
        </is>
      </c>
    </row>
    <row r="27">
      <c r="A27" s="15" t="n"/>
    </row>
    <row r="28">
      <c r="A28" s="15" t="n"/>
    </row>
    <row r="29">
      <c r="A29" s="16" t="inlineStr">
        <is>
          <t>EXPENSES</t>
        </is>
      </c>
    </row>
    <row r="30">
      <c r="A30" s="15" t="inlineStr">
        <is>
          <t>Cost of ploughs total</t>
        </is>
      </c>
    </row>
    <row r="31">
      <c r="A31" s="15" t="inlineStr">
        <is>
          <t>Purchase of corn total</t>
        </is>
      </c>
    </row>
    <row r="32">
      <c r="A32" s="15" t="inlineStr">
        <is>
          <t>Cost of carts and wagons total</t>
        </is>
      </c>
    </row>
    <row r="33">
      <c r="A33" s="15" t="inlineStr">
        <is>
          <t>Cost of dairy total</t>
        </is>
      </c>
    </row>
    <row r="34">
      <c r="A34" s="15" t="inlineStr">
        <is>
          <t>Purchase of stock total</t>
        </is>
      </c>
    </row>
    <row r="35">
      <c r="A35" s="15" t="inlineStr">
        <is>
          <t>Sheepcote total</t>
        </is>
      </c>
    </row>
    <row r="36">
      <c r="A36" s="15" t="inlineStr">
        <is>
          <t>Cost of buildings total</t>
        </is>
      </c>
    </row>
    <row r="37">
      <c r="A37" s="15" t="inlineStr">
        <is>
          <t>Threshing total</t>
        </is>
      </c>
    </row>
    <row r="38">
      <c r="A38" s="15" t="inlineStr">
        <is>
          <t>Barley expenses</t>
        </is>
      </c>
    </row>
    <row r="39">
      <c r="A39" s="15" t="inlineStr">
        <is>
          <t>Expenses of the harvest total</t>
        </is>
      </c>
    </row>
    <row r="40">
      <c r="A40" s="15" t="inlineStr">
        <is>
          <t>Necessary expenses</t>
        </is>
      </c>
    </row>
    <row r="41">
      <c r="A41" s="15" t="inlineStr">
        <is>
          <t>Wages of the bailiff</t>
        </is>
      </c>
    </row>
    <row r="42">
      <c r="A42" s="15" t="inlineStr">
        <is>
          <t>Steward's expenses total</t>
        </is>
      </c>
    </row>
    <row r="43">
      <c r="A43" s="85" t="inlineStr">
        <is>
          <t>Annual fees</t>
        </is>
      </c>
    </row>
    <row r="44">
      <c r="A44" s="82" t="inlineStr">
        <is>
          <t>Total of all expenses per account</t>
        </is>
      </c>
    </row>
    <row r="45">
      <c r="A45" s="82" t="inlineStr">
        <is>
          <t>Total of all expenses (calculated here)</t>
        </is>
      </c>
    </row>
    <row r="46">
      <c r="A46" s="82" t="inlineStr">
        <is>
          <t>Total fixed investment</t>
        </is>
      </c>
    </row>
    <row r="47">
      <c r="A47" s="82" t="inlineStr">
        <is>
          <t>Total Demesne fixed investment</t>
        </is>
      </c>
    </row>
    <row r="48">
      <c r="A48" s="12" t="n"/>
    </row>
    <row r="49">
      <c r="A49" s="18" t="inlineStr">
        <is>
          <t>Owed by the reeve</t>
        </is>
      </c>
    </row>
    <row r="50">
      <c r="A50" s="18" t="inlineStr">
        <is>
          <t>From accounts</t>
        </is>
      </c>
    </row>
    <row r="51">
      <c r="A51" s="15" t="n"/>
    </row>
    <row r="52">
      <c r="A52" s="18" t="inlineStr">
        <is>
          <t>Allowances</t>
        </is>
      </c>
    </row>
    <row r="53">
      <c r="A53" s="18" t="inlineStr">
        <is>
          <t>Cash deliveries</t>
        </is>
      </c>
    </row>
    <row r="54">
      <c r="A54" s="19" t="inlineStr">
        <is>
          <t>Sum of the above</t>
        </is>
      </c>
    </row>
    <row r="55">
      <c r="A55" s="20" t="inlineStr">
        <is>
          <t>Total of all allowances and cash deliveries in accounts</t>
        </is>
      </c>
    </row>
    <row r="56">
      <c r="A56" s="15" t="n"/>
    </row>
    <row r="57">
      <c r="A57" s="18" t="inlineStr">
        <is>
          <t>Net amount owed</t>
        </is>
      </c>
    </row>
    <row r="58">
      <c r="A58" s="18" t="inlineStr">
        <is>
          <t>Net amount owed in accounts</t>
        </is>
      </c>
    </row>
    <row r="59">
      <c r="A59" s="15" t="n"/>
    </row>
    <row r="60">
      <c r="A60" s="16" t="inlineStr">
        <is>
          <t xml:space="preserve">GRANGE ACCOUNT </t>
        </is>
      </c>
    </row>
    <row r="61">
      <c r="A61" s="8" t="inlineStr">
        <is>
          <t>Grange</t>
        </is>
      </c>
    </row>
    <row r="62">
      <c r="A62" s="9" t="inlineStr">
        <is>
          <t>Wheat</t>
        </is>
      </c>
    </row>
    <row r="63">
      <c r="A63" s="9" t="inlineStr">
        <is>
          <t>Rye</t>
        </is>
      </c>
    </row>
    <row r="64">
      <c r="A64" s="9" t="inlineStr">
        <is>
          <t>Dredge</t>
        </is>
      </c>
    </row>
    <row r="65">
      <c r="A65" s="9" t="inlineStr">
        <is>
          <t>Curall</t>
        </is>
      </c>
    </row>
    <row r="66">
      <c r="A66" s="9" t="inlineStr">
        <is>
          <t>Barley</t>
        </is>
      </c>
    </row>
    <row r="67">
      <c r="A67" s="9" t="inlineStr">
        <is>
          <t>Oats</t>
        </is>
      </c>
    </row>
    <row r="68">
      <c r="A68" s="9" t="inlineStr">
        <is>
          <t>Beans</t>
        </is>
      </c>
    </row>
    <row r="69">
      <c r="A69" s="9" t="inlineStr">
        <is>
          <t>Peas</t>
        </is>
      </c>
    </row>
    <row r="70">
      <c r="A70" s="9" t="inlineStr">
        <is>
          <t>Vetches</t>
        </is>
      </c>
    </row>
    <row r="71">
      <c r="A71" s="17" t="inlineStr">
        <is>
          <t>Total value of gross production (sum of the above)</t>
        </is>
      </c>
    </row>
    <row r="72">
      <c r="A72" s="17" t="inlineStr">
        <is>
          <t>Total value of net production</t>
        </is>
      </c>
    </row>
    <row r="73">
      <c r="A73" s="17" t="inlineStr">
        <is>
          <t>Value of sales</t>
        </is>
      </c>
    </row>
    <row r="74">
      <c r="A74" s="15" t="n"/>
    </row>
    <row r="75">
      <c r="A75" s="16" t="inlineStr">
        <is>
          <t>MILL ACCOUNT</t>
        </is>
      </c>
    </row>
    <row r="76">
      <c r="A76" s="8" t="inlineStr">
        <is>
          <t>Issues of the mill</t>
        </is>
      </c>
    </row>
    <row r="77">
      <c r="A77" s="15" t="inlineStr">
        <is>
          <t>Wheat</t>
        </is>
      </c>
    </row>
    <row r="78">
      <c r="A78" s="15" t="inlineStr">
        <is>
          <t>Oatmeal</t>
        </is>
      </c>
    </row>
    <row r="79">
      <c r="A79" s="15" t="inlineStr">
        <is>
          <t>1st grade malt</t>
        </is>
      </c>
    </row>
    <row r="80">
      <c r="A80" s="15" t="inlineStr">
        <is>
          <t>2nd grade malt</t>
        </is>
      </c>
    </row>
    <row r="81">
      <c r="A81" s="15" t="inlineStr">
        <is>
          <t>Maslin</t>
        </is>
      </c>
    </row>
    <row r="82">
      <c r="A82" s="17" t="inlineStr">
        <is>
          <t>Total value of production (sum of the above)</t>
        </is>
      </c>
    </row>
    <row r="83">
      <c r="A83" s="17" t="inlineStr">
        <is>
          <t>Value of sales</t>
        </is>
      </c>
    </row>
    <row r="84">
      <c r="A84" s="15" t="n"/>
    </row>
    <row r="85">
      <c r="A85" s="92" t="inlineStr">
        <is>
          <t>STOCK ACCOUNT</t>
        </is>
      </c>
    </row>
    <row r="86">
      <c r="A86" s="21" t="inlineStr">
        <is>
          <t>Livestock</t>
        </is>
      </c>
    </row>
    <row r="87" ht="17" customHeight="1">
      <c r="A87" s="22" t="inlineStr">
        <is>
          <t>Cart-horses</t>
        </is>
      </c>
    </row>
    <row r="88" ht="17" customHeight="1">
      <c r="A88" s="22" t="inlineStr">
        <is>
          <t>Mares</t>
        </is>
      </c>
    </row>
    <row r="89">
      <c r="A89" s="15" t="inlineStr">
        <is>
          <t>Plough horses</t>
        </is>
      </c>
    </row>
    <row r="90">
      <c r="A90" s="15" t="inlineStr">
        <is>
          <t>Colts (2 years)</t>
        </is>
      </c>
    </row>
    <row r="91">
      <c r="A91" s="15" t="inlineStr">
        <is>
          <t>Colts (2 years)</t>
        </is>
      </c>
    </row>
    <row r="92">
      <c r="A92" s="15" t="inlineStr">
        <is>
          <t>Colts (1 year)</t>
        </is>
      </c>
    </row>
    <row r="93">
      <c r="A93" s="15" t="inlineStr">
        <is>
          <t>Foals</t>
        </is>
      </c>
    </row>
    <row r="94">
      <c r="A94" s="15" t="inlineStr">
        <is>
          <t>Oxen</t>
        </is>
      </c>
    </row>
    <row r="95">
      <c r="A95" s="15" t="inlineStr">
        <is>
          <t>Bulls</t>
        </is>
      </c>
    </row>
    <row r="96">
      <c r="A96" s="15" t="inlineStr">
        <is>
          <t>Cows</t>
        </is>
      </c>
    </row>
    <row r="97">
      <c r="A97" s="15" t="inlineStr">
        <is>
          <t>Steers</t>
        </is>
      </c>
    </row>
    <row r="98">
      <c r="A98" s="15" t="inlineStr">
        <is>
          <t>Bullocks</t>
        </is>
      </c>
    </row>
    <row r="99">
      <c r="A99" s="15" t="inlineStr">
        <is>
          <t>Yearlings</t>
        </is>
      </c>
    </row>
    <row r="100">
      <c r="A100" s="15" t="inlineStr">
        <is>
          <t>Calves</t>
        </is>
      </c>
    </row>
    <row r="101">
      <c r="A101" s="15" t="inlineStr">
        <is>
          <t>Wethers</t>
        </is>
      </c>
    </row>
    <row r="102">
      <c r="A102" s="15" t="inlineStr">
        <is>
          <t>Rams</t>
        </is>
      </c>
    </row>
    <row r="103">
      <c r="A103" s="15" t="inlineStr">
        <is>
          <t>Ewes</t>
        </is>
      </c>
    </row>
    <row r="104">
      <c r="A104" s="15" t="inlineStr">
        <is>
          <t>Hoggs</t>
        </is>
      </c>
    </row>
    <row r="105">
      <c r="A105" s="15" t="inlineStr">
        <is>
          <t>Lambs</t>
        </is>
      </c>
    </row>
    <row r="106">
      <c r="A106" s="15" t="inlineStr">
        <is>
          <t>Boars</t>
        </is>
      </c>
    </row>
    <row r="107">
      <c r="A107" s="15" t="inlineStr">
        <is>
          <t>Sows</t>
        </is>
      </c>
    </row>
    <row r="108">
      <c r="A108" s="15" t="inlineStr">
        <is>
          <t>Pigs</t>
        </is>
      </c>
    </row>
    <row r="109">
      <c r="A109" s="15" t="inlineStr">
        <is>
          <t>Hoggets</t>
        </is>
      </c>
    </row>
    <row r="110">
      <c r="A110" s="15" t="inlineStr">
        <is>
          <t>Piglets</t>
        </is>
      </c>
    </row>
    <row r="111">
      <c r="A111" s="15" t="inlineStr">
        <is>
          <t>Swans</t>
        </is>
      </c>
    </row>
    <row r="112">
      <c r="A112" s="15" t="inlineStr">
        <is>
          <t>Peacocks</t>
        </is>
      </c>
    </row>
    <row r="113">
      <c r="A113" s="17" t="inlineStr">
        <is>
          <t>Total value of stock (sum of the above)</t>
        </is>
      </c>
    </row>
    <row r="114">
      <c r="A114" s="17" t="inlineStr">
        <is>
          <t>Total value of production</t>
        </is>
      </c>
    </row>
    <row r="115">
      <c r="A115" s="17" t="inlineStr">
        <is>
          <t>Value of sales</t>
        </is>
      </c>
    </row>
    <row r="116">
      <c r="A116" s="15" t="n"/>
    </row>
    <row r="117">
      <c r="A117" s="16" t="inlineStr">
        <is>
          <t>Wool</t>
        </is>
      </c>
    </row>
    <row r="118" ht="17" customHeight="1">
      <c r="A118" s="22" t="inlineStr">
        <is>
          <t>Fleeces</t>
        </is>
      </c>
    </row>
    <row r="119">
      <c r="A119" s="15" t="inlineStr">
        <is>
          <t>Coarse wool</t>
        </is>
      </c>
    </row>
    <row r="120">
      <c r="A120" s="15" t="inlineStr">
        <is>
          <t>Lamb's wool</t>
        </is>
      </c>
    </row>
    <row r="121">
      <c r="A121" s="15" t="inlineStr">
        <is>
          <t>Wool locks</t>
        </is>
      </c>
    </row>
    <row r="122">
      <c r="A122" s="15" t="inlineStr">
        <is>
          <t>Wool sold at shearing</t>
        </is>
      </c>
    </row>
    <row r="123">
      <c r="A123" s="119" t="inlineStr">
        <is>
          <t>Total value of production (sum of the above)</t>
        </is>
      </c>
    </row>
    <row r="124">
      <c r="A124" s="119" t="inlineStr">
        <is>
          <t>Value of sales</t>
        </is>
      </c>
    </row>
    <row r="125">
      <c r="A125" s="8" t="n"/>
    </row>
    <row r="126">
      <c r="A126" s="16" t="inlineStr">
        <is>
          <t>Hides</t>
        </is>
      </c>
    </row>
    <row r="127">
      <c r="A127" s="15" t="inlineStr">
        <is>
          <t>Ox hides</t>
        </is>
      </c>
    </row>
    <row r="128">
      <c r="A128" s="15" t="inlineStr">
        <is>
          <t>Cow hides</t>
        </is>
      </c>
    </row>
    <row r="129">
      <c r="A129" s="15" t="inlineStr">
        <is>
          <t>Mare hides</t>
        </is>
      </c>
    </row>
    <row r="130">
      <c r="A130" s="15" t="inlineStr">
        <is>
          <t>Steer hides</t>
        </is>
      </c>
    </row>
    <row r="131">
      <c r="A131" s="15" t="inlineStr">
        <is>
          <t>Yearling Calf hides</t>
        </is>
      </c>
    </row>
    <row r="132">
      <c r="A132" s="15" t="inlineStr">
        <is>
          <t>Calf hides</t>
        </is>
      </c>
    </row>
    <row r="133">
      <c r="A133" s="23" t="inlineStr">
        <is>
          <t>Pig hides</t>
        </is>
      </c>
    </row>
    <row r="134">
      <c r="A134" s="24" t="inlineStr">
        <is>
          <t>Wether woolskins</t>
        </is>
      </c>
    </row>
    <row r="135">
      <c r="A135" s="24" t="inlineStr">
        <is>
          <t>Ram woolskins</t>
        </is>
      </c>
    </row>
    <row r="136">
      <c r="A136" s="24" t="inlineStr">
        <is>
          <t>Ewe woolskins</t>
        </is>
      </c>
    </row>
    <row r="137">
      <c r="A137" s="24" t="inlineStr">
        <is>
          <t>Hogg woolskins</t>
        </is>
      </c>
    </row>
    <row r="138">
      <c r="A138" s="25" t="inlineStr">
        <is>
          <t>Woolskins (total)</t>
        </is>
      </c>
    </row>
    <row r="139">
      <c r="A139" s="24" t="inlineStr">
        <is>
          <t>Wether bareskins</t>
        </is>
      </c>
    </row>
    <row r="140">
      <c r="A140" s="24" t="inlineStr">
        <is>
          <t>Ram bareskins</t>
        </is>
      </c>
    </row>
    <row r="141">
      <c r="A141" s="24" t="inlineStr">
        <is>
          <t>Ewe bareskins</t>
        </is>
      </c>
    </row>
    <row r="142">
      <c r="A142" s="24" t="inlineStr">
        <is>
          <t>Hogg bareskins</t>
        </is>
      </c>
    </row>
    <row r="143">
      <c r="A143" s="25" t="inlineStr">
        <is>
          <t>Bareskins (total)</t>
        </is>
      </c>
    </row>
    <row r="144">
      <c r="A144" s="15" t="inlineStr">
        <is>
          <t>Lambskins</t>
        </is>
      </c>
    </row>
    <row r="145">
      <c r="A145" s="15" t="inlineStr">
        <is>
          <t>Rotted skins</t>
        </is>
      </c>
    </row>
    <row r="146">
      <c r="A146" s="15" t="inlineStr">
        <is>
          <t>Shorn skins</t>
        </is>
      </c>
    </row>
    <row r="147">
      <c r="A147" s="17" t="inlineStr">
        <is>
          <t>Total value of production (sum of the above)</t>
        </is>
      </c>
    </row>
    <row r="148">
      <c r="A148" s="17" t="inlineStr">
        <is>
          <t>Value of sales</t>
        </is>
      </c>
    </row>
    <row r="149">
      <c r="A149" s="15" t="n"/>
    </row>
    <row r="150">
      <c r="A150" s="16" t="inlineStr">
        <is>
          <t>Poultry stock</t>
        </is>
      </c>
    </row>
    <row r="151" ht="17" customHeight="1">
      <c r="A151" s="22" t="inlineStr">
        <is>
          <t>Hens</t>
        </is>
      </c>
    </row>
    <row r="152">
      <c r="A152" s="15" t="inlineStr">
        <is>
          <t>Geese</t>
        </is>
      </c>
    </row>
    <row r="153">
      <c r="A153" s="15" t="inlineStr">
        <is>
          <t>Capons (from chickens)</t>
        </is>
      </c>
    </row>
    <row r="154">
      <c r="A154" s="15" t="inlineStr">
        <is>
          <t>Cocks &amp; hens</t>
        </is>
      </c>
    </row>
    <row r="155">
      <c r="A155" s="119" t="inlineStr">
        <is>
          <t>Total value of production (sum of the above)</t>
        </is>
      </c>
    </row>
    <row r="156">
      <c r="A156" s="119" t="inlineStr">
        <is>
          <t>Value of sales</t>
        </is>
      </c>
    </row>
    <row r="157">
      <c r="A157" s="15" t="n"/>
    </row>
    <row r="158">
      <c r="A158" s="16" t="inlineStr">
        <is>
          <t>Poultry production</t>
        </is>
      </c>
    </row>
    <row r="159">
      <c r="A159" s="15" t="inlineStr">
        <is>
          <t>Eggs</t>
        </is>
      </c>
    </row>
    <row r="160">
      <c r="A160" s="15" t="inlineStr">
        <is>
          <t>Cocks &amp; hens from churchscot of customary tenants</t>
        </is>
      </c>
    </row>
    <row r="161">
      <c r="A161" s="15" t="inlineStr">
        <is>
          <t>Sum of above</t>
        </is>
      </c>
    </row>
    <row r="162">
      <c r="A162" s="17" t="inlineStr">
        <is>
          <t>Total value of stock</t>
        </is>
      </c>
    </row>
    <row r="163">
      <c r="A163" s="17" t="inlineStr">
        <is>
          <t>Value of sales</t>
        </is>
      </c>
    </row>
    <row r="164">
      <c r="A164" s="15" t="n"/>
    </row>
    <row r="165">
      <c r="A165" s="16" t="inlineStr">
        <is>
          <t>Dairy Production</t>
        </is>
      </c>
    </row>
    <row r="166">
      <c r="A166" s="15" t="inlineStr">
        <is>
          <t>Butter</t>
        </is>
      </c>
    </row>
    <row r="167">
      <c r="A167" s="15" t="inlineStr">
        <is>
          <t>Winter Cheese</t>
        </is>
      </c>
    </row>
    <row r="168">
      <c r="A168" s="15" t="inlineStr">
        <is>
          <t>Summer Cheese</t>
        </is>
      </c>
    </row>
    <row r="169">
      <c r="A169" s="17" t="inlineStr">
        <is>
          <t>Total value of production (sum of the above)</t>
        </is>
      </c>
    </row>
    <row r="170">
      <c r="A170" s="17" t="inlineStr">
        <is>
          <t>Value of sales</t>
        </is>
      </c>
    </row>
    <row r="171">
      <c r="A171" s="15" t="n"/>
    </row>
    <row r="172">
      <c r="A172" s="15" t="n"/>
    </row>
    <row r="173" ht="17" customHeight="1"/>
    <row r="174" ht="17" customHeight="1">
      <c r="A174" s="103" t="n"/>
    </row>
    <row r="175">
      <c r="A175" s="97" t="inlineStr">
        <is>
          <t>Total Production Value of all Output (Grange, Dairy, Livestock Sales, Wools, Skins - NO Mill)</t>
        </is>
      </c>
    </row>
    <row r="176">
      <c r="A176" s="98" t="inlineStr">
        <is>
          <t>Total Sales Value of all Output as defined above</t>
        </is>
      </c>
    </row>
    <row r="177">
      <c r="A177" s="98" t="inlineStr">
        <is>
          <t>Total Sales of Corn + Issues of the Manor as recorded in account</t>
        </is>
      </c>
    </row>
    <row r="178">
      <c r="A178" s="98" t="inlineStr">
        <is>
          <t>Production Value + Cash Receipts (excl. Arrears, Issues, Corn and Mill)</t>
        </is>
      </c>
    </row>
    <row r="179">
      <c r="A179" s="99" t="n"/>
    </row>
    <row r="180">
      <c r="A180" s="100" t="inlineStr">
        <is>
          <t>% of capital expenses in terms of total production</t>
        </is>
      </c>
    </row>
    <row r="181">
      <c r="A181" s="98" t="inlineStr">
        <is>
          <t>% of capital expenses in terms of total production + cash receipts</t>
        </is>
      </c>
    </row>
    <row r="182">
      <c r="A182" s="99" t="n"/>
    </row>
    <row r="183" ht="17" customHeight="1">
      <c r="A183" s="101" t="inlineStr">
        <is>
          <t>% of capital expenses as calculated previously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8"/>
  <sheetViews>
    <sheetView topLeftCell="A1" workbookViewId="0">
      <selection activeCell="A1" sqref="A1"/>
    </sheetView>
  </sheetViews>
  <sheetFormatPr baseColWidth="8" defaultRowHeight="15"/>
  <cols>
    <col width="30.5" customWidth="1" min="1" max="1"/>
    <col width="8.83203125" customWidth="1" min="6" max="6"/>
    <col width="8.83203125" customWidth="1" min="7" max="7"/>
  </cols>
  <sheetData>
    <row r="1" ht="16" customHeight="1">
      <c r="A1" s="8" t="inlineStr">
        <is>
          <t>RIMPTON RECEIPTS</t>
        </is>
      </c>
    </row>
    <row r="2" ht="16" customHeight="1">
      <c r="A2" s="11" t="inlineStr">
        <is>
          <t>Heading</t>
        </is>
      </c>
      <c r="B2" s="3" t="inlineStr">
        <is>
          <t>£</t>
        </is>
      </c>
      <c r="C2" s="4" t="inlineStr">
        <is>
          <t xml:space="preserve">s </t>
        </is>
      </c>
      <c r="D2" s="4" t="inlineStr">
        <is>
          <t>d</t>
        </is>
      </c>
      <c r="E2" s="4" t="n"/>
      <c r="F2" s="127" t="inlineStr">
        <is>
          <t>Total in £</t>
        </is>
      </c>
      <c r="G2" s="128" t="inlineStr">
        <is>
          <t>Error</t>
        </is>
      </c>
      <c r="H2" s="7" t="inlineStr">
        <is>
          <t>Notes</t>
        </is>
      </c>
    </row>
    <row r="3">
      <c r="A3" t="inlineStr">
        <is>
          <t>Rents of assize</t>
        </is>
      </c>
      <c r="B3" t="n">
        <v>1</v>
      </c>
      <c r="C3" t="n">
        <v>4</v>
      </c>
      <c r="D3" t="n">
        <v>6</v>
      </c>
      <c r="F3" s="72">
        <f>B3+C3/20+D3/240</f>
        <v/>
      </c>
      <c r="H3" t="inlineStr">
        <is>
          <t>Henry le Whyte and Robert Boye, reeve of Rimpton, render account for £1 4shilling 6pence for rents at Christmas.</t>
        </is>
      </c>
    </row>
    <row r="4">
      <c r="A4" t="inlineStr">
        <is>
          <t>Rents of assize</t>
        </is>
      </c>
      <c r="B4" t="n">
        <v>1</v>
      </c>
      <c r="C4" t="n">
        <v>4</v>
      </c>
      <c r="D4" t="n">
        <v>6</v>
      </c>
      <c r="F4" s="72" t="n">
        <v>1.22</v>
      </c>
      <c r="H4" t="inlineStr">
        <is>
          <t>£1 4 shilling 6pence at Easter (22 April).</t>
        </is>
      </c>
    </row>
    <row r="5">
      <c r="A5" t="inlineStr">
        <is>
          <t>Rents of assize</t>
        </is>
      </c>
      <c r="B5" t="n">
        <v>1</v>
      </c>
      <c r="C5" t="n">
        <v>4</v>
      </c>
      <c r="D5" t="n">
        <v>6</v>
      </c>
      <c r="F5" s="72" t="n">
        <v>1.22</v>
      </c>
      <c r="H5" t="inlineStr">
        <is>
          <t>£1 4 shilling 6pence at the Nativity of the blessed John the Baptist (24 June).</t>
        </is>
      </c>
    </row>
    <row r="6">
      <c r="A6" t="inlineStr">
        <is>
          <t>Rents of assize</t>
        </is>
      </c>
      <c r="B6" t="n">
        <v>1</v>
      </c>
      <c r="C6" t="n">
        <v>4</v>
      </c>
      <c r="D6" t="n">
        <v>6</v>
      </c>
      <c r="F6" s="72" t="n">
        <v>1.22</v>
      </c>
      <c r="H6" t="inlineStr">
        <is>
          <t>£1 4 shilling 6pence at Michaelmas (29 September).</t>
        </is>
      </c>
    </row>
    <row r="7">
      <c r="A7" t="inlineStr">
        <is>
          <t>Rents of assize</t>
        </is>
      </c>
      <c r="B7" t="n">
        <v>4</v>
      </c>
      <c r="C7" t="n">
        <v>18</v>
      </c>
      <c r="D7" t="n">
        <v>0</v>
      </c>
      <c r="F7" s="72" t="n">
        <v>4.9</v>
      </c>
      <c r="H7" t="inlineStr">
        <is>
          <t>Total, £4 18 shilling</t>
        </is>
      </c>
    </row>
    <row r="8">
      <c r="A8" t="inlineStr">
        <is>
          <t>Rents of assize</t>
        </is>
      </c>
      <c r="F8" s="72">
        <f>SUM(F3:F6)</f>
        <v/>
      </c>
      <c r="G8" s="129">
        <f>F8-F7</f>
        <v/>
      </c>
      <c r="H8" t="inlineStr">
        <is>
          <t>Total</t>
        </is>
      </c>
    </row>
    <row r="9"/>
    <row r="10">
      <c r="A10" t="inlineStr">
        <is>
          <t>Quittances</t>
        </is>
      </c>
      <c r="B10" t="n">
        <v>0</v>
      </c>
      <c r="C10" t="n">
        <v>3</v>
      </c>
      <c r="D10" t="n">
        <v>0</v>
      </c>
      <c r="F10" s="72" t="n">
        <v>0.15</v>
      </c>
      <c r="H10" t="inlineStr">
        <is>
          <t>In quittance of 1 reeve for the year 3 shilling.</t>
        </is>
      </c>
    </row>
    <row r="11">
      <c r="A11" t="inlineStr">
        <is>
          <t>Quittances</t>
        </is>
      </c>
      <c r="B11" t="n">
        <v>0</v>
      </c>
      <c r="C11" t="n">
        <v>12</v>
      </c>
      <c r="D11" t="n">
        <v>0</v>
      </c>
      <c r="F11" s="72" t="n">
        <v>0.6</v>
      </c>
      <c r="H11" t="inlineStr">
        <is>
          <t>4 ploughmen, 2 ox-drovers for the year 12 shilling.</t>
        </is>
      </c>
    </row>
    <row r="12">
      <c r="A12" t="inlineStr">
        <is>
          <t>Quittances</t>
        </is>
      </c>
      <c r="B12" t="n">
        <v>1</v>
      </c>
      <c r="C12" t="n">
        <v>16</v>
      </c>
      <c r="D12" t="n">
        <v>0</v>
      </c>
      <c r="F12" s="72" t="n">
        <v>1.8</v>
      </c>
      <c r="H12" t="inlineStr">
        <is>
          <t>18 workers who harrowed, gripped, dug, threshed corn, mowed meadows, tossed and carried hay, reaped and carried corn at harvest-time, and did other necessary work, £1 16 shilling for the year, or 2 shilling each.</t>
        </is>
      </c>
    </row>
    <row r="13">
      <c r="A13" t="inlineStr">
        <is>
          <t>Quittances</t>
        </is>
      </c>
      <c r="B13" t="n">
        <v>2</v>
      </c>
      <c r="C13" t="n">
        <v>11</v>
      </c>
      <c r="D13" t="n">
        <v>0</v>
      </c>
      <c r="F13" s="72" t="n">
        <v>2.55</v>
      </c>
      <c r="H13" t="inlineStr">
        <is>
          <t>Total, £2 11 shilling</t>
        </is>
      </c>
    </row>
    <row r="14">
      <c r="A14" t="inlineStr">
        <is>
          <t>Quittances</t>
        </is>
      </c>
      <c r="F14" s="72" t="n">
        <v>2.55</v>
      </c>
      <c r="G14" s="129" t="n">
        <v>0</v>
      </c>
      <c r="H14" t="inlineStr">
        <is>
          <t>Total</t>
        </is>
      </c>
    </row>
    <row r="15"/>
    <row r="16">
      <c r="A16" t="inlineStr">
        <is>
          <t>Defaults of rent</t>
        </is>
      </c>
      <c r="B16" t="n">
        <v>0</v>
      </c>
      <c r="C16" t="n">
        <v>1</v>
      </c>
      <c r="D16" t="n">
        <v>0</v>
      </c>
      <c r="F16" s="72" t="n">
        <v>0.05</v>
      </c>
      <c r="H16" t="inlineStr">
        <is>
          <t xml:space="preserve">In default of the house and curtilage of John de Molendino because it is in demesne 1 shilling </t>
        </is>
      </c>
    </row>
    <row r="17">
      <c r="A17" t="inlineStr">
        <is>
          <t>Defaults of rent</t>
        </is>
      </c>
      <c r="B17" t="n">
        <v>0</v>
      </c>
      <c r="C17" t="n">
        <v>1</v>
      </c>
      <c r="D17" t="n">
        <v>0</v>
      </c>
      <c r="F17" s="72">
        <f>B17+C17/20+D17/240</f>
        <v/>
      </c>
      <c r="H17" t="inlineStr">
        <is>
          <t>Total, 1 shilling</t>
        </is>
      </c>
    </row>
    <row r="18">
      <c r="A18" t="inlineStr">
        <is>
          <t>Defaults of rent</t>
        </is>
      </c>
      <c r="F18" s="72" t="n">
        <v>0.05</v>
      </c>
      <c r="G18" s="129" t="n">
        <v>0</v>
      </c>
      <c r="H18" t="inlineStr">
        <is>
          <t>Total</t>
        </is>
      </c>
    </row>
    <row r="19"/>
    <row r="20">
      <c r="A20" t="inlineStr">
        <is>
          <t>Total of quittances and defaults of rent</t>
        </is>
      </c>
      <c r="B20" t="n">
        <v>2</v>
      </c>
      <c r="C20" t="n">
        <v>12</v>
      </c>
      <c r="D20" t="n">
        <v>0</v>
      </c>
      <c r="F20" s="72" t="n">
        <v>2.6</v>
      </c>
      <c r="H20" t="inlineStr">
        <is>
          <t>Total of quittances and defaults of rent, £2 12 shilling</t>
        </is>
      </c>
    </row>
    <row r="21">
      <c r="A21" t="inlineStr">
        <is>
          <t>Total of quittances and defaults of rent</t>
        </is>
      </c>
      <c r="F21" s="72" t="n">
        <v>2.6</v>
      </c>
      <c r="G21" s="129">
        <f>F21-F20</f>
        <v/>
      </c>
      <c r="H21" t="inlineStr">
        <is>
          <t>Total</t>
        </is>
      </c>
    </row>
    <row r="22"/>
    <row r="23">
      <c r="A23" t="inlineStr">
        <is>
          <t>Total of rents remaining</t>
        </is>
      </c>
      <c r="B23" t="n">
        <v>2</v>
      </c>
      <c r="C23" t="n">
        <v>6</v>
      </c>
      <c r="D23" t="n">
        <v>0</v>
      </c>
      <c r="F23" s="72" t="n">
        <v>2.3</v>
      </c>
      <c r="H23" t="inlineStr">
        <is>
          <t>Total of rents remaining, £2 6 shilling</t>
        </is>
      </c>
    </row>
    <row r="24">
      <c r="A24" t="inlineStr">
        <is>
          <t>Total of rents remaining</t>
        </is>
      </c>
      <c r="F24" s="72" t="n">
        <v>2.3</v>
      </c>
      <c r="G24" s="129">
        <f>F24-F23</f>
        <v/>
      </c>
      <c r="H24" t="inlineStr">
        <is>
          <t>Total</t>
        </is>
      </c>
    </row>
    <row r="25"/>
    <row r="26">
      <c r="A26" t="inlineStr">
        <is>
          <t>Issues of the manor</t>
        </is>
      </c>
      <c r="B26" t="n">
        <v>0</v>
      </c>
      <c r="C26" t="n">
        <v>4</v>
      </c>
      <c r="D26" t="n">
        <v>9.5</v>
      </c>
      <c r="F26" s="72" t="n">
        <v>0.24</v>
      </c>
      <c r="H26" t="inlineStr">
        <is>
          <t>The same render account for 4 shilling 9.5pence from pannage of 48 pigs and 19 hoggets this year, at 1pence a pig and 0.5pence a hogget.</t>
        </is>
      </c>
    </row>
    <row r="27">
      <c r="A27" t="inlineStr">
        <is>
          <t>Issues of the manor</t>
        </is>
      </c>
      <c r="B27" t="n">
        <v>0</v>
      </c>
      <c r="C27" t="n">
        <v>3</v>
      </c>
      <c r="D27" t="n">
        <v>0</v>
      </c>
      <c r="F27" s="72" t="n">
        <v>0.15</v>
      </c>
      <c r="H27" t="inlineStr">
        <is>
          <t>3 shilling from churchscot at Martinmas (11 November).</t>
        </is>
      </c>
    </row>
    <row r="28">
      <c r="A28" t="inlineStr">
        <is>
          <t>Issues of the manor</t>
        </is>
      </c>
      <c r="B28" t="n">
        <v>0</v>
      </c>
      <c r="C28" t="n">
        <v>8</v>
      </c>
      <c r="D28" t="n">
        <v>6</v>
      </c>
      <c r="F28" s="72" t="n">
        <v>0.43</v>
      </c>
      <c r="H28" t="inlineStr">
        <is>
          <t>8 shilling 6pence from the pasturage of 17 oxen sold in winter.</t>
        </is>
      </c>
    </row>
    <row r="29">
      <c r="A29" t="inlineStr">
        <is>
          <t>Issues of the manor</t>
        </is>
      </c>
      <c r="B29" t="n">
        <v>0</v>
      </c>
      <c r="C29" t="n">
        <v>9</v>
      </c>
      <c r="D29" t="n">
        <v>4</v>
      </c>
      <c r="F29" s="72" t="n">
        <v>0.47</v>
      </c>
      <c r="H29" t="inlineStr">
        <is>
          <t>9 shilling 4pence from the pasturage of 24 plough-horses and 8 colts sold after Martinmas, at 4pence a plough-horse and 2pence a colt.</t>
        </is>
      </c>
    </row>
    <row r="30">
      <c r="A30" t="inlineStr">
        <is>
          <t>Issues of the manor</t>
        </is>
      </c>
      <c r="B30" t="n">
        <v>0</v>
      </c>
      <c r="C30" t="n">
        <v>0</v>
      </c>
      <c r="D30" t="n">
        <v>0</v>
      </c>
      <c r="F30" s="72" t="n">
        <v>0</v>
      </c>
      <c r="H30" t="inlineStr">
        <is>
          <t>nothing from the pasturage of la Grutte for the lord's stock.</t>
        </is>
      </c>
    </row>
    <row r="31">
      <c r="A31" t="inlineStr">
        <is>
          <t>Issues of the manor</t>
        </is>
      </c>
      <c r="B31" t="n">
        <v>0</v>
      </c>
      <c r="C31" t="n">
        <v>2</v>
      </c>
      <c r="D31" t="n">
        <v>0</v>
      </c>
      <c r="F31" s="72" t="n">
        <v>0.1</v>
      </c>
      <c r="H31" t="inlineStr">
        <is>
          <t>2 shilling from the pasturage of Alsyesham sold in summer.</t>
        </is>
      </c>
    </row>
    <row r="32">
      <c r="A32" t="inlineStr">
        <is>
          <t>Issues of the manor</t>
        </is>
      </c>
      <c r="B32" t="n">
        <v>0</v>
      </c>
      <c r="C32" t="n">
        <v>0</v>
      </c>
      <c r="D32" t="n">
        <v>6</v>
      </c>
      <c r="F32" s="72" t="n">
        <v>0.03</v>
      </c>
      <c r="H32" t="inlineStr">
        <is>
          <t>6pence from the pasturage sold at Oclefurlong and not more because the field was sown with summer corn (tremes') this year.</t>
        </is>
      </c>
    </row>
    <row r="33">
      <c r="A33" t="inlineStr">
        <is>
          <t>Issues of the manor</t>
        </is>
      </c>
      <c r="B33" t="n">
        <v>0</v>
      </c>
      <c r="C33" t="n">
        <v>1</v>
      </c>
      <c r="D33" t="n">
        <v>2</v>
      </c>
      <c r="F33" s="72" t="n">
        <v>0.06</v>
      </c>
      <c r="H33" t="inlineStr">
        <is>
          <t>1 shilling 2pence from the pasturage of la Portweye this year.</t>
        </is>
      </c>
    </row>
    <row r="34">
      <c r="A34" t="inlineStr">
        <is>
          <t>Issues of the manor</t>
        </is>
      </c>
      <c r="B34" t="n">
        <v>0</v>
      </c>
      <c r="C34" t="n">
        <v>1</v>
      </c>
      <c r="D34" t="n">
        <v>6</v>
      </c>
      <c r="F34" s="72" t="n">
        <v>0.08</v>
      </c>
      <c r="H34" t="inlineStr">
        <is>
          <t>1 shilling 6pence from the pasturage of Wetenegarston'.</t>
        </is>
      </c>
    </row>
    <row r="35">
      <c r="A35" t="inlineStr">
        <is>
          <t>Issues of the manor</t>
        </is>
      </c>
      <c r="B35" t="n">
        <v>0</v>
      </c>
      <c r="C35" t="n">
        <v>0</v>
      </c>
      <c r="D35" t="n">
        <v>10</v>
      </c>
      <c r="F35" s="72" t="n">
        <v>0.04</v>
      </c>
      <c r="H35" t="inlineStr">
        <is>
          <t>10pence from the pasturage of Parva Sterte sold this year.</t>
        </is>
      </c>
    </row>
    <row r="36">
      <c r="A36" t="inlineStr">
        <is>
          <t>Issues of the manor</t>
        </is>
      </c>
      <c r="B36" t="n">
        <v>0</v>
      </c>
      <c r="C36" t="n">
        <v>1</v>
      </c>
      <c r="D36" t="n">
        <v>2</v>
      </c>
      <c r="F36" s="72" t="n">
        <v>0.06</v>
      </c>
      <c r="H36" t="inlineStr">
        <is>
          <t>1 shilling 2pence from the pasturage of Magna Sterte.</t>
        </is>
      </c>
    </row>
    <row r="37">
      <c r="A37" t="inlineStr">
        <is>
          <t>Issues of the manor</t>
        </is>
      </c>
      <c r="B37" t="n">
        <v>0</v>
      </c>
      <c r="C37" t="n">
        <v>0</v>
      </c>
      <c r="D37" t="n">
        <v>0</v>
      </c>
      <c r="F37" s="72" t="n">
        <v>0</v>
      </c>
      <c r="H37" t="inlineStr">
        <is>
          <t>nothing from the pasturage beside la Marlygputte this year because it is fallow.</t>
        </is>
      </c>
    </row>
    <row r="38">
      <c r="A38" t="inlineStr">
        <is>
          <t>Issues of the manor</t>
        </is>
      </c>
      <c r="B38" t="n">
        <v>0</v>
      </c>
      <c r="C38" t="n">
        <v>1</v>
      </c>
      <c r="D38" t="n">
        <v>4</v>
      </c>
      <c r="F38" s="72" t="n">
        <v>0.07000000000000001</v>
      </c>
      <c r="H38" t="inlineStr">
        <is>
          <t>1 shilling 4pence from the pasturage of Bar-weyerewe.</t>
        </is>
      </c>
    </row>
    <row r="39">
      <c r="A39" t="inlineStr">
        <is>
          <t>Issues of the manor</t>
        </is>
      </c>
      <c r="B39" t="n">
        <v>0</v>
      </c>
      <c r="C39" t="n">
        <v>0</v>
      </c>
      <c r="D39" t="n">
        <v>8</v>
      </c>
      <c r="F39" s="72" t="n">
        <v>0.03</v>
      </c>
      <c r="H39" t="inlineStr">
        <is>
          <t>8pence from the pasturage of Hamstedereweye sold.</t>
        </is>
      </c>
    </row>
    <row r="40">
      <c r="A40" t="inlineStr">
        <is>
          <t>Issues of the manor</t>
        </is>
      </c>
      <c r="B40" t="n">
        <v>0</v>
      </c>
      <c r="C40" t="n">
        <v>0</v>
      </c>
      <c r="D40" t="n">
        <v>0</v>
      </c>
      <c r="F40" s="72" t="n">
        <v>0</v>
      </c>
      <c r="H40" t="inlineStr">
        <is>
          <t>nothing from the pasturage beside the dovecote because it is fallow.</t>
        </is>
      </c>
    </row>
    <row r="41">
      <c r="A41" t="inlineStr">
        <is>
          <t>Issues of the manor</t>
        </is>
      </c>
      <c r="B41" t="n">
        <v>0</v>
      </c>
      <c r="C41" t="n">
        <v>0</v>
      </c>
      <c r="D41" t="n">
        <v>6</v>
      </c>
      <c r="F41" s="72" t="n">
        <v>0.03</v>
      </c>
      <c r="H41" t="inlineStr">
        <is>
          <t>6pence from the pasturage beside the house of John de Molendino.</t>
        </is>
      </c>
    </row>
    <row r="42">
      <c r="A42" t="inlineStr">
        <is>
          <t>Issues of the manor</t>
        </is>
      </c>
      <c r="B42" t="n">
        <v>0</v>
      </c>
      <c r="C42" t="n">
        <v>6</v>
      </c>
      <c r="D42" t="n">
        <v>10</v>
      </c>
      <c r="F42" s="72" t="n">
        <v>0.34</v>
      </c>
      <c r="H42" t="inlineStr">
        <is>
          <t>6 shilling 10pence from the herbage for 68 plough-horses and 28 bullocks sold in the wood between Hockday (1 May) and Lammas (1 August), at 1pence a plough-horse, 0.5pence a bullock.</t>
        </is>
      </c>
    </row>
    <row r="43">
      <c r="A43" t="inlineStr">
        <is>
          <t>Issues of the manor</t>
        </is>
      </c>
      <c r="B43" t="n">
        <v>0</v>
      </c>
      <c r="C43" t="n">
        <v>9</v>
      </c>
      <c r="D43" t="n">
        <v>3</v>
      </c>
      <c r="F43" s="72" t="n">
        <v>0.46</v>
      </c>
      <c r="H43" t="inlineStr">
        <is>
          <t>9 shilling 3pence from 1 male colt aged 2 years sold in summer.</t>
        </is>
      </c>
    </row>
    <row r="44">
      <c r="A44" t="inlineStr">
        <is>
          <t>Issues of the manor</t>
        </is>
      </c>
      <c r="B44" t="n">
        <v>0</v>
      </c>
      <c r="C44" t="n">
        <v>6</v>
      </c>
      <c r="D44" t="n">
        <v>4</v>
      </c>
      <c r="F44" s="72" t="n">
        <v>0.32</v>
      </c>
      <c r="H44" t="inlineStr">
        <is>
          <t>6 shilling 4pence from 1 female plough-horse from strays.</t>
        </is>
      </c>
    </row>
    <row r="45">
      <c r="A45" t="inlineStr">
        <is>
          <t>Issues of the manor</t>
        </is>
      </c>
      <c r="B45" t="n">
        <v>1</v>
      </c>
      <c r="C45" t="n">
        <v>14</v>
      </c>
      <c r="D45" t="n">
        <v>0</v>
      </c>
      <c r="F45" s="72" t="n">
        <v>1.7</v>
      </c>
      <c r="H45" t="inlineStr">
        <is>
          <t>£1 14 shilling from 3 oxen sold in Lent, at 11 shilling 4pence each.</t>
        </is>
      </c>
    </row>
    <row r="46">
      <c r="A46" t="inlineStr">
        <is>
          <t>Issues of the manor</t>
        </is>
      </c>
      <c r="B46" t="n">
        <v>1</v>
      </c>
      <c r="C46" t="n">
        <v>16</v>
      </c>
      <c r="D46" t="n">
        <v>0</v>
      </c>
      <c r="F46" s="72" t="n">
        <v>1.8</v>
      </c>
      <c r="H46" t="inlineStr">
        <is>
          <t>£1 16 shilling from 4 oxen sold in summer, at 9 shilling each.</t>
        </is>
      </c>
    </row>
    <row r="47">
      <c r="A47" t="inlineStr">
        <is>
          <t>Issues of the manor</t>
        </is>
      </c>
      <c r="B47" t="n">
        <v>2</v>
      </c>
      <c r="C47" t="n">
        <v>9</v>
      </c>
      <c r="D47" t="n">
        <v>0</v>
      </c>
      <c r="F47" s="72" t="n">
        <v>2.45</v>
      </c>
      <c r="H47" t="inlineStr">
        <is>
          <t>£2 9 shilling from 6 oxen sold because sick, at 8 shilling 2pence each.</t>
        </is>
      </c>
    </row>
    <row r="48">
      <c r="A48" t="inlineStr">
        <is>
          <t>Issues of the manor</t>
        </is>
      </c>
      <c r="B48" t="n">
        <v>0</v>
      </c>
      <c r="C48" t="n">
        <v>3</v>
      </c>
      <c r="D48" t="n">
        <v>10</v>
      </c>
      <c r="F48" s="72" t="n">
        <v>0.19</v>
      </c>
      <c r="H48" t="inlineStr">
        <is>
          <t>3 shilling 10pence from 1 young heifer (boviculo fem') sold in Lent.</t>
        </is>
      </c>
    </row>
    <row r="49">
      <c r="A49" t="inlineStr">
        <is>
          <t>Issues of the manor</t>
        </is>
      </c>
      <c r="B49" t="n">
        <v>3</v>
      </c>
      <c r="C49" t="n">
        <v>0</v>
      </c>
      <c r="D49" t="n">
        <v>0</v>
      </c>
      <c r="F49" s="72" t="n">
        <v>3</v>
      </c>
      <c r="H49" t="inlineStr">
        <is>
          <t>£3 from 20 pigs sold at Martinmas, at 3 shilling each.</t>
        </is>
      </c>
    </row>
    <row r="50">
      <c r="A50" t="inlineStr">
        <is>
          <t>Issues of the manor</t>
        </is>
      </c>
      <c r="B50" t="n">
        <v>0</v>
      </c>
      <c r="C50" t="n">
        <v>13</v>
      </c>
      <c r="D50" t="n">
        <v>4</v>
      </c>
      <c r="F50" s="72" t="n">
        <v>0.67</v>
      </c>
      <c r="H50" t="inlineStr">
        <is>
          <t>13 shilling 4pence from 5 pigs sold, at 2 shilling 8pence each.</t>
        </is>
      </c>
    </row>
    <row r="51">
      <c r="A51" t="inlineStr">
        <is>
          <t>Issues of the manor</t>
        </is>
      </c>
      <c r="B51" t="n">
        <v>0</v>
      </c>
      <c r="C51" t="n">
        <v>9</v>
      </c>
      <c r="D51" t="n">
        <v>4</v>
      </c>
      <c r="F51" s="72" t="n">
        <v>0.47</v>
      </c>
      <c r="H51" t="inlineStr">
        <is>
          <t>9 shilling 4pence from the hides sold of 3 oxen in murrain.</t>
        </is>
      </c>
    </row>
    <row r="52">
      <c r="A52" t="inlineStr">
        <is>
          <t>Issues of the manor</t>
        </is>
      </c>
      <c r="B52" t="n">
        <v>0</v>
      </c>
      <c r="C52" t="n">
        <v>5</v>
      </c>
      <c r="D52" t="n">
        <v>6</v>
      </c>
      <c r="F52" s="72" t="n">
        <v>0.28</v>
      </c>
      <c r="H52" t="inlineStr">
        <is>
          <t>5 shilling 6pence from the hides sold of 4 cows in murrain.</t>
        </is>
      </c>
    </row>
    <row r="53">
      <c r="A53" t="inlineStr">
        <is>
          <t>Issues of the manor</t>
        </is>
      </c>
      <c r="B53" t="n">
        <v>0</v>
      </c>
      <c r="C53" t="n">
        <v>3</v>
      </c>
      <c r="D53" t="n">
        <v>4</v>
      </c>
      <c r="F53" s="72" t="n">
        <v>0.17</v>
      </c>
      <c r="H53" t="inlineStr">
        <is>
          <t>3 shilling 4pence from the hides sold of 3 heifers (juvenc') in murrain.</t>
        </is>
      </c>
    </row>
    <row r="54">
      <c r="A54" t="inlineStr">
        <is>
          <t>Issues of the manor</t>
        </is>
      </c>
      <c r="B54" t="n">
        <v>0</v>
      </c>
      <c r="C54" t="n">
        <v>1</v>
      </c>
      <c r="D54" t="n">
        <v>10</v>
      </c>
      <c r="F54" s="72" t="n">
        <v>0.09</v>
      </c>
      <c r="H54" t="inlineStr">
        <is>
          <t>1 shilling 10pence from the hides sold of 2 young heifers in murrain.</t>
        </is>
      </c>
    </row>
    <row r="55">
      <c r="A55" t="inlineStr">
        <is>
          <t>Issues of the manor</t>
        </is>
      </c>
      <c r="B55" t="n">
        <v>0</v>
      </c>
      <c r="C55" t="n">
        <v>0</v>
      </c>
      <c r="D55" t="n">
        <v>6</v>
      </c>
      <c r="F55" s="72" t="n">
        <v>0.03</v>
      </c>
      <c r="H55" t="inlineStr">
        <is>
          <t>6pence from the hides sold of 3 calves in murrain.</t>
        </is>
      </c>
    </row>
    <row r="56">
      <c r="A56" t="inlineStr">
        <is>
          <t>Issues of the manor</t>
        </is>
      </c>
      <c r="B56" t="n">
        <v>0</v>
      </c>
      <c r="C56" t="n">
        <v>0</v>
      </c>
      <c r="D56" t="n">
        <v>6</v>
      </c>
      <c r="F56" s="72" t="n">
        <v>0.03</v>
      </c>
      <c r="H56" t="inlineStr">
        <is>
          <t>6pence from the hides sold of 4 calves in murrain.</t>
        </is>
      </c>
    </row>
    <row r="57">
      <c r="A57" t="inlineStr">
        <is>
          <t>Issues of the manor</t>
        </is>
      </c>
      <c r="B57" t="n">
        <v>1</v>
      </c>
      <c r="C57" t="n">
        <v>0</v>
      </c>
      <c r="D57" t="n">
        <v>0</v>
      </c>
      <c r="F57" s="72" t="n">
        <v>1</v>
      </c>
      <c r="H57" t="inlineStr">
        <is>
          <t>£1 from 2 casks of cider-which remained, sold wholesale apart from the vessels.</t>
        </is>
      </c>
    </row>
    <row r="58">
      <c r="A58" t="inlineStr">
        <is>
          <t>Issues of the manor</t>
        </is>
      </c>
      <c r="B58" t="n">
        <v>0</v>
      </c>
      <c r="C58" t="n">
        <v>1</v>
      </c>
      <c r="D58" t="n">
        <v>2.5</v>
      </c>
      <c r="F58" s="72" t="n">
        <v>0.06</v>
      </c>
      <c r="H58" t="inlineStr">
        <is>
          <t>1 shilling 2.5pence from 19 rowen cheeses (cas' de rewayn) sold without weighing.</t>
        </is>
      </c>
    </row>
    <row r="59">
      <c r="A59" t="inlineStr">
        <is>
          <t>Issues of the manor</t>
        </is>
      </c>
      <c r="B59" t="n">
        <v>1</v>
      </c>
      <c r="C59" t="n">
        <v>4</v>
      </c>
      <c r="D59" t="n">
        <v>3</v>
      </c>
      <c r="F59" s="72" t="n">
        <v>1.21</v>
      </c>
      <c r="H59" t="inlineStr">
        <is>
          <t>£1 4 shilling 3pence from 141 cheeses from the issue of the summer sold, weighing 2.5 weys and 3 stone, at 9 shilling a wey and 7pence a stone.</t>
        </is>
      </c>
    </row>
    <row r="60">
      <c r="A60" t="inlineStr">
        <is>
          <t>Issues of the manor</t>
        </is>
      </c>
      <c r="B60" t="n">
        <v>0</v>
      </c>
      <c r="C60" t="n">
        <v>3</v>
      </c>
      <c r="D60" t="n">
        <v>2</v>
      </c>
      <c r="F60" s="72" t="n">
        <v>0.16</v>
      </c>
      <c r="H60" t="inlineStr">
        <is>
          <t>3 shilling 2pence from butter sold by the dish.</t>
        </is>
      </c>
    </row>
    <row r="61">
      <c r="A61" t="inlineStr">
        <is>
          <t>Issues of the manor</t>
        </is>
      </c>
      <c r="B61" t="n">
        <v>0</v>
      </c>
      <c r="C61" t="n">
        <v>1</v>
      </c>
      <c r="D61" t="n">
        <v>9</v>
      </c>
      <c r="F61" s="72" t="n">
        <v>0.09</v>
      </c>
      <c r="H61" t="inlineStr">
        <is>
          <t>1 shilling 9pence from the residue of Peter's pence according to custom.</t>
        </is>
      </c>
    </row>
    <row r="62">
      <c r="A62" t="inlineStr">
        <is>
          <t>Issues of the manor</t>
        </is>
      </c>
      <c r="B62" t="n">
        <v>0</v>
      </c>
      <c r="C62" t="n">
        <v>6</v>
      </c>
      <c r="D62" t="n">
        <v>6.5</v>
      </c>
      <c r="F62" s="72" t="n">
        <v>0.33</v>
      </c>
      <c r="H62" t="inlineStr">
        <is>
          <t>6 shilling 6.5pence from dairy produce sold at the audit.</t>
        </is>
      </c>
    </row>
    <row r="63">
      <c r="A63" t="inlineStr">
        <is>
          <t>Issues of the manor</t>
        </is>
      </c>
      <c r="B63" t="n">
        <v>16</v>
      </c>
      <c r="C63" t="n">
        <v>11</v>
      </c>
      <c r="D63" t="n">
        <v>9.5</v>
      </c>
      <c r="F63" s="72" t="n">
        <v>16.59</v>
      </c>
      <c r="H63" t="inlineStr">
        <is>
          <t>Total, £16 11 shilling 9.5pence</t>
        </is>
      </c>
    </row>
    <row r="64">
      <c r="A64" t="inlineStr">
        <is>
          <t>Issues of the manor</t>
        </is>
      </c>
      <c r="F64" s="72" t="n">
        <v>16.64</v>
      </c>
      <c r="G64" s="129" t="n">
        <v>0.05000000000000071</v>
      </c>
      <c r="H64" t="inlineStr">
        <is>
          <t>Total</t>
        </is>
      </c>
    </row>
    <row r="65"/>
    <row r="66">
      <c r="A66" t="inlineStr">
        <is>
          <t>Sale of corn</t>
        </is>
      </c>
      <c r="B66">
        <f>32+1</f>
        <v/>
      </c>
      <c r="C66">
        <f>7+3</f>
        <v/>
      </c>
      <c r="D66" t="n">
        <v>5.75</v>
      </c>
      <c r="F66" s="72">
        <f>B66+C66/12+D66/20</f>
        <v/>
      </c>
      <c r="H66" t="inlineStr">
        <is>
          <t>The same render account for £32 7 shilling from 121 quarters 2.5 bushels of wheat sold, at 5 shilling 4pence a qr, £1 3 shilling 5.75pence from 6 quarters 1 bushels of curall sold, at 3 shilling 10pence a qr.</t>
        </is>
      </c>
    </row>
    <row r="67">
      <c r="A67" t="inlineStr">
        <is>
          <t>Sale of corn</t>
        </is>
      </c>
      <c r="B67" t="n">
        <v>3</v>
      </c>
      <c r="C67" t="n">
        <v>0</v>
      </c>
      <c r="D67" t="n">
        <v>1</v>
      </c>
      <c r="F67" s="72" t="n">
        <v>3</v>
      </c>
      <c r="H67" t="inlineStr">
        <is>
          <t>£3 1pence from 12 quarters 7 bushels of maslin sold, at 4 shilling 8pence a qr.</t>
        </is>
      </c>
    </row>
    <row r="68">
      <c r="A68" t="inlineStr">
        <is>
          <t>Sale of corn</t>
        </is>
      </c>
      <c r="B68" t="n">
        <v>0</v>
      </c>
      <c r="C68" t="n">
        <v>4</v>
      </c>
      <c r="D68" t="n">
        <v>7</v>
      </c>
      <c r="F68" s="72">
        <f>B68+C68/20+D68/240</f>
        <v/>
      </c>
      <c r="H68" t="inlineStr">
        <is>
          <t>4 shilling 7pence from 1 qr 3 bushels of barley sold, at 3 shilling 4pence a qr.</t>
        </is>
      </c>
    </row>
    <row r="69">
      <c r="A69" t="inlineStr">
        <is>
          <t>Sale of corn</t>
        </is>
      </c>
      <c r="B69" t="n">
        <v>1</v>
      </c>
      <c r="C69" t="n">
        <v>12</v>
      </c>
      <c r="D69" t="n">
        <v>6</v>
      </c>
      <c r="F69" s="72">
        <f>B69+C69/20+D69/240</f>
        <v/>
      </c>
      <c r="H69" t="inlineStr">
        <is>
          <t xml:space="preserve"> £1 12 shilling 6pence from 16 quarters 2 bushels of beans sold, at 2 shilling a qr.</t>
        </is>
      </c>
    </row>
    <row r="70">
      <c r="A70" t="inlineStr">
        <is>
          <t>Sale of corn</t>
        </is>
      </c>
      <c r="B70" t="n">
        <v>0</v>
      </c>
      <c r="C70" t="n">
        <v>11</v>
      </c>
      <c r="D70" t="n">
        <v>9</v>
      </c>
      <c r="F70" s="72" t="n">
        <v>0.59</v>
      </c>
      <c r="H70" t="inlineStr">
        <is>
          <t>11 shilling 9pence from 5 quarters 7 bushels of peas sold, at 2 shilling a qr.</t>
        </is>
      </c>
    </row>
    <row r="71">
      <c r="A71" t="inlineStr">
        <is>
          <t>Sale of corn</t>
        </is>
      </c>
      <c r="B71" t="n">
        <v>0</v>
      </c>
      <c r="C71" t="n">
        <v>1</v>
      </c>
      <c r="D71" t="n">
        <v>10</v>
      </c>
      <c r="F71" s="72" t="n">
        <v>0.09</v>
      </c>
      <c r="H71" t="inlineStr">
        <is>
          <t>1 shilling 10pence from 1 qr 3 bushels of vetches sold, at 2pence a bushels.</t>
        </is>
      </c>
    </row>
    <row r="72">
      <c r="A72" t="inlineStr">
        <is>
          <t>Sale of corn</t>
        </is>
      </c>
      <c r="B72" t="n">
        <v>5</v>
      </c>
      <c r="C72" t="n">
        <v>18</v>
      </c>
      <c r="D72" t="n">
        <v>7.5</v>
      </c>
      <c r="F72" s="72" t="n">
        <v>5.93</v>
      </c>
      <c r="H72" t="inlineStr">
        <is>
          <t>£5 18 shilling 7.5pence from 54 quarters 6 bushels of oats sold, at 2 shilling 2pence a qr.</t>
        </is>
      </c>
    </row>
    <row r="73">
      <c r="A73" t="inlineStr">
        <is>
          <t>Sale of corn</t>
        </is>
      </c>
      <c r="B73" t="n">
        <v>0</v>
      </c>
      <c r="C73" t="n">
        <v>8</v>
      </c>
      <c r="D73" t="n">
        <v>9</v>
      </c>
      <c r="F73" s="72" t="n">
        <v>0.44</v>
      </c>
      <c r="H73" t="inlineStr">
        <is>
          <t>8 shilling 9pence from 2 quarters 5 bushels of barley sold at the audit.</t>
        </is>
      </c>
    </row>
    <row r="74">
      <c r="A74" t="inlineStr">
        <is>
          <t>Sale of corn</t>
        </is>
      </c>
      <c r="B74" t="n">
        <v>45</v>
      </c>
      <c r="C74" t="n">
        <v>8</v>
      </c>
      <c r="D74" t="n">
        <v>7.25</v>
      </c>
      <c r="F74" s="72" t="n">
        <v>45.43</v>
      </c>
      <c r="H74" t="inlineStr">
        <is>
          <t>Total, £45 8 shilling 7.25pence</t>
        </is>
      </c>
    </row>
    <row r="75">
      <c r="A75" t="inlineStr">
        <is>
          <t>Sale of corn</t>
        </is>
      </c>
      <c r="F75" s="72">
        <f>SUM(F66:F73)</f>
        <v/>
      </c>
      <c r="G75" s="129">
        <f>F75-F74</f>
        <v/>
      </c>
      <c r="H75" t="inlineStr">
        <is>
          <t>Total</t>
        </is>
      </c>
    </row>
    <row r="76"/>
    <row r="77">
      <c r="A77" t="inlineStr">
        <is>
          <t>Entry and marriage fines</t>
        </is>
      </c>
      <c r="B77" t="n">
        <v>0</v>
      </c>
      <c r="C77" t="n">
        <v>8</v>
      </c>
      <c r="D77" t="n">
        <v>0</v>
      </c>
      <c r="F77" s="72" t="n">
        <v>0.4</v>
      </c>
      <c r="H77" t="inlineStr">
        <is>
          <t>The same render account for 8 shilling from the whole tithing of Rimpton for tithingpenny at the two hundred-courts.</t>
        </is>
      </c>
    </row>
    <row r="78">
      <c r="A78" t="inlineStr">
        <is>
          <t>Entry and marriage fines</t>
        </is>
      </c>
      <c r="B78" t="n">
        <v>0</v>
      </c>
      <c r="C78" t="n">
        <v>13</v>
      </c>
      <c r="D78" t="n">
        <v>4</v>
      </c>
      <c r="F78" s="72" t="n">
        <v>0.67</v>
      </c>
      <c r="H78" t="inlineStr">
        <is>
          <t>13 shilling 4pence from the fine of William le Nottey to have Joan Kage with 1 ferling of land.</t>
        </is>
      </c>
    </row>
    <row r="79">
      <c r="A79" t="inlineStr">
        <is>
          <t>Entry and marriage fines</t>
        </is>
      </c>
      <c r="B79" t="n">
        <v>5</v>
      </c>
      <c r="C79" t="n">
        <v>6</v>
      </c>
      <c r="D79" t="n">
        <v>8</v>
      </c>
      <c r="F79" s="72" t="n">
        <v>5.33</v>
      </c>
      <c r="H79" t="inlineStr">
        <is>
          <t>£5 6 shilling 8pence from the fine of William le Denays to have 1 virgate of land with Aibreda, relict of Richard de Bosco.</t>
        </is>
      </c>
    </row>
    <row r="80">
      <c r="A80" t="inlineStr">
        <is>
          <t>Entry and marriage fines</t>
        </is>
      </c>
      <c r="B80" t="n">
        <v>4</v>
      </c>
      <c r="C80" t="n">
        <v>13</v>
      </c>
      <c r="D80" t="n">
        <v>4</v>
      </c>
      <c r="F80" s="72" t="n">
        <v>4.67</v>
      </c>
      <c r="H80" t="inlineStr">
        <is>
          <t>£4 13 shilling 4pence from John de Woltnynton' to have Alice, relict of Henry Alayn, with 1 virgate of land.</t>
        </is>
      </c>
    </row>
    <row r="81">
      <c r="A81" t="inlineStr">
        <is>
          <t>Entry and marriage fines</t>
        </is>
      </c>
      <c r="B81" t="n">
        <v>0</v>
      </c>
      <c r="C81" t="n">
        <v>6</v>
      </c>
      <c r="D81" t="n">
        <v>0</v>
      </c>
      <c r="F81">
        <f>B81+C81/20+D81/240</f>
        <v/>
      </c>
      <c r="H81" t="inlineStr">
        <is>
          <t>6 shilling from Albreda, the relict of de Bosco, to retain 1 virgate of her husband's lanpence</t>
        </is>
      </c>
    </row>
    <row r="82">
      <c r="A82" t="inlineStr">
        <is>
          <t>Entry and marriage fines</t>
        </is>
      </c>
      <c r="B82" t="n">
        <v>11</v>
      </c>
      <c r="C82" t="n">
        <v>7</v>
      </c>
      <c r="D82" t="n">
        <v>4</v>
      </c>
      <c r="F82" s="72" t="n">
        <v>11.37</v>
      </c>
      <c r="H82" t="inlineStr">
        <is>
          <t>Total, £11 7 shilling 4pence</t>
        </is>
      </c>
    </row>
    <row r="83">
      <c r="A83" t="inlineStr">
        <is>
          <t>Entry and marriage fines</t>
        </is>
      </c>
      <c r="F83" s="72">
        <f>SUM(F77:F81)</f>
        <v/>
      </c>
      <c r="G83" s="129">
        <f>F83-F82</f>
        <v/>
      </c>
      <c r="H83" t="inlineStr">
        <is>
          <t>Total</t>
        </is>
      </c>
    </row>
    <row r="84"/>
    <row r="85">
      <c r="A85" t="inlineStr">
        <is>
          <t>Perquisites</t>
        </is>
      </c>
      <c r="B85" t="n">
        <v>0</v>
      </c>
      <c r="C85" t="n">
        <v>0</v>
      </c>
      <c r="D85" t="n">
        <v>8</v>
      </c>
      <c r="F85" s="72" t="n">
        <v>0.03</v>
      </c>
      <c r="H85" t="inlineStr">
        <is>
          <t>The same render account for 8pence from William de Staford and Richard de Holeweye for trespass (transgressione) of pasture.</t>
        </is>
      </c>
    </row>
    <row r="86">
      <c r="A86" t="inlineStr">
        <is>
          <t>Perquisites</t>
        </is>
      </c>
      <c r="B86" t="n">
        <v>0</v>
      </c>
      <c r="C86" t="n">
        <v>0</v>
      </c>
      <c r="D86" t="n">
        <v>6</v>
      </c>
      <c r="F86" s="72" t="n">
        <v>0.03</v>
      </c>
      <c r="H86" t="inlineStr">
        <is>
          <t>6pence from John de Crawthorn' for the same.</t>
        </is>
      </c>
    </row>
    <row r="87">
      <c r="A87" t="inlineStr">
        <is>
          <t>Perquisites</t>
        </is>
      </c>
      <c r="B87" t="n">
        <v>0</v>
      </c>
      <c r="C87" t="n">
        <v>0</v>
      </c>
      <c r="D87" t="n">
        <v>3.5</v>
      </c>
      <c r="F87" s="72" t="n">
        <v>0.01</v>
      </c>
      <c r="H87" t="inlineStr">
        <is>
          <t>3.5pence from Roger Puphorn and his fellow for the same.</t>
        </is>
      </c>
    </row>
    <row r="88">
      <c r="A88" t="inlineStr">
        <is>
          <t>Perquisites</t>
        </is>
      </c>
      <c r="B88" t="n">
        <v>0</v>
      </c>
      <c r="C88" t="n">
        <v>1</v>
      </c>
      <c r="D88" t="n">
        <v>9</v>
      </c>
      <c r="F88" s="72" t="n">
        <v>0.09</v>
      </c>
      <c r="H88" t="inlineStr">
        <is>
          <t>1 shilling 9pence from Henry le Takeler', Henry Petyr, John Nob' and Robert Blakesol' for breaking the assize of ale.</t>
        </is>
      </c>
    </row>
    <row r="89">
      <c r="A89" t="inlineStr">
        <is>
          <t>Perquisites</t>
        </is>
      </c>
      <c r="B89" t="n">
        <v>0</v>
      </c>
      <c r="C89" t="n">
        <v>1</v>
      </c>
      <c r="D89" t="n">
        <v>0</v>
      </c>
      <c r="F89" s="72" t="n">
        <v>0.05</v>
      </c>
      <c r="H89" t="inlineStr">
        <is>
          <t>1 shilling from Robert de Quercu, Henry Gille, Henry Takeler' and John Nob' for the same.</t>
        </is>
      </c>
    </row>
    <row r="90">
      <c r="A90" t="inlineStr">
        <is>
          <t>Perquisites</t>
        </is>
      </c>
      <c r="B90" t="n">
        <v>0</v>
      </c>
      <c r="C90" t="n">
        <v>2</v>
      </c>
      <c r="D90" t="n">
        <v>0</v>
      </c>
      <c r="F90" s="72" t="n">
        <v>0.1</v>
      </c>
      <c r="H90" t="inlineStr">
        <is>
          <t>2 shilling from Henry Gill', John Nob', Jordan Burrich and Agnes Petra for the same.</t>
        </is>
      </c>
    </row>
    <row r="91">
      <c r="A91" t="inlineStr">
        <is>
          <t>Perquisites</t>
        </is>
      </c>
      <c r="B91" t="n">
        <v>0</v>
      </c>
      <c r="C91" t="n">
        <v>0</v>
      </c>
      <c r="D91" t="n">
        <v>6</v>
      </c>
      <c r="F91" s="72" t="n">
        <v>0.03</v>
      </c>
      <c r="H91" t="inlineStr">
        <is>
          <t>6pence from Richard le Cok for trespass of pasture.</t>
        </is>
      </c>
    </row>
    <row r="92">
      <c r="A92" t="inlineStr">
        <is>
          <t>Perquisites</t>
        </is>
      </c>
      <c r="B92" t="n">
        <v>0</v>
      </c>
      <c r="C92" t="n">
        <v>0</v>
      </c>
      <c r="D92" t="n">
        <v>6</v>
      </c>
      <c r="F92" s="72" t="n">
        <v>0.03</v>
      </c>
      <c r="H92" t="inlineStr">
        <is>
          <t>6pence from Richard atte Wude and William Woderys for the same.</t>
        </is>
      </c>
    </row>
    <row r="93">
      <c r="A93" t="inlineStr">
        <is>
          <t>Perquisites</t>
        </is>
      </c>
      <c r="B93" t="n">
        <v>0</v>
      </c>
      <c r="C93" t="n">
        <v>1</v>
      </c>
      <c r="D93" t="n">
        <v>0</v>
      </c>
      <c r="F93" s="72" t="n">
        <v>0.05</v>
      </c>
      <c r="H93" t="inlineStr">
        <is>
          <t>1 shilling from the whole tithing because it did not produce William atte Wod' at the law-day.</t>
        </is>
      </c>
    </row>
    <row r="94">
      <c r="A94" t="inlineStr">
        <is>
          <t>Perquisites</t>
        </is>
      </c>
      <c r="B94" t="n">
        <v>0</v>
      </c>
      <c r="C94" t="n">
        <v>2</v>
      </c>
      <c r="D94" t="n">
        <v>0</v>
      </c>
      <c r="F94" s="72" t="n">
        <v>0.1</v>
      </c>
      <c r="H94" t="inlineStr">
        <is>
          <t>2 shilling from Henry Gill' for breaking the assize of ale.</t>
        </is>
      </c>
    </row>
    <row r="95">
      <c r="A95" t="inlineStr">
        <is>
          <t>Perquisites</t>
        </is>
      </c>
      <c r="B95" t="n">
        <v>0</v>
      </c>
      <c r="C95" t="n">
        <v>1</v>
      </c>
      <c r="D95" t="n">
        <v>6</v>
      </c>
      <c r="F95" s="72" t="n">
        <v>0.08</v>
      </c>
      <c r="H95" t="inlineStr">
        <is>
          <t>1 shilling 6pence from Henry le Takeler' for the same.</t>
        </is>
      </c>
    </row>
    <row r="96">
      <c r="A96" t="inlineStr">
        <is>
          <t>Perquisites</t>
        </is>
      </c>
      <c r="B96" t="n">
        <v>0</v>
      </c>
      <c r="C96" t="n">
        <v>0</v>
      </c>
      <c r="D96" t="n">
        <v>9</v>
      </c>
      <c r="F96" s="72" t="n">
        <v>0.04</v>
      </c>
      <c r="H96" t="inlineStr">
        <is>
          <t>9pence from Agnes Petra and Albreda atte Wud' for the same.</t>
        </is>
      </c>
    </row>
    <row r="97">
      <c r="A97" t="inlineStr">
        <is>
          <t>Perquisites</t>
        </is>
      </c>
      <c r="B97" t="n">
        <v>0</v>
      </c>
      <c r="C97" t="n">
        <v>2</v>
      </c>
      <c r="D97" t="n">
        <v>0</v>
      </c>
      <c r="F97" s="72" t="n">
        <v>0.1</v>
      </c>
      <c r="H97" t="inlineStr">
        <is>
          <t>2 shilling from Robert de Quercu and Henry Kyggel for transgression against John Datyn.</t>
        </is>
      </c>
    </row>
    <row r="98">
      <c r="A98" t="inlineStr">
        <is>
          <t>Perquisites</t>
        </is>
      </c>
      <c r="B98" t="n">
        <v>0</v>
      </c>
      <c r="C98" t="n">
        <v>1</v>
      </c>
      <c r="D98" t="n">
        <v>0</v>
      </c>
      <c r="F98" s="72" t="n">
        <v>0.05</v>
      </c>
      <c r="H98" t="inlineStr">
        <is>
          <t>1 shilling from William Molendinarius and his neighbours for trespass of pasture.</t>
        </is>
      </c>
    </row>
    <row r="99">
      <c r="A99" t="inlineStr">
        <is>
          <t>Perquisites</t>
        </is>
      </c>
      <c r="B99" t="n">
        <v>0</v>
      </c>
      <c r="C99" t="n">
        <v>1</v>
      </c>
      <c r="D99" t="n">
        <v>0</v>
      </c>
      <c r="F99" s="72" t="n">
        <v>0.05</v>
      </c>
      <c r="H99" t="inlineStr">
        <is>
          <t>1 shilling from Peter de Bosco, John atte Brok and Henry Kyggel for the same.</t>
        </is>
      </c>
    </row>
    <row r="100">
      <c r="A100" t="inlineStr">
        <is>
          <t>Perquisites</t>
        </is>
      </c>
      <c r="B100" t="n">
        <v>0</v>
      </c>
      <c r="C100" t="n">
        <v>1</v>
      </c>
      <c r="D100" t="n">
        <v>3</v>
      </c>
      <c r="F100" s="72" t="n">
        <v>0.06</v>
      </c>
      <c r="H100" t="inlineStr">
        <is>
          <t>1 shilling 3pence from William Hardyng, Robert atte Hok', Albreda atte Wod' and William Woderys for the same.</t>
        </is>
      </c>
    </row>
    <row r="101">
      <c r="A101" t="inlineStr">
        <is>
          <t>Perquisites</t>
        </is>
      </c>
      <c r="B101" t="n">
        <v>0</v>
      </c>
      <c r="C101" t="n">
        <v>2</v>
      </c>
      <c r="D101" t="n">
        <v>3</v>
      </c>
      <c r="F101" s="72" t="n">
        <v>0.11</v>
      </c>
      <c r="H101" t="inlineStr">
        <is>
          <t>2 shilling 3pence from John de Crawthorn', Robert Blakesole, William Hardyng, John Hamund, William Silvestr', Alice Alayn, Peter atte Wude, William Woderys and William de Wolmyngton' for trespass of pasture.</t>
        </is>
      </c>
    </row>
    <row r="102">
      <c r="A102" t="inlineStr">
        <is>
          <t>Perquisites</t>
        </is>
      </c>
      <c r="B102" t="n">
        <v>1</v>
      </c>
      <c r="C102" t="n">
        <v>0</v>
      </c>
      <c r="D102" t="n">
        <v>5.5</v>
      </c>
      <c r="F102" s="72" t="n">
        <v>1.02</v>
      </c>
      <c r="H102" t="inlineStr">
        <is>
          <t>Total, £1 5.5pence</t>
        </is>
      </c>
    </row>
    <row r="103">
      <c r="F103" s="72">
        <f>SUM(F85:F101)</f>
        <v/>
      </c>
      <c r="G103" s="129">
        <f>F103-F102</f>
        <v/>
      </c>
      <c r="H103" t="inlineStr">
        <is>
          <t>Total</t>
        </is>
      </c>
    </row>
    <row r="104"/>
    <row r="105">
      <c r="A105" t="inlineStr">
        <is>
          <t>Both</t>
        </is>
      </c>
      <c r="B105" t="n">
        <v>12</v>
      </c>
      <c r="C105" t="n">
        <v>7</v>
      </c>
      <c r="D105" t="n">
        <v>9.5</v>
      </c>
      <c r="F105" s="72" t="n">
        <v>12.39</v>
      </c>
      <c r="H105" t="inlineStr">
        <is>
          <t>Total of both, £12 7 shilling 9.5pence</t>
        </is>
      </c>
    </row>
    <row r="106">
      <c r="A106" t="inlineStr">
        <is>
          <t>Both</t>
        </is>
      </c>
      <c r="F106" s="72">
        <f>F103+F83</f>
        <v/>
      </c>
      <c r="G106" s="129">
        <f>F106-F105</f>
        <v/>
      </c>
      <c r="H106" t="inlineStr">
        <is>
          <t>Total</t>
        </is>
      </c>
    </row>
    <row r="107"/>
    <row r="108">
      <c r="A108" t="inlineStr">
        <is>
          <t>Total of all receipts</t>
        </is>
      </c>
      <c r="B108" t="n">
        <v>77</v>
      </c>
      <c r="C108" t="n">
        <v>12</v>
      </c>
      <c r="D108" t="n">
        <v>9.25</v>
      </c>
      <c r="F108" s="72" t="n">
        <v>77.64</v>
      </c>
      <c r="H108" t="inlineStr">
        <is>
          <t>Total of all receipts, £77 12 shilling 9.25pence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3"/>
  <sheetViews>
    <sheetView topLeftCell="A1" workbookViewId="0">
      <selection activeCell="A1" sqref="A1"/>
    </sheetView>
  </sheetViews>
  <sheetFormatPr baseColWidth="8" defaultRowHeight="15"/>
  <cols>
    <col width="18.33203125" customWidth="1" min="1" max="1"/>
    <col width="8.83203125" customWidth="1" min="6" max="6"/>
    <col width="8.83203125" customWidth="1" min="7" max="7"/>
  </cols>
  <sheetData>
    <row r="1" ht="16" customHeight="1">
      <c r="A1" s="8" t="inlineStr">
        <is>
          <t>RIMPTON EXPENSES</t>
        </is>
      </c>
    </row>
    <row r="2" ht="16" customHeight="1">
      <c r="A2" s="11" t="inlineStr">
        <is>
          <t>Heading</t>
        </is>
      </c>
      <c r="B2" s="3" t="inlineStr">
        <is>
          <t>£</t>
        </is>
      </c>
      <c r="C2" s="4" t="inlineStr">
        <is>
          <t xml:space="preserve">s </t>
        </is>
      </c>
      <c r="D2" s="4" t="inlineStr">
        <is>
          <t>d</t>
        </is>
      </c>
      <c r="E2" s="4" t="n"/>
      <c r="F2" s="127" t="inlineStr">
        <is>
          <t>Total in £</t>
        </is>
      </c>
      <c r="G2" s="128" t="inlineStr">
        <is>
          <t>Error</t>
        </is>
      </c>
      <c r="H2" s="7" t="inlineStr">
        <is>
          <t>Notes</t>
        </is>
      </c>
    </row>
    <row r="3">
      <c r="A3" t="inlineStr">
        <is>
          <t>Cost of ploughs</t>
        </is>
      </c>
      <c r="B3" t="n">
        <v>0</v>
      </c>
      <c r="C3" t="n">
        <v>4</v>
      </c>
      <c r="D3" t="n">
        <v>1.75</v>
      </c>
      <c r="F3" s="72" t="n">
        <v>0.21</v>
      </c>
      <c r="H3" t="inlineStr">
        <is>
          <t>In iron bought to maintain the ironwork of 4 ploughs for the year 4 shilling 1.75pence.</t>
        </is>
      </c>
    </row>
    <row r="4">
      <c r="A4" t="inlineStr">
        <is>
          <t>Cost of ploughs</t>
        </is>
      </c>
      <c r="B4" t="n">
        <v>0</v>
      </c>
      <c r="C4" t="n">
        <v>3</v>
      </c>
      <c r="D4" t="n">
        <v>6.5</v>
      </c>
      <c r="F4" s="72" t="n">
        <v>0.18</v>
      </c>
      <c r="H4" t="inlineStr">
        <is>
          <t>stipend of the smith repairing and restoring the ironwork of the said ploughs for the year 3 shilling 6.5pence.</t>
        </is>
      </c>
    </row>
    <row r="5">
      <c r="A5" t="inlineStr">
        <is>
          <t>Cost of ploughs</t>
        </is>
      </c>
      <c r="B5" t="n">
        <v>0</v>
      </c>
      <c r="C5" t="n">
        <v>0</v>
      </c>
      <c r="D5" t="n">
        <v>5.5</v>
      </c>
      <c r="F5" s="72" t="n">
        <v>0.02</v>
      </c>
      <c r="H5" t="inlineStr">
        <is>
          <t>8 yokes bought for ploughs 5.5pence.</t>
        </is>
      </c>
    </row>
    <row r="6">
      <c r="A6" t="inlineStr">
        <is>
          <t>Cost of ploughs</t>
        </is>
      </c>
      <c r="B6" t="n">
        <v>0</v>
      </c>
      <c r="C6" t="n">
        <v>0</v>
      </c>
      <c r="D6" t="n">
        <v>9</v>
      </c>
      <c r="F6" s="72" t="n">
        <v>0.04</v>
      </c>
      <c r="H6" t="inlineStr">
        <is>
          <t>5 yokes bought 9pence.</t>
        </is>
      </c>
    </row>
    <row r="7">
      <c r="A7" t="inlineStr">
        <is>
          <t>Cost of ploughs</t>
        </is>
      </c>
      <c r="B7" t="n">
        <v>0</v>
      </c>
      <c r="C7" t="n">
        <v>2</v>
      </c>
      <c r="D7" t="n">
        <v>2</v>
      </c>
      <c r="F7" s="72" t="n">
        <v>0.11</v>
      </c>
      <c r="H7" t="inlineStr">
        <is>
          <t>expenses of 1 boon-work of 36 ploughmen and 24 harrowers, ploughing and harrowing 37 acres for the winter sowing, besides bread from stock: ale bought 2 shilling 2pence.</t>
        </is>
      </c>
    </row>
    <row r="8">
      <c r="A8" t="inlineStr">
        <is>
          <t>Cost of ploughs</t>
        </is>
      </c>
      <c r="B8" t="n">
        <v>0</v>
      </c>
      <c r="C8" t="n">
        <v>2</v>
      </c>
      <c r="D8" t="n">
        <v>3</v>
      </c>
      <c r="F8" s="72" t="n">
        <v>0.11</v>
      </c>
      <c r="H8" t="inlineStr">
        <is>
          <t>meat bought 2 shilling 3pence.</t>
        </is>
      </c>
    </row>
    <row r="9">
      <c r="A9" t="inlineStr">
        <is>
          <t>Cost of ploughs</t>
        </is>
      </c>
      <c r="B9" t="n">
        <v>0</v>
      </c>
      <c r="C9" t="n">
        <v>0</v>
      </c>
      <c r="D9" t="n">
        <v>3</v>
      </c>
      <c r="F9" s="72" t="n">
        <v>0.01</v>
      </c>
      <c r="H9" t="inlineStr">
        <is>
          <t>cheese bought 3pence.</t>
        </is>
      </c>
    </row>
    <row r="10">
      <c r="A10" t="inlineStr">
        <is>
          <t>Cost of ploughs</t>
        </is>
      </c>
      <c r="B10" t="n">
        <v>0</v>
      </c>
      <c r="C10" t="n">
        <v>0</v>
      </c>
      <c r="D10" t="n">
        <v>11</v>
      </c>
      <c r="F10" s="72" t="n">
        <v>0.05</v>
      </c>
      <c r="H10" t="inlineStr">
        <is>
          <t>1 boon-work of 11 ploughmen working on the fallow according to custom 11pence.</t>
        </is>
      </c>
    </row>
    <row r="11">
      <c r="A11" t="inlineStr">
        <is>
          <t>Cost of ploughs</t>
        </is>
      </c>
      <c r="B11" t="n">
        <v>2</v>
      </c>
      <c r="C11" t="n">
        <v>9</v>
      </c>
      <c r="D11" t="n">
        <v>2</v>
      </c>
      <c r="F11" s="72" t="n">
        <v>2.46</v>
      </c>
      <c r="H11" t="inlineStr">
        <is>
          <t>4 oxen bought £2 9 shilling 2pence, at 12 shilling 3.5pence each.</t>
        </is>
      </c>
    </row>
    <row r="12">
      <c r="A12" t="inlineStr">
        <is>
          <t>Cost of ploughs</t>
        </is>
      </c>
      <c r="B12" t="n">
        <v>1</v>
      </c>
      <c r="C12" t="n">
        <v>13</v>
      </c>
      <c r="D12" t="n">
        <v>0.75</v>
      </c>
      <c r="F12" s="72" t="n">
        <v>1.65</v>
      </c>
      <c r="H12" t="inlineStr">
        <is>
          <t>3 oxen bought £1 13 shilling 0.75pence, at 11 shilling 0.25pence each.</t>
        </is>
      </c>
    </row>
    <row r="13">
      <c r="A13" t="inlineStr">
        <is>
          <t>Cost of ploughs</t>
        </is>
      </c>
      <c r="B13" t="n">
        <v>2</v>
      </c>
      <c r="C13" t="n">
        <v>14</v>
      </c>
      <c r="D13" t="n">
        <v>7</v>
      </c>
      <c r="F13" s="72" t="n">
        <v>2.73</v>
      </c>
      <c r="H13" t="inlineStr">
        <is>
          <t>5 oxen bought £2 14 shilling 7pence, at 10 shilling 11pence each.</t>
        </is>
      </c>
    </row>
    <row r="14">
      <c r="A14" t="inlineStr">
        <is>
          <t>Cost of ploughs</t>
        </is>
      </c>
      <c r="B14" t="n">
        <v>0</v>
      </c>
      <c r="C14" t="n">
        <v>0</v>
      </c>
      <c r="D14" t="n">
        <v>3</v>
      </c>
      <c r="F14" s="72" t="n">
        <v>0.01</v>
      </c>
      <c r="H14" t="inlineStr">
        <is>
          <t>blood-letting of oxen 3pence.</t>
        </is>
      </c>
    </row>
    <row r="15">
      <c r="A15" t="inlineStr">
        <is>
          <t>Cost of ploughs</t>
        </is>
      </c>
      <c r="B15" t="n">
        <v>0</v>
      </c>
      <c r="C15" t="n">
        <v>0</v>
      </c>
      <c r="D15" t="n">
        <v>6</v>
      </c>
      <c r="F15" s="72" t="n">
        <v>0.03</v>
      </c>
      <c r="H15" t="inlineStr">
        <is>
          <t>hiring 2 men for 6 days to hold the ploughs whilst the ploughmen of the vii mow the meadows 6pence.</t>
        </is>
      </c>
    </row>
    <row r="16">
      <c r="A16" t="inlineStr">
        <is>
          <t>Cost of ploughs</t>
        </is>
      </c>
      <c r="B16" t="n">
        <v>0</v>
      </c>
      <c r="C16" t="n">
        <v>10</v>
      </c>
      <c r="D16" t="n">
        <v>0</v>
      </c>
      <c r="F16" s="72">
        <f>B16+C16/20+D16/240</f>
        <v/>
      </c>
      <c r="H16" t="inlineStr">
        <is>
          <t xml:space="preserve">stipend of 2 ox-drovers for the year 10 shilling </t>
        </is>
      </c>
    </row>
    <row r="17">
      <c r="A17" t="inlineStr">
        <is>
          <t>Cost of ploughs</t>
        </is>
      </c>
      <c r="B17" t="n">
        <v>8</v>
      </c>
      <c r="C17" t="n">
        <v>2</v>
      </c>
      <c r="D17" t="n">
        <v>0.5</v>
      </c>
      <c r="F17" s="72" t="n">
        <v>8.1</v>
      </c>
      <c r="H17" t="inlineStr">
        <is>
          <t>Total, £8 2 shilling 0.5pence</t>
        </is>
      </c>
    </row>
    <row r="18">
      <c r="A18" t="inlineStr">
        <is>
          <t>Cost of ploughs</t>
        </is>
      </c>
      <c r="F18" s="72">
        <f>SUM(F3:F16)</f>
        <v/>
      </c>
      <c r="G18" s="129">
        <f>F18-F17</f>
        <v/>
      </c>
      <c r="H18" t="inlineStr">
        <is>
          <t>Total</t>
        </is>
      </c>
    </row>
    <row r="19"/>
    <row r="20">
      <c r="A20" t="inlineStr">
        <is>
          <t>Cost of the mill</t>
        </is>
      </c>
      <c r="B20" t="n">
        <v>0</v>
      </c>
      <c r="C20" t="n">
        <v>8</v>
      </c>
      <c r="D20" t="n">
        <v>3</v>
      </c>
      <c r="F20" s="72" t="n">
        <v>0.41</v>
      </c>
      <c r="H20" t="inlineStr">
        <is>
          <t>In one stone millstone bought for the mill 8 shilling 3pence.</t>
        </is>
      </c>
    </row>
    <row r="21">
      <c r="A21" t="inlineStr">
        <is>
          <t>Cost of the mill</t>
        </is>
      </c>
      <c r="B21" t="n">
        <v>0</v>
      </c>
      <c r="C21" t="n">
        <v>0</v>
      </c>
      <c r="D21" t="n">
        <v>5</v>
      </c>
      <c r="F21" s="72" t="n">
        <v>0.02</v>
      </c>
      <c r="H21" t="inlineStr">
        <is>
          <t>making one mill-spindle 5pence.</t>
        </is>
      </c>
    </row>
    <row r="22">
      <c r="A22" t="inlineStr">
        <is>
          <t>Cost of the mill</t>
        </is>
      </c>
      <c r="B22" t="n">
        <v>0</v>
      </c>
      <c r="C22" t="n">
        <v>0</v>
      </c>
      <c r="D22" t="n">
        <v>2.5</v>
      </c>
      <c r="F22" s="72" t="n">
        <v>0.01</v>
      </c>
      <c r="H22" t="inlineStr">
        <is>
          <t>nails bought for the mill-wheel 2.5pence.</t>
        </is>
      </c>
    </row>
    <row r="23">
      <c r="A23" t="inlineStr">
        <is>
          <t>Cost of the mill</t>
        </is>
      </c>
      <c r="B23" t="n">
        <v>0</v>
      </c>
      <c r="C23" t="n">
        <v>5</v>
      </c>
      <c r="D23" t="n">
        <v>0</v>
      </c>
      <c r="F23" s="72" t="n">
        <v>0.25</v>
      </c>
      <c r="H23" t="inlineStr">
        <is>
          <t>stipend of the miller for the year 5 shilling.</t>
        </is>
      </c>
    </row>
    <row r="24">
      <c r="A24" t="inlineStr">
        <is>
          <t>Cost of the mill</t>
        </is>
      </c>
      <c r="B24" t="n">
        <v>0</v>
      </c>
      <c r="C24" t="n">
        <v>2</v>
      </c>
      <c r="D24" t="n">
        <v>0</v>
      </c>
      <c r="F24" s="72">
        <f>B24+C24/20+D24/240</f>
        <v/>
      </c>
      <c r="H24" t="inlineStr">
        <is>
          <t xml:space="preserve">quittance of the tithe of the mill 2 shilling </t>
        </is>
      </c>
    </row>
    <row r="25">
      <c r="A25" t="inlineStr">
        <is>
          <t>Cost of the mill</t>
        </is>
      </c>
      <c r="B25" t="n">
        <v>0</v>
      </c>
      <c r="C25" t="n">
        <v>15</v>
      </c>
      <c r="D25" t="n">
        <v>10.5</v>
      </c>
      <c r="F25" s="72">
        <f>B25+C25/20+D25/240</f>
        <v/>
      </c>
      <c r="H25" t="inlineStr">
        <is>
          <t>Total, 15 shilling 10.5pence</t>
        </is>
      </c>
    </row>
    <row r="26">
      <c r="A26" t="inlineStr">
        <is>
          <t>Cost of the mill</t>
        </is>
      </c>
      <c r="F26" s="72">
        <f>SUM(F20:F24)</f>
        <v/>
      </c>
      <c r="G26" s="129">
        <f>F26-F25</f>
        <v/>
      </c>
      <c r="H26" t="inlineStr">
        <is>
          <t>Total</t>
        </is>
      </c>
    </row>
    <row r="27"/>
    <row r="28">
      <c r="A28" t="inlineStr">
        <is>
          <t>Steward's expenses</t>
        </is>
      </c>
      <c r="B28" t="n">
        <v>0</v>
      </c>
      <c r="C28" t="n">
        <v>8</v>
      </c>
      <c r="D28" t="n">
        <v>8</v>
      </c>
      <c r="F28" s="72" t="n">
        <v>0.43</v>
      </c>
      <c r="H28" t="inlineStr">
        <is>
          <t>In expenses of the steward and his clerk for their visits to view the state of the manor, to hold court, and to expedite other business of the lord, 8 shilling 8pence by 2 tallies.</t>
        </is>
      </c>
    </row>
    <row r="29">
      <c r="A29" t="inlineStr">
        <is>
          <t>Steward's expenses</t>
        </is>
      </c>
      <c r="B29" t="n">
        <v>0</v>
      </c>
      <c r="C29" t="n">
        <v>8</v>
      </c>
      <c r="D29" t="n">
        <v>8</v>
      </c>
      <c r="F29" s="72" t="n">
        <v>0.43</v>
      </c>
      <c r="H29" t="inlineStr">
        <is>
          <t>Total, 8 shilling 8pence</t>
        </is>
      </c>
    </row>
    <row r="30">
      <c r="A30" t="inlineStr">
        <is>
          <t>Steward's expenses</t>
        </is>
      </c>
      <c r="F30" s="72" t="n">
        <v>0.43</v>
      </c>
      <c r="G30" s="129" t="n">
        <v>0</v>
      </c>
      <c r="H30" t="inlineStr">
        <is>
          <t>Total</t>
        </is>
      </c>
    </row>
    <row r="31"/>
    <row r="32">
      <c r="A32" t="inlineStr">
        <is>
          <t>Bailiff's expenses</t>
        </is>
      </c>
      <c r="B32" t="n">
        <v>3</v>
      </c>
      <c r="C32" t="n">
        <v>0</v>
      </c>
      <c r="D32" t="n">
        <v>10</v>
      </c>
      <c r="F32" s="72" t="n">
        <v>3.04</v>
      </c>
      <c r="H32" t="inlineStr">
        <is>
          <t>In expenses of the bailiff for the year £3 10pence, at 2pence a day.</t>
        </is>
      </c>
    </row>
    <row r="33">
      <c r="A33" t="inlineStr">
        <is>
          <t>Bailiff's expenses</t>
        </is>
      </c>
      <c r="B33" t="n">
        <v>3</v>
      </c>
      <c r="C33" t="n">
        <v>0</v>
      </c>
      <c r="D33" t="n">
        <v>10</v>
      </c>
      <c r="F33" s="72" t="n">
        <v>3.04</v>
      </c>
      <c r="H33" t="inlineStr">
        <is>
          <t>Total, £3 10pence</t>
        </is>
      </c>
    </row>
    <row r="34">
      <c r="A34" t="inlineStr">
        <is>
          <t>Bailiff's expenses</t>
        </is>
      </c>
      <c r="F34" s="72" t="n">
        <v>3.04</v>
      </c>
      <c r="G34" s="129" t="n">
        <v>0</v>
      </c>
      <c r="H34" t="inlineStr">
        <is>
          <t>Total</t>
        </is>
      </c>
    </row>
    <row r="35"/>
    <row r="36">
      <c r="A36" t="inlineStr">
        <is>
          <t>Total of all expenses</t>
        </is>
      </c>
      <c r="B36" t="n">
        <v>14</v>
      </c>
      <c r="C36" t="n">
        <v>0</v>
      </c>
      <c r="D36" t="n">
        <v>0</v>
      </c>
      <c r="F36" s="72" t="n">
        <v>14</v>
      </c>
      <c r="H36" t="inlineStr">
        <is>
          <t>Total of all expenses, £14 1 1 shilling 9.5pence</t>
        </is>
      </c>
    </row>
    <row r="37">
      <c r="A37" t="inlineStr">
        <is>
          <t>Total of all expenses</t>
        </is>
      </c>
      <c r="B37" t="n">
        <v>63</v>
      </c>
      <c r="C37" t="n">
        <v>0</v>
      </c>
      <c r="D37" t="n">
        <v>11.75</v>
      </c>
      <c r="F37" s="72" t="n">
        <v>63.05</v>
      </c>
      <c r="H37" t="inlineStr">
        <is>
          <t>And thus he owes, £63 11.75pence</t>
        </is>
      </c>
    </row>
    <row r="38">
      <c r="A38" t="inlineStr">
        <is>
          <t>Total of all expenses</t>
        </is>
      </c>
      <c r="F38" s="72" t="n">
        <v>63.05</v>
      </c>
      <c r="G38" s="129" t="n">
        <v>0</v>
      </c>
      <c r="H38" t="inlineStr">
        <is>
          <t>Total</t>
        </is>
      </c>
    </row>
    <row r="39"/>
    <row r="40"/>
    <row r="41">
      <c r="A41" t="inlineStr">
        <is>
          <t>Cash deliveries</t>
        </is>
      </c>
      <c r="B41" t="n">
        <v>38</v>
      </c>
      <c r="C41" t="n">
        <v>0</v>
      </c>
      <c r="D41" t="n">
        <v>0</v>
      </c>
      <c r="F41" s="72" t="n">
        <v>38</v>
      </c>
      <c r="H41" t="inlineStr">
        <is>
          <t>Delivered to Sir Geoffrey, treasurer of Wolvesey, by 1 tally, £38. Total, £38.</t>
        </is>
      </c>
    </row>
    <row r="42"/>
    <row r="43">
      <c r="A43" t="inlineStr">
        <is>
          <t>Cash deliveries</t>
        </is>
      </c>
      <c r="B43" t="n">
        <v>25</v>
      </c>
      <c r="C43" t="n">
        <v>0</v>
      </c>
      <c r="D43" t="n">
        <v>11.75</v>
      </c>
      <c r="F43" s="72" t="n">
        <v>25.05</v>
      </c>
      <c r="H43" t="inlineStr">
        <is>
          <t>And thus he owes clear, £25 11.75pence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24"/>
  <sheetViews>
    <sheetView topLeftCell="A1" workbookViewId="0">
      <selection activeCell="A1" sqref="A1"/>
    </sheetView>
  </sheetViews>
  <sheetFormatPr baseColWidth="8" defaultRowHeight="15"/>
  <cols>
    <col width="30" customWidth="1" min="1" max="1"/>
    <col width="12.1640625" customWidth="1" min="2" max="2"/>
    <col width="19.1640625" customWidth="1" min="3" max="3"/>
    <col width="20" customWidth="1" min="4" max="4"/>
    <col width="21.5" customWidth="1" min="5" max="5"/>
    <col width="15.83203125" customWidth="1" min="6" max="6"/>
    <col width="20.6640625" customWidth="1" min="7" max="7"/>
    <col width="18.83203125" customWidth="1" min="8" max="8"/>
    <col width="19.33203125" customWidth="1" min="10" max="10"/>
    <col width="8.1640625" customWidth="1" min="14" max="14"/>
    <col width="15.6640625" customWidth="1" min="15" max="15"/>
    <col width="19.33203125" customWidth="1" min="16" max="16"/>
  </cols>
  <sheetData>
    <row r="1" ht="32" customHeight="1">
      <c r="A1" s="37" t="inlineStr">
        <is>
          <t>Gross Output</t>
        </is>
      </c>
      <c r="B1" s="37" t="inlineStr">
        <is>
          <t>Total Quantity</t>
        </is>
      </c>
      <c r="C1" s="37" t="inlineStr">
        <is>
          <t>Account Total Quarters</t>
        </is>
      </c>
      <c r="D1" s="37" t="inlineStr">
        <is>
          <t>Bought in Total Quarters</t>
        </is>
      </c>
      <c r="E1" s="37" t="inlineStr">
        <is>
          <t>Received from churchscot</t>
        </is>
      </c>
      <c r="F1" s="37" t="inlineStr">
        <is>
          <t>Sold Total Quarters</t>
        </is>
      </c>
      <c r="G1" s="130" t="inlineStr">
        <is>
          <t>Difference Produced+Bought-Sold</t>
        </is>
      </c>
      <c r="H1" s="130" t="inlineStr">
        <is>
          <t>Weighted Average Price per Quarter</t>
        </is>
      </c>
      <c r="I1" s="131" t="inlineStr">
        <is>
          <t>Value of Total Production weighted</t>
        </is>
      </c>
    </row>
    <row r="2">
      <c r="A2" t="inlineStr">
        <is>
          <t>wheat</t>
        </is>
      </c>
      <c r="B2" t="n">
        <v>144.5</v>
      </c>
      <c r="C2" t="n">
        <v>144.5</v>
      </c>
      <c r="D2" t="n">
        <v>0</v>
      </c>
      <c r="F2" t="n">
        <v>121.3125</v>
      </c>
      <c r="G2">
        <f>B2-F2</f>
        <v/>
      </c>
      <c r="H2" s="72" t="n">
        <v>0.2666666666666667</v>
      </c>
      <c r="I2" s="72">
        <f>H2*B2</f>
        <v/>
      </c>
    </row>
    <row r="3">
      <c r="A3" t="inlineStr">
        <is>
          <t>curall</t>
        </is>
      </c>
      <c r="B3" t="n">
        <v>20.125</v>
      </c>
      <c r="C3" t="n">
        <v>20.125</v>
      </c>
      <c r="D3" t="n">
        <v>0</v>
      </c>
      <c r="F3" t="n">
        <v>6.125</v>
      </c>
      <c r="G3">
        <f>B3-F3</f>
        <v/>
      </c>
      <c r="H3" s="72" t="n">
        <v>0.1916666666666667</v>
      </c>
      <c r="I3" s="72">
        <f>H3*B3</f>
        <v/>
      </c>
    </row>
    <row r="4">
      <c r="A4" t="inlineStr">
        <is>
          <t>maslin</t>
        </is>
      </c>
      <c r="B4" t="n">
        <v>12.875</v>
      </c>
      <c r="C4" t="n">
        <v>12.875</v>
      </c>
      <c r="D4" t="n">
        <v>0</v>
      </c>
      <c r="F4" t="n">
        <v>12.875</v>
      </c>
      <c r="G4">
        <f>B4-F4</f>
        <v/>
      </c>
      <c r="H4" s="72" t="n">
        <v>0.2333333333333333</v>
      </c>
      <c r="I4" s="72">
        <f>H4*B4</f>
        <v/>
      </c>
    </row>
    <row r="5">
      <c r="A5" t="inlineStr">
        <is>
          <t>barley</t>
        </is>
      </c>
      <c r="B5" t="n">
        <v>10</v>
      </c>
      <c r="C5" t="n">
        <v>10</v>
      </c>
      <c r="D5" t="n">
        <v>0</v>
      </c>
      <c r="F5" t="n">
        <v>4</v>
      </c>
      <c r="G5">
        <f>B5-F5</f>
        <v/>
      </c>
      <c r="H5" s="72" t="n">
        <v>0.1666666666666667</v>
      </c>
      <c r="I5" s="72">
        <f>H5*B5</f>
        <v/>
      </c>
    </row>
    <row r="6">
      <c r="A6" t="inlineStr">
        <is>
          <t>beans</t>
        </is>
      </c>
      <c r="B6" t="n">
        <v>28.25</v>
      </c>
      <c r="C6" t="n">
        <v>28.25</v>
      </c>
      <c r="D6" t="n">
        <v>0</v>
      </c>
      <c r="F6" t="n">
        <v>16.25</v>
      </c>
      <c r="G6">
        <f>B6-F6</f>
        <v/>
      </c>
      <c r="H6" s="72" t="n">
        <v>0.1</v>
      </c>
      <c r="I6" s="72">
        <f>H6*B6</f>
        <v/>
      </c>
    </row>
    <row r="7">
      <c r="A7" t="inlineStr">
        <is>
          <t>peas</t>
        </is>
      </c>
      <c r="B7" t="n">
        <v>7.625</v>
      </c>
      <c r="C7" t="n">
        <v>7.625</v>
      </c>
      <c r="D7" t="n">
        <v>0</v>
      </c>
      <c r="F7" t="n">
        <v>5.875</v>
      </c>
      <c r="G7">
        <f>B7-F7</f>
        <v/>
      </c>
      <c r="H7" s="72" t="n">
        <v>0.1</v>
      </c>
      <c r="I7" s="72">
        <f>H7*B7</f>
        <v/>
      </c>
    </row>
    <row r="8">
      <c r="A8" t="inlineStr">
        <is>
          <t>vetches</t>
        </is>
      </c>
      <c r="B8" t="n">
        <v>1.75</v>
      </c>
      <c r="C8" t="n">
        <v>1.75</v>
      </c>
      <c r="D8" t="n">
        <v>0</v>
      </c>
      <c r="F8" t="n">
        <v>1.375</v>
      </c>
      <c r="G8">
        <f>B8-F8</f>
        <v/>
      </c>
      <c r="H8" s="72" t="n">
        <v>0.06666666666666667</v>
      </c>
      <c r="I8" s="72">
        <f>H8*B8</f>
        <v/>
      </c>
    </row>
    <row r="9">
      <c r="A9" t="inlineStr">
        <is>
          <t>oats</t>
        </is>
      </c>
      <c r="B9" t="n">
        <v>107.875</v>
      </c>
      <c r="C9" t="n">
        <v>107.875</v>
      </c>
      <c r="D9" t="n">
        <v>0</v>
      </c>
      <c r="F9" t="n">
        <v>54.75</v>
      </c>
      <c r="G9">
        <f>B9-F9</f>
        <v/>
      </c>
      <c r="H9" s="72" t="n">
        <v>0.1083333333333333</v>
      </c>
      <c r="I9" s="72">
        <f>H9*B9</f>
        <v/>
      </c>
    </row>
    <row r="10"/>
    <row r="11">
      <c r="A11" s="132" t="inlineStr">
        <is>
          <t>Total Production</t>
        </is>
      </c>
    </row>
    <row r="12">
      <c r="A12" s="132" t="inlineStr">
        <is>
          <t>Sales of corn (as recorded in accounts)</t>
        </is>
      </c>
    </row>
    <row r="13"/>
    <row r="14" ht="32" customHeight="1">
      <c r="A14" s="38" t="inlineStr">
        <is>
          <t>Net output</t>
        </is>
      </c>
      <c r="B14" s="133" t="inlineStr">
        <is>
          <t>Gross output</t>
        </is>
      </c>
      <c r="C14" s="134" t="inlineStr">
        <is>
          <t>Seed quarters</t>
        </is>
      </c>
      <c r="D14" s="134" t="inlineStr">
        <is>
          <t>Seed bushels</t>
        </is>
      </c>
      <c r="E14" s="134" t="inlineStr">
        <is>
          <t>Seed total quarters</t>
        </is>
      </c>
      <c r="F14" s="38" t="inlineStr">
        <is>
          <t>tithe quarters</t>
        </is>
      </c>
      <c r="G14" s="134" t="inlineStr">
        <is>
          <t>tithe bushels</t>
        </is>
      </c>
      <c r="H14" s="134" t="inlineStr">
        <is>
          <t>tithe total</t>
        </is>
      </c>
      <c r="I14" s="134" t="inlineStr">
        <is>
          <t>manorial servants quarters</t>
        </is>
      </c>
      <c r="J14" s="134" t="inlineStr">
        <is>
          <t>manorial servants bushels</t>
        </is>
      </c>
      <c r="K14" s="135" t="inlineStr">
        <is>
          <t>manorial servants total quarters</t>
        </is>
      </c>
      <c r="L14" s="134" t="inlineStr">
        <is>
          <t>output net of tithe, seed, liveries</t>
        </is>
      </c>
      <c r="M14" s="134" t="inlineStr">
        <is>
          <t>in stock from last year</t>
        </is>
      </c>
      <c r="N14" s="136" t="inlineStr">
        <is>
          <t>Price in £</t>
        </is>
      </c>
      <c r="O14" s="136" t="inlineStr">
        <is>
          <t>Value of net output in £</t>
        </is>
      </c>
      <c r="P14" s="133" t="inlineStr">
        <is>
          <t>Value of sales (in "Sale of Corn") in £</t>
        </is>
      </c>
    </row>
    <row r="15">
      <c r="A15" t="inlineStr">
        <is>
          <t>wheat</t>
        </is>
      </c>
      <c r="B15">
        <f>B2</f>
        <v/>
      </c>
      <c r="C15" t="n">
        <v>22</v>
      </c>
      <c r="D15" t="n">
        <v>0.5</v>
      </c>
      <c r="E15">
        <f>C15+D15/8</f>
        <v/>
      </c>
      <c r="J15" t="n">
        <v>3</v>
      </c>
      <c r="K15" s="137">
        <f>I15+J15/8</f>
        <v/>
      </c>
      <c r="L15" s="72">
        <f>B15-E15-H15-K15</f>
        <v/>
      </c>
      <c r="N15" s="72">
        <f>H2</f>
        <v/>
      </c>
      <c r="O15" s="72">
        <f>N15*L15</f>
        <v/>
      </c>
    </row>
    <row r="16">
      <c r="A16" t="inlineStr">
        <is>
          <t>curall</t>
        </is>
      </c>
      <c r="B16">
        <f>B3</f>
        <v/>
      </c>
      <c r="E16">
        <f>C16+D16/8</f>
        <v/>
      </c>
      <c r="I16" t="n">
        <v>14</v>
      </c>
      <c r="K16" s="137">
        <f>I16+J16/8</f>
        <v/>
      </c>
      <c r="L16" s="72">
        <f>B16-E16-H16-K16</f>
        <v/>
      </c>
      <c r="N16" s="72">
        <f>H3</f>
        <v/>
      </c>
      <c r="O16" s="72">
        <f>N16*L16</f>
        <v/>
      </c>
    </row>
    <row r="17">
      <c r="A17" t="inlineStr">
        <is>
          <t>maslin</t>
        </is>
      </c>
      <c r="B17">
        <f>B4</f>
        <v/>
      </c>
      <c r="E17">
        <f>C17+D17/8</f>
        <v/>
      </c>
      <c r="K17" s="137">
        <f>I17+J17/8</f>
        <v/>
      </c>
      <c r="L17" s="72">
        <f>B17-E17-H17-K17</f>
        <v/>
      </c>
      <c r="N17" s="72">
        <f>H4</f>
        <v/>
      </c>
      <c r="O17" s="72">
        <f>N17*L17</f>
        <v/>
      </c>
    </row>
    <row r="18">
      <c r="A18" t="inlineStr">
        <is>
          <t>barley</t>
        </is>
      </c>
      <c r="B18">
        <f>B5</f>
        <v/>
      </c>
      <c r="D18" t="n">
        <v>7.5</v>
      </c>
      <c r="E18">
        <f>C18+D18/8</f>
        <v/>
      </c>
      <c r="I18" t="n">
        <v>4</v>
      </c>
      <c r="J18">
        <f>5+3.5</f>
        <v/>
      </c>
      <c r="K18" s="137">
        <f>I18+J18/8</f>
        <v/>
      </c>
      <c r="L18" s="72">
        <f>B18-E18-H18-K18</f>
        <v/>
      </c>
      <c r="N18" s="72">
        <f>H5</f>
        <v/>
      </c>
      <c r="O18" s="72">
        <f>N18*L18</f>
        <v/>
      </c>
    </row>
    <row r="19">
      <c r="A19" t="inlineStr">
        <is>
          <t>beans</t>
        </is>
      </c>
      <c r="B19">
        <f>B6</f>
        <v/>
      </c>
      <c r="C19" t="n">
        <v>7</v>
      </c>
      <c r="D19" t="n">
        <v>2</v>
      </c>
      <c r="E19">
        <f>C19+D19/8</f>
        <v/>
      </c>
      <c r="I19">
        <f>2.5+2</f>
        <v/>
      </c>
      <c r="J19">
        <f>2</f>
        <v/>
      </c>
      <c r="K19" s="137">
        <f>I19+J19/8</f>
        <v/>
      </c>
      <c r="L19" s="72">
        <f>B19-E19-H19-K19</f>
        <v/>
      </c>
      <c r="N19" s="72">
        <f>H6</f>
        <v/>
      </c>
      <c r="O19" s="72">
        <f>N19*L19</f>
        <v/>
      </c>
    </row>
    <row r="20">
      <c r="A20" t="inlineStr">
        <is>
          <t>peas</t>
        </is>
      </c>
      <c r="B20">
        <f>B7</f>
        <v/>
      </c>
      <c r="D20" t="n">
        <v>2</v>
      </c>
      <c r="E20">
        <f>C20+D20/8</f>
        <v/>
      </c>
      <c r="I20">
        <f>1.5</f>
        <v/>
      </c>
      <c r="K20" s="137">
        <f>I20+J20/8</f>
        <v/>
      </c>
      <c r="L20" s="72">
        <f>B20-E20-H20-K20</f>
        <v/>
      </c>
      <c r="N20" s="72">
        <f>H7</f>
        <v/>
      </c>
      <c r="O20" s="72">
        <f>N20*L20</f>
        <v/>
      </c>
    </row>
    <row r="21">
      <c r="A21" t="inlineStr">
        <is>
          <t>vetches</t>
        </is>
      </c>
      <c r="B21">
        <f>B8</f>
        <v/>
      </c>
      <c r="D21" t="n">
        <v>3</v>
      </c>
      <c r="E21">
        <f>C21+D21/8</f>
        <v/>
      </c>
      <c r="K21" s="137">
        <f>I21+J21/8</f>
        <v/>
      </c>
      <c r="L21" s="72">
        <f>B21-E21-H21-K21</f>
        <v/>
      </c>
      <c r="N21" s="72">
        <f>H8</f>
        <v/>
      </c>
      <c r="O21" s="72">
        <f>N21*L21</f>
        <v/>
      </c>
    </row>
    <row r="22">
      <c r="A22" t="inlineStr">
        <is>
          <t>oats</t>
        </is>
      </c>
      <c r="B22">
        <f>B9</f>
        <v/>
      </c>
      <c r="C22" t="n">
        <v>48</v>
      </c>
      <c r="E22">
        <f>C22+D22/8</f>
        <v/>
      </c>
      <c r="I22">
        <f>1+1.5+1+1</f>
        <v/>
      </c>
      <c r="K22" s="137">
        <f>I22+J22/8</f>
        <v/>
      </c>
      <c r="L22" s="72">
        <f>B22-E22-H22-K22</f>
        <v/>
      </c>
      <c r="N22" s="72">
        <f>H9</f>
        <v/>
      </c>
      <c r="O22" s="72">
        <f>N22*L22</f>
        <v/>
      </c>
    </row>
    <row r="23"/>
    <row r="24">
      <c r="A24" s="42" t="inlineStr">
        <is>
          <t>Total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topLeftCell="A1"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132"/>
  <sheetViews>
    <sheetView topLeftCell="A1" workbookViewId="0">
      <selection activeCell="A1" sqref="A1"/>
    </sheetView>
  </sheetViews>
  <sheetFormatPr baseColWidth="8" defaultRowHeight="15"/>
  <cols>
    <col width="44.33203125" customWidth="1" min="1" max="1"/>
    <col width="21.83203125" customWidth="1" min="10" max="10"/>
    <col width="11.5" customWidth="1" min="11" max="11"/>
    <col width="11.6640625" customWidth="1" min="14" max="14"/>
    <col width="8.83203125" customWidth="1" min="15" max="15"/>
    <col width="16.6640625" customWidth="1" min="16" max="16"/>
    <col width="19.5" customWidth="1" min="17" max="17"/>
    <col width="14" customWidth="1" min="19" max="19"/>
    <col width="19" customWidth="1" min="20" max="20"/>
  </cols>
  <sheetData>
    <row r="1" ht="16" customHeight="1">
      <c r="A1" s="12" t="inlineStr">
        <is>
          <t>RIMPTON STOCK ACCOUNT</t>
        </is>
      </c>
      <c r="B1" s="37" t="n"/>
      <c r="C1" s="37" t="n"/>
      <c r="D1" s="37" t="n"/>
      <c r="E1" s="37" t="n"/>
      <c r="F1" s="37" t="n"/>
      <c r="G1" s="37" t="n"/>
      <c r="H1" s="37" t="n"/>
      <c r="I1" s="37" t="n"/>
    </row>
    <row r="2" ht="16" customHeight="1">
      <c r="A2" s="12" t="n"/>
    </row>
    <row r="3">
      <c r="A3" s="44" t="n"/>
      <c r="B3" s="44" t="n"/>
      <c r="C3" s="125" t="inlineStr">
        <is>
          <t>added</t>
        </is>
      </c>
      <c r="G3" s="126" t="inlineStr">
        <is>
          <t>subtracted</t>
        </is>
      </c>
      <c r="K3" s="44" t="n"/>
      <c r="L3" s="44" t="n"/>
      <c r="M3" s="44" t="n"/>
      <c r="N3" s="44" t="n"/>
      <c r="O3" s="73" t="n"/>
      <c r="P3" s="73" t="n"/>
      <c r="Q3" s="44" t="n"/>
      <c r="R3" s="44" t="n"/>
      <c r="S3" s="44" t="n"/>
      <c r="T3" s="44" t="n"/>
    </row>
    <row r="4" ht="34" customHeight="1">
      <c r="A4" s="66" t="inlineStr">
        <is>
          <t>Livestock</t>
        </is>
      </c>
      <c r="B4" s="29" t="inlineStr">
        <is>
          <t>Inherited stock</t>
        </is>
      </c>
      <c r="C4" s="29" t="inlineStr">
        <is>
          <t>added</t>
        </is>
      </c>
      <c r="D4" s="12" t="inlineStr">
        <is>
          <t>strays</t>
        </is>
      </c>
      <c r="E4" s="12" t="inlineStr">
        <is>
          <t>herbage</t>
        </is>
      </c>
      <c r="F4" s="12" t="inlineStr">
        <is>
          <t>churchscot</t>
        </is>
      </c>
      <c r="G4" s="12" t="inlineStr">
        <is>
          <t>of which in default</t>
        </is>
      </c>
      <c r="H4" s="29" t="inlineStr">
        <is>
          <t>sold</t>
        </is>
      </c>
      <c r="I4" s="29" t="inlineStr">
        <is>
          <t>in murrain</t>
        </is>
      </c>
      <c r="J4" s="29" t="inlineStr">
        <is>
          <t>accounted for elsewhere</t>
        </is>
      </c>
      <c r="K4" s="29" t="inlineStr">
        <is>
          <t>End-period  stock</t>
        </is>
      </c>
      <c r="L4" s="29" t="inlineStr">
        <is>
          <t>cross-check</t>
        </is>
      </c>
      <c r="M4" s="29" t="inlineStr">
        <is>
          <t>stock building</t>
        </is>
      </c>
      <c r="N4" s="29" t="inlineStr">
        <is>
          <t>raw production</t>
        </is>
      </c>
      <c r="O4" s="138" t="inlineStr">
        <is>
          <t>Unit price (£)</t>
        </is>
      </c>
      <c r="P4" s="74" t="inlineStr">
        <is>
          <t>Value of stock  (£) at given value</t>
        </is>
      </c>
      <c r="Q4" s="66" t="inlineStr">
        <is>
          <t>Value of stock  (£) at sales prices</t>
        </is>
      </c>
      <c r="R4" s="66" t="inlineStr">
        <is>
          <t>Sales in (£)</t>
        </is>
      </c>
      <c r="S4" s="66" t="inlineStr">
        <is>
          <t>Value of stock building (£)</t>
        </is>
      </c>
      <c r="T4" s="118" t="inlineStr">
        <is>
          <t>Value of production (£) at sales prices</t>
        </is>
      </c>
      <c r="U4" s="29" t="inlineStr">
        <is>
          <t>Details</t>
        </is>
      </c>
    </row>
    <row r="5" ht="16" customHeight="1">
      <c r="A5" s="44" t="inlineStr">
        <is>
          <t>Cart-horses</t>
        </is>
      </c>
    </row>
    <row r="6" ht="16" customHeight="1">
      <c r="A6" s="44" t="inlineStr">
        <is>
          <t>Mares</t>
        </is>
      </c>
    </row>
    <row r="7">
      <c r="A7" t="inlineStr">
        <is>
          <t>Plough horses</t>
        </is>
      </c>
      <c r="B7" t="n">
        <v>2</v>
      </c>
      <c r="C7" t="n">
        <v>1</v>
      </c>
      <c r="H7" t="n">
        <v>1</v>
      </c>
      <c r="K7" t="n">
        <v>2</v>
      </c>
      <c r="O7" s="72">
        <f>R7/H7</f>
        <v/>
      </c>
      <c r="R7" s="72">
        <f>Receipts!F44</f>
        <v/>
      </c>
    </row>
    <row r="8">
      <c r="A8" t="inlineStr">
        <is>
          <t>Colts (unspecified years)</t>
        </is>
      </c>
      <c r="B8" t="n">
        <v>2</v>
      </c>
      <c r="C8" t="n">
        <v>1</v>
      </c>
      <c r="H8" t="n">
        <v>1</v>
      </c>
      <c r="K8" t="n">
        <v>2</v>
      </c>
      <c r="O8" s="72">
        <f>R8/H8</f>
        <v/>
      </c>
      <c r="R8" s="72">
        <f>Receipts!F43</f>
        <v/>
      </c>
    </row>
    <row r="9">
      <c r="A9" t="inlineStr">
        <is>
          <t>Colts (2 years)</t>
        </is>
      </c>
    </row>
    <row r="10">
      <c r="A10" t="inlineStr">
        <is>
          <t>Colts (1 year)</t>
        </is>
      </c>
    </row>
    <row r="11">
      <c r="A11" t="inlineStr">
        <is>
          <t>Foals</t>
        </is>
      </c>
    </row>
    <row r="12">
      <c r="A12" t="inlineStr">
        <is>
          <t>Oxen</t>
        </is>
      </c>
      <c r="B12" t="n">
        <v>36</v>
      </c>
      <c r="C12">
        <f>2+1+12</f>
        <v/>
      </c>
      <c r="H12" t="n">
        <v>13</v>
      </c>
      <c r="I12" t="n">
        <v>3</v>
      </c>
      <c r="K12" t="n">
        <v>35</v>
      </c>
      <c r="O12" s="72">
        <f>R12/H12</f>
        <v/>
      </c>
      <c r="R12" s="72">
        <f>Receipts!F45+Receipts!F46+Receipts!F47</f>
        <v/>
      </c>
    </row>
    <row r="13">
      <c r="A13" t="inlineStr">
        <is>
          <t>Bulls</t>
        </is>
      </c>
      <c r="B13" t="n">
        <v>1</v>
      </c>
      <c r="K13" t="n">
        <v>1</v>
      </c>
    </row>
    <row r="14">
      <c r="A14" t="inlineStr">
        <is>
          <t>Cows</t>
        </is>
      </c>
      <c r="B14" t="n">
        <v>18</v>
      </c>
      <c r="I14">
        <f>2+2</f>
        <v/>
      </c>
      <c r="K14" t="n">
        <v>14</v>
      </c>
    </row>
    <row r="15">
      <c r="A15" t="inlineStr">
        <is>
          <t>Steers</t>
        </is>
      </c>
      <c r="B15" t="n">
        <v>5</v>
      </c>
      <c r="I15" t="n">
        <v>3</v>
      </c>
      <c r="J15" t="n">
        <v>2</v>
      </c>
      <c r="K15" t="n">
        <v>5</v>
      </c>
    </row>
    <row r="16">
      <c r="A16" t="inlineStr">
        <is>
          <t>Bullocks</t>
        </is>
      </c>
      <c r="B16" t="n">
        <v>6</v>
      </c>
      <c r="H16" t="n">
        <v>1</v>
      </c>
      <c r="I16" t="n">
        <v>2</v>
      </c>
      <c r="K16" t="n">
        <v>3</v>
      </c>
      <c r="O16" s="72">
        <f>R16/H16</f>
        <v/>
      </c>
      <c r="R16" s="72">
        <f>Receipts!F48</f>
        <v/>
      </c>
    </row>
    <row r="17">
      <c r="A17" t="inlineStr">
        <is>
          <t>Yearlings</t>
        </is>
      </c>
      <c r="B17" t="n">
        <v>9</v>
      </c>
      <c r="K17" t="n">
        <v>9</v>
      </c>
    </row>
    <row r="18">
      <c r="A18" t="inlineStr">
        <is>
          <t>Calves</t>
        </is>
      </c>
      <c r="B18" t="n">
        <v>14</v>
      </c>
      <c r="I18" t="n">
        <v>7</v>
      </c>
      <c r="J18" t="n">
        <v>1</v>
      </c>
      <c r="K18" t="n">
        <v>6</v>
      </c>
    </row>
    <row r="19">
      <c r="A19" t="inlineStr">
        <is>
          <t>Wethers</t>
        </is>
      </c>
    </row>
    <row r="20">
      <c r="A20" t="inlineStr">
        <is>
          <t>Rams</t>
        </is>
      </c>
    </row>
    <row r="21">
      <c r="A21" t="inlineStr">
        <is>
          <t>Ewes</t>
        </is>
      </c>
    </row>
    <row r="22">
      <c r="A22" t="inlineStr">
        <is>
          <t>Hoggs</t>
        </is>
      </c>
    </row>
    <row r="23">
      <c r="A23" t="inlineStr">
        <is>
          <t>Lambs</t>
        </is>
      </c>
    </row>
    <row r="24">
      <c r="A24" t="inlineStr">
        <is>
          <t>Boars</t>
        </is>
      </c>
    </row>
    <row r="25">
      <c r="A25" t="inlineStr">
        <is>
          <t>Sows</t>
        </is>
      </c>
    </row>
    <row r="26">
      <c r="A26" t="inlineStr">
        <is>
          <t>Pigs</t>
        </is>
      </c>
      <c r="B26" t="n">
        <v>16</v>
      </c>
      <c r="C26" t="n">
        <v>38</v>
      </c>
      <c r="H26" t="n">
        <v>25</v>
      </c>
      <c r="I26" t="n">
        <v>2</v>
      </c>
      <c r="K26" t="n">
        <v>27</v>
      </c>
      <c r="O26" s="72">
        <f>R26/H26</f>
        <v/>
      </c>
      <c r="R26" s="72">
        <f>Receipts!F50+Receipts!F49</f>
        <v/>
      </c>
    </row>
    <row r="27">
      <c r="A27" t="inlineStr">
        <is>
          <t>Hoggets</t>
        </is>
      </c>
      <c r="B27" t="n">
        <v>38</v>
      </c>
      <c r="J27" t="n">
        <v>38</v>
      </c>
      <c r="K27" t="n">
        <v>0</v>
      </c>
    </row>
    <row r="28">
      <c r="A28" t="inlineStr">
        <is>
          <t>Piglets</t>
        </is>
      </c>
      <c r="C28">
        <f>14+13+17</f>
        <v/>
      </c>
      <c r="I28" t="n">
        <v>8</v>
      </c>
      <c r="J28" t="n">
        <v>4</v>
      </c>
      <c r="K28" t="n">
        <v>32</v>
      </c>
    </row>
    <row r="29">
      <c r="A29" t="inlineStr">
        <is>
          <t>Swans</t>
        </is>
      </c>
    </row>
    <row r="30">
      <c r="A30" t="inlineStr">
        <is>
          <t>Peacocks</t>
        </is>
      </c>
    </row>
    <row r="31" ht="16" customHeight="1">
      <c r="A31" s="67" t="inlineStr">
        <is>
          <t>Total Value</t>
        </is>
      </c>
      <c r="O31" s="139" t="n"/>
      <c r="R31" s="39">
        <f>SUM(R6:R30)</f>
        <v/>
      </c>
    </row>
    <row r="32"/>
    <row r="33"/>
    <row r="34" ht="17" customHeight="1">
      <c r="A34" s="66" t="inlineStr">
        <is>
          <t>Wool</t>
        </is>
      </c>
    </row>
    <row r="35">
      <c r="A35" t="inlineStr">
        <is>
          <t>Coarse wool</t>
        </is>
      </c>
    </row>
    <row r="36">
      <c r="A36" t="inlineStr">
        <is>
          <t>Lamb's wool</t>
        </is>
      </c>
    </row>
    <row r="37">
      <c r="A37" t="inlineStr">
        <is>
          <t>Wool locks</t>
        </is>
      </c>
    </row>
    <row r="38">
      <c r="A38" t="inlineStr">
        <is>
          <t>Wool sold at shearing</t>
        </is>
      </c>
    </row>
    <row r="39" ht="16" customHeight="1">
      <c r="A39" s="67" t="inlineStr">
        <is>
          <t>Total wool</t>
        </is>
      </c>
      <c r="O39" s="139" t="n"/>
    </row>
    <row r="40"/>
    <row r="41"/>
    <row r="42" ht="17" customHeight="1">
      <c r="A42" s="66" t="inlineStr">
        <is>
          <t>Hides</t>
        </is>
      </c>
    </row>
    <row r="43">
      <c r="A43" t="inlineStr">
        <is>
          <t>Ox hides</t>
        </is>
      </c>
      <c r="C43" t="n">
        <v>3</v>
      </c>
      <c r="H43" t="n">
        <v>3</v>
      </c>
      <c r="K43" t="n">
        <v>0</v>
      </c>
      <c r="O43" s="72">
        <f>R43/H43</f>
        <v/>
      </c>
      <c r="R43" s="72">
        <f>Receipts!F51</f>
        <v/>
      </c>
    </row>
    <row r="44">
      <c r="A44" t="inlineStr">
        <is>
          <t>cows</t>
        </is>
      </c>
      <c r="C44" t="n">
        <v>4</v>
      </c>
      <c r="H44" t="n">
        <v>4</v>
      </c>
      <c r="K44" t="n">
        <v>0</v>
      </c>
      <c r="O44" s="72">
        <f>R44/H44</f>
        <v/>
      </c>
      <c r="R44" s="72">
        <f>Receipts!F52</f>
        <v/>
      </c>
    </row>
    <row r="45">
      <c r="A45" t="inlineStr">
        <is>
          <t>heifer</t>
        </is>
      </c>
      <c r="C45" t="n">
        <v>3</v>
      </c>
      <c r="H45" t="n">
        <v>3</v>
      </c>
      <c r="K45" t="n">
        <v>0</v>
      </c>
      <c r="O45" s="72">
        <f>R45/H45</f>
        <v/>
      </c>
      <c r="R45" s="72">
        <f>Receipts!F53</f>
        <v/>
      </c>
    </row>
    <row r="46">
      <c r="A46" t="inlineStr">
        <is>
          <t>bullocks</t>
        </is>
      </c>
      <c r="C46" t="n">
        <v>2</v>
      </c>
      <c r="H46" t="n">
        <v>2</v>
      </c>
      <c r="K46" t="n">
        <v>0</v>
      </c>
      <c r="O46" s="72">
        <f>R46/H46</f>
        <v/>
      </c>
      <c r="R46" s="72">
        <f>Receipts!F54</f>
        <v/>
      </c>
    </row>
    <row r="47">
      <c r="A47" t="inlineStr">
        <is>
          <t>mare</t>
        </is>
      </c>
    </row>
    <row r="48">
      <c r="A48" t="inlineStr">
        <is>
          <t>steer</t>
        </is>
      </c>
    </row>
    <row r="49">
      <c r="A49" t="inlineStr">
        <is>
          <t>calves</t>
        </is>
      </c>
      <c r="C49" t="n">
        <v>7</v>
      </c>
      <c r="H49" t="n">
        <v>7</v>
      </c>
      <c r="K49" t="n">
        <v>0</v>
      </c>
      <c r="O49" s="72">
        <f>R49/H49</f>
        <v/>
      </c>
      <c r="R49" s="72">
        <f>Receipts!F55+Receipts!F56</f>
        <v/>
      </c>
    </row>
    <row r="50">
      <c r="A50" s="68" t="inlineStr">
        <is>
          <t>pigs</t>
        </is>
      </c>
    </row>
    <row r="51">
      <c r="A51" t="inlineStr">
        <is>
          <t>Woolskins (incl. 10 in tithe)</t>
        </is>
      </c>
    </row>
    <row r="52">
      <c r="A52" s="28" t="inlineStr">
        <is>
          <t>wethers</t>
        </is>
      </c>
    </row>
    <row r="53">
      <c r="A53" s="28" t="inlineStr">
        <is>
          <t>rams</t>
        </is>
      </c>
    </row>
    <row r="54">
      <c r="A54" s="28" t="inlineStr">
        <is>
          <t>ewes</t>
        </is>
      </c>
    </row>
    <row r="55">
      <c r="A55" s="28" t="inlineStr">
        <is>
          <t>hoggs</t>
        </is>
      </c>
    </row>
    <row r="56">
      <c r="A56" s="69" t="inlineStr">
        <is>
          <t>Woolskins (excl. 10 in tithe)</t>
        </is>
      </c>
    </row>
    <row r="57">
      <c r="A57" s="43" t="inlineStr">
        <is>
          <t>Bareskins</t>
        </is>
      </c>
    </row>
    <row r="58">
      <c r="A58" s="28" t="inlineStr">
        <is>
          <t>wethers</t>
        </is>
      </c>
    </row>
    <row r="59">
      <c r="A59" s="28" t="inlineStr">
        <is>
          <t>rams</t>
        </is>
      </c>
    </row>
    <row r="60">
      <c r="A60" s="28" t="inlineStr">
        <is>
          <t>ewes</t>
        </is>
      </c>
    </row>
    <row r="61">
      <c r="A61" s="28" t="inlineStr">
        <is>
          <t>hoggs</t>
        </is>
      </c>
    </row>
    <row r="62">
      <c r="A62" s="69" t="inlineStr">
        <is>
          <t>Bareskins (total)</t>
        </is>
      </c>
    </row>
    <row r="63">
      <c r="A63" t="inlineStr">
        <is>
          <t>Lambskins (excl. 8 in tithe)</t>
        </is>
      </c>
    </row>
    <row r="64">
      <c r="A64" t="inlineStr">
        <is>
          <t>Rotted skins</t>
        </is>
      </c>
    </row>
    <row r="65">
      <c r="A65" t="inlineStr">
        <is>
          <t>Shorn skins</t>
        </is>
      </c>
    </row>
    <row r="66">
      <c r="A66" s="39" t="inlineStr">
        <is>
          <t xml:space="preserve">Total </t>
        </is>
      </c>
      <c r="O66" s="139" t="n"/>
      <c r="R66" s="139">
        <f>SUM(R43:R65)</f>
        <v/>
      </c>
    </row>
    <row r="67"/>
    <row r="68"/>
    <row r="69" ht="17" customHeight="1">
      <c r="A69" s="66" t="inlineStr">
        <is>
          <t>Poultry stock</t>
        </is>
      </c>
    </row>
    <row r="70" ht="16" customHeight="1">
      <c r="A70" s="44" t="inlineStr">
        <is>
          <t>Hens</t>
        </is>
      </c>
    </row>
    <row r="71">
      <c r="A71" t="inlineStr">
        <is>
          <t>Geese</t>
        </is>
      </c>
    </row>
    <row r="72">
      <c r="A72" t="inlineStr">
        <is>
          <t>Capons (from chickens)</t>
        </is>
      </c>
    </row>
    <row r="73">
      <c r="A73" t="inlineStr">
        <is>
          <t>Cocks &amp; hens</t>
        </is>
      </c>
    </row>
    <row r="74">
      <c r="A74" s="70" t="inlineStr">
        <is>
          <t>Total poultry stock</t>
        </is>
      </c>
    </row>
    <row r="75">
      <c r="A75" s="71" t="inlineStr">
        <is>
          <t>Total poultry excluding churchscot</t>
        </is>
      </c>
    </row>
    <row r="76"/>
    <row r="77" ht="16" customHeight="1">
      <c r="A77" s="12" t="inlineStr">
        <is>
          <t>Poultry production</t>
        </is>
      </c>
    </row>
    <row r="78">
      <c r="A78" t="inlineStr">
        <is>
          <t>Eggs</t>
        </is>
      </c>
    </row>
    <row r="79">
      <c r="A79" t="inlineStr">
        <is>
          <t>Cocks &amp; hens from churchscot of customary tenants</t>
        </is>
      </c>
    </row>
    <row r="80">
      <c r="A80" t="inlineStr">
        <is>
          <t>Sum of above</t>
        </is>
      </c>
    </row>
    <row r="81">
      <c r="A81" s="70" t="inlineStr">
        <is>
          <t>Total</t>
        </is>
      </c>
    </row>
    <row r="82"/>
    <row r="83"/>
    <row r="84" ht="16" customHeight="1">
      <c r="A84" s="12" t="inlineStr">
        <is>
          <t>Meat</t>
        </is>
      </c>
    </row>
    <row r="85">
      <c r="A85" t="inlineStr">
        <is>
          <t>Beef</t>
        </is>
      </c>
    </row>
    <row r="86">
      <c r="A86" t="inlineStr">
        <is>
          <t>Mutton</t>
        </is>
      </c>
    </row>
    <row r="87">
      <c r="A87" t="inlineStr">
        <is>
          <t>Pork</t>
        </is>
      </c>
    </row>
    <row r="88" ht="16" customHeight="1">
      <c r="A88" s="57" t="inlineStr">
        <is>
          <t xml:space="preserve">Total </t>
        </is>
      </c>
    </row>
    <row r="89"/>
    <row r="90" ht="16" customHeight="1">
      <c r="A90" s="12" t="inlineStr">
        <is>
          <t>Cheese</t>
        </is>
      </c>
    </row>
    <row r="91">
      <c r="A91" t="inlineStr">
        <is>
          <t>Winter cheese</t>
        </is>
      </c>
      <c r="C91" t="n">
        <v>19</v>
      </c>
      <c r="H91" t="n">
        <v>19</v>
      </c>
      <c r="K91" t="n">
        <v>0</v>
      </c>
      <c r="R91" s="72">
        <f>Receipts!F58</f>
        <v/>
      </c>
    </row>
    <row r="92">
      <c r="A92" t="inlineStr">
        <is>
          <t>Summer cheese</t>
        </is>
      </c>
      <c r="C92" t="n">
        <v>162</v>
      </c>
      <c r="H92" t="n">
        <v>141</v>
      </c>
      <c r="J92">
        <f>16+1+1+3</f>
        <v/>
      </c>
      <c r="K92" t="n">
        <v>0</v>
      </c>
      <c r="R92" s="72">
        <f>Receipts!F59</f>
        <v/>
      </c>
    </row>
    <row r="93" ht="16" customHeight="1">
      <c r="A93" s="67" t="inlineStr">
        <is>
          <t>Total</t>
        </is>
      </c>
      <c r="O93" s="139" t="n"/>
      <c r="R93" s="139">
        <f>SUM(R91:R92)</f>
        <v/>
      </c>
    </row>
    <row r="94"/>
    <row r="95" ht="16" customHeight="1">
      <c r="A95" s="12" t="inlineStr">
        <is>
          <t>Butter</t>
        </is>
      </c>
    </row>
    <row r="96">
      <c r="A96" t="inlineStr">
        <is>
          <t>Butter</t>
        </is>
      </c>
      <c r="R96" s="72">
        <f>Receipts!F60</f>
        <v/>
      </c>
    </row>
    <row r="97" ht="16" customHeight="1">
      <c r="A97" s="67" t="inlineStr">
        <is>
          <t>Total</t>
        </is>
      </c>
      <c r="O97" s="139" t="n"/>
      <c r="R97" s="139">
        <f>SUM(R96)</f>
        <v/>
      </c>
    </row>
    <row r="98" ht="16" customHeight="1">
      <c r="A98" s="13" t="n"/>
    </row>
    <row r="99" ht="16" customHeight="1">
      <c r="A99" s="57" t="inlineStr">
        <is>
          <t>Total Dairy Sales</t>
        </is>
      </c>
      <c r="O99" s="140" t="n"/>
    </row>
    <row r="100"/>
    <row r="101"/>
    <row r="102" ht="16" customHeight="1">
      <c r="A102" s="12" t="inlineStr">
        <is>
          <t>Cider</t>
        </is>
      </c>
    </row>
    <row r="103">
      <c r="A103" t="inlineStr">
        <is>
          <t>Cider</t>
        </is>
      </c>
      <c r="B103" t="n">
        <v>2</v>
      </c>
      <c r="C103" t="n">
        <v>2</v>
      </c>
      <c r="H103" t="n">
        <v>2</v>
      </c>
      <c r="K103" t="n">
        <v>2</v>
      </c>
      <c r="R103" s="72">
        <f>Receipts!F57</f>
        <v/>
      </c>
    </row>
    <row r="104">
      <c r="A104" s="39" t="inlineStr">
        <is>
          <t>Total</t>
        </is>
      </c>
      <c r="O104" s="139" t="n"/>
      <c r="R104" s="139">
        <f>SUM(R103)</f>
        <v/>
      </c>
    </row>
    <row r="105"/>
    <row r="106" ht="16" customHeight="1">
      <c r="A106" s="13" t="inlineStr">
        <is>
          <t>Additional Information (not necessarily useful)</t>
        </is>
      </c>
    </row>
    <row r="107" ht="16" customHeight="1">
      <c r="A107" s="12" t="inlineStr">
        <is>
          <t>Utensils</t>
        </is>
      </c>
    </row>
    <row r="108">
      <c r="A108" t="inlineStr">
        <is>
          <t>ploughs</t>
        </is>
      </c>
    </row>
    <row r="109">
      <c r="A109" t="inlineStr">
        <is>
          <t>carts</t>
        </is>
      </c>
    </row>
    <row r="110">
      <c r="A110" t="inlineStr">
        <is>
          <t>cart-ropes</t>
        </is>
      </c>
    </row>
    <row r="111">
      <c r="A111" t="inlineStr">
        <is>
          <t>corn baskets</t>
        </is>
      </c>
    </row>
    <row r="112">
      <c r="A112" t="inlineStr">
        <is>
          <t>seed-sacks</t>
        </is>
      </c>
    </row>
    <row r="113">
      <c r="A113" t="inlineStr">
        <is>
          <t>seed basket</t>
        </is>
      </c>
    </row>
    <row r="114">
      <c r="A114" t="inlineStr">
        <is>
          <t>locks for the doors</t>
        </is>
      </c>
    </row>
    <row r="115">
      <c r="A115" t="inlineStr">
        <is>
          <t>lead vessel</t>
        </is>
      </c>
    </row>
    <row r="116">
      <c r="A116" t="inlineStr">
        <is>
          <t>brass pots</t>
        </is>
      </c>
    </row>
    <row r="117">
      <c r="A117" t="inlineStr">
        <is>
          <t>pans</t>
        </is>
      </c>
    </row>
    <row r="118">
      <c r="A118" t="inlineStr">
        <is>
          <t>tripods</t>
        </is>
      </c>
    </row>
    <row r="119">
      <c r="A119" t="inlineStr">
        <is>
          <t>mortar</t>
        </is>
      </c>
    </row>
    <row r="120">
      <c r="A120" t="inlineStr">
        <is>
          <t>axe</t>
        </is>
      </c>
    </row>
    <row r="121">
      <c r="A121" t="inlineStr">
        <is>
          <t>casks</t>
        </is>
      </c>
    </row>
    <row r="122">
      <c r="A122" t="inlineStr">
        <is>
          <t>tubs</t>
        </is>
      </c>
    </row>
    <row r="123">
      <c r="A123" t="inlineStr">
        <is>
          <t>troughs</t>
        </is>
      </c>
    </row>
    <row r="124">
      <c r="A124" t="inlineStr">
        <is>
          <t>bucket</t>
        </is>
      </c>
    </row>
    <row r="125">
      <c r="A125" t="inlineStr">
        <is>
          <t>cheese basket</t>
        </is>
      </c>
    </row>
    <row r="126">
      <c r="A126" t="inlineStr">
        <is>
          <t>tables</t>
        </is>
      </c>
    </row>
    <row r="127">
      <c r="A127" t="inlineStr">
        <is>
          <t>table with trestles</t>
        </is>
      </c>
    </row>
    <row r="128">
      <c r="A128" t="inlineStr">
        <is>
          <t>benches</t>
        </is>
      </c>
    </row>
    <row r="129">
      <c r="A129" t="inlineStr">
        <is>
          <t>ewer with a basin</t>
        </is>
      </c>
    </row>
    <row r="130">
      <c r="A130" t="inlineStr">
        <is>
          <t>ladders</t>
        </is>
      </c>
    </row>
    <row r="131">
      <c r="A131" t="inlineStr">
        <is>
          <t>cloth</t>
        </is>
      </c>
    </row>
    <row r="132">
      <c r="A132" t="inlineStr">
        <is>
          <t>brass posnets</t>
        </is>
      </c>
    </row>
  </sheetData>
  <mergeCells count="2">
    <mergeCell ref="C3:F3"/>
    <mergeCell ref="G3:J3"/>
  </mergeCells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J298"/>
  <sheetViews>
    <sheetView topLeftCell="A1" workbookViewId="0">
      <selection activeCell="A1" sqref="A1"/>
    </sheetView>
  </sheetViews>
  <sheetFormatPr baseColWidth="8" defaultRowHeight="15"/>
  <sheetData>
    <row r="1">
      <c r="A1" s="1" t="inlineStr">
        <is>
          <t>Heading</t>
        </is>
      </c>
      <c r="B1" s="1" t="inlineStr">
        <is>
          <t>Sentence</t>
        </is>
      </c>
      <c r="C1" s="1" t="inlineStr">
        <is>
          <t>Total in Pounds</t>
        </is>
      </c>
      <c r="D1" s="1" t="inlineStr">
        <is>
          <t>Pounds</t>
        </is>
      </c>
      <c r="E1" s="1" t="inlineStr">
        <is>
          <t>Shillings</t>
        </is>
      </c>
      <c r="F1" s="1" t="inlineStr">
        <is>
          <t>Pence</t>
        </is>
      </c>
      <c r="G1" s="1" t="inlineStr">
        <is>
          <t>Corn</t>
        </is>
      </c>
      <c r="H1" s="1" t="inlineStr">
        <is>
          <t>Total Quarters Except 1</t>
        </is>
      </c>
      <c r="I1" s="1" t="inlineStr">
        <is>
          <t>Total Bushels Except 1</t>
        </is>
      </c>
      <c r="J1" s="1" t="inlineStr">
        <is>
          <t>Total Corn Cross-Check</t>
        </is>
      </c>
      <c r="K1" s="1" t="inlineStr">
        <is>
          <t>Total Corn Manorial Account</t>
        </is>
      </c>
      <c r="L1" s="1" t="inlineStr">
        <is>
          <t>Corn Quantity Error</t>
        </is>
      </c>
      <c r="M1" s="1" t="inlineStr">
        <is>
          <t>Quarters 1</t>
        </is>
      </c>
      <c r="N1" s="1" t="inlineStr">
        <is>
          <t>Bushels 1</t>
        </is>
      </c>
      <c r="O1" s="1" t="inlineStr">
        <is>
          <t>Quarters 2</t>
        </is>
      </c>
      <c r="P1" s="1" t="inlineStr">
        <is>
          <t>Bushels 2</t>
        </is>
      </c>
      <c r="Q1" s="1" t="inlineStr">
        <is>
          <t>Quarters 3</t>
        </is>
      </c>
      <c r="R1" s="1" t="inlineStr">
        <is>
          <t>Bushels 3</t>
        </is>
      </c>
      <c r="S1" s="1" t="inlineStr">
        <is>
          <t>Quarters 4</t>
        </is>
      </c>
      <c r="T1" s="1" t="inlineStr">
        <is>
          <t>Bushels 4</t>
        </is>
      </c>
      <c r="U1" s="1" t="inlineStr">
        <is>
          <t>shilling a quarter 1</t>
        </is>
      </c>
      <c r="V1" s="1" t="inlineStr">
        <is>
          <t>pence a quarter 1</t>
        </is>
      </c>
      <c r="W1" s="1" t="inlineStr">
        <is>
          <t>shilling a quarter 2</t>
        </is>
      </c>
      <c r="X1" s="1" t="inlineStr">
        <is>
          <t>pence a quarter 2</t>
        </is>
      </c>
      <c r="Y1" s="1" t="inlineStr">
        <is>
          <t>shilling a quarter 3</t>
        </is>
      </c>
      <c r="Z1" s="1" t="inlineStr">
        <is>
          <t>pence a quarter 3</t>
        </is>
      </c>
      <c r="AA1" s="1" t="inlineStr">
        <is>
          <t>shilling a quarter 4</t>
        </is>
      </c>
      <c r="AB1" s="1" t="inlineStr">
        <is>
          <t>pence a quarter 4</t>
        </is>
      </c>
      <c r="AC1" s="1" t="inlineStr">
        <is>
          <t>shilling a bushel 1</t>
        </is>
      </c>
      <c r="AD1" s="1" t="inlineStr">
        <is>
          <t>pence a bushel 1</t>
        </is>
      </c>
      <c r="AE1" s="1" t="inlineStr">
        <is>
          <t>shilling a bushel 2</t>
        </is>
      </c>
      <c r="AF1" s="1" t="inlineStr">
        <is>
          <t>pence a bushel 2</t>
        </is>
      </c>
      <c r="AG1" s="1" t="inlineStr">
        <is>
          <t>shilling a bushel 3</t>
        </is>
      </c>
      <c r="AH1" s="1" t="inlineStr">
        <is>
          <t>pence a bushel 3</t>
        </is>
      </c>
      <c r="AI1" s="1" t="inlineStr">
        <is>
          <t>shilling a bushel 4</t>
        </is>
      </c>
      <c r="AJ1" s="1" t="inlineStr">
        <is>
          <t>pence a bushel 4</t>
        </is>
      </c>
    </row>
    <row r="2">
      <c r="A2" t="inlineStr">
        <is>
          <t>Rents of assize</t>
        </is>
      </c>
      <c r="B2" t="inlineStr">
        <is>
          <t>Henry le Whyte and Robert Boye, reeve of Rimpton, render account for £14 shilling 6pence for rents at Christmas.</t>
        </is>
      </c>
      <c r="C2" t="n">
        <v>14</v>
      </c>
      <c r="D2" t="n">
        <v>14</v>
      </c>
      <c r="E2" t="n">
        <v>0</v>
      </c>
      <c r="F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</row>
    <row r="3">
      <c r="A3" t="inlineStr">
        <is>
          <t>Rents of assize</t>
        </is>
      </c>
      <c r="B3" t="inlineStr">
        <is>
          <t>£1 4 shilling 6pence at Easter (22 April).</t>
        </is>
      </c>
      <c r="C3" t="n">
        <v>1.22</v>
      </c>
      <c r="D3" t="n">
        <v>1</v>
      </c>
      <c r="E3" t="n">
        <v>4</v>
      </c>
      <c r="F3" t="n">
        <v>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</row>
    <row r="4">
      <c r="A4" t="inlineStr">
        <is>
          <t>Rents of assize</t>
        </is>
      </c>
      <c r="B4" t="inlineStr">
        <is>
          <t>£1 4 shilling 6pence at the Nativity of the blessed John the Baptist (24 June).</t>
        </is>
      </c>
      <c r="C4" t="n">
        <v>1.22</v>
      </c>
      <c r="D4" t="n">
        <v>1</v>
      </c>
      <c r="E4" t="n">
        <v>4</v>
      </c>
      <c r="F4" t="n">
        <v>6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Rents of assize</t>
        </is>
      </c>
      <c r="B5" t="inlineStr">
        <is>
          <t>£1 4 shilling 6pence at Michaelmas (29 September).</t>
        </is>
      </c>
      <c r="C5" t="n">
        <v>1.22</v>
      </c>
      <c r="D5" t="n">
        <v>1</v>
      </c>
      <c r="E5" t="n">
        <v>4</v>
      </c>
      <c r="F5" t="n">
        <v>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</row>
    <row r="6">
      <c r="A6" t="inlineStr">
        <is>
          <t>Rents of assize</t>
        </is>
      </c>
      <c r="B6" t="inlineStr">
        <is>
          <t>Total, £4 18 shilling</t>
        </is>
      </c>
      <c r="C6" t="n">
        <v>4.9</v>
      </c>
      <c r="D6" t="n">
        <v>4</v>
      </c>
      <c r="E6" t="n">
        <v>18</v>
      </c>
      <c r="F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Quittances</t>
        </is>
      </c>
      <c r="B7" t="inlineStr">
        <is>
          <t>In quittance of 1 reeve for the year 3 shilling.</t>
        </is>
      </c>
      <c r="C7" t="n">
        <v>0.15</v>
      </c>
      <c r="D7" t="n">
        <v>0</v>
      </c>
      <c r="E7" t="n">
        <v>3</v>
      </c>
      <c r="F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Quittances</t>
        </is>
      </c>
      <c r="B8" t="inlineStr">
        <is>
          <t>4 ploughmen, 2 ox-drovers for the year 12 shilling.</t>
        </is>
      </c>
      <c r="C8" t="n">
        <v>0.6</v>
      </c>
      <c r="D8" t="n">
        <v>0</v>
      </c>
      <c r="E8" t="n">
        <v>12</v>
      </c>
      <c r="F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t="inlineStr">
        <is>
          <t>Quittances</t>
        </is>
      </c>
      <c r="B9" t="inlineStr">
        <is>
          <t>18 workers who harrowed, gripped, dug, threshed corn, mowed meadows, tossed and carried hay, reaped and carried corn at harvest-time, and did other necessary work, £1 16 shilling for the year, or 2 shilling each.</t>
        </is>
      </c>
      <c r="C9" t="n">
        <v>1.8</v>
      </c>
      <c r="D9" t="n">
        <v>1</v>
      </c>
      <c r="E9" t="n">
        <v>16</v>
      </c>
      <c r="F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t="inlineStr">
        <is>
          <t>Quittances</t>
        </is>
      </c>
      <c r="B10" t="inlineStr">
        <is>
          <t>Total, £2 11 shilling</t>
        </is>
      </c>
      <c r="C10" t="n">
        <v>2.55</v>
      </c>
      <c r="D10" t="n">
        <v>2</v>
      </c>
      <c r="E10" t="n">
        <v>11</v>
      </c>
      <c r="F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t="inlineStr">
        <is>
          <t>Defaults of rent</t>
        </is>
      </c>
      <c r="B11" t="inlineStr">
        <is>
          <t>In default of the house and curtilage of John de Molendino because it is in demesne 1 shilling Total, 1 shilling</t>
        </is>
      </c>
      <c r="C11" t="n">
        <v>0.05</v>
      </c>
      <c r="D11" t="n">
        <v>0</v>
      </c>
      <c r="E11" t="n">
        <v>1</v>
      </c>
      <c r="F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t="inlineStr">
        <is>
          <t>Total of quittances and defaults of rent</t>
        </is>
      </c>
      <c r="B12" t="inlineStr">
        <is>
          <t>Total of quittances and defaults of rent, £2 12 shilling</t>
        </is>
      </c>
      <c r="C12" t="n">
        <v>2.6</v>
      </c>
      <c r="D12" t="n">
        <v>2</v>
      </c>
      <c r="E12" t="n">
        <v>12</v>
      </c>
      <c r="F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t="inlineStr">
        <is>
          <t>Total of rents remaining</t>
        </is>
      </c>
      <c r="B13" t="inlineStr">
        <is>
          <t>Total of rents remaining, £2 6 shilling</t>
        </is>
      </c>
      <c r="C13" t="n">
        <v>2.3</v>
      </c>
      <c r="D13" t="n">
        <v>2</v>
      </c>
      <c r="E13" t="n">
        <v>6</v>
      </c>
      <c r="F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t="inlineStr">
        <is>
          <t>Issues of the manor</t>
        </is>
      </c>
      <c r="B14" t="inlineStr">
        <is>
          <t>The same render account for 4 shilling 9.5pence from pannage of 48 pigs and 19 hoggets this year, at 1pence a pig and 0.5pence a hogget.</t>
        </is>
      </c>
      <c r="C14" t="n">
        <v>0.24</v>
      </c>
      <c r="D14" t="n">
        <v>0</v>
      </c>
      <c r="E14" t="n">
        <v>4</v>
      </c>
      <c r="F14" t="n">
        <v>9.5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t="inlineStr">
        <is>
          <t>Issues of the manor</t>
        </is>
      </c>
      <c r="B15" t="inlineStr">
        <is>
          <t>3 shilling from churchscot at Martinmas (11 November).</t>
        </is>
      </c>
      <c r="C15" t="n">
        <v>0.15</v>
      </c>
      <c r="D15" t="n">
        <v>0</v>
      </c>
      <c r="E15" t="n">
        <v>3</v>
      </c>
      <c r="F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t="inlineStr">
        <is>
          <t>Issues of the manor</t>
        </is>
      </c>
      <c r="B16" t="inlineStr">
        <is>
          <t>8 shilling 6pence from the pasturage of 17 oxen sold in winter.</t>
        </is>
      </c>
      <c r="C16" t="n">
        <v>0.43</v>
      </c>
      <c r="D16" t="n">
        <v>0</v>
      </c>
      <c r="E16" t="n">
        <v>8</v>
      </c>
      <c r="F16" t="n">
        <v>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t="inlineStr">
        <is>
          <t>Issues of the manor</t>
        </is>
      </c>
      <c r="B17" t="inlineStr">
        <is>
          <t>9 shilling 4pence from the pasturage of 24 plough-horses and 8 colts sold after Martinmas, at 4pence a plough-horse and 2pence a colt.</t>
        </is>
      </c>
      <c r="C17" t="n">
        <v>0.47</v>
      </c>
      <c r="D17" t="n">
        <v>0</v>
      </c>
      <c r="E17" t="n">
        <v>9</v>
      </c>
      <c r="F17" t="n">
        <v>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t="inlineStr">
        <is>
          <t>Issues of the manor</t>
        </is>
      </c>
      <c r="B18" t="inlineStr">
        <is>
          <t>nothing from the pasturage of la Grutte for the lord's stock.</t>
        </is>
      </c>
      <c r="C18" t="n">
        <v>0</v>
      </c>
      <c r="D18" t="n">
        <v>0</v>
      </c>
      <c r="E18" t="n">
        <v>0</v>
      </c>
      <c r="F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t="inlineStr">
        <is>
          <t>Issues of the manor</t>
        </is>
      </c>
      <c r="B19" t="inlineStr">
        <is>
          <t>2 shilling from the pasturage of Alsyesham sold in summer.</t>
        </is>
      </c>
      <c r="C19" t="n">
        <v>0.1</v>
      </c>
      <c r="D19" t="n">
        <v>0</v>
      </c>
      <c r="E19" t="n">
        <v>2</v>
      </c>
      <c r="F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t="inlineStr">
        <is>
          <t>Issues of the manor</t>
        </is>
      </c>
      <c r="B20" t="inlineStr">
        <is>
          <t>6pence from the pasturage sold at Oclefurlong and not more because the field was sown with summer corn (tremes') this year.</t>
        </is>
      </c>
      <c r="C20" t="n">
        <v>0.03</v>
      </c>
      <c r="D20" t="n">
        <v>0</v>
      </c>
      <c r="E20" t="n">
        <v>0</v>
      </c>
      <c r="F20" t="n">
        <v>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t="inlineStr">
        <is>
          <t>Issues of the manor</t>
        </is>
      </c>
      <c r="B21" t="inlineStr">
        <is>
          <t>1 shilling 2pence from the pasturage of la Portweye this year.</t>
        </is>
      </c>
      <c r="C21" t="n">
        <v>0.06</v>
      </c>
      <c r="D21" t="n">
        <v>0</v>
      </c>
      <c r="E21" t="n">
        <v>1</v>
      </c>
      <c r="F21" t="n">
        <v>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t="inlineStr">
        <is>
          <t>Issues of the manor</t>
        </is>
      </c>
      <c r="B22" t="inlineStr">
        <is>
          <t>1 shilling 6pence from the pasturage of Wetenegarston'.</t>
        </is>
      </c>
      <c r="C22" t="n">
        <v>0.08</v>
      </c>
      <c r="D22" t="n">
        <v>0</v>
      </c>
      <c r="E22" t="n">
        <v>1</v>
      </c>
      <c r="F22" t="n">
        <v>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t="inlineStr">
        <is>
          <t>Issues of the manor</t>
        </is>
      </c>
      <c r="B23" t="inlineStr">
        <is>
          <t>10pence from the pasturage of Parva Sterte sold this year.</t>
        </is>
      </c>
      <c r="C23" t="n">
        <v>0.04</v>
      </c>
      <c r="D23" t="n">
        <v>0</v>
      </c>
      <c r="E23" t="n">
        <v>0</v>
      </c>
      <c r="F23" t="n">
        <v>10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inlineStr">
        <is>
          <t>Issues of the manor</t>
        </is>
      </c>
      <c r="B24" t="inlineStr">
        <is>
          <t>1 shilling 2pence from the pasturage of Magna Sterte.</t>
        </is>
      </c>
      <c r="C24" t="n">
        <v>0.06</v>
      </c>
      <c r="D24" t="n">
        <v>0</v>
      </c>
      <c r="E24" t="n">
        <v>1</v>
      </c>
      <c r="F24" t="n">
        <v>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t="inlineStr">
        <is>
          <t>Issues of the manor</t>
        </is>
      </c>
      <c r="B25" t="inlineStr">
        <is>
          <t>nothing from the pasturage beside la Marlygputte this year because it is fallow.</t>
        </is>
      </c>
      <c r="C25" t="n">
        <v>0</v>
      </c>
      <c r="D25" t="n">
        <v>0</v>
      </c>
      <c r="E25" t="n">
        <v>0</v>
      </c>
      <c r="F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t="inlineStr">
        <is>
          <t>Issues of the manor</t>
        </is>
      </c>
      <c r="B26" t="inlineStr">
        <is>
          <t>1 shilling 4pence from the pasturage of Bar-weyerewe.</t>
        </is>
      </c>
      <c r="C26" t="n">
        <v>0.07000000000000001</v>
      </c>
      <c r="D26" t="n">
        <v>0</v>
      </c>
      <c r="E26" t="n">
        <v>1</v>
      </c>
      <c r="F26" t="n">
        <v>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inlineStr">
        <is>
          <t>Issues of the manor</t>
        </is>
      </c>
      <c r="B27" t="inlineStr">
        <is>
          <t>8pence from the pasturage of Hamstedereweye sold.</t>
        </is>
      </c>
      <c r="C27" t="n">
        <v>0.03</v>
      </c>
      <c r="D27" t="n">
        <v>0</v>
      </c>
      <c r="E27" t="n">
        <v>0</v>
      </c>
      <c r="F27" t="n">
        <v>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t="inlineStr">
        <is>
          <t>Issues of the manor</t>
        </is>
      </c>
      <c r="B28" t="inlineStr">
        <is>
          <t>nothing from the pasturage beside the dovecote because it is fallow.</t>
        </is>
      </c>
      <c r="C28" t="n">
        <v>0</v>
      </c>
      <c r="D28" t="n">
        <v>0</v>
      </c>
      <c r="E28" t="n">
        <v>0</v>
      </c>
      <c r="F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t="inlineStr">
        <is>
          <t>Issues of the manor</t>
        </is>
      </c>
      <c r="B29" t="inlineStr">
        <is>
          <t>6pence from the pasturage beside the house of John de Molendino.</t>
        </is>
      </c>
      <c r="C29" t="n">
        <v>0.03</v>
      </c>
      <c r="D29" t="n">
        <v>0</v>
      </c>
      <c r="E29" t="n">
        <v>0</v>
      </c>
      <c r="F29" t="n">
        <v>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t="inlineStr">
        <is>
          <t>Issues of the manor</t>
        </is>
      </c>
      <c r="B30" t="inlineStr">
        <is>
          <t>6 shilling 10pence from the herbage for 68 plough-horses and 28 bullocks sold in the wood between Hockday (1 May) and Lammas (1 August), at 1pence a plough-horse, 0.5pence a bullock.</t>
        </is>
      </c>
      <c r="C30" t="n">
        <v>0.34</v>
      </c>
      <c r="D30" t="n">
        <v>0</v>
      </c>
      <c r="E30" t="n">
        <v>6</v>
      </c>
      <c r="F30" t="n">
        <v>10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t="inlineStr">
        <is>
          <t>Issues of the manor</t>
        </is>
      </c>
      <c r="B31" t="inlineStr">
        <is>
          <t>9 shilling 3pence from 1 male colt aged 2 years sold in summer.</t>
        </is>
      </c>
      <c r="C31" t="n">
        <v>0.46</v>
      </c>
      <c r="D31" t="n">
        <v>0</v>
      </c>
      <c r="E31" t="n">
        <v>9</v>
      </c>
      <c r="F31" t="n">
        <v>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t="inlineStr">
        <is>
          <t>Issues of the manor</t>
        </is>
      </c>
      <c r="B32" t="inlineStr">
        <is>
          <t>6 shilling 4pence from 1 female plough-horse from strays.</t>
        </is>
      </c>
      <c r="C32" t="n">
        <v>0.32</v>
      </c>
      <c r="D32" t="n">
        <v>0</v>
      </c>
      <c r="E32" t="n">
        <v>6</v>
      </c>
      <c r="F32" t="n">
        <v>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t="inlineStr">
        <is>
          <t>Issues of the manor</t>
        </is>
      </c>
      <c r="B33" t="inlineStr">
        <is>
          <t>£1 14 shilling from 3 oxen sold in Lent, at 11 shilling 4pence each.</t>
        </is>
      </c>
      <c r="C33" t="n">
        <v>1.7</v>
      </c>
      <c r="D33" t="n">
        <v>1</v>
      </c>
      <c r="E33" t="n">
        <v>14</v>
      </c>
      <c r="F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</row>
    <row r="34">
      <c r="A34" t="inlineStr">
        <is>
          <t>Issues of the manor</t>
        </is>
      </c>
      <c r="B34" t="inlineStr">
        <is>
          <t>£1 16 shilling from 4 oxen sold in summer, at 9 shilling each.</t>
        </is>
      </c>
      <c r="C34" t="n">
        <v>1.8</v>
      </c>
      <c r="D34" t="n">
        <v>1</v>
      </c>
      <c r="E34" t="n">
        <v>16</v>
      </c>
      <c r="F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</row>
    <row r="35">
      <c r="A35" t="inlineStr">
        <is>
          <t>Issues of the manor</t>
        </is>
      </c>
      <c r="B35" t="inlineStr">
        <is>
          <t>£2 9 shilling from 6 oxen sold because sick, at 8 shilling 2pence each.</t>
        </is>
      </c>
      <c r="C35" t="n">
        <v>2.45</v>
      </c>
      <c r="D35" t="n">
        <v>2</v>
      </c>
      <c r="E35" t="n">
        <v>9</v>
      </c>
      <c r="F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</row>
    <row r="36">
      <c r="A36" t="inlineStr">
        <is>
          <t>Issues of the manor</t>
        </is>
      </c>
      <c r="B36" t="inlineStr">
        <is>
          <t>3 shilling 10pence from 1 young heifer (boviculo fem') sold in Lent.</t>
        </is>
      </c>
      <c r="C36" t="n">
        <v>0.19</v>
      </c>
      <c r="D36" t="n">
        <v>0</v>
      </c>
      <c r="E36" t="n">
        <v>3</v>
      </c>
      <c r="F36" t="n">
        <v>10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</row>
    <row r="37">
      <c r="A37" t="inlineStr">
        <is>
          <t>Issues of the manor</t>
        </is>
      </c>
      <c r="B37" t="inlineStr">
        <is>
          <t>£3 from 20 pigs sold at Martinmas, at 3 shilling each.</t>
        </is>
      </c>
      <c r="C37" t="n">
        <v>3</v>
      </c>
      <c r="D37" t="n">
        <v>3</v>
      </c>
      <c r="E37" t="n">
        <v>0</v>
      </c>
      <c r="F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</row>
    <row r="38">
      <c r="A38" t="inlineStr">
        <is>
          <t>Issues of the manor</t>
        </is>
      </c>
      <c r="B38" t="inlineStr">
        <is>
          <t>13 shilling 4pence from 5 pigs sold, at 2 shilling 8pence each.</t>
        </is>
      </c>
      <c r="C38" t="n">
        <v>0.67</v>
      </c>
      <c r="D38" t="n">
        <v>0</v>
      </c>
      <c r="E38" t="n">
        <v>13</v>
      </c>
      <c r="F38" t="n">
        <v>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</row>
    <row r="39">
      <c r="A39" t="inlineStr">
        <is>
          <t>Issues of the manor</t>
        </is>
      </c>
      <c r="B39" t="inlineStr">
        <is>
          <t>9 shilling 4pence from the hides sold of 3 oxen in murrain.</t>
        </is>
      </c>
      <c r="C39" t="n">
        <v>0.47</v>
      </c>
      <c r="D39" t="n">
        <v>0</v>
      </c>
      <c r="E39" t="n">
        <v>9</v>
      </c>
      <c r="F39" t="n">
        <v>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</row>
    <row r="40">
      <c r="A40" t="inlineStr">
        <is>
          <t>Issues of the manor</t>
        </is>
      </c>
      <c r="B40" t="inlineStr">
        <is>
          <t>5 shilling 6pence from the hides sold of 4 cows in murrain.</t>
        </is>
      </c>
      <c r="C40" t="n">
        <v>0.28</v>
      </c>
      <c r="D40" t="n">
        <v>0</v>
      </c>
      <c r="E40" t="n">
        <v>5</v>
      </c>
      <c r="F40" t="n">
        <v>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</row>
    <row r="41">
      <c r="A41" t="inlineStr">
        <is>
          <t>Issues of the manor</t>
        </is>
      </c>
      <c r="B41" t="inlineStr">
        <is>
          <t>3 shilling 4pence from the hides sold of 3 heifers (juvenc') in murrain.</t>
        </is>
      </c>
      <c r="C41" t="n">
        <v>0.17</v>
      </c>
      <c r="D41" t="n">
        <v>0</v>
      </c>
      <c r="E41" t="n">
        <v>3</v>
      </c>
      <c r="F41" t="n">
        <v>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</row>
    <row r="42">
      <c r="A42" t="inlineStr">
        <is>
          <t>Issues of the manor</t>
        </is>
      </c>
      <c r="B42" t="inlineStr">
        <is>
          <t>1 shilling 10pence from the hides sold of 2 young heifers in murrain.</t>
        </is>
      </c>
      <c r="C42" t="n">
        <v>0.09</v>
      </c>
      <c r="D42" t="n">
        <v>0</v>
      </c>
      <c r="E42" t="n">
        <v>1</v>
      </c>
      <c r="F42" t="n">
        <v>10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</row>
    <row r="43">
      <c r="A43" t="inlineStr">
        <is>
          <t>Issues of the manor</t>
        </is>
      </c>
      <c r="B43" t="inlineStr">
        <is>
          <t>6pence from the hides sold of 3 calves in murrain.</t>
        </is>
      </c>
      <c r="C43" t="n">
        <v>0.03</v>
      </c>
      <c r="D43" t="n">
        <v>0</v>
      </c>
      <c r="E43" t="n">
        <v>0</v>
      </c>
      <c r="F43" t="n">
        <v>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</row>
    <row r="44">
      <c r="A44" t="inlineStr">
        <is>
          <t>Issues of the manor</t>
        </is>
      </c>
      <c r="B44" t="inlineStr">
        <is>
          <t>6pence from the hides sold of 4 calves in murrain.</t>
        </is>
      </c>
      <c r="C44" t="n">
        <v>0.03</v>
      </c>
      <c r="D44" t="n">
        <v>0</v>
      </c>
      <c r="E44" t="n">
        <v>0</v>
      </c>
      <c r="F44" t="n">
        <v>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</row>
    <row r="45">
      <c r="A45" t="inlineStr">
        <is>
          <t>Issues of the manor</t>
        </is>
      </c>
      <c r="B45" t="inlineStr">
        <is>
          <t>£1 from 2 casks of cider-which remained, sold wholesale apart from the vessels.</t>
        </is>
      </c>
      <c r="C45" t="n">
        <v>1</v>
      </c>
      <c r="D45" t="n">
        <v>1</v>
      </c>
      <c r="E45" t="n">
        <v>0</v>
      </c>
      <c r="F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</row>
    <row r="46">
      <c r="A46" t="inlineStr">
        <is>
          <t>Issues of the manor</t>
        </is>
      </c>
      <c r="B46" t="inlineStr">
        <is>
          <t>1 shilling 2.5pence from 19 rowen cheeses (cas' de rewayn) sold without weighing.</t>
        </is>
      </c>
      <c r="C46" t="n">
        <v>0.06</v>
      </c>
      <c r="D46" t="n">
        <v>0</v>
      </c>
      <c r="E46" t="n">
        <v>1</v>
      </c>
      <c r="F46" t="n">
        <v>2.5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</row>
    <row r="47">
      <c r="A47" t="inlineStr">
        <is>
          <t>Issues of the manor</t>
        </is>
      </c>
      <c r="B47" t="inlineStr">
        <is>
          <t>£1 4 shilling 3pence from 141 cheeses from the issue of the summer sold, weighing 2.5 weys and 3 stone, at 9 shilling a wey and 7pence a stone.</t>
        </is>
      </c>
      <c r="C47" t="n">
        <v>1.21</v>
      </c>
      <c r="D47" t="n">
        <v>1</v>
      </c>
      <c r="E47" t="n">
        <v>4</v>
      </c>
      <c r="F47" t="n">
        <v>3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</row>
    <row r="48">
      <c r="A48" t="inlineStr">
        <is>
          <t>Issues of the manor</t>
        </is>
      </c>
      <c r="B48" t="inlineStr">
        <is>
          <t>3 shilling 2pence from butter sold by the dish.</t>
        </is>
      </c>
      <c r="C48" t="n">
        <v>0.16</v>
      </c>
      <c r="D48" t="n">
        <v>0</v>
      </c>
      <c r="E48" t="n">
        <v>3</v>
      </c>
      <c r="F48" t="n">
        <v>2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</row>
    <row r="49">
      <c r="A49" t="inlineStr">
        <is>
          <t>Issues of the manor</t>
        </is>
      </c>
      <c r="B49" t="inlineStr">
        <is>
          <t>1 shilling 9pence from the residue of Peter's pence according to custom.</t>
        </is>
      </c>
      <c r="C49" t="n">
        <v>0.09</v>
      </c>
      <c r="D49" t="n">
        <v>0</v>
      </c>
      <c r="E49" t="n">
        <v>1</v>
      </c>
      <c r="F49" t="n">
        <v>9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</row>
    <row r="50">
      <c r="A50" t="inlineStr">
        <is>
          <t>Issues of the manor</t>
        </is>
      </c>
      <c r="B50" t="inlineStr">
        <is>
          <t>6 shilling 6.5pence from dairy produce sold at the audit.</t>
        </is>
      </c>
      <c r="C50" t="n">
        <v>0.33</v>
      </c>
      <c r="D50" t="n">
        <v>0</v>
      </c>
      <c r="E50" t="n">
        <v>6</v>
      </c>
      <c r="F50" t="n">
        <v>6.5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</row>
    <row r="51">
      <c r="A51" t="inlineStr">
        <is>
          <t>Issues of the manor</t>
        </is>
      </c>
      <c r="B51" t="inlineStr">
        <is>
          <t>Total, £16 11 shilling 9.5pence</t>
        </is>
      </c>
      <c r="C51" t="n">
        <v>16.59</v>
      </c>
      <c r="D51" t="n">
        <v>16</v>
      </c>
      <c r="E51" t="n">
        <v>11</v>
      </c>
      <c r="F51" t="n">
        <v>9.5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</row>
    <row r="52">
      <c r="A52" t="inlineStr">
        <is>
          <t>Sale of corn</t>
        </is>
      </c>
      <c r="B52" t="inlineStr">
        <is>
          <t>The same render account for £32 7 shilling from 121 quarters 2.5 bushels of wheat sold, at 5 shilling 4pence a quarters, £1 3 shilling 5.75pence from 6 quarters 1 bushels of curall sold, at 3 shilling 10pence a quarters.</t>
        </is>
      </c>
      <c r="C52" t="n">
        <v>32.35</v>
      </c>
      <c r="D52" t="n">
        <v>32</v>
      </c>
      <c r="E52" t="n">
        <v>7</v>
      </c>
      <c r="F52" t="n">
        <v>0</v>
      </c>
      <c r="G52" t="inlineStr">
        <is>
          <t>curall, wheat</t>
        </is>
      </c>
      <c r="H52" t="n">
        <v>6</v>
      </c>
      <c r="I52" t="n">
        <v>1</v>
      </c>
      <c r="J52" t="n">
        <v>6.125</v>
      </c>
      <c r="K52" t="n">
        <v>121.3125</v>
      </c>
      <c r="L52" t="n">
        <v>-115.1875</v>
      </c>
      <c r="M52" t="n">
        <v>121</v>
      </c>
      <c r="N52" t="n">
        <v>2.5</v>
      </c>
      <c r="O52" t="n">
        <v>6</v>
      </c>
      <c r="P52" t="n">
        <v>1</v>
      </c>
      <c r="U52" t="n">
        <v>5</v>
      </c>
      <c r="V52" t="n">
        <v>4</v>
      </c>
      <c r="W52" t="n">
        <v>3</v>
      </c>
      <c r="X52" t="n">
        <v>10</v>
      </c>
    </row>
    <row r="53">
      <c r="A53" t="inlineStr">
        <is>
          <t>Sale of corn</t>
        </is>
      </c>
      <c r="B53" t="inlineStr">
        <is>
          <t>£3 1pence from 12 quarters 7 bushels of maslin sold, at 4 shilling 8pence a quarters.</t>
        </is>
      </c>
      <c r="C53" t="n">
        <v>3</v>
      </c>
      <c r="D53" t="n">
        <v>3</v>
      </c>
      <c r="E53" t="n">
        <v>0</v>
      </c>
      <c r="F53" t="n">
        <v>1</v>
      </c>
      <c r="G53" t="inlineStr">
        <is>
          <t>maslin</t>
        </is>
      </c>
      <c r="H53" t="n">
        <v>12</v>
      </c>
      <c r="I53" t="n">
        <v>7</v>
      </c>
      <c r="J53" t="n">
        <v>12.875</v>
      </c>
      <c r="K53" t="n">
        <v>12.875</v>
      </c>
      <c r="L53" t="n">
        <v>0</v>
      </c>
      <c r="M53" t="n">
        <v>12</v>
      </c>
      <c r="N53" t="n">
        <v>7</v>
      </c>
      <c r="U53" t="n">
        <v>4</v>
      </c>
      <c r="V53" t="n">
        <v>8</v>
      </c>
    </row>
    <row r="54">
      <c r="A54" t="inlineStr">
        <is>
          <t>Sale of corn</t>
        </is>
      </c>
      <c r="B54" t="inlineStr">
        <is>
          <t>4 shilling 7pence from 1 quarters 3 bushels of barley sold, at 3 shilling 4pence a quarters, £1 12 shilling 6pence from 16 quarters 2 bushels of beans sold, at 2 shilling a quarters.</t>
        </is>
      </c>
      <c r="C54" t="n">
        <v>1.62</v>
      </c>
      <c r="D54" t="n">
        <v>1</v>
      </c>
      <c r="E54" t="n">
        <v>12</v>
      </c>
      <c r="F54" t="n">
        <v>6</v>
      </c>
      <c r="G54" t="inlineStr">
        <is>
          <t>barley, beans</t>
        </is>
      </c>
      <c r="H54" t="n">
        <v>16</v>
      </c>
      <c r="I54" t="n">
        <v>2</v>
      </c>
      <c r="J54" t="n">
        <v>16.25</v>
      </c>
      <c r="K54" t="n">
        <v>1.375</v>
      </c>
      <c r="L54" t="n">
        <v>14.875</v>
      </c>
      <c r="M54" t="n">
        <v>1</v>
      </c>
      <c r="N54" t="n">
        <v>3</v>
      </c>
      <c r="O54" t="n">
        <v>16</v>
      </c>
      <c r="P54" t="n">
        <v>2</v>
      </c>
      <c r="U54" t="n">
        <v>3</v>
      </c>
      <c r="V54" t="n">
        <v>4</v>
      </c>
      <c r="W54" t="n">
        <v>2</v>
      </c>
      <c r="X54" t="n">
        <v>0</v>
      </c>
    </row>
    <row r="55">
      <c r="A55" t="inlineStr">
        <is>
          <t>Sale of corn</t>
        </is>
      </c>
      <c r="B55" t="inlineStr">
        <is>
          <t>11 shilling 9pence from 5 quarters 7 bushels of peas sold, at 2 shilling a quarters.</t>
        </is>
      </c>
      <c r="C55" t="n">
        <v>0.59</v>
      </c>
      <c r="D55" t="n">
        <v>0</v>
      </c>
      <c r="E55" t="n">
        <v>11</v>
      </c>
      <c r="F55" t="n">
        <v>9</v>
      </c>
      <c r="G55" t="inlineStr">
        <is>
          <t>peas</t>
        </is>
      </c>
      <c r="H55" t="n">
        <v>5</v>
      </c>
      <c r="I55" t="n">
        <v>7</v>
      </c>
      <c r="J55" t="n">
        <v>5.875</v>
      </c>
      <c r="K55" t="n">
        <v>5.875</v>
      </c>
      <c r="L55" t="n">
        <v>0</v>
      </c>
      <c r="M55" t="n">
        <v>5</v>
      </c>
      <c r="N55" t="n">
        <v>7</v>
      </c>
      <c r="U55" t="n">
        <v>2</v>
      </c>
      <c r="V55" t="n">
        <v>0</v>
      </c>
    </row>
    <row r="56">
      <c r="A56" t="inlineStr">
        <is>
          <t>Sale of corn</t>
        </is>
      </c>
      <c r="B56" t="inlineStr">
        <is>
          <t>1 shilling 10pence from 1 quarters 3 bushels of vetches sold, at 2pence a bushels.</t>
        </is>
      </c>
      <c r="C56" t="n">
        <v>0.09</v>
      </c>
      <c r="D56" t="n">
        <v>0</v>
      </c>
      <c r="E56" t="n">
        <v>1</v>
      </c>
      <c r="F56" t="n">
        <v>10</v>
      </c>
      <c r="G56" t="inlineStr">
        <is>
          <t>vetches</t>
        </is>
      </c>
      <c r="H56" t="n">
        <v>1</v>
      </c>
      <c r="I56" t="n">
        <v>3</v>
      </c>
      <c r="J56" t="n">
        <v>1.375</v>
      </c>
      <c r="K56" t="n">
        <v>1.375</v>
      </c>
      <c r="L56" t="n">
        <v>0</v>
      </c>
      <c r="M56" t="n">
        <v>1</v>
      </c>
      <c r="N56" t="n">
        <v>3</v>
      </c>
      <c r="AC56" t="n">
        <v>0</v>
      </c>
      <c r="AD56" t="n">
        <v>2</v>
      </c>
    </row>
    <row r="57">
      <c r="A57" t="inlineStr">
        <is>
          <t>Sale of corn</t>
        </is>
      </c>
      <c r="B57" t="inlineStr">
        <is>
          <t>£5 18 shilling 7.5pence from 54 quarters 6 bushels of oats sold, at 2 shilling 2pence a quarters.</t>
        </is>
      </c>
      <c r="C57" t="n">
        <v>5.93</v>
      </c>
      <c r="D57" t="n">
        <v>5</v>
      </c>
      <c r="E57" t="n">
        <v>18</v>
      </c>
      <c r="F57" t="n">
        <v>7.5</v>
      </c>
      <c r="G57" t="inlineStr">
        <is>
          <t>oats</t>
        </is>
      </c>
      <c r="H57" t="n">
        <v>54</v>
      </c>
      <c r="I57" t="n">
        <v>6</v>
      </c>
      <c r="J57" t="n">
        <v>54.75</v>
      </c>
      <c r="K57" t="n">
        <v>54.75</v>
      </c>
      <c r="L57" t="n">
        <v>0</v>
      </c>
      <c r="M57" t="n">
        <v>54</v>
      </c>
      <c r="N57" t="n">
        <v>6</v>
      </c>
      <c r="U57" t="n">
        <v>2</v>
      </c>
      <c r="V57" t="n">
        <v>2</v>
      </c>
    </row>
    <row r="58">
      <c r="A58" t="inlineStr">
        <is>
          <t>Sale of corn</t>
        </is>
      </c>
      <c r="B58" t="inlineStr">
        <is>
          <t>8 shilling 9pence from 2 quarters 5 bushels of barley sold at the audit.</t>
        </is>
      </c>
      <c r="C58" t="n">
        <v>0.44</v>
      </c>
      <c r="D58" t="n">
        <v>0</v>
      </c>
      <c r="E58" t="n">
        <v>8</v>
      </c>
      <c r="F58" t="n">
        <v>9</v>
      </c>
      <c r="G58" t="inlineStr">
        <is>
          <t>barley</t>
        </is>
      </c>
      <c r="H58" t="n">
        <v>2</v>
      </c>
      <c r="I58" t="n">
        <v>5</v>
      </c>
      <c r="J58" t="n">
        <v>2.625</v>
      </c>
      <c r="K58" t="n">
        <v>2.625</v>
      </c>
      <c r="L58" t="n">
        <v>0</v>
      </c>
      <c r="M58" t="n">
        <v>2</v>
      </c>
      <c r="N58" t="n">
        <v>5</v>
      </c>
    </row>
    <row r="59">
      <c r="A59" t="inlineStr">
        <is>
          <t>Sale of corn</t>
        </is>
      </c>
      <c r="B59" t="inlineStr">
        <is>
          <t>Total, £45 8 shilling 7.25pence</t>
        </is>
      </c>
      <c r="C59" t="n">
        <v>45.43</v>
      </c>
      <c r="D59" t="n">
        <v>45</v>
      </c>
      <c r="E59" t="n">
        <v>8</v>
      </c>
      <c r="F59" t="n">
        <v>7.25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</row>
    <row r="60">
      <c r="A60" t="inlineStr">
        <is>
          <t>From the issue of the mill</t>
        </is>
      </c>
      <c r="B60" t="inlineStr">
        <is>
          <t>The same render account for 8 shilling 1.5pence from 1 quarters 5 bushels of wheat from the issue of the mill sold, at 55. a quarters.</t>
        </is>
      </c>
      <c r="C60" t="n">
        <v>0.41</v>
      </c>
      <c r="D60" t="n">
        <v>0</v>
      </c>
      <c r="E60" t="n">
        <v>8</v>
      </c>
      <c r="F60" t="n">
        <v>1.5</v>
      </c>
      <c r="G60" t="inlineStr">
        <is>
          <t>wheat</t>
        </is>
      </c>
      <c r="H60" t="n">
        <v>1</v>
      </c>
      <c r="I60" t="n">
        <v>5</v>
      </c>
      <c r="J60" t="n">
        <v>1.625</v>
      </c>
      <c r="K60" t="n">
        <v>1.625</v>
      </c>
      <c r="L60" t="n">
        <v>0</v>
      </c>
      <c r="M60" t="n">
        <v>1</v>
      </c>
      <c r="N60" t="n">
        <v>5</v>
      </c>
    </row>
    <row r="61">
      <c r="A61" t="inlineStr">
        <is>
          <t>From the issue of the mill</t>
        </is>
      </c>
      <c r="B61" t="inlineStr">
        <is>
          <t>10 shilling 5.5pence from 3 quarters 5.5 bushels of first-grade and second-grade malt from the issue of the mill sold, at 2 shilling 10pence a quarters.</t>
        </is>
      </c>
      <c r="C61" t="n">
        <v>0.52</v>
      </c>
      <c r="D61" t="n">
        <v>0</v>
      </c>
      <c r="E61" t="n">
        <v>10</v>
      </c>
      <c r="F61" t="n">
        <v>5.5</v>
      </c>
      <c r="G61" t="inlineStr">
        <is>
          <t>second-grade malt</t>
        </is>
      </c>
      <c r="H61" t="n">
        <v>3</v>
      </c>
      <c r="I61" t="n">
        <v>5.5</v>
      </c>
      <c r="J61" t="n">
        <v>3.6875</v>
      </c>
      <c r="K61" t="n">
        <v>3.6875</v>
      </c>
      <c r="L61" t="n">
        <v>0</v>
      </c>
      <c r="M61" t="n">
        <v>3</v>
      </c>
      <c r="N61" t="n">
        <v>5.5</v>
      </c>
      <c r="U61" t="n">
        <v>2</v>
      </c>
      <c r="V61" t="n">
        <v>10</v>
      </c>
    </row>
    <row r="62">
      <c r="A62" t="inlineStr">
        <is>
          <t>From the issue of the mill</t>
        </is>
      </c>
      <c r="B62" t="inlineStr">
        <is>
          <t>Total, 18 shilling 7pence</t>
        </is>
      </c>
      <c r="C62" t="n">
        <v>0.93</v>
      </c>
      <c r="D62" t="n">
        <v>0</v>
      </c>
      <c r="E62" t="n">
        <v>18</v>
      </c>
      <c r="F62" t="n">
        <v>7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</row>
    <row r="63">
      <c r="A63" t="inlineStr">
        <is>
          <t>Entry and marriage fines</t>
        </is>
      </c>
      <c r="B63" t="inlineStr">
        <is>
          <t>The same render account for 8 shilling from the whole tithing of Rimpton for tithingpenny at the two hundred-courts.</t>
        </is>
      </c>
      <c r="C63" t="n">
        <v>0.4</v>
      </c>
      <c r="D63" t="n">
        <v>0</v>
      </c>
      <c r="E63" t="n">
        <v>8</v>
      </c>
      <c r="F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</row>
    <row r="64">
      <c r="A64" t="inlineStr">
        <is>
          <t>Entry and marriage fines</t>
        </is>
      </c>
      <c r="B64" t="inlineStr">
        <is>
          <t>13 shilling 4pence from the fine of William le Nottey to have Joan Kage with 1 ferling of land.</t>
        </is>
      </c>
      <c r="C64" t="n">
        <v>0.67</v>
      </c>
      <c r="D64" t="n">
        <v>0</v>
      </c>
      <c r="E64" t="n">
        <v>13</v>
      </c>
      <c r="F64" t="n">
        <v>4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</row>
    <row r="65">
      <c r="A65" t="inlineStr">
        <is>
          <t>Entry and marriage fines</t>
        </is>
      </c>
      <c r="B65" t="inlineStr">
        <is>
          <t>£5 6 shilling 8pence from the fine of William le Denays to have 1 virgate of land with Aibreda, relict of Richard de Bosco.</t>
        </is>
      </c>
      <c r="C65" t="n">
        <v>5.33</v>
      </c>
      <c r="D65" t="n">
        <v>5</v>
      </c>
      <c r="E65" t="n">
        <v>6</v>
      </c>
      <c r="F65" t="n">
        <v>8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</row>
    <row r="66">
      <c r="A66" t="inlineStr">
        <is>
          <t>Entry and marriage fines</t>
        </is>
      </c>
      <c r="B66" t="inlineStr">
        <is>
          <t>£4 13 shilling 4pence from John de Woltnynton' to have Alice, relict of Henry Alayn, with 1 virgate of land.</t>
        </is>
      </c>
      <c r="C66" t="n">
        <v>4.67</v>
      </c>
      <c r="D66" t="n">
        <v>4</v>
      </c>
      <c r="E66" t="n">
        <v>13</v>
      </c>
      <c r="F66" t="n">
        <v>4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</row>
    <row r="67">
      <c r="A67" t="inlineStr">
        <is>
          <t>Entry and marriage fines</t>
        </is>
      </c>
      <c r="B67" t="inlineStr">
        <is>
          <t>6 shilling from Albreda, the relict of de Bosco, to retain 1 virgate of her husband's lanpence Total, £11 7 shilling 4pence</t>
        </is>
      </c>
      <c r="C67" t="n">
        <v>11.37</v>
      </c>
      <c r="D67" t="n">
        <v>11</v>
      </c>
      <c r="E67" t="n">
        <v>7</v>
      </c>
      <c r="F67" t="n">
        <v>4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</row>
    <row r="68">
      <c r="A68" t="inlineStr">
        <is>
          <t>Perquisites</t>
        </is>
      </c>
      <c r="B68" t="inlineStr">
        <is>
          <t>The same render account for 8pence from William de Staford and Richard de Holeweye for trespass (transgressione) of pasture.</t>
        </is>
      </c>
      <c r="C68" t="n">
        <v>0.03</v>
      </c>
      <c r="D68" t="n">
        <v>0</v>
      </c>
      <c r="E68" t="n">
        <v>0</v>
      </c>
      <c r="F68" t="n">
        <v>8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</row>
    <row r="69">
      <c r="A69" t="inlineStr">
        <is>
          <t>Perquisites</t>
        </is>
      </c>
      <c r="B69" t="inlineStr">
        <is>
          <t>6pence from John de Crawthorn' for the same.</t>
        </is>
      </c>
      <c r="C69" t="n">
        <v>0.03</v>
      </c>
      <c r="D69" t="n">
        <v>0</v>
      </c>
      <c r="E69" t="n">
        <v>0</v>
      </c>
      <c r="F69" t="n">
        <v>6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</row>
    <row r="70">
      <c r="A70" t="inlineStr">
        <is>
          <t>Perquisites</t>
        </is>
      </c>
      <c r="B70" t="inlineStr">
        <is>
          <t>3.5pence from Roger Puphorn and his fellow for the same.</t>
        </is>
      </c>
      <c r="C70" t="n">
        <v>0.01</v>
      </c>
      <c r="D70" t="n">
        <v>0</v>
      </c>
      <c r="E70" t="n">
        <v>0</v>
      </c>
      <c r="F70" t="n">
        <v>3.5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</row>
    <row r="71">
      <c r="A71" t="inlineStr">
        <is>
          <t>Perquisites</t>
        </is>
      </c>
      <c r="B71" t="inlineStr">
        <is>
          <t>1 shilling 9pence from Henry le Takeler', Henry Petyr, John Nob' and Robert Blakesol' for breaking the assize of ale.</t>
        </is>
      </c>
      <c r="C71" t="n">
        <v>0.09</v>
      </c>
      <c r="D71" t="n">
        <v>0</v>
      </c>
      <c r="E71" t="n">
        <v>1</v>
      </c>
      <c r="F71" t="n">
        <v>9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</row>
    <row r="72">
      <c r="A72" t="inlineStr">
        <is>
          <t>Perquisites</t>
        </is>
      </c>
      <c r="B72" t="inlineStr">
        <is>
          <t>1 shilling from Robert de Quercu, Henry Gille, Henry Takeler' and John Nob' for the same.</t>
        </is>
      </c>
      <c r="C72" t="n">
        <v>0.05</v>
      </c>
      <c r="D72" t="n">
        <v>0</v>
      </c>
      <c r="E72" t="n">
        <v>1</v>
      </c>
      <c r="F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</row>
    <row r="73">
      <c r="A73" t="inlineStr">
        <is>
          <t>Perquisites</t>
        </is>
      </c>
      <c r="B73" t="inlineStr">
        <is>
          <t>2 shilling from Henry Gill', John Nob', Jordan Burrich and Agnes Petra for the same.</t>
        </is>
      </c>
      <c r="C73" t="n">
        <v>0.1</v>
      </c>
      <c r="D73" t="n">
        <v>0</v>
      </c>
      <c r="E73" t="n">
        <v>2</v>
      </c>
      <c r="F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</row>
    <row r="74">
      <c r="A74" t="inlineStr">
        <is>
          <t>Perquisites</t>
        </is>
      </c>
      <c r="B74" t="inlineStr">
        <is>
          <t>6pence from Richard le Cok for trespass of pasture.</t>
        </is>
      </c>
      <c r="C74" t="n">
        <v>0.03</v>
      </c>
      <c r="D74" t="n">
        <v>0</v>
      </c>
      <c r="E74" t="n">
        <v>0</v>
      </c>
      <c r="F74" t="n">
        <v>6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</row>
    <row r="75">
      <c r="A75" t="inlineStr">
        <is>
          <t>Perquisites</t>
        </is>
      </c>
      <c r="B75" t="inlineStr">
        <is>
          <t>6pence from Richard atte Wude and William Woderys for the same.</t>
        </is>
      </c>
      <c r="C75" t="n">
        <v>0.03</v>
      </c>
      <c r="D75" t="n">
        <v>0</v>
      </c>
      <c r="E75" t="n">
        <v>0</v>
      </c>
      <c r="F75" t="n">
        <v>6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</row>
    <row r="76">
      <c r="A76" t="inlineStr">
        <is>
          <t>Perquisites</t>
        </is>
      </c>
      <c r="B76" t="inlineStr">
        <is>
          <t>1 shilling from the whole tithing because it did not produce William atte Wod' at the law-day.</t>
        </is>
      </c>
      <c r="C76" t="n">
        <v>0.05</v>
      </c>
      <c r="D76" t="n">
        <v>0</v>
      </c>
      <c r="E76" t="n">
        <v>1</v>
      </c>
      <c r="F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</row>
    <row r="77">
      <c r="A77" t="inlineStr">
        <is>
          <t>Perquisites</t>
        </is>
      </c>
      <c r="B77" t="inlineStr">
        <is>
          <t>2 shilling from Henry Gill' for breaking the assize of ale.</t>
        </is>
      </c>
      <c r="C77" t="n">
        <v>0.1</v>
      </c>
      <c r="D77" t="n">
        <v>0</v>
      </c>
      <c r="E77" t="n">
        <v>2</v>
      </c>
      <c r="F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</row>
    <row r="78">
      <c r="A78" t="inlineStr">
        <is>
          <t>Perquisites</t>
        </is>
      </c>
      <c r="B78" t="inlineStr">
        <is>
          <t>1 shilling 6pence from Henry le Takeler' for the same.</t>
        </is>
      </c>
      <c r="C78" t="n">
        <v>0.08</v>
      </c>
      <c r="D78" t="n">
        <v>0</v>
      </c>
      <c r="E78" t="n">
        <v>1</v>
      </c>
      <c r="F78" t="n">
        <v>6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</row>
    <row r="79">
      <c r="A79" t="inlineStr">
        <is>
          <t>Perquisites</t>
        </is>
      </c>
      <c r="B79" t="inlineStr">
        <is>
          <t>9pence from Agnes Petra and Albreda atte Wud' for the same.</t>
        </is>
      </c>
      <c r="C79" t="n">
        <v>0.04</v>
      </c>
      <c r="D79" t="n">
        <v>0</v>
      </c>
      <c r="E79" t="n">
        <v>0</v>
      </c>
      <c r="F79" t="n">
        <v>9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</row>
    <row r="80">
      <c r="A80" t="inlineStr">
        <is>
          <t>Perquisites</t>
        </is>
      </c>
      <c r="B80" t="inlineStr">
        <is>
          <t>2 shilling from Robert de Quercu and Henry Kyggel for transgression against John Datyn.</t>
        </is>
      </c>
      <c r="C80" t="n">
        <v>0.1</v>
      </c>
      <c r="D80" t="n">
        <v>0</v>
      </c>
      <c r="E80" t="n">
        <v>2</v>
      </c>
      <c r="F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</row>
    <row r="81">
      <c r="A81" t="inlineStr">
        <is>
          <t>Perquisites</t>
        </is>
      </c>
      <c r="B81" t="inlineStr">
        <is>
          <t>1 shilling from William Molendinarius and his neighbours for trespass of pasture.</t>
        </is>
      </c>
      <c r="C81" t="n">
        <v>0.05</v>
      </c>
      <c r="D81" t="n">
        <v>0</v>
      </c>
      <c r="E81" t="n">
        <v>1</v>
      </c>
      <c r="F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</row>
    <row r="82">
      <c r="A82" t="inlineStr">
        <is>
          <t>Perquisites</t>
        </is>
      </c>
      <c r="B82" t="inlineStr">
        <is>
          <t>1 shilling from Peter de Bosco, John atte Brok and Henry Kyggel for the same.</t>
        </is>
      </c>
      <c r="C82" t="n">
        <v>0.05</v>
      </c>
      <c r="D82" t="n">
        <v>0</v>
      </c>
      <c r="E82" t="n">
        <v>1</v>
      </c>
      <c r="F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</row>
    <row r="83">
      <c r="A83" t="inlineStr">
        <is>
          <t>Perquisites</t>
        </is>
      </c>
      <c r="B83" t="inlineStr">
        <is>
          <t>1 shilling 3pence from William Hardyng, Robert atte Hok', Albreda atte Wod' and William Woderys for the same.</t>
        </is>
      </c>
      <c r="C83" t="n">
        <v>0.06</v>
      </c>
      <c r="D83" t="n">
        <v>0</v>
      </c>
      <c r="E83" t="n">
        <v>1</v>
      </c>
      <c r="F83" t="n">
        <v>3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</row>
    <row r="84">
      <c r="A84" t="inlineStr">
        <is>
          <t>Perquisites</t>
        </is>
      </c>
      <c r="B84" t="inlineStr">
        <is>
          <t>2 shilling 3pence from John de Crawthorn', Robert Blakesole, William Hardyng, John Hamund, William Silvestr', Alice Alayn, Peter atte Wude, William Woderys and William de Wolmyngton' for trespass of pasture.</t>
        </is>
      </c>
      <c r="C84" t="n">
        <v>0.11</v>
      </c>
      <c r="D84" t="n">
        <v>0</v>
      </c>
      <c r="E84" t="n">
        <v>2</v>
      </c>
      <c r="F84" t="n">
        <v>3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</row>
    <row r="85">
      <c r="A85" t="inlineStr">
        <is>
          <t>Perquisites</t>
        </is>
      </c>
      <c r="B85" t="inlineStr">
        <is>
          <t>Total, £1 5.5pence</t>
        </is>
      </c>
      <c r="C85" t="n">
        <v>1.02</v>
      </c>
      <c r="D85" t="n">
        <v>1</v>
      </c>
      <c r="E85" t="n">
        <v>0</v>
      </c>
      <c r="F85" t="n">
        <v>5.5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</row>
    <row r="86">
      <c r="A86" t="inlineStr">
        <is>
          <t>Perquisites</t>
        </is>
      </c>
      <c r="B86" t="inlineStr">
        <is>
          <t>Total of both, £12 7 shilling 9.5pence</t>
        </is>
      </c>
      <c r="C86" t="n">
        <v>12.39</v>
      </c>
      <c r="D86" t="n">
        <v>12</v>
      </c>
      <c r="E86" t="n">
        <v>7</v>
      </c>
      <c r="F86" t="n">
        <v>9.5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</row>
    <row r="87">
      <c r="A87" t="inlineStr">
        <is>
          <t>Total of all receipts</t>
        </is>
      </c>
      <c r="B87" t="inlineStr">
        <is>
          <t>Total of all receipts, £77 12 shilling 9.25pence</t>
        </is>
      </c>
      <c r="C87" t="n">
        <v>77.64</v>
      </c>
      <c r="D87" t="n">
        <v>77</v>
      </c>
      <c r="E87" t="n">
        <v>12</v>
      </c>
      <c r="F87" t="n">
        <v>9.25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</row>
    <row r="88">
      <c r="A88" t="inlineStr">
        <is>
          <t>Cost of ploughs</t>
        </is>
      </c>
      <c r="B88" t="inlineStr">
        <is>
          <t>In iron bought to maintain the ironwork of 4 ploughs for the year 4 shilling 1.75pence.</t>
        </is>
      </c>
      <c r="C88" t="n">
        <v>0.21</v>
      </c>
      <c r="D88" t="n">
        <v>0</v>
      </c>
      <c r="E88" t="n">
        <v>4</v>
      </c>
      <c r="F88" t="n">
        <v>1.75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</row>
    <row r="89">
      <c r="A89" t="inlineStr">
        <is>
          <t>Cost of ploughs</t>
        </is>
      </c>
      <c r="B89" t="inlineStr">
        <is>
          <t>stipend of the smith repairing and restoring the ironwork of the said ploughs for the year 3 shilling 6.5pence.</t>
        </is>
      </c>
      <c r="C89" t="n">
        <v>0.18</v>
      </c>
      <c r="D89" t="n">
        <v>0</v>
      </c>
      <c r="E89" t="n">
        <v>3</v>
      </c>
      <c r="F89" t="n">
        <v>6.5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</row>
    <row r="90">
      <c r="A90" t="inlineStr">
        <is>
          <t>Cost of ploughs</t>
        </is>
      </c>
      <c r="B90" t="inlineStr">
        <is>
          <t>8 yokes bought for ploughs 5.5pence.</t>
        </is>
      </c>
      <c r="C90" t="n">
        <v>0.02</v>
      </c>
      <c r="D90" t="n">
        <v>0</v>
      </c>
      <c r="E90" t="n">
        <v>0</v>
      </c>
      <c r="F90" t="n">
        <v>5.5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</row>
    <row r="91">
      <c r="A91" t="inlineStr">
        <is>
          <t>Cost of ploughs</t>
        </is>
      </c>
      <c r="B91" t="inlineStr">
        <is>
          <t>5 yokes bought 9pence.</t>
        </is>
      </c>
      <c r="C91" t="n">
        <v>0.04</v>
      </c>
      <c r="D91" t="n">
        <v>0</v>
      </c>
      <c r="E91" t="n">
        <v>0</v>
      </c>
      <c r="F91" t="n">
        <v>9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</row>
    <row r="92">
      <c r="A92" t="inlineStr">
        <is>
          <t>Cost of ploughs</t>
        </is>
      </c>
      <c r="B92" t="inlineStr">
        <is>
          <t>expenses of 1 boon-work of 36 ploughmen and 24 harrowers, ploughing and harrowing 37 acres for the winter sowing, besides bread from stock: ale bought 2 shilling 2pence.</t>
        </is>
      </c>
      <c r="C92" t="n">
        <v>0.11</v>
      </c>
      <c r="D92" t="n">
        <v>0</v>
      </c>
      <c r="E92" t="n">
        <v>2</v>
      </c>
      <c r="F92" t="n">
        <v>2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</row>
    <row r="93">
      <c r="A93" t="inlineStr">
        <is>
          <t>Cost of ploughs</t>
        </is>
      </c>
      <c r="B93" t="inlineStr">
        <is>
          <t>meat bought 2 shilling 3pence.</t>
        </is>
      </c>
      <c r="C93" t="n">
        <v>0.11</v>
      </c>
      <c r="D93" t="n">
        <v>0</v>
      </c>
      <c r="E93" t="n">
        <v>2</v>
      </c>
      <c r="F93" t="n">
        <v>3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</row>
    <row r="94">
      <c r="A94" t="inlineStr">
        <is>
          <t>Cost of ploughs</t>
        </is>
      </c>
      <c r="B94" t="inlineStr">
        <is>
          <t>cheese bought 3pence.</t>
        </is>
      </c>
      <c r="C94" t="n">
        <v>0.01</v>
      </c>
      <c r="D94" t="n">
        <v>0</v>
      </c>
      <c r="E94" t="n">
        <v>0</v>
      </c>
      <c r="F94" t="n">
        <v>3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</row>
    <row r="95">
      <c r="A95" t="inlineStr">
        <is>
          <t>Cost of ploughs</t>
        </is>
      </c>
      <c r="B95" t="inlineStr">
        <is>
          <t>1 boon-work of 11 ploughmen working on the fallow according to custom 11pence.</t>
        </is>
      </c>
      <c r="C95" t="n">
        <v>0.05</v>
      </c>
      <c r="D95" t="n">
        <v>0</v>
      </c>
      <c r="E95" t="n">
        <v>0</v>
      </c>
      <c r="F95" t="n">
        <v>11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</row>
    <row r="96">
      <c r="A96" t="inlineStr">
        <is>
          <t>Cost of ploughs</t>
        </is>
      </c>
      <c r="B96" t="inlineStr">
        <is>
          <t>4 oxen bought £2 9 shilling 2pence, at 12 shilling 3.5pence each.</t>
        </is>
      </c>
      <c r="C96" t="n">
        <v>2.46</v>
      </c>
      <c r="D96" t="n">
        <v>2</v>
      </c>
      <c r="E96" t="n">
        <v>9</v>
      </c>
      <c r="F96" t="n">
        <v>2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</row>
    <row r="97">
      <c r="A97" t="inlineStr">
        <is>
          <t>Cost of ploughs</t>
        </is>
      </c>
      <c r="B97" t="inlineStr">
        <is>
          <t>.</t>
        </is>
      </c>
      <c r="C97" t="n">
        <v>0</v>
      </c>
      <c r="D97" t="n">
        <v>0</v>
      </c>
      <c r="E97" t="n">
        <v>0</v>
      </c>
      <c r="F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</row>
    <row r="98">
      <c r="A98" t="inlineStr">
        <is>
          <t>Cost of ploughs</t>
        </is>
      </c>
      <c r="B98" t="inlineStr">
        <is>
          <t>3 oxen bought £1 13 shilling 0.75pence, at 11 shilling 0.25pence each.</t>
        </is>
      </c>
      <c r="C98" t="n">
        <v>1.65</v>
      </c>
      <c r="D98" t="n">
        <v>1</v>
      </c>
      <c r="E98" t="n">
        <v>13</v>
      </c>
      <c r="F98" t="n">
        <v>0.75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</row>
    <row r="99">
      <c r="A99" t="inlineStr">
        <is>
          <t>Cost of ploughs</t>
        </is>
      </c>
      <c r="B99" t="inlineStr">
        <is>
          <t>.</t>
        </is>
      </c>
      <c r="C99" t="n">
        <v>0</v>
      </c>
      <c r="D99" t="n">
        <v>0</v>
      </c>
      <c r="E99" t="n">
        <v>0</v>
      </c>
      <c r="F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</row>
    <row r="100">
      <c r="A100" t="inlineStr">
        <is>
          <t>Cost of ploughs</t>
        </is>
      </c>
      <c r="B100" t="inlineStr">
        <is>
          <t>5 oxen bought £2 14 shilling 7pence, at 10 shilling 11pence each.</t>
        </is>
      </c>
      <c r="C100" t="n">
        <v>2.73</v>
      </c>
      <c r="D100" t="n">
        <v>2</v>
      </c>
      <c r="E100" t="n">
        <v>14</v>
      </c>
      <c r="F100" t="n">
        <v>7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</row>
    <row r="101">
      <c r="A101" t="inlineStr">
        <is>
          <t>Cost of ploughs</t>
        </is>
      </c>
      <c r="B101" t="inlineStr">
        <is>
          <t>.</t>
        </is>
      </c>
      <c r="C101" t="n">
        <v>0</v>
      </c>
      <c r="D101" t="n">
        <v>0</v>
      </c>
      <c r="E101" t="n">
        <v>0</v>
      </c>
      <c r="F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</row>
    <row r="102">
      <c r="A102" t="inlineStr">
        <is>
          <t>Cost of ploughs</t>
        </is>
      </c>
      <c r="B102" t="inlineStr">
        <is>
          <t>blood-letting of oxen 3pence.</t>
        </is>
      </c>
      <c r="C102" t="n">
        <v>0.01</v>
      </c>
      <c r="D102" t="n">
        <v>0</v>
      </c>
      <c r="E102" t="n">
        <v>0</v>
      </c>
      <c r="F102" t="n">
        <v>3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</row>
    <row r="103">
      <c r="A103" t="inlineStr">
        <is>
          <t>Cost of ploughs</t>
        </is>
      </c>
      <c r="B103" t="inlineStr">
        <is>
          <t>hiring 2 men for 6 days to hold the ploughs whilst the ploughmen of the vii mow the meadows 6pence.</t>
        </is>
      </c>
      <c r="C103" t="n">
        <v>0.03</v>
      </c>
      <c r="D103" t="n">
        <v>0</v>
      </c>
      <c r="E103" t="n">
        <v>0</v>
      </c>
      <c r="F103" t="n">
        <v>6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</row>
    <row r="104">
      <c r="A104" t="inlineStr">
        <is>
          <t>Cost of ploughs</t>
        </is>
      </c>
      <c r="B104" t="inlineStr">
        <is>
          <t>stipend of 2 ox-drovers for the year 10 shilling Total, £8 2 shilling 0.5pence</t>
        </is>
      </c>
      <c r="C104" t="n">
        <v>8.1</v>
      </c>
      <c r="D104" t="n">
        <v>8</v>
      </c>
      <c r="E104" t="n">
        <v>2</v>
      </c>
      <c r="F104" t="n">
        <v>0.5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</row>
    <row r="105">
      <c r="A105" t="inlineStr">
        <is>
          <t>Cost of wagons and carts</t>
        </is>
      </c>
      <c r="B105" t="inlineStr">
        <is>
          <t>In dowels bought for the wagons for the year 6.5pence.</t>
        </is>
      </c>
      <c r="C105" t="n">
        <v>0.03</v>
      </c>
      <c r="D105" t="n">
        <v>0</v>
      </c>
      <c r="E105" t="n">
        <v>0</v>
      </c>
      <c r="F105" t="n">
        <v>6.5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</row>
    <row r="106">
      <c r="A106" t="inlineStr">
        <is>
          <t>Cost of wagons and carts</t>
        </is>
      </c>
      <c r="B106" t="inlineStr">
        <is>
          <t>6 tacks with nails bought for the wagons 10pence.</t>
        </is>
      </c>
      <c r="C106" t="n">
        <v>0.04</v>
      </c>
      <c r="D106" t="n">
        <v>0</v>
      </c>
      <c r="E106" t="n">
        <v>0</v>
      </c>
      <c r="F106" t="n">
        <v>10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</row>
    <row r="107">
      <c r="A107" t="inlineStr">
        <is>
          <t>Cost of wagons and carts</t>
        </is>
      </c>
      <c r="B107" t="inlineStr">
        <is>
          <t>1 pair of wheels bought for the cart 2 shilling 10pence.</t>
        </is>
      </c>
      <c r="C107" t="n">
        <v>0.14</v>
      </c>
      <c r="D107" t="n">
        <v>0</v>
      </c>
      <c r="E107" t="n">
        <v>2</v>
      </c>
      <c r="F107" t="n">
        <v>10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</row>
    <row r="108">
      <c r="A108" t="inlineStr">
        <is>
          <t>Cost of wagons and carts</t>
        </is>
      </c>
      <c r="B108" t="inlineStr">
        <is>
          <t>1 collar bought for the cart 4.5pence.</t>
        </is>
      </c>
      <c r="C108" t="n">
        <v>0.02</v>
      </c>
      <c r="D108" t="n">
        <v>0</v>
      </c>
      <c r="E108" t="n">
        <v>0</v>
      </c>
      <c r="F108" t="n">
        <v>4.5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</row>
    <row r="109">
      <c r="A109" t="inlineStr">
        <is>
          <t>Cost of wagons and carts</t>
        </is>
      </c>
      <c r="B109" t="inlineStr">
        <is>
          <t>grease bought for the wagons for the year 4pence.</t>
        </is>
      </c>
      <c r="C109" t="n">
        <v>0.02</v>
      </c>
      <c r="D109" t="n">
        <v>0</v>
      </c>
      <c r="E109" t="n">
        <v>0</v>
      </c>
      <c r="F109" t="n">
        <v>4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</row>
    <row r="110">
      <c r="A110" t="inlineStr">
        <is>
          <t>Cost of wagons and carts</t>
        </is>
      </c>
      <c r="B110" t="inlineStr">
        <is>
          <t>shoeing and tethering 2 plough-horses for the year 1 shilling 4pence.</t>
        </is>
      </c>
      <c r="C110" t="n">
        <v>0.07000000000000001</v>
      </c>
      <c r="D110" t="n">
        <v>0</v>
      </c>
      <c r="E110" t="n">
        <v>1</v>
      </c>
      <c r="F110" t="n">
        <v>4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</row>
    <row r="111">
      <c r="A111" t="inlineStr">
        <is>
          <t>Cost of wagons and carts</t>
        </is>
      </c>
      <c r="B111" t="inlineStr">
        <is>
          <t>4 halters bought for plough-horses for the year 2pence.</t>
        </is>
      </c>
      <c r="C111" t="n">
        <v>0.01</v>
      </c>
      <c r="D111" t="n">
        <v>0</v>
      </c>
      <c r="E111" t="n">
        <v>0</v>
      </c>
      <c r="F111" t="n">
        <v>2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</row>
    <row r="112">
      <c r="A112" t="inlineStr">
        <is>
          <t>Cost of wagons and carts</t>
        </is>
      </c>
      <c r="B112" t="inlineStr">
        <is>
          <t>stipend of 1 carter for the year holding the place of the hayward 5 shilling Total, 11 shilling 5pence</t>
        </is>
      </c>
      <c r="C112" t="n">
        <v>0.27</v>
      </c>
      <c r="D112" t="n">
        <v>0</v>
      </c>
      <c r="E112" t="n">
        <v>5</v>
      </c>
      <c r="F112" t="n">
        <v>5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</row>
    <row r="113">
      <c r="A113" t="inlineStr">
        <is>
          <t>Repair of buildings and allowance of food for customary tenants</t>
        </is>
      </c>
      <c r="B113" t="inlineStr">
        <is>
          <t>In sand and lime bought for roofing the hall 8pence.</t>
        </is>
      </c>
      <c r="C113" t="n">
        <v>0.03</v>
      </c>
      <c r="D113" t="n">
        <v>0</v>
      </c>
      <c r="E113" t="n">
        <v>0</v>
      </c>
      <c r="F113" t="n">
        <v>8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</row>
    <row r="114">
      <c r="A114" t="inlineStr">
        <is>
          <t>Repair of buildings and allowance of food for customary tenants</t>
        </is>
      </c>
      <c r="B114" t="inlineStr">
        <is>
          <t>tiles bought for the same 8pence.</t>
        </is>
      </c>
      <c r="C114" t="n">
        <v>0.03</v>
      </c>
      <c r="D114" t="n">
        <v>0</v>
      </c>
      <c r="E114" t="n">
        <v>0</v>
      </c>
      <c r="F114" t="n">
        <v>8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</row>
    <row r="115">
      <c r="A115" t="inlineStr">
        <is>
          <t>Repair of buildings and allowance of food for customary tenants</t>
        </is>
      </c>
      <c r="B115" t="inlineStr">
        <is>
          <t>nails bought for the same 1.75pence.</t>
        </is>
      </c>
      <c r="C115" t="n">
        <v>0.01</v>
      </c>
      <c r="D115" t="n">
        <v>0</v>
      </c>
      <c r="E115" t="n">
        <v>0</v>
      </c>
      <c r="F115" t="n">
        <v>1.75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</row>
    <row r="116">
      <c r="A116" t="inlineStr">
        <is>
          <t>Repair of buildings and allowance of food for customary tenants</t>
        </is>
      </c>
      <c r="B116" t="inlineStr">
        <is>
          <t>stipend of 1 tiler roofing the said hall beside the latrine 6pence.</t>
        </is>
      </c>
      <c r="C116" t="n">
        <v>0.03</v>
      </c>
      <c r="D116" t="n">
        <v>0</v>
      </c>
      <c r="E116" t="n">
        <v>0</v>
      </c>
      <c r="F116" t="n">
        <v>6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</row>
    <row r="117">
      <c r="A117" t="inlineStr">
        <is>
          <t>Repair of buildings and allowance of food for customary tenants</t>
        </is>
      </c>
      <c r="B117" t="inlineStr">
        <is>
          <t>stipend of 1 carpenter mending the walls of the small barn 6pence.</t>
        </is>
      </c>
      <c r="C117" t="n">
        <v>0.03</v>
      </c>
      <c r="D117" t="n">
        <v>0</v>
      </c>
      <c r="E117" t="n">
        <v>0</v>
      </c>
      <c r="F117" t="n">
        <v>6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</row>
    <row r="118">
      <c r="A118" t="inlineStr">
        <is>
          <t>Repair of buildings and allowance of food for customary tenants</t>
        </is>
      </c>
      <c r="B118" t="inlineStr">
        <is>
          <t>roofing the great stable by piece-work 2 shilling 6pence.</t>
        </is>
      </c>
      <c r="C118" t="n">
        <v>0.12</v>
      </c>
      <c r="D118" t="n">
        <v>0</v>
      </c>
      <c r="E118" t="n">
        <v>2</v>
      </c>
      <c r="F118" t="n">
        <v>6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</row>
    <row r="119">
      <c r="A119" t="inlineStr">
        <is>
          <t>Repair of buildings and allowance of food for customary tenants</t>
        </is>
      </c>
      <c r="B119" t="inlineStr">
        <is>
          <t>allowance of food (potura) for the customary tenants of the vill at Christmas according to custom 4 shilling Total, 8 shilling 11.75pence</t>
        </is>
      </c>
      <c r="C119" t="n">
        <v>0.25</v>
      </c>
      <c r="D119" t="n">
        <v>0</v>
      </c>
      <c r="E119" t="n">
        <v>4</v>
      </c>
      <c r="F119" t="n">
        <v>11.75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</row>
    <row r="120">
      <c r="A120" t="inlineStr">
        <is>
          <t>Sheepcote (bercar') and dairy</t>
        </is>
      </c>
      <c r="B120" t="inlineStr">
        <is>
          <t>In 13 hurdles bought for the fold (fold') 1 shilling 2pence.</t>
        </is>
      </c>
      <c r="C120" t="n">
        <v>0.06</v>
      </c>
      <c r="D120" t="n">
        <v>0</v>
      </c>
      <c r="E120" t="n">
        <v>1</v>
      </c>
      <c r="F120" t="n">
        <v>2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</row>
    <row r="121">
      <c r="A121" t="inlineStr">
        <is>
          <t>Sheepcote (bercar') and dairy</t>
        </is>
      </c>
      <c r="B121" t="inlineStr">
        <is>
          <t>stipend of one shepherd for the year 4 shilling.</t>
        </is>
      </c>
      <c r="C121" t="n">
        <v>0.2</v>
      </c>
      <c r="D121" t="n">
        <v>0</v>
      </c>
      <c r="E121" t="n">
        <v>4</v>
      </c>
      <c r="F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</row>
    <row r="122">
      <c r="A122" t="inlineStr">
        <is>
          <t>Sheepcote (bercar') and dairy</t>
        </is>
      </c>
      <c r="B122" t="inlineStr">
        <is>
          <t>4 bushels of salt bought for the dairy for the year 1 shilling 3pence.</t>
        </is>
      </c>
      <c r="C122" t="n">
        <v>0.06</v>
      </c>
      <c r="D122" t="n">
        <v>0</v>
      </c>
      <c r="E122" t="n">
        <v>1</v>
      </c>
      <c r="F122" t="n">
        <v>3</v>
      </c>
      <c r="H122" t="n">
        <v>0</v>
      </c>
      <c r="I122" t="n">
        <v>4</v>
      </c>
      <c r="J122" t="n">
        <v>0.5</v>
      </c>
      <c r="K122" t="n">
        <v>0.5</v>
      </c>
      <c r="L122" t="n">
        <v>0</v>
      </c>
      <c r="M122" t="n">
        <v>0</v>
      </c>
      <c r="N122" t="n">
        <v>4</v>
      </c>
    </row>
    <row r="123">
      <c r="A123" t="inlineStr">
        <is>
          <t>Sheepcote (bercar') and dairy</t>
        </is>
      </c>
      <c r="B123" t="inlineStr">
        <is>
          <t>1 ell of linen cloth bought for the dairy 3pence.</t>
        </is>
      </c>
      <c r="C123" t="n">
        <v>0.01</v>
      </c>
      <c r="D123" t="n">
        <v>0</v>
      </c>
      <c r="E123" t="n">
        <v>0</v>
      </c>
      <c r="F123" t="n">
        <v>3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</row>
    <row r="124">
      <c r="A124" t="inlineStr">
        <is>
          <t>Sheepcote (bercar') and dairy</t>
        </is>
      </c>
      <c r="B124" t="inlineStr">
        <is>
          <t>clay pots and pans bought for the dairy 2.25pence.</t>
        </is>
      </c>
      <c r="C124" t="n">
        <v>0.01</v>
      </c>
      <c r="D124" t="n">
        <v>0</v>
      </c>
      <c r="E124" t="n">
        <v>0</v>
      </c>
      <c r="F124" t="n">
        <v>2.25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</row>
    <row r="125">
      <c r="A125" t="inlineStr">
        <is>
          <t>Sheepcote (bercar') and dairy</t>
        </is>
      </c>
      <c r="B125" t="inlineStr">
        <is>
          <t>stipend of 1 cowherd for the year 2 shilling 6pence.</t>
        </is>
      </c>
      <c r="C125" t="n">
        <v>0.12</v>
      </c>
      <c r="D125" t="n">
        <v>0</v>
      </c>
      <c r="E125" t="n">
        <v>2</v>
      </c>
      <c r="F125" t="n">
        <v>6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</row>
    <row r="126">
      <c r="A126" t="inlineStr">
        <is>
          <t>Sheepcote (bercar') and dairy</t>
        </is>
      </c>
      <c r="B126" t="inlineStr">
        <is>
          <t>stipend of 1 dairymaid for summer and autumn 2 shilling Total, 11 shilling 4.25pence</t>
        </is>
      </c>
      <c r="C126" t="n">
        <v>0.12</v>
      </c>
      <c r="D126" t="n">
        <v>0</v>
      </c>
      <c r="E126" t="n">
        <v>2</v>
      </c>
      <c r="F126" t="n">
        <v>4.25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</row>
    <row r="127">
      <c r="A127" t="inlineStr">
        <is>
          <t>Small and necessary expenses</t>
        </is>
      </c>
      <c r="B127" t="inlineStr">
        <is>
          <t>In castrating 12 piglets 4pence.</t>
        </is>
      </c>
      <c r="C127" t="n">
        <v>0.02</v>
      </c>
      <c r="D127" t="n">
        <v>0</v>
      </c>
      <c r="E127" t="n">
        <v>0</v>
      </c>
      <c r="F127" t="n">
        <v>4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</row>
    <row r="128">
      <c r="A128" t="inlineStr">
        <is>
          <t>Small and necessary expenses</t>
        </is>
      </c>
      <c r="B128" t="inlineStr">
        <is>
          <t>quittance of the tithe of 1 foal 1pence.</t>
        </is>
      </c>
      <c r="C128" t="n">
        <v>0</v>
      </c>
      <c r="D128" t="n">
        <v>0</v>
      </c>
      <c r="E128" t="n">
        <v>0</v>
      </c>
      <c r="F128" t="n">
        <v>1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</row>
    <row r="129">
      <c r="A129" t="inlineStr">
        <is>
          <t>Small and necessary expenses</t>
        </is>
      </c>
      <c r="B129" t="inlineStr">
        <is>
          <t>mending 1 three-pronged fork 1pence.</t>
        </is>
      </c>
      <c r="C129" t="n">
        <v>0</v>
      </c>
      <c r="D129" t="n">
        <v>0</v>
      </c>
      <c r="E129" t="n">
        <v>0</v>
      </c>
      <c r="F129" t="n">
        <v>1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</row>
    <row r="130">
      <c r="A130" t="inlineStr">
        <is>
          <t>Small and necessary expenses</t>
        </is>
      </c>
      <c r="B130" t="inlineStr">
        <is>
          <t>1 sack bought for corn 10pence.</t>
        </is>
      </c>
      <c r="C130" t="n">
        <v>0.04</v>
      </c>
      <c r="D130" t="n">
        <v>0</v>
      </c>
      <c r="E130" t="n">
        <v>0</v>
      </c>
      <c r="F130" t="n">
        <v>10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</row>
    <row r="131">
      <c r="A131" t="inlineStr">
        <is>
          <t>Small and necessary expenses</t>
        </is>
      </c>
      <c r="B131" t="inlineStr">
        <is>
          <t>1 piece of iron bought for the beam 1pence.</t>
        </is>
      </c>
      <c r="C131" t="n">
        <v>0</v>
      </c>
      <c r="D131" t="n">
        <v>0</v>
      </c>
      <c r="E131" t="n">
        <v>0</v>
      </c>
      <c r="F131" t="n">
        <v>1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</row>
    <row r="132">
      <c r="A132" t="inlineStr">
        <is>
          <t>Small and necessary expenses</t>
        </is>
      </c>
      <c r="B132" t="inlineStr">
        <is>
          <t>stone bought to mend the bridge which is called Wodebrigge 9pence.</t>
        </is>
      </c>
      <c r="C132" t="n">
        <v>0.04</v>
      </c>
      <c r="D132" t="n">
        <v>0</v>
      </c>
      <c r="E132" t="n">
        <v>0</v>
      </c>
      <c r="F132" t="n">
        <v>9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</row>
    <row r="133">
      <c r="A133" t="inlineStr">
        <is>
          <t>Small and necessary expenses</t>
        </is>
      </c>
      <c r="B133" t="inlineStr">
        <is>
          <t>stipend of the mason mending the said bridge 10.5pence Total, 3 shilling 0.5pence</t>
        </is>
      </c>
      <c r="C133" t="n">
        <v>0.19</v>
      </c>
      <c r="D133" t="n">
        <v>0</v>
      </c>
      <c r="E133" t="n">
        <v>3</v>
      </c>
      <c r="F133" t="n">
        <v>10.5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</row>
    <row r="134">
      <c r="A134" t="inlineStr">
        <is>
          <t>Cost of the mill</t>
        </is>
      </c>
      <c r="B134" t="inlineStr">
        <is>
          <t>In one stone millstone bought for the mill 8 shilling 3pence.</t>
        </is>
      </c>
      <c r="C134" t="n">
        <v>0.41</v>
      </c>
      <c r="D134" t="n">
        <v>0</v>
      </c>
      <c r="E134" t="n">
        <v>8</v>
      </c>
      <c r="F134" t="n">
        <v>3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</row>
    <row r="135">
      <c r="A135" t="inlineStr">
        <is>
          <t>Cost of the mill</t>
        </is>
      </c>
      <c r="B135" t="inlineStr">
        <is>
          <t>making one mill-spindle 5pence.</t>
        </is>
      </c>
      <c r="C135" t="n">
        <v>0.02</v>
      </c>
      <c r="D135" t="n">
        <v>0</v>
      </c>
      <c r="E135" t="n">
        <v>0</v>
      </c>
      <c r="F135" t="n">
        <v>5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</row>
    <row r="136">
      <c r="A136" t="inlineStr">
        <is>
          <t>Cost of the mill</t>
        </is>
      </c>
      <c r="B136" t="inlineStr">
        <is>
          <t>nails bought for the mill-wheel 2.5pence.</t>
        </is>
      </c>
      <c r="C136" t="n">
        <v>0.01</v>
      </c>
      <c r="D136" t="n">
        <v>0</v>
      </c>
      <c r="E136" t="n">
        <v>0</v>
      </c>
      <c r="F136" t="n">
        <v>2.5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</row>
    <row r="137">
      <c r="A137" t="inlineStr">
        <is>
          <t>Cost of the mill</t>
        </is>
      </c>
      <c r="B137" t="inlineStr">
        <is>
          <t>stipend of the miller for the year 5 shilling.</t>
        </is>
      </c>
      <c r="C137" t="n">
        <v>0.25</v>
      </c>
      <c r="D137" t="n">
        <v>0</v>
      </c>
      <c r="E137" t="n">
        <v>5</v>
      </c>
      <c r="F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</row>
    <row r="138">
      <c r="A138" t="inlineStr">
        <is>
          <t>Cost of the mill</t>
        </is>
      </c>
      <c r="B138" t="inlineStr">
        <is>
          <t>quittance of the tithe of the mill 2 shilling Total, 15 shilling 10.5pence</t>
        </is>
      </c>
      <c r="C138" t="n">
        <v>0.14</v>
      </c>
      <c r="D138" t="n">
        <v>0</v>
      </c>
      <c r="E138" t="n">
        <v>2</v>
      </c>
      <c r="F138" t="n">
        <v>10.5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</row>
    <row r="139">
      <c r="A139" t="inlineStr">
        <is>
          <t>Weeding corn and mowing the meadow</t>
        </is>
      </c>
      <c r="B139" t="inlineStr">
        <is>
          <t>In weeding corn 3 shilling 6pence.</t>
        </is>
      </c>
      <c r="C139" t="n">
        <v>0.17</v>
      </c>
      <c r="D139" t="n">
        <v>0</v>
      </c>
      <c r="E139" t="n">
        <v>3</v>
      </c>
      <c r="F139" t="n">
        <v>6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</row>
    <row r="140">
      <c r="A140" t="inlineStr">
        <is>
          <t>Weeding corn and mowing the meadow</t>
        </is>
      </c>
      <c r="B140" t="inlineStr">
        <is>
          <t>covering 1 haycock 3pence.</t>
        </is>
      </c>
      <c r="C140" t="n">
        <v>0.01</v>
      </c>
      <c r="D140" t="n">
        <v>0</v>
      </c>
      <c r="E140" t="n">
        <v>0</v>
      </c>
      <c r="F140" t="n">
        <v>3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</row>
    <row r="141">
      <c r="A141" t="inlineStr">
        <is>
          <t>Weeding corn and mowing the meadow</t>
        </is>
      </c>
      <c r="B141" t="inlineStr">
        <is>
          <t>expenses of 1 reap-reeve (rypereve) for 6 weeks at harvest-time 3 shilling 6pence, at 1pence a day.</t>
        </is>
      </c>
      <c r="C141" t="n">
        <v>0.17</v>
      </c>
      <c r="D141" t="n">
        <v>0</v>
      </c>
      <c r="E141" t="n">
        <v>3</v>
      </c>
      <c r="F141" t="n">
        <v>6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</row>
    <row r="142">
      <c r="A142" t="inlineStr">
        <is>
          <t>Weeding corn and mowing the meadow</t>
        </is>
      </c>
      <c r="B142" t="inlineStr">
        <is>
          <t>.</t>
        </is>
      </c>
      <c r="C142" t="n">
        <v>0</v>
      </c>
      <c r="D142" t="n">
        <v>0</v>
      </c>
      <c r="E142" t="n">
        <v>0</v>
      </c>
      <c r="F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</row>
    <row r="143">
      <c r="A143" t="inlineStr">
        <is>
          <t>Weeding corn and mowing the meadow</t>
        </is>
      </c>
      <c r="B143" t="inlineStr">
        <is>
          <t>stipend of the same 2 shilling.</t>
        </is>
      </c>
      <c r="C143" t="n">
        <v>0.1</v>
      </c>
      <c r="D143" t="n">
        <v>0</v>
      </c>
      <c r="E143" t="n">
        <v>2</v>
      </c>
      <c r="F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</row>
    <row r="144">
      <c r="A144" t="inlineStr">
        <is>
          <t>Weeding corn and mowing the meadow</t>
        </is>
      </c>
      <c r="B144" t="inlineStr">
        <is>
          <t>covering 1 stack of beans by piece-work 4pence Total, 9 shilling 7pence</t>
        </is>
      </c>
      <c r="C144" t="n">
        <v>0.47</v>
      </c>
      <c r="D144" t="n">
        <v>0</v>
      </c>
      <c r="E144" t="n">
        <v>9</v>
      </c>
      <c r="F144" t="n">
        <v>4</v>
      </c>
      <c r="G144" t="inlineStr">
        <is>
          <t>beans</t>
        </is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</row>
    <row r="145">
      <c r="A145" t="inlineStr">
        <is>
          <t>Steward's expenses</t>
        </is>
      </c>
      <c r="B145" t="inlineStr">
        <is>
          <t>In expenses of the steward and his clerk for their visits to view the state of the manor, to hold court, and to expedite other business of the lord, 8 shilling 8pence by 2 tallies.</t>
        </is>
      </c>
      <c r="C145" t="n">
        <v>0.43</v>
      </c>
      <c r="D145" t="n">
        <v>0</v>
      </c>
      <c r="E145" t="n">
        <v>8</v>
      </c>
      <c r="F145" t="n">
        <v>8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</row>
    <row r="146">
      <c r="A146" t="inlineStr">
        <is>
          <t>Steward's expenses</t>
        </is>
      </c>
      <c r="B146" t="inlineStr">
        <is>
          <t>Total, 8 shilling 8pence</t>
        </is>
      </c>
      <c r="C146" t="n">
        <v>0.43</v>
      </c>
      <c r="D146" t="n">
        <v>0</v>
      </c>
      <c r="E146" t="n">
        <v>8</v>
      </c>
      <c r="F146" t="n">
        <v>8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</row>
    <row r="147">
      <c r="A147" t="inlineStr">
        <is>
          <t>Bailiff's expenses</t>
        </is>
      </c>
      <c r="B147" t="inlineStr">
        <is>
          <t>In expenses of the bailiff for the year £3 10pence, at 2pence a day.</t>
        </is>
      </c>
      <c r="C147" t="n">
        <v>3.04</v>
      </c>
      <c r="D147" t="n">
        <v>3</v>
      </c>
      <c r="E147" t="n">
        <v>0</v>
      </c>
      <c r="F147" t="n">
        <v>10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</row>
    <row r="148">
      <c r="A148" t="inlineStr">
        <is>
          <t>Bailiff's expenses</t>
        </is>
      </c>
      <c r="B148" t="inlineStr">
        <is>
          <t>Total, £3 10pence</t>
        </is>
      </c>
      <c r="C148" t="n">
        <v>3.04</v>
      </c>
      <c r="D148" t="n">
        <v>3</v>
      </c>
      <c r="E148" t="n">
        <v>0</v>
      </c>
      <c r="F148" t="n">
        <v>10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</row>
    <row r="149">
      <c r="A149" t="inlineStr">
        <is>
          <t>Total of all expenses</t>
        </is>
      </c>
      <c r="B149" t="inlineStr">
        <is>
          <t>Total of all expenses, £14 1 1 shilling 9.5pence</t>
        </is>
      </c>
      <c r="C149" t="n">
        <v>14</v>
      </c>
      <c r="D149" t="n">
        <v>14</v>
      </c>
      <c r="E149" t="n">
        <v>0</v>
      </c>
      <c r="F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</row>
    <row r="150">
      <c r="A150" t="inlineStr">
        <is>
          <t>Total of all expenses</t>
        </is>
      </c>
      <c r="B150" t="inlineStr">
        <is>
          <t>And thus he owes, £63 11.75pence</t>
        </is>
      </c>
      <c r="C150" t="n">
        <v>63.05</v>
      </c>
      <c r="D150" t="n">
        <v>63</v>
      </c>
      <c r="E150" t="n">
        <v>0</v>
      </c>
      <c r="F150" t="n">
        <v>11.75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</row>
    <row r="151">
      <c r="A151" t="inlineStr">
        <is>
          <t>Cash deliveries</t>
        </is>
      </c>
      <c r="B151" t="inlineStr">
        <is>
          <t>Delivered to Sir Geoffrey, treasurer of Wolvesey, by 1 tally, £38. Total, £38.</t>
        </is>
      </c>
      <c r="C151" t="n">
        <v>38</v>
      </c>
      <c r="D151" t="n">
        <v>38</v>
      </c>
      <c r="E151" t="n">
        <v>0</v>
      </c>
      <c r="F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</row>
    <row r="152">
      <c r="A152" t="inlineStr">
        <is>
          <t>Cash deliveries</t>
        </is>
      </c>
      <c r="B152" t="inlineStr">
        <is>
          <t>And thus he owes clear, £25 11.75pence</t>
        </is>
      </c>
      <c r="C152" t="n">
        <v>25.05</v>
      </c>
      <c r="D152" t="n">
        <v>25</v>
      </c>
      <c r="E152" t="n">
        <v>0</v>
      </c>
      <c r="F152" t="n">
        <v>11.75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</row>
    <row r="153">
      <c r="A153" t="inlineStr">
        <is>
          <t>Wheat</t>
        </is>
      </c>
      <c r="B153" t="inlineStr">
        <is>
          <t>{yield: 5.5-fold plus 6.5 bushels in all with the issue of maslin below)</t>
        </is>
      </c>
      <c r="C153" t="n">
        <v>0</v>
      </c>
      <c r="D153" t="n">
        <v>0</v>
      </c>
      <c r="E153" t="n">
        <v>0</v>
      </c>
      <c r="F153" t="n">
        <v>0</v>
      </c>
      <c r="G153" t="inlineStr">
        <is>
          <t>maslin</t>
        </is>
      </c>
      <c r="H153" t="n">
        <v>0</v>
      </c>
      <c r="I153" t="n">
        <v>6.5</v>
      </c>
      <c r="J153" t="n">
        <v>0.8125</v>
      </c>
      <c r="K153" t="n">
        <v>0.8125</v>
      </c>
      <c r="L153" t="n">
        <v>0</v>
      </c>
      <c r="M153" t="n">
        <v>0</v>
      </c>
      <c r="N153" t="n">
        <v>6.5</v>
      </c>
    </row>
    <row r="154">
      <c r="A154" t="inlineStr">
        <is>
          <t>Wheat</t>
        </is>
      </c>
      <c r="B154" t="inlineStr">
        <is>
          <t>The same render account for 144.5 quarters of wheat from the issue of the grange threshed by the customary tenants of the vill by struck measure.</t>
        </is>
      </c>
      <c r="C154" t="n">
        <v>0</v>
      </c>
      <c r="D154" t="n">
        <v>0</v>
      </c>
      <c r="E154" t="n">
        <v>0</v>
      </c>
      <c r="F154" t="n">
        <v>0</v>
      </c>
      <c r="G154" t="inlineStr">
        <is>
          <t>wheat</t>
        </is>
      </c>
      <c r="H154" t="n">
        <v>144.5</v>
      </c>
      <c r="I154" t="n">
        <v>0</v>
      </c>
      <c r="J154" t="n">
        <v>144.5</v>
      </c>
      <c r="K154" t="n">
        <v>144.5</v>
      </c>
      <c r="L154" t="n">
        <v>0</v>
      </c>
      <c r="M154" t="n">
        <v>144.5</v>
      </c>
      <c r="N154" t="n">
        <v>0</v>
      </c>
    </row>
    <row r="155">
      <c r="A155" t="inlineStr">
        <is>
          <t>Wheat</t>
        </is>
      </c>
      <c r="B155" t="inlineStr">
        <is>
          <t>Total, 144.5 quarters.</t>
        </is>
      </c>
      <c r="C155" t="n">
        <v>0</v>
      </c>
      <c r="D155" t="n">
        <v>0</v>
      </c>
      <c r="E155" t="n">
        <v>0</v>
      </c>
      <c r="F155" t="n">
        <v>0</v>
      </c>
      <c r="H155" t="n">
        <v>144.5</v>
      </c>
      <c r="I155" t="n">
        <v>0</v>
      </c>
      <c r="J155" t="n">
        <v>144.5</v>
      </c>
      <c r="K155" t="n">
        <v>144.5</v>
      </c>
      <c r="L155" t="n">
        <v>0</v>
      </c>
      <c r="M155" t="n">
        <v>144.5</v>
      </c>
      <c r="N155" t="n">
        <v>0</v>
      </c>
    </row>
    <row r="156">
      <c r="A156" t="inlineStr">
        <is>
          <t>Wheat</t>
        </is>
      </c>
      <c r="B156" t="inlineStr">
        <is>
          <t>Sown over 117 acres, 22 quarters .5 bushels.</t>
        </is>
      </c>
      <c r="C156" t="n">
        <v>0</v>
      </c>
      <c r="D156" t="n">
        <v>0</v>
      </c>
      <c r="E156" t="n">
        <v>0</v>
      </c>
      <c r="F156" t="n">
        <v>0</v>
      </c>
      <c r="H156" t="n">
        <v>22</v>
      </c>
      <c r="I156" t="n">
        <v>5</v>
      </c>
      <c r="J156" t="n">
        <v>22.625</v>
      </c>
      <c r="K156" t="n">
        <v>22</v>
      </c>
      <c r="L156" t="n">
        <v>0.625</v>
      </c>
      <c r="M156" t="n">
        <v>22</v>
      </c>
      <c r="N156" t="n">
        <v>0</v>
      </c>
      <c r="O156" t="n">
        <v>0</v>
      </c>
      <c r="P156" t="n">
        <v>5</v>
      </c>
    </row>
    <row r="157">
      <c r="A157" t="inlineStr">
        <is>
          <t>Wheat</t>
        </is>
      </c>
      <c r="B157" t="inlineStr">
        <is>
          <t>that is, 1.5 bushels an acre, plus 1 bushels in all.</t>
        </is>
      </c>
      <c r="C157" t="n">
        <v>0</v>
      </c>
      <c r="D157" t="n">
        <v>0</v>
      </c>
      <c r="E157" t="n">
        <v>0</v>
      </c>
      <c r="F157" t="n">
        <v>0</v>
      </c>
      <c r="H157" t="n">
        <v>0</v>
      </c>
      <c r="I157" t="n">
        <v>1</v>
      </c>
      <c r="J157" t="n">
        <v>0.125</v>
      </c>
      <c r="K157" t="n">
        <v>0.1875</v>
      </c>
      <c r="L157" t="n">
        <v>-0.0625</v>
      </c>
      <c r="M157" t="n">
        <v>0</v>
      </c>
      <c r="N157" t="n">
        <v>1.5</v>
      </c>
      <c r="O157" t="n">
        <v>0</v>
      </c>
      <c r="P157" t="n">
        <v>1</v>
      </c>
    </row>
    <row r="158">
      <c r="A158" t="inlineStr">
        <is>
          <t>Wheat</t>
        </is>
      </c>
      <c r="B158" t="inlineStr">
        <is>
          <t>.</t>
        </is>
      </c>
      <c r="C158" t="n">
        <v>0</v>
      </c>
      <c r="D158" t="n">
        <v>0</v>
      </c>
      <c r="E158" t="n">
        <v>0</v>
      </c>
      <c r="F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</row>
    <row r="159">
      <c r="A159" t="inlineStr">
        <is>
          <t>Wheat</t>
        </is>
      </c>
      <c r="B159" t="inlineStr">
        <is>
          <t>bread baked for the provision of one boon-work for winter sowing, 6 bushels.</t>
        </is>
      </c>
      <c r="C159" t="n">
        <v>0</v>
      </c>
      <c r="D159" t="n">
        <v>0</v>
      </c>
      <c r="E159" t="n">
        <v>0</v>
      </c>
      <c r="F159" t="n">
        <v>0</v>
      </c>
      <c r="H159" t="n">
        <v>0</v>
      </c>
      <c r="I159" t="n">
        <v>6</v>
      </c>
      <c r="J159" t="n">
        <v>0.75</v>
      </c>
      <c r="K159" t="n">
        <v>0.75</v>
      </c>
      <c r="L159" t="n">
        <v>0</v>
      </c>
      <c r="M159" t="n">
        <v>0</v>
      </c>
      <c r="N159" t="n">
        <v>6</v>
      </c>
    </row>
    <row r="160">
      <c r="A160" t="inlineStr">
        <is>
          <t>Wheat</t>
        </is>
      </c>
      <c r="B160" t="inlineStr">
        <is>
          <t>provision of the steward for his visits, 3 bushels Sold within, 121 quarters 2.5 bushels Total as made clear.</t>
        </is>
      </c>
      <c r="C160" t="n">
        <v>0</v>
      </c>
      <c r="D160" t="n">
        <v>0</v>
      </c>
      <c r="E160" t="n">
        <v>0</v>
      </c>
      <c r="F160" t="n">
        <v>0</v>
      </c>
      <c r="H160" t="n">
        <v>121</v>
      </c>
      <c r="I160" t="n">
        <v>2.5</v>
      </c>
      <c r="J160" t="n">
        <v>121.3125</v>
      </c>
      <c r="K160" t="n">
        <v>0.375</v>
      </c>
      <c r="L160" t="n">
        <v>120.9375</v>
      </c>
      <c r="M160" t="n">
        <v>0</v>
      </c>
      <c r="N160" t="n">
        <v>3</v>
      </c>
      <c r="O160" t="n">
        <v>121</v>
      </c>
      <c r="P160" t="n">
        <v>2.5</v>
      </c>
    </row>
    <row r="161">
      <c r="A161" t="inlineStr">
        <is>
          <t>Wheat</t>
        </is>
      </c>
      <c r="B161" t="inlineStr">
        <is>
          <t>It balances.</t>
        </is>
      </c>
      <c r="C161" t="n">
        <v>0</v>
      </c>
      <c r="D161" t="n">
        <v>0</v>
      </c>
      <c r="E161" t="n">
        <v>0</v>
      </c>
      <c r="F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</row>
    <row r="162">
      <c r="A162" t="inlineStr">
        <is>
          <t>Curall</t>
        </is>
      </c>
      <c r="B162" t="inlineStr">
        <is>
          <t>The same render account for 20 quarters 1 bushels of curall from the issue of the grange  threshed like wheat above.</t>
        </is>
      </c>
      <c r="C162" t="n">
        <v>0</v>
      </c>
      <c r="D162" t="n">
        <v>0</v>
      </c>
      <c r="E162" t="n">
        <v>0</v>
      </c>
      <c r="F162" t="n">
        <v>0</v>
      </c>
      <c r="G162" t="inlineStr">
        <is>
          <t>curall, wheat</t>
        </is>
      </c>
      <c r="H162" t="n">
        <v>20</v>
      </c>
      <c r="I162" t="n">
        <v>1</v>
      </c>
      <c r="J162" t="n">
        <v>20.125</v>
      </c>
      <c r="K162" t="n">
        <v>20.125</v>
      </c>
      <c r="L162" t="n">
        <v>0</v>
      </c>
      <c r="M162" t="n">
        <v>20</v>
      </c>
      <c r="N162" t="n">
        <v>1</v>
      </c>
    </row>
    <row r="163">
      <c r="A163" t="inlineStr">
        <is>
          <t>Curall</t>
        </is>
      </c>
      <c r="B163" t="inlineStr">
        <is>
          <t>Total, 20 quarters 1 bushels</t>
        </is>
      </c>
      <c r="C163" t="n">
        <v>0</v>
      </c>
      <c r="D163" t="n">
        <v>0</v>
      </c>
      <c r="E163" t="n">
        <v>0</v>
      </c>
      <c r="F163" t="n">
        <v>0</v>
      </c>
      <c r="H163" t="n">
        <v>20</v>
      </c>
      <c r="I163" t="n">
        <v>1</v>
      </c>
      <c r="J163" t="n">
        <v>20.125</v>
      </c>
      <c r="K163" t="n">
        <v>20.125</v>
      </c>
      <c r="L163" t="n">
        <v>0</v>
      </c>
      <c r="M163" t="n">
        <v>20</v>
      </c>
      <c r="N163" t="n">
        <v>1</v>
      </c>
    </row>
    <row r="164">
      <c r="A164" t="inlineStr">
        <is>
          <t>Curall</t>
        </is>
      </c>
      <c r="B164" t="inlineStr">
        <is>
          <t>Mixed for the liveries of the manorial servants, 14 quarters.</t>
        </is>
      </c>
      <c r="C164" t="n">
        <v>0</v>
      </c>
      <c r="D164" t="n">
        <v>0</v>
      </c>
      <c r="E164" t="n">
        <v>0</v>
      </c>
      <c r="F164" t="n">
        <v>0</v>
      </c>
      <c r="H164" t="n">
        <v>14</v>
      </c>
      <c r="I164" t="n">
        <v>0</v>
      </c>
      <c r="J164" t="n">
        <v>14</v>
      </c>
      <c r="K164" t="n">
        <v>14</v>
      </c>
      <c r="L164" t="n">
        <v>0</v>
      </c>
      <c r="M164" t="n">
        <v>14</v>
      </c>
      <c r="N164" t="n">
        <v>0</v>
      </c>
    </row>
    <row r="165">
      <c r="A165" t="inlineStr">
        <is>
          <t>Curall</t>
        </is>
      </c>
      <c r="B165" t="inlineStr">
        <is>
          <t>Sold within, 6 quarters 1 bushels It balances.</t>
        </is>
      </c>
      <c r="C165" t="n">
        <v>0</v>
      </c>
      <c r="D165" t="n">
        <v>0</v>
      </c>
      <c r="E165" t="n">
        <v>0</v>
      </c>
      <c r="F165" t="n">
        <v>0</v>
      </c>
      <c r="H165" t="n">
        <v>6</v>
      </c>
      <c r="I165" t="n">
        <v>1</v>
      </c>
      <c r="J165" t="n">
        <v>6.125</v>
      </c>
      <c r="K165" t="n">
        <v>6.125</v>
      </c>
      <c r="L165" t="n">
        <v>0</v>
      </c>
      <c r="M165" t="n">
        <v>6</v>
      </c>
      <c r="N165" t="n">
        <v>1</v>
      </c>
    </row>
    <row r="166">
      <c r="A166" t="inlineStr">
        <is>
          <t>Maslin</t>
        </is>
      </c>
      <c r="B166" t="inlineStr">
        <is>
          <t>{yield: 5.5-fold with wheat above}</t>
        </is>
      </c>
      <c r="C166" t="n">
        <v>0</v>
      </c>
      <c r="D166" t="n">
        <v>0</v>
      </c>
      <c r="E166" t="n">
        <v>0</v>
      </c>
      <c r="F166" t="n">
        <v>0</v>
      </c>
      <c r="G166" t="inlineStr">
        <is>
          <t>wheat</t>
        </is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</row>
    <row r="167">
      <c r="A167" t="inlineStr">
        <is>
          <t>Maslin</t>
        </is>
      </c>
      <c r="B167" t="inlineStr">
        <is>
          <t>The same render account for 12 quarters 7 bushels of maslin from the issue of the grange threshed as above.</t>
        </is>
      </c>
      <c r="C167" t="n">
        <v>0</v>
      </c>
      <c r="D167" t="n">
        <v>0</v>
      </c>
      <c r="E167" t="n">
        <v>0</v>
      </c>
      <c r="F167" t="n">
        <v>0</v>
      </c>
      <c r="G167" t="inlineStr">
        <is>
          <t>maslin</t>
        </is>
      </c>
      <c r="H167" t="n">
        <v>12</v>
      </c>
      <c r="I167" t="n">
        <v>7</v>
      </c>
      <c r="J167" t="n">
        <v>12.875</v>
      </c>
      <c r="K167" t="n">
        <v>12.875</v>
      </c>
      <c r="L167" t="n">
        <v>0</v>
      </c>
      <c r="M167" t="n">
        <v>12</v>
      </c>
      <c r="N167" t="n">
        <v>7</v>
      </c>
    </row>
    <row r="168">
      <c r="A168" t="inlineStr">
        <is>
          <t>Maslin</t>
        </is>
      </c>
      <c r="B168" t="inlineStr">
        <is>
          <t>Total, 12 quarters 7 bushels Sold within.</t>
        </is>
      </c>
      <c r="C168" t="n">
        <v>0</v>
      </c>
      <c r="D168" t="n">
        <v>0</v>
      </c>
      <c r="E168" t="n">
        <v>0</v>
      </c>
      <c r="F168" t="n">
        <v>0</v>
      </c>
      <c r="H168" t="n">
        <v>12</v>
      </c>
      <c r="I168" t="n">
        <v>7</v>
      </c>
      <c r="J168" t="n">
        <v>12.875</v>
      </c>
      <c r="K168" t="n">
        <v>12.875</v>
      </c>
      <c r="L168" t="n">
        <v>0</v>
      </c>
      <c r="M168" t="n">
        <v>12</v>
      </c>
      <c r="N168" t="n">
        <v>7</v>
      </c>
    </row>
    <row r="169">
      <c r="A169" t="inlineStr">
        <is>
          <t>Maslin</t>
        </is>
      </c>
      <c r="B169" t="inlineStr">
        <is>
          <t>It balances.</t>
        </is>
      </c>
      <c r="C169" t="n">
        <v>0</v>
      </c>
      <c r="D169" t="n">
        <v>0</v>
      </c>
      <c r="E169" t="n">
        <v>0</v>
      </c>
      <c r="F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</row>
    <row r="170">
      <c r="A170" t="inlineStr">
        <is>
          <t>Barley</t>
        </is>
      </c>
      <c r="B170" t="inlineStr">
        <is>
          <t>{yield: seven-fold less .5 quarters}</t>
        </is>
      </c>
      <c r="C170" t="n">
        <v>0</v>
      </c>
      <c r="D170" t="n">
        <v>0</v>
      </c>
      <c r="E170" t="n">
        <v>0</v>
      </c>
      <c r="F170" t="n">
        <v>0</v>
      </c>
      <c r="H170" t="n">
        <v>5</v>
      </c>
      <c r="I170" t="n">
        <v>0</v>
      </c>
      <c r="J170" t="n">
        <v>5</v>
      </c>
      <c r="K170" t="n">
        <v>5</v>
      </c>
      <c r="L170" t="n">
        <v>0</v>
      </c>
      <c r="M170" t="n">
        <v>5</v>
      </c>
      <c r="N170" t="n">
        <v>0</v>
      </c>
    </row>
    <row r="171">
      <c r="A171" t="inlineStr">
        <is>
          <t>Barley</t>
        </is>
      </c>
      <c r="B171" t="inlineStr">
        <is>
          <t>The same render account for 10 quarters of barley from the issue of the grange.</t>
        </is>
      </c>
      <c r="C171" t="n">
        <v>0</v>
      </c>
      <c r="D171" t="n">
        <v>0</v>
      </c>
      <c r="E171" t="n">
        <v>0</v>
      </c>
      <c r="F171" t="n">
        <v>0</v>
      </c>
      <c r="G171" t="inlineStr">
        <is>
          <t>barley</t>
        </is>
      </c>
      <c r="H171" t="n">
        <v>10</v>
      </c>
      <c r="I171" t="n">
        <v>0</v>
      </c>
      <c r="J171" t="n">
        <v>10</v>
      </c>
      <c r="K171" t="n">
        <v>10</v>
      </c>
      <c r="L171" t="n">
        <v>0</v>
      </c>
      <c r="M171" t="n">
        <v>10</v>
      </c>
      <c r="N171" t="n">
        <v>0</v>
      </c>
    </row>
    <row r="172">
      <c r="A172" t="inlineStr">
        <is>
          <t>Barley</t>
        </is>
      </c>
      <c r="B172" t="inlineStr">
        <is>
          <t>Total, 10 quarters.</t>
        </is>
      </c>
      <c r="C172" t="n">
        <v>0</v>
      </c>
      <c r="D172" t="n">
        <v>0</v>
      </c>
      <c r="E172" t="n">
        <v>0</v>
      </c>
      <c r="F172" t="n">
        <v>0</v>
      </c>
      <c r="H172" t="n">
        <v>10</v>
      </c>
      <c r="I172" t="n">
        <v>0</v>
      </c>
      <c r="J172" t="n">
        <v>10</v>
      </c>
      <c r="K172" t="n">
        <v>10</v>
      </c>
      <c r="L172" t="n">
        <v>0</v>
      </c>
      <c r="M172" t="n">
        <v>10</v>
      </c>
      <c r="N172" t="n">
        <v>0</v>
      </c>
    </row>
    <row r="173">
      <c r="A173" t="inlineStr">
        <is>
          <t>Barley</t>
        </is>
      </c>
      <c r="B173" t="inlineStr">
        <is>
          <t>Sown over 3 acres, 7.5 bushels.</t>
        </is>
      </c>
      <c r="C173" t="n">
        <v>0</v>
      </c>
      <c r="D173" t="n">
        <v>0</v>
      </c>
      <c r="E173" t="n">
        <v>0</v>
      </c>
      <c r="F173" t="n">
        <v>0</v>
      </c>
      <c r="H173" t="n">
        <v>0</v>
      </c>
      <c r="I173" t="n">
        <v>7.5</v>
      </c>
      <c r="J173" t="n">
        <v>0.9375</v>
      </c>
      <c r="K173" t="n">
        <v>0.9375</v>
      </c>
      <c r="L173" t="n">
        <v>0</v>
      </c>
      <c r="M173" t="n">
        <v>0</v>
      </c>
      <c r="N173" t="n">
        <v>7.5</v>
      </c>
    </row>
    <row r="174">
      <c r="A174" t="inlineStr">
        <is>
          <t>Barley</t>
        </is>
      </c>
      <c r="B174" t="inlineStr">
        <is>
          <t>that is, 2.5 bushels an acre.</t>
        </is>
      </c>
      <c r="C174" t="n">
        <v>0</v>
      </c>
      <c r="D174" t="n">
        <v>0</v>
      </c>
      <c r="E174" t="n">
        <v>0</v>
      </c>
      <c r="F174" t="n">
        <v>0</v>
      </c>
      <c r="H174" t="n">
        <v>0</v>
      </c>
      <c r="I174" t="n">
        <v>2.5</v>
      </c>
      <c r="J174" t="n">
        <v>0.3125</v>
      </c>
      <c r="K174" t="n">
        <v>0.3125</v>
      </c>
      <c r="L174" t="n">
        <v>0</v>
      </c>
      <c r="M174" t="n">
        <v>0</v>
      </c>
      <c r="N174" t="n">
        <v>2.5</v>
      </c>
    </row>
    <row r="175">
      <c r="A175" t="inlineStr">
        <is>
          <t>Barley</t>
        </is>
      </c>
      <c r="B175" t="inlineStr">
        <is>
          <t>.</t>
        </is>
      </c>
      <c r="C175" t="n">
        <v>0</v>
      </c>
      <c r="D175" t="n">
        <v>0</v>
      </c>
      <c r="E175" t="n">
        <v>0</v>
      </c>
      <c r="F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</row>
    <row r="176">
      <c r="A176" t="inlineStr">
        <is>
          <t>Barley</t>
        </is>
      </c>
      <c r="B176" t="inlineStr">
        <is>
          <t>supporting piglets, 5 bushels Mixed for the liveries of the manorial servants, 4 quarters 3.5 bushels Sold within, 1 quarters 3 bushels Sold at the audit, 2 quarters 5 bushels It balances.</t>
        </is>
      </c>
      <c r="C176" t="n">
        <v>0</v>
      </c>
      <c r="D176" t="n">
        <v>0</v>
      </c>
      <c r="E176" t="n">
        <v>0</v>
      </c>
      <c r="F176" t="n">
        <v>0</v>
      </c>
      <c r="H176" t="n">
        <v>7</v>
      </c>
      <c r="I176" t="n">
        <v>11.5</v>
      </c>
      <c r="J176" t="n">
        <v>8.4375</v>
      </c>
      <c r="K176" t="n">
        <v>0.625</v>
      </c>
      <c r="L176" t="n">
        <v>7.8125</v>
      </c>
      <c r="M176" t="n">
        <v>0</v>
      </c>
      <c r="N176" t="n">
        <v>5</v>
      </c>
      <c r="O176" t="n">
        <v>4</v>
      </c>
      <c r="P176" t="n">
        <v>3.5</v>
      </c>
      <c r="Q176" t="n">
        <v>1</v>
      </c>
      <c r="R176" t="n">
        <v>3</v>
      </c>
      <c r="S176" t="n">
        <v>2</v>
      </c>
      <c r="T176" t="n">
        <v>5</v>
      </c>
    </row>
    <row r="177">
      <c r="A177" t="inlineStr">
        <is>
          <t>Beans</t>
        </is>
      </c>
      <c r="B177" t="inlineStr">
        <is>
          <t>{yield: seven-fold less 1 quarters with 35 quarters by estimation remaining in the stack} The same render account for 1 quarters 2 bushels of beans remaining from the previous account.</t>
        </is>
      </c>
      <c r="C177" t="n">
        <v>0</v>
      </c>
      <c r="D177" t="n">
        <v>0</v>
      </c>
      <c r="E177" t="n">
        <v>0</v>
      </c>
      <c r="F177" t="n">
        <v>0</v>
      </c>
      <c r="G177" t="inlineStr">
        <is>
          <t>beans</t>
        </is>
      </c>
      <c r="H177" t="n">
        <v>36</v>
      </c>
      <c r="I177" t="n">
        <v>2</v>
      </c>
      <c r="J177" t="n">
        <v>36.25</v>
      </c>
      <c r="K177" t="n">
        <v>1</v>
      </c>
      <c r="L177" t="n">
        <v>35.25</v>
      </c>
      <c r="M177" t="n">
        <v>1</v>
      </c>
      <c r="N177" t="n">
        <v>0</v>
      </c>
      <c r="O177" t="n">
        <v>35</v>
      </c>
      <c r="P177" t="n">
        <v>0</v>
      </c>
      <c r="Q177" t="n">
        <v>1</v>
      </c>
      <c r="R177" t="n">
        <v>2</v>
      </c>
    </row>
    <row r="178">
      <c r="A178" t="inlineStr">
        <is>
          <t>Beans</t>
        </is>
      </c>
      <c r="B178" t="inlineStr">
        <is>
          <t>27 quarters from this year's issue.</t>
        </is>
      </c>
      <c r="C178" t="n">
        <v>0</v>
      </c>
      <c r="D178" t="n">
        <v>0</v>
      </c>
      <c r="E178" t="n">
        <v>0</v>
      </c>
      <c r="F178" t="n">
        <v>0</v>
      </c>
      <c r="H178" t="n">
        <v>27</v>
      </c>
      <c r="I178" t="n">
        <v>0</v>
      </c>
      <c r="J178" t="n">
        <v>27</v>
      </c>
      <c r="K178" t="n">
        <v>27</v>
      </c>
      <c r="L178" t="n">
        <v>0</v>
      </c>
      <c r="M178" t="n">
        <v>27</v>
      </c>
      <c r="N178" t="n">
        <v>0</v>
      </c>
    </row>
    <row r="179">
      <c r="A179" t="inlineStr">
        <is>
          <t>Beans</t>
        </is>
      </c>
      <c r="B179" t="inlineStr">
        <is>
          <t>Total, 28 quarters 2 bushels</t>
        </is>
      </c>
      <c r="C179" t="n">
        <v>0</v>
      </c>
      <c r="D179" t="n">
        <v>0</v>
      </c>
      <c r="E179" t="n">
        <v>0</v>
      </c>
      <c r="F179" t="n">
        <v>0</v>
      </c>
      <c r="H179" t="n">
        <v>28</v>
      </c>
      <c r="I179" t="n">
        <v>2</v>
      </c>
      <c r="J179" t="n">
        <v>28.25</v>
      </c>
      <c r="K179" t="n">
        <v>28.25</v>
      </c>
      <c r="L179" t="n">
        <v>0</v>
      </c>
      <c r="M179" t="n">
        <v>28</v>
      </c>
      <c r="N179" t="n">
        <v>2</v>
      </c>
    </row>
    <row r="180">
      <c r="A180" t="inlineStr">
        <is>
          <t>Beans</t>
        </is>
      </c>
      <c r="B180" t="inlineStr">
        <is>
          <t>Sown over 15 acres, 7 quarters 2 bushels.</t>
        </is>
      </c>
      <c r="C180" t="n">
        <v>0</v>
      </c>
      <c r="D180" t="n">
        <v>0</v>
      </c>
      <c r="E180" t="n">
        <v>0</v>
      </c>
      <c r="F180" t="n">
        <v>0</v>
      </c>
      <c r="H180" t="n">
        <v>7</v>
      </c>
      <c r="I180" t="n">
        <v>2</v>
      </c>
      <c r="J180" t="n">
        <v>7.25</v>
      </c>
      <c r="K180" t="n">
        <v>7.25</v>
      </c>
      <c r="L180" t="n">
        <v>0</v>
      </c>
      <c r="M180" t="n">
        <v>7</v>
      </c>
      <c r="N180" t="n">
        <v>2</v>
      </c>
    </row>
    <row r="181">
      <c r="A181" t="inlineStr">
        <is>
          <t>Beans</t>
        </is>
      </c>
      <c r="B181" t="inlineStr">
        <is>
          <t>that is, .5 quarters an acre, less 2 bushels in all.</t>
        </is>
      </c>
      <c r="C181" t="n">
        <v>0</v>
      </c>
      <c r="D181" t="n">
        <v>0</v>
      </c>
      <c r="E181" t="n">
        <v>0</v>
      </c>
      <c r="F181" t="n">
        <v>0</v>
      </c>
      <c r="H181" t="n">
        <v>5</v>
      </c>
      <c r="I181" t="n">
        <v>2</v>
      </c>
      <c r="J181" t="n">
        <v>5.25</v>
      </c>
      <c r="K181" t="n">
        <v>5</v>
      </c>
      <c r="L181" t="n">
        <v>0.25</v>
      </c>
      <c r="M181" t="n">
        <v>5</v>
      </c>
      <c r="N181" t="n">
        <v>0</v>
      </c>
      <c r="O181" t="n">
        <v>0</v>
      </c>
      <c r="P181" t="n">
        <v>2</v>
      </c>
    </row>
    <row r="182">
      <c r="A182" t="inlineStr">
        <is>
          <t>Beans</t>
        </is>
      </c>
      <c r="B182" t="inlineStr">
        <is>
          <t>.</t>
        </is>
      </c>
      <c r="C182" t="n">
        <v>0</v>
      </c>
      <c r="D182" t="n">
        <v>0</v>
      </c>
      <c r="E182" t="n">
        <v>0</v>
      </c>
      <c r="F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</row>
    <row r="183">
      <c r="A183" t="inlineStr">
        <is>
          <t>Beans</t>
        </is>
      </c>
      <c r="B183" t="inlineStr">
        <is>
          <t>feeding pigs, 2.5 quarters.</t>
        </is>
      </c>
      <c r="C183" t="n">
        <v>0</v>
      </c>
      <c r="D183" t="n">
        <v>0</v>
      </c>
      <c r="E183" t="n">
        <v>0</v>
      </c>
      <c r="F183" t="n">
        <v>0</v>
      </c>
      <c r="H183" t="n">
        <v>2.5</v>
      </c>
      <c r="I183" t="n">
        <v>0</v>
      </c>
      <c r="J183" t="n">
        <v>2.5</v>
      </c>
      <c r="K183" t="n">
        <v>2.5</v>
      </c>
      <c r="L183" t="n">
        <v>0</v>
      </c>
      <c r="M183" t="n">
        <v>2.5</v>
      </c>
      <c r="N183" t="n">
        <v>0</v>
      </c>
    </row>
    <row r="184">
      <c r="A184" t="inlineStr">
        <is>
          <t>Beans</t>
        </is>
      </c>
      <c r="B184" t="inlineStr">
        <is>
          <t>Mixed for the liveries of the manorial servants, 2 quarters 2 bushels Sold within, 16 quarters 2 bushels Total as above. 35 quarters by estimation remain in a certain stack.</t>
        </is>
      </c>
      <c r="C184" t="n">
        <v>0</v>
      </c>
      <c r="D184" t="n">
        <v>0</v>
      </c>
      <c r="E184" t="n">
        <v>0</v>
      </c>
      <c r="F184" t="n">
        <v>0</v>
      </c>
      <c r="H184" t="n">
        <v>51</v>
      </c>
      <c r="I184" t="n">
        <v>2</v>
      </c>
      <c r="J184" t="n">
        <v>51.25</v>
      </c>
      <c r="K184" t="n">
        <v>2.25</v>
      </c>
      <c r="L184" t="n">
        <v>49</v>
      </c>
      <c r="M184" t="n">
        <v>2</v>
      </c>
      <c r="N184" t="n">
        <v>2</v>
      </c>
      <c r="O184" t="n">
        <v>16</v>
      </c>
      <c r="P184" t="n">
        <v>2</v>
      </c>
      <c r="Q184" t="n">
        <v>35</v>
      </c>
      <c r="R184" t="n">
        <v>0</v>
      </c>
    </row>
    <row r="185">
      <c r="A185" t="inlineStr">
        <is>
          <t>Peas</t>
        </is>
      </c>
      <c r="B185" t="inlineStr">
        <is>
          <t>{yield: 7.5-fold less % bushels with the remainder in the stack}</t>
        </is>
      </c>
      <c r="C185" t="n">
        <v>0</v>
      </c>
      <c r="D185" t="n">
        <v>0</v>
      </c>
      <c r="E185" t="n">
        <v>0</v>
      </c>
      <c r="F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</row>
    <row r="186">
      <c r="A186" t="inlineStr">
        <is>
          <t>Peas</t>
        </is>
      </c>
      <c r="B186" t="inlineStr">
        <is>
          <t>The same render account for 6 quarters of peas remaining from the previous account.</t>
        </is>
      </c>
      <c r="C186" t="n">
        <v>0</v>
      </c>
      <c r="D186" t="n">
        <v>0</v>
      </c>
      <c r="E186" t="n">
        <v>0</v>
      </c>
      <c r="F186" t="n">
        <v>0</v>
      </c>
      <c r="G186" t="inlineStr">
        <is>
          <t>peas</t>
        </is>
      </c>
      <c r="H186" t="n">
        <v>6</v>
      </c>
      <c r="I186" t="n">
        <v>0</v>
      </c>
      <c r="J186" t="n">
        <v>6</v>
      </c>
      <c r="K186" t="n">
        <v>6</v>
      </c>
      <c r="L186" t="n">
        <v>0</v>
      </c>
      <c r="M186" t="n">
        <v>6</v>
      </c>
      <c r="N186" t="n">
        <v>0</v>
      </c>
    </row>
    <row r="187">
      <c r="A187" t="inlineStr">
        <is>
          <t>Peas</t>
        </is>
      </c>
      <c r="B187" t="inlineStr">
        <is>
          <t>1 quarters 5 bushels from this year's issue.</t>
        </is>
      </c>
      <c r="C187" t="n">
        <v>0</v>
      </c>
      <c r="D187" t="n">
        <v>0</v>
      </c>
      <c r="E187" t="n">
        <v>0</v>
      </c>
      <c r="F187" t="n">
        <v>0</v>
      </c>
      <c r="H187" t="n">
        <v>1</v>
      </c>
      <c r="I187" t="n">
        <v>5</v>
      </c>
      <c r="J187" t="n">
        <v>1.625</v>
      </c>
      <c r="K187" t="n">
        <v>1.625</v>
      </c>
      <c r="L187" t="n">
        <v>0</v>
      </c>
      <c r="M187" t="n">
        <v>1</v>
      </c>
      <c r="N187" t="n">
        <v>5</v>
      </c>
    </row>
    <row r="188">
      <c r="A188" t="inlineStr">
        <is>
          <t>Peas</t>
        </is>
      </c>
      <c r="B188" t="inlineStr">
        <is>
          <t>Total, 7 quarters 5 bushels</t>
        </is>
      </c>
      <c r="C188" t="n">
        <v>0</v>
      </c>
      <c r="D188" t="n">
        <v>0</v>
      </c>
      <c r="E188" t="n">
        <v>0</v>
      </c>
      <c r="F188" t="n">
        <v>0</v>
      </c>
      <c r="H188" t="n">
        <v>7</v>
      </c>
      <c r="I188" t="n">
        <v>5</v>
      </c>
      <c r="J188" t="n">
        <v>7.625</v>
      </c>
      <c r="K188" t="n">
        <v>7.625</v>
      </c>
      <c r="L188" t="n">
        <v>0</v>
      </c>
      <c r="M188" t="n">
        <v>7</v>
      </c>
      <c r="N188" t="n">
        <v>5</v>
      </c>
    </row>
    <row r="189">
      <c r="A189" t="inlineStr">
        <is>
          <t>Peas</t>
        </is>
      </c>
      <c r="B189" t="inlineStr">
        <is>
          <t>Sown over 2 acres, 2 bushels.</t>
        </is>
      </c>
      <c r="C189" t="n">
        <v>0</v>
      </c>
      <c r="D189" t="n">
        <v>0</v>
      </c>
      <c r="E189" t="n">
        <v>0</v>
      </c>
      <c r="F189" t="n">
        <v>0</v>
      </c>
      <c r="H189" t="n">
        <v>0</v>
      </c>
      <c r="I189" t="n">
        <v>2</v>
      </c>
      <c r="J189" t="n">
        <v>0.25</v>
      </c>
      <c r="K189" t="n">
        <v>0.25</v>
      </c>
      <c r="L189" t="n">
        <v>0</v>
      </c>
      <c r="M189" t="n">
        <v>0</v>
      </c>
      <c r="N189" t="n">
        <v>2</v>
      </c>
    </row>
    <row r="190">
      <c r="A190" t="inlineStr">
        <is>
          <t>Peas</t>
        </is>
      </c>
      <c r="B190" t="inlineStr">
        <is>
          <t>supporting pigs in winter, 1.5 quarters.</t>
        </is>
      </c>
      <c r="C190" t="n">
        <v>0</v>
      </c>
      <c r="D190" t="n">
        <v>0</v>
      </c>
      <c r="E190" t="n">
        <v>0</v>
      </c>
      <c r="F190" t="n">
        <v>0</v>
      </c>
      <c r="H190" t="n">
        <v>1.5</v>
      </c>
      <c r="I190" t="n">
        <v>0</v>
      </c>
      <c r="J190" t="n">
        <v>1.5</v>
      </c>
      <c r="K190" t="n">
        <v>1.5</v>
      </c>
      <c r="L190" t="n">
        <v>0</v>
      </c>
      <c r="M190" t="n">
        <v>1.5</v>
      </c>
      <c r="N190" t="n">
        <v>0</v>
      </c>
    </row>
    <row r="191">
      <c r="A191" t="inlineStr">
        <is>
          <t>Peas</t>
        </is>
      </c>
      <c r="B191" t="inlineStr">
        <is>
          <t>Sold within, 5 quarters.</t>
        </is>
      </c>
      <c r="C191" t="n">
        <v>0</v>
      </c>
      <c r="D191" t="n">
        <v>0</v>
      </c>
      <c r="E191" t="n">
        <v>0</v>
      </c>
      <c r="F191" t="n">
        <v>0</v>
      </c>
      <c r="H191" t="n">
        <v>5</v>
      </c>
      <c r="I191" t="n">
        <v>0</v>
      </c>
      <c r="J191" t="n">
        <v>5</v>
      </c>
      <c r="K191" t="n">
        <v>5</v>
      </c>
      <c r="L191" t="n">
        <v>0</v>
      </c>
      <c r="M191" t="n">
        <v>5</v>
      </c>
      <c r="N191" t="n">
        <v>0</v>
      </c>
    </row>
    <row r="192">
      <c r="A192" t="inlineStr">
        <is>
          <t>Peas</t>
        </is>
      </c>
      <c r="B192" t="inlineStr">
        <is>
          <t>Total as above. 3 quarters by estimation remain in the stack.</t>
        </is>
      </c>
      <c r="C192" t="n">
        <v>0</v>
      </c>
      <c r="D192" t="n">
        <v>0</v>
      </c>
      <c r="E192" t="n">
        <v>0</v>
      </c>
      <c r="F192" t="n">
        <v>0</v>
      </c>
      <c r="H192" t="n">
        <v>3</v>
      </c>
      <c r="I192" t="n">
        <v>0</v>
      </c>
      <c r="J192" t="n">
        <v>3</v>
      </c>
      <c r="K192" t="n">
        <v>3</v>
      </c>
      <c r="L192" t="n">
        <v>0</v>
      </c>
      <c r="M192" t="n">
        <v>3</v>
      </c>
      <c r="N192" t="n">
        <v>0</v>
      </c>
    </row>
    <row r="193">
      <c r="A193" t="inlineStr">
        <is>
          <t>Vetches</t>
        </is>
      </c>
      <c r="B193" t="inlineStr">
        <is>
          <t>{yield: 10.5-fold plus 1.5 bushels}</t>
        </is>
      </c>
      <c r="C193" t="n">
        <v>0</v>
      </c>
      <c r="D193" t="n">
        <v>0</v>
      </c>
      <c r="E193" t="n">
        <v>0</v>
      </c>
      <c r="F193" t="n">
        <v>0</v>
      </c>
      <c r="H193" t="n">
        <v>0</v>
      </c>
      <c r="I193" t="n">
        <v>1.5</v>
      </c>
      <c r="J193" t="n">
        <v>0.1875</v>
      </c>
      <c r="K193" t="n">
        <v>0.1875</v>
      </c>
      <c r="L193" t="n">
        <v>0</v>
      </c>
      <c r="M193" t="n">
        <v>0</v>
      </c>
      <c r="N193" t="n">
        <v>1.5</v>
      </c>
    </row>
    <row r="194">
      <c r="A194" t="inlineStr">
        <is>
          <t>Vetches</t>
        </is>
      </c>
      <c r="B194" t="inlineStr">
        <is>
          <t>The same render account for 1 quarters 6 bushels of vetches from the issue.</t>
        </is>
      </c>
      <c r="C194" t="n">
        <v>0</v>
      </c>
      <c r="D194" t="n">
        <v>0</v>
      </c>
      <c r="E194" t="n">
        <v>0</v>
      </c>
      <c r="F194" t="n">
        <v>0</v>
      </c>
      <c r="G194" t="inlineStr">
        <is>
          <t>vetches</t>
        </is>
      </c>
      <c r="H194" t="n">
        <v>1</v>
      </c>
      <c r="I194" t="n">
        <v>6</v>
      </c>
      <c r="J194" t="n">
        <v>1.75</v>
      </c>
      <c r="K194" t="n">
        <v>1.75</v>
      </c>
      <c r="L194" t="n">
        <v>0</v>
      </c>
      <c r="M194" t="n">
        <v>1</v>
      </c>
      <c r="N194" t="n">
        <v>6</v>
      </c>
    </row>
    <row r="195">
      <c r="A195" t="inlineStr">
        <is>
          <t>Vetches</t>
        </is>
      </c>
      <c r="B195" t="inlineStr">
        <is>
          <t>Total, 1 quarters 6 bushels</t>
        </is>
      </c>
      <c r="C195" t="n">
        <v>0</v>
      </c>
      <c r="D195" t="n">
        <v>0</v>
      </c>
      <c r="E195" t="n">
        <v>0</v>
      </c>
      <c r="F195" t="n">
        <v>0</v>
      </c>
      <c r="H195" t="n">
        <v>1</v>
      </c>
      <c r="I195" t="n">
        <v>6</v>
      </c>
      <c r="J195" t="n">
        <v>1.75</v>
      </c>
      <c r="K195" t="n">
        <v>1.75</v>
      </c>
      <c r="L195" t="n">
        <v>0</v>
      </c>
      <c r="M195" t="n">
        <v>1</v>
      </c>
      <c r="N195" t="n">
        <v>6</v>
      </c>
    </row>
    <row r="196">
      <c r="A196" t="inlineStr">
        <is>
          <t>Vetches</t>
        </is>
      </c>
      <c r="B196" t="inlineStr">
        <is>
          <t>Sown over 3 acres, 3 bushels Sold within, 1 quarters 3 bushels Total as above. 5 quarters by estimation remain in the stack.</t>
        </is>
      </c>
      <c r="C196" t="n">
        <v>0</v>
      </c>
      <c r="D196" t="n">
        <v>0</v>
      </c>
      <c r="E196" t="n">
        <v>0</v>
      </c>
      <c r="F196" t="n">
        <v>0</v>
      </c>
      <c r="H196" t="n">
        <v>6</v>
      </c>
      <c r="I196" t="n">
        <v>3</v>
      </c>
      <c r="J196" t="n">
        <v>6.375</v>
      </c>
      <c r="K196" t="n">
        <v>0.375</v>
      </c>
      <c r="L196" t="n">
        <v>6</v>
      </c>
      <c r="M196" t="n">
        <v>0</v>
      </c>
      <c r="N196" t="n">
        <v>3</v>
      </c>
      <c r="O196" t="n">
        <v>1</v>
      </c>
      <c r="P196" t="n">
        <v>3</v>
      </c>
      <c r="Q196" t="n">
        <v>5</v>
      </c>
      <c r="R196" t="n">
        <v>0</v>
      </c>
    </row>
    <row r="197">
      <c r="A197" t="inlineStr">
        <is>
          <t>Oats</t>
        </is>
      </c>
      <c r="B197" t="inlineStr">
        <is>
          <t>{yield: 3-fold plus 7 quarters 6 bushels}</t>
        </is>
      </c>
      <c r="C197" t="n">
        <v>0</v>
      </c>
      <c r="D197" t="n">
        <v>0</v>
      </c>
      <c r="E197" t="n">
        <v>0</v>
      </c>
      <c r="F197" t="n">
        <v>0</v>
      </c>
      <c r="H197" t="n">
        <v>7</v>
      </c>
      <c r="I197" t="n">
        <v>6</v>
      </c>
      <c r="J197" t="n">
        <v>7.75</v>
      </c>
      <c r="K197" t="n">
        <v>7.75</v>
      </c>
      <c r="L197" t="n">
        <v>0</v>
      </c>
      <c r="M197" t="n">
        <v>7</v>
      </c>
      <c r="N197" t="n">
        <v>6</v>
      </c>
    </row>
    <row r="198">
      <c r="A198" t="inlineStr">
        <is>
          <t>Oats</t>
        </is>
      </c>
      <c r="B198" t="inlineStr">
        <is>
          <t>The same render account for 107 quarters 7 bushels of oats froln the issue.</t>
        </is>
      </c>
      <c r="C198" t="n">
        <v>0</v>
      </c>
      <c r="D198" t="n">
        <v>0</v>
      </c>
      <c r="E198" t="n">
        <v>0</v>
      </c>
      <c r="F198" t="n">
        <v>0</v>
      </c>
      <c r="G198" t="inlineStr">
        <is>
          <t>oats</t>
        </is>
      </c>
      <c r="H198" t="n">
        <v>107</v>
      </c>
      <c r="I198" t="n">
        <v>7</v>
      </c>
      <c r="J198" t="n">
        <v>107.875</v>
      </c>
      <c r="K198" t="n">
        <v>107.875</v>
      </c>
      <c r="L198" t="n">
        <v>0</v>
      </c>
      <c r="M198" t="n">
        <v>107</v>
      </c>
      <c r="N198" t="n">
        <v>7</v>
      </c>
    </row>
    <row r="199">
      <c r="A199" t="inlineStr">
        <is>
          <t>Oats</t>
        </is>
      </c>
      <c r="B199" t="inlineStr">
        <is>
          <t>Total, 107 quarters 7 bushels</t>
        </is>
      </c>
      <c r="C199" t="n">
        <v>0</v>
      </c>
      <c r="D199" t="n">
        <v>0</v>
      </c>
      <c r="E199" t="n">
        <v>0</v>
      </c>
      <c r="F199" t="n">
        <v>0</v>
      </c>
      <c r="H199" t="n">
        <v>107</v>
      </c>
      <c r="I199" t="n">
        <v>7</v>
      </c>
      <c r="J199" t="n">
        <v>107.875</v>
      </c>
      <c r="K199" t="n">
        <v>107.875</v>
      </c>
      <c r="L199" t="n">
        <v>0</v>
      </c>
      <c r="M199" t="n">
        <v>107</v>
      </c>
      <c r="N199" t="n">
        <v>7</v>
      </c>
    </row>
    <row r="200">
      <c r="A200" t="inlineStr">
        <is>
          <t>Oats</t>
        </is>
      </c>
      <c r="B200" t="inlineStr">
        <is>
          <t>Sown over 129 acres, 48 quarters.</t>
        </is>
      </c>
      <c r="C200" t="n">
        <v>0</v>
      </c>
      <c r="D200" t="n">
        <v>0</v>
      </c>
      <c r="E200" t="n">
        <v>0</v>
      </c>
      <c r="F200" t="n">
        <v>0</v>
      </c>
      <c r="H200" t="n">
        <v>48</v>
      </c>
      <c r="I200" t="n">
        <v>0</v>
      </c>
      <c r="J200" t="n">
        <v>48</v>
      </c>
      <c r="K200" t="n">
        <v>48</v>
      </c>
      <c r="L200" t="n">
        <v>0</v>
      </c>
      <c r="M200" t="n">
        <v>48</v>
      </c>
      <c r="N200" t="n">
        <v>0</v>
      </c>
    </row>
    <row r="201">
      <c r="A201" t="inlineStr">
        <is>
          <t>Oats</t>
        </is>
      </c>
      <c r="B201" t="inlineStr">
        <is>
          <t>that is, 3 bushels an acre.</t>
        </is>
      </c>
      <c r="C201" t="n">
        <v>0</v>
      </c>
      <c r="D201" t="n">
        <v>0</v>
      </c>
      <c r="E201" t="n">
        <v>0</v>
      </c>
      <c r="F201" t="n">
        <v>0</v>
      </c>
      <c r="H201" t="n">
        <v>0</v>
      </c>
      <c r="I201" t="n">
        <v>3</v>
      </c>
      <c r="J201" t="n">
        <v>0.375</v>
      </c>
      <c r="K201" t="n">
        <v>0.375</v>
      </c>
      <c r="L201" t="n">
        <v>0</v>
      </c>
      <c r="M201" t="n">
        <v>0</v>
      </c>
      <c r="N201" t="n">
        <v>3</v>
      </c>
    </row>
    <row r="202">
      <c r="A202" t="inlineStr">
        <is>
          <t>Oats</t>
        </is>
      </c>
      <c r="B202" t="inlineStr">
        <is>
          <t>.</t>
        </is>
      </c>
      <c r="C202" t="n">
        <v>0</v>
      </c>
      <c r="D202" t="n">
        <v>0</v>
      </c>
      <c r="E202" t="n">
        <v>0</v>
      </c>
      <c r="F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</row>
    <row r="203">
      <c r="A203" t="inlineStr">
        <is>
          <t>Oats</t>
        </is>
      </c>
      <c r="B203" t="inlineStr">
        <is>
          <t>customary payment of the manorial servants in Lent, 1 quarters.</t>
        </is>
      </c>
      <c r="C203" t="n">
        <v>0</v>
      </c>
      <c r="D203" t="n">
        <v>0</v>
      </c>
      <c r="E203" t="n">
        <v>0</v>
      </c>
      <c r="F203" t="n">
        <v>0</v>
      </c>
      <c r="H203" t="n">
        <v>1</v>
      </c>
      <c r="I203" t="n">
        <v>0</v>
      </c>
      <c r="J203" t="n">
        <v>1</v>
      </c>
      <c r="K203" t="n">
        <v>1</v>
      </c>
      <c r="L203" t="n">
        <v>0</v>
      </c>
      <c r="M203" t="n">
        <v>1</v>
      </c>
      <c r="N203" t="n">
        <v>0</v>
      </c>
    </row>
    <row r="204">
      <c r="A204" t="inlineStr">
        <is>
          <t>Oats</t>
        </is>
      </c>
      <c r="B204" t="inlineStr">
        <is>
          <t>.</t>
        </is>
      </c>
      <c r="C204" t="n">
        <v>0</v>
      </c>
      <c r="D204" t="n">
        <v>0</v>
      </c>
      <c r="E204" t="n">
        <v>0</v>
      </c>
      <c r="F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</row>
    <row r="205">
      <c r="A205" t="inlineStr">
        <is>
          <t>Oats</t>
        </is>
      </c>
      <c r="B205" t="inlineStr">
        <is>
          <t>fodder of the plough-horses in winter, 1.5 quarters.</t>
        </is>
      </c>
      <c r="C205" t="n">
        <v>0</v>
      </c>
      <c r="D205" t="n">
        <v>0</v>
      </c>
      <c r="E205" t="n">
        <v>0</v>
      </c>
      <c r="F205" t="n">
        <v>0</v>
      </c>
      <c r="H205" t="n">
        <v>1.5</v>
      </c>
      <c r="I205" t="n">
        <v>0</v>
      </c>
      <c r="J205" t="n">
        <v>1.5</v>
      </c>
      <c r="K205" t="n">
        <v>1.5</v>
      </c>
      <c r="L205" t="n">
        <v>0</v>
      </c>
      <c r="M205" t="n">
        <v>1.5</v>
      </c>
      <c r="N205" t="n">
        <v>0</v>
      </c>
    </row>
    <row r="206">
      <c r="A206" t="inlineStr">
        <is>
          <t>Oats</t>
        </is>
      </c>
      <c r="B206" t="inlineStr">
        <is>
          <t>.</t>
        </is>
      </c>
      <c r="C206" t="n">
        <v>0</v>
      </c>
      <c r="D206" t="n">
        <v>0</v>
      </c>
      <c r="E206" t="n">
        <v>0</v>
      </c>
      <c r="F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</row>
    <row r="207">
      <c r="A207" t="inlineStr">
        <is>
          <t>Oats</t>
        </is>
      </c>
      <c r="B207" t="inlineStr">
        <is>
          <t>fodder of the horses of the steward and his clerk for their visits, 1 quarters, by 2 tallies of 2 bushels, within with expenses.</t>
        </is>
      </c>
      <c r="C207" t="n">
        <v>0</v>
      </c>
      <c r="D207" t="n">
        <v>0</v>
      </c>
      <c r="E207" t="n">
        <v>0</v>
      </c>
      <c r="F207" t="n">
        <v>0</v>
      </c>
      <c r="H207" t="n">
        <v>1</v>
      </c>
      <c r="I207" t="n">
        <v>2</v>
      </c>
      <c r="J207" t="n">
        <v>1.25</v>
      </c>
      <c r="K207" t="n">
        <v>1</v>
      </c>
      <c r="L207" t="n">
        <v>0.25</v>
      </c>
      <c r="M207" t="n">
        <v>1</v>
      </c>
      <c r="N207" t="n">
        <v>0</v>
      </c>
      <c r="O207" t="n">
        <v>0</v>
      </c>
      <c r="P207" t="n">
        <v>2</v>
      </c>
    </row>
    <row r="208">
      <c r="A208" t="inlineStr">
        <is>
          <t>Oats</t>
        </is>
      </c>
      <c r="B208" t="inlineStr">
        <is>
          <t>.</t>
        </is>
      </c>
      <c r="C208" t="n">
        <v>0</v>
      </c>
      <c r="D208" t="n">
        <v>0</v>
      </c>
      <c r="E208" t="n">
        <v>0</v>
      </c>
      <c r="F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</row>
    <row r="209">
      <c r="A209" t="inlineStr">
        <is>
          <t>Oats</t>
        </is>
      </c>
      <c r="B209" t="inlineStr">
        <is>
          <t>a gratuity made to the beadle of the hundred of Horethorne of fodder for his horse, 1 quarters.</t>
        </is>
      </c>
      <c r="C209" t="n">
        <v>0</v>
      </c>
      <c r="D209" t="n">
        <v>0</v>
      </c>
      <c r="E209" t="n">
        <v>0</v>
      </c>
      <c r="F209" t="n">
        <v>0</v>
      </c>
      <c r="H209" t="n">
        <v>1</v>
      </c>
      <c r="I209" t="n">
        <v>0</v>
      </c>
      <c r="J209" t="n">
        <v>1</v>
      </c>
      <c r="K209" t="n">
        <v>1</v>
      </c>
      <c r="L209" t="n">
        <v>0</v>
      </c>
      <c r="M209" t="n">
        <v>1</v>
      </c>
      <c r="N209" t="n">
        <v>0</v>
      </c>
    </row>
    <row r="210">
      <c r="A210" t="inlineStr">
        <is>
          <t>Oats</t>
        </is>
      </c>
      <c r="B210" t="inlineStr">
        <is>
          <t>Sold within, 54 quarters 6 bushels</t>
        </is>
      </c>
      <c r="C210" t="n">
        <v>0</v>
      </c>
      <c r="D210" t="n">
        <v>0</v>
      </c>
      <c r="E210" t="n">
        <v>0</v>
      </c>
      <c r="F210" t="n">
        <v>0</v>
      </c>
      <c r="H210" t="n">
        <v>54</v>
      </c>
      <c r="I210" t="n">
        <v>6</v>
      </c>
      <c r="J210" t="n">
        <v>54.75</v>
      </c>
      <c r="K210" t="n">
        <v>54.75</v>
      </c>
      <c r="L210" t="n">
        <v>0</v>
      </c>
      <c r="M210" t="n">
        <v>54</v>
      </c>
      <c r="N210" t="n">
        <v>6</v>
      </c>
    </row>
    <row r="211">
      <c r="A211" t="inlineStr">
        <is>
          <t>Issues of the mill</t>
        </is>
      </c>
      <c r="B211" t="inlineStr">
        <is>
          <t>The same render account for 1 quarters 5 bushels of wheat from the issue of the mill for the year.</t>
        </is>
      </c>
      <c r="C211" t="n">
        <v>0</v>
      </c>
      <c r="D211" t="n">
        <v>0</v>
      </c>
      <c r="E211" t="n">
        <v>0</v>
      </c>
      <c r="F211" t="n">
        <v>0</v>
      </c>
      <c r="G211" t="inlineStr">
        <is>
          <t>wheat</t>
        </is>
      </c>
      <c r="H211" t="n">
        <v>1</v>
      </c>
      <c r="I211" t="n">
        <v>5</v>
      </c>
      <c r="J211" t="n">
        <v>1.625</v>
      </c>
      <c r="K211" t="n">
        <v>1.625</v>
      </c>
      <c r="L211" t="n">
        <v>0</v>
      </c>
      <c r="M211" t="n">
        <v>1</v>
      </c>
      <c r="N211" t="n">
        <v>5</v>
      </c>
    </row>
    <row r="212">
      <c r="A212" t="inlineStr">
        <is>
          <t>Issues of the mill</t>
        </is>
      </c>
      <c r="B212" t="inlineStr">
        <is>
          <t>Total, 1 quarters 5 bushels All sold within.</t>
        </is>
      </c>
      <c r="C212" t="n">
        <v>0</v>
      </c>
      <c r="D212" t="n">
        <v>0</v>
      </c>
      <c r="E212" t="n">
        <v>0</v>
      </c>
      <c r="F212" t="n">
        <v>0</v>
      </c>
      <c r="H212" t="n">
        <v>1</v>
      </c>
      <c r="I212" t="n">
        <v>5</v>
      </c>
      <c r="J212" t="n">
        <v>1.625</v>
      </c>
      <c r="K212" t="n">
        <v>1.625</v>
      </c>
      <c r="L212" t="n">
        <v>0</v>
      </c>
      <c r="M212" t="n">
        <v>1</v>
      </c>
      <c r="N212" t="n">
        <v>5</v>
      </c>
    </row>
    <row r="213">
      <c r="A213" t="inlineStr">
        <is>
          <t>Issues of the mill</t>
        </is>
      </c>
      <c r="B213" t="inlineStr">
        <is>
          <t>It balances.</t>
        </is>
      </c>
      <c r="C213" t="n">
        <v>0</v>
      </c>
      <c r="D213" t="n">
        <v>0</v>
      </c>
      <c r="E213" t="n">
        <v>0</v>
      </c>
      <c r="F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</row>
    <row r="214">
      <c r="A214" t="inlineStr">
        <is>
          <t>Issues of the mill</t>
        </is>
      </c>
      <c r="B214" t="inlineStr">
        <is>
          <t>The same render account for 9 quarters 2 bushels of maslin from the issue of the mill for the year.</t>
        </is>
      </c>
      <c r="C214" t="n">
        <v>0</v>
      </c>
      <c r="D214" t="n">
        <v>0</v>
      </c>
      <c r="E214" t="n">
        <v>0</v>
      </c>
      <c r="F214" t="n">
        <v>0</v>
      </c>
      <c r="G214" t="inlineStr">
        <is>
          <t>maslin</t>
        </is>
      </c>
      <c r="H214" t="n">
        <v>9</v>
      </c>
      <c r="I214" t="n">
        <v>2</v>
      </c>
      <c r="J214" t="n">
        <v>9.25</v>
      </c>
      <c r="K214" t="n">
        <v>9.25</v>
      </c>
      <c r="L214" t="n">
        <v>0</v>
      </c>
      <c r="M214" t="n">
        <v>9</v>
      </c>
      <c r="N214" t="n">
        <v>2</v>
      </c>
    </row>
    <row r="215">
      <c r="A215" t="inlineStr">
        <is>
          <t>Issues of the mill</t>
        </is>
      </c>
      <c r="B215" t="inlineStr">
        <is>
          <t>Mixed for the liveries of the manorial servants, 9 quarters 2 bushels Total, 9 quarters 2 bushels It balances.The same render account for 3 quarters 5.5 bushels of first-grade and second-grade malt from the issue of the mill for the year.</t>
        </is>
      </c>
      <c r="C215" t="n">
        <v>0</v>
      </c>
      <c r="D215" t="n">
        <v>0</v>
      </c>
      <c r="E215" t="n">
        <v>0</v>
      </c>
      <c r="F215" t="n">
        <v>0</v>
      </c>
      <c r="G215" t="inlineStr">
        <is>
          <t>second-grade malt</t>
        </is>
      </c>
      <c r="H215" t="n">
        <v>12</v>
      </c>
      <c r="I215" t="n">
        <v>7.5</v>
      </c>
      <c r="J215" t="n">
        <v>12.9375</v>
      </c>
      <c r="K215" t="n">
        <v>9.25</v>
      </c>
      <c r="L215" t="n">
        <v>3.6875</v>
      </c>
      <c r="M215" t="n">
        <v>9</v>
      </c>
      <c r="N215" t="n">
        <v>2</v>
      </c>
      <c r="O215" t="n">
        <v>9</v>
      </c>
      <c r="P215" t="n">
        <v>2</v>
      </c>
      <c r="Q215" t="n">
        <v>3</v>
      </c>
      <c r="R215" t="n">
        <v>5.5</v>
      </c>
    </row>
    <row r="216">
      <c r="A216" t="inlineStr">
        <is>
          <t>Issues of the mill</t>
        </is>
      </c>
      <c r="B216" t="inlineStr">
        <is>
          <t>Total, 3 quarters 5.5 bushels Sold within.</t>
        </is>
      </c>
      <c r="C216" t="n">
        <v>0</v>
      </c>
      <c r="D216" t="n">
        <v>0</v>
      </c>
      <c r="E216" t="n">
        <v>0</v>
      </c>
      <c r="F216" t="n">
        <v>0</v>
      </c>
      <c r="H216" t="n">
        <v>3</v>
      </c>
      <c r="I216" t="n">
        <v>5.5</v>
      </c>
      <c r="J216" t="n">
        <v>3.6875</v>
      </c>
      <c r="K216" t="n">
        <v>3.6875</v>
      </c>
      <c r="L216" t="n">
        <v>0</v>
      </c>
      <c r="M216" t="n">
        <v>3</v>
      </c>
      <c r="N216" t="n">
        <v>5.5</v>
      </c>
    </row>
    <row r="217">
      <c r="A217" t="inlineStr">
        <is>
          <t>Proof of liveries</t>
        </is>
      </c>
      <c r="B217" t="inlineStr">
        <is>
          <t>The same render account for 14 quarters of curall, 4 quarters 3.5 bushels of barley, 2 bushels of beans, and 9 quarters 2 bushels of maslin from the mill above, mixed for the liveries of the manorial servants.</t>
        </is>
      </c>
      <c r="C217" t="n">
        <v>0</v>
      </c>
      <c r="D217" t="n">
        <v>0</v>
      </c>
      <c r="E217" t="n">
        <v>0</v>
      </c>
      <c r="F217" t="n">
        <v>0</v>
      </c>
      <c r="G217" t="inlineStr">
        <is>
          <t>barley, maslin, beans, curall</t>
        </is>
      </c>
      <c r="H217" t="n">
        <v>13</v>
      </c>
      <c r="I217" t="n">
        <v>7.5</v>
      </c>
      <c r="J217" t="n">
        <v>13.9375</v>
      </c>
      <c r="K217" t="n">
        <v>14</v>
      </c>
      <c r="L217" t="n">
        <v>-0.0625</v>
      </c>
      <c r="M217" t="n">
        <v>14</v>
      </c>
      <c r="N217" t="n">
        <v>0</v>
      </c>
      <c r="O217" t="n">
        <v>4</v>
      </c>
      <c r="P217" t="n">
        <v>3.5</v>
      </c>
      <c r="Q217" t="n">
        <v>0</v>
      </c>
      <c r="R217" t="n">
        <v>2</v>
      </c>
      <c r="S217" t="n">
        <v>9</v>
      </c>
      <c r="T217" t="n">
        <v>2</v>
      </c>
    </row>
    <row r="218">
      <c r="A218" t="inlineStr">
        <is>
          <t>Proof of liveries</t>
        </is>
      </c>
      <c r="B218" t="inlineStr">
        <is>
          <t>Total, 29 quarters 7.5 bushels</t>
        </is>
      </c>
      <c r="C218" t="n">
        <v>0</v>
      </c>
      <c r="D218" t="n">
        <v>0</v>
      </c>
      <c r="E218" t="n">
        <v>0</v>
      </c>
      <c r="F218" t="n">
        <v>0</v>
      </c>
      <c r="H218" t="n">
        <v>29</v>
      </c>
      <c r="I218" t="n">
        <v>7.5</v>
      </c>
      <c r="J218" t="n">
        <v>29.9375</v>
      </c>
      <c r="K218" t="n">
        <v>29.9375</v>
      </c>
      <c r="L218" t="n">
        <v>0</v>
      </c>
      <c r="M218" t="n">
        <v>29</v>
      </c>
      <c r="N218" t="n">
        <v>7.5</v>
      </c>
    </row>
    <row r="219">
      <c r="A219" t="inlineStr">
        <is>
          <t>Proof of liveries</t>
        </is>
      </c>
      <c r="B219" t="inlineStr">
        <is>
          <t>Delivered to 1 carter holding the place of the hayward, 2 ox-drovers, 1 miller and 1 shepherd for the year, 21 quarters 4.5 bushels, each taking 1 quarters every 12 weeks.</t>
        </is>
      </c>
      <c r="C219" t="n">
        <v>0</v>
      </c>
      <c r="D219" t="n">
        <v>0</v>
      </c>
      <c r="E219" t="n">
        <v>0</v>
      </c>
      <c r="F219" t="n">
        <v>0</v>
      </c>
      <c r="H219" t="n">
        <v>1</v>
      </c>
      <c r="I219" t="n">
        <v>4.5</v>
      </c>
      <c r="J219" t="n">
        <v>1.5625</v>
      </c>
      <c r="K219" t="n">
        <v>21.5625</v>
      </c>
      <c r="L219" t="n">
        <v>-20</v>
      </c>
      <c r="M219" t="n">
        <v>21</v>
      </c>
      <c r="N219" t="n">
        <v>4.5</v>
      </c>
      <c r="O219" t="n">
        <v>1</v>
      </c>
      <c r="P219" t="n">
        <v>0</v>
      </c>
    </row>
    <row r="220">
      <c r="A220" t="inlineStr">
        <is>
          <t>Proof of liveries</t>
        </is>
      </c>
      <c r="B220" t="inlineStr">
        <is>
          <t>Delivered to 1 woman keeping the hearth in winter, .5 quarters.</t>
        </is>
      </c>
      <c r="C220" t="n">
        <v>0</v>
      </c>
      <c r="D220" t="n">
        <v>0</v>
      </c>
      <c r="E220" t="n">
        <v>0</v>
      </c>
      <c r="F220" t="n">
        <v>0</v>
      </c>
      <c r="H220" t="n">
        <v>5</v>
      </c>
      <c r="I220" t="n">
        <v>0</v>
      </c>
      <c r="J220" t="n">
        <v>5</v>
      </c>
      <c r="K220" t="n">
        <v>5</v>
      </c>
      <c r="L220" t="n">
        <v>0</v>
      </c>
      <c r="M220" t="n">
        <v>5</v>
      </c>
      <c r="N220" t="n">
        <v>0</v>
      </c>
    </row>
    <row r="221">
      <c r="A221" t="inlineStr">
        <is>
          <t>Proof of liveries</t>
        </is>
      </c>
      <c r="B221" t="inlineStr">
        <is>
          <t>Delivered to 1 cowherd and 1 swineherd for the year, 6.5 quarters, both taking r li quarters every 16 weeks.</t>
        </is>
      </c>
      <c r="C221" t="n">
        <v>0</v>
      </c>
      <c r="D221" t="n">
        <v>0</v>
      </c>
      <c r="E221" t="n">
        <v>0</v>
      </c>
      <c r="F221" t="n">
        <v>0</v>
      </c>
      <c r="H221" t="n">
        <v>6.5</v>
      </c>
      <c r="I221" t="n">
        <v>0</v>
      </c>
      <c r="J221" t="n">
        <v>6.5</v>
      </c>
      <c r="K221" t="n">
        <v>6.5</v>
      </c>
      <c r="L221" t="n">
        <v>0</v>
      </c>
      <c r="M221" t="n">
        <v>6.5</v>
      </c>
      <c r="N221" t="n">
        <v>0</v>
      </c>
    </row>
    <row r="222">
      <c r="A222" t="inlineStr">
        <is>
          <t>Proof of liveries</t>
        </is>
      </c>
      <c r="B222" t="inlineStr">
        <is>
          <t>Delivered to 1 dairymaid for 22 weeks before Michaelmas, 1 quarters 3 bushels, taking 1 quarters every 16 weeks.</t>
        </is>
      </c>
      <c r="C222" t="n">
        <v>0</v>
      </c>
      <c r="D222" t="n">
        <v>0</v>
      </c>
      <c r="E222" t="n">
        <v>0</v>
      </c>
      <c r="F222" t="n">
        <v>0</v>
      </c>
      <c r="H222" t="n">
        <v>1</v>
      </c>
      <c r="I222" t="n">
        <v>3</v>
      </c>
      <c r="J222" t="n">
        <v>1.375</v>
      </c>
      <c r="K222" t="n">
        <v>1.375</v>
      </c>
      <c r="L222" t="n">
        <v>0</v>
      </c>
      <c r="M222" t="n">
        <v>1</v>
      </c>
      <c r="N222" t="n">
        <v>3</v>
      </c>
      <c r="O222" t="n">
        <v>1</v>
      </c>
      <c r="P222" t="n">
        <v>0</v>
      </c>
    </row>
    <row r="223">
      <c r="A223" t="inlineStr">
        <is>
          <t>Proof of liveries</t>
        </is>
      </c>
      <c r="B223" t="inlineStr">
        <is>
          <t>Total, 29 quarters 7.5 bushels</t>
        </is>
      </c>
      <c r="C223" t="n">
        <v>0</v>
      </c>
      <c r="D223" t="n">
        <v>0</v>
      </c>
      <c r="E223" t="n">
        <v>0</v>
      </c>
      <c r="F223" t="n">
        <v>0</v>
      </c>
      <c r="H223" t="n">
        <v>29</v>
      </c>
      <c r="I223" t="n">
        <v>7.5</v>
      </c>
      <c r="J223" t="n">
        <v>29.9375</v>
      </c>
      <c r="K223" t="n">
        <v>29.9375</v>
      </c>
      <c r="L223" t="n">
        <v>0</v>
      </c>
      <c r="M223" t="n">
        <v>29</v>
      </c>
      <c r="N223" t="n">
        <v>7.5</v>
      </c>
    </row>
    <row r="224">
      <c r="A224" t="inlineStr">
        <is>
          <t>Stock</t>
        </is>
      </c>
      <c r="B224" t="inlineStr">
        <is>
          <t>Plough-horses: 2 females remain.</t>
        </is>
      </c>
      <c r="C224" t="n">
        <v>0</v>
      </c>
      <c r="D224" t="n">
        <v>0</v>
      </c>
      <c r="E224" t="n">
        <v>0</v>
      </c>
      <c r="F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</row>
    <row r="225">
      <c r="A225" t="inlineStr">
        <is>
          <t>Stock</t>
        </is>
      </c>
      <c r="B225" t="inlineStr">
        <is>
          <t>1 female from strays. 1 from strays sold within.</t>
        </is>
      </c>
      <c r="C225" t="n">
        <v>0</v>
      </c>
      <c r="D225" t="n">
        <v>0</v>
      </c>
      <c r="E225" t="n">
        <v>0</v>
      </c>
      <c r="F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</row>
    <row r="226">
      <c r="A226" t="inlineStr">
        <is>
          <t>Stock</t>
        </is>
      </c>
      <c r="B226" t="inlineStr">
        <is>
          <t>Total, 1. 2 females remain.</t>
        </is>
      </c>
      <c r="C226" t="n">
        <v>0</v>
      </c>
      <c r="D226" t="n">
        <v>0</v>
      </c>
      <c r="E226" t="n">
        <v>0</v>
      </c>
      <c r="F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</row>
    <row r="227">
      <c r="A227" t="inlineStr">
        <is>
          <t>Stock</t>
        </is>
      </c>
      <c r="B227" t="inlineStr">
        <is>
          <t>Colts: 2 remain, one male aged 1.5 years, the other female aged .5 year.</t>
        </is>
      </c>
      <c r="C227" t="n">
        <v>0</v>
      </c>
      <c r="D227" t="n">
        <v>0</v>
      </c>
      <c r="E227" t="n">
        <v>0</v>
      </c>
      <c r="F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</row>
    <row r="228">
      <c r="A228" t="inlineStr">
        <is>
          <t>Stock</t>
        </is>
      </c>
      <c r="B228" t="inlineStr">
        <is>
          <t>1 female from this year's offspring.</t>
        </is>
      </c>
      <c r="C228" t="n">
        <v>0</v>
      </c>
      <c r="D228" t="n">
        <v>0</v>
      </c>
      <c r="E228" t="n">
        <v>0</v>
      </c>
      <c r="F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</row>
    <row r="229">
      <c r="A229" t="inlineStr">
        <is>
          <t>Stock</t>
        </is>
      </c>
      <c r="B229" t="inlineStr">
        <is>
          <t>Total, 3. 1 fully-grown male aged 2 years sold within.</t>
        </is>
      </c>
      <c r="C229" t="n">
        <v>0</v>
      </c>
      <c r="D229" t="n">
        <v>0</v>
      </c>
      <c r="E229" t="n">
        <v>0</v>
      </c>
      <c r="F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</row>
    <row r="230">
      <c r="A230" t="inlineStr">
        <is>
          <t>Stock</t>
        </is>
      </c>
      <c r="B230" t="inlineStr">
        <is>
          <t>2 females remain, 1 aged 1.5 years, the other .5 year.</t>
        </is>
      </c>
      <c r="C230" t="n">
        <v>0</v>
      </c>
      <c r="D230" t="n">
        <v>0</v>
      </c>
      <c r="E230" t="n">
        <v>0</v>
      </c>
      <c r="F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</row>
    <row r="231">
      <c r="A231" t="inlineStr">
        <is>
          <t>Stock</t>
        </is>
      </c>
      <c r="B231" t="inlineStr">
        <is>
          <t>Oxen: 36 remain.</t>
        </is>
      </c>
      <c r="C231" t="n">
        <v>0</v>
      </c>
      <c r="D231" t="n">
        <v>0</v>
      </c>
      <c r="E231" t="n">
        <v>0</v>
      </c>
      <c r="F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</row>
    <row r="232">
      <c r="A232" t="inlineStr">
        <is>
          <t>Stock</t>
        </is>
      </c>
      <c r="B232" t="inlineStr">
        <is>
          <t>2 added from steers below.</t>
        </is>
      </c>
      <c r="C232" t="n">
        <v>0</v>
      </c>
      <c r="D232" t="n">
        <v>0</v>
      </c>
      <c r="E232" t="n">
        <v>0</v>
      </c>
      <c r="F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</row>
    <row r="233">
      <c r="A233" t="inlineStr">
        <is>
          <t>Stock</t>
        </is>
      </c>
      <c r="B233" t="inlineStr">
        <is>
          <t>1 from the heriot of Richard de Bosco.</t>
        </is>
      </c>
      <c r="C233" t="n">
        <v>0</v>
      </c>
      <c r="D233" t="n">
        <v>0</v>
      </c>
      <c r="E233" t="n">
        <v>0</v>
      </c>
      <c r="F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</row>
    <row r="234">
      <c r="A234" t="inlineStr">
        <is>
          <t>Stock</t>
        </is>
      </c>
      <c r="B234" t="inlineStr">
        <is>
          <t>12 bought within.</t>
        </is>
      </c>
      <c r="C234" t="n">
        <v>0</v>
      </c>
      <c r="D234" t="n">
        <v>0</v>
      </c>
      <c r="E234" t="n">
        <v>0</v>
      </c>
      <c r="F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</row>
    <row r="235">
      <c r="A235" t="inlineStr">
        <is>
          <t>Stock</t>
        </is>
      </c>
      <c r="B235" t="inlineStr">
        <is>
          <t>Total, 51. 3 in murrain.</t>
        </is>
      </c>
      <c r="C235" t="n">
        <v>0</v>
      </c>
      <c r="D235" t="n">
        <v>0</v>
      </c>
      <c r="E235" t="n">
        <v>0</v>
      </c>
      <c r="F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</row>
    <row r="236">
      <c r="A236" t="inlineStr">
        <is>
          <t>Stock</t>
        </is>
      </c>
      <c r="B236" t="inlineStr">
        <is>
          <t>13 sold within.</t>
        </is>
      </c>
      <c r="C236" t="n">
        <v>0</v>
      </c>
      <c r="D236" t="n">
        <v>0</v>
      </c>
      <c r="E236" t="n">
        <v>0</v>
      </c>
      <c r="F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</row>
    <row r="237">
      <c r="A237" t="inlineStr">
        <is>
          <t>Stock</t>
        </is>
      </c>
      <c r="B237" t="inlineStr">
        <is>
          <t>Total, 16. 35 remain.</t>
        </is>
      </c>
      <c r="C237" t="n">
        <v>0</v>
      </c>
      <c r="D237" t="n">
        <v>0</v>
      </c>
      <c r="E237" t="n">
        <v>0</v>
      </c>
      <c r="F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</row>
    <row r="238">
      <c r="A238" t="inlineStr">
        <is>
          <t>Stock</t>
        </is>
      </c>
      <c r="B238" t="inlineStr">
        <is>
          <t>Bulls: 1 remains.</t>
        </is>
      </c>
      <c r="C238" t="n">
        <v>0</v>
      </c>
      <c r="D238" t="n">
        <v>0</v>
      </c>
      <c r="E238" t="n">
        <v>0</v>
      </c>
      <c r="F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</row>
    <row r="239">
      <c r="A239" t="inlineStr">
        <is>
          <t>Stock</t>
        </is>
      </c>
      <c r="B239" t="inlineStr">
        <is>
          <t>Total, 1. 1 remains.</t>
        </is>
      </c>
      <c r="C239" t="n">
        <v>0</v>
      </c>
      <c r="D239" t="n">
        <v>0</v>
      </c>
      <c r="E239" t="n">
        <v>0</v>
      </c>
      <c r="F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</row>
    <row r="240">
      <c r="A240" t="inlineStr">
        <is>
          <t>Stock</t>
        </is>
      </c>
      <c r="B240" t="inlineStr">
        <is>
          <t>Cows: 18 remain.</t>
        </is>
      </c>
      <c r="C240" t="n">
        <v>0</v>
      </c>
      <c r="D240" t="n">
        <v>0</v>
      </c>
      <c r="E240" t="n">
        <v>0</v>
      </c>
      <c r="F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</row>
    <row r="241">
      <c r="A241" t="inlineStr">
        <is>
          <t>Stock</t>
        </is>
      </c>
      <c r="B241" t="inlineStr">
        <is>
          <t>Total, 18. 2 in murrain before calving, 2 after calving.</t>
        </is>
      </c>
      <c r="C241" t="n">
        <v>0</v>
      </c>
      <c r="D241" t="n">
        <v>0</v>
      </c>
      <c r="E241" t="n">
        <v>0</v>
      </c>
      <c r="F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</row>
    <row r="242">
      <c r="A242" t="inlineStr">
        <is>
          <t>Stock</t>
        </is>
      </c>
      <c r="B242" t="inlineStr">
        <is>
          <t>Total, 4. 14 remain.</t>
        </is>
      </c>
      <c r="C242" t="n">
        <v>0</v>
      </c>
      <c r="D242" t="n">
        <v>0</v>
      </c>
      <c r="E242" t="n">
        <v>0</v>
      </c>
      <c r="F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</row>
    <row r="243">
      <c r="A243" t="inlineStr">
        <is>
          <t>Stock</t>
        </is>
      </c>
      <c r="B243" t="inlineStr">
        <is>
          <t>Steers: 5 steers and heifers (juvenc') remain from the previous year's bullocks.</t>
        </is>
      </c>
      <c r="C243" t="n">
        <v>0</v>
      </c>
      <c r="D243" t="n">
        <v>0</v>
      </c>
      <c r="E243" t="n">
        <v>0</v>
      </c>
      <c r="F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</row>
    <row r="244">
      <c r="A244" t="inlineStr">
        <is>
          <t>Stock</t>
        </is>
      </c>
      <c r="B244" t="inlineStr">
        <is>
          <t>Total, 5. 2 added to oxen above.</t>
        </is>
      </c>
      <c r="C244" t="n">
        <v>0</v>
      </c>
      <c r="D244" t="n">
        <v>0</v>
      </c>
      <c r="E244" t="n">
        <v>0</v>
      </c>
      <c r="F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</row>
    <row r="245">
      <c r="A245" t="inlineStr">
        <is>
          <t>Stock</t>
        </is>
      </c>
      <c r="B245" t="inlineStr">
        <is>
          <t>3 in murrain.</t>
        </is>
      </c>
      <c r="C245" t="n">
        <v>0</v>
      </c>
      <c r="D245" t="n">
        <v>0</v>
      </c>
      <c r="E245" t="n">
        <v>0</v>
      </c>
      <c r="F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</row>
    <row r="246">
      <c r="A246" t="inlineStr">
        <is>
          <t>Stock</t>
        </is>
      </c>
      <c r="B246" t="inlineStr">
        <is>
          <t>Total, 5. None remain.</t>
        </is>
      </c>
      <c r="C246" t="n">
        <v>0</v>
      </c>
      <c r="D246" t="n">
        <v>0</v>
      </c>
      <c r="E246" t="n">
        <v>0</v>
      </c>
      <c r="F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</row>
    <row r="247">
      <c r="A247" t="inlineStr">
        <is>
          <t>Stock</t>
        </is>
      </c>
      <c r="B247" t="inlineStr">
        <is>
          <t>Bullocks: 6 remain from the previous year's yearlings, 2 of them male. 2 young heifers (bovicul' fem') in murrain.</t>
        </is>
      </c>
      <c r="C247" t="n">
        <v>0</v>
      </c>
      <c r="D247" t="n">
        <v>0</v>
      </c>
      <c r="E247" t="n">
        <v>0</v>
      </c>
      <c r="F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</row>
    <row r="248">
      <c r="A248" t="inlineStr">
        <is>
          <t>Stock</t>
        </is>
      </c>
      <c r="B248" t="inlineStr">
        <is>
          <t>1 young heifer sold within.</t>
        </is>
      </c>
      <c r="C248" t="n">
        <v>0</v>
      </c>
      <c r="D248" t="n">
        <v>0</v>
      </c>
      <c r="E248" t="n">
        <v>0</v>
      </c>
      <c r="F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</row>
    <row r="249">
      <c r="A249" t="inlineStr">
        <is>
          <t>Stock</t>
        </is>
      </c>
      <c r="B249" t="inlineStr">
        <is>
          <t>Total, 3. 2 bullocks and 1 heifer (juvenc') remain.</t>
        </is>
      </c>
      <c r="C249" t="n">
        <v>0</v>
      </c>
      <c r="D249" t="n">
        <v>0</v>
      </c>
      <c r="E249" t="n">
        <v>0</v>
      </c>
      <c r="F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</row>
    <row r="250">
      <c r="A250" t="inlineStr">
        <is>
          <t>Stock</t>
        </is>
      </c>
      <c r="B250" t="inlineStr">
        <is>
          <t>Yearlings: 9 remain from the previous year's calves, 5 of them male.</t>
        </is>
      </c>
      <c r="C250" t="n">
        <v>0</v>
      </c>
      <c r="D250" t="n">
        <v>0</v>
      </c>
      <c r="E250" t="n">
        <v>0</v>
      </c>
      <c r="F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</row>
    <row r="251">
      <c r="A251" t="inlineStr">
        <is>
          <t>Stock</t>
        </is>
      </c>
      <c r="B251" t="inlineStr">
        <is>
          <t>Total, 9. 9 remain, 5 of them male.</t>
        </is>
      </c>
      <c r="C251" t="n">
        <v>0</v>
      </c>
      <c r="D251" t="n">
        <v>0</v>
      </c>
      <c r="E251" t="n">
        <v>0</v>
      </c>
      <c r="F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</row>
    <row r="252">
      <c r="A252" t="inlineStr">
        <is>
          <t>Stock</t>
        </is>
      </c>
      <c r="B252" t="inlineStr">
        <is>
          <t>Calves: 14 from the offspring of the aforesaid cows and not more because 2 cows sterile and 2 in murrain before calving.</t>
        </is>
      </c>
      <c r="C252" t="n">
        <v>0</v>
      </c>
      <c r="D252" t="n">
        <v>0</v>
      </c>
      <c r="E252" t="n">
        <v>0</v>
      </c>
      <c r="F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</row>
    <row r="253">
      <c r="A253" t="inlineStr">
        <is>
          <t>Stock</t>
        </is>
      </c>
      <c r="B253" t="inlineStr">
        <is>
          <t>Total, 14. 1 in tithe.</t>
        </is>
      </c>
      <c r="C253" t="n">
        <v>0</v>
      </c>
      <c r="D253" t="n">
        <v>0</v>
      </c>
      <c r="E253" t="n">
        <v>0</v>
      </c>
      <c r="F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</row>
    <row r="254">
      <c r="A254" t="inlineStr">
        <is>
          <t>Stock</t>
        </is>
      </c>
      <c r="B254" t="inlineStr">
        <is>
          <t>7 in murrain.</t>
        </is>
      </c>
      <c r="C254" t="n">
        <v>0</v>
      </c>
      <c r="D254" t="n">
        <v>0</v>
      </c>
      <c r="E254" t="n">
        <v>0</v>
      </c>
      <c r="F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</row>
    <row r="255">
      <c r="A255" t="inlineStr">
        <is>
          <t>Stock</t>
        </is>
      </c>
      <c r="B255" t="inlineStr">
        <is>
          <t>Total, 8. 6 remain, 2 of them male.</t>
        </is>
      </c>
      <c r="C255" t="n">
        <v>0</v>
      </c>
      <c r="D255" t="n">
        <v>0</v>
      </c>
      <c r="E255" t="n">
        <v>0</v>
      </c>
      <c r="F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</row>
    <row r="256">
      <c r="A256" t="inlineStr">
        <is>
          <t>Stock</t>
        </is>
      </c>
      <c r="B256" t="inlineStr">
        <is>
          <t>Pigs: 16 remain.</t>
        </is>
      </c>
      <c r="C256" t="n">
        <v>0</v>
      </c>
      <c r="D256" t="n">
        <v>0</v>
      </c>
      <c r="E256" t="n">
        <v>0</v>
      </c>
      <c r="F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</row>
    <row r="257">
      <c r="A257" t="inlineStr">
        <is>
          <t>Stock</t>
        </is>
      </c>
      <c r="B257" t="inlineStr">
        <is>
          <t>38 added from hoggets below.</t>
        </is>
      </c>
      <c r="C257" t="n">
        <v>0</v>
      </c>
      <c r="D257" t="n">
        <v>0</v>
      </c>
      <c r="E257" t="n">
        <v>0</v>
      </c>
      <c r="F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</row>
    <row r="258">
      <c r="A258" t="inlineStr">
        <is>
          <t>Stock</t>
        </is>
      </c>
      <c r="B258" t="inlineStr">
        <is>
          <t>Total, 54. 2 in murrain in autumn.</t>
        </is>
      </c>
      <c r="C258" t="n">
        <v>0</v>
      </c>
      <c r="D258" t="n">
        <v>0</v>
      </c>
      <c r="E258" t="n">
        <v>0</v>
      </c>
      <c r="F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</row>
    <row r="259">
      <c r="A259" t="inlineStr">
        <is>
          <t>Stock</t>
        </is>
      </c>
      <c r="B259" t="inlineStr">
        <is>
          <t>25 sold within.</t>
        </is>
      </c>
      <c r="C259" t="n">
        <v>0</v>
      </c>
      <c r="D259" t="n">
        <v>0</v>
      </c>
      <c r="E259" t="n">
        <v>0</v>
      </c>
      <c r="F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</row>
    <row r="260">
      <c r="A260" t="inlineStr">
        <is>
          <t>Stock</t>
        </is>
      </c>
      <c r="B260" t="inlineStr">
        <is>
          <t>Total, 27. 27 remain.</t>
        </is>
      </c>
      <c r="C260" t="n">
        <v>0</v>
      </c>
      <c r="D260" t="n">
        <v>0</v>
      </c>
      <c r="E260" t="n">
        <v>0</v>
      </c>
      <c r="F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</row>
    <row r="261">
      <c r="A261" t="inlineStr">
        <is>
          <t>Stock</t>
        </is>
      </c>
      <c r="B261" t="inlineStr">
        <is>
          <t>Boars (Aper): 1 remains.</t>
        </is>
      </c>
      <c r="C261" t="n">
        <v>0</v>
      </c>
      <c r="D261" t="n">
        <v>0</v>
      </c>
      <c r="E261" t="n">
        <v>0</v>
      </c>
      <c r="F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</row>
    <row r="262">
      <c r="A262" t="inlineStr">
        <is>
          <t>Stock</t>
        </is>
      </c>
      <c r="B262" t="inlineStr">
        <is>
          <t>Sows: 3 remain.</t>
        </is>
      </c>
      <c r="C262" t="n">
        <v>0</v>
      </c>
      <c r="D262" t="n">
        <v>0</v>
      </c>
      <c r="E262" t="n">
        <v>0</v>
      </c>
      <c r="F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</row>
    <row r="263">
      <c r="A263" t="inlineStr">
        <is>
          <t>Stock</t>
        </is>
      </c>
      <c r="B263" t="inlineStr">
        <is>
          <t>Hoggets: 38 remain from the piglets of the previous account.</t>
        </is>
      </c>
      <c r="C263" t="n">
        <v>0</v>
      </c>
      <c r="D263" t="n">
        <v>0</v>
      </c>
      <c r="E263" t="n">
        <v>0</v>
      </c>
      <c r="F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</row>
    <row r="264">
      <c r="A264" t="inlineStr">
        <is>
          <t>Stock</t>
        </is>
      </c>
      <c r="B264" t="inlineStr">
        <is>
          <t>Total, 38. 38 added above to pigs.</t>
        </is>
      </c>
      <c r="C264" t="n">
        <v>0</v>
      </c>
      <c r="D264" t="n">
        <v>0</v>
      </c>
      <c r="E264" t="n">
        <v>0</v>
      </c>
      <c r="F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</row>
    <row r="265">
      <c r="A265" t="inlineStr">
        <is>
          <t>Stock</t>
        </is>
      </c>
      <c r="B265" t="inlineStr">
        <is>
          <t>Total as above.</t>
        </is>
      </c>
      <c r="C265" t="n">
        <v>0</v>
      </c>
      <c r="D265" t="n">
        <v>0</v>
      </c>
      <c r="E265" t="n">
        <v>0</v>
      </c>
      <c r="F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</row>
    <row r="266">
      <c r="A266" t="inlineStr">
        <is>
          <t>Stock</t>
        </is>
      </c>
      <c r="B266" t="inlineStr">
        <is>
          <t>None remain.</t>
        </is>
      </c>
      <c r="C266" t="n">
        <v>0</v>
      </c>
      <c r="D266" t="n">
        <v>0</v>
      </c>
      <c r="E266" t="n">
        <v>0</v>
      </c>
      <c r="F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</row>
    <row r="267">
      <c r="A267" t="inlineStr">
        <is>
          <t>Stock</t>
        </is>
      </c>
      <c r="B267" t="inlineStr">
        <is>
          <t>Piglets: 14 farrowed in October.</t>
        </is>
      </c>
      <c r="C267" t="n">
        <v>0</v>
      </c>
      <c r="D267" t="n">
        <v>0</v>
      </c>
      <c r="E267" t="n">
        <v>0</v>
      </c>
      <c r="F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</row>
    <row r="268">
      <c r="A268" t="inlineStr">
        <is>
          <t>Stock</t>
        </is>
      </c>
      <c r="B268" t="inlineStr">
        <is>
          <t>13 farrowed in February.</t>
        </is>
      </c>
      <c r="C268" t="n">
        <v>0</v>
      </c>
      <c r="D268" t="n">
        <v>0</v>
      </c>
      <c r="E268" t="n">
        <v>0</v>
      </c>
      <c r="F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</row>
    <row r="269">
      <c r="A269" t="inlineStr">
        <is>
          <t>Stock</t>
        </is>
      </c>
      <c r="B269" t="inlineStr">
        <is>
          <t>17 farrowed in June.</t>
        </is>
      </c>
      <c r="C269" t="n">
        <v>0</v>
      </c>
      <c r="D269" t="n">
        <v>0</v>
      </c>
      <c r="E269" t="n">
        <v>0</v>
      </c>
      <c r="F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</row>
    <row r="270">
      <c r="A270" t="inlineStr">
        <is>
          <t>Stock</t>
        </is>
      </c>
      <c r="B270" t="inlineStr">
        <is>
          <t>Total, 44. 4 in tithe.</t>
        </is>
      </c>
      <c r="C270" t="n">
        <v>0</v>
      </c>
      <c r="D270" t="n">
        <v>0</v>
      </c>
      <c r="E270" t="n">
        <v>0</v>
      </c>
      <c r="F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</row>
    <row r="271">
      <c r="A271" t="inlineStr">
        <is>
          <t>Stock</t>
        </is>
      </c>
      <c r="B271" t="inlineStr">
        <is>
          <t>8 in murrain.</t>
        </is>
      </c>
      <c r="C271" t="n">
        <v>0</v>
      </c>
      <c r="D271" t="n">
        <v>0</v>
      </c>
      <c r="E271" t="n">
        <v>0</v>
      </c>
      <c r="F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</row>
    <row r="272">
      <c r="A272" t="inlineStr">
        <is>
          <t>Stock</t>
        </is>
      </c>
      <c r="B272" t="inlineStr">
        <is>
          <t>Total, 12. 32 remain.</t>
        </is>
      </c>
      <c r="C272" t="n">
        <v>0</v>
      </c>
      <c r="D272" t="n">
        <v>0</v>
      </c>
      <c r="E272" t="n">
        <v>0</v>
      </c>
      <c r="F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</row>
    <row r="273">
      <c r="A273" t="inlineStr">
        <is>
          <t>Stock</t>
        </is>
      </c>
      <c r="B273" t="inlineStr">
        <is>
          <t>Hides: 3 from oxen, 4 from cows, 3 from heifers, 2 from bullocks and 7 from calves in murrain above.</t>
        </is>
      </c>
      <c r="C273" t="n">
        <v>0</v>
      </c>
      <c r="D273" t="n">
        <v>0</v>
      </c>
      <c r="E273" t="n">
        <v>0</v>
      </c>
      <c r="F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</row>
    <row r="274">
      <c r="A274" t="inlineStr">
        <is>
          <t>Stock</t>
        </is>
      </c>
      <c r="B274" t="inlineStr">
        <is>
          <t>Total, 19. All so1pence</t>
        </is>
      </c>
      <c r="C274" t="n">
        <v>0</v>
      </c>
      <c r="D274" t="n">
        <v>0</v>
      </c>
      <c r="E274" t="n">
        <v>0</v>
      </c>
      <c r="F274" t="n">
        <v>1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</row>
    <row r="275">
      <c r="A275" t="inlineStr">
        <is>
          <t>Stock</t>
        </is>
      </c>
      <c r="B275" t="inlineStr">
        <is>
          <t>Cider: 2 casks remain from the previous account.</t>
        </is>
      </c>
      <c r="C275" t="n">
        <v>0</v>
      </c>
      <c r="D275" t="n">
        <v>0</v>
      </c>
      <c r="E275" t="n">
        <v>0</v>
      </c>
      <c r="F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</row>
    <row r="276">
      <c r="A276" t="inlineStr">
        <is>
          <t>Stock</t>
        </is>
      </c>
      <c r="B276" t="inlineStr">
        <is>
          <t>2 casks from the issue of the garden this year.</t>
        </is>
      </c>
      <c r="C276" t="n">
        <v>0</v>
      </c>
      <c r="D276" t="n">
        <v>0</v>
      </c>
      <c r="E276" t="n">
        <v>0</v>
      </c>
      <c r="F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</row>
    <row r="277">
      <c r="A277" t="inlineStr">
        <is>
          <t>Stock</t>
        </is>
      </c>
      <c r="B277" t="inlineStr">
        <is>
          <t>Total, 4. 2 casks sold within.</t>
        </is>
      </c>
      <c r="C277" t="n">
        <v>0</v>
      </c>
      <c r="D277" t="n">
        <v>0</v>
      </c>
      <c r="E277" t="n">
        <v>0</v>
      </c>
      <c r="F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</row>
    <row r="278">
      <c r="A278" t="inlineStr">
        <is>
          <t>Stock</t>
        </is>
      </c>
      <c r="B278" t="inlineStr">
        <is>
          <t>Total, 2. 2 casks remain.</t>
        </is>
      </c>
      <c r="C278" t="n">
        <v>0</v>
      </c>
      <c r="D278" t="n">
        <v>0</v>
      </c>
      <c r="E278" t="n">
        <v>0</v>
      </c>
      <c r="F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</row>
    <row r="279">
      <c r="A279" t="inlineStr">
        <is>
          <t>Stock</t>
        </is>
      </c>
      <c r="B279" t="inlineStr">
        <is>
          <t>Cheese: {yield of cow 3 shilling this year and not more on account of the sickness of others this year}: 19 rowen cheeses.</t>
        </is>
      </c>
      <c r="C279" t="n">
        <v>0.15</v>
      </c>
      <c r="D279" t="n">
        <v>0</v>
      </c>
      <c r="E279" t="n">
        <v>3</v>
      </c>
      <c r="F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</row>
    <row r="280">
      <c r="A280" t="inlineStr">
        <is>
          <t>Stock</t>
        </is>
      </c>
      <c r="B280" t="inlineStr">
        <is>
          <t>162 from the issue of the dairy between Saturday before the feast of St George (21 April) and Michaelmas (29 September), at 1 cheese a day, the first and last day includepence Total, 181. 16 in payment of tithe.</t>
        </is>
      </c>
      <c r="C280" t="n">
        <v>0</v>
      </c>
      <c r="D280" t="n">
        <v>0</v>
      </c>
      <c r="E280" t="n">
        <v>0</v>
      </c>
      <c r="F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</row>
    <row r="281">
      <c r="A281" t="inlineStr">
        <is>
          <t>Stock</t>
        </is>
      </c>
      <c r="B281" t="inlineStr">
        <is>
          <t>1 in customary payment to the dairymaid.</t>
        </is>
      </c>
      <c r="C281" t="n">
        <v>0</v>
      </c>
      <c r="D281" t="n">
        <v>0</v>
      </c>
      <c r="E281" t="n">
        <v>0</v>
      </c>
      <c r="F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</row>
    <row r="282">
      <c r="A282" t="inlineStr">
        <is>
          <t>Stock</t>
        </is>
      </c>
      <c r="B282" t="inlineStr">
        <is>
          <t>1 in provision of the steward.</t>
        </is>
      </c>
      <c r="C282" t="n">
        <v>0</v>
      </c>
      <c r="D282" t="n">
        <v>0</v>
      </c>
      <c r="E282" t="n">
        <v>0</v>
      </c>
      <c r="F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</row>
    <row r="283">
      <c r="A283" t="inlineStr">
        <is>
          <t>Stock</t>
        </is>
      </c>
      <c r="B283" t="inlineStr">
        <is>
          <t>3 in provision of the bailiff and others at harvest-time.</t>
        </is>
      </c>
      <c r="C283" t="n">
        <v>0</v>
      </c>
      <c r="D283" t="n">
        <v>0</v>
      </c>
      <c r="E283" t="n">
        <v>0</v>
      </c>
      <c r="F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</row>
    <row r="284">
      <c r="A284" t="inlineStr">
        <is>
          <t>Stock</t>
        </is>
      </c>
      <c r="B284" t="inlineStr">
        <is>
          <t>19 rowens sold within without weighing.</t>
        </is>
      </c>
      <c r="C284" t="n">
        <v>0</v>
      </c>
      <c r="D284" t="n">
        <v>0</v>
      </c>
      <c r="E284" t="n">
        <v>0</v>
      </c>
      <c r="F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</row>
    <row r="285">
      <c r="A285" t="inlineStr">
        <is>
          <t>Stock</t>
        </is>
      </c>
      <c r="B285" t="inlineStr">
        <is>
          <t>141 from the issue of the summer, weighing 2.5 weys and 3 stone.</t>
        </is>
      </c>
      <c r="C285" t="n">
        <v>0</v>
      </c>
      <c r="D285" t="n">
        <v>0</v>
      </c>
      <c r="E285" t="n">
        <v>0</v>
      </c>
      <c r="F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</row>
    <row r="286">
      <c r="A286" t="inlineStr">
        <is>
          <t>Stock</t>
        </is>
      </c>
      <c r="B286" t="inlineStr">
        <is>
          <t>Total as above.</t>
        </is>
      </c>
      <c r="C286" t="n">
        <v>0</v>
      </c>
      <c r="D286" t="n">
        <v>0</v>
      </c>
      <c r="E286" t="n">
        <v>0</v>
      </c>
      <c r="F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</row>
    <row r="287">
      <c r="A287" t="inlineStr">
        <is>
          <t>Stock</t>
        </is>
      </c>
      <c r="B287" t="inlineStr">
        <is>
          <t>None remain.</t>
        </is>
      </c>
      <c r="C287" t="n">
        <v>0</v>
      </c>
      <c r="D287" t="n">
        <v>0</v>
      </c>
      <c r="E287" t="n">
        <v>0</v>
      </c>
      <c r="F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</row>
    <row r="288">
      <c r="A288" t="inlineStr">
        <is>
          <t>Stock</t>
        </is>
      </c>
      <c r="B288" t="inlineStr">
        <is>
          <t>Butter: all sold within by the dish.</t>
        </is>
      </c>
      <c r="C288" t="n">
        <v>0</v>
      </c>
      <c r="D288" t="n">
        <v>0</v>
      </c>
      <c r="E288" t="n">
        <v>0</v>
      </c>
      <c r="F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</row>
    <row r="289">
      <c r="A289" t="inlineStr">
        <is>
          <t>Stock</t>
        </is>
      </c>
      <c r="B289" t="inlineStr">
        <is>
          <t>Plough feet: 1 remains.</t>
        </is>
      </c>
      <c r="C289" t="n">
        <v>0</v>
      </c>
      <c r="D289" t="n">
        <v>0</v>
      </c>
      <c r="E289" t="n">
        <v>0</v>
      </c>
      <c r="F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</row>
    <row r="290">
      <c r="A290" t="inlineStr">
        <is>
          <t>Stock</t>
        </is>
      </c>
      <c r="B290" t="inlineStr">
        <is>
          <t>3 from the chevage of John Batyn, William Prigge and John Bercarius.</t>
        </is>
      </c>
      <c r="C290" t="n">
        <v>0</v>
      </c>
      <c r="D290" t="n">
        <v>0</v>
      </c>
      <c r="E290" t="n">
        <v>0</v>
      </c>
      <c r="F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</row>
    <row r="291">
      <c r="A291" t="inlineStr">
        <is>
          <t>Stock</t>
        </is>
      </c>
      <c r="B291" t="inlineStr">
        <is>
          <t>Total, 4. 4 used for 4 ploughs during the year.</t>
        </is>
      </c>
      <c r="C291" t="n">
        <v>0</v>
      </c>
      <c r="D291" t="n">
        <v>0</v>
      </c>
      <c r="E291" t="n">
        <v>0</v>
      </c>
      <c r="F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</row>
    <row r="292">
      <c r="A292" t="inlineStr">
        <is>
          <t>Stock</t>
        </is>
      </c>
      <c r="B292" t="inlineStr">
        <is>
          <t>Total as above.</t>
        </is>
      </c>
      <c r="C292" t="n">
        <v>0</v>
      </c>
      <c r="D292" t="n">
        <v>0</v>
      </c>
      <c r="E292" t="n">
        <v>0</v>
      </c>
      <c r="F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</row>
    <row r="293">
      <c r="A293" t="inlineStr">
        <is>
          <t>Stock</t>
        </is>
      </c>
      <c r="B293" t="inlineStr">
        <is>
          <t>None remain.</t>
        </is>
      </c>
      <c r="C293" t="n">
        <v>0</v>
      </c>
      <c r="D293" t="n">
        <v>0</v>
      </c>
      <c r="E293" t="n">
        <v>0</v>
      </c>
      <c r="F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</row>
    <row r="294">
      <c r="A294" t="inlineStr">
        <is>
          <t>Stock</t>
        </is>
      </c>
      <c r="B294" t="inlineStr">
        <is>
          <t>Vessels and utensils: 6 casks, 4 barrels, 3 tubs, 1 brass ewer, 1 basin, 1 bucket, 4 wains (plaustr') and 1 cart with iron tyres, 5 ropes for wagons and carts.</t>
        </is>
      </c>
      <c r="C294" t="n">
        <v>0</v>
      </c>
      <c r="D294" t="n">
        <v>0</v>
      </c>
      <c r="E294" t="n">
        <v>0</v>
      </c>
      <c r="F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</row>
    <row r="295">
      <c r="A295" t="inlineStr">
        <is>
          <t>Stock</t>
        </is>
      </c>
      <c r="B295" t="inlineStr">
        <is>
          <t>1 saddle for the cart with saddle-pads, 1 swingletree with 2 collars, 1 pot, 1 brass posnet, 1 .5-bushel measure, 1 winnowing-fan, 1 sack, 1 tripod, 1 trough, 5 buckets, 6 cheese-baskets, 1 large bowl and 1 basket (sporta) remain.</t>
        </is>
      </c>
      <c r="C295" t="n">
        <v>0</v>
      </c>
      <c r="D295" t="n">
        <v>0</v>
      </c>
      <c r="E295" t="n">
        <v>0</v>
      </c>
      <c r="F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</row>
    <row r="296">
      <c r="A296" t="inlineStr">
        <is>
          <t>Stock</t>
        </is>
      </c>
      <c r="B296" t="inlineStr">
        <is>
          <t>1 pair of cart-wheels bought within.</t>
        </is>
      </c>
      <c r="C296" t="n">
        <v>0</v>
      </c>
      <c r="D296" t="n">
        <v>0</v>
      </c>
      <c r="E296" t="n">
        <v>0</v>
      </c>
      <c r="F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</row>
    <row r="297">
      <c r="A297" t="inlineStr">
        <is>
          <t>Stock</t>
        </is>
      </c>
      <c r="B297" t="inlineStr">
        <is>
          <t>2 buckets, 2 cheese-baskets and 1 basket (sportum) used.</t>
        </is>
      </c>
      <c r="C297" t="n">
        <v>0</v>
      </c>
      <c r="D297" t="n">
        <v>0</v>
      </c>
      <c r="E297" t="n">
        <v>0</v>
      </c>
      <c r="F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</row>
    <row r="298">
      <c r="A298" t="inlineStr">
        <is>
          <t>Stock</t>
        </is>
      </c>
      <c r="B298" t="inlineStr">
        <is>
          <t>all the rest remains.</t>
        </is>
      </c>
      <c r="C298" t="n">
        <v>0</v>
      </c>
      <c r="D298" t="n">
        <v>0</v>
      </c>
      <c r="E298" t="n">
        <v>0</v>
      </c>
      <c r="F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J79"/>
  <sheetViews>
    <sheetView topLeftCell="A1" workbookViewId="0">
      <selection activeCell="A1" sqref="A1"/>
    </sheetView>
  </sheetViews>
  <sheetFormatPr baseColWidth="8" defaultRowHeight="15"/>
  <sheetData>
    <row r="1">
      <c r="A1" s="1" t="inlineStr">
        <is>
          <t>Heading</t>
        </is>
      </c>
      <c r="B1" s="1" t="inlineStr">
        <is>
          <t>Sentence</t>
        </is>
      </c>
      <c r="C1" s="1" t="inlineStr">
        <is>
          <t>Quarters 1_x</t>
        </is>
      </c>
      <c r="D1" s="1" t="inlineStr">
        <is>
          <t>Bushels 1_x</t>
        </is>
      </c>
      <c r="E1" s="1" t="inlineStr">
        <is>
          <t>Sown Quarters</t>
        </is>
      </c>
      <c r="F1" s="1" t="inlineStr">
        <is>
          <t>Sown Bushels</t>
        </is>
      </c>
      <c r="G1" s="1" t="inlineStr">
        <is>
          <t>Sown Total Quarters</t>
        </is>
      </c>
      <c r="H1" s="1" t="inlineStr">
        <is>
          <t>Bought in Quarters</t>
        </is>
      </c>
      <c r="I1" s="1" t="inlineStr">
        <is>
          <t>Bought in Bushels</t>
        </is>
      </c>
      <c r="J1" s="1" t="inlineStr">
        <is>
          <t>Bought in Total Quarters</t>
        </is>
      </c>
      <c r="K1" s="1" t="inlineStr">
        <is>
          <t>Tithe Quarters</t>
        </is>
      </c>
      <c r="L1" s="1" t="inlineStr">
        <is>
          <t>Tithe Bushels</t>
        </is>
      </c>
      <c r="M1" s="1" t="inlineStr">
        <is>
          <t>Tithe Total Quarters</t>
        </is>
      </c>
      <c r="N1" s="1" t="inlineStr">
        <is>
          <t>Manorial servants &amp; livestock Quarters</t>
        </is>
      </c>
      <c r="O1" s="1" t="inlineStr">
        <is>
          <t>Manorial servants &amp; livestock Bushels</t>
        </is>
      </c>
      <c r="P1" s="1" t="inlineStr">
        <is>
          <t>Manorial servants &amp; livestock Total Quarters</t>
        </is>
      </c>
      <c r="Q1" s="1" t="inlineStr">
        <is>
          <t>Sold Quarters</t>
        </is>
      </c>
      <c r="R1" s="1" t="inlineStr">
        <is>
          <t>Sold Bushels</t>
        </is>
      </c>
      <c r="S1" s="1" t="inlineStr">
        <is>
          <t>Sold Total Quarters</t>
        </is>
      </c>
      <c r="T1" s="1" t="inlineStr">
        <is>
          <t>Account Quarters</t>
        </is>
      </c>
      <c r="U1" s="1" t="inlineStr">
        <is>
          <t>Account Bushels</t>
        </is>
      </c>
      <c r="V1" s="1" t="inlineStr">
        <is>
          <t>Account Total Quarters</t>
        </is>
      </c>
      <c r="W1" s="1" t="inlineStr">
        <is>
          <t>bought only</t>
        </is>
      </c>
      <c r="X1" s="1" t="inlineStr">
        <is>
          <t>Total Quarters Except 1</t>
        </is>
      </c>
      <c r="Y1" s="1" t="inlineStr">
        <is>
          <t>Total Bushels Except 1</t>
        </is>
      </c>
      <c r="Z1" s="1" t="inlineStr">
        <is>
          <t>Total Corn Cross-Check</t>
        </is>
      </c>
      <c r="AA1" s="1" t="inlineStr">
        <is>
          <t>Total Corn Manorial Account</t>
        </is>
      </c>
      <c r="AB1" s="1" t="inlineStr">
        <is>
          <t>Corn Quantity Error</t>
        </is>
      </c>
      <c r="AC1" s="1" t="inlineStr">
        <is>
          <t>Quarters 1_y</t>
        </is>
      </c>
      <c r="AD1" s="1" t="inlineStr">
        <is>
          <t>Bushels 1_y</t>
        </is>
      </c>
      <c r="AE1" s="1" t="inlineStr">
        <is>
          <t>Quarters 2</t>
        </is>
      </c>
      <c r="AF1" s="1" t="inlineStr">
        <is>
          <t>Bushels 2</t>
        </is>
      </c>
      <c r="AG1" s="1" t="inlineStr">
        <is>
          <t>Quarters 3</t>
        </is>
      </c>
      <c r="AH1" s="1" t="inlineStr">
        <is>
          <t>Bushels 3</t>
        </is>
      </c>
      <c r="AI1" s="1" t="inlineStr">
        <is>
          <t>Quarters 4</t>
        </is>
      </c>
      <c r="AJ1" s="1" t="inlineStr">
        <is>
          <t>Bushels 4</t>
        </is>
      </c>
    </row>
    <row r="2">
      <c r="A2" t="inlineStr">
        <is>
          <t>Cash deliveries</t>
        </is>
      </c>
      <c r="B2" t="inlineStr">
        <is>
          <t>Total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</row>
    <row r="3">
      <c r="A3" t="inlineStr">
        <is>
          <t>Wheat</t>
        </is>
      </c>
      <c r="B3" t="inlineStr">
        <is>
          <t>{yield: 5.5-fold plus 6.5 bushels in all with the issue of maslin below)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6.5</v>
      </c>
      <c r="Z3" t="n">
        <v>0.8125</v>
      </c>
      <c r="AA3" t="n">
        <v>0.8125</v>
      </c>
      <c r="AB3" t="n">
        <v>0</v>
      </c>
      <c r="AC3" t="n">
        <v>0</v>
      </c>
      <c r="AD3" t="n">
        <v>6.5</v>
      </c>
    </row>
    <row r="4">
      <c r="A4" t="inlineStr">
        <is>
          <t>Wheat</t>
        </is>
      </c>
      <c r="B4" t="inlineStr">
        <is>
          <t>The same render account for 144.5 quarters of wheat from the issue of the grange threshed by the customary tenants of the vill by struck measure.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144.5</v>
      </c>
      <c r="U4" t="n">
        <v>0</v>
      </c>
      <c r="V4" t="n">
        <v>144.5</v>
      </c>
      <c r="W4" t="n">
        <v>0</v>
      </c>
      <c r="X4" t="n">
        <v>144.5</v>
      </c>
      <c r="Y4" t="n">
        <v>0</v>
      </c>
      <c r="Z4" t="n">
        <v>144.5</v>
      </c>
      <c r="AA4" t="n">
        <v>144.5</v>
      </c>
      <c r="AB4" t="n">
        <v>0</v>
      </c>
      <c r="AC4" t="n">
        <v>144.5</v>
      </c>
      <c r="AD4" t="n">
        <v>0</v>
      </c>
    </row>
    <row r="5">
      <c r="A5" t="inlineStr">
        <is>
          <t>Wheat</t>
        </is>
      </c>
      <c r="B5" t="inlineStr">
        <is>
          <t>Total, 144.5 quarters.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144.5</v>
      </c>
      <c r="Y5" t="n">
        <v>0</v>
      </c>
      <c r="Z5" t="n">
        <v>144.5</v>
      </c>
      <c r="AA5" t="n">
        <v>144.5</v>
      </c>
      <c r="AB5" t="n">
        <v>0</v>
      </c>
      <c r="AC5" t="n">
        <v>144.5</v>
      </c>
      <c r="AD5" t="n">
        <v>0</v>
      </c>
    </row>
    <row r="6">
      <c r="A6" t="inlineStr">
        <is>
          <t>Wheat</t>
        </is>
      </c>
      <c r="B6" t="inlineStr">
        <is>
          <t>Sown over 117 acres, 22 quarters .5 bushels.</t>
        </is>
      </c>
      <c r="C6" t="n">
        <v>0</v>
      </c>
      <c r="D6" t="n">
        <v>0</v>
      </c>
      <c r="E6" t="n">
        <v>22</v>
      </c>
      <c r="F6" t="n">
        <v>0</v>
      </c>
      <c r="G6" t="n">
        <v>22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22</v>
      </c>
      <c r="Y6" t="n">
        <v>5</v>
      </c>
      <c r="Z6" t="n">
        <v>22.625</v>
      </c>
      <c r="AA6" t="n">
        <v>22</v>
      </c>
      <c r="AB6" t="n">
        <v>0.625</v>
      </c>
      <c r="AC6" t="n">
        <v>22</v>
      </c>
      <c r="AD6" t="n">
        <v>0</v>
      </c>
      <c r="AE6" t="n">
        <v>0</v>
      </c>
      <c r="AF6" t="n">
        <v>5</v>
      </c>
    </row>
    <row r="7">
      <c r="A7" t="inlineStr">
        <is>
          <t>Wheat</t>
        </is>
      </c>
      <c r="B7" t="inlineStr">
        <is>
          <t>that is, 1.5 bushels an acre, plus 1 bushels in all.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</v>
      </c>
      <c r="Z7" t="n">
        <v>0.125</v>
      </c>
      <c r="AA7" t="n">
        <v>0.1875</v>
      </c>
      <c r="AB7" t="n">
        <v>-0.0625</v>
      </c>
      <c r="AC7" t="n">
        <v>0</v>
      </c>
      <c r="AD7" t="n">
        <v>1.5</v>
      </c>
      <c r="AE7" t="n">
        <v>0</v>
      </c>
      <c r="AF7" t="n">
        <v>1</v>
      </c>
    </row>
    <row r="8">
      <c r="A8" t="inlineStr">
        <is>
          <t>Wheat</t>
        </is>
      </c>
      <c r="B8" t="inlineStr">
        <is>
          <t>.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</row>
    <row r="9">
      <c r="A9" t="inlineStr">
        <is>
          <t>Wheat</t>
        </is>
      </c>
      <c r="B9" t="inlineStr">
        <is>
          <t>bread baked for the provision of one boon-work for winter sowing, 6 bushels.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6</v>
      </c>
      <c r="Z9" t="n">
        <v>0.75</v>
      </c>
      <c r="AA9" t="n">
        <v>0.75</v>
      </c>
      <c r="AB9" t="n">
        <v>0</v>
      </c>
      <c r="AC9" t="n">
        <v>0</v>
      </c>
      <c r="AD9" t="n">
        <v>6</v>
      </c>
    </row>
    <row r="10">
      <c r="A10" t="inlineStr">
        <is>
          <t>Wheat</t>
        </is>
      </c>
      <c r="B10" t="inlineStr">
        <is>
          <t>provision of the steward for his visits, 3 bushels Sold within, 121 quarters 2.5 bushels Total as made clear.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121</v>
      </c>
      <c r="O10" t="n">
        <v>2.5</v>
      </c>
      <c r="P10" t="n">
        <v>121.3125</v>
      </c>
      <c r="Q10" t="n">
        <v>121</v>
      </c>
      <c r="R10" t="n">
        <v>2.5</v>
      </c>
      <c r="S10" t="n">
        <v>121.3125</v>
      </c>
      <c r="T10" t="n">
        <v>0</v>
      </c>
      <c r="U10" t="n">
        <v>0</v>
      </c>
      <c r="V10" t="n">
        <v>0</v>
      </c>
      <c r="W10" t="n">
        <v>0</v>
      </c>
      <c r="X10" t="n">
        <v>121</v>
      </c>
      <c r="Y10" t="n">
        <v>2.5</v>
      </c>
      <c r="Z10" t="n">
        <v>121.3125</v>
      </c>
      <c r="AA10" t="n">
        <v>0.375</v>
      </c>
      <c r="AB10" t="n">
        <v>120.9375</v>
      </c>
      <c r="AC10" t="n">
        <v>0</v>
      </c>
      <c r="AD10" t="n">
        <v>3</v>
      </c>
      <c r="AE10" t="n">
        <v>121</v>
      </c>
      <c r="AF10" t="n">
        <v>2.5</v>
      </c>
    </row>
    <row r="11">
      <c r="A11" t="inlineStr">
        <is>
          <t>Wheat</t>
        </is>
      </c>
      <c r="B11" t="inlineStr">
        <is>
          <t>It balances.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</row>
    <row r="12">
      <c r="A12" t="inlineStr">
        <is>
          <t>Wheat</t>
        </is>
      </c>
      <c r="B12" t="inlineStr">
        <is>
          <t>Total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</row>
    <row r="13">
      <c r="A13" t="inlineStr">
        <is>
          <t>Curall</t>
        </is>
      </c>
      <c r="B13" t="inlineStr">
        <is>
          <t>The same render account for 20 quarters 1 bushels of curall from the issue of the grange  threshed like wheat above.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</v>
      </c>
      <c r="U13" t="n">
        <v>1</v>
      </c>
      <c r="V13" t="n">
        <v>20.125</v>
      </c>
      <c r="W13" t="n">
        <v>0</v>
      </c>
      <c r="X13" t="n">
        <v>20</v>
      </c>
      <c r="Y13" t="n">
        <v>1</v>
      </c>
      <c r="Z13" t="n">
        <v>20.125</v>
      </c>
      <c r="AA13" t="n">
        <v>20.125</v>
      </c>
      <c r="AB13" t="n">
        <v>0</v>
      </c>
      <c r="AC13" t="n">
        <v>20</v>
      </c>
      <c r="AD13" t="n">
        <v>1</v>
      </c>
    </row>
    <row r="14">
      <c r="A14" t="inlineStr">
        <is>
          <t>Curall</t>
        </is>
      </c>
      <c r="B14" t="inlineStr">
        <is>
          <t>Total, 20 quarters 1 bushels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20</v>
      </c>
      <c r="Y14" t="n">
        <v>1</v>
      </c>
      <c r="Z14" t="n">
        <v>20.125</v>
      </c>
      <c r="AA14" t="n">
        <v>20.125</v>
      </c>
      <c r="AB14" t="n">
        <v>0</v>
      </c>
      <c r="AC14" t="n">
        <v>20</v>
      </c>
      <c r="AD14" t="n">
        <v>1</v>
      </c>
    </row>
    <row r="15">
      <c r="A15" t="inlineStr">
        <is>
          <t>Curall</t>
        </is>
      </c>
      <c r="B15" t="inlineStr">
        <is>
          <t>Mixed for the liveries of the manorial servants, 14 quarters.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14</v>
      </c>
      <c r="O15" t="n">
        <v>0</v>
      </c>
      <c r="P15" t="n">
        <v>14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14</v>
      </c>
      <c r="Y15" t="n">
        <v>0</v>
      </c>
      <c r="Z15" t="n">
        <v>14</v>
      </c>
      <c r="AA15" t="n">
        <v>14</v>
      </c>
      <c r="AB15" t="n">
        <v>0</v>
      </c>
      <c r="AC15" t="n">
        <v>14</v>
      </c>
      <c r="AD15" t="n">
        <v>0</v>
      </c>
    </row>
    <row r="16">
      <c r="A16" t="inlineStr">
        <is>
          <t>Curall</t>
        </is>
      </c>
      <c r="B16" t="inlineStr">
        <is>
          <t>Sold within, 6 quarters 1 bushels It balances.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</v>
      </c>
      <c r="R16" t="n">
        <v>1</v>
      </c>
      <c r="S16" t="n">
        <v>6.125</v>
      </c>
      <c r="T16" t="n">
        <v>0</v>
      </c>
      <c r="U16" t="n">
        <v>0</v>
      </c>
      <c r="V16" t="n">
        <v>0</v>
      </c>
      <c r="W16" t="n">
        <v>0</v>
      </c>
      <c r="X16" t="n">
        <v>6</v>
      </c>
      <c r="Y16" t="n">
        <v>1</v>
      </c>
      <c r="Z16" t="n">
        <v>6.125</v>
      </c>
      <c r="AA16" t="n">
        <v>6.125</v>
      </c>
      <c r="AB16" t="n">
        <v>0</v>
      </c>
      <c r="AC16" t="n">
        <v>6</v>
      </c>
      <c r="AD16" t="n">
        <v>1</v>
      </c>
    </row>
    <row r="17">
      <c r="A17" t="inlineStr">
        <is>
          <t>Curall</t>
        </is>
      </c>
      <c r="B17" t="inlineStr">
        <is>
          <t>Total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</row>
    <row r="18">
      <c r="A18" t="inlineStr">
        <is>
          <t>Maslin</t>
        </is>
      </c>
      <c r="B18" t="inlineStr">
        <is>
          <t>{yield: 5.5-fold with wheat above}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</row>
    <row r="19">
      <c r="A19" t="inlineStr">
        <is>
          <t>Maslin</t>
        </is>
      </c>
      <c r="B19" t="inlineStr">
        <is>
          <t>The same render account for 12 quarters 7 bushels of maslin from the issue of the grange threshed as above.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12</v>
      </c>
      <c r="U19" t="n">
        <v>7</v>
      </c>
      <c r="V19" t="n">
        <v>12.875</v>
      </c>
      <c r="W19" t="n">
        <v>0</v>
      </c>
      <c r="X19" t="n">
        <v>12</v>
      </c>
      <c r="Y19" t="n">
        <v>7</v>
      </c>
      <c r="Z19" t="n">
        <v>12.875</v>
      </c>
      <c r="AA19" t="n">
        <v>12.875</v>
      </c>
      <c r="AB19" t="n">
        <v>0</v>
      </c>
      <c r="AC19" t="n">
        <v>12</v>
      </c>
      <c r="AD19" t="n">
        <v>7</v>
      </c>
    </row>
    <row r="20">
      <c r="A20" t="inlineStr">
        <is>
          <t>Maslin</t>
        </is>
      </c>
      <c r="B20" t="inlineStr">
        <is>
          <t>Total, 12 quarters 7 bushels Sold within.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12</v>
      </c>
      <c r="R20" t="n">
        <v>7</v>
      </c>
      <c r="S20" t="n">
        <v>12.875</v>
      </c>
      <c r="T20" t="n">
        <v>0</v>
      </c>
      <c r="U20" t="n">
        <v>0</v>
      </c>
      <c r="V20" t="n">
        <v>0</v>
      </c>
      <c r="W20" t="n">
        <v>0</v>
      </c>
      <c r="X20" t="n">
        <v>12</v>
      </c>
      <c r="Y20" t="n">
        <v>7</v>
      </c>
      <c r="Z20" t="n">
        <v>12.875</v>
      </c>
      <c r="AA20" t="n">
        <v>12.875</v>
      </c>
      <c r="AB20" t="n">
        <v>0</v>
      </c>
      <c r="AC20" t="n">
        <v>12</v>
      </c>
      <c r="AD20" t="n">
        <v>7</v>
      </c>
    </row>
    <row r="21">
      <c r="A21" t="inlineStr">
        <is>
          <t>Maslin</t>
        </is>
      </c>
      <c r="B21" t="inlineStr">
        <is>
          <t>It balances.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</row>
    <row r="22">
      <c r="A22" t="inlineStr">
        <is>
          <t>Maslin</t>
        </is>
      </c>
      <c r="B22" t="inlineStr">
        <is>
          <t>Total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</row>
    <row r="23">
      <c r="A23" t="inlineStr">
        <is>
          <t>Barley</t>
        </is>
      </c>
      <c r="B23" t="inlineStr">
        <is>
          <t>{yield: seven-fold less .5 qr}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</row>
    <row r="24">
      <c r="A24" t="inlineStr">
        <is>
          <t>Barley</t>
        </is>
      </c>
      <c r="B24" t="inlineStr">
        <is>
          <t>The same render account for 10 quarters of barley from the issue of the grange.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10</v>
      </c>
      <c r="U24" t="n">
        <v>0</v>
      </c>
      <c r="V24" t="n">
        <v>10</v>
      </c>
      <c r="W24" t="n">
        <v>0</v>
      </c>
      <c r="X24" t="n">
        <v>10</v>
      </c>
      <c r="Y24" t="n">
        <v>0</v>
      </c>
      <c r="Z24" t="n">
        <v>10</v>
      </c>
      <c r="AA24" t="n">
        <v>10</v>
      </c>
      <c r="AB24" t="n">
        <v>0</v>
      </c>
      <c r="AC24" t="n">
        <v>10</v>
      </c>
      <c r="AD24" t="n">
        <v>0</v>
      </c>
    </row>
    <row r="25">
      <c r="A25" t="inlineStr">
        <is>
          <t>Barley</t>
        </is>
      </c>
      <c r="B25" t="inlineStr">
        <is>
          <t>Total, 10 quarters.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10</v>
      </c>
      <c r="Y25" t="n">
        <v>0</v>
      </c>
      <c r="Z25" t="n">
        <v>10</v>
      </c>
      <c r="AA25" t="n">
        <v>10</v>
      </c>
      <c r="AB25" t="n">
        <v>0</v>
      </c>
      <c r="AC25" t="n">
        <v>10</v>
      </c>
      <c r="AD25" t="n">
        <v>0</v>
      </c>
    </row>
    <row r="26">
      <c r="A26" t="inlineStr">
        <is>
          <t>Barley</t>
        </is>
      </c>
      <c r="B26" t="inlineStr">
        <is>
          <t>Sown over 3 acres, 7.5 bushels.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7.5</v>
      </c>
      <c r="Z26" t="n">
        <v>0.9375</v>
      </c>
      <c r="AA26" t="n">
        <v>0.9375</v>
      </c>
      <c r="AB26" t="n">
        <v>0</v>
      </c>
      <c r="AC26" t="n">
        <v>0</v>
      </c>
      <c r="AD26" t="n">
        <v>7.5</v>
      </c>
    </row>
    <row r="27">
      <c r="A27" t="inlineStr">
        <is>
          <t>Barley</t>
        </is>
      </c>
      <c r="B27" t="inlineStr">
        <is>
          <t>that is, 2.5 bushels an acre.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2.5</v>
      </c>
      <c r="Z27" t="n">
        <v>0.3125</v>
      </c>
      <c r="AA27" t="n">
        <v>0.3125</v>
      </c>
      <c r="AB27" t="n">
        <v>0</v>
      </c>
      <c r="AC27" t="n">
        <v>0</v>
      </c>
      <c r="AD27" t="n">
        <v>2.5</v>
      </c>
    </row>
    <row r="28">
      <c r="A28" t="inlineStr">
        <is>
          <t>Barley</t>
        </is>
      </c>
      <c r="B28" t="inlineStr">
        <is>
          <t>.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</row>
    <row r="29">
      <c r="A29" t="inlineStr">
        <is>
          <t>Barley</t>
        </is>
      </c>
      <c r="B29" t="inlineStr">
        <is>
          <t>supporting piglets, 5 bushels Mixed for the liveries of the manorial servants, 4 quarters 3.5 bushels Sold within, 1 qr 3 bushels Sold at the audit, 2 quarters 5 bushels It balances.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6</v>
      </c>
      <c r="O29" t="n">
        <v>8.5</v>
      </c>
      <c r="P29" t="n">
        <v>7.0625</v>
      </c>
      <c r="Q29" t="n">
        <v>6</v>
      </c>
      <c r="R29" t="n">
        <v>8.5</v>
      </c>
      <c r="S29" t="n">
        <v>7.0625</v>
      </c>
      <c r="T29" t="n">
        <v>0</v>
      </c>
      <c r="U29" t="n">
        <v>0</v>
      </c>
      <c r="V29" t="n">
        <v>0</v>
      </c>
      <c r="W29" t="n">
        <v>0</v>
      </c>
    </row>
    <row r="30">
      <c r="A30" t="inlineStr">
        <is>
          <t>Barley</t>
        </is>
      </c>
      <c r="B30" t="inlineStr">
        <is>
          <t>Total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</row>
    <row r="31">
      <c r="A31" t="inlineStr">
        <is>
          <t>Beans</t>
        </is>
      </c>
      <c r="B31" t="inlineStr">
        <is>
          <t>{yield: seven-fold less 1 qr with 35 quarters by estimation remaining in the stack} The same render account for 1 qr 2 bushels of beans remaining from the previous account.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35</v>
      </c>
      <c r="U31" t="n">
        <v>0</v>
      </c>
      <c r="V31" t="n">
        <v>35</v>
      </c>
      <c r="W31" t="n">
        <v>0</v>
      </c>
    </row>
    <row r="32">
      <c r="A32" t="inlineStr">
        <is>
          <t>Beans</t>
        </is>
      </c>
      <c r="B32" t="inlineStr">
        <is>
          <t>27 quarters from this year's issue.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27</v>
      </c>
      <c r="Y32" t="n">
        <v>0</v>
      </c>
      <c r="Z32" t="n">
        <v>27</v>
      </c>
      <c r="AA32" t="n">
        <v>27</v>
      </c>
      <c r="AB32" t="n">
        <v>0</v>
      </c>
      <c r="AC32" t="n">
        <v>27</v>
      </c>
      <c r="AD32" t="n">
        <v>0</v>
      </c>
    </row>
    <row r="33">
      <c r="A33" t="inlineStr">
        <is>
          <t>Beans</t>
        </is>
      </c>
      <c r="B33" t="inlineStr">
        <is>
          <t>Total, 28 quarters 2 bushels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28</v>
      </c>
      <c r="Y33" t="n">
        <v>2</v>
      </c>
      <c r="Z33" t="n">
        <v>28.25</v>
      </c>
      <c r="AA33" t="n">
        <v>28.25</v>
      </c>
      <c r="AB33" t="n">
        <v>0</v>
      </c>
      <c r="AC33" t="n">
        <v>28</v>
      </c>
      <c r="AD33" t="n">
        <v>2</v>
      </c>
    </row>
    <row r="34">
      <c r="A34" t="inlineStr">
        <is>
          <t>Beans</t>
        </is>
      </c>
      <c r="B34" t="inlineStr">
        <is>
          <t>Sown over 15 acres, 7 quarters 2 bushels.</t>
        </is>
      </c>
      <c r="C34" t="n">
        <v>0</v>
      </c>
      <c r="D34" t="n">
        <v>0</v>
      </c>
      <c r="E34" t="n">
        <v>7</v>
      </c>
      <c r="F34" t="n">
        <v>2</v>
      </c>
      <c r="G34" t="n">
        <v>7.25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7</v>
      </c>
      <c r="Y34" t="n">
        <v>2</v>
      </c>
      <c r="Z34" t="n">
        <v>7.25</v>
      </c>
      <c r="AA34" t="n">
        <v>7.25</v>
      </c>
      <c r="AB34" t="n">
        <v>0</v>
      </c>
      <c r="AC34" t="n">
        <v>7</v>
      </c>
      <c r="AD34" t="n">
        <v>2</v>
      </c>
    </row>
    <row r="35">
      <c r="A35" t="inlineStr">
        <is>
          <t>Beans</t>
        </is>
      </c>
      <c r="B35" t="inlineStr">
        <is>
          <t>that is, .5 qr an acre, less 2 bushels in all.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</row>
    <row r="36">
      <c r="A36" t="inlineStr">
        <is>
          <t>Beans</t>
        </is>
      </c>
      <c r="B36" t="inlineStr">
        <is>
          <t>.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</row>
    <row r="37">
      <c r="A37" t="inlineStr">
        <is>
          <t>Beans</t>
        </is>
      </c>
      <c r="B37" t="inlineStr">
        <is>
          <t>feeding pigs, 2.5 quarters.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2.5</v>
      </c>
      <c r="Y37" t="n">
        <v>0</v>
      </c>
      <c r="Z37" t="n">
        <v>2.5</v>
      </c>
      <c r="AA37" t="n">
        <v>2.5</v>
      </c>
      <c r="AB37" t="n">
        <v>0</v>
      </c>
      <c r="AC37" t="n">
        <v>2.5</v>
      </c>
      <c r="AD37" t="n">
        <v>0</v>
      </c>
    </row>
    <row r="38">
      <c r="A38" t="inlineStr">
        <is>
          <t>Beans</t>
        </is>
      </c>
      <c r="B38" t="inlineStr">
        <is>
          <t>Mixed for the liveries of the manorial servants, 2 quarters 2 bushels Sold within, 16 quarters 2 bushels Total as above. 35 quarters by estimation remain in a certain stack.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53</v>
      </c>
      <c r="O38" t="n">
        <v>4</v>
      </c>
      <c r="P38" t="n">
        <v>53.5</v>
      </c>
      <c r="Q38" t="n">
        <v>53</v>
      </c>
      <c r="R38" t="n">
        <v>4</v>
      </c>
      <c r="S38" t="n">
        <v>53.5</v>
      </c>
      <c r="T38" t="n">
        <v>0</v>
      </c>
      <c r="U38" t="n">
        <v>0</v>
      </c>
      <c r="V38" t="n">
        <v>0</v>
      </c>
      <c r="W38" t="n">
        <v>0</v>
      </c>
      <c r="X38" t="n">
        <v>51</v>
      </c>
      <c r="Y38" t="n">
        <v>2</v>
      </c>
      <c r="Z38" t="n">
        <v>51.25</v>
      </c>
      <c r="AA38" t="n">
        <v>2.25</v>
      </c>
      <c r="AB38" t="n">
        <v>49</v>
      </c>
      <c r="AC38" t="n">
        <v>2</v>
      </c>
      <c r="AD38" t="n">
        <v>2</v>
      </c>
      <c r="AE38" t="n">
        <v>16</v>
      </c>
      <c r="AF38" t="n">
        <v>2</v>
      </c>
      <c r="AG38" t="n">
        <v>35</v>
      </c>
      <c r="AH38" t="n">
        <v>0</v>
      </c>
    </row>
    <row r="39">
      <c r="A39" t="inlineStr">
        <is>
          <t>Beans</t>
        </is>
      </c>
      <c r="B39" t="inlineStr">
        <is>
          <t>Total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</row>
    <row r="40">
      <c r="A40" t="inlineStr">
        <is>
          <t>Peas</t>
        </is>
      </c>
      <c r="B40" t="inlineStr">
        <is>
          <t>{yield: 7.5-fold less % bushels with the remainder in the stack}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</row>
    <row r="41">
      <c r="A41" t="inlineStr">
        <is>
          <t>Peas</t>
        </is>
      </c>
      <c r="B41" t="inlineStr">
        <is>
          <t>The same render account for 6 quarters of peas remaining from the previous account.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</v>
      </c>
      <c r="U41" t="n">
        <v>0</v>
      </c>
      <c r="V41" t="n">
        <v>6</v>
      </c>
      <c r="W41" t="n">
        <v>0</v>
      </c>
      <c r="X41" t="n">
        <v>6</v>
      </c>
      <c r="Y41" t="n">
        <v>0</v>
      </c>
      <c r="Z41" t="n">
        <v>6</v>
      </c>
      <c r="AA41" t="n">
        <v>6</v>
      </c>
      <c r="AB41" t="n">
        <v>0</v>
      </c>
      <c r="AC41" t="n">
        <v>6</v>
      </c>
      <c r="AD41" t="n">
        <v>0</v>
      </c>
    </row>
    <row r="42">
      <c r="A42" t="inlineStr">
        <is>
          <t>Peas</t>
        </is>
      </c>
      <c r="B42" t="inlineStr">
        <is>
          <t>1 qr 5 bushels from this year's issue.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</row>
    <row r="43">
      <c r="A43" t="inlineStr">
        <is>
          <t>Peas</t>
        </is>
      </c>
      <c r="B43" t="inlineStr">
        <is>
          <t>Total, 7 quarters 5 bushels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7</v>
      </c>
      <c r="Y43" t="n">
        <v>5</v>
      </c>
      <c r="Z43" t="n">
        <v>7.625</v>
      </c>
      <c r="AA43" t="n">
        <v>7.625</v>
      </c>
      <c r="AB43" t="n">
        <v>0</v>
      </c>
      <c r="AC43" t="n">
        <v>7</v>
      </c>
      <c r="AD43" t="n">
        <v>5</v>
      </c>
    </row>
    <row r="44">
      <c r="A44" t="inlineStr">
        <is>
          <t>Peas</t>
        </is>
      </c>
      <c r="B44" t="inlineStr">
        <is>
          <t>Sown over 2 acres, 2 bushels.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</v>
      </c>
      <c r="Z44" t="n">
        <v>0.25</v>
      </c>
      <c r="AA44" t="n">
        <v>0.25</v>
      </c>
      <c r="AB44" t="n">
        <v>0</v>
      </c>
      <c r="AC44" t="n">
        <v>0</v>
      </c>
      <c r="AD44" t="n">
        <v>2</v>
      </c>
    </row>
    <row r="45">
      <c r="A45" t="inlineStr">
        <is>
          <t>Peas</t>
        </is>
      </c>
      <c r="B45" t="inlineStr">
        <is>
          <t>supporting pigs in winter, 1.5 quarters.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1.5</v>
      </c>
      <c r="Y45" t="n">
        <v>0</v>
      </c>
      <c r="Z45" t="n">
        <v>1.5</v>
      </c>
      <c r="AA45" t="n">
        <v>1.5</v>
      </c>
      <c r="AB45" t="n">
        <v>0</v>
      </c>
      <c r="AC45" t="n">
        <v>1.5</v>
      </c>
      <c r="AD45" t="n">
        <v>0</v>
      </c>
    </row>
    <row r="46">
      <c r="A46" t="inlineStr">
        <is>
          <t>Peas</t>
        </is>
      </c>
      <c r="B46" t="inlineStr">
        <is>
          <t>Sold within, 5 quarters.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</v>
      </c>
      <c r="R46" t="n">
        <v>0</v>
      </c>
      <c r="S46" t="n">
        <v>5</v>
      </c>
      <c r="T46" t="n">
        <v>0</v>
      </c>
      <c r="U46" t="n">
        <v>0</v>
      </c>
      <c r="V46" t="n">
        <v>0</v>
      </c>
      <c r="W46" t="n">
        <v>0</v>
      </c>
      <c r="X46" t="n">
        <v>5</v>
      </c>
      <c r="Y46" t="n">
        <v>0</v>
      </c>
      <c r="Z46" t="n">
        <v>5</v>
      </c>
      <c r="AA46" t="n">
        <v>5</v>
      </c>
      <c r="AB46" t="n">
        <v>0</v>
      </c>
      <c r="AC46" t="n">
        <v>5</v>
      </c>
      <c r="AD46" t="n">
        <v>0</v>
      </c>
    </row>
    <row r="47">
      <c r="A47" t="inlineStr">
        <is>
          <t>Peas</t>
        </is>
      </c>
      <c r="B47" t="inlineStr">
        <is>
          <t>Total as above. 3 quarters by estimation remain in the stack.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3</v>
      </c>
      <c r="Y47" t="n">
        <v>0</v>
      </c>
      <c r="Z47" t="n">
        <v>3</v>
      </c>
      <c r="AA47" t="n">
        <v>3</v>
      </c>
      <c r="AB47" t="n">
        <v>0</v>
      </c>
      <c r="AC47" t="n">
        <v>3</v>
      </c>
      <c r="AD47" t="n">
        <v>0</v>
      </c>
    </row>
    <row r="48">
      <c r="A48" t="inlineStr">
        <is>
          <t>Peas</t>
        </is>
      </c>
      <c r="B48" t="inlineStr">
        <is>
          <t>Total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</row>
    <row r="49">
      <c r="A49" t="inlineStr">
        <is>
          <t>Vetches</t>
        </is>
      </c>
      <c r="B49" t="inlineStr">
        <is>
          <t>{yield: 10.5-fold plus 1.5 bushels}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1.5</v>
      </c>
      <c r="Z49" t="n">
        <v>0.1875</v>
      </c>
      <c r="AA49" t="n">
        <v>0.1875</v>
      </c>
      <c r="AB49" t="n">
        <v>0</v>
      </c>
      <c r="AC49" t="n">
        <v>0</v>
      </c>
      <c r="AD49" t="n">
        <v>1.5</v>
      </c>
    </row>
    <row r="50">
      <c r="A50" t="inlineStr">
        <is>
          <t>Vetches</t>
        </is>
      </c>
      <c r="B50" t="inlineStr">
        <is>
          <t>The same render account for 1 qr 6 bushels of vetches from the issue.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</row>
    <row r="51">
      <c r="A51" t="inlineStr">
        <is>
          <t>Vetches</t>
        </is>
      </c>
      <c r="B51" t="inlineStr">
        <is>
          <t>Total, 1 qr 6 bushels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</row>
    <row r="52">
      <c r="A52" t="inlineStr">
        <is>
          <t>Vetches</t>
        </is>
      </c>
      <c r="B52" t="inlineStr">
        <is>
          <t>Sown over 3 acres, 3 bushels Sold within, 1 qr 3 bushels Total as above. 5 quarters by estimation remain in the stack.</t>
        </is>
      </c>
      <c r="C52" t="n">
        <v>0</v>
      </c>
      <c r="D52" t="n">
        <v>0</v>
      </c>
      <c r="E52" t="n">
        <v>5</v>
      </c>
      <c r="F52" t="n">
        <v>0</v>
      </c>
      <c r="G52" t="n">
        <v>5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5</v>
      </c>
      <c r="R52" t="n">
        <v>0</v>
      </c>
      <c r="S52" t="n">
        <v>5</v>
      </c>
      <c r="T52" t="n">
        <v>0</v>
      </c>
      <c r="U52" t="n">
        <v>0</v>
      </c>
      <c r="V52" t="n">
        <v>0</v>
      </c>
      <c r="W52" t="n">
        <v>0</v>
      </c>
    </row>
    <row r="53">
      <c r="A53" t="inlineStr">
        <is>
          <t>Vetches</t>
        </is>
      </c>
      <c r="B53" t="inlineStr">
        <is>
          <t>Total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</row>
    <row r="54">
      <c r="A54" t="inlineStr">
        <is>
          <t>Oats</t>
        </is>
      </c>
      <c r="B54" t="inlineStr">
        <is>
          <t>{yield: 3-fold plus 7 quarters 6 bushels}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7</v>
      </c>
      <c r="Y54" t="n">
        <v>6</v>
      </c>
      <c r="Z54" t="n">
        <v>7.75</v>
      </c>
      <c r="AA54" t="n">
        <v>7.75</v>
      </c>
      <c r="AB54" t="n">
        <v>0</v>
      </c>
      <c r="AC54" t="n">
        <v>7</v>
      </c>
      <c r="AD54" t="n">
        <v>6</v>
      </c>
    </row>
    <row r="55">
      <c r="A55" t="inlineStr">
        <is>
          <t>Oats</t>
        </is>
      </c>
      <c r="B55" t="inlineStr">
        <is>
          <t>The same render account for 107 quarters 7 bushels of oats froln the issue.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107</v>
      </c>
      <c r="U55" t="n">
        <v>7</v>
      </c>
      <c r="V55" t="n">
        <v>107.875</v>
      </c>
      <c r="W55" t="n">
        <v>0</v>
      </c>
      <c r="X55" t="n">
        <v>107</v>
      </c>
      <c r="Y55" t="n">
        <v>7</v>
      </c>
      <c r="Z55" t="n">
        <v>107.875</v>
      </c>
      <c r="AA55" t="n">
        <v>107.875</v>
      </c>
      <c r="AB55" t="n">
        <v>0</v>
      </c>
      <c r="AC55" t="n">
        <v>107</v>
      </c>
      <c r="AD55" t="n">
        <v>7</v>
      </c>
    </row>
    <row r="56">
      <c r="A56" t="inlineStr">
        <is>
          <t>Oats</t>
        </is>
      </c>
      <c r="B56" t="inlineStr">
        <is>
          <t>Total, 107 quarters 7 bushels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107</v>
      </c>
      <c r="Y56" t="n">
        <v>7</v>
      </c>
      <c r="Z56" t="n">
        <v>107.875</v>
      </c>
      <c r="AA56" t="n">
        <v>107.875</v>
      </c>
      <c r="AB56" t="n">
        <v>0</v>
      </c>
      <c r="AC56" t="n">
        <v>107</v>
      </c>
      <c r="AD56" t="n">
        <v>7</v>
      </c>
    </row>
    <row r="57">
      <c r="A57" t="inlineStr">
        <is>
          <t>Oats</t>
        </is>
      </c>
      <c r="B57" t="inlineStr">
        <is>
          <t>Sown over 129 acres, 48 quarters.</t>
        </is>
      </c>
      <c r="C57" t="n">
        <v>0</v>
      </c>
      <c r="D57" t="n">
        <v>0</v>
      </c>
      <c r="E57" t="n">
        <v>48</v>
      </c>
      <c r="F57" t="n">
        <v>0</v>
      </c>
      <c r="G57" t="n">
        <v>48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48</v>
      </c>
      <c r="Y57" t="n">
        <v>0</v>
      </c>
      <c r="Z57" t="n">
        <v>48</v>
      </c>
      <c r="AA57" t="n">
        <v>48</v>
      </c>
      <c r="AB57" t="n">
        <v>0</v>
      </c>
      <c r="AC57" t="n">
        <v>48</v>
      </c>
      <c r="AD57" t="n">
        <v>0</v>
      </c>
    </row>
    <row r="58">
      <c r="A58" t="inlineStr">
        <is>
          <t>Oats</t>
        </is>
      </c>
      <c r="B58" t="inlineStr">
        <is>
          <t>that is, 3 bushels an acre.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3</v>
      </c>
      <c r="Z58" t="n">
        <v>0.375</v>
      </c>
      <c r="AA58" t="n">
        <v>0.375</v>
      </c>
      <c r="AB58" t="n">
        <v>0</v>
      </c>
      <c r="AC58" t="n">
        <v>0</v>
      </c>
      <c r="AD58" t="n">
        <v>3</v>
      </c>
    </row>
    <row r="59">
      <c r="A59" t="inlineStr">
        <is>
          <t>Oats</t>
        </is>
      </c>
      <c r="B59" t="inlineStr">
        <is>
          <t>.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</row>
    <row r="60">
      <c r="A60" t="inlineStr">
        <is>
          <t>Oats</t>
        </is>
      </c>
      <c r="B60" t="inlineStr">
        <is>
          <t>.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</row>
    <row r="61">
      <c r="A61" t="inlineStr">
        <is>
          <t>Oats</t>
        </is>
      </c>
      <c r="B61" t="inlineStr">
        <is>
          <t>.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</row>
    <row r="62">
      <c r="A62" t="inlineStr">
        <is>
          <t>Oats</t>
        </is>
      </c>
      <c r="B62" t="inlineStr">
        <is>
          <t>.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</row>
    <row r="63">
      <c r="A63" t="inlineStr">
        <is>
          <t>Oats</t>
        </is>
      </c>
      <c r="B63" t="inlineStr">
        <is>
          <t>customary payment of the manorial servants in Lent, 1 qr.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</row>
    <row r="64">
      <c r="A64" t="inlineStr">
        <is>
          <t>Oats</t>
        </is>
      </c>
      <c r="B64" t="inlineStr">
        <is>
          <t>.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</row>
    <row r="65">
      <c r="A65" t="inlineStr">
        <is>
          <t>Oats</t>
        </is>
      </c>
      <c r="B65" t="inlineStr">
        <is>
          <t>.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</row>
    <row r="66">
      <c r="A66" t="inlineStr">
        <is>
          <t>Oats</t>
        </is>
      </c>
      <c r="B66" t="inlineStr">
        <is>
          <t>.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</row>
    <row r="67">
      <c r="A67" t="inlineStr">
        <is>
          <t>Oats</t>
        </is>
      </c>
      <c r="B67" t="inlineStr">
        <is>
          <t>.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</row>
    <row r="68">
      <c r="A68" t="inlineStr">
        <is>
          <t>Oats</t>
        </is>
      </c>
      <c r="B68" t="inlineStr">
        <is>
          <t>fodder of the plough-horses in winter, 1.5 quarters.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1.5</v>
      </c>
      <c r="O68" t="n">
        <v>0</v>
      </c>
      <c r="P68" t="n">
        <v>1.5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1.5</v>
      </c>
      <c r="Y68" t="n">
        <v>0</v>
      </c>
      <c r="Z68" t="n">
        <v>1.5</v>
      </c>
      <c r="AA68" t="n">
        <v>1.5</v>
      </c>
      <c r="AB68" t="n">
        <v>0</v>
      </c>
      <c r="AC68" t="n">
        <v>1.5</v>
      </c>
      <c r="AD68" t="n">
        <v>0</v>
      </c>
    </row>
    <row r="69">
      <c r="A69" t="inlineStr">
        <is>
          <t>Oats</t>
        </is>
      </c>
      <c r="B69" t="inlineStr">
        <is>
          <t>.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</row>
    <row r="70">
      <c r="A70" t="inlineStr">
        <is>
          <t>Oats</t>
        </is>
      </c>
      <c r="B70" t="inlineStr">
        <is>
          <t>.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</row>
    <row r="71">
      <c r="A71" t="inlineStr">
        <is>
          <t>Oats</t>
        </is>
      </c>
      <c r="B71" t="inlineStr">
        <is>
          <t>.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</row>
    <row r="72">
      <c r="A72" t="inlineStr">
        <is>
          <t>Oats</t>
        </is>
      </c>
      <c r="B72" t="inlineStr">
        <is>
          <t>.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</row>
    <row r="73">
      <c r="A73" t="inlineStr">
        <is>
          <t>Oats</t>
        </is>
      </c>
      <c r="B73" t="inlineStr">
        <is>
          <t>fodder of the horses of the steward and his clerk for their visits, 1 qr, by 2 tallies of 2 bushels, within with expenses.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</row>
    <row r="74">
      <c r="A74" t="inlineStr">
        <is>
          <t>Oats</t>
        </is>
      </c>
      <c r="B74" t="inlineStr">
        <is>
          <t>.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</row>
    <row r="75">
      <c r="A75" t="inlineStr">
        <is>
          <t>Oats</t>
        </is>
      </c>
      <c r="B75" t="inlineStr">
        <is>
          <t>.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</row>
    <row r="76">
      <c r="A76" t="inlineStr">
        <is>
          <t>Oats</t>
        </is>
      </c>
      <c r="B76" t="inlineStr">
        <is>
          <t>.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</row>
    <row r="77">
      <c r="A77" t="inlineStr">
        <is>
          <t>Oats</t>
        </is>
      </c>
      <c r="B77" t="inlineStr">
        <is>
          <t>.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</row>
    <row r="78">
      <c r="A78" t="inlineStr">
        <is>
          <t>Oats</t>
        </is>
      </c>
      <c r="B78" t="inlineStr">
        <is>
          <t>a gratuity made to the beadle of the hundred of Horethorne of fodder for his horse, 1 qr.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</row>
    <row r="79">
      <c r="A79" t="inlineStr">
        <is>
          <t>Oats</t>
        </is>
      </c>
      <c r="B79" t="inlineStr">
        <is>
          <t>Sold within, 54 quarters 6 bushels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54</v>
      </c>
      <c r="R79" t="n">
        <v>6</v>
      </c>
      <c r="S79" t="n">
        <v>54.75</v>
      </c>
      <c r="T79" t="n">
        <v>0</v>
      </c>
      <c r="U79" t="n">
        <v>0</v>
      </c>
      <c r="V79" t="n">
        <v>0</v>
      </c>
      <c r="W79" t="n">
        <v>0</v>
      </c>
      <c r="X79" t="n">
        <v>54</v>
      </c>
      <c r="Y79" t="n">
        <v>6</v>
      </c>
      <c r="Z79" t="n">
        <v>54.75</v>
      </c>
      <c r="AA79" t="n">
        <v>54.75</v>
      </c>
      <c r="AB79" t="n">
        <v>0</v>
      </c>
      <c r="AC79" t="n">
        <v>54</v>
      </c>
      <c r="AD79" t="n">
        <v>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J9"/>
  <sheetViews>
    <sheetView topLeftCell="A1" workbookViewId="0">
      <selection activeCell="A1" sqref="A1"/>
    </sheetView>
  </sheetViews>
  <sheetFormatPr baseColWidth="8" defaultRowHeight="15"/>
  <sheetData>
    <row r="1">
      <c r="A1" s="1" t="inlineStr">
        <is>
          <t>Heading</t>
        </is>
      </c>
      <c r="B1" s="1" t="inlineStr">
        <is>
          <t>Sentence</t>
        </is>
      </c>
      <c r="C1" s="1" t="inlineStr">
        <is>
          <t>Total in Pounds</t>
        </is>
      </c>
      <c r="D1" s="1" t="inlineStr">
        <is>
          <t>Pounds</t>
        </is>
      </c>
      <c r="E1" s="1" t="inlineStr">
        <is>
          <t>Shillings</t>
        </is>
      </c>
      <c r="F1" s="1" t="inlineStr">
        <is>
          <t>Pence</t>
        </is>
      </c>
      <c r="G1" s="1" t="inlineStr">
        <is>
          <t>Corn</t>
        </is>
      </c>
      <c r="H1" s="1" t="inlineStr">
        <is>
          <t>Total Quarters Except 1</t>
        </is>
      </c>
      <c r="I1" s="1" t="inlineStr">
        <is>
          <t>Total Bushels Except 1</t>
        </is>
      </c>
      <c r="J1" s="1" t="inlineStr">
        <is>
          <t>Total Corn Cross-Check</t>
        </is>
      </c>
      <c r="K1" s="1" t="inlineStr">
        <is>
          <t>Total Corn Manorial Account</t>
        </is>
      </c>
      <c r="L1" s="1" t="inlineStr">
        <is>
          <t>Corn Quantity Error</t>
        </is>
      </c>
      <c r="M1" s="1" t="inlineStr">
        <is>
          <t>Quarters 0</t>
        </is>
      </c>
      <c r="N1" s="1" t="inlineStr">
        <is>
          <t>Bushels 0</t>
        </is>
      </c>
      <c r="O1" s="1" t="inlineStr">
        <is>
          <t>shilling a quarter 1</t>
        </is>
      </c>
      <c r="P1" s="1" t="inlineStr">
        <is>
          <t>pence a quarter 1</t>
        </is>
      </c>
      <c r="Q1" s="1" t="inlineStr">
        <is>
          <t>Quarters 1</t>
        </is>
      </c>
      <c r="R1" s="1" t="inlineStr">
        <is>
          <t>Bushels 1</t>
        </is>
      </c>
      <c r="S1" s="1" t="inlineStr">
        <is>
          <t>shilling a quarter 2</t>
        </is>
      </c>
      <c r="T1" s="1" t="inlineStr">
        <is>
          <t>pence a quarter 2</t>
        </is>
      </c>
      <c r="U1" s="1" t="inlineStr">
        <is>
          <t>Quarters 2</t>
        </is>
      </c>
      <c r="V1" s="1" t="inlineStr">
        <is>
          <t>Bushels 2</t>
        </is>
      </c>
      <c r="W1" s="1" t="inlineStr">
        <is>
          <t>shilling a quarter 3</t>
        </is>
      </c>
      <c r="X1" s="1" t="inlineStr">
        <is>
          <t>pence a quarter 3</t>
        </is>
      </c>
      <c r="Y1" s="1" t="inlineStr">
        <is>
          <t>Quarters 3</t>
        </is>
      </c>
      <c r="Z1" s="1" t="inlineStr">
        <is>
          <t>Bushels 3</t>
        </is>
      </c>
      <c r="AA1" s="1" t="inlineStr">
        <is>
          <t>shilling a quarter 4</t>
        </is>
      </c>
      <c r="AB1" s="1" t="inlineStr">
        <is>
          <t>pence a quarter 4</t>
        </is>
      </c>
      <c r="AC1" s="1" t="inlineStr">
        <is>
          <t>£ a quarter 1</t>
        </is>
      </c>
      <c r="AD1" s="1" t="inlineStr">
        <is>
          <t>£ a quarter 2</t>
        </is>
      </c>
      <c r="AE1" s="1" t="inlineStr">
        <is>
          <t>£ a quarter 3</t>
        </is>
      </c>
      <c r="AF1" s="1" t="inlineStr">
        <is>
          <t>£ a quarter 4</t>
        </is>
      </c>
      <c r="AG1" s="1" t="inlineStr">
        <is>
          <t>Quarters Sold</t>
        </is>
      </c>
      <c r="AH1" s="1" t="inlineStr">
        <is>
          <t>Weighted Average Price per Quarter</t>
        </is>
      </c>
      <c r="AI1" s="1" t="inlineStr">
        <is>
          <t>Non-Weighted Average Price per Quarter</t>
        </is>
      </c>
      <c r="AJ1" s="1" t="inlineStr">
        <is>
          <t>Corn lowercase</t>
        </is>
      </c>
    </row>
    <row r="2">
      <c r="A2" t="inlineStr">
        <is>
          <t>Sale of corn</t>
        </is>
      </c>
      <c r="B2" t="inlineStr">
        <is>
          <t>The same render account for £32 7 shilling from 121 quarters 2.5 bushels of wheat sold, at 5 shilling 4pence a quarters, £1 3 shilling 5.75pence from 6 quarters 1 bushels of curall sold, at 3 shilling 10pence a quarters.</t>
        </is>
      </c>
      <c r="C2" t="n">
        <v>32.35</v>
      </c>
      <c r="D2" t="n">
        <v>32</v>
      </c>
      <c r="E2" t="n">
        <v>7</v>
      </c>
      <c r="F2" t="n">
        <v>0</v>
      </c>
      <c r="G2" t="inlineStr">
        <is>
          <t>curall, wheat</t>
        </is>
      </c>
      <c r="H2" t="n">
        <v>6</v>
      </c>
      <c r="I2" t="n">
        <v>1</v>
      </c>
      <c r="J2" t="n">
        <v>6.125</v>
      </c>
      <c r="K2" t="n">
        <v>121.3125</v>
      </c>
      <c r="L2" t="n">
        <v>-115.1875</v>
      </c>
      <c r="M2" t="n">
        <v>121</v>
      </c>
      <c r="N2" t="n">
        <v>2.5</v>
      </c>
      <c r="O2" t="n">
        <v>5</v>
      </c>
      <c r="P2" t="n">
        <v>4</v>
      </c>
      <c r="Q2" t="n">
        <v>6</v>
      </c>
      <c r="R2" t="n">
        <v>1</v>
      </c>
      <c r="S2" t="n">
        <v>3</v>
      </c>
      <c r="T2" t="n">
        <v>10</v>
      </c>
      <c r="AC2" t="n">
        <v>0.2666666666666667</v>
      </c>
      <c r="AD2" t="n">
        <v>0.1916666666666667</v>
      </c>
      <c r="AG2" t="n">
        <v>121.3125</v>
      </c>
      <c r="AI2" t="n">
        <v>0.2291666666666667</v>
      </c>
      <c r="AJ2" t="inlineStr">
        <is>
          <t>curall, wheat</t>
        </is>
      </c>
    </row>
    <row r="3">
      <c r="A3" t="inlineStr">
        <is>
          <t>Sale of corn</t>
        </is>
      </c>
      <c r="B3" t="inlineStr">
        <is>
          <t>£3 1pence from 12 quarters 7 bushels of maslin sold, at 4 shilling 8pence a quarters.</t>
        </is>
      </c>
      <c r="C3" t="n">
        <v>3</v>
      </c>
      <c r="D3" t="n">
        <v>3</v>
      </c>
      <c r="E3" t="n">
        <v>0</v>
      </c>
      <c r="F3" t="n">
        <v>1</v>
      </c>
      <c r="G3" t="inlineStr">
        <is>
          <t>maslin</t>
        </is>
      </c>
      <c r="H3" t="n">
        <v>12</v>
      </c>
      <c r="I3" t="n">
        <v>7</v>
      </c>
      <c r="J3" t="n">
        <v>12.875</v>
      </c>
      <c r="K3" t="n">
        <v>12.875</v>
      </c>
      <c r="L3" t="n">
        <v>0</v>
      </c>
      <c r="M3" t="n">
        <v>12</v>
      </c>
      <c r="N3" t="n">
        <v>7</v>
      </c>
      <c r="O3" t="n">
        <v>4</v>
      </c>
      <c r="P3" t="n">
        <v>8</v>
      </c>
      <c r="AC3" t="n">
        <v>0.2333333333333333</v>
      </c>
      <c r="AG3" t="n">
        <v>12.875</v>
      </c>
      <c r="AH3" t="n">
        <v>0.2333333333333333</v>
      </c>
      <c r="AI3" t="n">
        <v>0.2333333333333333</v>
      </c>
      <c r="AJ3" t="inlineStr">
        <is>
          <t>maslin</t>
        </is>
      </c>
    </row>
    <row r="4">
      <c r="A4" t="inlineStr">
        <is>
          <t>Sale of corn</t>
        </is>
      </c>
      <c r="B4" t="inlineStr">
        <is>
          <t>4 shilling 7pence from 1 quarters 3 bushels of barley sold, at 3 shilling 4pence a quarters, £1 12 shilling 6pence from 16 quarters 2 bushels of beans sold, at 2 shilling a quarters.</t>
        </is>
      </c>
      <c r="C4" t="n">
        <v>1.62</v>
      </c>
      <c r="D4" t="n">
        <v>1</v>
      </c>
      <c r="E4" t="n">
        <v>12</v>
      </c>
      <c r="F4" t="n">
        <v>6</v>
      </c>
      <c r="G4" t="inlineStr">
        <is>
          <t>barley, beans</t>
        </is>
      </c>
      <c r="H4" t="n">
        <v>16</v>
      </c>
      <c r="I4" t="n">
        <v>2</v>
      </c>
      <c r="J4" t="n">
        <v>16.25</v>
      </c>
      <c r="K4" t="n">
        <v>1.375</v>
      </c>
      <c r="L4" t="n">
        <v>14.875</v>
      </c>
      <c r="M4" t="n">
        <v>1</v>
      </c>
      <c r="N4" t="n">
        <v>3</v>
      </c>
      <c r="O4" t="n">
        <v>3</v>
      </c>
      <c r="P4" t="n">
        <v>4</v>
      </c>
      <c r="Q4" t="n">
        <v>16</v>
      </c>
      <c r="R4" t="n">
        <v>2</v>
      </c>
      <c r="S4" t="n">
        <v>2</v>
      </c>
      <c r="T4" t="n">
        <v>0</v>
      </c>
      <c r="AC4" t="n">
        <v>0.1666666666666667</v>
      </c>
      <c r="AD4" t="n">
        <v>0.1</v>
      </c>
      <c r="AG4" t="n">
        <v>1.375</v>
      </c>
      <c r="AI4" t="n">
        <v>0.1333333333333333</v>
      </c>
      <c r="AJ4" t="inlineStr">
        <is>
          <t>barley, beans</t>
        </is>
      </c>
    </row>
    <row r="5">
      <c r="A5" t="inlineStr">
        <is>
          <t>Sale of corn</t>
        </is>
      </c>
      <c r="B5" t="inlineStr">
        <is>
          <t>11 shilling 9pence from 5 quarters 7 bushels of peas sold, at 2 shilling a quarters.</t>
        </is>
      </c>
      <c r="C5" t="n">
        <v>0.59</v>
      </c>
      <c r="D5" t="n">
        <v>0</v>
      </c>
      <c r="E5" t="n">
        <v>11</v>
      </c>
      <c r="F5" t="n">
        <v>9</v>
      </c>
      <c r="G5" t="inlineStr">
        <is>
          <t>peas</t>
        </is>
      </c>
      <c r="H5" t="n">
        <v>5</v>
      </c>
      <c r="I5" t="n">
        <v>7</v>
      </c>
      <c r="J5" t="n">
        <v>5.875</v>
      </c>
      <c r="K5" t="n">
        <v>5.875</v>
      </c>
      <c r="L5" t="n">
        <v>0</v>
      </c>
      <c r="M5" t="n">
        <v>5</v>
      </c>
      <c r="N5" t="n">
        <v>7</v>
      </c>
      <c r="O5" t="n">
        <v>2</v>
      </c>
      <c r="P5" t="n">
        <v>0</v>
      </c>
      <c r="AC5" t="n">
        <v>0.1</v>
      </c>
      <c r="AG5" t="n">
        <v>5.875</v>
      </c>
      <c r="AH5" t="n">
        <v>0.1</v>
      </c>
      <c r="AI5" t="n">
        <v>0.1</v>
      </c>
      <c r="AJ5" t="inlineStr">
        <is>
          <t>peas</t>
        </is>
      </c>
    </row>
    <row r="6">
      <c r="A6" t="inlineStr">
        <is>
          <t>Sale of corn</t>
        </is>
      </c>
      <c r="B6" t="inlineStr">
        <is>
          <t>1 shilling 10pence from 1 quarters 3 bushels of vetches sold, at 2pence a bushels.</t>
        </is>
      </c>
      <c r="C6" t="n">
        <v>0.09</v>
      </c>
      <c r="D6" t="n">
        <v>0</v>
      </c>
      <c r="E6" t="n">
        <v>1</v>
      </c>
      <c r="F6" t="n">
        <v>10</v>
      </c>
      <c r="G6" t="inlineStr">
        <is>
          <t>vetches</t>
        </is>
      </c>
      <c r="H6" t="n">
        <v>1</v>
      </c>
      <c r="I6" t="n">
        <v>3</v>
      </c>
      <c r="J6" t="n">
        <v>1.375</v>
      </c>
      <c r="K6" t="n">
        <v>1.375</v>
      </c>
      <c r="L6" t="n">
        <v>0</v>
      </c>
      <c r="M6" t="n">
        <v>1</v>
      </c>
      <c r="N6" t="n">
        <v>3</v>
      </c>
      <c r="AC6" t="n">
        <v>0.06545454545454545</v>
      </c>
      <c r="AG6" t="n">
        <v>1.375</v>
      </c>
      <c r="AH6" t="n">
        <v>0.06545454545454545</v>
      </c>
      <c r="AI6" t="n">
        <v>0.06545454545454545</v>
      </c>
      <c r="AJ6" t="inlineStr">
        <is>
          <t>vetches</t>
        </is>
      </c>
    </row>
    <row r="7">
      <c r="A7" t="inlineStr">
        <is>
          <t>Sale of corn</t>
        </is>
      </c>
      <c r="B7" t="inlineStr">
        <is>
          <t>£5 18 shilling 7.5pence from 54 quarters 6 bushels of oats sold, at 2 shilling 2pence a quarters.</t>
        </is>
      </c>
      <c r="C7" t="n">
        <v>5.93</v>
      </c>
      <c r="D7" t="n">
        <v>5</v>
      </c>
      <c r="E7" t="n">
        <v>18</v>
      </c>
      <c r="F7" t="n">
        <v>7.5</v>
      </c>
      <c r="G7" t="inlineStr">
        <is>
          <t>oats</t>
        </is>
      </c>
      <c r="H7" t="n">
        <v>54</v>
      </c>
      <c r="I7" t="n">
        <v>6</v>
      </c>
      <c r="J7" t="n">
        <v>54.75</v>
      </c>
      <c r="K7" t="n">
        <v>54.75</v>
      </c>
      <c r="L7" t="n">
        <v>0</v>
      </c>
      <c r="M7" t="n">
        <v>54</v>
      </c>
      <c r="N7" t="n">
        <v>6</v>
      </c>
      <c r="O7" t="n">
        <v>2</v>
      </c>
      <c r="P7" t="n">
        <v>2</v>
      </c>
      <c r="AC7" t="n">
        <v>0.1083333333333333</v>
      </c>
      <c r="AG7" t="n">
        <v>54.75</v>
      </c>
      <c r="AH7" t="n">
        <v>0.1083333333333333</v>
      </c>
      <c r="AI7" t="n">
        <v>0.1083333333333333</v>
      </c>
      <c r="AJ7" t="inlineStr">
        <is>
          <t>oats</t>
        </is>
      </c>
    </row>
    <row r="8">
      <c r="A8" t="inlineStr">
        <is>
          <t>Sale of corn</t>
        </is>
      </c>
      <c r="B8" t="inlineStr">
        <is>
          <t>8 shilling 9pence from 2 quarters 5 bushels of barley sold at the audit.</t>
        </is>
      </c>
      <c r="C8" t="n">
        <v>0.44</v>
      </c>
      <c r="D8" t="n">
        <v>0</v>
      </c>
      <c r="E8" t="n">
        <v>8</v>
      </c>
      <c r="F8" t="n">
        <v>9</v>
      </c>
      <c r="G8" t="inlineStr">
        <is>
          <t>barley</t>
        </is>
      </c>
      <c r="H8" t="n">
        <v>2</v>
      </c>
      <c r="I8" t="n">
        <v>5</v>
      </c>
      <c r="J8" t="n">
        <v>2.625</v>
      </c>
      <c r="K8" t="n">
        <v>2.625</v>
      </c>
      <c r="L8" t="n">
        <v>0</v>
      </c>
      <c r="M8" t="n">
        <v>2</v>
      </c>
      <c r="N8" t="n">
        <v>5</v>
      </c>
      <c r="AC8" t="n">
        <v>0.1676190476190476</v>
      </c>
      <c r="AG8" t="n">
        <v>2.625</v>
      </c>
      <c r="AH8" t="n">
        <v>0.1676190476190476</v>
      </c>
      <c r="AI8" t="n">
        <v>0.1676190476190476</v>
      </c>
      <c r="AJ8" t="inlineStr">
        <is>
          <t>barley</t>
        </is>
      </c>
    </row>
    <row r="9">
      <c r="A9" t="inlineStr">
        <is>
          <t>Sale of corn</t>
        </is>
      </c>
      <c r="B9" t="inlineStr">
        <is>
          <t>Total, £45 8 shilling 7.25pence</t>
        </is>
      </c>
      <c r="C9" t="n">
        <v>45.43</v>
      </c>
      <c r="D9" t="n">
        <v>45</v>
      </c>
      <c r="E9" t="n">
        <v>8</v>
      </c>
      <c r="F9" t="n">
        <v>7.25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AC9" t="inlineStr">
        <is>
          <t>inf</t>
        </is>
      </c>
      <c r="AG9" t="n">
        <v>0</v>
      </c>
      <c r="AH9" t="inlineStr">
        <is>
          <t>inf</t>
        </is>
      </c>
      <c r="AI9" t="inlineStr">
        <is>
          <t>inf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2024-09-06T15:22:17Z</dcterms:created>
  <dcterms:modified xmlns:dcterms="http://purl.org/dc/terms/" xmlns:xsi="http://www.w3.org/2001/XMLSchema-instance" xsi:type="dcterms:W3CDTF">2025-12-18T10:17:18Z</dcterms:modified>
  <cp:lastModifiedBy>Kowalski, Kuba</cp:lastModifiedBy>
</cp:coreProperties>
</file>
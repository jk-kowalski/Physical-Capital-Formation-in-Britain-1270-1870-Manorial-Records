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5790" windowWidth="38640" windowHeight="21120" tabRatio="600" firstSheet="0" activeTab="0" autoFilterDateGrouping="1"/>
  </bookViews>
  <sheets>
    <sheet xmlns:r="http://schemas.openxmlformats.org/officeDocument/2006/relationships" name="Morton Overview - Completed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Labour Rent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Receipts" sheetId="5" state="visible" r:id="rId5"/>
    <sheet xmlns:r="http://schemas.openxmlformats.org/officeDocument/2006/relationships" name="Expenses" sheetId="6" state="visible" r:id="rId6"/>
    <sheet xmlns:r="http://schemas.openxmlformats.org/officeDocument/2006/relationships" name="Issues of the Grange" sheetId="7" state="visible" r:id="rId7"/>
    <sheet xmlns:r="http://schemas.openxmlformats.org/officeDocument/2006/relationships" name="Issues of the Mills" sheetId="8" state="visible" r:id="rId8"/>
    <sheet xmlns:r="http://schemas.openxmlformats.org/officeDocument/2006/relationships" name="Stock" sheetId="9" state="visible" r:id="rId9"/>
    <sheet xmlns:r="http://schemas.openxmlformats.org/officeDocument/2006/relationships" name="raw data" sheetId="10" state="visible" r:id="rId10"/>
    <sheet xmlns:r="http://schemas.openxmlformats.org/officeDocument/2006/relationships" name="Issues of the Grange raw" sheetId="11" state="visible" r:id="rId11"/>
    <sheet xmlns:r="http://schemas.openxmlformats.org/officeDocument/2006/relationships" name="Sale of Corn Price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30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  <font>
      <name val="Calibri (Body)"/>
      <color rgb="FFFF0000"/>
      <sz val="11"/>
    </font>
    <font>
      <name val="Calibri"/>
      <family val="2"/>
      <b val="1"/>
      <color rgb="FF00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28" fillId="0" borderId="0" pivotButton="0" quotePrefix="0" xfId="0"/>
    <xf numFmtId="2" fontId="9" fillId="0" borderId="0" applyAlignment="1" pivotButton="0" quotePrefix="0" xfId="0">
      <alignment horizontal="center"/>
    </xf>
    <xf numFmtId="2" fontId="19" fillId="0" borderId="0" applyAlignment="1" pivotButton="0" quotePrefix="0" xfId="0">
      <alignment horizontal="center" vertical="top"/>
    </xf>
    <xf numFmtId="2" fontId="28" fillId="0" borderId="0" applyAlignment="1" pivotButton="0" quotePrefix="0" xfId="0">
      <alignment horizontal="center" vertical="top"/>
    </xf>
    <xf numFmtId="2" fontId="28" fillId="0" borderId="0" pivotButton="0" quotePrefix="0" xfId="0"/>
    <xf numFmtId="0" fontId="7" fillId="0" borderId="0" applyAlignment="1" pivotButton="0" quotePrefix="0" xfId="0">
      <alignment horizontal="center" vertical="top" wrapText="1"/>
    </xf>
    <xf numFmtId="2" fontId="7" fillId="0" borderId="0" applyAlignment="1" pivotButton="0" quotePrefix="0" xfId="0">
      <alignment horizontal="center" vertical="top" wrapText="1"/>
    </xf>
    <xf numFmtId="0" fontId="0" fillId="11" borderId="0" pivotButton="0" quotePrefix="0" xfId="0"/>
    <xf numFmtId="0" fontId="20" fillId="0" borderId="0" applyAlignment="1" pivotButton="0" quotePrefix="0" xfId="0">
      <alignment horizontal="right" wrapText="1"/>
    </xf>
    <xf numFmtId="0" fontId="20" fillId="0" borderId="0" applyAlignment="1" pivotButton="0" quotePrefix="0" xfId="0">
      <alignment wrapText="1"/>
    </xf>
    <xf numFmtId="0" fontId="29" fillId="0" borderId="3" applyAlignment="1" pivotButton="0" quotePrefix="0" xfId="0">
      <alignment wrapText="1"/>
    </xf>
    <xf numFmtId="2" fontId="20" fillId="0" borderId="0" applyAlignment="1" pivotButton="0" quotePrefix="0" xfId="0">
      <alignment horizontal="right" wrapText="1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comments/comment2.xml><?xml version="1.0" encoding="utf-8"?>
<comments xmlns="http://schemas.openxmlformats.org/spreadsheetml/2006/main">
  <authors>
    <author>Victoria Gierok</author>
  </authors>
  <commentList>
    <comment ref="C12" authorId="0" shapeId="0">
      <text>
        <t xml:space="preserve">Victoria Gierok:
from Issue of the grange </t>
      </text>
    </comment>
  </commentList>
</comments>
</file>

<file path=xl/comments/comment3.xml><?xml version="1.0" encoding="utf-8"?>
<comments xmlns="http://schemas.openxmlformats.org/spreadsheetml/2006/main">
  <authors>
    <author>Victoria Gierok</author>
  </authors>
  <commentList>
    <comment ref="D4" authorId="0" shapeId="0">
      <text>
        <t>Victoria Gierok:
strays that the seem to have added to their own stock?</t>
      </text>
    </comment>
    <comment ref="E4" authorId="0" shapeId="0">
      <text>
        <t>Victoria Gierok:
herbage = a type of customary payment to the lord; hence an addition to the stock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topLeftCell="A1" workbookViewId="0">
      <selection activeCell="A1" sqref="A1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MORTON OVERVIEW - COMPLETED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n">
        <v>7.02</v>
      </c>
      <c r="D4" s="13" t="n"/>
      <c r="E4" s="13" t="n"/>
    </row>
    <row r="5">
      <c r="A5" s="15" t="inlineStr">
        <is>
          <t>Rents of assize total</t>
        </is>
      </c>
      <c r="B5" s="76" t="n">
        <v>4.64</v>
      </c>
    </row>
    <row r="6">
      <c r="A6" s="15" t="inlineStr">
        <is>
          <t>Quittances total</t>
        </is>
      </c>
      <c r="B6" s="76" t="n">
        <v>0.7</v>
      </c>
    </row>
    <row r="7">
      <c r="A7" s="15" t="inlineStr">
        <is>
          <t>Defaults of rent total</t>
        </is>
      </c>
      <c r="B7" s="76" t="n">
        <v>0.53</v>
      </c>
    </row>
    <row r="8">
      <c r="A8" s="76" t="inlineStr">
        <is>
          <t>Defaults of rent through the pestilence total</t>
        </is>
      </c>
      <c r="B8" s="76" t="n"/>
    </row>
    <row r="9">
      <c r="A9" s="76" t="inlineStr">
        <is>
          <t>Cotlands defaults total</t>
        </is>
      </c>
      <c r="B9" s="76" t="n"/>
    </row>
    <row r="10">
      <c r="A10" s="76" t="inlineStr">
        <is>
          <t>Cotlands total</t>
        </is>
      </c>
      <c r="B10" s="76" t="n"/>
    </row>
    <row r="11">
      <c r="A11" s="76" t="inlineStr">
        <is>
          <t>Total of quittances and defaults of rent total</t>
        </is>
      </c>
      <c r="B11" s="76" t="n">
        <v>1.26</v>
      </c>
    </row>
    <row r="12">
      <c r="A12" s="76" t="inlineStr">
        <is>
          <t>Total of rents remaining clear total</t>
        </is>
      </c>
      <c r="B12" s="76" t="n"/>
    </row>
    <row r="13">
      <c r="A13" s="76" t="inlineStr">
        <is>
          <t>Farms total</t>
        </is>
      </c>
      <c r="B13" s="76" t="n"/>
    </row>
    <row r="14">
      <c r="A14" s="15" t="inlineStr">
        <is>
          <t>Annual recognizances total</t>
        </is>
      </c>
      <c r="B14" s="76" t="n">
        <v>0</v>
      </c>
    </row>
    <row r="15">
      <c r="A15" s="15" t="inlineStr">
        <is>
          <t>Issues of the Manor total</t>
        </is>
      </c>
      <c r="B15" s="76" t="n">
        <v>2.45</v>
      </c>
    </row>
    <row r="16">
      <c r="A16" s="76" t="inlineStr">
        <is>
          <t>Issues of the tenements in the lord's hands total</t>
        </is>
      </c>
      <c r="B16" s="76" t="n"/>
    </row>
    <row r="17">
      <c r="A17" s="76" t="inlineStr">
        <is>
          <t>Sale of labour services total</t>
        </is>
      </c>
      <c r="B17" s="76" t="n"/>
    </row>
    <row r="18">
      <c r="A18" s="15" t="inlineStr">
        <is>
          <t>Sale of corn total</t>
        </is>
      </c>
      <c r="B18" s="76" t="n">
        <v>17.71</v>
      </c>
    </row>
    <row r="19">
      <c r="A19" s="15" t="inlineStr">
        <is>
          <t>Entry and marriage fines total</t>
        </is>
      </c>
      <c r="B19" s="76" t="n">
        <v>1.05</v>
      </c>
    </row>
    <row r="20">
      <c r="A20" s="15" t="inlineStr">
        <is>
          <t>Pleas &amp; perquisites total</t>
        </is>
      </c>
      <c r="B20" s="76" t="n"/>
    </row>
    <row r="21">
      <c r="A21" s="76" t="inlineStr">
        <is>
          <t>Forfeited chattels total</t>
        </is>
      </c>
      <c r="B21" s="76" t="n"/>
    </row>
    <row r="22">
      <c r="A22" s="76" t="inlineStr">
        <is>
          <t>Farm of the demesne land total</t>
        </is>
      </c>
      <c r="B22" s="76" t="n"/>
      <c r="D22" s="88" t="n"/>
    </row>
    <row r="23">
      <c r="A23" s="81" t="inlineStr">
        <is>
          <t>Total of all receipts (calculated here)</t>
        </is>
      </c>
      <c r="B23" s="79">
        <f>SUM(B5:B22)</f>
        <v/>
      </c>
      <c r="C23" s="80" t="n"/>
    </row>
    <row r="24">
      <c r="A24" s="82" t="inlineStr">
        <is>
          <t>Total of all receipts (calculated here) incl arrears</t>
        </is>
      </c>
      <c r="B24">
        <f>SUM(B4:B22)</f>
        <v/>
      </c>
      <c r="D24" s="13" t="n"/>
      <c r="E24" s="13" t="n"/>
    </row>
    <row r="25">
      <c r="A25" s="83" t="inlineStr">
        <is>
          <t>Total recorded in the accounts excl. arrears</t>
        </is>
      </c>
      <c r="B25" s="76" t="n"/>
      <c r="C25" s="10">
        <f>B23-B25</f>
        <v/>
      </c>
    </row>
    <row r="26">
      <c r="A26" s="83" t="inlineStr">
        <is>
          <t>Total recorded in the accounts incl. arrears</t>
        </is>
      </c>
      <c r="B26">
        <f>B25+B4</f>
        <v/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  <c r="B36" s="84" t="n"/>
    </row>
    <row r="37">
      <c r="A37" s="15" t="inlineStr">
        <is>
          <t>Threshing total</t>
        </is>
      </c>
      <c r="B37" t="n">
        <v>0.8633333333333334</v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 t="n"/>
    </row>
    <row r="42">
      <c r="A42" s="15" t="inlineStr">
        <is>
          <t>Steward's expenses total</t>
        </is>
      </c>
      <c r="B42" s="84" t="n"/>
    </row>
    <row r="43">
      <c r="A43" s="85" t="inlineStr">
        <is>
          <t>Annual fees</t>
        </is>
      </c>
      <c r="B43" s="86" t="n"/>
      <c r="C43" s="87" t="n"/>
      <c r="D43" s="88" t="n"/>
    </row>
    <row r="44">
      <c r="A44" s="82" t="inlineStr">
        <is>
          <t>Total of all expenses per account</t>
        </is>
      </c>
      <c r="B44" s="84" t="n"/>
    </row>
    <row r="45">
      <c r="A45" s="82" t="inlineStr">
        <is>
          <t>Total of all expenses (calculated here)</t>
        </is>
      </c>
      <c r="B45" s="84" t="n"/>
    </row>
    <row r="46">
      <c r="A46" s="82" t="inlineStr">
        <is>
          <t>Total fixed investment</t>
        </is>
      </c>
      <c r="B46" s="84" t="n"/>
    </row>
    <row r="47">
      <c r="A47" s="82" t="inlineStr">
        <is>
          <t>Total Demesne fixed investment</t>
        </is>
      </c>
      <c r="B47" s="84" t="n"/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 t="n">
        <v>28.31</v>
      </c>
    </row>
    <row r="51">
      <c r="A51" s="15" t="n"/>
    </row>
    <row r="52">
      <c r="A52" s="18" t="inlineStr">
        <is>
          <t>Allowances</t>
        </is>
      </c>
      <c r="B52" s="84" t="n"/>
    </row>
    <row r="53">
      <c r="A53" s="18" t="inlineStr">
        <is>
          <t>Cash deliveries</t>
        </is>
      </c>
      <c r="B53" s="84" t="n">
        <v>2.5</v>
      </c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B62" t="n">
        <v>92.375</v>
      </c>
      <c r="E62" t="n">
        <v>10.83958333333333</v>
      </c>
      <c r="F62" s="13" t="n"/>
    </row>
    <row r="63">
      <c r="A63" s="76" t="inlineStr">
        <is>
          <t>Rye</t>
        </is>
      </c>
      <c r="F63" s="13" t="n"/>
    </row>
    <row r="64">
      <c r="A64" s="76" t="inlineStr">
        <is>
          <t>Dredge</t>
        </is>
      </c>
      <c r="F64" s="13" t="n"/>
    </row>
    <row r="65">
      <c r="A65" s="76" t="inlineStr">
        <is>
          <t>Curall</t>
        </is>
      </c>
      <c r="B65" t="n">
        <v>27</v>
      </c>
      <c r="E65" t="n">
        <v>0</v>
      </c>
      <c r="F65" s="13" t="n"/>
    </row>
    <row r="66">
      <c r="A66" s="76" t="inlineStr">
        <is>
          <t>Barley</t>
        </is>
      </c>
      <c r="B66" t="n">
        <v>65.375</v>
      </c>
      <c r="E66" t="n">
        <v>5.437500000000002</v>
      </c>
      <c r="F66" s="13" t="n"/>
    </row>
    <row r="67">
      <c r="A67" s="76" t="inlineStr">
        <is>
          <t>Oats</t>
        </is>
      </c>
      <c r="B67" t="n">
        <v>11.375</v>
      </c>
      <c r="E67" t="n">
        <v>0</v>
      </c>
      <c r="F67" s="13" t="n"/>
    </row>
    <row r="68">
      <c r="A68" s="76" t="inlineStr">
        <is>
          <t>Beans</t>
        </is>
      </c>
      <c r="B68" t="n">
        <v>43.875</v>
      </c>
      <c r="F68" s="13" t="n"/>
    </row>
    <row r="69">
      <c r="A69" s="76" t="inlineStr">
        <is>
          <t>Peas</t>
        </is>
      </c>
      <c r="F69" s="13" t="n"/>
    </row>
    <row r="70">
      <c r="A70" s="76" t="inlineStr">
        <is>
          <t>Vetches</t>
        </is>
      </c>
    </row>
    <row r="71">
      <c r="A71" s="17" t="inlineStr">
        <is>
          <t>Total value of gross production (sum of the above)</t>
        </is>
      </c>
      <c r="B71" s="93" t="n"/>
      <c r="C71" s="94" t="n"/>
      <c r="D71" s="93" t="n"/>
      <c r="E71" s="93" t="n"/>
    </row>
    <row r="72">
      <c r="A72" s="17" t="inlineStr">
        <is>
          <t>Total value of net production</t>
        </is>
      </c>
      <c r="B72" s="93" t="n"/>
      <c r="C72" s="94" t="n"/>
      <c r="D72" s="93" t="n"/>
      <c r="E72" s="93" t="n"/>
    </row>
    <row r="73">
      <c r="A73" s="17" t="inlineStr">
        <is>
          <t>Value of sales</t>
        </is>
      </c>
      <c r="B73" s="93" t="n"/>
      <c r="C73" s="94" t="n"/>
      <c r="D73" s="93" t="n"/>
      <c r="E73" s="93" t="n"/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 t="n"/>
      <c r="C87" s="76" t="n"/>
      <c r="D87" s="76">
        <f>C87-B87</f>
        <v/>
      </c>
      <c r="F87" s="84">
        <f>'Stock'!K5*'Stock'!O5</f>
        <v/>
      </c>
      <c r="G87" s="84">
        <f>D87*'Stock'!O5</f>
        <v/>
      </c>
    </row>
    <row r="88">
      <c r="A88" s="22" t="inlineStr">
        <is>
          <t>Mares</t>
        </is>
      </c>
      <c r="B88" s="76" t="n"/>
      <c r="C88" s="76" t="n"/>
      <c r="D88" s="76">
        <f>C88-B88</f>
        <v/>
      </c>
      <c r="F88" s="84">
        <f>'Stock'!K6*'Stock'!O6</f>
        <v/>
      </c>
      <c r="G88" s="84">
        <f>D88*'Stock'!O6</f>
        <v/>
      </c>
    </row>
    <row r="89">
      <c r="A89" s="15" t="inlineStr">
        <is>
          <t>Plough horses</t>
        </is>
      </c>
      <c r="B89" s="76" t="n">
        <v>9</v>
      </c>
      <c r="C89" s="76" t="n">
        <v>4</v>
      </c>
      <c r="D89" s="76" t="n">
        <v>-5</v>
      </c>
      <c r="F89" s="84">
        <f>'Stock'!K7*'Stock'!O7</f>
        <v/>
      </c>
      <c r="G89" s="84">
        <f>D89*'Stock'!O7</f>
        <v/>
      </c>
    </row>
    <row r="90">
      <c r="A90" s="15" t="inlineStr">
        <is>
          <t>Colts (2 years)</t>
        </is>
      </c>
      <c r="B90" s="76" t="n"/>
      <c r="C90" s="76" t="n"/>
      <c r="D90" s="76">
        <f>C90-B90</f>
        <v/>
      </c>
      <c r="F90" s="84">
        <f>'Stock'!K9*'Stock'!O9</f>
        <v/>
      </c>
      <c r="G90" s="84">
        <f>D90*'Stock'!O9</f>
        <v/>
      </c>
    </row>
    <row r="91">
      <c r="A91" s="15" t="inlineStr">
        <is>
          <t>Colts (2 years)</t>
        </is>
      </c>
      <c r="B91" s="76" t="n"/>
      <c r="C91" s="76" t="n"/>
      <c r="D91" s="76">
        <f>C91-B91</f>
        <v/>
      </c>
      <c r="F91" s="84">
        <f>'Stock'!K9*'Stock'!O9</f>
        <v/>
      </c>
      <c r="G91" s="84">
        <f>D91*'Stock'!O9</f>
        <v/>
      </c>
    </row>
    <row r="92">
      <c r="A92" s="15" t="inlineStr">
        <is>
          <t>Colts (1 year)</t>
        </is>
      </c>
      <c r="B92" s="76" t="n"/>
      <c r="C92" s="76" t="n"/>
      <c r="D92" s="76">
        <f>C92-B92</f>
        <v/>
      </c>
      <c r="F92" s="84">
        <f>'Stock'!K10*'Stock'!O10</f>
        <v/>
      </c>
      <c r="G92" s="84">
        <f>D92*'Stock'!O10</f>
        <v/>
      </c>
    </row>
    <row r="93">
      <c r="A93" s="15" t="inlineStr">
        <is>
          <t>Foals</t>
        </is>
      </c>
      <c r="B93" s="76" t="n"/>
      <c r="C93" s="76" t="n"/>
      <c r="D93" s="76">
        <f>C93-B93</f>
        <v/>
      </c>
      <c r="F93" s="84">
        <f>'Stock'!K11*'Stock'!O11</f>
        <v/>
      </c>
      <c r="G93" s="84">
        <f>D93*'Stock'!O11</f>
        <v/>
      </c>
    </row>
    <row r="94">
      <c r="A94" s="15" t="inlineStr">
        <is>
          <t>Oxen</t>
        </is>
      </c>
      <c r="B94" s="76" t="n">
        <v>19</v>
      </c>
      <c r="C94" s="76" t="n">
        <v>29</v>
      </c>
      <c r="D94" s="76" t="n">
        <v>10</v>
      </c>
      <c r="F94" s="84">
        <f>'Stock'!K12*'Stock'!O12</f>
        <v/>
      </c>
      <c r="G94" s="84">
        <f>D94*'Stock'!O12</f>
        <v/>
      </c>
    </row>
    <row r="95">
      <c r="A95" s="15" t="inlineStr">
        <is>
          <t>Bulls</t>
        </is>
      </c>
      <c r="B95" s="76" t="n">
        <v>1</v>
      </c>
      <c r="C95" s="76" t="n">
        <v>1</v>
      </c>
      <c r="D95" s="76" t="n">
        <v>0</v>
      </c>
      <c r="F95" s="84">
        <f>'Stock'!K13*'Stock'!O13</f>
        <v/>
      </c>
      <c r="G95" s="84">
        <f>D95*'Stock'!O13</f>
        <v/>
      </c>
    </row>
    <row r="96">
      <c r="A96" s="15" t="inlineStr">
        <is>
          <t>Cows</t>
        </is>
      </c>
      <c r="B96" s="76" t="n">
        <v>12</v>
      </c>
      <c r="C96" s="76" t="n">
        <v>11</v>
      </c>
      <c r="D96" s="76" t="n">
        <v>-1</v>
      </c>
      <c r="F96" s="84">
        <f>'Stock'!K14*'Stock'!O14</f>
        <v/>
      </c>
      <c r="G96" s="84">
        <f>D96*'Stock'!O14</f>
        <v/>
      </c>
    </row>
    <row r="97">
      <c r="A97" s="15" t="inlineStr">
        <is>
          <t>Steers</t>
        </is>
      </c>
      <c r="B97" s="76" t="n">
        <v>5</v>
      </c>
      <c r="C97" s="76" t="n">
        <v>0</v>
      </c>
      <c r="D97" s="76" t="n">
        <v>-5</v>
      </c>
      <c r="F97" s="84">
        <f>'Stock'!K15*'Stock'!O15</f>
        <v/>
      </c>
      <c r="G97" s="84">
        <f>D97*'Stock'!O15</f>
        <v/>
      </c>
    </row>
    <row r="98">
      <c r="A98" s="15" t="inlineStr">
        <is>
          <t>Bullocks</t>
        </is>
      </c>
      <c r="B98" s="76" t="n">
        <v>3</v>
      </c>
      <c r="C98" s="76" t="n">
        <v>3</v>
      </c>
      <c r="D98" s="76" t="n">
        <v>0</v>
      </c>
      <c r="F98" s="84">
        <f>'Stock'!K16*'Stock'!O16</f>
        <v/>
      </c>
      <c r="G98" s="84">
        <f>D98*'Stock'!O16</f>
        <v/>
      </c>
    </row>
    <row r="99">
      <c r="A99" s="15" t="inlineStr">
        <is>
          <t>Yearlings</t>
        </is>
      </c>
      <c r="B99" s="76" t="n">
        <v>5</v>
      </c>
      <c r="C99" s="76" t="n">
        <v>5</v>
      </c>
      <c r="D99" s="76" t="n">
        <v>0</v>
      </c>
      <c r="F99" s="84">
        <f>'Stock'!K17*'Stock'!O17</f>
        <v/>
      </c>
      <c r="G99" s="84">
        <f>D99*'Stock'!O17</f>
        <v/>
      </c>
    </row>
    <row r="100">
      <c r="A100" s="15" t="inlineStr">
        <is>
          <t>Calves</t>
        </is>
      </c>
      <c r="B100" s="76" t="n"/>
      <c r="C100" s="76" t="n">
        <v>3</v>
      </c>
      <c r="D100" s="76">
        <f>C100-B100</f>
        <v/>
      </c>
      <c r="F100" s="84">
        <f>'Stock'!K18*'Stock'!O18</f>
        <v/>
      </c>
      <c r="G100" s="84">
        <f>D100*'Stock'!O18</f>
        <v/>
      </c>
    </row>
    <row r="101">
      <c r="A101" s="15" t="inlineStr">
        <is>
          <t>Wethers</t>
        </is>
      </c>
      <c r="B101" s="76" t="n"/>
      <c r="C101" s="76" t="n"/>
      <c r="D101" s="76">
        <f>C101-B101</f>
        <v/>
      </c>
      <c r="F101" s="84">
        <f>'Stock'!K19*'Stock'!O19</f>
        <v/>
      </c>
      <c r="G101" s="84">
        <f>D101*'Stock'!O19</f>
        <v/>
      </c>
    </row>
    <row r="102">
      <c r="A102" s="15" t="inlineStr">
        <is>
          <t>Rams</t>
        </is>
      </c>
      <c r="B102" s="76" t="n"/>
      <c r="C102" s="76" t="n"/>
      <c r="D102" s="76">
        <f>C102-B102</f>
        <v/>
      </c>
      <c r="F102" s="84">
        <f>'Stock'!K20*'Stock'!O20</f>
        <v/>
      </c>
      <c r="G102" s="84">
        <f>D102*'Stock'!O20</f>
        <v/>
      </c>
    </row>
    <row r="103">
      <c r="A103" s="15" t="inlineStr">
        <is>
          <t>Ewes</t>
        </is>
      </c>
      <c r="B103" s="76" t="n"/>
      <c r="C103" s="76" t="n"/>
      <c r="D103" s="76">
        <f>C103-B103</f>
        <v/>
      </c>
      <c r="F103" s="84">
        <f>'Stock'!K21*'Stock'!O21</f>
        <v/>
      </c>
      <c r="G103" s="84">
        <f>D103*'Stock'!O21</f>
        <v/>
      </c>
    </row>
    <row r="104">
      <c r="A104" s="15" t="inlineStr">
        <is>
          <t>Hoggs</t>
        </is>
      </c>
      <c r="B104" s="76" t="n"/>
      <c r="C104" s="76" t="n"/>
      <c r="D104" s="76">
        <f>C104-B104</f>
        <v/>
      </c>
      <c r="F104" s="84">
        <f>'Stock'!K22*'Stock'!O22</f>
        <v/>
      </c>
      <c r="G104" s="84">
        <f>D104*'Stock'!O22</f>
        <v/>
      </c>
    </row>
    <row r="105">
      <c r="A105" s="15" t="inlineStr">
        <is>
          <t>Lambs</t>
        </is>
      </c>
      <c r="B105" s="76" t="n"/>
      <c r="C105" s="76" t="n"/>
      <c r="D105" s="76">
        <f>C105-B105</f>
        <v/>
      </c>
      <c r="F105" s="84">
        <f>'Stock'!K23*'Stock'!O23</f>
        <v/>
      </c>
      <c r="G105" s="84">
        <f>D105*'Stock'!O23</f>
        <v/>
      </c>
    </row>
    <row r="106">
      <c r="A106" s="15" t="inlineStr">
        <is>
          <t>Boars</t>
        </is>
      </c>
      <c r="B106" s="76" t="n"/>
      <c r="C106" s="76" t="n"/>
      <c r="D106" s="76">
        <f>C106-B106</f>
        <v/>
      </c>
      <c r="F106" s="84">
        <f>'Stock'!K24*'Stock'!O24</f>
        <v/>
      </c>
      <c r="G106" s="84">
        <f>D106*'Stock'!O24</f>
        <v/>
      </c>
    </row>
    <row r="107">
      <c r="A107" s="15" t="inlineStr">
        <is>
          <t>Sows</t>
        </is>
      </c>
      <c r="B107" s="76" t="n"/>
      <c r="C107" s="76" t="n"/>
      <c r="D107" s="76">
        <f>C107-B107</f>
        <v/>
      </c>
      <c r="F107" s="84">
        <f>'Stock'!K25*'Stock'!O25</f>
        <v/>
      </c>
      <c r="G107" s="84">
        <f>D107*'Stock'!O25</f>
        <v/>
      </c>
    </row>
    <row r="108">
      <c r="A108" s="15" t="inlineStr">
        <is>
          <t>Pigs</t>
        </is>
      </c>
      <c r="B108" s="76" t="n"/>
      <c r="C108" s="76" t="n"/>
      <c r="D108" s="76">
        <f>C108-B108</f>
        <v/>
      </c>
      <c r="F108" s="84">
        <f>'Stock'!K26*'Stock'!O26</f>
        <v/>
      </c>
      <c r="G108" s="84">
        <f>D108*'Stock'!O26</f>
        <v/>
      </c>
    </row>
    <row r="109">
      <c r="A109" s="15" t="inlineStr">
        <is>
          <t>Hoggets</t>
        </is>
      </c>
      <c r="B109" s="76" t="n"/>
      <c r="C109" s="76" t="n"/>
      <c r="D109" s="76">
        <f>C109-B109</f>
        <v/>
      </c>
      <c r="F109" s="84">
        <f>'Stock'!K27*'Stock'!O27</f>
        <v/>
      </c>
      <c r="G109" s="84">
        <f>D109*'Stock'!O27</f>
        <v/>
      </c>
    </row>
    <row r="110">
      <c r="A110" s="15" t="inlineStr">
        <is>
          <t>Piglets</t>
        </is>
      </c>
      <c r="B110" s="76" t="n"/>
      <c r="C110" s="76" t="n"/>
      <c r="D110" s="76">
        <f>C110-B110</f>
        <v/>
      </c>
      <c r="F110" s="84">
        <f>'Stock'!K28*'Stock'!O28</f>
        <v/>
      </c>
      <c r="G110" s="84">
        <f>D110*'Stock'!O28</f>
        <v/>
      </c>
    </row>
    <row r="111">
      <c r="A111" s="15" t="inlineStr">
        <is>
          <t>Swans</t>
        </is>
      </c>
      <c r="B111" s="76" t="n"/>
      <c r="C111" s="76" t="n"/>
      <c r="D111" s="76">
        <f>C111-B111</f>
        <v/>
      </c>
      <c r="F111" s="84">
        <f>'Stock'!K29*'Stock'!O29</f>
        <v/>
      </c>
      <c r="G111" s="84">
        <f>D111*'Stock'!O29</f>
        <v/>
      </c>
    </row>
    <row r="112">
      <c r="A112" s="15" t="inlineStr">
        <is>
          <t>Peacocks</t>
        </is>
      </c>
      <c r="B112" s="76" t="n"/>
      <c r="C112" s="76" t="n"/>
      <c r="D112" s="76">
        <f>C112-B112</f>
        <v/>
      </c>
      <c r="F112" s="84">
        <f>'Stock'!K30*'Stock'!O30</f>
        <v/>
      </c>
      <c r="G112" s="84">
        <f>D112*'Stock'!O30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SUM(G87:G112)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SUM('Stock'!T5:T30)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SUM('Stock'!R5:R30)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G118" s="96" t="n"/>
    </row>
    <row r="119">
      <c r="A119" s="15" t="inlineStr">
        <is>
          <t>Coarse wool</t>
        </is>
      </c>
      <c r="B119" t="inlineStr">
        <is>
          <t>nothing because the lord's sheep are not there</t>
        </is>
      </c>
      <c r="F119">
        <f>C119*'Stock'!O35</f>
        <v/>
      </c>
    </row>
    <row r="120">
      <c r="A120" s="15" t="inlineStr">
        <is>
          <t>Lamb's wool</t>
        </is>
      </c>
      <c r="F120">
        <f>C120*'Stock'!O36</f>
        <v/>
      </c>
    </row>
    <row r="121">
      <c r="A121" s="15" t="inlineStr">
        <is>
          <t>Wool locks</t>
        </is>
      </c>
      <c r="F121">
        <f>C121*'Stock'!O37</f>
        <v/>
      </c>
    </row>
    <row r="122">
      <c r="A122" s="15" t="inlineStr">
        <is>
          <t>Wool sold at shearing</t>
        </is>
      </c>
      <c r="F122">
        <f>C122*'Stock'!O38</f>
        <v/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 t="n"/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G127" s="96" t="n"/>
    </row>
    <row r="128">
      <c r="A128" s="15" t="inlineStr">
        <is>
          <t>Cow hides</t>
        </is>
      </c>
    </row>
    <row r="129">
      <c r="A129" s="15" t="inlineStr">
        <is>
          <t>Mare hides</t>
        </is>
      </c>
    </row>
    <row r="130">
      <c r="A130" s="15" t="inlineStr">
        <is>
          <t>Steer hides</t>
        </is>
      </c>
    </row>
    <row r="131">
      <c r="A131" s="15" t="inlineStr">
        <is>
          <t>Yearling Calf hides</t>
        </is>
      </c>
    </row>
    <row r="132">
      <c r="A132" s="15" t="inlineStr">
        <is>
          <t>Calf hides</t>
        </is>
      </c>
    </row>
    <row r="133">
      <c r="A133" s="23" t="inlineStr">
        <is>
          <t>Pig hides</t>
        </is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(total)</t>
        </is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(total)</t>
        </is>
      </c>
    </row>
    <row r="144">
      <c r="A144" s="15" t="inlineStr">
        <is>
          <t>Lambskins</t>
        </is>
      </c>
    </row>
    <row r="145">
      <c r="A145" s="15" t="inlineStr">
        <is>
          <t>Rotted skins</t>
        </is>
      </c>
    </row>
    <row r="146">
      <c r="A146" s="15" t="inlineStr">
        <is>
          <t>Shorn skins</t>
        </is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 t="n"/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 t="n">
        <v>0</v>
      </c>
      <c r="C151" s="76" t="n">
        <v>0</v>
      </c>
      <c r="D151" s="76" t="n">
        <v>0</v>
      </c>
      <c r="F151" s="76">
        <f>C151*'Stock'!O68</f>
        <v/>
      </c>
      <c r="G151" s="96" t="n"/>
    </row>
    <row r="152">
      <c r="A152" s="15" t="inlineStr">
        <is>
          <t>Geese</t>
        </is>
      </c>
      <c r="B152" s="76" t="n">
        <v>0</v>
      </c>
      <c r="C152" s="76" t="n">
        <v>6</v>
      </c>
      <c r="D152" s="76" t="n">
        <v>-6</v>
      </c>
      <c r="F152" s="76">
        <f>C152*'Stock'!O69</f>
        <v/>
      </c>
    </row>
    <row r="153">
      <c r="A153" s="15" t="inlineStr">
        <is>
          <t>Capons (from chickens)</t>
        </is>
      </c>
      <c r="B153" s="76" t="n">
        <v>0</v>
      </c>
      <c r="C153" s="76" t="n">
        <v>0</v>
      </c>
      <c r="D153" s="76" t="n">
        <v>0</v>
      </c>
      <c r="F153" s="76">
        <f>C153*'Stock'!O70</f>
        <v/>
      </c>
    </row>
    <row r="154">
      <c r="A154" s="15" t="inlineStr">
        <is>
          <t>Cocks &amp; hens</t>
        </is>
      </c>
      <c r="B154" s="76" t="n">
        <v>0</v>
      </c>
      <c r="C154" s="76" t="n">
        <v>0</v>
      </c>
      <c r="D154" s="76" t="n">
        <v>0</v>
      </c>
      <c r="F154" s="76" t="n">
        <v>0</v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SUM('Stock'!R67:R70)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B159" t="n">
        <v>0</v>
      </c>
      <c r="C159" t="n">
        <v>0</v>
      </c>
      <c r="D159" t="n">
        <v>0</v>
      </c>
      <c r="F159">
        <f>C159*'Stock'!O77</f>
        <v/>
      </c>
      <c r="G159" s="116" t="n"/>
    </row>
    <row r="160">
      <c r="A160" s="15" t="inlineStr">
        <is>
          <t>Cocks &amp; hens from churchscot of customary tenants</t>
        </is>
      </c>
      <c r="B160" t="n">
        <v>0</v>
      </c>
      <c r="C160" t="n">
        <v>0</v>
      </c>
      <c r="D160" t="n">
        <v>0</v>
      </c>
      <c r="F160" t="n">
        <v>0</v>
      </c>
    </row>
    <row r="161">
      <c r="A161" s="15" t="inlineStr">
        <is>
          <t>Sum of above</t>
        </is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 t="n"/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B166" t="n">
        <v>0</v>
      </c>
      <c r="C166" t="n">
        <v>0</v>
      </c>
      <c r="D166" t="n">
        <v>0</v>
      </c>
      <c r="F166" t="n">
        <v>0</v>
      </c>
      <c r="G166" s="116" t="n"/>
    </row>
    <row r="167">
      <c r="A167" s="15" t="inlineStr">
        <is>
          <t>Winter Cheese</t>
        </is>
      </c>
      <c r="B167" t="n">
        <v>0</v>
      </c>
      <c r="C167" t="n">
        <v>0</v>
      </c>
      <c r="D167" t="n">
        <v>0</v>
      </c>
      <c r="F167">
        <f>C167*'Stock'!O90</f>
        <v/>
      </c>
    </row>
    <row r="168">
      <c r="A168" s="15" t="inlineStr">
        <is>
          <t>Summer Cheese</t>
        </is>
      </c>
      <c r="B168" t="n">
        <v>0</v>
      </c>
      <c r="C168" t="n">
        <v>0</v>
      </c>
      <c r="D168" t="n">
        <v>0</v>
      </c>
      <c r="F168">
        <f>C168*'Stock'!O91</f>
        <v/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 t="n"/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F169+F162+F156+F147+F123+F115+D71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F170+F163+F156+F148+F124+F115+D73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topLeftCell="A1" workbookViewId="0">
      <selection activeCell="A1" sqref="A1"/>
    </sheetView>
  </sheetViews>
  <sheetFormatPr baseColWidth="8" defaultColWidth="12.6328125" defaultRowHeight="14.5"/>
  <sheetData>
    <row r="1" ht="15.5" customHeight="1">
      <c r="A1" s="12" t="inlineStr">
        <is>
          <t>Meat &amp; Dairy Prices</t>
        </is>
      </c>
    </row>
    <row r="2">
      <c r="C2" t="n">
        <v>1301</v>
      </c>
      <c r="D2" t="n">
        <v>1302</v>
      </c>
      <c r="E2" s="28" t="inlineStr">
        <is>
          <t>Average</t>
        </is>
      </c>
    </row>
    <row r="3" ht="15.5" customHeight="1">
      <c r="A3" t="inlineStr">
        <is>
          <t>Beef</t>
        </is>
      </c>
      <c r="B3" t="inlineStr">
        <is>
          <t>£ per lb</t>
        </is>
      </c>
      <c r="C3" s="62" t="n">
        <v>0.003335185413087333</v>
      </c>
      <c r="D3" s="62" t="n">
        <v>0.003260853786849182</v>
      </c>
      <c r="E3" s="63">
        <f>AVERAGE(C3:D3)</f>
        <v/>
      </c>
    </row>
    <row r="4">
      <c r="A4" t="inlineStr">
        <is>
          <t>Mutton</t>
        </is>
      </c>
      <c r="B4" t="inlineStr">
        <is>
          <t>£ per lb</t>
        </is>
      </c>
      <c r="C4" s="63" t="n">
        <v>0.003659397726835158</v>
      </c>
      <c r="D4" s="63" t="n">
        <v>0.003712551295250783</v>
      </c>
      <c r="E4" s="63">
        <f>AVERAGE(C4:D4)</f>
        <v/>
      </c>
    </row>
    <row r="5">
      <c r="A5" t="inlineStr">
        <is>
          <t>Pork</t>
        </is>
      </c>
      <c r="B5" t="inlineStr">
        <is>
          <t>£ per lb</t>
        </is>
      </c>
      <c r="C5" s="63" t="n">
        <v>0.003843132608634785</v>
      </c>
      <c r="D5" s="63" t="n">
        <v>0.003757480310106574</v>
      </c>
      <c r="E5" s="63">
        <f>AVERAGE(C5:D5)</f>
        <v/>
      </c>
    </row>
    <row r="6">
      <c r="A6" t="inlineStr">
        <is>
          <t>Cheese</t>
        </is>
      </c>
      <c r="B6" t="inlineStr">
        <is>
          <t>£ per lb</t>
        </is>
      </c>
      <c r="C6" s="64" t="n">
        <v>0.005576875401355813</v>
      </c>
      <c r="D6" s="63" t="n">
        <v>0.005665489823647453</v>
      </c>
      <c r="E6" s="63">
        <f>AVERAGE(C6:D6)</f>
        <v/>
      </c>
    </row>
    <row r="7">
      <c r="A7" t="inlineStr">
        <is>
          <t>Butter</t>
        </is>
      </c>
      <c r="B7" t="inlineStr">
        <is>
          <t>£ per lb</t>
        </is>
      </c>
      <c r="C7" s="63" t="n">
        <v>0.00366262210285494</v>
      </c>
      <c r="D7" s="63" t="n">
        <v>0.003593507742292381</v>
      </c>
      <c r="E7" s="63">
        <f>AVERAGE(C7:D7)</f>
        <v/>
      </c>
    </row>
    <row r="8">
      <c r="A8" t="inlineStr">
        <is>
          <t>Milk</t>
        </is>
      </c>
      <c r="B8" t="inlineStr">
        <is>
          <t>£ per gallon</t>
        </is>
      </c>
      <c r="C8" s="65" t="n">
        <v>0.005576875401355813</v>
      </c>
      <c r="D8" s="63" t="n">
        <v>0.005665489823647453</v>
      </c>
      <c r="E8" s="63">
        <f>AVERAGE(C8:D8)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ColWidth="8.81640625" defaultRowHeight="14.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3"/>
  <sheetViews>
    <sheetView topLeftCell="A1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MORTON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</row>
    <row r="5">
      <c r="A5" s="15" t="inlineStr">
        <is>
          <t>Rents of assize total</t>
        </is>
      </c>
    </row>
    <row r="6">
      <c r="A6" s="15" t="inlineStr">
        <is>
          <t>Quittances total</t>
        </is>
      </c>
    </row>
    <row r="7">
      <c r="A7" s="15" t="inlineStr">
        <is>
          <t>Defaults of rent total</t>
        </is>
      </c>
    </row>
    <row r="8">
      <c r="A8" s="9" t="inlineStr">
        <is>
          <t>Defaults of rent through the pestilence total</t>
        </is>
      </c>
    </row>
    <row r="9">
      <c r="A9" s="9" t="inlineStr">
        <is>
          <t>Cotlands defaults total</t>
        </is>
      </c>
    </row>
    <row r="10">
      <c r="A10" s="9" t="inlineStr">
        <is>
          <t>Cotlands total</t>
        </is>
      </c>
    </row>
    <row r="11">
      <c r="A11" s="9" t="inlineStr">
        <is>
          <t>Total of quittances and defaults of rent total</t>
        </is>
      </c>
    </row>
    <row r="12">
      <c r="A12" s="9" t="inlineStr">
        <is>
          <t>Total of rents remaining clear total</t>
        </is>
      </c>
    </row>
    <row r="13">
      <c r="A13" s="9" t="inlineStr">
        <is>
          <t>Farms total</t>
        </is>
      </c>
    </row>
    <row r="14">
      <c r="A14" s="15" t="inlineStr">
        <is>
          <t>Annual recognizances total</t>
        </is>
      </c>
    </row>
    <row r="15">
      <c r="A15" s="15" t="inlineStr">
        <is>
          <t>Issues of the Manor total</t>
        </is>
      </c>
    </row>
    <row r="16">
      <c r="A16" s="9" t="inlineStr">
        <is>
          <t>Issues of the tenements in the lord's hands total</t>
        </is>
      </c>
    </row>
    <row r="17">
      <c r="A17" s="9" t="inlineStr">
        <is>
          <t>Sale of labour services total</t>
        </is>
      </c>
    </row>
    <row r="18">
      <c r="A18" s="15" t="inlineStr">
        <is>
          <t>Sale of corn total</t>
        </is>
      </c>
    </row>
    <row r="19">
      <c r="A19" s="15" t="inlineStr">
        <is>
          <t>Entry and marriage fines total</t>
        </is>
      </c>
    </row>
    <row r="20">
      <c r="A20" s="15" t="inlineStr">
        <is>
          <t>Pleas &amp; perquisites total</t>
        </is>
      </c>
    </row>
    <row r="21">
      <c r="A21" s="9" t="inlineStr">
        <is>
          <t>Forfeited chattels total</t>
        </is>
      </c>
    </row>
    <row r="22">
      <c r="A22" s="9" t="inlineStr">
        <is>
          <t>Farm of the demesne land total</t>
        </is>
      </c>
    </row>
    <row r="23">
      <c r="A23" s="81" t="inlineStr">
        <is>
          <t>Total of all receipts (calculated here)</t>
        </is>
      </c>
    </row>
    <row r="24">
      <c r="A24" s="82" t="inlineStr">
        <is>
          <t>Total of all receipts (calculated here) incl arrears</t>
        </is>
      </c>
    </row>
    <row r="25">
      <c r="A25" s="83" t="inlineStr">
        <is>
          <t>Total recorded in the accounts excl. arrears</t>
        </is>
      </c>
    </row>
    <row r="26">
      <c r="A26" s="83" t="inlineStr">
        <is>
          <t>Total recorded in the accounts incl. arrears</t>
        </is>
      </c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</row>
    <row r="42">
      <c r="A42" s="15" t="inlineStr">
        <is>
          <t>Steward's expenses total</t>
        </is>
      </c>
    </row>
    <row r="43">
      <c r="A43" s="85" t="inlineStr">
        <is>
          <t>Annual fees</t>
        </is>
      </c>
    </row>
    <row r="44">
      <c r="A44" s="82" t="inlineStr">
        <is>
          <t>Total of all expenses per account</t>
        </is>
      </c>
    </row>
    <row r="45">
      <c r="A45" s="82" t="inlineStr">
        <is>
          <t>Total of all expenses (calculated here)</t>
        </is>
      </c>
    </row>
    <row r="46">
      <c r="A46" s="82" t="inlineStr">
        <is>
          <t>Total fixed investment</t>
        </is>
      </c>
    </row>
    <row r="47">
      <c r="A47" s="82" t="inlineStr">
        <is>
          <t>Total Demesne fixed investment</t>
        </is>
      </c>
    </row>
    <row r="48">
      <c r="A48" s="12" t="n"/>
    </row>
    <row r="49">
      <c r="A49" s="18" t="inlineStr">
        <is>
          <t>Owed by the reeve</t>
        </is>
      </c>
    </row>
    <row r="50">
      <c r="A50" s="18" t="inlineStr">
        <is>
          <t>From accounts</t>
        </is>
      </c>
    </row>
    <row r="51">
      <c r="A51" s="15" t="n"/>
    </row>
    <row r="52">
      <c r="A52" s="18" t="inlineStr">
        <is>
          <t>Allowances</t>
        </is>
      </c>
    </row>
    <row r="53">
      <c r="A53" s="18" t="inlineStr">
        <is>
          <t>Cash deliveries</t>
        </is>
      </c>
    </row>
    <row r="54">
      <c r="A54" s="19" t="inlineStr">
        <is>
          <t>Sum of the above</t>
        </is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</row>
    <row r="61">
      <c r="A61" s="8" t="inlineStr">
        <is>
          <t>Grange</t>
        </is>
      </c>
    </row>
    <row r="62">
      <c r="A62" s="9" t="inlineStr">
        <is>
          <t>Wheat</t>
        </is>
      </c>
    </row>
    <row r="63">
      <c r="A63" s="9" t="inlineStr">
        <is>
          <t>Rye</t>
        </is>
      </c>
    </row>
    <row r="64">
      <c r="A64" s="9" t="inlineStr">
        <is>
          <t>Dredge</t>
        </is>
      </c>
    </row>
    <row r="65">
      <c r="A65" s="9" t="inlineStr">
        <is>
          <t>Curall</t>
        </is>
      </c>
    </row>
    <row r="66">
      <c r="A66" s="9" t="inlineStr">
        <is>
          <t>Barley</t>
        </is>
      </c>
    </row>
    <row r="67">
      <c r="A67" s="9" t="inlineStr">
        <is>
          <t>Oats</t>
        </is>
      </c>
    </row>
    <row r="68">
      <c r="A68" s="9" t="inlineStr">
        <is>
          <t>Beans</t>
        </is>
      </c>
    </row>
    <row r="69">
      <c r="A69" s="9" t="inlineStr">
        <is>
          <t>Peas</t>
        </is>
      </c>
    </row>
    <row r="70">
      <c r="A70" s="9" t="inlineStr">
        <is>
          <t>Vetches</t>
        </is>
      </c>
    </row>
    <row r="71">
      <c r="A71" s="17" t="inlineStr">
        <is>
          <t>Total value of gross production (sum of the above)</t>
        </is>
      </c>
    </row>
    <row r="72">
      <c r="A72" s="17" t="inlineStr">
        <is>
          <t>Total value of net production</t>
        </is>
      </c>
    </row>
    <row r="73">
      <c r="A73" s="17" t="inlineStr">
        <is>
          <t>Value of sales</t>
        </is>
      </c>
    </row>
    <row r="74">
      <c r="A74" s="15" t="n"/>
    </row>
    <row r="75">
      <c r="A75" s="16" t="inlineStr">
        <is>
          <t>MILL ACCOUNT</t>
        </is>
      </c>
    </row>
    <row r="76">
      <c r="A76" s="8" t="inlineStr">
        <is>
          <t>Issues of the mill</t>
        </is>
      </c>
    </row>
    <row r="77">
      <c r="A77" s="15" t="inlineStr">
        <is>
          <t>Wheat</t>
        </is>
      </c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</row>
    <row r="83">
      <c r="A83" s="17" t="inlineStr">
        <is>
          <t>Value of sales</t>
        </is>
      </c>
    </row>
    <row r="84">
      <c r="A84" s="15" t="n"/>
    </row>
    <row r="85">
      <c r="A85" s="92" t="inlineStr">
        <is>
          <t>STOCK ACCOUNT</t>
        </is>
      </c>
    </row>
    <row r="86">
      <c r="A86" s="21" t="inlineStr">
        <is>
          <t>Livestock</t>
        </is>
      </c>
    </row>
    <row r="87" ht="17" customHeight="1">
      <c r="A87" s="22" t="inlineStr">
        <is>
          <t>Cart-horses</t>
        </is>
      </c>
    </row>
    <row r="88" ht="17" customHeight="1">
      <c r="A88" s="22" t="inlineStr">
        <is>
          <t>Mares</t>
        </is>
      </c>
    </row>
    <row r="89">
      <c r="A89" s="15" t="inlineStr">
        <is>
          <t>Plough horses</t>
        </is>
      </c>
    </row>
    <row r="90">
      <c r="A90" s="15" t="inlineStr">
        <is>
          <t>Colts (2 years)</t>
        </is>
      </c>
    </row>
    <row r="91">
      <c r="A91" s="15" t="inlineStr">
        <is>
          <t>Colts (2 years)</t>
        </is>
      </c>
    </row>
    <row r="92">
      <c r="A92" s="15" t="inlineStr">
        <is>
          <t>Colts (1 year)</t>
        </is>
      </c>
    </row>
    <row r="93">
      <c r="A93" s="15" t="inlineStr">
        <is>
          <t>Foals</t>
        </is>
      </c>
    </row>
    <row r="94">
      <c r="A94" s="15" t="inlineStr">
        <is>
          <t>Oxen</t>
        </is>
      </c>
    </row>
    <row r="95">
      <c r="A95" s="15" t="inlineStr">
        <is>
          <t>Bulls</t>
        </is>
      </c>
    </row>
    <row r="96">
      <c r="A96" s="15" t="inlineStr">
        <is>
          <t>Cows</t>
        </is>
      </c>
    </row>
    <row r="97">
      <c r="A97" s="15" t="inlineStr">
        <is>
          <t>Steers</t>
        </is>
      </c>
    </row>
    <row r="98">
      <c r="A98" s="15" t="inlineStr">
        <is>
          <t>Bullocks</t>
        </is>
      </c>
    </row>
    <row r="99">
      <c r="A99" s="15" t="inlineStr">
        <is>
          <t>Yearlings</t>
        </is>
      </c>
    </row>
    <row r="100">
      <c r="A100" s="15" t="inlineStr">
        <is>
          <t>Calves</t>
        </is>
      </c>
    </row>
    <row r="101">
      <c r="A101" s="15" t="inlineStr">
        <is>
          <t>Wethers</t>
        </is>
      </c>
    </row>
    <row r="102">
      <c r="A102" s="15" t="inlineStr">
        <is>
          <t>Rams</t>
        </is>
      </c>
    </row>
    <row r="103">
      <c r="A103" s="15" t="inlineStr">
        <is>
          <t>Ewes</t>
        </is>
      </c>
    </row>
    <row r="104">
      <c r="A104" s="15" t="inlineStr">
        <is>
          <t>Hoggs</t>
        </is>
      </c>
    </row>
    <row r="105">
      <c r="A105" s="15" t="inlineStr">
        <is>
          <t>Lambs</t>
        </is>
      </c>
    </row>
    <row r="106">
      <c r="A106" s="15" t="inlineStr">
        <is>
          <t>Boars</t>
        </is>
      </c>
    </row>
    <row r="107">
      <c r="A107" s="15" t="inlineStr">
        <is>
          <t>Sows</t>
        </is>
      </c>
    </row>
    <row r="108">
      <c r="A108" s="15" t="inlineStr">
        <is>
          <t>Pigs</t>
        </is>
      </c>
    </row>
    <row r="109">
      <c r="A109" s="15" t="inlineStr">
        <is>
          <t>Hoggets</t>
        </is>
      </c>
    </row>
    <row r="110">
      <c r="A110" s="15" t="inlineStr">
        <is>
          <t>Piglets</t>
        </is>
      </c>
    </row>
    <row r="111">
      <c r="A111" s="15" t="inlineStr">
        <is>
          <t>Swans</t>
        </is>
      </c>
    </row>
    <row r="112">
      <c r="A112" s="15" t="inlineStr">
        <is>
          <t>Peacocks</t>
        </is>
      </c>
    </row>
    <row r="113">
      <c r="A113" s="17" t="inlineStr">
        <is>
          <t>Total value of stock (sum of the above)</t>
        </is>
      </c>
    </row>
    <row r="114">
      <c r="A114" s="17" t="inlineStr">
        <is>
          <t>Total value of production</t>
        </is>
      </c>
    </row>
    <row r="115">
      <c r="A115" s="17" t="inlineStr">
        <is>
          <t>Value of sales</t>
        </is>
      </c>
    </row>
    <row r="116">
      <c r="A116" s="15" t="n"/>
    </row>
    <row r="117">
      <c r="A117" s="16" t="inlineStr">
        <is>
          <t>Wool</t>
        </is>
      </c>
    </row>
    <row r="118" ht="17" customHeight="1">
      <c r="A118" s="22" t="inlineStr">
        <is>
          <t>Fleeces</t>
        </is>
      </c>
    </row>
    <row r="119">
      <c r="A119" s="15" t="inlineStr">
        <is>
          <t>Coarse wool</t>
        </is>
      </c>
    </row>
    <row r="120">
      <c r="A120" s="15" t="inlineStr">
        <is>
          <t>Lamb's wool</t>
        </is>
      </c>
    </row>
    <row r="121">
      <c r="A121" s="15" t="inlineStr">
        <is>
          <t>Wool locks</t>
        </is>
      </c>
    </row>
    <row r="122">
      <c r="A122" s="15" t="inlineStr">
        <is>
          <t>Wool sold at shearing</t>
        </is>
      </c>
    </row>
    <row r="123">
      <c r="A123" s="119" t="inlineStr">
        <is>
          <t>Total value of production (sum of the above)</t>
        </is>
      </c>
    </row>
    <row r="124">
      <c r="A124" s="119" t="inlineStr">
        <is>
          <t>Value of sales</t>
        </is>
      </c>
    </row>
    <row r="125">
      <c r="A125" s="8" t="n"/>
    </row>
    <row r="126">
      <c r="A126" s="16" t="inlineStr">
        <is>
          <t>Hides</t>
        </is>
      </c>
    </row>
    <row r="127">
      <c r="A127" s="15" t="inlineStr">
        <is>
          <t>Ox hides</t>
        </is>
      </c>
    </row>
    <row r="128">
      <c r="A128" s="15" t="inlineStr">
        <is>
          <t>Cow hides</t>
        </is>
      </c>
    </row>
    <row r="129">
      <c r="A129" s="15" t="inlineStr">
        <is>
          <t>Mare hides</t>
        </is>
      </c>
    </row>
    <row r="130">
      <c r="A130" s="15" t="inlineStr">
        <is>
          <t>Steer hides</t>
        </is>
      </c>
    </row>
    <row r="131">
      <c r="A131" s="15" t="inlineStr">
        <is>
          <t>Yearling Calf hides</t>
        </is>
      </c>
    </row>
    <row r="132">
      <c r="A132" s="15" t="inlineStr">
        <is>
          <t>Calf hides</t>
        </is>
      </c>
    </row>
    <row r="133">
      <c r="A133" s="23" t="inlineStr">
        <is>
          <t>Pig hides</t>
        </is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(total)</t>
        </is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(total)</t>
        </is>
      </c>
    </row>
    <row r="144">
      <c r="A144" s="15" t="inlineStr">
        <is>
          <t>Lambskins</t>
        </is>
      </c>
    </row>
    <row r="145">
      <c r="A145" s="15" t="inlineStr">
        <is>
          <t>Rotted skins</t>
        </is>
      </c>
    </row>
    <row r="146">
      <c r="A146" s="15" t="inlineStr">
        <is>
          <t>Shorn skins</t>
        </is>
      </c>
    </row>
    <row r="147">
      <c r="A147" s="17" t="inlineStr">
        <is>
          <t>Total value of production (sum of the above)</t>
        </is>
      </c>
    </row>
    <row r="148">
      <c r="A148" s="17" t="inlineStr">
        <is>
          <t>Value of sales</t>
        </is>
      </c>
    </row>
    <row r="149">
      <c r="A149" s="15" t="n"/>
    </row>
    <row r="150">
      <c r="A150" s="16" t="inlineStr">
        <is>
          <t>Poultry stock</t>
        </is>
      </c>
    </row>
    <row r="151" ht="17" customHeight="1">
      <c r="A151" s="22" t="inlineStr">
        <is>
          <t>Hens</t>
        </is>
      </c>
    </row>
    <row r="152">
      <c r="A152" s="15" t="inlineStr">
        <is>
          <t>Geese</t>
        </is>
      </c>
    </row>
    <row r="153">
      <c r="A153" s="15" t="inlineStr">
        <is>
          <t>Capons (from chickens)</t>
        </is>
      </c>
    </row>
    <row r="154">
      <c r="A154" s="15" t="inlineStr">
        <is>
          <t>Cocks &amp; hens</t>
        </is>
      </c>
    </row>
    <row r="155">
      <c r="A155" s="119" t="inlineStr">
        <is>
          <t>Total value of production (sum of the above)</t>
        </is>
      </c>
    </row>
    <row r="156">
      <c r="A156" s="119" t="inlineStr">
        <is>
          <t>Value of sales</t>
        </is>
      </c>
    </row>
    <row r="157">
      <c r="A157" s="15" t="n"/>
    </row>
    <row r="158">
      <c r="A158" s="16" t="inlineStr">
        <is>
          <t>Poultry production</t>
        </is>
      </c>
    </row>
    <row r="159">
      <c r="A159" s="15" t="inlineStr">
        <is>
          <t>Eggs</t>
        </is>
      </c>
    </row>
    <row r="160">
      <c r="A160" s="15" t="inlineStr">
        <is>
          <t>Cocks &amp; hens from churchscot of customary tenants</t>
        </is>
      </c>
    </row>
    <row r="161">
      <c r="A161" s="15" t="inlineStr">
        <is>
          <t>Sum of above</t>
        </is>
      </c>
    </row>
    <row r="162">
      <c r="A162" s="17" t="inlineStr">
        <is>
          <t>Total value of stock</t>
        </is>
      </c>
    </row>
    <row r="163">
      <c r="A163" s="17" t="inlineStr">
        <is>
          <t>Value of sales</t>
        </is>
      </c>
    </row>
    <row r="164">
      <c r="A164" s="15" t="n"/>
    </row>
    <row r="165">
      <c r="A165" s="16" t="inlineStr">
        <is>
          <t>Dairy Production</t>
        </is>
      </c>
    </row>
    <row r="166">
      <c r="A166" s="15" t="inlineStr">
        <is>
          <t>Butter</t>
        </is>
      </c>
    </row>
    <row r="167">
      <c r="A167" s="15" t="inlineStr">
        <is>
          <t>Winter Cheese</t>
        </is>
      </c>
    </row>
    <row r="168">
      <c r="A168" s="15" t="inlineStr">
        <is>
          <t>Summer Cheese</t>
        </is>
      </c>
    </row>
    <row r="169">
      <c r="A169" s="17" t="inlineStr">
        <is>
          <t>Total value of production (sum of the above)</t>
        </is>
      </c>
    </row>
    <row r="170">
      <c r="A170" s="17" t="inlineStr">
        <is>
          <t>Value of sales</t>
        </is>
      </c>
    </row>
    <row r="171">
      <c r="A171" s="15" t="n"/>
    </row>
    <row r="172">
      <c r="A172" s="15" t="n"/>
    </row>
    <row r="173" ht="17" customHeight="1"/>
    <row r="174" ht="17" customHeight="1">
      <c r="A174" s="103" t="n"/>
    </row>
    <row r="175">
      <c r="A175" s="97" t="inlineStr">
        <is>
          <t>Total Production Value of all Output (Grange, Dairy, Livestock Sales, Wools, Skins - NO Mill)</t>
        </is>
      </c>
    </row>
    <row r="176">
      <c r="A176" s="98" t="inlineStr">
        <is>
          <t>Total Sales Value of all Output as defined above</t>
        </is>
      </c>
    </row>
    <row r="177">
      <c r="A177" s="98" t="inlineStr">
        <is>
          <t>Total Sales of Corn + Issues of the Manor as recorded in account</t>
        </is>
      </c>
    </row>
    <row r="178">
      <c r="A178" s="98" t="inlineStr">
        <is>
          <t>Production Value + Cash Receipts (excl. Arrears, Issues, Corn and Mill)</t>
        </is>
      </c>
    </row>
    <row r="179">
      <c r="A179" s="99" t="n"/>
    </row>
    <row r="180">
      <c r="A180" s="100" t="inlineStr">
        <is>
          <t>% of capital expenses in terms of total production</t>
        </is>
      </c>
    </row>
    <row r="181">
      <c r="A181" s="98" t="inlineStr">
        <is>
          <t>% of capital expenses in terms of total production + cash receipts</t>
        </is>
      </c>
    </row>
    <row r="182">
      <c r="A182" s="99" t="n"/>
    </row>
    <row r="183" ht="17" customHeight="1">
      <c r="A183" s="101" t="inlineStr">
        <is>
          <t>% of capital expenses as calculated previously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topLeftCell="A1" workbookViewId="0">
      <selection activeCell="A1" sqref="A1"/>
    </sheetView>
  </sheetViews>
  <sheetFormatPr baseColWidth="8" defaultRowHeight="15"/>
  <cols>
    <col width="30.5" customWidth="1" min="1" max="1"/>
    <col width="8.83203125" customWidth="1" min="7" max="7"/>
  </cols>
  <sheetData>
    <row r="1" ht="16" customHeight="1">
      <c r="A1" s="12" t="inlineStr">
        <is>
          <t>MORTON RECEIPTS</t>
        </is>
      </c>
    </row>
    <row r="2" ht="16" customHeight="1">
      <c r="A2" s="11" t="inlineStr">
        <is>
          <t>Heading</t>
        </is>
      </c>
      <c r="B2" s="3" t="inlineStr">
        <is>
          <t>£</t>
        </is>
      </c>
      <c r="C2" s="4" t="inlineStr">
        <is>
          <t xml:space="preserve">s </t>
        </is>
      </c>
      <c r="D2" s="4" t="inlineStr">
        <is>
          <t>d</t>
        </is>
      </c>
      <c r="E2" s="4" t="n"/>
      <c r="F2" s="5" t="inlineStr">
        <is>
          <t>Total in £</t>
        </is>
      </c>
      <c r="G2" s="6" t="inlineStr">
        <is>
          <t>Error</t>
        </is>
      </c>
      <c r="H2" s="7" t="inlineStr">
        <is>
          <t>Notes</t>
        </is>
      </c>
    </row>
    <row r="3">
      <c r="A3" t="inlineStr">
        <is>
          <t>Arrears</t>
        </is>
      </c>
      <c r="B3" t="n">
        <v>3</v>
      </c>
      <c r="C3" t="n">
        <v>10</v>
      </c>
      <c r="D3" t="n">
        <v>3</v>
      </c>
      <c r="F3" t="n">
        <v>3.51</v>
      </c>
      <c r="H3" t="inlineStr">
        <is>
          <t>William, bailiff, and Richard, reeve, render account for £3 10 shilling 3pence of arrears from the previous year.</t>
        </is>
      </c>
    </row>
    <row r="4">
      <c r="A4" t="inlineStr">
        <is>
          <t>Arrears</t>
        </is>
      </c>
      <c r="B4" t="n">
        <v>3</v>
      </c>
      <c r="C4" t="n">
        <v>10</v>
      </c>
      <c r="D4" t="n">
        <v>3</v>
      </c>
      <c r="F4" t="n">
        <v>3.51</v>
      </c>
      <c r="H4" t="inlineStr">
        <is>
          <t>Delivered to Sir Geoffrey, treasurer of Wolvesey, by 1 tally, £3 10 shilling 3pence They are quit.</t>
        </is>
      </c>
    </row>
    <row r="5">
      <c r="A5" t="inlineStr">
        <is>
          <t>Arrears</t>
        </is>
      </c>
      <c r="F5" t="n">
        <v>7.02</v>
      </c>
      <c r="G5" s="127" t="n">
        <v>3.51</v>
      </c>
      <c r="H5" t="inlineStr">
        <is>
          <t>Total</t>
        </is>
      </c>
    </row>
    <row r="6"/>
    <row r="7">
      <c r="A7" t="inlineStr">
        <is>
          <t>Rents</t>
        </is>
      </c>
      <c r="B7" t="n">
        <v>1</v>
      </c>
      <c r="C7" t="n">
        <v>3</v>
      </c>
      <c r="D7" t="n">
        <v>3.25</v>
      </c>
      <c r="F7" t="n">
        <v>1.16</v>
      </c>
      <c r="H7" t="inlineStr">
        <is>
          <t>The same render account for £1 3 shilling 3.25pence for all rents of assize at Christmas.</t>
        </is>
      </c>
    </row>
    <row r="8">
      <c r="A8" t="inlineStr">
        <is>
          <t>Rents</t>
        </is>
      </c>
      <c r="B8" t="n">
        <v>1</v>
      </c>
      <c r="C8" t="n">
        <v>3</v>
      </c>
      <c r="D8" t="n">
        <v>3.25</v>
      </c>
      <c r="F8" t="n">
        <v>1.16</v>
      </c>
      <c r="H8" t="inlineStr">
        <is>
          <t>£1 3 shilling 3.25pence at the Annunciation (25 March).</t>
        </is>
      </c>
    </row>
    <row r="9">
      <c r="A9" t="inlineStr">
        <is>
          <t>Rents</t>
        </is>
      </c>
      <c r="B9" t="n">
        <v>1</v>
      </c>
      <c r="C9" t="n">
        <v>3</v>
      </c>
      <c r="D9" t="n">
        <v>3.25</v>
      </c>
      <c r="F9" t="n">
        <v>1.16</v>
      </c>
      <c r="H9" t="inlineStr">
        <is>
          <t>£1 3 shilling 3.25pence at the Nativity of St John the Baptist (24 June).</t>
        </is>
      </c>
    </row>
    <row r="10">
      <c r="A10" t="inlineStr">
        <is>
          <t>Rents</t>
        </is>
      </c>
      <c r="B10" t="n">
        <v>1</v>
      </c>
      <c r="C10" t="n">
        <v>3</v>
      </c>
      <c r="D10" t="n">
        <v>3.25</v>
      </c>
      <c r="F10" t="n">
        <v>1.16</v>
      </c>
      <c r="H10" t="inlineStr">
        <is>
          <t>£1 3 shilling 3.25pence at Michaelmas (29 September).</t>
        </is>
      </c>
    </row>
    <row r="11">
      <c r="A11" t="inlineStr">
        <is>
          <t>Rents</t>
        </is>
      </c>
      <c r="B11" t="n">
        <v>4</v>
      </c>
      <c r="C11" t="n">
        <v>13</v>
      </c>
      <c r="D11" t="n">
        <v>1</v>
      </c>
      <c r="F11" t="n">
        <v>4.65</v>
      </c>
      <c r="H11" t="inlineStr">
        <is>
          <t>Total of all rents for the year, £4 13 shilling 1pence</t>
        </is>
      </c>
    </row>
    <row r="12">
      <c r="A12" t="inlineStr">
        <is>
          <t>Rents</t>
        </is>
      </c>
      <c r="F12" t="n">
        <v>4.64</v>
      </c>
      <c r="G12" s="127" t="n">
        <v>-0.01000000000000068</v>
      </c>
      <c r="H12" t="inlineStr">
        <is>
          <t>Total</t>
        </is>
      </c>
    </row>
    <row r="13"/>
    <row r="14">
      <c r="A14" t="inlineStr">
        <is>
          <t>Quittances</t>
        </is>
      </c>
      <c r="B14" t="n">
        <v>0</v>
      </c>
      <c r="C14" t="n">
        <v>2</v>
      </c>
      <c r="D14" t="n">
        <v>0</v>
      </c>
      <c r="F14" t="n">
        <v>0.1</v>
      </c>
      <c r="H14" t="inlineStr">
        <is>
          <t>In quittance of 1 reeve for the year 2 shilling.</t>
        </is>
      </c>
    </row>
    <row r="15">
      <c r="A15" t="inlineStr">
        <is>
          <t>Quittances</t>
        </is>
      </c>
      <c r="B15" t="n">
        <v>0</v>
      </c>
      <c r="C15" t="n">
        <v>12</v>
      </c>
      <c r="D15" t="n">
        <v>0</v>
      </c>
      <c r="F15" t="n">
        <v>0.6</v>
      </c>
      <c r="H15" t="inlineStr">
        <is>
          <t>6 men holding 6 virgates of land, 3 of whom hold the lord's ploughs for 1 week and the other three for the other week, 12 shilling for the year.</t>
        </is>
      </c>
    </row>
    <row r="16">
      <c r="A16" t="inlineStr">
        <is>
          <t>Quittances</t>
        </is>
      </c>
      <c r="B16" t="n">
        <v>0</v>
      </c>
      <c r="C16" t="n">
        <v>14</v>
      </c>
      <c r="D16" t="n">
        <v>0</v>
      </c>
      <c r="F16" t="n">
        <v>0.7</v>
      </c>
      <c r="H16" t="inlineStr">
        <is>
          <t>Total of quittances, 14 shilling</t>
        </is>
      </c>
    </row>
    <row r="17">
      <c r="A17" t="inlineStr">
        <is>
          <t>Quittances</t>
        </is>
      </c>
      <c r="F17" t="n">
        <v>0.7</v>
      </c>
      <c r="G17" s="127" t="n">
        <v>0</v>
      </c>
      <c r="H17" t="inlineStr">
        <is>
          <t>Total</t>
        </is>
      </c>
    </row>
    <row r="18"/>
    <row r="19">
      <c r="A19" t="inlineStr">
        <is>
          <t>Defaults of rent</t>
        </is>
      </c>
      <c r="B19" t="n">
        <v>0</v>
      </c>
      <c r="C19" t="n">
        <v>4</v>
      </c>
      <c r="D19" t="n">
        <v>0</v>
      </c>
      <c r="F19" t="n">
        <v>0.2</v>
      </c>
      <c r="H19" t="inlineStr">
        <is>
          <t>In default of 1 virgate of land which belonged to William de Bury drawn into demesne, 4 shilling for the year.</t>
        </is>
      </c>
    </row>
    <row r="20">
      <c r="A20" t="inlineStr">
        <is>
          <t>Defaults of rent</t>
        </is>
      </c>
      <c r="B20" t="n">
        <v>0</v>
      </c>
      <c r="C20" t="n">
        <v>3</v>
      </c>
      <c r="D20" t="n">
        <v>0</v>
      </c>
      <c r="F20" t="n">
        <v>0.15</v>
      </c>
      <c r="H20" t="inlineStr">
        <is>
          <t>1.5 virgates and 1 ferling of land which belonged to Roger drawn into demesne, 3 shilling for the year.</t>
        </is>
      </c>
    </row>
    <row r="21">
      <c r="A21" t="inlineStr">
        <is>
          <t>Defaults of rent</t>
        </is>
      </c>
      <c r="B21" t="n">
        <v>0</v>
      </c>
      <c r="C21" t="n">
        <v>1</v>
      </c>
      <c r="D21" t="n">
        <v>8</v>
      </c>
      <c r="F21" t="n">
        <v>0.08</v>
      </c>
      <c r="H21" t="inlineStr">
        <is>
          <t>1.5 virgates and a farthing of land which belonged to William Alfnth drawn into demesne, 1 shilling 8pence for the year.</t>
        </is>
      </c>
    </row>
    <row r="22">
      <c r="A22" t="inlineStr">
        <is>
          <t>Defaults of rent</t>
        </is>
      </c>
      <c r="B22" t="n">
        <v>0</v>
      </c>
      <c r="C22" t="n">
        <v>0</v>
      </c>
      <c r="D22" t="n">
        <v>9</v>
      </c>
      <c r="F22" t="n">
        <v>0.04</v>
      </c>
      <c r="H22" t="inlineStr">
        <is>
          <t>1 ferling of land which belonged to William le Nywman drawn into demesne, 9pence for the year.</t>
        </is>
      </c>
    </row>
    <row r="23">
      <c r="A23" t="inlineStr">
        <is>
          <t>Defaults of rent</t>
        </is>
      </c>
      <c r="B23" t="n">
        <v>0</v>
      </c>
      <c r="C23" t="n">
        <v>1</v>
      </c>
      <c r="D23" t="n">
        <v>3</v>
      </c>
      <c r="F23" t="n">
        <v>0.06</v>
      </c>
      <c r="H23" t="inlineStr">
        <is>
          <t>1 ferling and a farthing of land which belonged to Alice drawn into demesne, 1 shilling 3pence for the year.</t>
        </is>
      </c>
    </row>
    <row r="24">
      <c r="A24" t="inlineStr">
        <is>
          <t>Defaults of rent</t>
        </is>
      </c>
      <c r="B24" t="n">
        <v>0</v>
      </c>
      <c r="C24" t="n">
        <v>0</v>
      </c>
      <c r="D24" t="n">
        <v>0</v>
      </c>
      <c r="F24" t="n">
        <v>0</v>
      </c>
      <c r="H24" t="inlineStr">
        <is>
          <t>a curtilage which belonged to Roger Pound' drawn into demesne, 7'/ pence for the year.</t>
        </is>
      </c>
    </row>
    <row r="25">
      <c r="A25" t="inlineStr">
        <is>
          <t>Defaults of rent</t>
        </is>
      </c>
      <c r="B25" t="n">
        <v>0</v>
      </c>
      <c r="C25" t="n">
        <v>11</v>
      </c>
      <c r="D25" t="n">
        <v>3.5</v>
      </c>
      <c r="F25" t="n">
        <v>0.5600000000000001</v>
      </c>
      <c r="H25" t="inlineStr">
        <is>
          <t>Total of defaults of rent, 11 shilling 3.5pence</t>
        </is>
      </c>
    </row>
    <row r="26">
      <c r="A26" t="inlineStr">
        <is>
          <t>Defaults of rent</t>
        </is>
      </c>
      <c r="F26" t="n">
        <v>0.53</v>
      </c>
      <c r="G26" s="127" t="n">
        <v>-0.03000000000000003</v>
      </c>
      <c r="H26" t="inlineStr">
        <is>
          <t>Total</t>
        </is>
      </c>
    </row>
    <row r="27"/>
    <row r="28">
      <c r="A28" t="inlineStr">
        <is>
          <t>Total of quittances and defaults of rent</t>
        </is>
      </c>
      <c r="B28" t="n">
        <v>1</v>
      </c>
      <c r="C28" t="n">
        <v>5</v>
      </c>
      <c r="D28" t="n">
        <v>3.5</v>
      </c>
      <c r="F28" t="n">
        <v>1.26</v>
      </c>
      <c r="H28" t="inlineStr">
        <is>
          <t>Total of quittances and defaults of rent, £1 5 shilling 3.5pence</t>
        </is>
      </c>
    </row>
    <row r="29">
      <c r="A29" t="inlineStr">
        <is>
          <t>Total of quittances and defaults of rent</t>
        </is>
      </c>
      <c r="F29" t="n">
        <v>1.26</v>
      </c>
      <c r="G29" s="127">
        <f>F29-F28</f>
        <v/>
      </c>
      <c r="H29" t="inlineStr">
        <is>
          <t>Total</t>
        </is>
      </c>
    </row>
    <row r="30"/>
    <row r="31">
      <c r="A31" t="inlineStr">
        <is>
          <t>Annual recognizance</t>
        </is>
      </c>
      <c r="B31" t="n">
        <v>0</v>
      </c>
      <c r="C31" t="n">
        <v>0</v>
      </c>
      <c r="D31" t="n">
        <v>0</v>
      </c>
      <c r="F31" t="n">
        <v>0</v>
      </c>
      <c r="H31" t="inlineStr">
        <is>
          <t>Nothing from annual recognizance.</t>
        </is>
      </c>
    </row>
    <row r="32">
      <c r="A32" t="inlineStr">
        <is>
          <t>Annual recognizance</t>
        </is>
      </c>
      <c r="F32" t="n">
        <v>0</v>
      </c>
      <c r="G32" s="127" t="n">
        <v>0</v>
      </c>
      <c r="H32" t="inlineStr">
        <is>
          <t>Total</t>
        </is>
      </c>
    </row>
    <row r="33"/>
    <row r="34">
      <c r="A34" t="inlineStr">
        <is>
          <t>Issues of the manor</t>
        </is>
      </c>
      <c r="B34" t="n">
        <v>0</v>
      </c>
      <c r="C34" t="n">
        <v>0</v>
      </c>
      <c r="D34" t="n">
        <v>9.5</v>
      </c>
      <c r="F34" t="n">
        <v>0.04</v>
      </c>
      <c r="H34" t="inlineStr">
        <is>
          <t>The same render account for 9.5pence from common pannage of the whole vill.</t>
        </is>
      </c>
    </row>
    <row r="35">
      <c r="A35" t="inlineStr">
        <is>
          <t>Issues of the manor</t>
        </is>
      </c>
      <c r="B35" t="n">
        <v>0</v>
      </c>
      <c r="C35" t="n">
        <v>1</v>
      </c>
      <c r="D35" t="n">
        <v>6</v>
      </c>
      <c r="F35" t="n">
        <v>0.08</v>
      </c>
      <c r="H35" t="inlineStr">
        <is>
          <t>1 shilling 6pence from stubble sold.</t>
        </is>
      </c>
    </row>
    <row r="36">
      <c r="A36" t="inlineStr">
        <is>
          <t>Issues of the manor</t>
        </is>
      </c>
      <c r="B36" t="n">
        <v>0</v>
      </c>
      <c r="C36" t="n">
        <v>2</v>
      </c>
      <c r="D36" t="n">
        <v>0</v>
      </c>
      <c r="F36" t="n">
        <v>0.1</v>
      </c>
      <c r="H36" t="inlineStr">
        <is>
          <t>2 shilling from mast in the grove sold.</t>
        </is>
      </c>
    </row>
    <row r="37">
      <c r="A37" t="inlineStr">
        <is>
          <t>Issues of the manor</t>
        </is>
      </c>
      <c r="B37" t="n">
        <v>0</v>
      </c>
      <c r="C37" t="n">
        <v>3</v>
      </c>
      <c r="D37" t="n">
        <v>0</v>
      </c>
      <c r="F37" t="n">
        <v>0.15</v>
      </c>
      <c r="H37" t="inlineStr">
        <is>
          <t>3 shilling from winter cheese sold.</t>
        </is>
      </c>
    </row>
    <row r="38">
      <c r="A38" t="inlineStr">
        <is>
          <t>Issues of the manor</t>
        </is>
      </c>
      <c r="B38" t="n">
        <v>1</v>
      </c>
      <c r="C38" t="n">
        <v>15</v>
      </c>
      <c r="D38" t="n">
        <v>0</v>
      </c>
      <c r="F38" t="n">
        <v>1.75</v>
      </c>
      <c r="H38" t="inlineStr">
        <is>
          <t>£1 15 shilling from 3.5 weys of summer cheese sold, at 10 shilling a wey.</t>
        </is>
      </c>
    </row>
    <row r="39">
      <c r="A39" t="inlineStr">
        <is>
          <t>Issues of the manor</t>
        </is>
      </c>
      <c r="B39" t="n">
        <v>0</v>
      </c>
      <c r="C39" t="n">
        <v>4</v>
      </c>
      <c r="D39" t="n">
        <v>3</v>
      </c>
      <c r="F39" t="n">
        <v>0.21</v>
      </c>
      <c r="H39" t="inlineStr">
        <is>
          <t>4 shilling 3pence from 8.5 gallons of butter sold, at 6pence a gallon.</t>
        </is>
      </c>
    </row>
    <row r="40">
      <c r="A40" t="inlineStr">
        <is>
          <t>Issues of the manor</t>
        </is>
      </c>
      <c r="B40" t="n">
        <v>0</v>
      </c>
      <c r="C40" t="n">
        <v>0</v>
      </c>
      <c r="D40" t="n">
        <v>0</v>
      </c>
      <c r="F40" t="n">
        <v>0</v>
      </c>
      <c r="H40" t="inlineStr">
        <is>
          <t>nothing from hay sold this year.</t>
        </is>
      </c>
    </row>
    <row r="41">
      <c r="A41" t="inlineStr">
        <is>
          <t>Issues of the manor</t>
        </is>
      </c>
      <c r="B41" t="n">
        <v>0</v>
      </c>
      <c r="C41" t="n">
        <v>0</v>
      </c>
      <c r="D41" t="n">
        <v>8</v>
      </c>
      <c r="F41" t="n">
        <v>0.03</v>
      </c>
      <c r="H41" t="inlineStr">
        <is>
          <t>8pence from apples from the issue of the garden sold this year.</t>
        </is>
      </c>
    </row>
    <row r="42">
      <c r="A42" t="inlineStr">
        <is>
          <t>Issues of the manor</t>
        </is>
      </c>
      <c r="B42" t="n">
        <v>0</v>
      </c>
      <c r="C42" t="n">
        <v>0</v>
      </c>
      <c r="D42" t="n">
        <v>0</v>
      </c>
      <c r="F42" t="n">
        <v>0</v>
      </c>
      <c r="H42" t="inlineStr">
        <is>
          <t>nothing from the agistment of bullocks in the pasture this year because there were sheep.</t>
        </is>
      </c>
    </row>
    <row r="43">
      <c r="A43" t="inlineStr">
        <is>
          <t>Issues of the manor</t>
        </is>
      </c>
      <c r="B43" t="n">
        <v>0</v>
      </c>
      <c r="C43" t="n">
        <v>1</v>
      </c>
      <c r="D43" t="n">
        <v>9</v>
      </c>
      <c r="F43" t="n">
        <v>0.09</v>
      </c>
      <c r="H43" t="inlineStr">
        <is>
          <t>1 shilling 9pence from dairy produce sold at the audit.</t>
        </is>
      </c>
    </row>
    <row r="44">
      <c r="A44" t="inlineStr">
        <is>
          <t>Issues of the manor</t>
        </is>
      </c>
      <c r="B44" t="n">
        <v>2</v>
      </c>
      <c r="C44" t="n">
        <v>8</v>
      </c>
      <c r="D44" t="n">
        <v>11.5</v>
      </c>
      <c r="F44" t="n">
        <v>2.45</v>
      </c>
      <c r="H44" t="inlineStr">
        <is>
          <t>Total, £2 8 shilling 11.5pence</t>
        </is>
      </c>
    </row>
    <row r="45">
      <c r="A45" t="inlineStr">
        <is>
          <t>Issues of the manor</t>
        </is>
      </c>
      <c r="F45" t="n">
        <v>2.45</v>
      </c>
      <c r="G45" s="127" t="n">
        <v>0</v>
      </c>
      <c r="H45" t="inlineStr">
        <is>
          <t>Total</t>
        </is>
      </c>
    </row>
    <row r="46"/>
    <row r="47">
      <c r="A47" t="inlineStr">
        <is>
          <t>Issues of stock</t>
        </is>
      </c>
      <c r="B47" t="n">
        <v>1</v>
      </c>
      <c r="C47" t="n">
        <v>0</v>
      </c>
      <c r="D47" t="n">
        <v>4</v>
      </c>
      <c r="F47" t="n">
        <v>1.02</v>
      </c>
      <c r="H47" t="inlineStr">
        <is>
          <t>The same render account for £1 4pence from 4 plough-horses sold, at 6 shilling for 1, 5 shilling 6pence each for 2, and 3 shilling 4pence for 1.</t>
        </is>
      </c>
    </row>
    <row r="48">
      <c r="A48" t="inlineStr">
        <is>
          <t>Issues of stock</t>
        </is>
      </c>
      <c r="B48" t="n">
        <v>1</v>
      </c>
      <c r="C48" t="n">
        <v>9</v>
      </c>
      <c r="D48" t="n">
        <v>0</v>
      </c>
      <c r="F48" t="n">
        <v>1.45</v>
      </c>
      <c r="H48" t="inlineStr">
        <is>
          <t>£1 9 shilling from 3 oxen sold because old, at 10 shilling each for 2, and 9 shilling for 1.</t>
        </is>
      </c>
    </row>
    <row r="49">
      <c r="A49" t="inlineStr">
        <is>
          <t>Issues of stock</t>
        </is>
      </c>
      <c r="B49" t="n">
        <v>0</v>
      </c>
      <c r="C49" t="n">
        <v>8</v>
      </c>
      <c r="D49" t="n">
        <v>6</v>
      </c>
      <c r="F49" t="n">
        <v>0.43</v>
      </c>
      <c r="H49" t="inlineStr">
        <is>
          <t>8 shilling 6pence from 1 cow sold because sterile.</t>
        </is>
      </c>
    </row>
    <row r="50">
      <c r="A50" t="inlineStr">
        <is>
          <t>Issues of stock</t>
        </is>
      </c>
      <c r="B50" t="n">
        <v>0</v>
      </c>
      <c r="C50" t="n">
        <v>4</v>
      </c>
      <c r="D50" t="n">
        <v>4</v>
      </c>
      <c r="F50" t="n">
        <v>0.22</v>
      </c>
      <c r="H50" t="inlineStr">
        <is>
          <t>4 shilling 4pence from 1 feeble young heifer sold.</t>
        </is>
      </c>
    </row>
    <row r="51">
      <c r="A51" t="inlineStr">
        <is>
          <t>Issues of stock</t>
        </is>
      </c>
      <c r="B51" t="n">
        <v>0</v>
      </c>
      <c r="C51" t="n">
        <v>6</v>
      </c>
      <c r="D51" t="n">
        <v>0</v>
      </c>
      <c r="F51" t="n">
        <v>0.3</v>
      </c>
      <c r="H51" t="inlineStr">
        <is>
          <t>6 shilling from 6 calves sold, at 1 shilling each.</t>
        </is>
      </c>
    </row>
    <row r="52">
      <c r="A52" t="inlineStr">
        <is>
          <t>Issues of stock</t>
        </is>
      </c>
      <c r="B52" t="n">
        <v>0</v>
      </c>
      <c r="C52" t="n">
        <v>0</v>
      </c>
      <c r="D52" t="n">
        <v>8</v>
      </c>
      <c r="F52" t="n">
        <v>0.03</v>
      </c>
      <c r="H52" t="inlineStr">
        <is>
          <t>8pence from the hide sold of 1 plough-horse in murrain.</t>
        </is>
      </c>
    </row>
    <row r="53">
      <c r="A53" t="inlineStr">
        <is>
          <t>Issues of stock</t>
        </is>
      </c>
      <c r="B53" t="n">
        <v>0</v>
      </c>
      <c r="C53" t="n">
        <v>2</v>
      </c>
      <c r="D53" t="n">
        <v>1</v>
      </c>
      <c r="F53" t="n">
        <v>0.1</v>
      </c>
      <c r="H53" t="inlineStr">
        <is>
          <t>2 shilling 1pence from the hide sold of 1 ox in murrain.</t>
        </is>
      </c>
    </row>
    <row r="54">
      <c r="A54" t="inlineStr">
        <is>
          <t>Issues of stock</t>
        </is>
      </c>
      <c r="B54" t="n">
        <v>0</v>
      </c>
      <c r="C54" t="n">
        <v>0</v>
      </c>
      <c r="D54" t="n">
        <v>8</v>
      </c>
      <c r="F54" t="n">
        <v>0.03</v>
      </c>
      <c r="H54" t="inlineStr">
        <is>
          <t>8pence from the flesh of the same ox sold.</t>
        </is>
      </c>
    </row>
    <row r="55">
      <c r="A55" t="inlineStr">
        <is>
          <t>Issues of stock</t>
        </is>
      </c>
      <c r="B55" t="n">
        <v>0</v>
      </c>
      <c r="C55" t="n">
        <v>0</v>
      </c>
      <c r="D55" t="n">
        <v>2</v>
      </c>
      <c r="F55" t="n">
        <v>0.01</v>
      </c>
      <c r="H55" t="inlineStr">
        <is>
          <t>2pence from the hide sold of 1 calf in murrain.</t>
        </is>
      </c>
    </row>
    <row r="56">
      <c r="A56" t="inlineStr">
        <is>
          <t>Issues of stock</t>
        </is>
      </c>
      <c r="B56" t="n">
        <v>3</v>
      </c>
      <c r="C56" t="n">
        <v>11</v>
      </c>
      <c r="D56" t="n">
        <v>9</v>
      </c>
      <c r="F56" t="n">
        <v>3.59</v>
      </c>
      <c r="H56" t="inlineStr">
        <is>
          <t>Total, £3 11 shilling 9pence</t>
        </is>
      </c>
    </row>
    <row r="57"/>
    <row r="58">
      <c r="A58" t="inlineStr">
        <is>
          <t>Sale of corn</t>
        </is>
      </c>
      <c r="B58" t="n">
        <v>10</v>
      </c>
      <c r="C58" t="n">
        <v>16</v>
      </c>
      <c r="D58" t="n">
        <v>9.5</v>
      </c>
      <c r="F58" t="n">
        <v>10.84</v>
      </c>
      <c r="H58" t="inlineStr">
        <is>
          <t>The same render account for £10 16 shilling 9.5pence from 48 quarters 6 bushels of wheat sold, at 5 shilling a qr for 25 quarters 1 bushels). 4 shilling a qr for 18.5 quarters 1 bushels, and 3 shilling 4pence a qr for 5 quarters.</t>
        </is>
      </c>
    </row>
    <row r="59">
      <c r="A59" t="inlineStr">
        <is>
          <t>Sale of corn</t>
        </is>
      </c>
      <c r="B59" t="n">
        <v>5</v>
      </c>
      <c r="C59" t="n">
        <v>8</v>
      </c>
      <c r="D59" t="n">
        <v>9</v>
      </c>
      <c r="F59" t="n">
        <v>5.44</v>
      </c>
      <c r="H59" t="inlineStr">
        <is>
          <t>£5 8 shilling 9pence from 32.5 quarters I bushels of barley sold, at 3 shilling 4pence a qr.</t>
        </is>
      </c>
    </row>
    <row r="60">
      <c r="A60" t="inlineStr">
        <is>
          <t>Sale of corn</t>
        </is>
      </c>
      <c r="B60" t="n">
        <v>0</v>
      </c>
      <c r="C60" t="n">
        <v>2</v>
      </c>
      <c r="D60" t="n">
        <v>0</v>
      </c>
      <c r="F60" t="n">
        <v>0.1</v>
      </c>
      <c r="H60" t="inlineStr">
        <is>
          <t>2 shilling from 1 qr of beans sold.</t>
        </is>
      </c>
    </row>
    <row r="61">
      <c r="A61" t="inlineStr">
        <is>
          <t>Sale of corn</t>
        </is>
      </c>
      <c r="B61" t="n">
        <v>1</v>
      </c>
      <c r="C61" t="n">
        <v>6</v>
      </c>
      <c r="D61" t="n">
        <v>8</v>
      </c>
      <c r="F61" t="n">
        <v>1.33</v>
      </c>
      <c r="H61" t="inlineStr">
        <is>
          <t>£1 6 shilling 8pence from a certain part of the stack of beans sold wholesale.</t>
        </is>
      </c>
    </row>
    <row r="62">
      <c r="A62" t="inlineStr">
        <is>
          <t>Sale of corn</t>
        </is>
      </c>
      <c r="B62" t="n">
        <v>17</v>
      </c>
      <c r="C62" t="n">
        <v>14</v>
      </c>
      <c r="D62" t="n">
        <v>2.5</v>
      </c>
      <c r="F62" t="n">
        <v>17.71</v>
      </c>
      <c r="H62" t="inlineStr">
        <is>
          <t>Total, £17 14 shilling 2.5pence</t>
        </is>
      </c>
    </row>
    <row r="63">
      <c r="A63" t="inlineStr">
        <is>
          <t>Sale of corn</t>
        </is>
      </c>
      <c r="F63" t="n">
        <v>17.71</v>
      </c>
      <c r="G63" s="127" t="n">
        <v>0</v>
      </c>
      <c r="H63" t="inlineStr">
        <is>
          <t>Total</t>
        </is>
      </c>
    </row>
    <row r="64"/>
    <row r="65">
      <c r="A65" t="inlineStr">
        <is>
          <t>Entry and marriage fines</t>
        </is>
      </c>
      <c r="B65" t="n">
        <v>0</v>
      </c>
      <c r="C65" t="n">
        <v>5</v>
      </c>
      <c r="D65" t="n">
        <v>0</v>
      </c>
      <c r="F65" t="n">
        <v>0.25</v>
      </c>
      <c r="H65" t="inlineStr">
        <is>
          <t>The same render account for 5 shilling from John atte Watere for marrying Claricia his daughter outside.</t>
        </is>
      </c>
    </row>
    <row r="66">
      <c r="A66" t="inlineStr">
        <is>
          <t>Entry and marriage fines</t>
        </is>
      </c>
      <c r="B66" t="n">
        <v>0</v>
      </c>
      <c r="C66" t="n">
        <v>8</v>
      </c>
      <c r="D66" t="n">
        <v>0</v>
      </c>
      <c r="F66" t="n">
        <v>0.4</v>
      </c>
      <c r="H66" t="inlineStr">
        <is>
          <t>8 shilling from 2 tithings for tithingpenny at the hundred-court of Martinmas.</t>
        </is>
      </c>
    </row>
    <row r="67">
      <c r="A67" t="inlineStr">
        <is>
          <t>Entry and marriage fines</t>
        </is>
      </c>
      <c r="B67" t="n">
        <v>0</v>
      </c>
      <c r="C67" t="n">
        <v>8</v>
      </c>
      <c r="D67" t="n">
        <v>0</v>
      </c>
      <c r="F67" t="n">
        <v>0.4</v>
      </c>
      <c r="H67" t="inlineStr">
        <is>
          <t>8 shilling from the same tithings for tithingpenny at the hundred-court of Hockday.</t>
        </is>
      </c>
    </row>
    <row r="68">
      <c r="A68" t="inlineStr">
        <is>
          <t>Entry and marriage fines</t>
        </is>
      </c>
      <c r="B68" t="n">
        <v>1</v>
      </c>
      <c r="C68" t="n">
        <v>1</v>
      </c>
      <c r="D68" t="n">
        <v>0</v>
      </c>
      <c r="F68" t="n">
        <v>1.05</v>
      </c>
      <c r="H68" t="inlineStr">
        <is>
          <t>Total, £1 1 shilling</t>
        </is>
      </c>
    </row>
    <row r="69">
      <c r="A69" t="inlineStr">
        <is>
          <t>Entry and marriage fines</t>
        </is>
      </c>
      <c r="F69" t="n">
        <v>1.05</v>
      </c>
      <c r="G69" s="127" t="n">
        <v>0</v>
      </c>
      <c r="H69" t="inlineStr">
        <is>
          <t>Total</t>
        </is>
      </c>
    </row>
    <row r="70"/>
    <row r="71">
      <c r="A71" t="inlineStr">
        <is>
          <t>Pleas and perquisites</t>
        </is>
      </c>
      <c r="B71" t="n">
        <v>0</v>
      </c>
      <c r="C71" t="n">
        <v>2</v>
      </c>
      <c r="D71" t="n">
        <v>6</v>
      </c>
      <c r="F71" t="n">
        <v>0.12</v>
      </c>
      <c r="H71" t="inlineStr">
        <is>
          <t>The same render account for 2 shilling 6pence from the pleas and perquisites of all the courts for the whole year.</t>
        </is>
      </c>
    </row>
    <row r="72">
      <c r="A72" t="inlineStr">
        <is>
          <t>Pleas and perquisites</t>
        </is>
      </c>
      <c r="B72" t="n">
        <v>0</v>
      </c>
      <c r="C72" t="n">
        <v>2</v>
      </c>
      <c r="D72" t="n">
        <v>6</v>
      </c>
      <c r="F72" t="n">
        <v>0.12</v>
      </c>
      <c r="G72" s="127" t="n">
        <v>0</v>
      </c>
      <c r="H72" t="inlineStr">
        <is>
          <t>Total, 2 shilling 6pence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1"/>
  <sheetViews>
    <sheetView topLeftCell="A1" workbookViewId="0">
      <selection activeCell="A1" sqref="A1"/>
    </sheetView>
  </sheetViews>
  <sheetFormatPr baseColWidth="8" defaultRowHeight="15"/>
  <cols>
    <col width="20.6640625" customWidth="1" min="1" max="1"/>
    <col width="8.83203125" customWidth="1" min="6" max="6"/>
    <col width="8.83203125" customWidth="1" min="7" max="7"/>
  </cols>
  <sheetData>
    <row r="1" ht="16" customHeight="1">
      <c r="A1" s="12" t="inlineStr">
        <is>
          <t>MORTON EXPENSES</t>
        </is>
      </c>
    </row>
    <row r="2" ht="16" customHeight="1">
      <c r="A2" s="11" t="inlineStr">
        <is>
          <t>Heading</t>
        </is>
      </c>
      <c r="B2" s="3" t="inlineStr">
        <is>
          <t>£</t>
        </is>
      </c>
      <c r="C2" s="4" t="inlineStr">
        <is>
          <t xml:space="preserve">s </t>
        </is>
      </c>
      <c r="D2" s="4" t="inlineStr">
        <is>
          <t>d</t>
        </is>
      </c>
      <c r="E2" s="4" t="n"/>
      <c r="F2" s="128" t="inlineStr">
        <is>
          <t>Total in £</t>
        </is>
      </c>
      <c r="G2" s="129" t="inlineStr">
        <is>
          <t>Error</t>
        </is>
      </c>
      <c r="H2" s="7" t="inlineStr">
        <is>
          <t>Notes</t>
        </is>
      </c>
    </row>
    <row r="3">
      <c r="A3" t="inlineStr">
        <is>
          <t>Expenses for ploughs</t>
        </is>
      </c>
      <c r="B3" t="n">
        <v>0</v>
      </c>
      <c r="C3" t="n">
        <v>3</v>
      </c>
      <c r="D3" t="n">
        <v>1</v>
      </c>
      <c r="E3" s="37" t="n"/>
      <c r="F3" s="72" t="n">
        <v>0.15</v>
      </c>
      <c r="G3" s="130" t="n"/>
      <c r="H3" t="inlineStr">
        <is>
          <t>In ironwork of 3 ploughs for the year 3 shilling 1pence.</t>
        </is>
      </c>
    </row>
    <row r="4">
      <c r="A4" t="inlineStr">
        <is>
          <t>Expenses for ploughs</t>
        </is>
      </c>
      <c r="B4" t="n">
        <v>0</v>
      </c>
      <c r="C4" t="n">
        <v>0</v>
      </c>
      <c r="D4" t="n">
        <v>4</v>
      </c>
      <c r="E4" s="37" t="n"/>
      <c r="F4" s="72" t="n">
        <v>0.02</v>
      </c>
      <c r="G4" s="130" t="n"/>
      <c r="H4" t="inlineStr">
        <is>
          <t>2 plough-shoes (calconibus) bought 4pence.</t>
        </is>
      </c>
    </row>
    <row r="5">
      <c r="A5" t="inlineStr">
        <is>
          <t>Expenses for ploughs</t>
        </is>
      </c>
      <c r="B5" t="n">
        <v>0</v>
      </c>
      <c r="C5" t="n">
        <v>1</v>
      </c>
      <c r="D5" t="n">
        <v>4</v>
      </c>
      <c r="E5" s="37" t="n"/>
      <c r="F5" s="72" t="n">
        <v>0.07000000000000001</v>
      </c>
      <c r="G5" s="130" t="n"/>
      <c r="H5" t="inlineStr">
        <is>
          <t>2 ploughshares bought 1 shilling 4pence.</t>
        </is>
      </c>
    </row>
    <row r="6">
      <c r="A6" t="inlineStr">
        <is>
          <t>Expenses for ploughs</t>
        </is>
      </c>
      <c r="B6" t="n">
        <v>0</v>
      </c>
      <c r="C6" t="n">
        <v>2</v>
      </c>
      <c r="D6" t="n">
        <v>0.5</v>
      </c>
      <c r="E6" s="37" t="n"/>
      <c r="F6" s="72" t="n">
        <v>0.1</v>
      </c>
      <c r="G6" s="130" t="n"/>
      <c r="H6" t="inlineStr">
        <is>
          <t>stipend of the smith making the ironwork of 3 ploughs for the year 2 shilling 0.5pence.</t>
        </is>
      </c>
    </row>
    <row r="7">
      <c r="A7" t="inlineStr">
        <is>
          <t>Expenses for ploughs</t>
        </is>
      </c>
      <c r="B7" t="n">
        <v>0</v>
      </c>
      <c r="C7" t="n">
        <v>0</v>
      </c>
      <c r="D7" t="n">
        <v>8</v>
      </c>
      <c r="E7" s="37" t="n"/>
      <c r="F7" s="72" t="n">
        <v>0.03</v>
      </c>
      <c r="G7" s="130" t="n"/>
      <c r="H7" t="inlineStr">
        <is>
          <t>4 new ploughs made from the lord's timber 8pence.</t>
        </is>
      </c>
    </row>
    <row r="8">
      <c r="A8" t="inlineStr">
        <is>
          <t>Expenses for ploughs</t>
        </is>
      </c>
      <c r="B8" t="n">
        <v>0</v>
      </c>
      <c r="C8" t="n">
        <v>0</v>
      </c>
      <c r="D8" t="n">
        <v>2</v>
      </c>
      <c r="E8" s="37" t="n"/>
      <c r="F8" s="72" t="n">
        <v>0.01</v>
      </c>
      <c r="G8" s="130" t="n"/>
      <c r="H8" t="inlineStr">
        <is>
          <t>repairing the same 2pence.</t>
        </is>
      </c>
    </row>
    <row r="9">
      <c r="A9" t="inlineStr">
        <is>
          <t>Expenses for ploughs</t>
        </is>
      </c>
      <c r="B9" t="n">
        <v>0</v>
      </c>
      <c r="C9" t="n">
        <v>0</v>
      </c>
      <c r="D9" t="n">
        <v>11</v>
      </c>
      <c r="E9" s="37" t="n"/>
      <c r="F9" s="72" t="n">
        <v>0.05</v>
      </c>
      <c r="G9" s="130" t="n"/>
      <c r="H9" t="inlineStr">
        <is>
          <t>ox-bows, withies and draught-chains (hart') for the ploughs 11pence.</t>
        </is>
      </c>
    </row>
    <row r="10">
      <c r="A10" t="inlineStr">
        <is>
          <t>Expenses for ploughs</t>
        </is>
      </c>
      <c r="B10" t="n">
        <v>0</v>
      </c>
      <c r="C10" t="n">
        <v>0</v>
      </c>
      <c r="D10" t="n">
        <v>1.5</v>
      </c>
      <c r="E10" s="37" t="n"/>
      <c r="F10" s="72" t="n">
        <v>0.01</v>
      </c>
      <c r="G10" s="130" t="n"/>
      <c r="H10" t="inlineStr">
        <is>
          <t>1 harrow made from the lord's timber 1.5pence.</t>
        </is>
      </c>
    </row>
    <row r="11">
      <c r="A11" t="inlineStr">
        <is>
          <t>Expenses for ploughs</t>
        </is>
      </c>
      <c r="B11" t="n">
        <v>0</v>
      </c>
      <c r="C11" t="n">
        <v>0</v>
      </c>
      <c r="D11" t="n">
        <v>2</v>
      </c>
      <c r="E11" s="37" t="n"/>
      <c r="F11" s="72" t="n">
        <v>0.01</v>
      </c>
      <c r="G11" s="130" t="n"/>
      <c r="H11" t="inlineStr">
        <is>
          <t>blood-letting of oxen 2pence.</t>
        </is>
      </c>
    </row>
    <row r="12">
      <c r="A12" t="inlineStr">
        <is>
          <t>Expenses for ploughs</t>
        </is>
      </c>
      <c r="B12" t="n">
        <v>0</v>
      </c>
      <c r="C12" t="n">
        <v>0</v>
      </c>
      <c r="D12" t="n">
        <v>1.5</v>
      </c>
      <c r="E12" s="37" t="n"/>
      <c r="F12" s="72" t="n">
        <v>0.01</v>
      </c>
      <c r="G12" s="130" t="n"/>
      <c r="H12" t="inlineStr">
        <is>
          <t>6 halters made from their own hair 1.5pence.</t>
        </is>
      </c>
    </row>
    <row r="13">
      <c r="A13" t="inlineStr">
        <is>
          <t>Expenses for ploughs</t>
        </is>
      </c>
      <c r="B13" t="n">
        <v>0</v>
      </c>
      <c r="C13" t="n">
        <v>6</v>
      </c>
      <c r="D13" t="n">
        <v>0</v>
      </c>
      <c r="E13" s="37" t="n"/>
      <c r="F13" s="72" t="n">
        <v>0.3</v>
      </c>
      <c r="G13" s="130" t="n"/>
      <c r="H13" t="inlineStr">
        <is>
          <t>stipend of 3 oxherds driving the lord's ploughs from Michaelmas until the Annunciation 6 shilling, and for the rest of their stipends each takes at harvest-time 72 sheaves of wheat which contain by estimation 1 quarters 2 bushels, and 72 sheaves of oats which contain by estimation 1 quarters.</t>
        </is>
      </c>
    </row>
    <row r="14">
      <c r="A14" t="inlineStr">
        <is>
          <t>Expenses for ploughs</t>
        </is>
      </c>
      <c r="B14" t="n">
        <v>0</v>
      </c>
      <c r="C14" t="n">
        <v>4</v>
      </c>
      <c r="D14" t="n">
        <v>6</v>
      </c>
      <c r="E14" s="37" t="n"/>
      <c r="F14" s="72" t="n">
        <v>0.23</v>
      </c>
      <c r="G14" s="130" t="n"/>
      <c r="H14" t="inlineStr">
        <is>
          <t>stipend of 3 ploughmen for working 36 Saturdays 4 shilling 6pence, or .5pence each, because they are not obliged to work on Saturdays.</t>
        </is>
      </c>
    </row>
    <row r="15">
      <c r="A15" t="inlineStr">
        <is>
          <t>Expenses for ploughs</t>
        </is>
      </c>
      <c r="B15" t="n">
        <v>6</v>
      </c>
      <c r="C15" t="n">
        <v>11</v>
      </c>
      <c r="D15" t="n">
        <v>1</v>
      </c>
      <c r="E15" s="37" t="n"/>
      <c r="F15" s="72" t="n">
        <v>6.55</v>
      </c>
      <c r="G15" s="130" t="n"/>
      <c r="H15" t="inlineStr">
        <is>
          <t>10 oxen bought £6 11 shilling 1pence, at 14 shilling 1pence each for 3, 13 shilling 6pence each for 3, and 12 shilling 1pence each for 4..</t>
        </is>
      </c>
    </row>
    <row r="16">
      <c r="A16" t="inlineStr">
        <is>
          <t>Expenses for ploughs</t>
        </is>
      </c>
      <c r="B16" t="n">
        <v>3</v>
      </c>
      <c r="C16" t="n">
        <v>13</v>
      </c>
      <c r="D16" t="n">
        <v>1.5</v>
      </c>
      <c r="E16" s="37" t="n"/>
      <c r="F16" s="72" t="n">
        <v>3.66</v>
      </c>
      <c r="G16" s="130" t="n"/>
      <c r="H16" t="inlineStr">
        <is>
          <t>20 quarters 1 bushels of wheat bought for sowing and the provision of the harvest boon-works £3 13 shilling 1.5pence, at 3 shilling 8pence a quarters for 18 quarters 1 bushels, and 3 shilling 4pence a quarters for 2 quarters.</t>
        </is>
      </c>
    </row>
    <row r="17">
      <c r="A17" t="inlineStr">
        <is>
          <t>Expenses for ploughs</t>
        </is>
      </c>
      <c r="B17" t="n">
        <v>0</v>
      </c>
      <c r="C17" t="n">
        <v>4</v>
      </c>
      <c r="D17" t="n">
        <v>2</v>
      </c>
      <c r="E17" s="37" t="n"/>
      <c r="F17" s="72" t="n">
        <v>0.21</v>
      </c>
      <c r="G17" s="130" t="n"/>
      <c r="H17" t="inlineStr">
        <is>
          <t>2.5 quarters of oats bought for sowing and the fodder of plough-horses 4 shilling 2pence, at 1 shilling 8pence a quarters.</t>
        </is>
      </c>
    </row>
    <row r="18">
      <c r="A18" t="inlineStr">
        <is>
          <t>Expenses for ploughs</t>
        </is>
      </c>
      <c r="B18" t="n">
        <v>0</v>
      </c>
      <c r="C18" t="n">
        <v>6</v>
      </c>
      <c r="D18" t="n">
        <v>6</v>
      </c>
      <c r="E18" s="37" t="n"/>
      <c r="F18" s="72" t="n">
        <v>0.33</v>
      </c>
      <c r="G18" s="130" t="n"/>
      <c r="H18" t="inlineStr">
        <is>
          <t>expenses of the boon-work of 39 ploughmen fallowing the lord's land 6 shilling 6pence, at 2pence a ploughman.</t>
        </is>
      </c>
    </row>
    <row r="19">
      <c r="A19" t="inlineStr">
        <is>
          <t>Expenses for ploughs</t>
        </is>
      </c>
      <c r="B19" t="n">
        <v>1</v>
      </c>
      <c r="C19" t="n">
        <v>3</v>
      </c>
      <c r="D19" t="n">
        <v>6.5</v>
      </c>
      <c r="E19" s="37" t="n"/>
      <c r="F19" s="72" t="n">
        <v>1.18</v>
      </c>
      <c r="G19" s="130" t="n"/>
      <c r="H19" t="inlineStr">
        <is>
          <t xml:space="preserve">forage bought for stock £1 3 shilling 6.5pence </t>
        </is>
      </c>
    </row>
    <row r="20">
      <c r="A20" t="inlineStr">
        <is>
          <t>Expenses for ploughs</t>
        </is>
      </c>
      <c r="B20" t="n">
        <v>12</v>
      </c>
      <c r="C20" t="n">
        <v>17</v>
      </c>
      <c r="D20" t="n">
        <v>10.5</v>
      </c>
      <c r="E20" s="37" t="n"/>
      <c r="F20" s="72">
        <f>B20+C20/20+D20/240</f>
        <v/>
      </c>
      <c r="G20" s="130" t="n"/>
      <c r="H20" t="inlineStr">
        <is>
          <t>Total, £12 17 shilling 10.5pence</t>
        </is>
      </c>
    </row>
    <row r="21">
      <c r="A21" t="inlineStr">
        <is>
          <t>Expenses for ploughs</t>
        </is>
      </c>
      <c r="E21" s="37" t="n"/>
      <c r="F21" s="72">
        <f>SUM(F3:F19)</f>
        <v/>
      </c>
      <c r="G21" s="130">
        <f>F21-F20</f>
        <v/>
      </c>
      <c r="H21" t="inlineStr">
        <is>
          <t>Total</t>
        </is>
      </c>
    </row>
    <row r="22">
      <c r="E22" s="37" t="n"/>
      <c r="G22" s="130" t="n"/>
    </row>
    <row r="23">
      <c r="A23" t="inlineStr">
        <is>
          <t>Expenses for carts</t>
        </is>
      </c>
      <c r="B23" t="n">
        <v>0</v>
      </c>
      <c r="C23" t="n">
        <v>1</v>
      </c>
      <c r="D23" t="n">
        <v>4</v>
      </c>
      <c r="E23" s="37" t="n"/>
      <c r="F23" s="72" t="n">
        <v>0.07000000000000001</v>
      </c>
      <c r="G23" s="130" t="n"/>
      <c r="H23" t="inlineStr">
        <is>
          <t>In 2 pairs of wheels made from the lord's timber for clearing dung 1 shilling 4pence.</t>
        </is>
      </c>
    </row>
    <row r="24">
      <c r="A24" t="inlineStr">
        <is>
          <t>Expenses for carts</t>
        </is>
      </c>
      <c r="B24" t="n">
        <v>0</v>
      </c>
      <c r="C24" t="n">
        <v>1</v>
      </c>
      <c r="D24" t="n">
        <v>0</v>
      </c>
      <c r="E24" s="37" t="n"/>
      <c r="F24" s="72" t="n">
        <v>0.05</v>
      </c>
      <c r="G24" s="130" t="n"/>
      <c r="H24" t="inlineStr">
        <is>
          <t>fitting the cart with axles, with clouts, nails and grease for the same for the year, 1 shilling.</t>
        </is>
      </c>
    </row>
    <row r="25">
      <c r="A25" t="inlineStr">
        <is>
          <t>Expenses for carts</t>
        </is>
      </c>
      <c r="B25" t="n">
        <v>0</v>
      </c>
      <c r="C25" t="n">
        <v>0</v>
      </c>
      <c r="D25" t="n">
        <v>4</v>
      </c>
      <c r="E25" s="37" t="n"/>
      <c r="F25" s="72" t="n">
        <v>0.02</v>
      </c>
      <c r="G25" s="130" t="n"/>
      <c r="H25" t="inlineStr">
        <is>
          <t>white leather for mending harnesses of the cart 4pence.</t>
        </is>
      </c>
    </row>
    <row r="26">
      <c r="A26" t="inlineStr">
        <is>
          <t>Expenses for carts</t>
        </is>
      </c>
      <c r="B26" t="n">
        <v>0</v>
      </c>
      <c r="C26" t="n">
        <v>0</v>
      </c>
      <c r="D26" t="n">
        <v>4.5</v>
      </c>
      <c r="E26" s="37" t="n"/>
      <c r="F26" s="72" t="n">
        <v>0.02</v>
      </c>
      <c r="G26" s="130" t="n"/>
      <c r="H26" t="inlineStr">
        <is>
          <t>1 pair of traces bought 4.5pence.</t>
        </is>
      </c>
    </row>
    <row r="27">
      <c r="A27" t="inlineStr">
        <is>
          <t>Expenses for carts</t>
        </is>
      </c>
      <c r="B27" t="n">
        <v>0</v>
      </c>
      <c r="C27" t="n">
        <v>1</v>
      </c>
      <c r="D27" t="n">
        <v>1</v>
      </c>
      <c r="E27" s="37" t="n"/>
      <c r="F27" s="72" t="n">
        <v>0.05</v>
      </c>
      <c r="G27" s="130" t="n"/>
      <c r="H27" t="inlineStr">
        <is>
          <t>2 hemp ropes bought 1 shilling 1pence.</t>
        </is>
      </c>
    </row>
    <row r="28">
      <c r="A28" t="inlineStr">
        <is>
          <t>Expenses for carts</t>
        </is>
      </c>
      <c r="B28" t="n">
        <v>0</v>
      </c>
      <c r="C28" t="n">
        <v>1</v>
      </c>
      <c r="D28" t="n">
        <v>2</v>
      </c>
      <c r="E28" s="37" t="n"/>
      <c r="F28" s="72" t="n">
        <v>0.06</v>
      </c>
      <c r="G28" s="130" t="n"/>
      <c r="H28" t="inlineStr">
        <is>
          <t>2 collars bought 1 shilling 2pence.</t>
        </is>
      </c>
    </row>
    <row r="29">
      <c r="A29" t="inlineStr">
        <is>
          <t>Expenses for carts</t>
        </is>
      </c>
      <c r="B29" t="n">
        <v>0</v>
      </c>
      <c r="C29" t="n">
        <v>2</v>
      </c>
      <c r="D29" t="n">
        <v>0</v>
      </c>
      <c r="E29" s="37" t="n"/>
      <c r="F29" s="72" t="n">
        <v>0.1</v>
      </c>
      <c r="G29" s="130" t="n"/>
      <c r="H29" t="inlineStr">
        <is>
          <t>shoeing 2 plough-horses hauling the cart for the year 2 shilling.</t>
        </is>
      </c>
    </row>
    <row r="30">
      <c r="A30" t="inlineStr">
        <is>
          <t>Expenses for carts</t>
        </is>
      </c>
      <c r="B30" t="n">
        <v>0</v>
      </c>
      <c r="C30" t="n">
        <v>2</v>
      </c>
      <c r="D30" t="n">
        <v>0</v>
      </c>
      <c r="E30" s="37" t="n"/>
      <c r="F30" s="72" t="n">
        <v>0.1</v>
      </c>
      <c r="G30" s="130" t="n"/>
      <c r="H30" t="inlineStr">
        <is>
          <t>stipend of 1 carter from Michaelmas until the Annunciation 2 shilling, and for the rest of his stipend he takes sheaves at harvest-time like the rest of the manorial servants.</t>
        </is>
      </c>
    </row>
    <row r="31">
      <c r="A31" t="inlineStr">
        <is>
          <t>Expenses for carts</t>
        </is>
      </c>
      <c r="B31" t="n">
        <v>0</v>
      </c>
      <c r="C31" t="n">
        <v>9</v>
      </c>
      <c r="D31" t="n">
        <v>3.5</v>
      </c>
      <c r="E31" s="37" t="n"/>
      <c r="F31" s="72" t="n">
        <v>0.46</v>
      </c>
      <c r="G31" s="130" t="n"/>
      <c r="H31" t="inlineStr">
        <is>
          <t>Total, 9 shilling 3.5pence</t>
        </is>
      </c>
    </row>
    <row r="32">
      <c r="A32" t="inlineStr">
        <is>
          <t>Expenses for carts</t>
        </is>
      </c>
      <c r="E32" s="37" t="n"/>
      <c r="F32" s="72">
        <f>SUM(F23:F30)</f>
        <v/>
      </c>
      <c r="G32" s="130">
        <f>F32-F31</f>
        <v/>
      </c>
      <c r="H32" t="inlineStr">
        <is>
          <t>Total</t>
        </is>
      </c>
    </row>
    <row r="33">
      <c r="E33" s="37" t="n"/>
      <c r="G33" s="130" t="n"/>
    </row>
    <row r="34">
      <c r="A34" t="inlineStr">
        <is>
          <t xml:space="preserve">Harvest-time </t>
        </is>
      </c>
      <c r="B34" t="n">
        <v>0</v>
      </c>
      <c r="C34" t="n">
        <v>1</v>
      </c>
      <c r="D34" t="n">
        <v>0</v>
      </c>
      <c r="E34" s="37" t="n"/>
      <c r="F34" s="72" t="n">
        <v>0.05</v>
      </c>
      <c r="G34" s="130" t="n"/>
      <c r="H34" t="inlineStr">
        <is>
          <t>1 sickle bought 1 shilling.</t>
        </is>
      </c>
    </row>
    <row r="35">
      <c r="A35" t="inlineStr">
        <is>
          <t xml:space="preserve">Harvest-time </t>
        </is>
      </c>
      <c r="B35" t="n">
        <v>0</v>
      </c>
      <c r="C35" t="n">
        <v>0</v>
      </c>
      <c r="D35" t="n">
        <v>2</v>
      </c>
      <c r="E35" s="37" t="n"/>
      <c r="F35" s="72" t="n">
        <v>0.01</v>
      </c>
      <c r="G35" s="130" t="n"/>
      <c r="H35" t="inlineStr">
        <is>
          <t>sharpening 3 sickles 2pence.</t>
        </is>
      </c>
    </row>
    <row r="36">
      <c r="A36" t="inlineStr">
        <is>
          <t xml:space="preserve">Harvest-time </t>
        </is>
      </c>
      <c r="B36" t="n">
        <v>0</v>
      </c>
      <c r="C36" t="n">
        <v>3</v>
      </c>
      <c r="D36" t="n">
        <v>6</v>
      </c>
      <c r="E36" s="37" t="n"/>
      <c r="F36" s="72" t="n">
        <v>0.17</v>
      </c>
      <c r="G36" s="130" t="n"/>
      <c r="H36" t="inlineStr">
        <is>
          <t>spreading and tossing the frinineeeadmoewn who were overseeing the reapers at 2 harvest boon-works as if for 1 day and 3 shilling 6pence.</t>
        </is>
      </c>
    </row>
    <row r="37">
      <c r="A37" t="inlineStr">
        <is>
          <t xml:space="preserve">Harvest-time </t>
        </is>
      </c>
      <c r="B37" t="n">
        <v>0</v>
      </c>
      <c r="C37" t="n">
        <v>1</v>
      </c>
      <c r="D37" t="n">
        <v>6</v>
      </c>
      <c r="E37" s="37" t="n"/>
      <c r="F37" s="72" t="n">
        <v>0.08</v>
      </c>
      <c r="G37" s="130" t="n"/>
      <c r="H37" t="inlineStr">
        <is>
          <t>weeding corn 1 shilling 6pence.</t>
        </is>
      </c>
    </row>
    <row r="38">
      <c r="A38" t="inlineStr">
        <is>
          <t xml:space="preserve">Harvest-time </t>
        </is>
      </c>
      <c r="B38" t="n">
        <v>0</v>
      </c>
      <c r="C38" t="n">
        <v>8</v>
      </c>
      <c r="D38" t="n">
        <v>1.5</v>
      </c>
      <c r="E38" s="37" t="n"/>
      <c r="F38" s="72" t="n">
        <v>0.41</v>
      </c>
      <c r="G38" s="130" t="n"/>
      <c r="H38" t="inlineStr">
        <is>
          <t>relish and ale bought for 96 men with 8 having bread from the grange 8 shilling They reaped almost all the corn together with the other 2 boon-works which are without food, each thus taking 1.5pence a day.</t>
        </is>
      </c>
    </row>
    <row r="39">
      <c r="A39" t="inlineStr">
        <is>
          <t xml:space="preserve">Harvest-time </t>
        </is>
      </c>
      <c r="B39" t="n">
        <v>0</v>
      </c>
      <c r="C39" t="n">
        <v>14</v>
      </c>
      <c r="D39" t="n">
        <v>2</v>
      </c>
      <c r="E39" s="37" t="n"/>
      <c r="F39" s="72" t="n">
        <v>0.71</v>
      </c>
      <c r="G39" s="130" t="n"/>
      <c r="H39" t="inlineStr">
        <is>
          <t>Total, 14 shilling 2pence</t>
        </is>
      </c>
    </row>
    <row r="40">
      <c r="A40" t="inlineStr">
        <is>
          <t xml:space="preserve">Harvest-time </t>
        </is>
      </c>
      <c r="E40" s="37" t="n"/>
      <c r="F40" s="72">
        <f>SUM(F34:F38)</f>
        <v/>
      </c>
      <c r="G40" s="130">
        <f>F40-F39</f>
        <v/>
      </c>
      <c r="H40" t="inlineStr">
        <is>
          <t>Total</t>
        </is>
      </c>
    </row>
    <row r="41">
      <c r="E41" s="37" t="n"/>
      <c r="G41" s="130" t="n"/>
    </row>
    <row r="42">
      <c r="A42" t="inlineStr">
        <is>
          <t>Wages</t>
        </is>
      </c>
      <c r="B42" t="n">
        <v>1</v>
      </c>
      <c r="C42" t="n">
        <v>11</v>
      </c>
      <c r="D42" t="n">
        <v>6</v>
      </c>
      <c r="E42" s="37" t="n"/>
      <c r="F42" s="72" t="n">
        <v>1.57</v>
      </c>
      <c r="G42" s="130" t="n"/>
      <c r="H42" t="inlineStr">
        <is>
          <t>In wages of Ralph, sergeant, from Sunday before the feast of St Vincent (21 January) until Michaelmas (29 September), for 36 weeks, £1 11 shilling 6pence, that is, 10.5pence every week.'.</t>
        </is>
      </c>
    </row>
    <row r="43">
      <c r="A43" t="inlineStr">
        <is>
          <t>Wages</t>
        </is>
      </c>
      <c r="B43" t="n">
        <v>0</v>
      </c>
      <c r="C43" t="n">
        <v>6</v>
      </c>
      <c r="D43" t="n">
        <v>8</v>
      </c>
      <c r="F43" s="72">
        <f>B43+C43/20+D43/240</f>
        <v/>
      </c>
      <c r="H43" t="inlineStr">
        <is>
          <t xml:space="preserve">stipend of the same sergeant for the year 6 shilling 8pence </t>
        </is>
      </c>
    </row>
    <row r="44">
      <c r="A44" t="inlineStr">
        <is>
          <t>Wages</t>
        </is>
      </c>
      <c r="B44" t="n">
        <v>1</v>
      </c>
      <c r="C44" t="n">
        <v>18</v>
      </c>
      <c r="D44" t="n">
        <v>2</v>
      </c>
      <c r="F44" s="72" t="n">
        <v>1.91</v>
      </c>
      <c r="H44" t="inlineStr">
        <is>
          <t>Total, £1 18 shilling 2pence</t>
        </is>
      </c>
    </row>
    <row r="45">
      <c r="A45" t="inlineStr">
        <is>
          <t>Wages</t>
        </is>
      </c>
      <c r="F45" s="72">
        <f>SUM(F42:F43)</f>
        <v/>
      </c>
      <c r="G45" s="131">
        <f>F45-F44</f>
        <v/>
      </c>
      <c r="H45" t="inlineStr">
        <is>
          <t>Total</t>
        </is>
      </c>
    </row>
    <row r="46"/>
    <row r="47">
      <c r="A47" t="inlineStr">
        <is>
          <t>Dairy</t>
        </is>
      </c>
      <c r="B47" t="n">
        <v>0</v>
      </c>
      <c r="C47" t="n">
        <v>2</v>
      </c>
      <c r="D47" t="n">
        <v>6</v>
      </c>
      <c r="F47" s="72" t="n">
        <v>0.12</v>
      </c>
      <c r="H47" t="inlineStr">
        <is>
          <t>In 5 quarters 1 bushels of beans planted and watered 2 shilling 6pence.</t>
        </is>
      </c>
    </row>
    <row r="48">
      <c r="A48" t="inlineStr">
        <is>
          <t>Dairy</t>
        </is>
      </c>
      <c r="B48" t="n">
        <v>0</v>
      </c>
      <c r="C48" t="n">
        <v>0</v>
      </c>
      <c r="D48" t="n">
        <v>9</v>
      </c>
      <c r="F48" s="72" t="n">
        <v>0.04</v>
      </c>
      <c r="H48" t="inlineStr">
        <is>
          <t>2 Fbushels1 of salt bought for the dairy 9pence, at 4.5pence a bushels.</t>
        </is>
      </c>
    </row>
    <row r="49">
      <c r="A49" t="inlineStr">
        <is>
          <t>Dairy</t>
        </is>
      </c>
      <c r="B49" t="n">
        <v>0</v>
      </c>
      <c r="C49" t="n">
        <v>0</v>
      </c>
      <c r="D49" t="n">
        <v>2</v>
      </c>
      <c r="F49" s="72" t="n">
        <v>0.01</v>
      </c>
      <c r="H49" t="inlineStr">
        <is>
          <t>a press bought 2pence.</t>
        </is>
      </c>
    </row>
    <row r="50">
      <c r="A50" t="inlineStr">
        <is>
          <t>Dairy</t>
        </is>
      </c>
      <c r="B50" t="n">
        <v>0</v>
      </c>
      <c r="C50" t="n">
        <v>0</v>
      </c>
      <c r="D50" t="n">
        <v>4</v>
      </c>
      <c r="F50" s="72" t="n">
        <v>0.02</v>
      </c>
      <c r="H50" t="inlineStr">
        <is>
          <t>linen cloth bought 4pence.</t>
        </is>
      </c>
    </row>
    <row r="51">
      <c r="A51" t="inlineStr">
        <is>
          <t>Dairy</t>
        </is>
      </c>
      <c r="B51" t="n">
        <v>0</v>
      </c>
      <c r="C51" t="n">
        <v>0</v>
      </c>
      <c r="D51" t="n">
        <v>1</v>
      </c>
      <c r="F51" s="72" t="n">
        <v>0</v>
      </c>
      <c r="H51" t="inlineStr">
        <is>
          <t>putting right a bucket 1pence.</t>
        </is>
      </c>
    </row>
    <row r="52">
      <c r="A52" t="inlineStr">
        <is>
          <t>Dairy</t>
        </is>
      </c>
      <c r="B52" t="n">
        <v>0</v>
      </c>
      <c r="C52" t="n">
        <v>0</v>
      </c>
      <c r="D52" t="n">
        <v>1.5</v>
      </c>
      <c r="F52" s="72" t="n">
        <v>0.01</v>
      </c>
      <c r="H52" t="inlineStr">
        <is>
          <t>earthenware pots and pans bought 1.5pence.</t>
        </is>
      </c>
    </row>
    <row r="53">
      <c r="A53" t="inlineStr">
        <is>
          <t>Dairy</t>
        </is>
      </c>
      <c r="B53" t="n">
        <v>0</v>
      </c>
      <c r="C53" t="n">
        <v>2</v>
      </c>
      <c r="D53" t="n">
        <v>11</v>
      </c>
      <c r="F53" s="72" t="n">
        <v>0.15</v>
      </c>
      <c r="H53" t="inlineStr">
        <is>
          <t>36 hurdles bought for the fold on account of the sheep of a certain stranger manuring the lord's land for want of the lord's sheep 2 shilling 11pence, at 1pence a hurdle.</t>
        </is>
      </c>
    </row>
    <row r="54">
      <c r="A54" t="inlineStr">
        <is>
          <t>Dairy</t>
        </is>
      </c>
      <c r="B54" t="n">
        <v>0</v>
      </c>
      <c r="C54" t="n">
        <v>0</v>
      </c>
      <c r="D54" t="n">
        <v>5</v>
      </c>
      <c r="F54" s="72" t="n">
        <v>0.02</v>
      </c>
      <c r="H54" t="inlineStr">
        <is>
          <t>1 colander repaired .5pence.</t>
        </is>
      </c>
    </row>
    <row r="55">
      <c r="A55" t="inlineStr">
        <is>
          <t>Dairy</t>
        </is>
      </c>
      <c r="B55" t="n">
        <v>0</v>
      </c>
      <c r="C55" t="n">
        <v>1</v>
      </c>
      <c r="D55" t="n">
        <v>0</v>
      </c>
      <c r="F55" s="72" t="n">
        <v>0.05</v>
      </c>
      <c r="H55" t="inlineStr">
        <is>
          <t>stipend of 1 cowherd for' year in winter 1 shilling.</t>
        </is>
      </c>
    </row>
    <row r="56">
      <c r="A56" t="inlineStr">
        <is>
          <t>Dairy</t>
        </is>
      </c>
      <c r="B56" t="n">
        <v>0</v>
      </c>
      <c r="C56" t="n">
        <v>1</v>
      </c>
      <c r="D56" t="n">
        <v>0</v>
      </c>
      <c r="F56" s="72" t="n">
        <v>0.05</v>
      </c>
      <c r="H56" t="inlineStr">
        <is>
          <t>stipend of 1 shepherd for' year 1 shilling, and for the rest of his stipend he takes sheaves at harvest-time like the rest of the manorial servants.</t>
        </is>
      </c>
    </row>
    <row r="57">
      <c r="A57" t="inlineStr">
        <is>
          <t>Dairy</t>
        </is>
      </c>
      <c r="B57" t="n">
        <v>0</v>
      </c>
      <c r="C57" t="n">
        <v>8</v>
      </c>
      <c r="D57" t="n">
        <v>11</v>
      </c>
      <c r="F57" s="72" t="n">
        <v>0.45</v>
      </c>
      <c r="H57" t="inlineStr">
        <is>
          <t>Total, 8 shilling 11pence</t>
        </is>
      </c>
    </row>
    <row r="58">
      <c r="A58" t="inlineStr">
        <is>
          <t>Dairy</t>
        </is>
      </c>
      <c r="F58" s="72" t="n">
        <v>0.47</v>
      </c>
      <c r="G58" s="131">
        <f>F58-F57</f>
        <v/>
      </c>
      <c r="H58" t="inlineStr">
        <is>
          <t>Total</t>
        </is>
      </c>
    </row>
    <row r="59"/>
    <row r="60">
      <c r="A60" t="inlineStr">
        <is>
          <t>Threshing and winnowing</t>
        </is>
      </c>
      <c r="B60" t="n">
        <v>0</v>
      </c>
      <c r="C60" t="n">
        <v>10</v>
      </c>
      <c r="D60" t="n">
        <v>1.25</v>
      </c>
      <c r="F60" s="72" t="n">
        <v>0.51</v>
      </c>
      <c r="H60" t="inlineStr">
        <is>
          <t>In threshing and winnowing 54 quarters 2 bushels of wheat with curall 10 shilling 1.25pence, at 2.25pence a qr.</t>
        </is>
      </c>
    </row>
    <row r="61">
      <c r="A61" t="inlineStr">
        <is>
          <t>Threshing and winnowing</t>
        </is>
      </c>
      <c r="B61" t="n">
        <v>0</v>
      </c>
      <c r="C61" t="n">
        <v>5</v>
      </c>
      <c r="D61" t="n">
        <v>4</v>
      </c>
      <c r="F61" s="72" t="n">
        <v>0.27</v>
      </c>
      <c r="H61" t="inlineStr">
        <is>
          <t>threshing and winnowing 51 quarters 6 bushels of barley 5 shilling 4pence, at 1.25pence a qr.</t>
        </is>
      </c>
    </row>
    <row r="62">
      <c r="A62" t="inlineStr">
        <is>
          <t>Threshing and winnowing</t>
        </is>
      </c>
      <c r="B62" t="n">
        <v>0</v>
      </c>
      <c r="C62" t="n">
        <v>0</v>
      </c>
      <c r="D62" t="n">
        <v>0</v>
      </c>
      <c r="F62" s="72" t="n">
        <v>0</v>
      </c>
      <c r="H62" t="inlineStr">
        <is>
          <t>Nothing from threshing beans this year because they were threshed by the manorial servants.</t>
        </is>
      </c>
    </row>
    <row r="63">
      <c r="A63" t="inlineStr">
        <is>
          <t>Threshing and winnowing</t>
        </is>
      </c>
      <c r="B63" t="n">
        <v>0</v>
      </c>
      <c r="C63" t="n">
        <v>0</v>
      </c>
      <c r="D63" t="n">
        <v>2</v>
      </c>
      <c r="F63" s="72" t="n">
        <v>0.01</v>
      </c>
      <c r="H63" t="inlineStr">
        <is>
          <t>8 quarters 1 bushels winnowed 2pence.</t>
        </is>
      </c>
    </row>
    <row r="64">
      <c r="A64" t="inlineStr">
        <is>
          <t>Threshing and winnowing</t>
        </is>
      </c>
      <c r="B64" t="n">
        <v>0</v>
      </c>
      <c r="C64" t="n">
        <v>0</v>
      </c>
      <c r="D64" t="n">
        <v>8</v>
      </c>
      <c r="F64" s="72" t="n">
        <v>0.03</v>
      </c>
      <c r="H64" t="inlineStr">
        <is>
          <t>1 sack bought 8pence.</t>
        </is>
      </c>
    </row>
    <row r="65">
      <c r="A65" t="inlineStr">
        <is>
          <t>Threshing and winnowing</t>
        </is>
      </c>
      <c r="B65" t="n">
        <v>0</v>
      </c>
      <c r="C65" t="n">
        <v>0</v>
      </c>
      <c r="D65" t="n">
        <v>2</v>
      </c>
      <c r="F65" s="72" t="n">
        <v>0.01</v>
      </c>
      <c r="H65" t="inlineStr">
        <is>
          <t>remaking old sieves 2pence.</t>
        </is>
      </c>
    </row>
    <row r="66">
      <c r="A66" t="inlineStr">
        <is>
          <t>Threshing and winnowing</t>
        </is>
      </c>
      <c r="B66" t="n">
        <v>0</v>
      </c>
      <c r="C66" t="n">
        <v>0</v>
      </c>
      <c r="D66" t="n">
        <v>8</v>
      </c>
      <c r="F66" s="72">
        <f>B66+C66/20+D66/240</f>
        <v/>
      </c>
      <c r="H66" t="inlineStr">
        <is>
          <t xml:space="preserve">making 1 winnowing-fan from the lord's own timber 8pence </t>
        </is>
      </c>
    </row>
    <row r="67">
      <c r="A67" t="inlineStr">
        <is>
          <t>Threshing and winnowing</t>
        </is>
      </c>
      <c r="B67" t="n">
        <v>0</v>
      </c>
      <c r="C67" t="n">
        <v>17</v>
      </c>
      <c r="D67" t="n">
        <v>1.75</v>
      </c>
      <c r="F67" s="72">
        <f>B67+C67/20+D67/240</f>
        <v/>
      </c>
      <c r="H67" t="inlineStr">
        <is>
          <t>Total, 17 shilling 1.75pence</t>
        </is>
      </c>
    </row>
    <row r="68">
      <c r="A68" t="inlineStr">
        <is>
          <t>Threshing and winnowing</t>
        </is>
      </c>
      <c r="F68" s="72">
        <f>SUM(F60:F66)</f>
        <v/>
      </c>
      <c r="G68" s="131">
        <f>F68-F67</f>
        <v/>
      </c>
      <c r="H68" t="inlineStr">
        <is>
          <t>Total</t>
        </is>
      </c>
    </row>
    <row r="69"/>
    <row r="70">
      <c r="A70" t="inlineStr">
        <is>
          <t>Total of all expenses</t>
        </is>
      </c>
      <c r="B70" t="n">
        <v>28</v>
      </c>
      <c r="C70" t="n">
        <v>6</v>
      </c>
      <c r="D70" t="n">
        <v>2.5</v>
      </c>
      <c r="F70" s="72" t="n">
        <v>28.31</v>
      </c>
      <c r="H70" t="inlineStr">
        <is>
          <t>Total of all expenses, £28 6 shilling 2.5pence</t>
        </is>
      </c>
    </row>
    <row r="71">
      <c r="A71" t="inlineStr">
        <is>
          <t>Total of all expenses</t>
        </is>
      </c>
      <c r="F71" s="72" t="n">
        <v>28.31</v>
      </c>
      <c r="G71" s="131">
        <f>F71-F70</f>
        <v/>
      </c>
      <c r="H71" t="inlineStr">
        <is>
          <t>Total</t>
        </is>
      </c>
    </row>
    <row r="72"/>
    <row r="73">
      <c r="A73" t="inlineStr">
        <is>
          <t>Total of all expenses</t>
        </is>
      </c>
      <c r="B73" t="n">
        <v>17</v>
      </c>
      <c r="C73" t="n">
        <v>12</v>
      </c>
      <c r="D73" t="n">
        <v>0.25</v>
      </c>
      <c r="F73" s="72" t="n">
        <v>17.6</v>
      </c>
      <c r="H73" t="inlineStr">
        <is>
          <t>Total of all expenses, £17 12 shilling 0.25pence</t>
        </is>
      </c>
    </row>
    <row r="74">
      <c r="A74" t="inlineStr">
        <is>
          <t>Total of all expenses</t>
        </is>
      </c>
      <c r="F74" s="72" t="n">
        <v>17.6</v>
      </c>
      <c r="G74" s="131">
        <f>F74-F73</f>
        <v/>
      </c>
      <c r="H74" t="inlineStr">
        <is>
          <t>Total</t>
        </is>
      </c>
    </row>
    <row r="75"/>
    <row r="76">
      <c r="A76" t="inlineStr">
        <is>
          <t>And he owes</t>
        </is>
      </c>
      <c r="B76" t="n">
        <v>10</v>
      </c>
      <c r="C76" t="n">
        <v>14</v>
      </c>
      <c r="D76" t="n">
        <v>2.25</v>
      </c>
      <c r="F76" s="72" t="n">
        <v>10.71</v>
      </c>
      <c r="H76" t="inlineStr">
        <is>
          <t>And he owes, £10 14 shilling 2.25pence</t>
        </is>
      </c>
    </row>
    <row r="77">
      <c r="A77" t="inlineStr">
        <is>
          <t>And he owes</t>
        </is>
      </c>
      <c r="F77" s="72" t="n">
        <v>10.71</v>
      </c>
      <c r="G77" s="131">
        <f>F77-F76</f>
        <v/>
      </c>
      <c r="H77" t="inlineStr">
        <is>
          <t>Total</t>
        </is>
      </c>
    </row>
    <row r="78"/>
    <row r="79">
      <c r="A79" t="inlineStr">
        <is>
          <t>Cash deliveries</t>
        </is>
      </c>
      <c r="B79" t="n">
        <v>2</v>
      </c>
      <c r="C79" t="n">
        <v>10</v>
      </c>
      <c r="D79" t="n">
        <v>0</v>
      </c>
      <c r="F79" s="72" t="n">
        <v>2.5</v>
      </c>
      <c r="H79" t="inlineStr">
        <is>
          <t>Delivered to Sir Geoffrey, treasurer of Wolvesey, by 1 tally, £2 10 shilling</t>
        </is>
      </c>
    </row>
    <row r="80"/>
    <row r="81">
      <c r="A81" t="inlineStr">
        <is>
          <t>Cash deliveries</t>
        </is>
      </c>
      <c r="B81" t="n">
        <v>8</v>
      </c>
      <c r="C81" t="n">
        <v>4</v>
      </c>
      <c r="D81" t="n">
        <v>2.25</v>
      </c>
      <c r="F81" s="72" t="n">
        <v>8.210000000000001</v>
      </c>
      <c r="H81" t="inlineStr">
        <is>
          <t>And he owes clear, £8 4 shilling 2.25pence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9"/>
  <sheetViews>
    <sheetView topLeftCell="A1" workbookViewId="0">
      <selection activeCell="A1" sqref="A1"/>
    </sheetView>
  </sheetViews>
  <sheetFormatPr baseColWidth="8" defaultRowHeight="15"/>
  <cols>
    <col width="30" customWidth="1" min="1" max="1"/>
    <col width="12.1640625" customWidth="1" min="2" max="2"/>
    <col width="19.1640625" customWidth="1" min="3" max="3"/>
    <col width="20" customWidth="1" min="4" max="4"/>
    <col width="21.5" customWidth="1" min="5" max="5"/>
    <col width="15.83203125" customWidth="1" min="6" max="6"/>
    <col width="23.33203125" customWidth="1" min="7" max="7"/>
    <col width="27.1640625" customWidth="1" min="10" max="10"/>
    <col width="16" customWidth="1" min="13" max="13"/>
    <col width="8.1640625" customWidth="1" min="14" max="14"/>
    <col width="16.5" customWidth="1" min="15" max="15"/>
    <col width="20.33203125" customWidth="1" min="16" max="16"/>
  </cols>
  <sheetData>
    <row r="1" ht="32" customHeight="1">
      <c r="A1" s="37" t="inlineStr">
        <is>
          <t>Gross Output</t>
        </is>
      </c>
      <c r="B1" s="37" t="inlineStr">
        <is>
          <t>Total Quantity</t>
        </is>
      </c>
      <c r="C1" s="37" t="inlineStr">
        <is>
          <t>Account Total Quarters</t>
        </is>
      </c>
      <c r="D1" s="37" t="inlineStr">
        <is>
          <t>Bought in Total Quarters</t>
        </is>
      </c>
      <c r="E1" s="37" t="inlineStr">
        <is>
          <t>Received from churchscot</t>
        </is>
      </c>
      <c r="F1" s="37" t="inlineStr">
        <is>
          <t>Sold Total Quarters</t>
        </is>
      </c>
      <c r="G1" s="132" t="inlineStr">
        <is>
          <t>Difference Produced+Bought-Sold</t>
        </is>
      </c>
      <c r="H1" s="132" t="inlineStr">
        <is>
          <t>Weighted Average Price per Quarter</t>
        </is>
      </c>
      <c r="I1" s="133" t="inlineStr">
        <is>
          <t>Value of Total Production weighted</t>
        </is>
      </c>
    </row>
    <row r="2">
      <c r="A2" t="inlineStr">
        <is>
          <t>wheat</t>
        </is>
      </c>
      <c r="B2" t="n">
        <v>92.375</v>
      </c>
      <c r="C2" t="n">
        <v>64.75</v>
      </c>
      <c r="D2" t="n">
        <v>20.125</v>
      </c>
      <c r="F2" t="n">
        <v>48.75</v>
      </c>
      <c r="G2">
        <f>B2-F2</f>
        <v/>
      </c>
      <c r="H2" s="72" t="n">
        <v>0.2223504273504273</v>
      </c>
      <c r="I2" s="72">
        <f>H2*B2</f>
        <v/>
      </c>
    </row>
    <row r="3">
      <c r="A3" t="inlineStr">
        <is>
          <t>curall</t>
        </is>
      </c>
      <c r="B3" t="n">
        <v>27</v>
      </c>
      <c r="C3" t="n">
        <v>27</v>
      </c>
      <c r="D3" t="n">
        <v>0</v>
      </c>
      <c r="G3">
        <f>B3-F3</f>
        <v/>
      </c>
      <c r="H3" s="72" t="n"/>
      <c r="I3" s="72">
        <f>H3*B3</f>
        <v/>
      </c>
    </row>
    <row r="4">
      <c r="A4" t="inlineStr">
        <is>
          <t>barley</t>
        </is>
      </c>
      <c r="B4" t="n">
        <v>65.375</v>
      </c>
      <c r="C4" t="n">
        <v>65.375</v>
      </c>
      <c r="D4" t="n">
        <v>0</v>
      </c>
      <c r="F4" t="n">
        <v>32.5</v>
      </c>
      <c r="G4">
        <f>B4-F4</f>
        <v/>
      </c>
      <c r="H4" s="72" t="n">
        <v>0.1666666666666667</v>
      </c>
      <c r="I4" s="72">
        <f>H4*B4</f>
        <v/>
      </c>
    </row>
    <row r="5">
      <c r="A5" t="inlineStr">
        <is>
          <t>oats</t>
        </is>
      </c>
      <c r="B5" t="n">
        <v>11.375</v>
      </c>
      <c r="C5" t="n">
        <v>11.375</v>
      </c>
      <c r="D5" t="n">
        <v>2.5</v>
      </c>
      <c r="G5">
        <f>B5-F5</f>
        <v/>
      </c>
      <c r="H5" s="72" t="n"/>
      <c r="I5" s="72">
        <f>H5*B5</f>
        <v/>
      </c>
    </row>
    <row r="6">
      <c r="A6" t="inlineStr">
        <is>
          <t>beans</t>
        </is>
      </c>
      <c r="B6" t="n">
        <v>43.875</v>
      </c>
      <c r="C6" t="n">
        <v>43.875</v>
      </c>
      <c r="D6" t="n">
        <v>0</v>
      </c>
      <c r="F6" t="n">
        <v>1</v>
      </c>
      <c r="G6">
        <f>B6-F6</f>
        <v/>
      </c>
      <c r="H6">
        <f>2/20</f>
        <v/>
      </c>
      <c r="I6">
        <f>H6*B6</f>
        <v/>
      </c>
    </row>
    <row r="7"/>
    <row r="8">
      <c r="A8" s="134" t="inlineStr">
        <is>
          <t>Total Production</t>
        </is>
      </c>
    </row>
    <row r="9">
      <c r="A9" s="134" t="inlineStr">
        <is>
          <t>Sales of corn (as recorded in accounts)</t>
        </is>
      </c>
    </row>
    <row r="10"/>
    <row r="11"/>
    <row r="12" ht="32" customHeight="1">
      <c r="A12" s="38" t="inlineStr">
        <is>
          <t>Net output</t>
        </is>
      </c>
      <c r="B12" s="135" t="inlineStr">
        <is>
          <t>Gross output</t>
        </is>
      </c>
      <c r="C12" s="136" t="inlineStr">
        <is>
          <t>Seed quarters</t>
        </is>
      </c>
      <c r="D12" s="136" t="inlineStr">
        <is>
          <t>Seed bushels</t>
        </is>
      </c>
      <c r="E12" s="136" t="inlineStr">
        <is>
          <t>Seed total quarters</t>
        </is>
      </c>
      <c r="F12" s="38" t="inlineStr">
        <is>
          <t>tithe quarters</t>
        </is>
      </c>
      <c r="G12" s="136" t="inlineStr">
        <is>
          <t>tithe bushels</t>
        </is>
      </c>
      <c r="H12" s="136" t="inlineStr">
        <is>
          <t>tithe total</t>
        </is>
      </c>
      <c r="I12" s="136" t="inlineStr">
        <is>
          <t>manorial servants quarters</t>
        </is>
      </c>
      <c r="J12" s="136" t="inlineStr">
        <is>
          <t>manorial servants bushels</t>
        </is>
      </c>
      <c r="K12" s="137" t="inlineStr">
        <is>
          <t>manorial servants total quarters</t>
        </is>
      </c>
      <c r="L12" s="136" t="inlineStr">
        <is>
          <t>output net of tithe, seed, liveries</t>
        </is>
      </c>
      <c r="M12" s="136" t="inlineStr">
        <is>
          <t>in stock from last year</t>
        </is>
      </c>
      <c r="N12" s="138" t="inlineStr">
        <is>
          <t>Price in £</t>
        </is>
      </c>
      <c r="O12" s="138" t="inlineStr">
        <is>
          <t>Value of net output in £</t>
        </is>
      </c>
      <c r="P12" s="135" t="inlineStr">
        <is>
          <t>Value of sales (in "Sale of Corn") in £</t>
        </is>
      </c>
    </row>
    <row r="13">
      <c r="A13" t="inlineStr">
        <is>
          <t>wheat</t>
        </is>
      </c>
      <c r="B13">
        <f>B2</f>
        <v/>
      </c>
      <c r="C13" t="n">
        <v>35</v>
      </c>
      <c r="D13" t="n">
        <v>1</v>
      </c>
      <c r="E13">
        <f>C13+D13/8</f>
        <v/>
      </c>
      <c r="I13">
        <f>1+7.5</f>
        <v/>
      </c>
      <c r="K13" s="139">
        <f>I13+J13/8</f>
        <v/>
      </c>
      <c r="L13" s="72">
        <f>B13-E13-H13-K13</f>
        <v/>
      </c>
      <c r="N13" s="72">
        <f>H2</f>
        <v/>
      </c>
      <c r="O13" s="72">
        <f>L13*N13</f>
        <v/>
      </c>
    </row>
    <row r="14">
      <c r="A14" t="inlineStr">
        <is>
          <t>curall</t>
        </is>
      </c>
      <c r="B14">
        <f>B3</f>
        <v/>
      </c>
      <c r="E14">
        <f>C14+D14/8</f>
        <v/>
      </c>
      <c r="K14" s="139">
        <f>I14+J14/8</f>
        <v/>
      </c>
      <c r="L14" s="72">
        <f>B14-E14-H14-K14</f>
        <v/>
      </c>
      <c r="N14" s="72">
        <f>H3</f>
        <v/>
      </c>
      <c r="O14" s="72">
        <f>L14*N14</f>
        <v/>
      </c>
    </row>
    <row r="15">
      <c r="A15" t="inlineStr">
        <is>
          <t>barley</t>
        </is>
      </c>
      <c r="B15">
        <f>B4</f>
        <v/>
      </c>
      <c r="C15" t="n">
        <v>24</v>
      </c>
      <c r="D15" t="n">
        <v>1</v>
      </c>
      <c r="E15">
        <f>C15+D15/8</f>
        <v/>
      </c>
      <c r="I15">
        <f>8</f>
        <v/>
      </c>
      <c r="J15">
        <f>5</f>
        <v/>
      </c>
      <c r="K15" s="139">
        <f>I15+J15/8</f>
        <v/>
      </c>
      <c r="L15" s="72">
        <f>B15-E15-H15-K15</f>
        <v/>
      </c>
      <c r="N15" s="72">
        <f>H4</f>
        <v/>
      </c>
      <c r="O15" s="72">
        <f>L15*N15</f>
        <v/>
      </c>
    </row>
    <row r="16">
      <c r="A16" t="inlineStr">
        <is>
          <t>oats</t>
        </is>
      </c>
      <c r="B16">
        <f>B5</f>
        <v/>
      </c>
      <c r="C16" t="n">
        <v>2</v>
      </c>
      <c r="D16" t="n">
        <v>2</v>
      </c>
      <c r="E16">
        <f>C16+D16/8</f>
        <v/>
      </c>
      <c r="I16">
        <f>6+3</f>
        <v/>
      </c>
      <c r="J16" t="n">
        <v>1</v>
      </c>
      <c r="K16" s="139">
        <f>I16+J16/8</f>
        <v/>
      </c>
      <c r="L16" s="72">
        <f>B16-E16-H16-K16</f>
        <v/>
      </c>
      <c r="N16" s="72">
        <f>H5</f>
        <v/>
      </c>
      <c r="O16" s="72">
        <f>L16*N16</f>
        <v/>
      </c>
    </row>
    <row r="17">
      <c r="A17" t="inlineStr">
        <is>
          <t>beans</t>
        </is>
      </c>
      <c r="B17">
        <f>B6</f>
        <v/>
      </c>
      <c r="C17" t="n">
        <v>5</v>
      </c>
      <c r="D17" t="n">
        <v>1</v>
      </c>
      <c r="E17">
        <f>C17+D17/8</f>
        <v/>
      </c>
      <c r="I17">
        <f>26+4+5+2</f>
        <v/>
      </c>
      <c r="J17">
        <f>2.5+1.5+2</f>
        <v/>
      </c>
      <c r="K17" s="139">
        <f>I17+J17/8</f>
        <v/>
      </c>
      <c r="L17" s="72">
        <f>B17-E17-H17-K17</f>
        <v/>
      </c>
      <c r="N17" s="72">
        <f>H6</f>
        <v/>
      </c>
      <c r="O17" s="72">
        <f>L17*N17</f>
        <v/>
      </c>
    </row>
    <row r="18"/>
    <row r="19">
      <c r="A19" s="42" t="inlineStr">
        <is>
          <t>Total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30"/>
  <sheetViews>
    <sheetView topLeftCell="A1" workbookViewId="0">
      <selection activeCell="A1" sqref="A1"/>
    </sheetView>
  </sheetViews>
  <sheetFormatPr baseColWidth="8" defaultRowHeight="15"/>
  <cols>
    <col width="44.33203125" customWidth="1" min="1" max="1"/>
    <col width="14.5" customWidth="1" min="10" max="10"/>
    <col width="13.1640625" customWidth="1" min="11" max="11"/>
    <col width="14.1640625" customWidth="1" min="14" max="14"/>
    <col width="16.6640625" customWidth="1" min="16" max="16"/>
    <col width="18" customWidth="1" min="17" max="17"/>
    <col width="17.6640625" customWidth="1" min="19" max="19"/>
    <col width="17.1640625" customWidth="1" min="20" max="20"/>
  </cols>
  <sheetData>
    <row r="1" ht="16" customHeight="1">
      <c r="A1" s="12" t="inlineStr">
        <is>
          <t>MORTON STOCK ACCOUNT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</row>
    <row r="2" ht="16" customHeight="1">
      <c r="A2" s="12" t="n"/>
    </row>
    <row r="3" ht="17" customHeight="1">
      <c r="A3" s="44" t="n"/>
      <c r="B3" s="44" t="n"/>
      <c r="C3" s="125" t="inlineStr">
        <is>
          <t>added</t>
        </is>
      </c>
      <c r="G3" s="126" t="inlineStr">
        <is>
          <t>subtracted</t>
        </is>
      </c>
      <c r="K3" s="44" t="n"/>
      <c r="L3" s="44" t="n"/>
      <c r="M3" s="44" t="n"/>
      <c r="N3" s="44" t="n"/>
      <c r="O3" s="44" t="n"/>
      <c r="P3" s="73" t="n"/>
      <c r="Q3" s="44" t="n"/>
      <c r="R3" s="44" t="n"/>
      <c r="S3" s="44" t="n"/>
      <c r="T3" s="44" t="n"/>
    </row>
    <row r="4" ht="51" customHeight="1">
      <c r="A4" s="66" t="inlineStr">
        <is>
          <t>Livestock</t>
        </is>
      </c>
      <c r="B4" s="29" t="inlineStr">
        <is>
          <t>Inherited stock</t>
        </is>
      </c>
      <c r="C4" s="29" t="inlineStr">
        <is>
          <t>added</t>
        </is>
      </c>
      <c r="D4" s="12" t="inlineStr">
        <is>
          <t>strays</t>
        </is>
      </c>
      <c r="E4" s="12" t="inlineStr">
        <is>
          <t>herbage</t>
        </is>
      </c>
      <c r="F4" s="12" t="inlineStr">
        <is>
          <t>churchscot</t>
        </is>
      </c>
      <c r="G4" s="12" t="inlineStr">
        <is>
          <t>of which in default</t>
        </is>
      </c>
      <c r="H4" s="29" t="inlineStr">
        <is>
          <t>sold</t>
        </is>
      </c>
      <c r="I4" s="29" t="inlineStr">
        <is>
          <t>in murrain</t>
        </is>
      </c>
      <c r="J4" s="29" t="inlineStr">
        <is>
          <t>accounted for elsewhere</t>
        </is>
      </c>
      <c r="K4" s="29" t="inlineStr">
        <is>
          <t>End-period  stock</t>
        </is>
      </c>
      <c r="L4" s="29" t="inlineStr">
        <is>
          <t>cross-check</t>
        </is>
      </c>
      <c r="M4" s="29" t="inlineStr">
        <is>
          <t>stock building</t>
        </is>
      </c>
      <c r="N4" s="29" t="inlineStr">
        <is>
          <t>raw production</t>
        </is>
      </c>
      <c r="O4" s="29" t="inlineStr">
        <is>
          <t>Unit price (£)</t>
        </is>
      </c>
      <c r="P4" s="74" t="inlineStr">
        <is>
          <t>Value of stock  (£) at given value</t>
        </is>
      </c>
      <c r="Q4" s="66" t="inlineStr">
        <is>
          <t>Value of stock  (£) at sales prices</t>
        </is>
      </c>
      <c r="R4" s="66" t="inlineStr">
        <is>
          <t>Sales in (£)</t>
        </is>
      </c>
      <c r="S4" s="66" t="inlineStr">
        <is>
          <t>Value of stock building (£)</t>
        </is>
      </c>
      <c r="T4" s="118" t="inlineStr">
        <is>
          <t>Value of production (£) at sales prices</t>
        </is>
      </c>
      <c r="U4" s="29" t="inlineStr">
        <is>
          <t>Details</t>
        </is>
      </c>
    </row>
    <row r="5" ht="16" customHeight="1">
      <c r="A5" s="44" t="inlineStr">
        <is>
          <t>Cart-horses</t>
        </is>
      </c>
    </row>
    <row r="6" ht="16" customHeight="1">
      <c r="A6" s="44" t="inlineStr">
        <is>
          <t>Mares</t>
        </is>
      </c>
    </row>
    <row r="7">
      <c r="A7" t="inlineStr">
        <is>
          <t>Plough horses</t>
        </is>
      </c>
      <c r="B7" t="n">
        <v>9</v>
      </c>
      <c r="H7" t="n">
        <v>4</v>
      </c>
      <c r="I7" t="n">
        <v>1</v>
      </c>
      <c r="K7" t="n">
        <v>4</v>
      </c>
      <c r="R7">
        <f>Receipts!F47</f>
        <v/>
      </c>
    </row>
    <row r="8">
      <c r="A8" t="inlineStr">
        <is>
          <t>Colts (unspecified years)</t>
        </is>
      </c>
    </row>
    <row r="9">
      <c r="A9" t="inlineStr">
        <is>
          <t>Colts (2 years)</t>
        </is>
      </c>
    </row>
    <row r="10">
      <c r="A10" t="inlineStr">
        <is>
          <t>Colts (1 year)</t>
        </is>
      </c>
    </row>
    <row r="11">
      <c r="A11" t="inlineStr">
        <is>
          <t>Foals</t>
        </is>
      </c>
    </row>
    <row r="12">
      <c r="A12" t="inlineStr">
        <is>
          <t>Oxen</t>
        </is>
      </c>
      <c r="B12" t="n">
        <v>19</v>
      </c>
      <c r="C12">
        <f>4+10</f>
        <v/>
      </c>
      <c r="H12" t="n">
        <v>3</v>
      </c>
      <c r="I12" t="n">
        <v>1</v>
      </c>
      <c r="K12" t="n">
        <v>29</v>
      </c>
      <c r="R12">
        <f>Receipts!F48</f>
        <v/>
      </c>
    </row>
    <row r="13">
      <c r="A13" t="inlineStr">
        <is>
          <t>Bulls</t>
        </is>
      </c>
      <c r="B13" t="n">
        <v>1</v>
      </c>
      <c r="K13" t="n">
        <v>1</v>
      </c>
    </row>
    <row r="14">
      <c r="A14" t="inlineStr">
        <is>
          <t>Cows</t>
        </is>
      </c>
      <c r="B14" t="n">
        <v>12</v>
      </c>
      <c r="H14" t="n">
        <v>1</v>
      </c>
      <c r="K14" t="n">
        <v>11</v>
      </c>
      <c r="R14">
        <f>Receipts!F49</f>
        <v/>
      </c>
    </row>
    <row r="15">
      <c r="A15" t="inlineStr">
        <is>
          <t>Steers</t>
        </is>
      </c>
      <c r="B15" t="n">
        <v>5</v>
      </c>
      <c r="H15" t="n">
        <v>1</v>
      </c>
      <c r="J15" t="n">
        <v>4</v>
      </c>
      <c r="K15" t="n">
        <v>0</v>
      </c>
      <c r="R15">
        <f>Receipts!F50</f>
        <v/>
      </c>
    </row>
    <row r="16">
      <c r="A16" t="inlineStr">
        <is>
          <t>Bullocks</t>
        </is>
      </c>
      <c r="B16" t="n">
        <v>3</v>
      </c>
      <c r="K16" t="n">
        <v>3</v>
      </c>
    </row>
    <row r="17">
      <c r="A17" t="inlineStr">
        <is>
          <t>Yearlings</t>
        </is>
      </c>
      <c r="B17" t="n">
        <v>5</v>
      </c>
      <c r="K17" t="n">
        <v>5</v>
      </c>
    </row>
    <row r="18">
      <c r="A18" t="inlineStr">
        <is>
          <t>Calves</t>
        </is>
      </c>
      <c r="C18" t="n">
        <v>11</v>
      </c>
      <c r="H18" t="n">
        <v>6</v>
      </c>
      <c r="I18" t="n">
        <v>1</v>
      </c>
      <c r="J18" t="n">
        <v>1</v>
      </c>
      <c r="K18" t="n">
        <v>3</v>
      </c>
      <c r="R18">
        <f>Receipts!F51</f>
        <v/>
      </c>
    </row>
    <row r="19">
      <c r="A19" t="inlineStr">
        <is>
          <t>Wethers</t>
        </is>
      </c>
    </row>
    <row r="20">
      <c r="A20" t="inlineStr">
        <is>
          <t>Rams</t>
        </is>
      </c>
    </row>
    <row r="21">
      <c r="A21" t="inlineStr">
        <is>
          <t>Ewes</t>
        </is>
      </c>
    </row>
    <row r="22">
      <c r="A22" t="inlineStr">
        <is>
          <t>Hoggs</t>
        </is>
      </c>
    </row>
    <row r="23">
      <c r="A23" t="inlineStr">
        <is>
          <t>Lambs</t>
        </is>
      </c>
    </row>
    <row r="24">
      <c r="A24" t="inlineStr">
        <is>
          <t>Boars</t>
        </is>
      </c>
    </row>
    <row r="25">
      <c r="A25" t="inlineStr">
        <is>
          <t>Sows</t>
        </is>
      </c>
    </row>
    <row r="26">
      <c r="A26" t="inlineStr">
        <is>
          <t>Pigs</t>
        </is>
      </c>
    </row>
    <row r="27">
      <c r="A27" t="inlineStr">
        <is>
          <t>Hoggets</t>
        </is>
      </c>
    </row>
    <row r="28">
      <c r="A28" t="inlineStr">
        <is>
          <t>Piglets</t>
        </is>
      </c>
    </row>
    <row r="29">
      <c r="A29" t="inlineStr">
        <is>
          <t>Swans</t>
        </is>
      </c>
    </row>
    <row r="30">
      <c r="A30" t="inlineStr">
        <is>
          <t>Peacocks</t>
        </is>
      </c>
    </row>
    <row r="31" ht="16" customHeight="1">
      <c r="A31" s="67" t="inlineStr">
        <is>
          <t>Total Value</t>
        </is>
      </c>
      <c r="R31" s="39">
        <f>SUM(R5:R30)</f>
        <v/>
      </c>
    </row>
    <row r="32"/>
    <row r="33"/>
    <row r="34" ht="17" customHeight="1">
      <c r="A34" s="66" t="inlineStr">
        <is>
          <t>Wool</t>
        </is>
      </c>
    </row>
    <row r="35">
      <c r="A35" t="inlineStr">
        <is>
          <t>Coarse wool</t>
        </is>
      </c>
      <c r="B35" t="inlineStr">
        <is>
          <t>nothing because the lord's sheep are not there</t>
        </is>
      </c>
    </row>
    <row r="36">
      <c r="A36" t="inlineStr">
        <is>
          <t>Lamb's wool</t>
        </is>
      </c>
    </row>
    <row r="37">
      <c r="A37" t="inlineStr">
        <is>
          <t>Wool locks</t>
        </is>
      </c>
    </row>
    <row r="38">
      <c r="A38" t="inlineStr">
        <is>
          <t>Wool sold at shearing</t>
        </is>
      </c>
    </row>
    <row r="39" ht="16" customHeight="1">
      <c r="A39" s="67" t="inlineStr">
        <is>
          <t>Total wool</t>
        </is>
      </c>
    </row>
    <row r="40"/>
    <row r="41"/>
    <row r="42" ht="17" customHeight="1">
      <c r="A42" s="66" t="inlineStr">
        <is>
          <t>Hides</t>
        </is>
      </c>
    </row>
    <row r="43">
      <c r="A43" t="inlineStr">
        <is>
          <t>Ox hides</t>
        </is>
      </c>
      <c r="C43" t="n">
        <v>1</v>
      </c>
      <c r="H43" t="n">
        <v>1</v>
      </c>
      <c r="R43">
        <f>Receipts!F53</f>
        <v/>
      </c>
      <c r="U43" t="inlineStr">
        <is>
          <t>only recorded in issues</t>
        </is>
      </c>
    </row>
    <row r="44">
      <c r="A44" t="inlineStr">
        <is>
          <t>plough horse</t>
        </is>
      </c>
      <c r="C44" t="n">
        <v>1</v>
      </c>
      <c r="H44" t="n">
        <v>1</v>
      </c>
      <c r="R44">
        <f>Receipts!F52</f>
        <v/>
      </c>
      <c r="U44" t="inlineStr">
        <is>
          <t>only recorded in issues</t>
        </is>
      </c>
    </row>
    <row r="45">
      <c r="A45" t="inlineStr">
        <is>
          <t>Mare</t>
        </is>
      </c>
    </row>
    <row r="46">
      <c r="A46" t="inlineStr">
        <is>
          <t>Steer</t>
        </is>
      </c>
    </row>
    <row r="47">
      <c r="A47" t="inlineStr">
        <is>
          <t>calves</t>
        </is>
      </c>
      <c r="C47" t="n">
        <v>1</v>
      </c>
      <c r="H47" t="n">
        <v>1</v>
      </c>
      <c r="R47">
        <f>Receipts!F55</f>
        <v/>
      </c>
      <c r="U47" t="inlineStr">
        <is>
          <t>only recorded in issues</t>
        </is>
      </c>
    </row>
    <row r="48">
      <c r="A48" s="68" t="inlineStr">
        <is>
          <t>pigs</t>
        </is>
      </c>
    </row>
    <row r="49">
      <c r="A49" t="inlineStr">
        <is>
          <t>Woolskins (incl. 10 in tithe)</t>
        </is>
      </c>
    </row>
    <row r="50">
      <c r="A50" s="28" t="inlineStr">
        <is>
          <t>wethers</t>
        </is>
      </c>
    </row>
    <row r="51">
      <c r="A51" s="28" t="inlineStr">
        <is>
          <t>rams</t>
        </is>
      </c>
    </row>
    <row r="52">
      <c r="A52" s="28" t="inlineStr">
        <is>
          <t>ewes</t>
        </is>
      </c>
    </row>
    <row r="53">
      <c r="A53" s="28" t="inlineStr">
        <is>
          <t>hoggs</t>
        </is>
      </c>
    </row>
    <row r="54">
      <c r="A54" s="69" t="inlineStr">
        <is>
          <t>Woolskins (excl. 10 in tithe)</t>
        </is>
      </c>
    </row>
    <row r="55">
      <c r="A55" s="43" t="inlineStr">
        <is>
          <t>Bareskins</t>
        </is>
      </c>
    </row>
    <row r="56">
      <c r="A56" s="28" t="inlineStr">
        <is>
          <t>wethers</t>
        </is>
      </c>
    </row>
    <row r="57">
      <c r="A57" s="28" t="inlineStr">
        <is>
          <t>rams</t>
        </is>
      </c>
    </row>
    <row r="58">
      <c r="A58" s="28" t="inlineStr">
        <is>
          <t>ewes</t>
        </is>
      </c>
    </row>
    <row r="59">
      <c r="A59" s="28" t="inlineStr">
        <is>
          <t>hoggs</t>
        </is>
      </c>
    </row>
    <row r="60">
      <c r="A60" s="69" t="inlineStr">
        <is>
          <t>Bareskins (total)</t>
        </is>
      </c>
    </row>
    <row r="61">
      <c r="A61" t="inlineStr">
        <is>
          <t>Lambskins (excl. 8 in tithe)</t>
        </is>
      </c>
    </row>
    <row r="62">
      <c r="A62" t="inlineStr">
        <is>
          <t>Rotted skins</t>
        </is>
      </c>
    </row>
    <row r="63">
      <c r="A63" t="inlineStr">
        <is>
          <t>Shorn skins</t>
        </is>
      </c>
    </row>
    <row r="64">
      <c r="A64" s="39" t="inlineStr">
        <is>
          <t xml:space="preserve">Total </t>
        </is>
      </c>
      <c r="R64" s="39">
        <f>SUM(R43:R63)</f>
        <v/>
      </c>
    </row>
    <row r="65"/>
    <row r="66"/>
    <row r="67" ht="17" customHeight="1">
      <c r="A67" s="66" t="inlineStr">
        <is>
          <t>Poultry stock</t>
        </is>
      </c>
    </row>
    <row r="68" ht="16" customHeight="1">
      <c r="A68" s="44" t="inlineStr">
        <is>
          <t>Hens</t>
        </is>
      </c>
    </row>
    <row r="69">
      <c r="A69" t="inlineStr">
        <is>
          <t>Geese</t>
        </is>
      </c>
      <c r="C69">
        <f>2+4</f>
        <v/>
      </c>
      <c r="K69" t="n">
        <v>6</v>
      </c>
    </row>
    <row r="70">
      <c r="A70" t="inlineStr">
        <is>
          <t>Capons (from chickens)</t>
        </is>
      </c>
    </row>
    <row r="71">
      <c r="A71" t="inlineStr">
        <is>
          <t>Chickens</t>
        </is>
      </c>
      <c r="C71" t="n">
        <v>12</v>
      </c>
      <c r="K71" t="n">
        <v>12</v>
      </c>
    </row>
    <row r="72">
      <c r="A72" t="inlineStr">
        <is>
          <t>Cocks &amp; hens</t>
        </is>
      </c>
    </row>
    <row r="73">
      <c r="A73" s="39" t="inlineStr">
        <is>
          <t>Total poultry stock</t>
        </is>
      </c>
    </row>
    <row r="74">
      <c r="A74" s="71" t="inlineStr">
        <is>
          <t>Total poultry excluding churchscot</t>
        </is>
      </c>
    </row>
    <row r="75"/>
    <row r="76" ht="16" customHeight="1">
      <c r="A76" s="12" t="inlineStr">
        <is>
          <t>Poultry production</t>
        </is>
      </c>
    </row>
    <row r="77">
      <c r="A77" t="inlineStr">
        <is>
          <t>Eggs</t>
        </is>
      </c>
    </row>
    <row r="78">
      <c r="A78" t="inlineStr">
        <is>
          <t>Cocks &amp; hens from churchscot of customary tenants</t>
        </is>
      </c>
    </row>
    <row r="79">
      <c r="A79" t="inlineStr">
        <is>
          <t>Sum of above</t>
        </is>
      </c>
    </row>
    <row r="80">
      <c r="A80" s="39" t="inlineStr">
        <is>
          <t>Total</t>
        </is>
      </c>
    </row>
    <row r="81"/>
    <row r="82"/>
    <row r="83" ht="16" customHeight="1">
      <c r="A83" s="12" t="inlineStr">
        <is>
          <t>Meat</t>
        </is>
      </c>
    </row>
    <row r="84">
      <c r="A84" t="inlineStr">
        <is>
          <t>Beef</t>
        </is>
      </c>
      <c r="C84" t="n">
        <v>1</v>
      </c>
      <c r="H84" t="n">
        <v>1</v>
      </c>
      <c r="R84">
        <f>Receipts!F54</f>
        <v/>
      </c>
      <c r="U84" t="inlineStr">
        <is>
          <t>amount of flesh not given; only recorded in issues</t>
        </is>
      </c>
    </row>
    <row r="85">
      <c r="A85" t="inlineStr">
        <is>
          <t>Mutton</t>
        </is>
      </c>
    </row>
    <row r="86">
      <c r="A86" t="inlineStr">
        <is>
          <t>Pork</t>
        </is>
      </c>
    </row>
    <row r="87" ht="16" customHeight="1">
      <c r="A87" s="67" t="inlineStr">
        <is>
          <t xml:space="preserve">Total </t>
        </is>
      </c>
      <c r="R87" s="39">
        <f>SUM(R84:R86)</f>
        <v/>
      </c>
    </row>
    <row r="88"/>
    <row r="89" ht="16" customHeight="1">
      <c r="A89" s="12" t="inlineStr">
        <is>
          <t>Cheese</t>
        </is>
      </c>
    </row>
    <row r="90">
      <c r="A90" t="inlineStr">
        <is>
          <t>Winter cheese</t>
        </is>
      </c>
      <c r="C90" t="n">
        <v>39</v>
      </c>
      <c r="H90" t="n">
        <v>39</v>
      </c>
      <c r="R90">
        <f>Receipts!F37</f>
        <v/>
      </c>
    </row>
    <row r="91">
      <c r="A91" t="inlineStr">
        <is>
          <t>Summer cheese</t>
        </is>
      </c>
      <c r="C91" t="n">
        <v>171</v>
      </c>
      <c r="H91" t="n">
        <v>154</v>
      </c>
      <c r="J91">
        <f>17</f>
        <v/>
      </c>
      <c r="R91">
        <f>Receipts!F38</f>
        <v/>
      </c>
    </row>
    <row r="92" ht="16" customHeight="1">
      <c r="A92" s="67" t="inlineStr">
        <is>
          <t>Total</t>
        </is>
      </c>
      <c r="R92" s="39">
        <f>SUM(R90:R91)</f>
        <v/>
      </c>
    </row>
    <row r="93"/>
    <row r="94" ht="16" customHeight="1">
      <c r="A94" s="12" t="inlineStr">
        <is>
          <t>Butter</t>
        </is>
      </c>
    </row>
    <row r="95">
      <c r="A95" t="inlineStr">
        <is>
          <t>Butter</t>
        </is>
      </c>
      <c r="C95" t="n">
        <v>8.5</v>
      </c>
      <c r="H95" t="n">
        <v>8.5</v>
      </c>
      <c r="R95">
        <f>Receipts!F39</f>
        <v/>
      </c>
      <c r="U95" t="inlineStr">
        <is>
          <t>measured in gallons</t>
        </is>
      </c>
    </row>
    <row r="96" ht="16" customHeight="1">
      <c r="A96" s="67" t="inlineStr">
        <is>
          <t>Total</t>
        </is>
      </c>
      <c r="R96" s="39">
        <f>R95</f>
        <v/>
      </c>
    </row>
    <row r="97" ht="16" customHeight="1">
      <c r="A97" s="13" t="n"/>
    </row>
    <row r="98" ht="16" customHeight="1">
      <c r="A98" s="57" t="inlineStr">
        <is>
          <t>Total Dairy Sales</t>
        </is>
      </c>
    </row>
    <row r="99"/>
    <row r="100"/>
    <row r="101" ht="16" customHeight="1">
      <c r="A101" s="12" t="inlineStr">
        <is>
          <t>Cider</t>
        </is>
      </c>
    </row>
    <row r="102"/>
    <row r="103"/>
    <row r="104" ht="16" customHeight="1">
      <c r="A104" s="13" t="inlineStr">
        <is>
          <t>Additional Information (not necessarily useful)</t>
        </is>
      </c>
    </row>
    <row r="105" ht="16" customHeight="1">
      <c r="A105" s="12" t="inlineStr">
        <is>
          <t>Utensils</t>
        </is>
      </c>
    </row>
    <row r="106">
      <c r="A106" t="inlineStr">
        <is>
          <t>ploughs</t>
        </is>
      </c>
    </row>
    <row r="107">
      <c r="A107" t="inlineStr">
        <is>
          <t>carts</t>
        </is>
      </c>
    </row>
    <row r="108">
      <c r="A108" t="inlineStr">
        <is>
          <t>cart-ropes</t>
        </is>
      </c>
    </row>
    <row r="109">
      <c r="A109" t="inlineStr">
        <is>
          <t>corn baskets</t>
        </is>
      </c>
    </row>
    <row r="110">
      <c r="A110" t="inlineStr">
        <is>
          <t>seed-sacks</t>
        </is>
      </c>
    </row>
    <row r="111">
      <c r="A111" t="inlineStr">
        <is>
          <t>seed basket</t>
        </is>
      </c>
    </row>
    <row r="112">
      <c r="A112" t="inlineStr">
        <is>
          <t>locks for the doors</t>
        </is>
      </c>
    </row>
    <row r="113">
      <c r="A113" t="inlineStr">
        <is>
          <t>lead vessel</t>
        </is>
      </c>
    </row>
    <row r="114">
      <c r="A114" t="inlineStr">
        <is>
          <t>brass pots</t>
        </is>
      </c>
    </row>
    <row r="115">
      <c r="A115" t="inlineStr">
        <is>
          <t>pans</t>
        </is>
      </c>
    </row>
    <row r="116">
      <c r="A116" t="inlineStr">
        <is>
          <t>tripods</t>
        </is>
      </c>
    </row>
    <row r="117">
      <c r="A117" t="inlineStr">
        <is>
          <t>mortar</t>
        </is>
      </c>
    </row>
    <row r="118">
      <c r="A118" t="inlineStr">
        <is>
          <t>axe</t>
        </is>
      </c>
    </row>
    <row r="119">
      <c r="A119" t="inlineStr">
        <is>
          <t>casks</t>
        </is>
      </c>
    </row>
    <row r="120">
      <c r="A120" t="inlineStr">
        <is>
          <t>tubs</t>
        </is>
      </c>
    </row>
    <row r="121">
      <c r="A121" t="inlineStr">
        <is>
          <t>troughs</t>
        </is>
      </c>
    </row>
    <row r="122">
      <c r="A122" t="inlineStr">
        <is>
          <t>bucket</t>
        </is>
      </c>
    </row>
    <row r="123">
      <c r="A123" t="inlineStr">
        <is>
          <t>cheese basket</t>
        </is>
      </c>
    </row>
    <row r="124">
      <c r="A124" t="inlineStr">
        <is>
          <t>tables</t>
        </is>
      </c>
    </row>
    <row r="125">
      <c r="A125" t="inlineStr">
        <is>
          <t>table with trestles</t>
        </is>
      </c>
    </row>
    <row r="126">
      <c r="A126" t="inlineStr">
        <is>
          <t>benches</t>
        </is>
      </c>
    </row>
    <row r="127">
      <c r="A127" t="inlineStr">
        <is>
          <t>ewer with a basin</t>
        </is>
      </c>
    </row>
    <row r="128">
      <c r="A128" t="inlineStr">
        <is>
          <t>ladders</t>
        </is>
      </c>
    </row>
    <row r="129">
      <c r="A129" t="inlineStr">
        <is>
          <t>cloth</t>
        </is>
      </c>
    </row>
    <row r="130">
      <c r="A130" t="inlineStr">
        <is>
          <t>brass posnets</t>
        </is>
      </c>
    </row>
  </sheetData>
  <mergeCells count="2">
    <mergeCell ref="C3:F3"/>
    <mergeCell ref="G3:J3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218"/>
  <sheetViews>
    <sheetView topLeftCell="A1" workbookViewId="0">
      <selection activeCell="A1" sqref="A1"/>
    </sheetView>
  </sheetViews>
  <sheetFormatPr baseColWidth="8" defaultRowHeight="15"/>
  <cols>
    <col width="30.5" customWidth="1" min="1" max="1"/>
    <col width="31" customWidth="1" min="2" max="2"/>
  </cols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Quarters 2</t>
        </is>
      </c>
      <c r="P1" s="1" t="inlineStr">
        <is>
          <t>Bushels 2</t>
        </is>
      </c>
      <c r="Q1" s="1" t="inlineStr">
        <is>
          <t>Quarters 3</t>
        </is>
      </c>
      <c r="R1" s="1" t="inlineStr">
        <is>
          <t>Bushels 3</t>
        </is>
      </c>
      <c r="S1" s="1" t="inlineStr">
        <is>
          <t>Quarters 4</t>
        </is>
      </c>
      <c r="T1" s="1" t="inlineStr">
        <is>
          <t>Bushels 4</t>
        </is>
      </c>
      <c r="U1" s="1" t="inlineStr">
        <is>
          <t>shilling a quarter 1</t>
        </is>
      </c>
      <c r="V1" s="1" t="inlineStr">
        <is>
          <t>pence a quarter 1</t>
        </is>
      </c>
      <c r="W1" s="1" t="inlineStr">
        <is>
          <t>shilling a quarter 2</t>
        </is>
      </c>
      <c r="X1" s="1" t="inlineStr">
        <is>
          <t>pence a quarter 2</t>
        </is>
      </c>
      <c r="Y1" s="1" t="inlineStr">
        <is>
          <t>shilling a quarter 3</t>
        </is>
      </c>
      <c r="Z1" s="1" t="inlineStr">
        <is>
          <t>pence a quarter 3</t>
        </is>
      </c>
      <c r="AA1" s="1" t="inlineStr">
        <is>
          <t>shilling a quarter 4</t>
        </is>
      </c>
      <c r="AB1" s="1" t="inlineStr">
        <is>
          <t>pence a quarter 4</t>
        </is>
      </c>
      <c r="AC1" s="1" t="inlineStr">
        <is>
          <t>shilling a bushel 1</t>
        </is>
      </c>
      <c r="AD1" s="1" t="inlineStr">
        <is>
          <t>pence a bushel 1</t>
        </is>
      </c>
      <c r="AE1" s="1" t="inlineStr">
        <is>
          <t>shilling a bushel 2</t>
        </is>
      </c>
      <c r="AF1" s="1" t="inlineStr">
        <is>
          <t>pence a bushel 2</t>
        </is>
      </c>
      <c r="AG1" s="1" t="inlineStr">
        <is>
          <t>shilling a bushel 3</t>
        </is>
      </c>
      <c r="AH1" s="1" t="inlineStr">
        <is>
          <t>pence a bushel 3</t>
        </is>
      </c>
      <c r="AI1" s="1" t="inlineStr">
        <is>
          <t>shilling a bushel 4</t>
        </is>
      </c>
      <c r="AJ1" s="1" t="inlineStr">
        <is>
          <t>pence a bushel 4</t>
        </is>
      </c>
    </row>
    <row r="2">
      <c r="A2" t="inlineStr">
        <is>
          <t>Arrears</t>
        </is>
      </c>
      <c r="B2" t="inlineStr">
        <is>
          <t>William, bailiff, and Richard, reeve, render account for £3 10 shilling 3pence of arrears from the previous year.</t>
        </is>
      </c>
      <c r="C2" t="n">
        <v>3.51</v>
      </c>
      <c r="D2" t="n">
        <v>3</v>
      </c>
      <c r="E2" t="n">
        <v>10</v>
      </c>
      <c r="F2" t="n">
        <v>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Arrears</t>
        </is>
      </c>
      <c r="B3" t="inlineStr">
        <is>
          <t>Delivered to Sir Geoffrey, treasurer of Wolvesey, by 1 tally, £3 10 shilling 3pence They are quit.</t>
        </is>
      </c>
      <c r="C3" t="n">
        <v>3.51</v>
      </c>
      <c r="D3" t="n">
        <v>3</v>
      </c>
      <c r="E3" t="n">
        <v>10</v>
      </c>
      <c r="F3" t="n">
        <v>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Rents</t>
        </is>
      </c>
      <c r="B4" t="inlineStr">
        <is>
          <t>The same render account for £1 3 shilling 3.25pence for all rents of assize at Christmas.</t>
        </is>
      </c>
      <c r="C4" t="n">
        <v>1.16</v>
      </c>
      <c r="D4" t="n">
        <v>1</v>
      </c>
      <c r="E4" t="n">
        <v>3</v>
      </c>
      <c r="F4" t="n">
        <v>3.25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Rents</t>
        </is>
      </c>
      <c r="B5" t="inlineStr">
        <is>
          <t>£1 3 shilling 3.25pence at the Annunciation (25 March).</t>
        </is>
      </c>
      <c r="C5" t="n">
        <v>1.16</v>
      </c>
      <c r="D5" t="n">
        <v>1</v>
      </c>
      <c r="E5" t="n">
        <v>3</v>
      </c>
      <c r="F5" t="n">
        <v>3.25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Rents</t>
        </is>
      </c>
      <c r="B6" t="inlineStr">
        <is>
          <t>£1 3 shilling 3.25pence at the Nativity of St John the Baptist (24 June).</t>
        </is>
      </c>
      <c r="C6" t="n">
        <v>1.16</v>
      </c>
      <c r="D6" t="n">
        <v>1</v>
      </c>
      <c r="E6" t="n">
        <v>3</v>
      </c>
      <c r="F6" t="n">
        <v>3.25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Rents</t>
        </is>
      </c>
      <c r="B7" t="inlineStr">
        <is>
          <t>£1 3 shilling 3.25pence at Michaelmas (29 September).</t>
        </is>
      </c>
      <c r="C7" t="n">
        <v>1.16</v>
      </c>
      <c r="D7" t="n">
        <v>1</v>
      </c>
      <c r="E7" t="n">
        <v>3</v>
      </c>
      <c r="F7" t="n">
        <v>3.25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Rents</t>
        </is>
      </c>
      <c r="B8" t="inlineStr">
        <is>
          <t>Total of all rents for the year, £4 13 shilling 1pence</t>
        </is>
      </c>
      <c r="C8" t="n">
        <v>4.65</v>
      </c>
      <c r="D8" t="n">
        <v>4</v>
      </c>
      <c r="E8" t="n">
        <v>13</v>
      </c>
      <c r="F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Quittances</t>
        </is>
      </c>
      <c r="B9" t="inlineStr">
        <is>
          <t>In quittance of 1 reeve for the year 2 shilling.</t>
        </is>
      </c>
      <c r="C9" t="n">
        <v>0.1</v>
      </c>
      <c r="D9" t="n">
        <v>0</v>
      </c>
      <c r="E9" t="n">
        <v>2</v>
      </c>
      <c r="F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Quittances</t>
        </is>
      </c>
      <c r="B10" t="inlineStr">
        <is>
          <t>6 men holding 6 virgates of land, 3 of whom hold the lord's ploughs for 1 week and the other three for the other week, 12 shilling for the year.</t>
        </is>
      </c>
      <c r="C10" t="n">
        <v>0.6</v>
      </c>
      <c r="D10" t="n">
        <v>0</v>
      </c>
      <c r="E10" t="n">
        <v>12</v>
      </c>
      <c r="F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Quittances</t>
        </is>
      </c>
      <c r="B11" t="inlineStr">
        <is>
          <t>Total of quittances, 14 shilling</t>
        </is>
      </c>
      <c r="C11" t="n">
        <v>0.7</v>
      </c>
      <c r="D11" t="n">
        <v>0</v>
      </c>
      <c r="E11" t="n">
        <v>14</v>
      </c>
      <c r="F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Defaults of rent</t>
        </is>
      </c>
      <c r="B12" t="inlineStr">
        <is>
          <t>In default of 1 virgate of land which belonged to William de Bury drawn into demesne, 4 shilling for the year.</t>
        </is>
      </c>
      <c r="C12" t="n">
        <v>0.2</v>
      </c>
      <c r="D12" t="n">
        <v>0</v>
      </c>
      <c r="E12" t="n">
        <v>4</v>
      </c>
      <c r="F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Defaults of rent</t>
        </is>
      </c>
      <c r="B13" t="inlineStr">
        <is>
          <t>1.5 virgates and 1 ferling of land which belonged to Roger drawn into demesne, 3 shilling for the year.</t>
        </is>
      </c>
      <c r="C13" t="n">
        <v>0.15</v>
      </c>
      <c r="D13" t="n">
        <v>0</v>
      </c>
      <c r="E13" t="n">
        <v>3</v>
      </c>
      <c r="F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Defaults of rent</t>
        </is>
      </c>
      <c r="B14" t="inlineStr">
        <is>
          <t>1.5 virgates and a farthing of land which belonged to William Alfnth drawn into demesne, 1 shilling 8pence for the year.</t>
        </is>
      </c>
      <c r="C14" t="n">
        <v>0.08</v>
      </c>
      <c r="D14" t="n">
        <v>0</v>
      </c>
      <c r="E14" t="n">
        <v>1</v>
      </c>
      <c r="F14" t="n">
        <v>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Defaults of rent</t>
        </is>
      </c>
      <c r="B15" t="inlineStr">
        <is>
          <t>1 ferling of land which belonged to William le Nywman drawn into demesne, 9pence for the year.</t>
        </is>
      </c>
      <c r="C15" t="n">
        <v>0.04</v>
      </c>
      <c r="D15" t="n">
        <v>0</v>
      </c>
      <c r="E15" t="n">
        <v>0</v>
      </c>
      <c r="F15" t="n">
        <v>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Defaults of rent</t>
        </is>
      </c>
      <c r="B16" t="inlineStr">
        <is>
          <t>1 ferling and a farthing of land which belonged to Alice drawn into demesne, 1 shilling 3pence for the year.</t>
        </is>
      </c>
      <c r="C16" t="n">
        <v>0.06</v>
      </c>
      <c r="D16" t="n">
        <v>0</v>
      </c>
      <c r="E16" t="n">
        <v>1</v>
      </c>
      <c r="F16" t="n">
        <v>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Defaults of rent</t>
        </is>
      </c>
      <c r="B17" t="inlineStr">
        <is>
          <t>a curtilage which belonged to Roger Pound' drawn into demesne, 7'/ pence for the year.</t>
        </is>
      </c>
      <c r="C17" t="n">
        <v>0</v>
      </c>
      <c r="D17" t="n">
        <v>0</v>
      </c>
      <c r="E17" t="n">
        <v>0</v>
      </c>
      <c r="F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Defaults of rent</t>
        </is>
      </c>
      <c r="B18" t="inlineStr">
        <is>
          <t>Total of defaults of rent, 11 shilling 3.5pence</t>
        </is>
      </c>
      <c r="C18" t="n">
        <v>0.5600000000000001</v>
      </c>
      <c r="D18" t="n">
        <v>0</v>
      </c>
      <c r="E18" t="n">
        <v>11</v>
      </c>
      <c r="F18" t="n">
        <v>3.5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Total of quittances and defaults of rent</t>
        </is>
      </c>
      <c r="B19" t="inlineStr">
        <is>
          <t>Total of quittances and defaults of rent, £1 5 shilling 3.5pence</t>
        </is>
      </c>
      <c r="C19" t="n">
        <v>1.26</v>
      </c>
      <c r="D19" t="n">
        <v>1</v>
      </c>
      <c r="E19" t="n">
        <v>5</v>
      </c>
      <c r="F19" t="n">
        <v>3.5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Total remaining</t>
        </is>
      </c>
      <c r="B20" t="inlineStr">
        <is>
          <t>Total remaining, £3 7 shilling 9.5pence</t>
        </is>
      </c>
      <c r="C20" t="n">
        <v>3.39</v>
      </c>
      <c r="D20" t="n">
        <v>3</v>
      </c>
      <c r="E20" t="n">
        <v>7</v>
      </c>
      <c r="F20" t="n">
        <v>9.5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Annual recognizance</t>
        </is>
      </c>
      <c r="B21" t="inlineStr">
        <is>
          <t>Nothing from annual recognizance.</t>
        </is>
      </c>
      <c r="C21" t="n">
        <v>0</v>
      </c>
      <c r="D21" t="n">
        <v>0</v>
      </c>
      <c r="E21" t="n">
        <v>0</v>
      </c>
      <c r="F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Issues of the manor</t>
        </is>
      </c>
      <c r="B22" t="inlineStr">
        <is>
          <t>The same render account for 9.5pence from common pannage of the whole vill.</t>
        </is>
      </c>
      <c r="C22" t="n">
        <v>0.04</v>
      </c>
      <c r="D22" t="n">
        <v>0</v>
      </c>
      <c r="E22" t="n">
        <v>0</v>
      </c>
      <c r="F22" t="n">
        <v>9.5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Issues of the manor</t>
        </is>
      </c>
      <c r="B23" t="inlineStr">
        <is>
          <t>1 shilling 6pence from stubble sold.</t>
        </is>
      </c>
      <c r="C23" t="n">
        <v>0.08</v>
      </c>
      <c r="D23" t="n">
        <v>0</v>
      </c>
      <c r="E23" t="n">
        <v>1</v>
      </c>
      <c r="F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Issues of the manor</t>
        </is>
      </c>
      <c r="B24" t="inlineStr">
        <is>
          <t>2 shilling from mast in the grove sold.</t>
        </is>
      </c>
      <c r="C24" t="n">
        <v>0.1</v>
      </c>
      <c r="D24" t="n">
        <v>0</v>
      </c>
      <c r="E24" t="n">
        <v>2</v>
      </c>
      <c r="F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Issues of the manor</t>
        </is>
      </c>
      <c r="B25" t="inlineStr">
        <is>
          <t>3 shilling from winter cheese sold.</t>
        </is>
      </c>
      <c r="C25" t="n">
        <v>0.15</v>
      </c>
      <c r="D25" t="n">
        <v>0</v>
      </c>
      <c r="E25" t="n">
        <v>3</v>
      </c>
      <c r="F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Issues of the manor</t>
        </is>
      </c>
      <c r="B26" t="inlineStr">
        <is>
          <t>£1 15 shilling from 3.5 weys of summer cheese sold, at 10 shilling a wey.</t>
        </is>
      </c>
      <c r="C26" t="n">
        <v>1.75</v>
      </c>
      <c r="D26" t="n">
        <v>1</v>
      </c>
      <c r="E26" t="n">
        <v>15</v>
      </c>
      <c r="F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Issues of the manor</t>
        </is>
      </c>
      <c r="B27" t="inlineStr">
        <is>
          <t>4 shilling 3pence from 8.5 gallons of butter sold, at 6pence a gallon.</t>
        </is>
      </c>
      <c r="C27" t="n">
        <v>0.21</v>
      </c>
      <c r="D27" t="n">
        <v>0</v>
      </c>
      <c r="E27" t="n">
        <v>4</v>
      </c>
      <c r="F27" t="n">
        <v>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Issues of the manor</t>
        </is>
      </c>
      <c r="B28" t="inlineStr">
        <is>
          <t>nothing from hay sold this year.</t>
        </is>
      </c>
      <c r="C28" t="n">
        <v>0</v>
      </c>
      <c r="D28" t="n">
        <v>0</v>
      </c>
      <c r="E28" t="n">
        <v>0</v>
      </c>
      <c r="F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Issues of the manor</t>
        </is>
      </c>
      <c r="B29" t="inlineStr">
        <is>
          <t>8pence from apples from the issue of the garden sold this year.</t>
        </is>
      </c>
      <c r="C29" t="n">
        <v>0.03</v>
      </c>
      <c r="D29" t="n">
        <v>0</v>
      </c>
      <c r="E29" t="n">
        <v>0</v>
      </c>
      <c r="F29" t="n">
        <v>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Issues of the manor</t>
        </is>
      </c>
      <c r="B30" t="inlineStr">
        <is>
          <t>nothing from the agistment of bullocks in the pasture this year because there were sheep.</t>
        </is>
      </c>
      <c r="C30" t="n">
        <v>0</v>
      </c>
      <c r="D30" t="n">
        <v>0</v>
      </c>
      <c r="E30" t="n">
        <v>0</v>
      </c>
      <c r="F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Issues of the manor</t>
        </is>
      </c>
      <c r="B31" t="inlineStr">
        <is>
          <t>1 shilling 9pence from dairy produce sold at the audit.</t>
        </is>
      </c>
      <c r="C31" t="n">
        <v>0.09</v>
      </c>
      <c r="D31" t="n">
        <v>0</v>
      </c>
      <c r="E31" t="n">
        <v>1</v>
      </c>
      <c r="F31" t="n">
        <v>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Issues of the manor</t>
        </is>
      </c>
      <c r="B32" t="inlineStr">
        <is>
          <t>Total, £2 8 shilling 11.5pence</t>
        </is>
      </c>
      <c r="C32" t="n">
        <v>2.45</v>
      </c>
      <c r="D32" t="n">
        <v>2</v>
      </c>
      <c r="E32" t="n">
        <v>8</v>
      </c>
      <c r="F32" t="n">
        <v>11.5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Issues of stock</t>
        </is>
      </c>
      <c r="B33" t="inlineStr">
        <is>
          <t>The same render account for £1 4pence from 4 plough-horses sold, at 6 shilling for 1, 5 shilling 6pence each for 2, and 3 shilling 4pence for 1.</t>
        </is>
      </c>
      <c r="C33" t="n">
        <v>1.02</v>
      </c>
      <c r="D33" t="n">
        <v>1</v>
      </c>
      <c r="E33" t="n">
        <v>0</v>
      </c>
      <c r="F33" t="n">
        <v>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Issues of stock</t>
        </is>
      </c>
      <c r="B34" t="inlineStr">
        <is>
          <t>£1 9 shilling from 3 oxen sold because old, at 10 shilling each for 2, and 9 shilling for 1.</t>
        </is>
      </c>
      <c r="C34" t="n">
        <v>1.45</v>
      </c>
      <c r="D34" t="n">
        <v>1</v>
      </c>
      <c r="E34" t="n">
        <v>9</v>
      </c>
      <c r="F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Issues of stock</t>
        </is>
      </c>
      <c r="B35" t="inlineStr">
        <is>
          <t>8 shilling 6pence from 1 cow sold because sterile.</t>
        </is>
      </c>
      <c r="C35" t="n">
        <v>0.43</v>
      </c>
      <c r="D35" t="n">
        <v>0</v>
      </c>
      <c r="E35" t="n">
        <v>8</v>
      </c>
      <c r="F35" t="n">
        <v>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Issues of stock</t>
        </is>
      </c>
      <c r="B36" t="inlineStr">
        <is>
          <t>4 shilling 4pence from 1 feeble young heifer sold.</t>
        </is>
      </c>
      <c r="C36" t="n">
        <v>0.22</v>
      </c>
      <c r="D36" t="n">
        <v>0</v>
      </c>
      <c r="E36" t="n">
        <v>4</v>
      </c>
      <c r="F36" t="n">
        <v>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Issues of stock</t>
        </is>
      </c>
      <c r="B37" t="inlineStr">
        <is>
          <t>6 shilling from 6 calves sold, at 1 shilling each.</t>
        </is>
      </c>
      <c r="C37" t="n">
        <v>0.3</v>
      </c>
      <c r="D37" t="n">
        <v>0</v>
      </c>
      <c r="E37" t="n">
        <v>6</v>
      </c>
      <c r="F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Issues of stock</t>
        </is>
      </c>
      <c r="B38" t="inlineStr">
        <is>
          <t>8pence from the hide sold of 1 plough-horse in murrain.</t>
        </is>
      </c>
      <c r="C38" t="n">
        <v>0.03</v>
      </c>
      <c r="D38" t="n">
        <v>0</v>
      </c>
      <c r="E38" t="n">
        <v>0</v>
      </c>
      <c r="F38" t="n">
        <v>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Issues of stock</t>
        </is>
      </c>
      <c r="B39" t="inlineStr">
        <is>
          <t>2 shilling 1pence from the hide sold of 1 ox in murrain.</t>
        </is>
      </c>
      <c r="C39" t="n">
        <v>0.1</v>
      </c>
      <c r="D39" t="n">
        <v>0</v>
      </c>
      <c r="E39" t="n">
        <v>2</v>
      </c>
      <c r="F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Issues of stock</t>
        </is>
      </c>
      <c r="B40" t="inlineStr">
        <is>
          <t>8pence from the flesh of the same ox sold.</t>
        </is>
      </c>
      <c r="C40" t="n">
        <v>0.03</v>
      </c>
      <c r="D40" t="n">
        <v>0</v>
      </c>
      <c r="E40" t="n">
        <v>0</v>
      </c>
      <c r="F40" t="n">
        <v>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Issues of stock</t>
        </is>
      </c>
      <c r="B41" t="inlineStr">
        <is>
          <t>2pence from the hide sold of 1 calf in murrain.</t>
        </is>
      </c>
      <c r="C41" t="n">
        <v>0.01</v>
      </c>
      <c r="D41" t="n">
        <v>0</v>
      </c>
      <c r="E41" t="n">
        <v>0</v>
      </c>
      <c r="F41" t="n">
        <v>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Issues of stock</t>
        </is>
      </c>
      <c r="B42" t="inlineStr">
        <is>
          <t>Total, £3 11 shilling 9pence</t>
        </is>
      </c>
      <c r="C42" t="n">
        <v>3.59</v>
      </c>
      <c r="D42" t="n">
        <v>3</v>
      </c>
      <c r="E42" t="n">
        <v>11</v>
      </c>
      <c r="F42" t="n">
        <v>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Sale of corn</t>
        </is>
      </c>
      <c r="B43" t="inlineStr">
        <is>
          <t>The same render account for £10 16 shilling 9.5pence from 48 quarters 6 bushels of wheat sold, at 5 shilling a quarters for 25 quarters 1 bushels). 4 shilling a quarters for 18.5 quarters 1 bushels, and 3 shilling 4pence a quarters for 5 quarters.</t>
        </is>
      </c>
      <c r="C43" t="n">
        <v>10.84</v>
      </c>
      <c r="D43" t="n">
        <v>10</v>
      </c>
      <c r="E43" t="n">
        <v>16</v>
      </c>
      <c r="F43" t="n">
        <v>9.5</v>
      </c>
      <c r="G43" t="inlineStr">
        <is>
          <t>wheat</t>
        </is>
      </c>
      <c r="H43" t="n">
        <v>48.5</v>
      </c>
      <c r="I43" t="n">
        <v>2</v>
      </c>
      <c r="J43" t="n">
        <v>48.75</v>
      </c>
      <c r="K43" t="n">
        <v>48.75</v>
      </c>
      <c r="L43" t="n">
        <v>0</v>
      </c>
      <c r="M43" t="n">
        <v>48</v>
      </c>
      <c r="N43" t="n">
        <v>6</v>
      </c>
      <c r="O43" t="n">
        <v>25</v>
      </c>
      <c r="P43" t="n">
        <v>1</v>
      </c>
      <c r="Q43" t="n">
        <v>18.5</v>
      </c>
      <c r="R43" t="n">
        <v>1</v>
      </c>
      <c r="S43" t="n">
        <v>5</v>
      </c>
      <c r="T43" t="n">
        <v>0</v>
      </c>
      <c r="U43" t="n">
        <v>5</v>
      </c>
      <c r="V43" t="n">
        <v>0</v>
      </c>
      <c r="W43" t="n">
        <v>4</v>
      </c>
      <c r="X43" t="n">
        <v>0</v>
      </c>
      <c r="Y43" t="n">
        <v>3</v>
      </c>
      <c r="Z43" t="n">
        <v>4</v>
      </c>
    </row>
    <row r="44">
      <c r="A44" t="inlineStr">
        <is>
          <t>Sale of corn</t>
        </is>
      </c>
      <c r="B44" t="inlineStr">
        <is>
          <t>£5 8 shilling 9pence from 32.5 quarters I bushels of barley sold, at 3 shilling 4pence a quarters.</t>
        </is>
      </c>
      <c r="C44" t="n">
        <v>5.44</v>
      </c>
      <c r="D44" t="n">
        <v>5</v>
      </c>
      <c r="E44" t="n">
        <v>8</v>
      </c>
      <c r="F44" t="n">
        <v>9</v>
      </c>
      <c r="G44" t="inlineStr">
        <is>
          <t>barley</t>
        </is>
      </c>
      <c r="H44" t="n">
        <v>32.5</v>
      </c>
      <c r="I44" t="n">
        <v>0</v>
      </c>
      <c r="J44" t="n">
        <v>32.5</v>
      </c>
      <c r="K44" t="n">
        <v>32.5</v>
      </c>
      <c r="L44" t="n">
        <v>0</v>
      </c>
      <c r="M44" t="n">
        <v>32.5</v>
      </c>
      <c r="N44" t="n">
        <v>0</v>
      </c>
      <c r="U44" t="n">
        <v>3</v>
      </c>
      <c r="V44" t="n">
        <v>4</v>
      </c>
    </row>
    <row r="45">
      <c r="A45" t="inlineStr">
        <is>
          <t>Sale of corn</t>
        </is>
      </c>
      <c r="B45" t="inlineStr">
        <is>
          <t>2 shilling from 1 quarters of beans sold.</t>
        </is>
      </c>
      <c r="C45" t="n">
        <v>0.1</v>
      </c>
      <c r="D45" t="n">
        <v>0</v>
      </c>
      <c r="E45" t="n">
        <v>2</v>
      </c>
      <c r="F45" t="n">
        <v>0</v>
      </c>
      <c r="G45" t="inlineStr">
        <is>
          <t>beans</t>
        </is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</row>
    <row r="46">
      <c r="A46" t="inlineStr">
        <is>
          <t>Sale of corn</t>
        </is>
      </c>
      <c r="B46" t="inlineStr">
        <is>
          <t>£1 6 shilling 8pence from a certain part of the stack of beans sold wholesale.</t>
        </is>
      </c>
      <c r="C46" t="n">
        <v>1.33</v>
      </c>
      <c r="D46" t="n">
        <v>1</v>
      </c>
      <c r="E46" t="n">
        <v>6</v>
      </c>
      <c r="F46" t="n">
        <v>8</v>
      </c>
      <c r="G46" t="inlineStr">
        <is>
          <t>beans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Sale of corn</t>
        </is>
      </c>
      <c r="B47" t="inlineStr">
        <is>
          <t>Total, £17 14 shilling 2.5pence</t>
        </is>
      </c>
      <c r="C47" t="n">
        <v>17.71</v>
      </c>
      <c r="D47" t="n">
        <v>17</v>
      </c>
      <c r="E47" t="n">
        <v>14</v>
      </c>
      <c r="F47" t="n">
        <v>2.5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Entry and marriage fines</t>
        </is>
      </c>
      <c r="B48" t="inlineStr">
        <is>
          <t>The same render account for 5 shilling from John atte Watere for marrying Claricia his daughter outside.</t>
        </is>
      </c>
      <c r="C48" t="n">
        <v>0.25</v>
      </c>
      <c r="D48" t="n">
        <v>0</v>
      </c>
      <c r="E48" t="n">
        <v>5</v>
      </c>
      <c r="F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Entry and marriage fines</t>
        </is>
      </c>
      <c r="B49" t="inlineStr">
        <is>
          <t>8 shilling from 2 tithings for tithingpenny at the hundred-court of Martinmas.</t>
        </is>
      </c>
      <c r="C49" t="n">
        <v>0.4</v>
      </c>
      <c r="D49" t="n">
        <v>0</v>
      </c>
      <c r="E49" t="n">
        <v>8</v>
      </c>
      <c r="F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Entry and marriage fines</t>
        </is>
      </c>
      <c r="B50" t="inlineStr">
        <is>
          <t>8 shilling from the same tithings for tithingpenny at the hundred-court of Hockday.</t>
        </is>
      </c>
      <c r="C50" t="n">
        <v>0.4</v>
      </c>
      <c r="D50" t="n">
        <v>0</v>
      </c>
      <c r="E50" t="n">
        <v>8</v>
      </c>
      <c r="F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Entry and marriage fines</t>
        </is>
      </c>
      <c r="B51" t="inlineStr">
        <is>
          <t>Total, £1 1 shilling</t>
        </is>
      </c>
      <c r="C51" t="n">
        <v>1.05</v>
      </c>
      <c r="D51" t="n">
        <v>1</v>
      </c>
      <c r="E51" t="n">
        <v>1</v>
      </c>
      <c r="F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Pleas and perquisites</t>
        </is>
      </c>
      <c r="B52" t="inlineStr">
        <is>
          <t>The same render account for 2 shilling 6pence from the pleas and perquisites of all the courts for the whole year.</t>
        </is>
      </c>
      <c r="C52" t="n">
        <v>0.12</v>
      </c>
      <c r="D52" t="n">
        <v>0</v>
      </c>
      <c r="E52" t="n">
        <v>2</v>
      </c>
      <c r="F52" t="n">
        <v>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Pleas and perquisites</t>
        </is>
      </c>
      <c r="B53" t="inlineStr">
        <is>
          <t>Total, 2 shilling 6pence</t>
        </is>
      </c>
      <c r="C53" t="n">
        <v>0.12</v>
      </c>
      <c r="D53" t="n">
        <v>0</v>
      </c>
      <c r="E53" t="n">
        <v>2</v>
      </c>
      <c r="F53" t="n">
        <v>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Total of both</t>
        </is>
      </c>
      <c r="B54" t="inlineStr">
        <is>
          <t>Total of both, £1 3 shilling 6pence</t>
        </is>
      </c>
      <c r="C54" t="n">
        <v>1.17</v>
      </c>
      <c r="D54" t="n">
        <v>1</v>
      </c>
      <c r="E54" t="n">
        <v>3</v>
      </c>
      <c r="F54" t="n">
        <v>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Total of all expenses</t>
        </is>
      </c>
      <c r="B55" t="inlineStr">
        <is>
          <t>Total of all expenses, £28 6 shilling 2.5pence</t>
        </is>
      </c>
      <c r="C55" t="n">
        <v>28.31</v>
      </c>
      <c r="D55" t="n">
        <v>28</v>
      </c>
      <c r="E55" t="n">
        <v>6</v>
      </c>
      <c r="F55" t="n">
        <v>2.5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Expenses for ploughs</t>
        </is>
      </c>
      <c r="B56" t="inlineStr">
        <is>
          <t>In ironwork of 3 ploughs for the year 3 shilling 1pence.</t>
        </is>
      </c>
      <c r="C56" t="n">
        <v>0.15</v>
      </c>
      <c r="D56" t="n">
        <v>0</v>
      </c>
      <c r="E56" t="n">
        <v>3</v>
      </c>
      <c r="F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Expenses for ploughs</t>
        </is>
      </c>
      <c r="B57" t="inlineStr">
        <is>
          <t>2 plough-shoes (calconibus) bought 4pence.</t>
        </is>
      </c>
      <c r="C57" t="n">
        <v>0.02</v>
      </c>
      <c r="D57" t="n">
        <v>0</v>
      </c>
      <c r="E57" t="n">
        <v>0</v>
      </c>
      <c r="F57" t="n">
        <v>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Expenses for ploughs</t>
        </is>
      </c>
      <c r="B58" t="inlineStr">
        <is>
          <t>2 ploughshares bought 1 shilling 4pence.</t>
        </is>
      </c>
      <c r="C58" t="n">
        <v>0.07000000000000001</v>
      </c>
      <c r="D58" t="n">
        <v>0</v>
      </c>
      <c r="E58" t="n">
        <v>1</v>
      </c>
      <c r="F58" t="n">
        <v>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Expenses for ploughs</t>
        </is>
      </c>
      <c r="B59" t="inlineStr">
        <is>
          <t>stipend of the smith making the ironwork of 3 ploughs for the year 2 shilling 0.5pence.</t>
        </is>
      </c>
      <c r="C59" t="n">
        <v>0.1</v>
      </c>
      <c r="D59" t="n">
        <v>0</v>
      </c>
      <c r="E59" t="n">
        <v>2</v>
      </c>
      <c r="F59" t="n">
        <v>0.5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Expenses for ploughs</t>
        </is>
      </c>
      <c r="B60" t="inlineStr">
        <is>
          <t>4 new ploughs made from the lord's timber 8pence.</t>
        </is>
      </c>
      <c r="C60" t="n">
        <v>0.03</v>
      </c>
      <c r="D60" t="n">
        <v>0</v>
      </c>
      <c r="E60" t="n">
        <v>0</v>
      </c>
      <c r="F60" t="n">
        <v>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Expenses for ploughs</t>
        </is>
      </c>
      <c r="B61" t="inlineStr">
        <is>
          <t>repairing the same 2pence.</t>
        </is>
      </c>
      <c r="C61" t="n">
        <v>0.01</v>
      </c>
      <c r="D61" t="n">
        <v>0</v>
      </c>
      <c r="E61" t="n">
        <v>0</v>
      </c>
      <c r="F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Expenses for ploughs</t>
        </is>
      </c>
      <c r="B62" t="inlineStr">
        <is>
          <t>ox-bows, withies and draught-chains (hart') for the ploughs 11pence.</t>
        </is>
      </c>
      <c r="C62" t="n">
        <v>0.05</v>
      </c>
      <c r="D62" t="n">
        <v>0</v>
      </c>
      <c r="E62" t="n">
        <v>0</v>
      </c>
      <c r="F62" t="n">
        <v>11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Expenses for ploughs</t>
        </is>
      </c>
      <c r="B63" t="inlineStr">
        <is>
          <t>1 harrow made from the lord's timber 1.5pence.</t>
        </is>
      </c>
      <c r="C63" t="n">
        <v>0.01</v>
      </c>
      <c r="D63" t="n">
        <v>0</v>
      </c>
      <c r="E63" t="n">
        <v>0</v>
      </c>
      <c r="F63" t="n">
        <v>1.5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Expenses for ploughs</t>
        </is>
      </c>
      <c r="B64" t="inlineStr">
        <is>
          <t>blood-letting of oxen 2pence.</t>
        </is>
      </c>
      <c r="C64" t="n">
        <v>0.01</v>
      </c>
      <c r="D64" t="n">
        <v>0</v>
      </c>
      <c r="E64" t="n">
        <v>0</v>
      </c>
      <c r="F64" t="n">
        <v>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Expenses for ploughs</t>
        </is>
      </c>
      <c r="B65" t="inlineStr">
        <is>
          <t>6 halters made from their own hair 1.5pence.</t>
        </is>
      </c>
      <c r="C65" t="n">
        <v>0.01</v>
      </c>
      <c r="D65" t="n">
        <v>0</v>
      </c>
      <c r="E65" t="n">
        <v>0</v>
      </c>
      <c r="F65" t="n">
        <v>1.5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Expenses for ploughs</t>
        </is>
      </c>
      <c r="B66" t="inlineStr">
        <is>
          <t>stipend of 3 oxherds driving the lord's ploughs from Michaelmas until the Annunciation 6 shilling, and for the rest of their stipends each takes at harvest-time 72 sheaves of wheat which contain by estimation 1 quarters 2 bushels, and 72 sheaves of oats which contain by estimation 1 quarters.</t>
        </is>
      </c>
      <c r="C66" t="n">
        <v>0.3</v>
      </c>
      <c r="D66" t="n">
        <v>0</v>
      </c>
      <c r="E66" t="n">
        <v>6</v>
      </c>
      <c r="F66" t="n">
        <v>0</v>
      </c>
      <c r="G66" t="inlineStr">
        <is>
          <t>oats, wheat</t>
        </is>
      </c>
      <c r="H66" t="n">
        <v>1</v>
      </c>
      <c r="I66" t="n">
        <v>2</v>
      </c>
      <c r="J66" t="n">
        <v>1.25</v>
      </c>
      <c r="K66" t="n">
        <v>1.25</v>
      </c>
      <c r="L66" t="n">
        <v>0</v>
      </c>
      <c r="M66" t="n">
        <v>1</v>
      </c>
      <c r="N66" t="n">
        <v>2</v>
      </c>
      <c r="O66" t="n">
        <v>1</v>
      </c>
      <c r="P66" t="n">
        <v>0</v>
      </c>
    </row>
    <row r="67">
      <c r="A67" t="inlineStr">
        <is>
          <t>Expenses for ploughs</t>
        </is>
      </c>
      <c r="B67" t="inlineStr">
        <is>
          <t>.</t>
        </is>
      </c>
      <c r="C67" t="n">
        <v>0</v>
      </c>
      <c r="D67" t="n">
        <v>0</v>
      </c>
      <c r="E67" t="n">
        <v>0</v>
      </c>
      <c r="F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Expenses for ploughs</t>
        </is>
      </c>
      <c r="B68" t="inlineStr">
        <is>
          <t>stipend of 3 ploughmen for working 36 Saturdays 4 shilling 6pence, or .5pence each, because they are not obliged to work on Saturdays.</t>
        </is>
      </c>
      <c r="C68" t="n">
        <v>0.23</v>
      </c>
      <c r="D68" t="n">
        <v>0</v>
      </c>
      <c r="E68" t="n">
        <v>4</v>
      </c>
      <c r="F68" t="n">
        <v>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Expenses for ploughs</t>
        </is>
      </c>
      <c r="B69" t="inlineStr">
        <is>
          <t>.</t>
        </is>
      </c>
      <c r="C69" t="n">
        <v>0</v>
      </c>
      <c r="D69" t="n">
        <v>0</v>
      </c>
      <c r="E69" t="n">
        <v>0</v>
      </c>
      <c r="F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Expenses for ploughs</t>
        </is>
      </c>
      <c r="B70" t="inlineStr">
        <is>
          <t>10 oxen bought £6 11 shilling 1pence, at 14 shilling 1pence each for 3, 13 shilling 6pence each for 3, and 12 shilling 1pence each for 4..</t>
        </is>
      </c>
      <c r="C70" t="n">
        <v>6.55</v>
      </c>
      <c r="D70" t="n">
        <v>6</v>
      </c>
      <c r="E70" t="n">
        <v>11</v>
      </c>
      <c r="F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Expenses for ploughs</t>
        </is>
      </c>
      <c r="B71" t="inlineStr">
        <is>
          <t>20 quarters 1 bushels of wheat bought for sowing and the provision of the harvest boon-works £3 13 shilling 1.5pence, at 3 shilling 8pence a quarters for 18 quarters 1 bushels, and 3 shilling 4pence a quarters for 2 quarters.</t>
        </is>
      </c>
      <c r="C71" t="n">
        <v>3.66</v>
      </c>
      <c r="D71" t="n">
        <v>3</v>
      </c>
      <c r="E71" t="n">
        <v>13</v>
      </c>
      <c r="F71" t="n">
        <v>1.5</v>
      </c>
      <c r="G71" t="inlineStr">
        <is>
          <t>wheat</t>
        </is>
      </c>
      <c r="H71" t="n">
        <v>20</v>
      </c>
      <c r="I71" t="n">
        <v>1</v>
      </c>
      <c r="J71" t="n">
        <v>20.125</v>
      </c>
      <c r="K71" t="n">
        <v>20.125</v>
      </c>
      <c r="L71" t="n">
        <v>0</v>
      </c>
      <c r="M71" t="n">
        <v>20</v>
      </c>
      <c r="N71" t="n">
        <v>1</v>
      </c>
      <c r="O71" t="n">
        <v>18</v>
      </c>
      <c r="P71" t="n">
        <v>1</v>
      </c>
      <c r="Q71" t="n">
        <v>2</v>
      </c>
      <c r="R71" t="n">
        <v>0</v>
      </c>
      <c r="U71" t="n">
        <v>3</v>
      </c>
      <c r="V71" t="n">
        <v>8</v>
      </c>
      <c r="W71" t="n">
        <v>3</v>
      </c>
      <c r="X71" t="n">
        <v>4</v>
      </c>
    </row>
    <row r="72">
      <c r="A72" t="inlineStr">
        <is>
          <t>Expenses for ploughs</t>
        </is>
      </c>
      <c r="B72" t="inlineStr">
        <is>
          <t>.</t>
        </is>
      </c>
      <c r="C72" t="n">
        <v>0</v>
      </c>
      <c r="D72" t="n">
        <v>0</v>
      </c>
      <c r="E72" t="n">
        <v>0</v>
      </c>
      <c r="F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Expenses for ploughs</t>
        </is>
      </c>
      <c r="B73" t="inlineStr">
        <is>
          <t>2.5 quarters of oats bought for sowing and the fodder of plough-horses 4 shilling 2pence, at 1 shilling 8pence a quarters.</t>
        </is>
      </c>
      <c r="C73" t="n">
        <v>0.21</v>
      </c>
      <c r="D73" t="n">
        <v>0</v>
      </c>
      <c r="E73" t="n">
        <v>4</v>
      </c>
      <c r="F73" t="n">
        <v>2</v>
      </c>
      <c r="G73" t="inlineStr">
        <is>
          <t>oats</t>
        </is>
      </c>
      <c r="H73" t="n">
        <v>2.5</v>
      </c>
      <c r="I73" t="n">
        <v>0</v>
      </c>
      <c r="J73" t="n">
        <v>2.5</v>
      </c>
      <c r="K73" t="n">
        <v>2.5</v>
      </c>
      <c r="L73" t="n">
        <v>0</v>
      </c>
      <c r="M73" t="n">
        <v>2.5</v>
      </c>
      <c r="N73" t="n">
        <v>0</v>
      </c>
      <c r="U73" t="n">
        <v>1</v>
      </c>
      <c r="V73" t="n">
        <v>8</v>
      </c>
    </row>
    <row r="74">
      <c r="A74" t="inlineStr">
        <is>
          <t>Expenses for ploughs</t>
        </is>
      </c>
      <c r="B74" t="inlineStr">
        <is>
          <t>.</t>
        </is>
      </c>
      <c r="C74" t="n">
        <v>0</v>
      </c>
      <c r="D74" t="n">
        <v>0</v>
      </c>
      <c r="E74" t="n">
        <v>0</v>
      </c>
      <c r="F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Expenses for ploughs</t>
        </is>
      </c>
      <c r="B75" t="inlineStr">
        <is>
          <t>expenses of the boon-work of 39 ploughmen fallowing the lord's land 6 shilling 6pence, at 2pence a ploughman.</t>
        </is>
      </c>
      <c r="C75" t="n">
        <v>0.33</v>
      </c>
      <c r="D75" t="n">
        <v>0</v>
      </c>
      <c r="E75" t="n">
        <v>6</v>
      </c>
      <c r="F75" t="n">
        <v>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Expenses for ploughs</t>
        </is>
      </c>
      <c r="B76" t="inlineStr">
        <is>
          <t>.</t>
        </is>
      </c>
      <c r="C76" t="n">
        <v>0</v>
      </c>
      <c r="D76" t="n">
        <v>0</v>
      </c>
      <c r="E76" t="n">
        <v>0</v>
      </c>
      <c r="F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Expenses for ploughs</t>
        </is>
      </c>
      <c r="B77" t="inlineStr">
        <is>
          <t>forage bought for stock £1 3 shilling 6.5pence Total, £12 17 shilling 10.5pence</t>
        </is>
      </c>
      <c r="C77" t="n">
        <v>1.18</v>
      </c>
      <c r="D77" t="n">
        <v>1</v>
      </c>
      <c r="E77" t="n">
        <v>3</v>
      </c>
      <c r="F77" t="n">
        <v>6.5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Expenses for carts</t>
        </is>
      </c>
      <c r="B78" t="inlineStr">
        <is>
          <t>In 2 pairs of wheels made from the lord's timber for clearing dung 1 shilling 4pence.</t>
        </is>
      </c>
      <c r="C78" t="n">
        <v>0.07000000000000001</v>
      </c>
      <c r="D78" t="n">
        <v>0</v>
      </c>
      <c r="E78" t="n">
        <v>1</v>
      </c>
      <c r="F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Expenses for carts</t>
        </is>
      </c>
      <c r="B79" t="inlineStr">
        <is>
          <t>fitting the cart with axles, with clouts, nails and grease for the same for the year, 1 shilling.</t>
        </is>
      </c>
      <c r="C79" t="n">
        <v>0.05</v>
      </c>
      <c r="D79" t="n">
        <v>0</v>
      </c>
      <c r="E79" t="n">
        <v>1</v>
      </c>
      <c r="F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Expenses for carts</t>
        </is>
      </c>
      <c r="B80" t="inlineStr">
        <is>
          <t>white leather for mending harnesses of the cart 4pence.</t>
        </is>
      </c>
      <c r="C80" t="n">
        <v>0.02</v>
      </c>
      <c r="D80" t="n">
        <v>0</v>
      </c>
      <c r="E80" t="n">
        <v>0</v>
      </c>
      <c r="F80" t="n">
        <v>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Expenses for carts</t>
        </is>
      </c>
      <c r="B81" t="inlineStr">
        <is>
          <t>1 pair of traces bought 4.5pence.</t>
        </is>
      </c>
      <c r="C81" t="n">
        <v>0.02</v>
      </c>
      <c r="D81" t="n">
        <v>0</v>
      </c>
      <c r="E81" t="n">
        <v>0</v>
      </c>
      <c r="F81" t="n">
        <v>4.5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Expenses for carts</t>
        </is>
      </c>
      <c r="B82" t="inlineStr">
        <is>
          <t>2 hemp ropes bought 1 shilling 1pence.</t>
        </is>
      </c>
      <c r="C82" t="n">
        <v>0.05</v>
      </c>
      <c r="D82" t="n">
        <v>0</v>
      </c>
      <c r="E82" t="n">
        <v>1</v>
      </c>
      <c r="F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Expenses for carts</t>
        </is>
      </c>
      <c r="B83" t="inlineStr">
        <is>
          <t>2 collars bought 1 shilling 2pence.</t>
        </is>
      </c>
      <c r="C83" t="n">
        <v>0.06</v>
      </c>
      <c r="D83" t="n">
        <v>0</v>
      </c>
      <c r="E83" t="n">
        <v>1</v>
      </c>
      <c r="F83" t="n">
        <v>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Expenses for carts</t>
        </is>
      </c>
      <c r="B84" t="inlineStr">
        <is>
          <t>shoeing 2 plough-horses hauling the cart for the year 2 shilling.</t>
        </is>
      </c>
      <c r="C84" t="n">
        <v>0.1</v>
      </c>
      <c r="D84" t="n">
        <v>0</v>
      </c>
      <c r="E84" t="n">
        <v>2</v>
      </c>
      <c r="F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Expenses for carts</t>
        </is>
      </c>
      <c r="B85" t="inlineStr">
        <is>
          <t>stipend of 1 carter from Michaelmas until the Annunciation 2 shilling, and for the rest of his stipend he takes sheaves at harvest-time like the rest of the manorial servants.</t>
        </is>
      </c>
      <c r="C85" t="n">
        <v>0.1</v>
      </c>
      <c r="D85" t="n">
        <v>0</v>
      </c>
      <c r="E85" t="n">
        <v>2</v>
      </c>
      <c r="F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Expenses for carts</t>
        </is>
      </c>
      <c r="B86" t="inlineStr">
        <is>
          <t>Total, 9 shilling 3.5pence</t>
        </is>
      </c>
      <c r="C86" t="n">
        <v>0.46</v>
      </c>
      <c r="D86" t="n">
        <v>0</v>
      </c>
      <c r="E86" t="n">
        <v>9</v>
      </c>
      <c r="F86" t="n">
        <v>3.5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Dairy</t>
        </is>
      </c>
      <c r="B87" t="inlineStr">
        <is>
          <t>In 5 quarters 1 bushels of beans planted and watered 2 shilling 6pence.</t>
        </is>
      </c>
      <c r="C87" t="n">
        <v>0.12</v>
      </c>
      <c r="D87" t="n">
        <v>0</v>
      </c>
      <c r="E87" t="n">
        <v>2</v>
      </c>
      <c r="F87" t="n">
        <v>6</v>
      </c>
      <c r="G87" t="inlineStr">
        <is>
          <t>beans</t>
        </is>
      </c>
      <c r="H87" t="n">
        <v>5</v>
      </c>
      <c r="I87" t="n">
        <v>1</v>
      </c>
      <c r="J87" t="n">
        <v>5.125</v>
      </c>
      <c r="K87" t="n">
        <v>5.125</v>
      </c>
      <c r="L87" t="n">
        <v>0</v>
      </c>
      <c r="M87" t="n">
        <v>5</v>
      </c>
      <c r="N87" t="n">
        <v>1</v>
      </c>
    </row>
    <row r="88">
      <c r="A88" t="inlineStr">
        <is>
          <t>Dairy</t>
        </is>
      </c>
      <c r="B88" t="inlineStr">
        <is>
          <t>2 Fbushels1 of salt bought for the dairy 9pence, at 4.5pence a bushels.</t>
        </is>
      </c>
      <c r="C88" t="n">
        <v>0.04</v>
      </c>
      <c r="D88" t="n">
        <v>0</v>
      </c>
      <c r="E88" t="n">
        <v>0</v>
      </c>
      <c r="F88" t="n">
        <v>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AC88" t="n">
        <v>0</v>
      </c>
      <c r="AD88" t="n">
        <v>4.5</v>
      </c>
    </row>
    <row r="89">
      <c r="A89" t="inlineStr">
        <is>
          <t>Dairy</t>
        </is>
      </c>
      <c r="B89" t="inlineStr">
        <is>
          <t>a press bought 2pence.</t>
        </is>
      </c>
      <c r="C89" t="n">
        <v>0.01</v>
      </c>
      <c r="D89" t="n">
        <v>0</v>
      </c>
      <c r="E89" t="n">
        <v>0</v>
      </c>
      <c r="F89" t="n">
        <v>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Dairy</t>
        </is>
      </c>
      <c r="B90" t="inlineStr">
        <is>
          <t>linen cloth bought 4pence.</t>
        </is>
      </c>
      <c r="C90" t="n">
        <v>0.02</v>
      </c>
      <c r="D90" t="n">
        <v>0</v>
      </c>
      <c r="E90" t="n">
        <v>0</v>
      </c>
      <c r="F90" t="n">
        <v>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Dairy</t>
        </is>
      </c>
      <c r="B91" t="inlineStr">
        <is>
          <t>putting right a bucket 1pence.</t>
        </is>
      </c>
      <c r="C91" t="n">
        <v>0</v>
      </c>
      <c r="D91" t="n">
        <v>0</v>
      </c>
      <c r="E91" t="n">
        <v>0</v>
      </c>
      <c r="F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Dairy</t>
        </is>
      </c>
      <c r="B92" t="inlineStr">
        <is>
          <t>earthenware pots and pans bought 1.5pence.</t>
        </is>
      </c>
      <c r="C92" t="n">
        <v>0.01</v>
      </c>
      <c r="D92" t="n">
        <v>0</v>
      </c>
      <c r="E92" t="n">
        <v>0</v>
      </c>
      <c r="F92" t="n">
        <v>1.5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Dairy</t>
        </is>
      </c>
      <c r="B93" t="inlineStr">
        <is>
          <t>36 hurdles bought for the fold on account of the sheep of a certain stranger manuring the lord's land for want of the lord's sheep 2 shilling 11pence, at 1pence a hurdle.</t>
        </is>
      </c>
      <c r="C93" t="n">
        <v>0.15</v>
      </c>
      <c r="D93" t="n">
        <v>0</v>
      </c>
      <c r="E93" t="n">
        <v>2</v>
      </c>
      <c r="F93" t="n">
        <v>11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Dairy</t>
        </is>
      </c>
      <c r="B94" t="inlineStr">
        <is>
          <t>.</t>
        </is>
      </c>
      <c r="C94" t="n">
        <v>0</v>
      </c>
      <c r="D94" t="n">
        <v>0</v>
      </c>
      <c r="E94" t="n">
        <v>0</v>
      </c>
      <c r="F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Dairy</t>
        </is>
      </c>
      <c r="B95" t="inlineStr">
        <is>
          <t>1 colander repaired .5pence.</t>
        </is>
      </c>
      <c r="C95" t="n">
        <v>0.02</v>
      </c>
      <c r="D95" t="n">
        <v>0</v>
      </c>
      <c r="E95" t="n">
        <v>0</v>
      </c>
      <c r="F95" t="n">
        <v>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Dairy</t>
        </is>
      </c>
      <c r="B96" t="inlineStr">
        <is>
          <t>stipend of 1 cowherd for' year in winter 1 shilling.</t>
        </is>
      </c>
      <c r="C96" t="n">
        <v>0.05</v>
      </c>
      <c r="D96" t="n">
        <v>0</v>
      </c>
      <c r="E96" t="n">
        <v>1</v>
      </c>
      <c r="F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Dairy</t>
        </is>
      </c>
      <c r="B97" t="inlineStr">
        <is>
          <t>stipend of 1 shepherd for' year 1 shilling, and for the rest of his stipend he takes sheaves at harvest-time like the rest of the manorial servants.</t>
        </is>
      </c>
      <c r="C97" t="n">
        <v>0.05</v>
      </c>
      <c r="D97" t="n">
        <v>0</v>
      </c>
      <c r="E97" t="n">
        <v>1</v>
      </c>
      <c r="F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Dairy</t>
        </is>
      </c>
      <c r="B98" t="inlineStr">
        <is>
          <t>Total, 8 shilling 11pence</t>
        </is>
      </c>
      <c r="C98" t="n">
        <v>0.45</v>
      </c>
      <c r="D98" t="n">
        <v>0</v>
      </c>
      <c r="E98" t="n">
        <v>8</v>
      </c>
      <c r="F98" t="n">
        <v>11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Cost of buildings and small necessaries</t>
        </is>
      </c>
      <c r="B99" t="inlineStr">
        <is>
          <t>In rebuilding below the roof of the barn which had collapsed through rotten timber, that is, in carpentry, 3 shilling 6pence.</t>
        </is>
      </c>
      <c r="C99" t="n">
        <v>0.17</v>
      </c>
      <c r="D99" t="n">
        <v>0</v>
      </c>
      <c r="E99" t="n">
        <v>3</v>
      </c>
      <c r="F99" t="n">
        <v>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Cost of buildings and small necessaries</t>
        </is>
      </c>
      <c r="B100" t="inlineStr">
        <is>
          <t>making 500 laths for the same from the lord's own timber 1 shilling.</t>
        </is>
      </c>
      <c r="C100" t="n">
        <v>0.05</v>
      </c>
      <c r="D100" t="n">
        <v>0</v>
      </c>
      <c r="E100" t="n">
        <v>1</v>
      </c>
      <c r="F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Cost of buildings and small necessaries</t>
        </is>
      </c>
      <c r="B101" t="inlineStr">
        <is>
          <t>1500 lath-nails (lathenayl) bought for the same 11.5pence.</t>
        </is>
      </c>
      <c r="C101" t="n">
        <v>0.05</v>
      </c>
      <c r="D101" t="n">
        <v>0</v>
      </c>
      <c r="E101" t="n">
        <v>0</v>
      </c>
      <c r="F101" t="n">
        <v>11.5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Cost of buildings and small necessaries</t>
        </is>
      </c>
      <c r="B102" t="inlineStr">
        <is>
          <t>roofing the same barn 1 shilling Total, 6 shilling 5.5pence</t>
        </is>
      </c>
      <c r="C102" t="n">
        <v>0.07000000000000001</v>
      </c>
      <c r="D102" t="n">
        <v>0</v>
      </c>
      <c r="E102" t="n">
        <v>1</v>
      </c>
      <c r="F102" t="n">
        <v>5.5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Threshing and winnowing</t>
        </is>
      </c>
      <c r="B103" t="inlineStr">
        <is>
          <t>In threshing and winnowing 54 quarters 2 bushels of wheat with curall 10 shilling 1.25pence, at 2.25pence a quarters.</t>
        </is>
      </c>
      <c r="C103" t="n">
        <v>0.51</v>
      </c>
      <c r="D103" t="n">
        <v>0</v>
      </c>
      <c r="E103" t="n">
        <v>10</v>
      </c>
      <c r="F103" t="n">
        <v>1.25</v>
      </c>
      <c r="G103" t="inlineStr">
        <is>
          <t>curall, wheat</t>
        </is>
      </c>
      <c r="H103" t="n">
        <v>54</v>
      </c>
      <c r="I103" t="n">
        <v>2</v>
      </c>
      <c r="J103" t="n">
        <v>54.25</v>
      </c>
      <c r="K103" t="n">
        <v>54.25</v>
      </c>
      <c r="L103" t="n">
        <v>0</v>
      </c>
      <c r="M103" t="n">
        <v>54</v>
      </c>
      <c r="N103" t="n">
        <v>2</v>
      </c>
    </row>
    <row r="104">
      <c r="A104" t="inlineStr">
        <is>
          <t>Threshing and winnowing</t>
        </is>
      </c>
      <c r="B104" t="inlineStr">
        <is>
          <t>.</t>
        </is>
      </c>
      <c r="C104" t="n">
        <v>0</v>
      </c>
      <c r="D104" t="n">
        <v>0</v>
      </c>
      <c r="E104" t="n">
        <v>0</v>
      </c>
      <c r="F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Threshing and winnowing</t>
        </is>
      </c>
      <c r="B105" t="inlineStr">
        <is>
          <t>threshing and winnowing 51 quarters 6 bushels of barley 5 shilling 4pence, at 1.25pence a quarters.</t>
        </is>
      </c>
      <c r="C105" t="n">
        <v>0.27</v>
      </c>
      <c r="D105" t="n">
        <v>0</v>
      </c>
      <c r="E105" t="n">
        <v>5</v>
      </c>
      <c r="F105" t="n">
        <v>4</v>
      </c>
      <c r="G105" t="inlineStr">
        <is>
          <t>barley</t>
        </is>
      </c>
      <c r="H105" t="n">
        <v>51</v>
      </c>
      <c r="I105" t="n">
        <v>6</v>
      </c>
      <c r="J105" t="n">
        <v>51.75</v>
      </c>
      <c r="K105" t="n">
        <v>51.75</v>
      </c>
      <c r="L105" t="n">
        <v>0</v>
      </c>
      <c r="M105" t="n">
        <v>51</v>
      </c>
      <c r="N105" t="n">
        <v>6</v>
      </c>
    </row>
    <row r="106">
      <c r="A106" t="inlineStr">
        <is>
          <t>Threshing and winnowing</t>
        </is>
      </c>
      <c r="B106" t="inlineStr">
        <is>
          <t>Nothing from threshing beans this year because they were threshed by the manorial servants.</t>
        </is>
      </c>
      <c r="C106" t="n">
        <v>0</v>
      </c>
      <c r="D106" t="n">
        <v>0</v>
      </c>
      <c r="E106" t="n">
        <v>0</v>
      </c>
      <c r="F106" t="n">
        <v>0</v>
      </c>
      <c r="G106" t="inlineStr">
        <is>
          <t>beans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Threshing and winnowing</t>
        </is>
      </c>
      <c r="B107" t="inlineStr">
        <is>
          <t>.</t>
        </is>
      </c>
      <c r="C107" t="n">
        <v>0</v>
      </c>
      <c r="D107" t="n">
        <v>0</v>
      </c>
      <c r="E107" t="n">
        <v>0</v>
      </c>
      <c r="F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Threshing and winnowing</t>
        </is>
      </c>
      <c r="B108" t="inlineStr">
        <is>
          <t>8 quarters 1 bushels winnowed 2pence.</t>
        </is>
      </c>
      <c r="C108" t="n">
        <v>0.01</v>
      </c>
      <c r="D108" t="n">
        <v>0</v>
      </c>
      <c r="E108" t="n">
        <v>0</v>
      </c>
      <c r="F108" t="n">
        <v>2</v>
      </c>
      <c r="H108" t="n">
        <v>8</v>
      </c>
      <c r="I108" t="n">
        <v>1</v>
      </c>
      <c r="J108" t="n">
        <v>8.125</v>
      </c>
      <c r="K108" t="n">
        <v>8.125</v>
      </c>
      <c r="L108" t="n">
        <v>0</v>
      </c>
      <c r="M108" t="n">
        <v>8</v>
      </c>
      <c r="N108" t="n">
        <v>1</v>
      </c>
    </row>
    <row r="109">
      <c r="A109" t="inlineStr">
        <is>
          <t>Threshing and winnowing</t>
        </is>
      </c>
      <c r="B109" t="inlineStr">
        <is>
          <t>1 sack bought 8pence.</t>
        </is>
      </c>
      <c r="C109" t="n">
        <v>0.03</v>
      </c>
      <c r="D109" t="n">
        <v>0</v>
      </c>
      <c r="E109" t="n">
        <v>0</v>
      </c>
      <c r="F109" t="n">
        <v>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Threshing and winnowing</t>
        </is>
      </c>
      <c r="B110" t="inlineStr">
        <is>
          <t>remaking old sieves 2pence.</t>
        </is>
      </c>
      <c r="C110" t="n">
        <v>0.01</v>
      </c>
      <c r="D110" t="n">
        <v>0</v>
      </c>
      <c r="E110" t="n">
        <v>0</v>
      </c>
      <c r="F110" t="n">
        <v>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Threshing and winnowing</t>
        </is>
      </c>
      <c r="B111" t="inlineStr">
        <is>
          <t>making 1 winnowing-fan from the lord's own timber 8pence Total, 17 shilling 1.75pence</t>
        </is>
      </c>
      <c r="C111" t="n">
        <v>0.88</v>
      </c>
      <c r="D111" t="n">
        <v>0</v>
      </c>
      <c r="E111" t="n">
        <v>17</v>
      </c>
      <c r="F111" t="n">
        <v>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 xml:space="preserve">Harvest-time </t>
        </is>
      </c>
      <c r="B112" t="inlineStr">
        <is>
          <t>1 sickle bought 1 shilling.</t>
        </is>
      </c>
      <c r="C112" t="n">
        <v>0.05</v>
      </c>
      <c r="D112" t="n">
        <v>0</v>
      </c>
      <c r="E112" t="n">
        <v>1</v>
      </c>
      <c r="F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 xml:space="preserve">Harvest-time </t>
        </is>
      </c>
      <c r="B113" t="inlineStr">
        <is>
          <t>sharpening 3 sickles 2pence.</t>
        </is>
      </c>
      <c r="C113" t="n">
        <v>0.01</v>
      </c>
      <c r="D113" t="n">
        <v>0</v>
      </c>
      <c r="E113" t="n">
        <v>0</v>
      </c>
      <c r="F113" t="n">
        <v>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 xml:space="preserve">Harvest-time </t>
        </is>
      </c>
      <c r="B114" t="inlineStr">
        <is>
          <t>spreading and tossing the frinineeeadmoewn who were overseeing the reapers at 2 harvest boon-works as if for 1 day and 3 shilling 6pence.</t>
        </is>
      </c>
      <c r="C114" t="n">
        <v>0.17</v>
      </c>
      <c r="D114" t="n">
        <v>0</v>
      </c>
      <c r="E114" t="n">
        <v>3</v>
      </c>
      <c r="F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 xml:space="preserve">Harvest-time </t>
        </is>
      </c>
      <c r="B115" t="inlineStr">
        <is>
          <t>weeding corn 1 shilling 6pence.</t>
        </is>
      </c>
      <c r="C115" t="n">
        <v>0.08</v>
      </c>
      <c r="D115" t="n">
        <v>0</v>
      </c>
      <c r="E115" t="n">
        <v>1</v>
      </c>
      <c r="F115" t="n">
        <v>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 xml:space="preserve">Harvest-time </t>
        </is>
      </c>
      <c r="B116" t="inlineStr">
        <is>
          <t>relish and ale bought for 96 men with 8 having bread from the grange 8 shilling They reaped almost all the corn together with the other 2 boon-works which are without food, each thus taking 1.5pence a day.</t>
        </is>
      </c>
      <c r="C116" t="n">
        <v>0.41</v>
      </c>
      <c r="D116" t="n">
        <v>0</v>
      </c>
      <c r="E116" t="n">
        <v>8</v>
      </c>
      <c r="F116" t="n">
        <v>1.5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 xml:space="preserve">Harvest-time </t>
        </is>
      </c>
      <c r="B117" t="inlineStr">
        <is>
          <t>Total, 14 shilling 2pence</t>
        </is>
      </c>
      <c r="C117" t="n">
        <v>0.71</v>
      </c>
      <c r="D117" t="n">
        <v>0</v>
      </c>
      <c r="E117" t="n">
        <v>14</v>
      </c>
      <c r="F117" t="n">
        <v>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Wages</t>
        </is>
      </c>
      <c r="B118" t="inlineStr">
        <is>
          <t>In wages of Ralph, sergeant, from Sunday before the feast of St Vincent (21 January) until Michaelmas (29 September), for 36 weeks, £1 11 shilling 6pence, that is, 10.5pence every week.'.</t>
        </is>
      </c>
      <c r="C118" t="n">
        <v>1.57</v>
      </c>
      <c r="D118" t="n">
        <v>1</v>
      </c>
      <c r="E118" t="n">
        <v>11</v>
      </c>
      <c r="F118" t="n">
        <v>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Wages</t>
        </is>
      </c>
      <c r="B119" t="inlineStr">
        <is>
          <t>stipend of the same sergeant for the year 6 shilling 8pence Total, £1 18 shilling 2pence</t>
        </is>
      </c>
      <c r="C119" t="n">
        <v>1.91</v>
      </c>
      <c r="D119" t="n">
        <v>1</v>
      </c>
      <c r="E119" t="n">
        <v>18</v>
      </c>
      <c r="F119" t="n">
        <v>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Total of all expenses</t>
        </is>
      </c>
      <c r="B120" t="inlineStr">
        <is>
          <t>Total of all expenses, £17 12 shilling 0.25pence</t>
        </is>
      </c>
      <c r="C120" t="n">
        <v>17.6</v>
      </c>
      <c r="D120" t="n">
        <v>17</v>
      </c>
      <c r="E120" t="n">
        <v>12</v>
      </c>
      <c r="F120" t="n">
        <v>0.25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And he owes</t>
        </is>
      </c>
      <c r="B121" t="inlineStr">
        <is>
          <t>And he owes, £10 14 shilling 2.25pence</t>
        </is>
      </c>
      <c r="C121" t="n">
        <v>10.71</v>
      </c>
      <c r="D121" t="n">
        <v>10</v>
      </c>
      <c r="E121" t="n">
        <v>14</v>
      </c>
      <c r="F121" t="n">
        <v>2.25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Cash deliveries</t>
        </is>
      </c>
      <c r="B122" t="inlineStr">
        <is>
          <t>Delivered to Sir Geoffrey, treasurer of Wolvesey, by 1 tally, £2 10 shilling</t>
        </is>
      </c>
      <c r="C122" t="n">
        <v>2.5</v>
      </c>
      <c r="D122" t="n">
        <v>2</v>
      </c>
      <c r="E122" t="n">
        <v>10</v>
      </c>
      <c r="F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Cash deliveries</t>
        </is>
      </c>
      <c r="B123" t="inlineStr">
        <is>
          <t>And he owes clear, £8 4 shilling 2.25pence</t>
        </is>
      </c>
      <c r="C123" t="n">
        <v>8.210000000000001</v>
      </c>
      <c r="D123" t="n">
        <v>8</v>
      </c>
      <c r="E123" t="n">
        <v>4</v>
      </c>
      <c r="F123" t="n">
        <v>2.25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Wheat</t>
        </is>
      </c>
      <c r="B124" t="inlineStr">
        <is>
          <t>{yield: three-fold less 4 quarters 2 bushels}</t>
        </is>
      </c>
      <c r="C124" t="n">
        <v>0</v>
      </c>
      <c r="D124" t="n">
        <v>0</v>
      </c>
      <c r="E124" t="n">
        <v>0</v>
      </c>
      <c r="F124" t="n">
        <v>0</v>
      </c>
      <c r="H124" t="n">
        <v>4</v>
      </c>
      <c r="I124" t="n">
        <v>2</v>
      </c>
      <c r="J124" t="n">
        <v>4.25</v>
      </c>
      <c r="K124" t="n">
        <v>4.25</v>
      </c>
      <c r="L124" t="n">
        <v>0</v>
      </c>
      <c r="M124" t="n">
        <v>4</v>
      </c>
      <c r="N124" t="n">
        <v>2</v>
      </c>
    </row>
    <row r="125">
      <c r="A125" t="inlineStr">
        <is>
          <t>Wheat</t>
        </is>
      </c>
      <c r="B125" t="inlineStr">
        <is>
          <t>(Henceforth no corn should be withheld for the stipends of the manorial servants.</t>
        </is>
      </c>
      <c r="C125" t="n">
        <v>0</v>
      </c>
      <c r="D125" t="n">
        <v>0</v>
      </c>
      <c r="E125" t="n">
        <v>0</v>
      </c>
      <c r="F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Wheat</t>
        </is>
      </c>
      <c r="B126" t="inlineStr">
        <is>
          <t>that is, money should be withheld for them, the best price that is able to be had, so that all the lord's corn reaches the grange}</t>
        </is>
      </c>
      <c r="C126" t="n">
        <v>0</v>
      </c>
      <c r="D126" t="n">
        <v>0</v>
      </c>
      <c r="E126" t="n">
        <v>0</v>
      </c>
      <c r="F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Wheat</t>
        </is>
      </c>
      <c r="B127" t="inlineStr">
        <is>
          <t>The same render account for 64 quarters 6 bushels from the whole issue of wheat from the grange in the granary by struck measure.</t>
        </is>
      </c>
      <c r="C127" t="n">
        <v>0</v>
      </c>
      <c r="D127" t="n">
        <v>0</v>
      </c>
      <c r="E127" t="n">
        <v>0</v>
      </c>
      <c r="F127" t="n">
        <v>0</v>
      </c>
      <c r="G127" t="inlineStr">
        <is>
          <t>wheat</t>
        </is>
      </c>
      <c r="H127" t="n">
        <v>64</v>
      </c>
      <c r="I127" t="n">
        <v>6</v>
      </c>
      <c r="J127" t="n">
        <v>64.75</v>
      </c>
      <c r="K127" t="n">
        <v>64.75</v>
      </c>
      <c r="L127" t="n">
        <v>0</v>
      </c>
      <c r="M127" t="n">
        <v>64</v>
      </c>
      <c r="N127" t="n">
        <v>6</v>
      </c>
    </row>
    <row r="128">
      <c r="A128" t="inlineStr">
        <is>
          <t>Wheat</t>
        </is>
      </c>
      <c r="B128" t="inlineStr">
        <is>
          <t>7.5 quarters by estimation in sheaves given to the manorial servants.</t>
        </is>
      </c>
      <c r="C128" t="n">
        <v>0</v>
      </c>
      <c r="D128" t="n">
        <v>0</v>
      </c>
      <c r="E128" t="n">
        <v>0</v>
      </c>
      <c r="F128" t="n">
        <v>0</v>
      </c>
      <c r="H128" t="n">
        <v>7.5</v>
      </c>
      <c r="I128" t="n">
        <v>0</v>
      </c>
      <c r="J128" t="n">
        <v>7.5</v>
      </c>
      <c r="K128" t="n">
        <v>7.5</v>
      </c>
      <c r="L128" t="n">
        <v>0</v>
      </c>
      <c r="M128" t="n">
        <v>7.5</v>
      </c>
      <c r="N128" t="n">
        <v>0</v>
      </c>
    </row>
    <row r="129">
      <c r="A129" t="inlineStr">
        <is>
          <t>Wheat</t>
        </is>
      </c>
      <c r="B129" t="inlineStr">
        <is>
          <t>20 quarters 1 bushels bought.</t>
        </is>
      </c>
      <c r="C129" t="n">
        <v>0</v>
      </c>
      <c r="D129" t="n">
        <v>0</v>
      </c>
      <c r="E129" t="n">
        <v>0</v>
      </c>
      <c r="F129" t="n">
        <v>0</v>
      </c>
      <c r="H129" t="n">
        <v>20</v>
      </c>
      <c r="I129" t="n">
        <v>1</v>
      </c>
      <c r="J129" t="n">
        <v>20.125</v>
      </c>
      <c r="K129" t="n">
        <v>20.125</v>
      </c>
      <c r="L129" t="n">
        <v>0</v>
      </c>
      <c r="M129" t="n">
        <v>20</v>
      </c>
      <c r="N129" t="n">
        <v>1</v>
      </c>
    </row>
    <row r="130">
      <c r="A130" t="inlineStr">
        <is>
          <t>Wheat</t>
        </is>
      </c>
      <c r="B130" t="inlineStr">
        <is>
          <t>Total, 92 quarters 3 bushels</t>
        </is>
      </c>
      <c r="C130" t="n">
        <v>0</v>
      </c>
      <c r="D130" t="n">
        <v>0</v>
      </c>
      <c r="E130" t="n">
        <v>0</v>
      </c>
      <c r="F130" t="n">
        <v>0</v>
      </c>
      <c r="H130" t="n">
        <v>92</v>
      </c>
      <c r="I130" t="n">
        <v>3</v>
      </c>
      <c r="J130" t="n">
        <v>92.375</v>
      </c>
      <c r="K130" t="n">
        <v>92.375</v>
      </c>
      <c r="L130" t="n">
        <v>0</v>
      </c>
      <c r="M130" t="n">
        <v>92</v>
      </c>
      <c r="N130" t="n">
        <v>3</v>
      </c>
    </row>
    <row r="131">
      <c r="A131" t="inlineStr">
        <is>
          <t>Wheat</t>
        </is>
      </c>
      <c r="B131" t="inlineStr">
        <is>
          <t>Sown over 94 acres measured by the perch which lie in the fields of Buryfurlong, Rodelond, Cheldebreth', Langilond', Stockyng', Berhgforlong, Sevenacr', and Annaysbuttes, 35 quarters 1 bushels.</t>
        </is>
      </c>
      <c r="C131" t="n">
        <v>0</v>
      </c>
      <c r="D131" t="n">
        <v>0</v>
      </c>
      <c r="E131" t="n">
        <v>0</v>
      </c>
      <c r="F131" t="n">
        <v>0</v>
      </c>
      <c r="H131" t="n">
        <v>35</v>
      </c>
      <c r="I131" t="n">
        <v>1</v>
      </c>
      <c r="J131" t="n">
        <v>35.125</v>
      </c>
      <c r="K131" t="n">
        <v>35.125</v>
      </c>
      <c r="L131" t="n">
        <v>0</v>
      </c>
      <c r="M131" t="n">
        <v>35</v>
      </c>
      <c r="N131" t="n">
        <v>1</v>
      </c>
    </row>
    <row r="132">
      <c r="A132" t="inlineStr">
        <is>
          <t>Wheat</t>
        </is>
      </c>
      <c r="B132" t="inlineStr">
        <is>
          <t>that is, 3 bushels an acre, less 1 bushels in all.</t>
        </is>
      </c>
      <c r="C132" t="n">
        <v>0</v>
      </c>
      <c r="D132" t="n">
        <v>0</v>
      </c>
      <c r="E132" t="n">
        <v>0</v>
      </c>
      <c r="F132" t="n">
        <v>0</v>
      </c>
      <c r="H132" t="n">
        <v>0</v>
      </c>
      <c r="I132" t="n">
        <v>1</v>
      </c>
      <c r="J132" t="n">
        <v>0.125</v>
      </c>
      <c r="K132" t="n">
        <v>0.375</v>
      </c>
      <c r="L132" t="n">
        <v>-0.25</v>
      </c>
      <c r="M132" t="n">
        <v>0</v>
      </c>
      <c r="N132" t="n">
        <v>3</v>
      </c>
      <c r="O132" t="n">
        <v>0</v>
      </c>
      <c r="P132" t="n">
        <v>1</v>
      </c>
    </row>
    <row r="133">
      <c r="A133" t="inlineStr">
        <is>
          <t>Wheat</t>
        </is>
      </c>
      <c r="B133" t="inlineStr">
        <is>
          <t>.</t>
        </is>
      </c>
      <c r="C133" t="n">
        <v>0</v>
      </c>
      <c r="D133" t="n">
        <v>0</v>
      </c>
      <c r="E133" t="n">
        <v>0</v>
      </c>
      <c r="F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Wheat</t>
        </is>
      </c>
      <c r="B134" t="inlineStr">
        <is>
          <t>bread for 2 harvest boon-works, 1 quarters.</t>
        </is>
      </c>
      <c r="C134" t="n">
        <v>0</v>
      </c>
      <c r="D134" t="n">
        <v>0</v>
      </c>
      <c r="E134" t="n">
        <v>0</v>
      </c>
      <c r="F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0</v>
      </c>
      <c r="M134" t="n">
        <v>1</v>
      </c>
      <c r="N134" t="n">
        <v>0</v>
      </c>
    </row>
    <row r="135">
      <c r="A135" t="inlineStr">
        <is>
          <t>Wheat</t>
        </is>
      </c>
      <c r="B135" t="inlineStr">
        <is>
          <t>Given to 6 manorial servants this year, that is, 1 carter, 3 oxherds, 1 cowherd, 1 shepherd, for their stipends in summer by estimation in sheaves, 7.5 quarters, or 1 quarters 2 bushels each.</t>
        </is>
      </c>
      <c r="C135" t="n">
        <v>0</v>
      </c>
      <c r="D135" t="n">
        <v>0</v>
      </c>
      <c r="E135" t="n">
        <v>0</v>
      </c>
      <c r="F135" t="n">
        <v>0</v>
      </c>
      <c r="H135" t="n">
        <v>1</v>
      </c>
      <c r="I135" t="n">
        <v>2</v>
      </c>
      <c r="J135" t="n">
        <v>1.25</v>
      </c>
      <c r="K135" t="n">
        <v>7.5</v>
      </c>
      <c r="L135" t="n">
        <v>-6.25</v>
      </c>
      <c r="M135" t="n">
        <v>7.5</v>
      </c>
      <c r="N135" t="n">
        <v>0</v>
      </c>
      <c r="O135" t="n">
        <v>1</v>
      </c>
      <c r="P135" t="n">
        <v>2</v>
      </c>
    </row>
    <row r="136">
      <c r="A136" t="inlineStr">
        <is>
          <t>Wheat</t>
        </is>
      </c>
      <c r="B136" t="inlineStr">
        <is>
          <t>Sold as noted above, 48 quarters 6 bushels</t>
        </is>
      </c>
      <c r="C136" t="n">
        <v>0</v>
      </c>
      <c r="D136" t="n">
        <v>0</v>
      </c>
      <c r="E136" t="n">
        <v>0</v>
      </c>
      <c r="F136" t="n">
        <v>0</v>
      </c>
      <c r="H136" t="n">
        <v>48</v>
      </c>
      <c r="I136" t="n">
        <v>6</v>
      </c>
      <c r="J136" t="n">
        <v>48.75</v>
      </c>
      <c r="K136" t="n">
        <v>48.75</v>
      </c>
      <c r="L136" t="n">
        <v>0</v>
      </c>
      <c r="M136" t="n">
        <v>48</v>
      </c>
      <c r="N136" t="n">
        <v>6</v>
      </c>
    </row>
    <row r="137">
      <c r="A137" t="inlineStr">
        <is>
          <t>Curall</t>
        </is>
      </c>
      <c r="B137" t="inlineStr">
        <is>
          <t>The same render account for 13.5 quarters from the whole issue of curall of the same wheat from the grange in the granary by struck measure.</t>
        </is>
      </c>
      <c r="C137" t="n">
        <v>0</v>
      </c>
      <c r="D137" t="n">
        <v>0</v>
      </c>
      <c r="E137" t="n">
        <v>0</v>
      </c>
      <c r="F137" t="n">
        <v>0</v>
      </c>
      <c r="G137" t="inlineStr">
        <is>
          <t>curall, wheat</t>
        </is>
      </c>
      <c r="H137" t="n">
        <v>13.5</v>
      </c>
      <c r="I137" t="n">
        <v>0</v>
      </c>
      <c r="J137" t="n">
        <v>13.5</v>
      </c>
      <c r="K137" t="n">
        <v>13.5</v>
      </c>
      <c r="L137" t="n">
        <v>0</v>
      </c>
      <c r="M137" t="n">
        <v>13.5</v>
      </c>
      <c r="N137" t="n">
        <v>0</v>
      </c>
    </row>
    <row r="138">
      <c r="A138" t="inlineStr">
        <is>
          <t>Curall</t>
        </is>
      </c>
      <c r="B138" t="inlineStr">
        <is>
          <t>mixed below with beans for the liveries of the manorial servants, 13.5 quarters.</t>
        </is>
      </c>
      <c r="C138" t="n">
        <v>0</v>
      </c>
      <c r="D138" t="n">
        <v>0</v>
      </c>
      <c r="E138" t="n">
        <v>0</v>
      </c>
      <c r="F138" t="n">
        <v>0</v>
      </c>
      <c r="G138" t="inlineStr">
        <is>
          <t>beans</t>
        </is>
      </c>
      <c r="H138" t="n">
        <v>13.5</v>
      </c>
      <c r="I138" t="n">
        <v>0</v>
      </c>
      <c r="J138" t="n">
        <v>13.5</v>
      </c>
      <c r="K138" t="n">
        <v>13.5</v>
      </c>
      <c r="L138" t="n">
        <v>0</v>
      </c>
      <c r="M138" t="n">
        <v>13.5</v>
      </c>
      <c r="N138" t="n">
        <v>0</v>
      </c>
    </row>
    <row r="139">
      <c r="A139" t="inlineStr">
        <is>
          <t>Barley</t>
        </is>
      </c>
      <c r="B139" t="inlineStr">
        <is>
          <t>(yield: 4.5-fold plus 5.5 bushels}</t>
        </is>
      </c>
      <c r="C139" t="n">
        <v>0</v>
      </c>
      <c r="D139" t="n">
        <v>0</v>
      </c>
      <c r="E139" t="n">
        <v>0</v>
      </c>
      <c r="F139" t="n">
        <v>0</v>
      </c>
      <c r="H139" t="n">
        <v>0</v>
      </c>
      <c r="I139" t="n">
        <v>5.5</v>
      </c>
      <c r="J139" t="n">
        <v>0.6875</v>
      </c>
      <c r="K139" t="n">
        <v>0.6875</v>
      </c>
      <c r="L139" t="n">
        <v>0</v>
      </c>
      <c r="M139" t="n">
        <v>0</v>
      </c>
      <c r="N139" t="n">
        <v>5.5</v>
      </c>
    </row>
    <row r="140">
      <c r="A140" t="inlineStr">
        <is>
          <t>Barley</t>
        </is>
      </c>
      <c r="B140" t="inlineStr">
        <is>
          <t>The same render account for 65 quarters 3 bushels from the whole issue of barley and dredge from the grange in the granary by struck measure.</t>
        </is>
      </c>
      <c r="C140" t="n">
        <v>0</v>
      </c>
      <c r="D140" t="n">
        <v>0</v>
      </c>
      <c r="E140" t="n">
        <v>0</v>
      </c>
      <c r="F140" t="n">
        <v>0</v>
      </c>
      <c r="G140" t="inlineStr">
        <is>
          <t>barley</t>
        </is>
      </c>
      <c r="H140" t="n">
        <v>65</v>
      </c>
      <c r="I140" t="n">
        <v>3</v>
      </c>
      <c r="J140" t="n">
        <v>65.375</v>
      </c>
      <c r="K140" t="n">
        <v>65.375</v>
      </c>
      <c r="L140" t="n">
        <v>0</v>
      </c>
      <c r="M140" t="n">
        <v>65</v>
      </c>
      <c r="N140" t="n">
        <v>3</v>
      </c>
    </row>
    <row r="141">
      <c r="A141" t="inlineStr">
        <is>
          <t>Barley</t>
        </is>
      </c>
      <c r="B141" t="inlineStr">
        <is>
          <t>Sown over 48.5 acres measured by the perch which lie in Eldefeld', Gores and Buttes, 24 quarters 1 bushels.</t>
        </is>
      </c>
      <c r="C141" t="n">
        <v>0</v>
      </c>
      <c r="D141" t="n">
        <v>0</v>
      </c>
      <c r="E141" t="n">
        <v>0</v>
      </c>
      <c r="F141" t="n">
        <v>0</v>
      </c>
      <c r="H141" t="n">
        <v>24</v>
      </c>
      <c r="I141" t="n">
        <v>1</v>
      </c>
      <c r="J141" t="n">
        <v>24.125</v>
      </c>
      <c r="K141" t="n">
        <v>24.125</v>
      </c>
      <c r="L141" t="n">
        <v>0</v>
      </c>
      <c r="M141" t="n">
        <v>24</v>
      </c>
      <c r="N141" t="n">
        <v>1</v>
      </c>
    </row>
    <row r="142">
      <c r="A142" t="inlineStr">
        <is>
          <t>Barley</t>
        </is>
      </c>
      <c r="B142" t="inlineStr">
        <is>
          <t>that is, .5 quarters an acre.</t>
        </is>
      </c>
      <c r="C142" t="n">
        <v>0</v>
      </c>
      <c r="D142" t="n">
        <v>0</v>
      </c>
      <c r="E142" t="n">
        <v>0</v>
      </c>
      <c r="F142" t="n">
        <v>0</v>
      </c>
      <c r="H142" t="n">
        <v>5</v>
      </c>
      <c r="I142" t="n">
        <v>0</v>
      </c>
      <c r="J142" t="n">
        <v>5</v>
      </c>
      <c r="K142" t="n">
        <v>5</v>
      </c>
      <c r="L142" t="n">
        <v>0</v>
      </c>
      <c r="M142" t="n">
        <v>5</v>
      </c>
      <c r="N142" t="n">
        <v>0</v>
      </c>
    </row>
    <row r="143">
      <c r="A143" t="inlineStr">
        <is>
          <t>Barley</t>
        </is>
      </c>
      <c r="B143" t="inlineStr">
        <is>
          <t>Mixed below with beans for the liveries of the manorial servants 8 quarters 5 bushels Sold as noted above, 32.5 quarters 1 bushels</t>
        </is>
      </c>
      <c r="C143" t="n">
        <v>0</v>
      </c>
      <c r="D143" t="n">
        <v>0</v>
      </c>
      <c r="E143" t="n">
        <v>0</v>
      </c>
      <c r="F143" t="n">
        <v>0</v>
      </c>
      <c r="G143" t="inlineStr">
        <is>
          <t>beans</t>
        </is>
      </c>
      <c r="H143" t="n">
        <v>32.5</v>
      </c>
      <c r="I143" t="n">
        <v>1</v>
      </c>
      <c r="J143" t="n">
        <v>32.625</v>
      </c>
      <c r="K143" t="n">
        <v>8.625</v>
      </c>
      <c r="L143" t="n">
        <v>24</v>
      </c>
      <c r="M143" t="n">
        <v>8</v>
      </c>
      <c r="N143" t="n">
        <v>5</v>
      </c>
      <c r="O143" t="n">
        <v>32.5</v>
      </c>
      <c r="P143" t="n">
        <v>1</v>
      </c>
    </row>
    <row r="144">
      <c r="A144" t="inlineStr">
        <is>
          <t>Oats</t>
        </is>
      </c>
      <c r="B144" t="inlineStr">
        <is>
          <t>{yield: three-fold less 7 bushels}</t>
        </is>
      </c>
      <c r="C144" t="n">
        <v>0</v>
      </c>
      <c r="D144" t="n">
        <v>0</v>
      </c>
      <c r="E144" t="n">
        <v>0</v>
      </c>
      <c r="F144" t="n">
        <v>0</v>
      </c>
      <c r="H144" t="n">
        <v>0</v>
      </c>
      <c r="I144" t="n">
        <v>7</v>
      </c>
      <c r="J144" t="n">
        <v>0.875</v>
      </c>
      <c r="K144" t="n">
        <v>0.875</v>
      </c>
      <c r="L144" t="n">
        <v>0</v>
      </c>
      <c r="M144" t="n">
        <v>0</v>
      </c>
      <c r="N144" t="n">
        <v>7</v>
      </c>
    </row>
    <row r="145">
      <c r="A145" t="inlineStr">
        <is>
          <t>Oats</t>
        </is>
      </c>
      <c r="B145" t="inlineStr">
        <is>
          <t>The same render account for 2 quarters 7 bushels from the whole issue of oats from the grange in the granary by struck measure.</t>
        </is>
      </c>
      <c r="C145" t="n">
        <v>0</v>
      </c>
      <c r="D145" t="n">
        <v>0</v>
      </c>
      <c r="E145" t="n">
        <v>0</v>
      </c>
      <c r="F145" t="n">
        <v>0</v>
      </c>
      <c r="G145" t="inlineStr">
        <is>
          <t>oats</t>
        </is>
      </c>
      <c r="H145" t="n">
        <v>2</v>
      </c>
      <c r="I145" t="n">
        <v>7</v>
      </c>
      <c r="J145" t="n">
        <v>2.875</v>
      </c>
      <c r="K145" t="n">
        <v>2.875</v>
      </c>
      <c r="L145" t="n">
        <v>0</v>
      </c>
      <c r="M145" t="n">
        <v>2</v>
      </c>
      <c r="N145" t="n">
        <v>7</v>
      </c>
    </row>
    <row r="146">
      <c r="A146" t="inlineStr">
        <is>
          <t>Oats</t>
        </is>
      </c>
      <c r="B146" t="inlineStr">
        <is>
          <t>6 quarters of oats by estimation in sheaves given to the manorial servants.</t>
        </is>
      </c>
      <c r="C146" t="n">
        <v>0</v>
      </c>
      <c r="D146" t="n">
        <v>0</v>
      </c>
      <c r="E146" t="n">
        <v>0</v>
      </c>
      <c r="F146" t="n">
        <v>0</v>
      </c>
      <c r="G146" t="inlineStr">
        <is>
          <t>oats</t>
        </is>
      </c>
      <c r="H146" t="n">
        <v>6</v>
      </c>
      <c r="I146" t="n">
        <v>0</v>
      </c>
      <c r="J146" t="n">
        <v>6</v>
      </c>
      <c r="K146" t="n">
        <v>6</v>
      </c>
      <c r="L146" t="n">
        <v>0</v>
      </c>
      <c r="M146" t="n">
        <v>6</v>
      </c>
      <c r="N146" t="n">
        <v>0</v>
      </c>
    </row>
    <row r="147">
      <c r="A147" t="inlineStr">
        <is>
          <t>Oats</t>
        </is>
      </c>
      <c r="B147" t="inlineStr">
        <is>
          <t>2.5 quarters bought.</t>
        </is>
      </c>
      <c r="C147" t="n">
        <v>0</v>
      </c>
      <c r="D147" t="n">
        <v>0</v>
      </c>
      <c r="E147" t="n">
        <v>0</v>
      </c>
      <c r="F147" t="n">
        <v>0</v>
      </c>
      <c r="H147" t="n">
        <v>2.5</v>
      </c>
      <c r="I147" t="n">
        <v>0</v>
      </c>
      <c r="J147" t="n">
        <v>2.5</v>
      </c>
      <c r="K147" t="n">
        <v>2.5</v>
      </c>
      <c r="L147" t="n">
        <v>0</v>
      </c>
      <c r="M147" t="n">
        <v>2.5</v>
      </c>
      <c r="N147" t="n">
        <v>0</v>
      </c>
    </row>
    <row r="148">
      <c r="A148" t="inlineStr">
        <is>
          <t>Oats</t>
        </is>
      </c>
      <c r="B148" t="inlineStr">
        <is>
          <t>Total, 11 quarters 3 bushels</t>
        </is>
      </c>
      <c r="C148" t="n">
        <v>0</v>
      </c>
      <c r="D148" t="n">
        <v>0</v>
      </c>
      <c r="E148" t="n">
        <v>0</v>
      </c>
      <c r="F148" t="n">
        <v>0</v>
      </c>
      <c r="H148" t="n">
        <v>11</v>
      </c>
      <c r="I148" t="n">
        <v>3</v>
      </c>
      <c r="J148" t="n">
        <v>11.375</v>
      </c>
      <c r="K148" t="n">
        <v>11.375</v>
      </c>
      <c r="L148" t="n">
        <v>0</v>
      </c>
      <c r="M148" t="n">
        <v>11</v>
      </c>
      <c r="N148" t="n">
        <v>3</v>
      </c>
    </row>
    <row r="149">
      <c r="A149" t="inlineStr">
        <is>
          <t>Oats</t>
        </is>
      </c>
      <c r="B149" t="inlineStr">
        <is>
          <t>Sown over 3 acres measured by the perch which lie below Bereth', 2 quarters 2 bushels.</t>
        </is>
      </c>
      <c r="C149" t="n">
        <v>0</v>
      </c>
      <c r="D149" t="n">
        <v>0</v>
      </c>
      <c r="E149" t="n">
        <v>0</v>
      </c>
      <c r="F149" t="n">
        <v>0</v>
      </c>
      <c r="H149" t="n">
        <v>2</v>
      </c>
      <c r="I149" t="n">
        <v>2</v>
      </c>
      <c r="J149" t="n">
        <v>2.25</v>
      </c>
      <c r="K149" t="n">
        <v>2.25</v>
      </c>
      <c r="L149" t="n">
        <v>0</v>
      </c>
      <c r="M149" t="n">
        <v>2</v>
      </c>
      <c r="N149" t="n">
        <v>2</v>
      </c>
    </row>
    <row r="150">
      <c r="A150" t="inlineStr">
        <is>
          <t>Oats</t>
        </is>
      </c>
      <c r="B150" t="inlineStr">
        <is>
          <t>that is, 6 bushels an acre.</t>
        </is>
      </c>
      <c r="C150" t="n">
        <v>0</v>
      </c>
      <c r="D150" t="n">
        <v>0</v>
      </c>
      <c r="E150" t="n">
        <v>0</v>
      </c>
      <c r="F150" t="n">
        <v>0</v>
      </c>
      <c r="H150" t="n">
        <v>0</v>
      </c>
      <c r="I150" t="n">
        <v>6</v>
      </c>
      <c r="J150" t="n">
        <v>0.75</v>
      </c>
      <c r="K150" t="n">
        <v>0.75</v>
      </c>
      <c r="L150" t="n">
        <v>0</v>
      </c>
      <c r="M150" t="n">
        <v>0</v>
      </c>
      <c r="N150" t="n">
        <v>6</v>
      </c>
    </row>
    <row r="151">
      <c r="A151" t="inlineStr">
        <is>
          <t>Oats</t>
        </is>
      </c>
      <c r="B151" t="inlineStr">
        <is>
          <t>Given to 6 manorial servants, that is, 1 carter, 3 oxherds, 1 cowherd and 1 shepherd, for their stipends for .5 year in summer by estimation in sheaves, 6 quarters, or 1 quarters each.</t>
        </is>
      </c>
      <c r="C151" t="n">
        <v>0</v>
      </c>
      <c r="D151" t="n">
        <v>0</v>
      </c>
      <c r="E151" t="n">
        <v>0</v>
      </c>
      <c r="F151" t="n">
        <v>0</v>
      </c>
      <c r="H151" t="n">
        <v>1</v>
      </c>
      <c r="I151" t="n">
        <v>0</v>
      </c>
      <c r="J151" t="n">
        <v>1</v>
      </c>
      <c r="K151" t="n">
        <v>6</v>
      </c>
      <c r="L151" t="n">
        <v>-5</v>
      </c>
      <c r="M151" t="n">
        <v>6</v>
      </c>
      <c r="N151" t="n">
        <v>0</v>
      </c>
      <c r="O151" t="n">
        <v>1</v>
      </c>
      <c r="P151" t="n">
        <v>0</v>
      </c>
    </row>
    <row r="152">
      <c r="A152" t="inlineStr">
        <is>
          <t>Oats</t>
        </is>
      </c>
      <c r="B152" t="inlineStr">
        <is>
          <t>.</t>
        </is>
      </c>
      <c r="C152" t="n">
        <v>0</v>
      </c>
      <c r="D152" t="n">
        <v>0</v>
      </c>
      <c r="E152" t="n">
        <v>0</v>
      </c>
      <c r="F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Oats</t>
        </is>
      </c>
      <c r="B153" t="inlineStr">
        <is>
          <t>fodder of 2 plough-horses hauling ploughs and harrows for the year, 3 quarters 1 bushels</t>
        </is>
      </c>
      <c r="C153" t="n">
        <v>0</v>
      </c>
      <c r="D153" t="n">
        <v>0</v>
      </c>
      <c r="E153" t="n">
        <v>0</v>
      </c>
      <c r="F153" t="n">
        <v>0</v>
      </c>
      <c r="H153" t="n">
        <v>3</v>
      </c>
      <c r="I153" t="n">
        <v>1</v>
      </c>
      <c r="J153" t="n">
        <v>3.125</v>
      </c>
      <c r="K153" t="n">
        <v>3.125</v>
      </c>
      <c r="L153" t="n">
        <v>0</v>
      </c>
      <c r="M153" t="n">
        <v>3</v>
      </c>
      <c r="N153" t="n">
        <v>1</v>
      </c>
    </row>
    <row r="154">
      <c r="A154" t="inlineStr">
        <is>
          <t>Beans</t>
        </is>
      </c>
      <c r="B154" t="inlineStr">
        <is>
          <t>{yield: four-fold less 1.5 quarters 3 bushels)</t>
        </is>
      </c>
      <c r="C154" t="n">
        <v>0</v>
      </c>
      <c r="D154" t="n">
        <v>0</v>
      </c>
      <c r="E154" t="n">
        <v>0</v>
      </c>
      <c r="F154" t="n">
        <v>0</v>
      </c>
      <c r="H154" t="n">
        <v>1.5</v>
      </c>
      <c r="I154" t="n">
        <v>3</v>
      </c>
      <c r="J154" t="n">
        <v>1.875</v>
      </c>
      <c r="K154" t="n">
        <v>1.875</v>
      </c>
      <c r="L154" t="n">
        <v>0</v>
      </c>
      <c r="M154" t="n">
        <v>1.5</v>
      </c>
      <c r="N154" t="n">
        <v>3</v>
      </c>
    </row>
    <row r="155">
      <c r="A155" t="inlineStr">
        <is>
          <t>Beans</t>
        </is>
      </c>
      <c r="B155" t="inlineStr">
        <is>
          <t>The same render account for 11 quarters 5 bushels remaining from the previous year.</t>
        </is>
      </c>
      <c r="C155" t="n">
        <v>0</v>
      </c>
      <c r="D155" t="n">
        <v>0</v>
      </c>
      <c r="E155" t="n">
        <v>0</v>
      </c>
      <c r="F155" t="n">
        <v>0</v>
      </c>
      <c r="H155" t="n">
        <v>11</v>
      </c>
      <c r="I155" t="n">
        <v>5</v>
      </c>
      <c r="J155" t="n">
        <v>11.625</v>
      </c>
      <c r="K155" t="n">
        <v>11.625</v>
      </c>
      <c r="L155" t="n">
        <v>0</v>
      </c>
      <c r="M155" t="n">
        <v>11</v>
      </c>
      <c r="N155" t="n">
        <v>5</v>
      </c>
    </row>
    <row r="156">
      <c r="A156" t="inlineStr">
        <is>
          <t>Beans</t>
        </is>
      </c>
      <c r="B156" t="inlineStr">
        <is>
          <t>10 quarters 1 bushels from the whole issue from the grange in the granary by struck measure, because a certain part of 1 stack of beans was sold wholesale.</t>
        </is>
      </c>
      <c r="C156" t="n">
        <v>0</v>
      </c>
      <c r="D156" t="n">
        <v>0</v>
      </c>
      <c r="E156" t="n">
        <v>0</v>
      </c>
      <c r="F156" t="n">
        <v>0</v>
      </c>
      <c r="G156" t="inlineStr">
        <is>
          <t>beans</t>
        </is>
      </c>
      <c r="H156" t="n">
        <v>10</v>
      </c>
      <c r="I156" t="n">
        <v>1</v>
      </c>
      <c r="J156" t="n">
        <v>10.125</v>
      </c>
      <c r="K156" t="n">
        <v>10.125</v>
      </c>
      <c r="L156" t="n">
        <v>0</v>
      </c>
      <c r="M156" t="n">
        <v>10</v>
      </c>
      <c r="N156" t="n">
        <v>1</v>
      </c>
    </row>
    <row r="157">
      <c r="A157" t="inlineStr">
        <is>
          <t>Beans</t>
        </is>
      </c>
      <c r="B157" t="inlineStr">
        <is>
          <t>13.5 quarters of curall received above and mixed with that for the liveries of the manorial servants.</t>
        </is>
      </c>
      <c r="C157" t="n">
        <v>0</v>
      </c>
      <c r="D157" t="n">
        <v>0</v>
      </c>
      <c r="E157" t="n">
        <v>0</v>
      </c>
      <c r="F157" t="n">
        <v>0</v>
      </c>
      <c r="G157" t="inlineStr">
        <is>
          <t>curall</t>
        </is>
      </c>
      <c r="H157" t="n">
        <v>13.5</v>
      </c>
      <c r="I157" t="n">
        <v>0</v>
      </c>
      <c r="J157" t="n">
        <v>13.5</v>
      </c>
      <c r="K157" t="n">
        <v>13.5</v>
      </c>
      <c r="L157" t="n">
        <v>0</v>
      </c>
      <c r="M157" t="n">
        <v>13.5</v>
      </c>
      <c r="N157" t="n">
        <v>0</v>
      </c>
    </row>
    <row r="158">
      <c r="A158" t="inlineStr">
        <is>
          <t>Beans</t>
        </is>
      </c>
      <c r="B158" t="inlineStr">
        <is>
          <t>8 quarters 5 bushels of barley received above and mixed with that for same.</t>
        </is>
      </c>
      <c r="C158" t="n">
        <v>0</v>
      </c>
      <c r="D158" t="n">
        <v>0</v>
      </c>
      <c r="E158" t="n">
        <v>0</v>
      </c>
      <c r="F158" t="n">
        <v>0</v>
      </c>
      <c r="G158" t="inlineStr">
        <is>
          <t>barley</t>
        </is>
      </c>
      <c r="H158" t="n">
        <v>8</v>
      </c>
      <c r="I158" t="n">
        <v>5</v>
      </c>
      <c r="J158" t="n">
        <v>8.625</v>
      </c>
      <c r="K158" t="n">
        <v>8.625</v>
      </c>
      <c r="L158" t="n">
        <v>0</v>
      </c>
      <c r="M158" t="n">
        <v>8</v>
      </c>
      <c r="N158" t="n">
        <v>5</v>
      </c>
    </row>
    <row r="159">
      <c r="A159" t="inlineStr">
        <is>
          <t>Beans</t>
        </is>
      </c>
      <c r="B159" t="inlineStr">
        <is>
          <t>Total, 43 quarters 7 bushels</t>
        </is>
      </c>
      <c r="C159" t="n">
        <v>0</v>
      </c>
      <c r="D159" t="n">
        <v>0</v>
      </c>
      <c r="E159" t="n">
        <v>0</v>
      </c>
      <c r="F159" t="n">
        <v>0</v>
      </c>
      <c r="H159" t="n">
        <v>43</v>
      </c>
      <c r="I159" t="n">
        <v>7</v>
      </c>
      <c r="J159" t="n">
        <v>43.875</v>
      </c>
      <c r="K159" t="n">
        <v>43.875</v>
      </c>
      <c r="L159" t="n">
        <v>0</v>
      </c>
      <c r="M159" t="n">
        <v>43</v>
      </c>
      <c r="N159" t="n">
        <v>7</v>
      </c>
    </row>
    <row r="160">
      <c r="A160" t="inlineStr">
        <is>
          <t>Beans</t>
        </is>
      </c>
      <c r="B160" t="inlineStr">
        <is>
          <t>Sown over 13.5 acres measured by the perch which lie above Bereth' and Wykmedforlondg', 5 quarters 1 bushels.</t>
        </is>
      </c>
      <c r="C160" t="n">
        <v>0</v>
      </c>
      <c r="D160" t="n">
        <v>0</v>
      </c>
      <c r="E160" t="n">
        <v>0</v>
      </c>
      <c r="F160" t="n">
        <v>0</v>
      </c>
      <c r="H160" t="n">
        <v>5</v>
      </c>
      <c r="I160" t="n">
        <v>1</v>
      </c>
      <c r="J160" t="n">
        <v>5.125</v>
      </c>
      <c r="K160" t="n">
        <v>5.125</v>
      </c>
      <c r="L160" t="n">
        <v>0</v>
      </c>
      <c r="M160" t="n">
        <v>5</v>
      </c>
      <c r="N160" t="n">
        <v>1</v>
      </c>
    </row>
    <row r="161">
      <c r="A161" t="inlineStr">
        <is>
          <t>Beans</t>
        </is>
      </c>
      <c r="B161" t="inlineStr">
        <is>
          <t>that is, 3 bushels an acre, plus .5 bushels in all.</t>
        </is>
      </c>
      <c r="C161" t="n">
        <v>0</v>
      </c>
      <c r="D161" t="n">
        <v>0</v>
      </c>
      <c r="E161" t="n">
        <v>0</v>
      </c>
      <c r="F161" t="n">
        <v>0</v>
      </c>
      <c r="H161" t="n">
        <v>0</v>
      </c>
      <c r="I161" t="n">
        <v>5</v>
      </c>
      <c r="J161" t="n">
        <v>0.625</v>
      </c>
      <c r="K161" t="n">
        <v>0.375</v>
      </c>
      <c r="L161" t="n">
        <v>0.25</v>
      </c>
      <c r="M161" t="n">
        <v>0</v>
      </c>
      <c r="N161" t="n">
        <v>3</v>
      </c>
      <c r="O161" t="n">
        <v>0</v>
      </c>
      <c r="P161" t="n">
        <v>5</v>
      </c>
    </row>
    <row r="162">
      <c r="A162" t="inlineStr">
        <is>
          <t>Beans</t>
        </is>
      </c>
      <c r="B162" t="inlineStr">
        <is>
          <t>Delivered to 1 carter, 3 drovers, who each take a quarter every 8 weeks for the year, 26 quarters.</t>
        </is>
      </c>
      <c r="C162" t="n">
        <v>0</v>
      </c>
      <c r="D162" t="n">
        <v>0</v>
      </c>
      <c r="E162" t="n">
        <v>0</v>
      </c>
      <c r="F162" t="n">
        <v>0</v>
      </c>
      <c r="H162" t="n">
        <v>26</v>
      </c>
      <c r="I162" t="n">
        <v>0</v>
      </c>
      <c r="J162" t="n">
        <v>26</v>
      </c>
      <c r="K162" t="n">
        <v>26</v>
      </c>
      <c r="L162" t="n">
        <v>0</v>
      </c>
      <c r="M162" t="n">
        <v>26</v>
      </c>
      <c r="N162" t="n">
        <v>0</v>
      </c>
    </row>
    <row r="163">
      <c r="A163" t="inlineStr">
        <is>
          <t>Beans</t>
        </is>
      </c>
      <c r="B163" t="inlineStr">
        <is>
          <t>Delivered to 1 cowherd for the year, taking a quarter every 12 weeks, 4 quarters 2.5 bushels Delivered to 1 shepherd who keeps 200 sheep by agreement with his own sheep, who takes a quarter every 10 weeks for the year, 5 quarters 1.5 bushels Delivered to 1 dairymaid, who takes a quarter every 12 weeks from the feast of St Mary in March (25 March) until Michaelmas (29 September), for 26 weeks and 6 days, 2 quarters 2 bushels Sold as noted above, 1 quarters.</t>
        </is>
      </c>
      <c r="C163" t="n">
        <v>0</v>
      </c>
      <c r="D163" t="n">
        <v>0</v>
      </c>
      <c r="E163" t="n">
        <v>0</v>
      </c>
      <c r="F163" t="n">
        <v>0</v>
      </c>
      <c r="H163" t="n">
        <v>8</v>
      </c>
      <c r="I163" t="n">
        <v>3.5</v>
      </c>
      <c r="J163" t="n">
        <v>8.4375</v>
      </c>
      <c r="K163" t="n">
        <v>4.3125</v>
      </c>
      <c r="L163" t="n">
        <v>4.125</v>
      </c>
      <c r="M163" t="n">
        <v>4</v>
      </c>
      <c r="N163" t="n">
        <v>2.5</v>
      </c>
      <c r="O163" t="n">
        <v>5</v>
      </c>
      <c r="P163" t="n">
        <v>1.5</v>
      </c>
      <c r="Q163" t="n">
        <v>2</v>
      </c>
      <c r="R163" t="n">
        <v>2</v>
      </c>
      <c r="S163" t="n">
        <v>1</v>
      </c>
      <c r="T163" t="n">
        <v>0</v>
      </c>
    </row>
    <row r="164">
      <c r="A164" t="inlineStr">
        <is>
          <t>Stock</t>
        </is>
      </c>
      <c r="B164" t="inlineStr">
        <is>
          <t>Plough-horses: 9 remain from the previous year.</t>
        </is>
      </c>
      <c r="C164" t="n">
        <v>0</v>
      </c>
      <c r="D164" t="n">
        <v>0</v>
      </c>
      <c r="E164" t="n">
        <v>0</v>
      </c>
      <c r="F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Stock</t>
        </is>
      </c>
      <c r="B165" t="inlineStr">
        <is>
          <t>1 in murrain, the hide of which is answered for.</t>
        </is>
      </c>
      <c r="C165" t="n">
        <v>0</v>
      </c>
      <c r="D165" t="n">
        <v>0</v>
      </c>
      <c r="E165" t="n">
        <v>0</v>
      </c>
      <c r="F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Stock</t>
        </is>
      </c>
      <c r="B166" t="inlineStr">
        <is>
          <t>4 sold.</t>
        </is>
      </c>
      <c r="C166" t="n">
        <v>0</v>
      </c>
      <c r="D166" t="n">
        <v>0</v>
      </c>
      <c r="E166" t="n">
        <v>0</v>
      </c>
      <c r="F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Stock</t>
        </is>
      </c>
      <c r="B167" t="inlineStr">
        <is>
          <t>4 remain, 2 of them male.</t>
        </is>
      </c>
      <c r="C167" t="n">
        <v>0</v>
      </c>
      <c r="D167" t="n">
        <v>0</v>
      </c>
      <c r="E167" t="n">
        <v>0</v>
      </c>
      <c r="F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Stock</t>
        </is>
      </c>
      <c r="B168" t="inlineStr">
        <is>
          <t>They are cart-horses.</t>
        </is>
      </c>
      <c r="C168" t="n">
        <v>0</v>
      </c>
      <c r="D168" t="n">
        <v>0</v>
      </c>
      <c r="E168" t="n">
        <v>0</v>
      </c>
      <c r="F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Stock</t>
        </is>
      </c>
      <c r="B169" t="inlineStr">
        <is>
          <t>Foals: none this year because the mares did not foal.</t>
        </is>
      </c>
      <c r="C169" t="n">
        <v>0</v>
      </c>
      <c r="D169" t="n">
        <v>0</v>
      </c>
      <c r="E169" t="n">
        <v>0</v>
      </c>
      <c r="F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Stock</t>
        </is>
      </c>
      <c r="B170" t="inlineStr">
        <is>
          <t>Oxen: 19 remain from the previous year.</t>
        </is>
      </c>
      <c r="C170" t="n">
        <v>0</v>
      </c>
      <c r="D170" t="n">
        <v>0</v>
      </c>
      <c r="E170" t="n">
        <v>0</v>
      </c>
      <c r="F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Stock</t>
        </is>
      </c>
      <c r="B171" t="inlineStr">
        <is>
          <t>4 added from steers.</t>
        </is>
      </c>
      <c r="C171" t="n">
        <v>0</v>
      </c>
      <c r="D171" t="n">
        <v>0</v>
      </c>
      <c r="E171" t="n">
        <v>0</v>
      </c>
      <c r="F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Stock</t>
        </is>
      </c>
      <c r="B172" t="inlineStr">
        <is>
          <t>10 bought.</t>
        </is>
      </c>
      <c r="C172" t="n">
        <v>0</v>
      </c>
      <c r="D172" t="n">
        <v>0</v>
      </c>
      <c r="E172" t="n">
        <v>0</v>
      </c>
      <c r="F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Stock</t>
        </is>
      </c>
      <c r="B173" t="inlineStr">
        <is>
          <t>Total, 33. 1 in murrain about the Annunciation, the hide and flesh of which are answered for.</t>
        </is>
      </c>
      <c r="C173" t="n">
        <v>0</v>
      </c>
      <c r="D173" t="n">
        <v>0</v>
      </c>
      <c r="E173" t="n">
        <v>0</v>
      </c>
      <c r="F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Stock</t>
        </is>
      </c>
      <c r="B174" t="inlineStr">
        <is>
          <t>3 solpence Total, 4. 29 remain.</t>
        </is>
      </c>
      <c r="C174" t="n">
        <v>0</v>
      </c>
      <c r="D174" t="n">
        <v>0</v>
      </c>
      <c r="E174" t="n">
        <v>0</v>
      </c>
      <c r="F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Stock</t>
        </is>
      </c>
      <c r="B175" t="inlineStr">
        <is>
          <t>Cows: {henceforth there should be up to 20 cows there): 12 remain from the previous year.</t>
        </is>
      </c>
      <c r="C175" t="n">
        <v>0</v>
      </c>
      <c r="D175" t="n">
        <v>0</v>
      </c>
      <c r="E175" t="n">
        <v>0</v>
      </c>
      <c r="F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Stock</t>
        </is>
      </c>
      <c r="B176" t="inlineStr">
        <is>
          <t>1 sterile cow sold.</t>
        </is>
      </c>
      <c r="C176" t="n">
        <v>0</v>
      </c>
      <c r="D176" t="n">
        <v>0</v>
      </c>
      <c r="E176" t="n">
        <v>0</v>
      </c>
      <c r="F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Stock</t>
        </is>
      </c>
      <c r="B177" t="inlineStr">
        <is>
          <t>11 remain.</t>
        </is>
      </c>
      <c r="C177" t="n">
        <v>0</v>
      </c>
      <c r="D177" t="n">
        <v>0</v>
      </c>
      <c r="E177" t="n">
        <v>0</v>
      </c>
      <c r="F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Stock</t>
        </is>
      </c>
      <c r="B178" t="inlineStr">
        <is>
          <t>Bulls: 1 remains from the previous year.</t>
        </is>
      </c>
      <c r="C178" t="n">
        <v>0</v>
      </c>
      <c r="D178" t="n">
        <v>0</v>
      </c>
      <c r="E178" t="n">
        <v>0</v>
      </c>
      <c r="F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Stock</t>
        </is>
      </c>
      <c r="B179" t="inlineStr">
        <is>
          <t>1 remains.</t>
        </is>
      </c>
      <c r="C179" t="n">
        <v>0</v>
      </c>
      <c r="D179" t="n">
        <v>0</v>
      </c>
      <c r="E179" t="n">
        <v>0</v>
      </c>
      <c r="F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Stock</t>
        </is>
      </c>
      <c r="B180" t="inlineStr">
        <is>
          <t>Steers: 5 remain from the previous year's bullocks.</t>
        </is>
      </c>
      <c r="C180" t="n">
        <v>0</v>
      </c>
      <c r="D180" t="n">
        <v>0</v>
      </c>
      <c r="E180" t="n">
        <v>0</v>
      </c>
      <c r="F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Stock</t>
        </is>
      </c>
      <c r="B181" t="inlineStr">
        <is>
          <t>1 female sold.</t>
        </is>
      </c>
      <c r="C181" t="n">
        <v>0</v>
      </c>
      <c r="D181" t="n">
        <v>0</v>
      </c>
      <c r="E181" t="n">
        <v>0</v>
      </c>
      <c r="F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Stock</t>
        </is>
      </c>
      <c r="B182" t="inlineStr">
        <is>
          <t>4 added to oxen.</t>
        </is>
      </c>
      <c r="C182" t="n">
        <v>0</v>
      </c>
      <c r="D182" t="n">
        <v>0</v>
      </c>
      <c r="E182" t="n">
        <v>0</v>
      </c>
      <c r="F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Stock</t>
        </is>
      </c>
      <c r="B183" t="inlineStr">
        <is>
          <t>none remain.</t>
        </is>
      </c>
      <c r="C183" t="n">
        <v>0</v>
      </c>
      <c r="D183" t="n">
        <v>0</v>
      </c>
      <c r="E183" t="n">
        <v>0</v>
      </c>
      <c r="F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Stock</t>
        </is>
      </c>
      <c r="B184" t="inlineStr">
        <is>
          <t>Bullocks: 3 remain from the previous year's yearlings.</t>
        </is>
      </c>
      <c r="C184" t="n">
        <v>0</v>
      </c>
      <c r="D184" t="n">
        <v>0</v>
      </c>
      <c r="E184" t="n">
        <v>0</v>
      </c>
      <c r="F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Stock</t>
        </is>
      </c>
      <c r="B185" t="inlineStr">
        <is>
          <t>3 remain, 2 of them male.</t>
        </is>
      </c>
      <c r="C185" t="n">
        <v>0</v>
      </c>
      <c r="D185" t="n">
        <v>0</v>
      </c>
      <c r="E185" t="n">
        <v>0</v>
      </c>
      <c r="F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Stock</t>
        </is>
      </c>
      <c r="B186" t="inlineStr">
        <is>
          <t>Yearlings: 5 remain from the previous year's calves.</t>
        </is>
      </c>
      <c r="C186" t="n">
        <v>0</v>
      </c>
      <c r="D186" t="n">
        <v>0</v>
      </c>
      <c r="E186" t="n">
        <v>0</v>
      </c>
      <c r="F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Stock</t>
        </is>
      </c>
      <c r="B187" t="inlineStr">
        <is>
          <t>5 remain, 2 of them male.</t>
        </is>
      </c>
      <c r="C187" t="n">
        <v>0</v>
      </c>
      <c r="D187" t="n">
        <v>0</v>
      </c>
      <c r="E187" t="n">
        <v>0</v>
      </c>
      <c r="F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Stock</t>
        </is>
      </c>
      <c r="B188" t="inlineStr">
        <is>
          <t>Calves: 11 from the offspring of the cows from stock, because 1 sterile cow sold.</t>
        </is>
      </c>
      <c r="C188" t="n">
        <v>0</v>
      </c>
      <c r="D188" t="n">
        <v>0</v>
      </c>
      <c r="E188" t="n">
        <v>0</v>
      </c>
      <c r="F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Stock</t>
        </is>
      </c>
      <c r="B189" t="inlineStr">
        <is>
          <t>1 in murrain.</t>
        </is>
      </c>
      <c r="C189" t="n">
        <v>0</v>
      </c>
      <c r="D189" t="n">
        <v>0</v>
      </c>
      <c r="E189" t="n">
        <v>0</v>
      </c>
      <c r="F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Stock</t>
        </is>
      </c>
      <c r="B190" t="inlineStr">
        <is>
          <t>1 in tithe.</t>
        </is>
      </c>
      <c r="C190" t="n">
        <v>0</v>
      </c>
      <c r="D190" t="n">
        <v>0</v>
      </c>
      <c r="E190" t="n">
        <v>0</v>
      </c>
      <c r="F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Stock</t>
        </is>
      </c>
      <c r="B191" t="inlineStr">
        <is>
          <t>6 sold.</t>
        </is>
      </c>
      <c r="C191" t="n">
        <v>0</v>
      </c>
      <c r="D191" t="n">
        <v>0</v>
      </c>
      <c r="E191" t="n">
        <v>0</v>
      </c>
      <c r="F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Stock</t>
        </is>
      </c>
      <c r="B192" t="inlineStr">
        <is>
          <t>3 remain, 1 of them male.</t>
        </is>
      </c>
      <c r="C192" t="n">
        <v>0</v>
      </c>
      <c r="D192" t="n">
        <v>0</v>
      </c>
      <c r="E192" t="n">
        <v>0</v>
      </c>
      <c r="F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Stock</t>
        </is>
      </c>
      <c r="B193" t="inlineStr">
        <is>
          <t>Geese: 2 from the pasturage of Crouchweye.</t>
        </is>
      </c>
      <c r="C193" t="n">
        <v>0</v>
      </c>
      <c r="D193" t="n">
        <v>0</v>
      </c>
      <c r="E193" t="n">
        <v>0</v>
      </c>
      <c r="F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Stock</t>
        </is>
      </c>
      <c r="B194" t="inlineStr">
        <is>
          <t>4 from the right to drive beasts (av') through the droveway (Drofwey).</t>
        </is>
      </c>
      <c r="C194" t="n">
        <v>0</v>
      </c>
      <c r="D194" t="n">
        <v>0</v>
      </c>
      <c r="E194" t="n">
        <v>0</v>
      </c>
      <c r="F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Stock</t>
        </is>
      </c>
      <c r="B195" t="inlineStr">
        <is>
          <t>they remain.</t>
        </is>
      </c>
      <c r="C195" t="n">
        <v>0</v>
      </c>
      <c r="D195" t="n">
        <v>0</v>
      </c>
      <c r="E195" t="n">
        <v>0</v>
      </c>
      <c r="F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Stock</t>
        </is>
      </c>
      <c r="B196" t="inlineStr">
        <is>
          <t>Chickens: 12 from the trespasses of outsiders in the lord's pasture.</t>
        </is>
      </c>
      <c r="C196" t="n">
        <v>0</v>
      </c>
      <c r="D196" t="n">
        <v>0</v>
      </c>
      <c r="E196" t="n">
        <v>0</v>
      </c>
      <c r="F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Stock</t>
        </is>
      </c>
      <c r="B197" t="inlineStr">
        <is>
          <t>they remain.</t>
        </is>
      </c>
      <c r="C197" t="n">
        <v>0</v>
      </c>
      <c r="D197" t="n">
        <v>0</v>
      </c>
      <c r="E197" t="n">
        <v>0</v>
      </c>
      <c r="F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Stock</t>
        </is>
      </c>
      <c r="B198" t="inlineStr">
        <is>
          <t>Coarse wool: nothing because the lord's sheep are not there.</t>
        </is>
      </c>
      <c r="C198" t="n">
        <v>0</v>
      </c>
      <c r="D198" t="n">
        <v>0</v>
      </c>
      <c r="E198" t="n">
        <v>0</v>
      </c>
      <c r="F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Stock</t>
        </is>
      </c>
      <c r="B199" t="inlineStr">
        <is>
          <t>Winter cheese: 39 made.</t>
        </is>
      </c>
      <c r="C199" t="n">
        <v>0</v>
      </c>
      <c r="D199" t="n">
        <v>0</v>
      </c>
      <c r="E199" t="n">
        <v>0</v>
      </c>
      <c r="F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Stock</t>
        </is>
      </c>
      <c r="B200" t="inlineStr">
        <is>
          <t>all sold as noted above.</t>
        </is>
      </c>
      <c r="C200" t="n">
        <v>0</v>
      </c>
      <c r="D200" t="n">
        <v>0</v>
      </c>
      <c r="E200" t="n">
        <v>0</v>
      </c>
      <c r="F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Stock</t>
        </is>
      </c>
      <c r="B201" t="inlineStr">
        <is>
          <t>Summer cheese:{yield of cow 4 shilling}: 171 cheeses made between Thursday after the feast of St Ambrose (5 April) and Michaelmas (29 September), both days included.</t>
        </is>
      </c>
      <c r="C201" t="n">
        <v>0.2</v>
      </c>
      <c r="D201" t="n">
        <v>0</v>
      </c>
      <c r="E201" t="n">
        <v>4</v>
      </c>
      <c r="F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Stock</t>
        </is>
      </c>
      <c r="B202" t="inlineStr">
        <is>
          <t>17 in tithe.</t>
        </is>
      </c>
      <c r="C202" t="n">
        <v>0</v>
      </c>
      <c r="D202" t="n">
        <v>0</v>
      </c>
      <c r="E202" t="n">
        <v>0</v>
      </c>
      <c r="F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Stock</t>
        </is>
      </c>
      <c r="B203" t="inlineStr">
        <is>
          <t>154 sold as noted above, which made 3.5 weys.</t>
        </is>
      </c>
      <c r="C203" t="n">
        <v>0</v>
      </c>
      <c r="D203" t="n">
        <v>0</v>
      </c>
      <c r="E203" t="n">
        <v>0</v>
      </c>
      <c r="F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Stock</t>
        </is>
      </c>
      <c r="B204" t="inlineStr">
        <is>
          <t>Butter: 8.5 gallons sold.</t>
        </is>
      </c>
      <c r="C204" t="n">
        <v>0</v>
      </c>
      <c r="D204" t="n">
        <v>0</v>
      </c>
      <c r="E204" t="n">
        <v>0</v>
      </c>
      <c r="F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Stock</t>
        </is>
      </c>
      <c r="B205" t="inlineStr">
        <is>
          <t>all sold as noted above.</t>
        </is>
      </c>
      <c r="C205" t="n">
        <v>0</v>
      </c>
      <c r="D205" t="n">
        <v>0</v>
      </c>
      <c r="E205" t="n">
        <v>0</v>
      </c>
      <c r="F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Stock</t>
        </is>
      </c>
      <c r="B206" t="inlineStr">
        <is>
          <t>Utensils: 1 cart with iron tyres remains from the previous year. 3 hemp ropes remain from the previous year.</t>
        </is>
      </c>
      <c r="C206" t="n">
        <v>0</v>
      </c>
      <c r="D206" t="n">
        <v>0</v>
      </c>
      <c r="E206" t="n">
        <v>0</v>
      </c>
      <c r="F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Stock</t>
        </is>
      </c>
      <c r="B207" t="inlineStr">
        <is>
          <t>2 bought.</t>
        </is>
      </c>
      <c r="C207" t="n">
        <v>0</v>
      </c>
      <c r="D207" t="n">
        <v>0</v>
      </c>
      <c r="E207" t="n">
        <v>0</v>
      </c>
      <c r="F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Stock</t>
        </is>
      </c>
      <c r="B208" t="inlineStr">
        <is>
          <t>Total, 5. 2 used in the manor.</t>
        </is>
      </c>
      <c r="C208" t="n">
        <v>0</v>
      </c>
      <c r="D208" t="n">
        <v>0</v>
      </c>
      <c r="E208" t="n">
        <v>0</v>
      </c>
      <c r="F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Stock</t>
        </is>
      </c>
      <c r="B209" t="inlineStr">
        <is>
          <t>3 remain. 2 sacks remain from the previous year.</t>
        </is>
      </c>
      <c r="C209" t="n">
        <v>0</v>
      </c>
      <c r="D209" t="n">
        <v>0</v>
      </c>
      <c r="E209" t="n">
        <v>0</v>
      </c>
      <c r="F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Stock</t>
        </is>
      </c>
      <c r="B210" t="inlineStr">
        <is>
          <t>1 bought this year.</t>
        </is>
      </c>
      <c r="C210" t="n">
        <v>0</v>
      </c>
      <c r="D210" t="n">
        <v>0</v>
      </c>
      <c r="E210" t="n">
        <v>0</v>
      </c>
      <c r="F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Stock</t>
        </is>
      </c>
      <c r="B211" t="inlineStr">
        <is>
          <t>Total, 3. 1 used in the manor.</t>
        </is>
      </c>
      <c r="C211" t="n">
        <v>0</v>
      </c>
      <c r="D211" t="n">
        <v>0</v>
      </c>
      <c r="E211" t="n">
        <v>0</v>
      </c>
      <c r="F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Stock</t>
        </is>
      </c>
      <c r="B212" t="inlineStr">
        <is>
          <t>2 remain. 2 baskets remain from the previous year.</t>
        </is>
      </c>
      <c r="C212" t="n">
        <v>0</v>
      </c>
      <c r="D212" t="n">
        <v>0</v>
      </c>
      <c r="E212" t="n">
        <v>0</v>
      </c>
      <c r="F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Stock</t>
        </is>
      </c>
      <c r="B213" t="inlineStr">
        <is>
          <t>1 bought.</t>
        </is>
      </c>
      <c r="C213" t="n">
        <v>0</v>
      </c>
      <c r="D213" t="n">
        <v>0</v>
      </c>
      <c r="E213" t="n">
        <v>0</v>
      </c>
      <c r="F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Stock</t>
        </is>
      </c>
      <c r="B214" t="inlineStr">
        <is>
          <t>Total, 3. 1 used in the manor.</t>
        </is>
      </c>
      <c r="C214" t="n">
        <v>0</v>
      </c>
      <c r="D214" t="n">
        <v>0</v>
      </c>
      <c r="E214" t="n">
        <v>0</v>
      </c>
      <c r="F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Stock</t>
        </is>
      </c>
      <c r="B215" t="inlineStr">
        <is>
          <t>2 remain. 4 sickles remain from the previous year.</t>
        </is>
      </c>
      <c r="C215" t="n">
        <v>0</v>
      </c>
      <c r="D215" t="n">
        <v>0</v>
      </c>
      <c r="E215" t="n">
        <v>0</v>
      </c>
      <c r="F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Stock</t>
        </is>
      </c>
      <c r="B216" t="inlineStr">
        <is>
          <t>1 bought.</t>
        </is>
      </c>
      <c r="C216" t="n">
        <v>0</v>
      </c>
      <c r="D216" t="n">
        <v>0</v>
      </c>
      <c r="E216" t="n">
        <v>0</v>
      </c>
      <c r="F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Stock</t>
        </is>
      </c>
      <c r="B217" t="inlineStr">
        <is>
          <t>Total, 5. 1 used in the manor.</t>
        </is>
      </c>
      <c r="C217" t="n">
        <v>0</v>
      </c>
      <c r="D217" t="n">
        <v>0</v>
      </c>
      <c r="E217" t="n">
        <v>0</v>
      </c>
      <c r="F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Stock</t>
        </is>
      </c>
      <c r="B218" t="inlineStr">
        <is>
          <t>4 remain. 1 tripod remains from the previous year. 1 brass pan remains from the previous year. 1 brass pot remains from the previous year.</t>
        </is>
      </c>
      <c r="C218" t="n">
        <v>0</v>
      </c>
      <c r="D218" t="n">
        <v>0</v>
      </c>
      <c r="E218" t="n">
        <v>0</v>
      </c>
      <c r="F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46"/>
  <sheetViews>
    <sheetView topLeftCell="A1"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Quarters 1_x</t>
        </is>
      </c>
      <c r="D1" s="1" t="inlineStr">
        <is>
          <t>Bushels 1_x</t>
        </is>
      </c>
      <c r="E1" s="1" t="inlineStr">
        <is>
          <t>Sown Quarters</t>
        </is>
      </c>
      <c r="F1" s="1" t="inlineStr">
        <is>
          <t>Sown Bushels</t>
        </is>
      </c>
      <c r="G1" s="1" t="inlineStr">
        <is>
          <t>Sown Total Quarters</t>
        </is>
      </c>
      <c r="H1" s="1" t="inlineStr">
        <is>
          <t>Bought in Quarters</t>
        </is>
      </c>
      <c r="I1" s="1" t="inlineStr">
        <is>
          <t>Bought in Bushels</t>
        </is>
      </c>
      <c r="J1" s="1" t="inlineStr">
        <is>
          <t>Bought in Total Quarters</t>
        </is>
      </c>
      <c r="K1" s="1" t="inlineStr">
        <is>
          <t>Tithe Quarters</t>
        </is>
      </c>
      <c r="L1" s="1" t="inlineStr">
        <is>
          <t>Tithe Bushels</t>
        </is>
      </c>
      <c r="M1" s="1" t="inlineStr">
        <is>
          <t>Tithe Total Quarters</t>
        </is>
      </c>
      <c r="N1" s="1" t="inlineStr">
        <is>
          <t>Manorial servants &amp; livestock Quarters</t>
        </is>
      </c>
      <c r="O1" s="1" t="inlineStr">
        <is>
          <t>Manorial servants &amp; livestock Bushels</t>
        </is>
      </c>
      <c r="P1" s="1" t="inlineStr">
        <is>
          <t>Manorial servants &amp; livestock Total Quarters</t>
        </is>
      </c>
      <c r="Q1" s="1" t="inlineStr">
        <is>
          <t>Sold Quarters</t>
        </is>
      </c>
      <c r="R1" s="1" t="inlineStr">
        <is>
          <t>Sold Bushels</t>
        </is>
      </c>
      <c r="S1" s="1" t="inlineStr">
        <is>
          <t>Sold Total Quarters</t>
        </is>
      </c>
      <c r="T1" s="1" t="inlineStr">
        <is>
          <t>Account Quarters</t>
        </is>
      </c>
      <c r="U1" s="1" t="inlineStr">
        <is>
          <t>Account Bushels</t>
        </is>
      </c>
      <c r="V1" s="1" t="inlineStr">
        <is>
          <t>Account Total Quarters</t>
        </is>
      </c>
      <c r="W1" s="1" t="inlineStr">
        <is>
          <t>bought only</t>
        </is>
      </c>
      <c r="X1" s="1" t="inlineStr">
        <is>
          <t>Total Quarters Except 1</t>
        </is>
      </c>
      <c r="Y1" s="1" t="inlineStr">
        <is>
          <t>Total Bushels Except 1</t>
        </is>
      </c>
      <c r="Z1" s="1" t="inlineStr">
        <is>
          <t>Total Corn Cross-Check</t>
        </is>
      </c>
      <c r="AA1" s="1" t="inlineStr">
        <is>
          <t>Total Corn Manorial Account</t>
        </is>
      </c>
      <c r="AB1" s="1" t="inlineStr">
        <is>
          <t>Corn Quantity Error</t>
        </is>
      </c>
      <c r="AC1" s="1" t="inlineStr">
        <is>
          <t>Quarters 1_y</t>
        </is>
      </c>
      <c r="AD1" s="1" t="inlineStr">
        <is>
          <t>Bushels 1_y</t>
        </is>
      </c>
      <c r="AE1" s="1" t="inlineStr">
        <is>
          <t>Quarters 2</t>
        </is>
      </c>
      <c r="AF1" s="1" t="inlineStr">
        <is>
          <t>Bushels 2</t>
        </is>
      </c>
      <c r="AG1" s="1" t="inlineStr">
        <is>
          <t>Quarters 3</t>
        </is>
      </c>
      <c r="AH1" s="1" t="inlineStr">
        <is>
          <t>Bushels 3</t>
        </is>
      </c>
      <c r="AI1" s="1" t="inlineStr">
        <is>
          <t>Quarters 4</t>
        </is>
      </c>
      <c r="AJ1" s="1" t="inlineStr">
        <is>
          <t>Bushels 4</t>
        </is>
      </c>
    </row>
    <row r="2">
      <c r="A2" t="inlineStr">
        <is>
          <t>Cash deliveries</t>
        </is>
      </c>
      <c r="B2" t="inlineStr">
        <is>
          <t>Total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Wheat</t>
        </is>
      </c>
      <c r="B3" t="inlineStr">
        <is>
          <t>{yield: three-fold less 4 quarters 2 bushels}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</v>
      </c>
      <c r="Y3" t="n">
        <v>2</v>
      </c>
      <c r="Z3" t="n">
        <v>4.25</v>
      </c>
      <c r="AA3" t="n">
        <v>4.25</v>
      </c>
      <c r="AB3" t="n">
        <v>0</v>
      </c>
      <c r="AC3" t="n">
        <v>4</v>
      </c>
      <c r="AD3" t="n">
        <v>2</v>
      </c>
    </row>
    <row r="4">
      <c r="A4" t="inlineStr">
        <is>
          <t>Wheat</t>
        </is>
      </c>
      <c r="B4" t="inlineStr">
        <is>
          <t>(Henceforth no corn should be withheld for the stipends of the manorial servants.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Wheat</t>
        </is>
      </c>
      <c r="B5" t="inlineStr">
        <is>
          <t>that is, money should be withheld for them, the best price that is able to be had, so that all the lord's corn reaches the grange}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Wheat</t>
        </is>
      </c>
      <c r="B6" t="inlineStr">
        <is>
          <t>The same render account for 64 quarters 6 bushels from the whole issue of wheat from the grange in the granary by struck measure.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64</v>
      </c>
      <c r="U6" t="n">
        <v>6</v>
      </c>
      <c r="V6" t="n">
        <v>64.75</v>
      </c>
      <c r="W6" t="n">
        <v>0</v>
      </c>
      <c r="X6" t="n">
        <v>64</v>
      </c>
      <c r="Y6" t="n">
        <v>6</v>
      </c>
      <c r="Z6" t="n">
        <v>64.75</v>
      </c>
      <c r="AA6" t="n">
        <v>64.75</v>
      </c>
      <c r="AB6" t="n">
        <v>0</v>
      </c>
      <c r="AC6" t="n">
        <v>64</v>
      </c>
      <c r="AD6" t="n">
        <v>6</v>
      </c>
    </row>
    <row r="7">
      <c r="A7" t="inlineStr">
        <is>
          <t>Wheat</t>
        </is>
      </c>
      <c r="B7" t="inlineStr">
        <is>
          <t>7.5 quarters by estimation in sheaves given to the manorial servants.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7.5</v>
      </c>
      <c r="Y7" t="n">
        <v>0</v>
      </c>
      <c r="Z7" t="n">
        <v>7.5</v>
      </c>
      <c r="AA7" t="n">
        <v>7.5</v>
      </c>
      <c r="AB7" t="n">
        <v>0</v>
      </c>
      <c r="AC7" t="n">
        <v>7.5</v>
      </c>
      <c r="AD7" t="n">
        <v>0</v>
      </c>
    </row>
    <row r="8">
      <c r="A8" t="inlineStr">
        <is>
          <t>Wheat</t>
        </is>
      </c>
      <c r="B8" t="inlineStr">
        <is>
          <t>20 quarters 1 bushels bought.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1</v>
      </c>
      <c r="J8" t="n">
        <v>20.125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</v>
      </c>
      <c r="Y8" t="n">
        <v>1</v>
      </c>
      <c r="Z8" t="n">
        <v>20.125</v>
      </c>
      <c r="AA8" t="n">
        <v>20.125</v>
      </c>
      <c r="AB8" t="n">
        <v>0</v>
      </c>
      <c r="AC8" t="n">
        <v>20</v>
      </c>
      <c r="AD8" t="n">
        <v>1</v>
      </c>
    </row>
    <row r="9">
      <c r="A9" t="inlineStr">
        <is>
          <t>Wheat</t>
        </is>
      </c>
      <c r="B9" t="inlineStr">
        <is>
          <t>Total, 92 quarters 3 bushels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92</v>
      </c>
      <c r="Y9" t="n">
        <v>3</v>
      </c>
      <c r="Z9" t="n">
        <v>92.375</v>
      </c>
      <c r="AA9" t="n">
        <v>92.375</v>
      </c>
      <c r="AB9" t="n">
        <v>0</v>
      </c>
      <c r="AC9" t="n">
        <v>92</v>
      </c>
      <c r="AD9" t="n">
        <v>3</v>
      </c>
    </row>
    <row r="10">
      <c r="A10" t="inlineStr">
        <is>
          <t>Wheat</t>
        </is>
      </c>
      <c r="B10" t="inlineStr">
        <is>
          <t>Sown over 94 acres measured by the perch which lie in the fields of Buryfurlong, Rodelond, Cheldebreth', Langilond', Stockyng', Berhgforlong, Sevenacr', and Annaysbuttes, 35 quarters 1 bushels.</t>
        </is>
      </c>
      <c r="C10" t="n">
        <v>0</v>
      </c>
      <c r="D10" t="n">
        <v>0</v>
      </c>
      <c r="E10" t="n">
        <v>35</v>
      </c>
      <c r="F10" t="n">
        <v>1</v>
      </c>
      <c r="G10" t="n">
        <v>35.125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35</v>
      </c>
      <c r="Y10" t="n">
        <v>1</v>
      </c>
      <c r="Z10" t="n">
        <v>35.125</v>
      </c>
      <c r="AA10" t="n">
        <v>35.125</v>
      </c>
      <c r="AB10" t="n">
        <v>0</v>
      </c>
      <c r="AC10" t="n">
        <v>35</v>
      </c>
      <c r="AD10" t="n">
        <v>1</v>
      </c>
    </row>
    <row r="11">
      <c r="A11" t="inlineStr">
        <is>
          <t>Wheat</t>
        </is>
      </c>
      <c r="B11" t="inlineStr">
        <is>
          <t>that is, 3 bushels an acre, less 1 bushels in all.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0.125</v>
      </c>
      <c r="AA11" t="n">
        <v>0.375</v>
      </c>
      <c r="AB11" t="n">
        <v>-0.25</v>
      </c>
      <c r="AC11" t="n">
        <v>0</v>
      </c>
      <c r="AD11" t="n">
        <v>3</v>
      </c>
      <c r="AE11" t="n">
        <v>0</v>
      </c>
      <c r="AF11" t="n">
        <v>1</v>
      </c>
    </row>
    <row r="12">
      <c r="A12" t="inlineStr">
        <is>
          <t>Wheat</t>
        </is>
      </c>
      <c r="B12" t="inlineStr">
        <is>
          <t>.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Wheat</t>
        </is>
      </c>
      <c r="B13" t="inlineStr">
        <is>
          <t>bread for 2 harvest boon-works, 1 qr.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Wheat</t>
        </is>
      </c>
      <c r="B14" t="inlineStr">
        <is>
          <t>Given to 6 manorial servants this year, that is, 1 carter, 3 oxherds, 1 cowherd, 1 shepherd, for their stipends in summer by estimation in sheaves, 7.5 quarters, or 1 qr 2 bushels each.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Wheat</t>
        </is>
      </c>
      <c r="B15" t="inlineStr">
        <is>
          <t>Sold as noted above, 48 quarters 6 bushels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</v>
      </c>
      <c r="R15" t="n">
        <v>6</v>
      </c>
      <c r="S15" t="n">
        <v>48.75</v>
      </c>
      <c r="T15" t="n">
        <v>0</v>
      </c>
      <c r="U15" t="n">
        <v>0</v>
      </c>
      <c r="V15" t="n">
        <v>0</v>
      </c>
      <c r="W15" t="n">
        <v>0</v>
      </c>
      <c r="X15" t="n">
        <v>48</v>
      </c>
      <c r="Y15" t="n">
        <v>6</v>
      </c>
      <c r="Z15" t="n">
        <v>48.75</v>
      </c>
      <c r="AA15" t="n">
        <v>48.75</v>
      </c>
      <c r="AB15" t="n">
        <v>0</v>
      </c>
      <c r="AC15" t="n">
        <v>48</v>
      </c>
      <c r="AD15" t="n">
        <v>6</v>
      </c>
    </row>
    <row r="16">
      <c r="A16" t="inlineStr">
        <is>
          <t>Wheat</t>
        </is>
      </c>
      <c r="B16" t="inlineStr">
        <is>
          <t>Total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Curall</t>
        </is>
      </c>
      <c r="B17" t="inlineStr">
        <is>
          <t>The same render account for 13.5 quarters from the whole issue of curall of the same wheat from the grange in the granary by struck measure.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13.5</v>
      </c>
      <c r="U17" t="n">
        <v>0</v>
      </c>
      <c r="V17" t="n">
        <v>13.5</v>
      </c>
      <c r="W17" t="n">
        <v>0</v>
      </c>
      <c r="X17" t="n">
        <v>13.5</v>
      </c>
      <c r="Y17" t="n">
        <v>0</v>
      </c>
      <c r="Z17" t="n">
        <v>13.5</v>
      </c>
      <c r="AA17" t="n">
        <v>13.5</v>
      </c>
      <c r="AB17" t="n">
        <v>0</v>
      </c>
      <c r="AC17" t="n">
        <v>13.5</v>
      </c>
      <c r="AD17" t="n">
        <v>0</v>
      </c>
    </row>
    <row r="18">
      <c r="A18" t="inlineStr">
        <is>
          <t>Curall</t>
        </is>
      </c>
      <c r="B18" t="inlineStr">
        <is>
          <t>mixed below with beans for the liveries of the manorial servants, 13.5 quarters.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13.5</v>
      </c>
      <c r="O18" t="n">
        <v>0</v>
      </c>
      <c r="P18" t="n">
        <v>13.5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13.5</v>
      </c>
      <c r="Y18" t="n">
        <v>0</v>
      </c>
      <c r="Z18" t="n">
        <v>13.5</v>
      </c>
      <c r="AA18" t="n">
        <v>13.5</v>
      </c>
      <c r="AB18" t="n">
        <v>0</v>
      </c>
      <c r="AC18" t="n">
        <v>13.5</v>
      </c>
      <c r="AD18" t="n">
        <v>0</v>
      </c>
    </row>
    <row r="19">
      <c r="A19" t="inlineStr">
        <is>
          <t>Curall</t>
        </is>
      </c>
      <c r="B19" t="inlineStr">
        <is>
          <t>Total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Barley</t>
        </is>
      </c>
      <c r="B20" t="inlineStr">
        <is>
          <t>(yield: 4.5-fold plus 5.5 bushels}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5.5</v>
      </c>
      <c r="Z20" t="n">
        <v>0.6875</v>
      </c>
      <c r="AA20" t="n">
        <v>0.6875</v>
      </c>
      <c r="AB20" t="n">
        <v>0</v>
      </c>
      <c r="AC20" t="n">
        <v>0</v>
      </c>
      <c r="AD20" t="n">
        <v>5.5</v>
      </c>
    </row>
    <row r="21">
      <c r="A21" t="inlineStr">
        <is>
          <t>Barley</t>
        </is>
      </c>
      <c r="B21" t="inlineStr">
        <is>
          <t>The same render account for 65 quarters 3 bushels from the whole issue of barley and dredge from the grange in the granary by struck measure.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</v>
      </c>
      <c r="U21" t="n">
        <v>3</v>
      </c>
      <c r="V21" t="n">
        <v>65.375</v>
      </c>
      <c r="W21" t="n">
        <v>0</v>
      </c>
      <c r="X21" t="n">
        <v>65</v>
      </c>
      <c r="Y21" t="n">
        <v>3</v>
      </c>
      <c r="Z21" t="n">
        <v>65.375</v>
      </c>
      <c r="AA21" t="n">
        <v>65.375</v>
      </c>
      <c r="AB21" t="n">
        <v>0</v>
      </c>
      <c r="AC21" t="n">
        <v>65</v>
      </c>
      <c r="AD21" t="n">
        <v>3</v>
      </c>
    </row>
    <row r="22">
      <c r="A22" t="inlineStr">
        <is>
          <t>Barley</t>
        </is>
      </c>
      <c r="B22" t="inlineStr">
        <is>
          <t>Sown over 48.5 acres measured by the perch which lie in Eldefeld', Gores and Buttes, 24 quarters 1 bushels.</t>
        </is>
      </c>
      <c r="C22" t="n">
        <v>0</v>
      </c>
      <c r="D22" t="n">
        <v>0</v>
      </c>
      <c r="E22" t="n">
        <v>24</v>
      </c>
      <c r="F22" t="n">
        <v>1</v>
      </c>
      <c r="G22" t="n">
        <v>24.125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</v>
      </c>
      <c r="Y22" t="n">
        <v>1</v>
      </c>
      <c r="Z22" t="n">
        <v>24.125</v>
      </c>
      <c r="AA22" t="n">
        <v>24.125</v>
      </c>
      <c r="AB22" t="n">
        <v>0</v>
      </c>
      <c r="AC22" t="n">
        <v>24</v>
      </c>
      <c r="AD22" t="n">
        <v>1</v>
      </c>
    </row>
    <row r="23">
      <c r="A23" t="inlineStr">
        <is>
          <t>Barley</t>
        </is>
      </c>
      <c r="B23" t="inlineStr">
        <is>
          <t>that is, .5 qr an acre.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Barley</t>
        </is>
      </c>
      <c r="B24" t="inlineStr">
        <is>
          <t>Mixed below with beans for the liveries of the manorial servants 8 quarters 5 bushels Sold as noted above, 32.5 quarters 1 bushels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40.5</v>
      </c>
      <c r="O24" t="n">
        <v>6</v>
      </c>
      <c r="P24" t="n">
        <v>41.25</v>
      </c>
      <c r="Q24" t="n">
        <v>40.5</v>
      </c>
      <c r="R24" t="n">
        <v>6</v>
      </c>
      <c r="S24" t="n">
        <v>41.25</v>
      </c>
      <c r="T24" t="n">
        <v>0</v>
      </c>
      <c r="U24" t="n">
        <v>0</v>
      </c>
      <c r="V24" t="n">
        <v>0</v>
      </c>
      <c r="W24" t="n">
        <v>0</v>
      </c>
      <c r="X24" t="n">
        <v>32.5</v>
      </c>
      <c r="Y24" t="n">
        <v>1</v>
      </c>
      <c r="Z24" t="n">
        <v>32.625</v>
      </c>
      <c r="AA24" t="n">
        <v>8.625</v>
      </c>
      <c r="AB24" t="n">
        <v>24</v>
      </c>
      <c r="AC24" t="n">
        <v>8</v>
      </c>
      <c r="AD24" t="n">
        <v>5</v>
      </c>
      <c r="AE24" t="n">
        <v>32.5</v>
      </c>
      <c r="AF24" t="n">
        <v>1</v>
      </c>
    </row>
    <row r="25">
      <c r="A25" t="inlineStr">
        <is>
          <t>Barley</t>
        </is>
      </c>
      <c r="B25" t="inlineStr">
        <is>
          <t>Total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Oats</t>
        </is>
      </c>
      <c r="B26" t="inlineStr">
        <is>
          <t>{yield: three-fold less 7 bushels}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</v>
      </c>
      <c r="Z26" t="n">
        <v>0.875</v>
      </c>
      <c r="AA26" t="n">
        <v>0.875</v>
      </c>
      <c r="AB26" t="n">
        <v>0</v>
      </c>
      <c r="AC26" t="n">
        <v>0</v>
      </c>
      <c r="AD26" t="n">
        <v>7</v>
      </c>
    </row>
    <row r="27">
      <c r="A27" t="inlineStr">
        <is>
          <t>Oats</t>
        </is>
      </c>
      <c r="B27" t="inlineStr">
        <is>
          <t>The same render account for 2 quarters 7 bushels from the whole issue of oats from the grange in the granary by struck measure.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7</v>
      </c>
      <c r="V27" t="n">
        <v>2.875</v>
      </c>
      <c r="W27" t="n">
        <v>0</v>
      </c>
      <c r="X27" t="n">
        <v>2</v>
      </c>
      <c r="Y27" t="n">
        <v>7</v>
      </c>
      <c r="Z27" t="n">
        <v>2.875</v>
      </c>
      <c r="AA27" t="n">
        <v>2.875</v>
      </c>
      <c r="AB27" t="n">
        <v>0</v>
      </c>
      <c r="AC27" t="n">
        <v>2</v>
      </c>
      <c r="AD27" t="n">
        <v>7</v>
      </c>
    </row>
    <row r="28">
      <c r="A28" t="inlineStr">
        <is>
          <t>Oats</t>
        </is>
      </c>
      <c r="B28" t="inlineStr">
        <is>
          <t>6 quarters of oats by estimation in sheaves given to the manorial servants.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</v>
      </c>
      <c r="Y28" t="n">
        <v>0</v>
      </c>
      <c r="Z28" t="n">
        <v>6</v>
      </c>
      <c r="AA28" t="n">
        <v>6</v>
      </c>
      <c r="AB28" t="n">
        <v>0</v>
      </c>
      <c r="AC28" t="n">
        <v>6</v>
      </c>
      <c r="AD28" t="n">
        <v>0</v>
      </c>
    </row>
    <row r="29">
      <c r="A29" t="inlineStr">
        <is>
          <t>Oats</t>
        </is>
      </c>
      <c r="B29" t="inlineStr">
        <is>
          <t>2.5 quarters bought.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2.5</v>
      </c>
      <c r="I29" t="n">
        <v>0</v>
      </c>
      <c r="J29" t="n">
        <v>2.5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2.5</v>
      </c>
      <c r="Y29" t="n">
        <v>0</v>
      </c>
      <c r="Z29" t="n">
        <v>2.5</v>
      </c>
      <c r="AA29" t="n">
        <v>2.5</v>
      </c>
      <c r="AB29" t="n">
        <v>0</v>
      </c>
      <c r="AC29" t="n">
        <v>2.5</v>
      </c>
      <c r="AD29" t="n">
        <v>0</v>
      </c>
    </row>
    <row r="30">
      <c r="A30" t="inlineStr">
        <is>
          <t>Oats</t>
        </is>
      </c>
      <c r="B30" t="inlineStr">
        <is>
          <t>Total, 11 quarters 3 bushels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</v>
      </c>
      <c r="Y30" t="n">
        <v>3</v>
      </c>
      <c r="Z30" t="n">
        <v>11.375</v>
      </c>
      <c r="AA30" t="n">
        <v>11.375</v>
      </c>
      <c r="AB30" t="n">
        <v>0</v>
      </c>
      <c r="AC30" t="n">
        <v>11</v>
      </c>
      <c r="AD30" t="n">
        <v>3</v>
      </c>
    </row>
    <row r="31">
      <c r="A31" t="inlineStr">
        <is>
          <t>Oats</t>
        </is>
      </c>
      <c r="B31" t="inlineStr">
        <is>
          <t>Sown over 3 acres measured by the perch which lie below Bereth', 2 quarters 2 bushels.</t>
        </is>
      </c>
      <c r="C31" t="n">
        <v>0</v>
      </c>
      <c r="D31" t="n">
        <v>0</v>
      </c>
      <c r="E31" t="n">
        <v>2</v>
      </c>
      <c r="F31" t="n">
        <v>2</v>
      </c>
      <c r="G31" t="n">
        <v>2.25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n">
        <v>2.25</v>
      </c>
      <c r="AA31" t="n">
        <v>2.25</v>
      </c>
      <c r="AB31" t="n">
        <v>0</v>
      </c>
      <c r="AC31" t="n">
        <v>2</v>
      </c>
      <c r="AD31" t="n">
        <v>2</v>
      </c>
    </row>
    <row r="32">
      <c r="A32" t="inlineStr">
        <is>
          <t>Oats</t>
        </is>
      </c>
      <c r="B32" t="inlineStr">
        <is>
          <t>that is, 6 bushels an acre.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</v>
      </c>
      <c r="Z32" t="n">
        <v>0.75</v>
      </c>
      <c r="AA32" t="n">
        <v>0.75</v>
      </c>
      <c r="AB32" t="n">
        <v>0</v>
      </c>
      <c r="AC32" t="n">
        <v>0</v>
      </c>
      <c r="AD32" t="n">
        <v>6</v>
      </c>
    </row>
    <row r="33">
      <c r="A33" t="inlineStr">
        <is>
          <t>Oats</t>
        </is>
      </c>
      <c r="B33" t="inlineStr">
        <is>
          <t>Given to 6 manorial servants, that is, 1 carter, 3 oxherds, 1 cowherd and 1 shepherd, for their stipends for .5 year in summer by estimation in sheaves, 6 quarters, or 1 qr each.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Oats</t>
        </is>
      </c>
      <c r="B34" t="inlineStr">
        <is>
          <t>.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Oats</t>
        </is>
      </c>
      <c r="B35" t="inlineStr">
        <is>
          <t>fodder of 2 plough-horses hauling ploughs and harrows for the year, 3 quarters 1 bushels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</v>
      </c>
      <c r="O35" t="n">
        <v>1</v>
      </c>
      <c r="P35" t="n">
        <v>3.125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1</v>
      </c>
      <c r="Z35" t="n">
        <v>3.125</v>
      </c>
      <c r="AA35" t="n">
        <v>3.125</v>
      </c>
      <c r="AB35" t="n">
        <v>0</v>
      </c>
      <c r="AC35" t="n">
        <v>3</v>
      </c>
      <c r="AD35" t="n">
        <v>1</v>
      </c>
    </row>
    <row r="36">
      <c r="A36" t="inlineStr">
        <is>
          <t>Oats</t>
        </is>
      </c>
      <c r="B36" t="inlineStr">
        <is>
          <t>Total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Beans</t>
        </is>
      </c>
      <c r="B37" t="inlineStr">
        <is>
          <t>{yield: four-fold less 1.5 quarters 3 bushels)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1.5</v>
      </c>
      <c r="Y37" t="n">
        <v>3</v>
      </c>
      <c r="Z37" t="n">
        <v>1.875</v>
      </c>
      <c r="AA37" t="n">
        <v>1.875</v>
      </c>
      <c r="AB37" t="n">
        <v>0</v>
      </c>
      <c r="AC37" t="n">
        <v>1.5</v>
      </c>
      <c r="AD37" t="n">
        <v>3</v>
      </c>
    </row>
    <row r="38">
      <c r="A38" t="inlineStr">
        <is>
          <t>Beans</t>
        </is>
      </c>
      <c r="B38" t="inlineStr">
        <is>
          <t>The same render account for 11 quarters 5 bushels remaining from the previous year.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</v>
      </c>
      <c r="U38" t="n">
        <v>5</v>
      </c>
      <c r="V38" t="n">
        <v>11.625</v>
      </c>
      <c r="W38" t="n">
        <v>0</v>
      </c>
      <c r="X38" t="n">
        <v>11</v>
      </c>
      <c r="Y38" t="n">
        <v>5</v>
      </c>
      <c r="Z38" t="n">
        <v>11.625</v>
      </c>
      <c r="AA38" t="n">
        <v>11.625</v>
      </c>
      <c r="AB38" t="n">
        <v>0</v>
      </c>
      <c r="AC38" t="n">
        <v>11</v>
      </c>
      <c r="AD38" t="n">
        <v>5</v>
      </c>
    </row>
    <row r="39">
      <c r="A39" t="inlineStr">
        <is>
          <t>Beans</t>
        </is>
      </c>
      <c r="B39" t="inlineStr">
        <is>
          <t>10 quarters 1 bushels from the whole issue from the grange in the granary by struck measure, because a certain part of 1 stack of beans was sold wholesale.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</v>
      </c>
      <c r="R39" t="n">
        <v>1</v>
      </c>
      <c r="S39" t="n">
        <v>10.125</v>
      </c>
      <c r="T39" t="n">
        <v>10</v>
      </c>
      <c r="U39" t="n">
        <v>1</v>
      </c>
      <c r="V39" t="n">
        <v>10.125</v>
      </c>
      <c r="W39" t="n">
        <v>0</v>
      </c>
      <c r="X39" t="n">
        <v>10</v>
      </c>
      <c r="Y39" t="n">
        <v>1</v>
      </c>
      <c r="Z39" t="n">
        <v>10.125</v>
      </c>
      <c r="AA39" t="n">
        <v>10.125</v>
      </c>
      <c r="AB39" t="n">
        <v>0</v>
      </c>
      <c r="AC39" t="n">
        <v>10</v>
      </c>
      <c r="AD39" t="n">
        <v>1</v>
      </c>
    </row>
    <row r="40">
      <c r="A40" t="inlineStr">
        <is>
          <t>Beans</t>
        </is>
      </c>
      <c r="B40" t="inlineStr">
        <is>
          <t>13.5 quarters of curall received above and mixed with that for the liveries of the manorial servants.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13.5</v>
      </c>
      <c r="O40" t="n">
        <v>0</v>
      </c>
      <c r="P40" t="n">
        <v>13.5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13.5</v>
      </c>
      <c r="Y40" t="n">
        <v>0</v>
      </c>
      <c r="Z40" t="n">
        <v>13.5</v>
      </c>
      <c r="AA40" t="n">
        <v>13.5</v>
      </c>
      <c r="AB40" t="n">
        <v>0</v>
      </c>
      <c r="AC40" t="n">
        <v>13.5</v>
      </c>
      <c r="AD40" t="n">
        <v>0</v>
      </c>
    </row>
    <row r="41">
      <c r="A41" t="inlineStr">
        <is>
          <t>Beans</t>
        </is>
      </c>
      <c r="B41" t="inlineStr">
        <is>
          <t>8 quarters 5 bushels of barley received above and mixed with that for same.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</v>
      </c>
      <c r="Y41" t="n">
        <v>5</v>
      </c>
      <c r="Z41" t="n">
        <v>8.625</v>
      </c>
      <c r="AA41" t="n">
        <v>8.625</v>
      </c>
      <c r="AB41" t="n">
        <v>0</v>
      </c>
      <c r="AC41" t="n">
        <v>8</v>
      </c>
      <c r="AD41" t="n">
        <v>5</v>
      </c>
    </row>
    <row r="42">
      <c r="A42" t="inlineStr">
        <is>
          <t>Beans</t>
        </is>
      </c>
      <c r="B42" t="inlineStr">
        <is>
          <t>Total, 43 quarters 7 bushels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43</v>
      </c>
      <c r="Y42" t="n">
        <v>7</v>
      </c>
      <c r="Z42" t="n">
        <v>43.875</v>
      </c>
      <c r="AA42" t="n">
        <v>43.875</v>
      </c>
      <c r="AB42" t="n">
        <v>0</v>
      </c>
      <c r="AC42" t="n">
        <v>43</v>
      </c>
      <c r="AD42" t="n">
        <v>7</v>
      </c>
    </row>
    <row r="43">
      <c r="A43" t="inlineStr">
        <is>
          <t>Beans</t>
        </is>
      </c>
      <c r="B43" t="inlineStr">
        <is>
          <t>Sown over 13.5 acres measured by the perch which lie above Bereth' and Wykmedforlondg', 5 quarters 1 bushels.</t>
        </is>
      </c>
      <c r="C43" t="n">
        <v>0</v>
      </c>
      <c r="D43" t="n">
        <v>0</v>
      </c>
      <c r="E43" t="n">
        <v>5</v>
      </c>
      <c r="F43" t="n">
        <v>1</v>
      </c>
      <c r="G43" t="n">
        <v>5.125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</v>
      </c>
      <c r="Y43" t="n">
        <v>1</v>
      </c>
      <c r="Z43" t="n">
        <v>5.125</v>
      </c>
      <c r="AA43" t="n">
        <v>5.125</v>
      </c>
      <c r="AB43" t="n">
        <v>0</v>
      </c>
      <c r="AC43" t="n">
        <v>5</v>
      </c>
      <c r="AD43" t="n">
        <v>1</v>
      </c>
    </row>
    <row r="44">
      <c r="A44" t="inlineStr">
        <is>
          <t>Beans</t>
        </is>
      </c>
      <c r="B44" t="inlineStr">
        <is>
          <t>that is, 3 bushels an acre, plus .5 bushels in all.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</v>
      </c>
      <c r="Z44" t="n">
        <v>0.625</v>
      </c>
      <c r="AA44" t="n">
        <v>0.375</v>
      </c>
      <c r="AB44" t="n">
        <v>0.25</v>
      </c>
      <c r="AC44" t="n">
        <v>0</v>
      </c>
      <c r="AD44" t="n">
        <v>3</v>
      </c>
      <c r="AE44" t="n">
        <v>0</v>
      </c>
      <c r="AF44" t="n">
        <v>5</v>
      </c>
    </row>
    <row r="45">
      <c r="A45" t="inlineStr">
        <is>
          <t>Beans</t>
        </is>
      </c>
      <c r="B45" t="inlineStr">
        <is>
          <t>Delivered to 1 carter, 3 drovers, who each take a quarter every 8 weeks for the year, 26 quarters.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26</v>
      </c>
      <c r="Y45" t="n">
        <v>0</v>
      </c>
      <c r="Z45" t="n">
        <v>26</v>
      </c>
      <c r="AA45" t="n">
        <v>26</v>
      </c>
      <c r="AB45" t="n">
        <v>0</v>
      </c>
      <c r="AC45" t="n">
        <v>26</v>
      </c>
      <c r="AD45" t="n">
        <v>0</v>
      </c>
    </row>
    <row r="46">
      <c r="A46" t="inlineStr">
        <is>
          <t>Beans</t>
        </is>
      </c>
      <c r="B46" t="inlineStr">
        <is>
          <t>Delivered to 1 cowherd for the year, taking a quarter every 12 weeks, 4 quarters 2.5 bushels Delivered to 1 shepherd who keeps 200 sheep by agreement with his own sheep, who takes a quarter every 10 weeks for the year, 5 quarters 1.5 bushels Delivered to 1 dairymaid, who takes a quarter every 12 weeks from the feast of St Mary in March (25 March) until Michaelmas (29 September), for 26 weeks and 6 days, 2 quarters 2 bushels Sold as noted above, 1 qr.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</v>
      </c>
      <c r="R46" t="n">
        <v>6</v>
      </c>
      <c r="S46" t="n">
        <v>11.75</v>
      </c>
      <c r="T46" t="n">
        <v>0</v>
      </c>
      <c r="U46" t="n">
        <v>0</v>
      </c>
      <c r="V46" t="n">
        <v>0</v>
      </c>
      <c r="W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6"/>
  <sheetViews>
    <sheetView topLeftCell="A1"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0</t>
        </is>
      </c>
      <c r="N1" s="1" t="inlineStr">
        <is>
          <t>Bushels 0</t>
        </is>
      </c>
      <c r="O1" s="1" t="inlineStr">
        <is>
          <t>shilling a quarter 1</t>
        </is>
      </c>
      <c r="P1" s="1" t="inlineStr">
        <is>
          <t>pence a quarter 1</t>
        </is>
      </c>
      <c r="Q1" s="1" t="inlineStr">
        <is>
          <t>Quarters 1</t>
        </is>
      </c>
      <c r="R1" s="1" t="inlineStr">
        <is>
          <t>Bushels 1</t>
        </is>
      </c>
      <c r="S1" s="1" t="inlineStr">
        <is>
          <t>shilling a quarter 2</t>
        </is>
      </c>
      <c r="T1" s="1" t="inlineStr">
        <is>
          <t>pence a quarter 2</t>
        </is>
      </c>
      <c r="U1" s="1" t="inlineStr">
        <is>
          <t>Quarters 2</t>
        </is>
      </c>
      <c r="V1" s="1" t="inlineStr">
        <is>
          <t>Bushels 2</t>
        </is>
      </c>
      <c r="W1" s="1" t="inlineStr">
        <is>
          <t>shilling a quarter 3</t>
        </is>
      </c>
      <c r="X1" s="1" t="inlineStr">
        <is>
          <t>pence a quarter 3</t>
        </is>
      </c>
      <c r="Y1" s="1" t="inlineStr">
        <is>
          <t>Quarters 3</t>
        </is>
      </c>
      <c r="Z1" s="1" t="inlineStr">
        <is>
          <t>Bushels 3</t>
        </is>
      </c>
      <c r="AA1" s="1" t="inlineStr">
        <is>
          <t>shilling a quarter 4</t>
        </is>
      </c>
      <c r="AB1" s="1" t="inlineStr">
        <is>
          <t>pence a quarter 4</t>
        </is>
      </c>
      <c r="AC1" s="1" t="inlineStr">
        <is>
          <t>£ a quarter 1</t>
        </is>
      </c>
      <c r="AD1" s="1" t="inlineStr">
        <is>
          <t>£ a quarter 2</t>
        </is>
      </c>
      <c r="AE1" s="1" t="inlineStr">
        <is>
          <t>£ a quarter 3</t>
        </is>
      </c>
      <c r="AF1" s="1" t="inlineStr">
        <is>
          <t>£ a quarter 4</t>
        </is>
      </c>
      <c r="AG1" s="1" t="inlineStr">
        <is>
          <t>Quarters Sold</t>
        </is>
      </c>
      <c r="AH1" s="1" t="inlineStr">
        <is>
          <t>Weighted Average Price per Quarter</t>
        </is>
      </c>
      <c r="AI1" s="1" t="inlineStr">
        <is>
          <t>Non-Weighted Average Price per Quarter</t>
        </is>
      </c>
      <c r="AJ1" s="1" t="inlineStr">
        <is>
          <t>Corn lowercase</t>
        </is>
      </c>
    </row>
    <row r="2">
      <c r="A2" t="inlineStr">
        <is>
          <t>Sale of corn</t>
        </is>
      </c>
      <c r="B2" t="inlineStr">
        <is>
          <t>The same render account for £10 16 shilling 9.5pence from 48 quarters 6 bushels of wheat sold, at 5 shilling a quarters for 25 quarters 1 bushels). 4 shilling a quarters for 18.5 quarters 1 bushels, and 3 shilling 4pence a quarters for 5 quarters.</t>
        </is>
      </c>
      <c r="C2" t="n">
        <v>10.84</v>
      </c>
      <c r="D2" t="n">
        <v>10</v>
      </c>
      <c r="E2" t="n">
        <v>16</v>
      </c>
      <c r="F2" t="n">
        <v>9.5</v>
      </c>
      <c r="G2" t="inlineStr">
        <is>
          <t>wheat</t>
        </is>
      </c>
      <c r="H2" t="n">
        <v>48.5</v>
      </c>
      <c r="I2" t="n">
        <v>2</v>
      </c>
      <c r="J2" t="n">
        <v>48.75</v>
      </c>
      <c r="K2" t="n">
        <v>48.75</v>
      </c>
      <c r="L2" t="n">
        <v>0</v>
      </c>
      <c r="M2" t="n">
        <v>48</v>
      </c>
      <c r="N2" t="n">
        <v>6</v>
      </c>
      <c r="O2" t="n">
        <v>5</v>
      </c>
      <c r="P2" t="n">
        <v>0</v>
      </c>
      <c r="Q2" t="n">
        <v>25</v>
      </c>
      <c r="R2" t="n">
        <v>1</v>
      </c>
      <c r="S2" t="n">
        <v>4</v>
      </c>
      <c r="T2" t="n">
        <v>0</v>
      </c>
      <c r="U2" t="n">
        <v>18.5</v>
      </c>
      <c r="V2" t="n">
        <v>1</v>
      </c>
      <c r="W2" t="n">
        <v>3</v>
      </c>
      <c r="X2" t="n">
        <v>4</v>
      </c>
      <c r="Y2" t="n">
        <v>5</v>
      </c>
      <c r="Z2" t="n">
        <v>0</v>
      </c>
      <c r="AC2" t="n">
        <v>0.25</v>
      </c>
      <c r="AD2" t="n">
        <v>0.2</v>
      </c>
      <c r="AE2" t="n">
        <v>0.1666666666666667</v>
      </c>
      <c r="AG2" t="n">
        <v>48.75</v>
      </c>
      <c r="AH2" t="n">
        <v>0.2223504273504273</v>
      </c>
      <c r="AI2" t="n">
        <v>0.2055555555555556</v>
      </c>
      <c r="AJ2" t="inlineStr">
        <is>
          <t>wheat</t>
        </is>
      </c>
    </row>
    <row r="3">
      <c r="A3" t="inlineStr">
        <is>
          <t>Sale of corn</t>
        </is>
      </c>
      <c r="B3" t="inlineStr">
        <is>
          <t>£5 8 shilling 9pence from 32.5 quarters I bushels of barley sold, at 3 shilling 4pence a quarters.</t>
        </is>
      </c>
      <c r="C3" t="n">
        <v>5.44</v>
      </c>
      <c r="D3" t="n">
        <v>5</v>
      </c>
      <c r="E3" t="n">
        <v>8</v>
      </c>
      <c r="F3" t="n">
        <v>9</v>
      </c>
      <c r="G3" t="inlineStr">
        <is>
          <t>barley</t>
        </is>
      </c>
      <c r="H3" t="n">
        <v>32.5</v>
      </c>
      <c r="I3" t="n">
        <v>0</v>
      </c>
      <c r="J3" t="n">
        <v>32.5</v>
      </c>
      <c r="K3" t="n">
        <v>32.5</v>
      </c>
      <c r="L3" t="n">
        <v>0</v>
      </c>
      <c r="M3" t="n">
        <v>32.5</v>
      </c>
      <c r="N3" t="n">
        <v>0</v>
      </c>
      <c r="O3" t="n">
        <v>3</v>
      </c>
      <c r="P3" t="n">
        <v>4</v>
      </c>
      <c r="AC3" t="n">
        <v>0.1666666666666667</v>
      </c>
      <c r="AG3" t="n">
        <v>32.5</v>
      </c>
      <c r="AH3" t="n">
        <v>0.1666666666666667</v>
      </c>
      <c r="AI3" t="n">
        <v>0.1666666666666667</v>
      </c>
      <c r="AJ3" t="inlineStr">
        <is>
          <t>barley</t>
        </is>
      </c>
    </row>
    <row r="4">
      <c r="A4" t="inlineStr">
        <is>
          <t>Sale of corn</t>
        </is>
      </c>
      <c r="B4" t="inlineStr">
        <is>
          <t>2 shilling from 1 quarters of beans sold.</t>
        </is>
      </c>
      <c r="C4" t="n">
        <v>0.1</v>
      </c>
      <c r="D4" t="n">
        <v>0</v>
      </c>
      <c r="E4" t="n">
        <v>2</v>
      </c>
      <c r="F4" t="n">
        <v>0</v>
      </c>
      <c r="G4" t="inlineStr">
        <is>
          <t>beans</t>
        </is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0</v>
      </c>
      <c r="AC4" t="n">
        <v>0.1</v>
      </c>
      <c r="AG4" t="n">
        <v>1</v>
      </c>
      <c r="AH4" t="n">
        <v>0.1</v>
      </c>
      <c r="AI4" t="n">
        <v>0.1</v>
      </c>
      <c r="AJ4" t="inlineStr">
        <is>
          <t>beans</t>
        </is>
      </c>
    </row>
    <row r="5">
      <c r="A5" t="inlineStr">
        <is>
          <t>Sale of corn</t>
        </is>
      </c>
      <c r="B5" t="inlineStr">
        <is>
          <t>£1 6 shilling 8pence from a certain part of the stack of beans sold wholesale.</t>
        </is>
      </c>
      <c r="C5" t="n">
        <v>1.33</v>
      </c>
      <c r="D5" t="n">
        <v>1</v>
      </c>
      <c r="E5" t="n">
        <v>6</v>
      </c>
      <c r="F5" t="n">
        <v>8</v>
      </c>
      <c r="G5" t="inlineStr">
        <is>
          <t>beans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AC5" t="inlineStr">
        <is>
          <t>inf</t>
        </is>
      </c>
      <c r="AG5" t="n">
        <v>0</v>
      </c>
      <c r="AH5" t="inlineStr">
        <is>
          <t>inf</t>
        </is>
      </c>
      <c r="AI5" t="inlineStr">
        <is>
          <t>inf</t>
        </is>
      </c>
      <c r="AJ5" t="inlineStr">
        <is>
          <t>beans</t>
        </is>
      </c>
    </row>
    <row r="6">
      <c r="A6" t="inlineStr">
        <is>
          <t>Sale of corn</t>
        </is>
      </c>
      <c r="B6" t="inlineStr">
        <is>
          <t>Total, £17 14 shilling 2.5pence</t>
        </is>
      </c>
      <c r="C6" t="n">
        <v>17.71</v>
      </c>
      <c r="D6" t="n">
        <v>17</v>
      </c>
      <c r="E6" t="n">
        <v>14</v>
      </c>
      <c r="F6" t="n">
        <v>2.5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AC6" t="inlineStr">
        <is>
          <t>inf</t>
        </is>
      </c>
      <c r="AG6" t="n">
        <v>0</v>
      </c>
      <c r="AH6" t="inlineStr">
        <is>
          <t>inf</t>
        </is>
      </c>
      <c r="AI6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2025-12-18T10:17:12Z</dcterms:modified>
  <cp:lastModifiedBy>Kowalski, Kuba</cp:lastModifiedBy>
</cp:coreProperties>
</file>
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Merdon 1301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Merdon Overview" sheetId="6" state="visible" r:id="rId6"/>
    <sheet xmlns:r="http://schemas.openxmlformats.org/officeDocument/2006/relationships" name="Merdon Receipts" sheetId="7" state="visible" r:id="rId7"/>
    <sheet xmlns:r="http://schemas.openxmlformats.org/officeDocument/2006/relationships" name="Merdon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20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10" borderId="0" pivotButton="0" quotePrefix="0" xfId="0"/>
    <xf numFmtId="2" fontId="16" fillId="5" borderId="0" pivotButton="0" quotePrefix="0" xfId="0"/>
    <xf numFmtId="2" fontId="17" fillId="2" borderId="0" pivotButton="0" quotePrefix="0" xfId="0"/>
    <xf numFmtId="4" fontId="8" fillId="0" borderId="0" pivotButton="0" quotePrefix="0" xfId="0"/>
    <xf numFmtId="2" fontId="16" fillId="2" borderId="0" pivotButton="0" quotePrefix="0" xfId="0"/>
    <xf numFmtId="2" fontId="6" fillId="3" borderId="0" pivotButton="0" quotePrefix="0" xfId="0"/>
    <xf numFmtId="2" fontId="1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4" fontId="13" fillId="5" borderId="0" applyAlignment="1" pivotButton="0" quotePrefix="0" xfId="0">
      <alignment horizontal="right"/>
    </xf>
    <xf numFmtId="0" fontId="13" fillId="5" borderId="0" applyAlignment="1" pivotButton="0" quotePrefix="0" xfId="0">
      <alignment horizontal="right"/>
    </xf>
    <xf numFmtId="0" fontId="9" fillId="5" borderId="0" applyAlignment="1" pivotButton="0" quotePrefix="0" xfId="0">
      <alignment horizontal="right" wrapText="1"/>
    </xf>
    <xf numFmtId="2" fontId="9" fillId="5" borderId="0" applyAlignment="1" pivotButton="0" quotePrefix="0" xfId="0">
      <alignment wrapText="1"/>
    </xf>
    <xf numFmtId="4" fontId="13" fillId="0" borderId="0" applyAlignment="1" pivotButton="0" quotePrefix="0" xfId="0">
      <alignment horizontal="right"/>
    </xf>
    <xf numFmtId="0" fontId="13" fillId="0" borderId="0" applyAlignment="1" pivotButton="0" quotePrefix="0" xfId="0">
      <alignment horizontal="right"/>
    </xf>
    <xf numFmtId="0" fontId="13" fillId="5" borderId="0" applyAlignment="1" pivotButton="0" quotePrefix="0" xfId="0">
      <alignment horizontal="right" wrapText="1"/>
    </xf>
    <xf numFmtId="0" fontId="16" fillId="5" borderId="0" pivotButton="0" quotePrefix="0" xfId="0"/>
    <xf numFmtId="2" fontId="13" fillId="5"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8" fillId="9"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4"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7" authorId="0" shapeId="0">
      <text>
        <t xml:space="preserve">Victoria Gierok:
from Issue of the grange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MERDON 1301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40.36875</v>
      </c>
      <c r="D4" s="13" t="n"/>
      <c r="E4" s="13" t="n"/>
    </row>
    <row r="5">
      <c r="A5" s="15" t="inlineStr">
        <is>
          <t>Rents of assize total</t>
        </is>
      </c>
      <c r="B5" s="76" t="n">
        <v>38.87604166666667</v>
      </c>
    </row>
    <row r="6">
      <c r="A6" s="15" t="inlineStr">
        <is>
          <t>Quittances total</t>
        </is>
      </c>
      <c r="B6" s="76" t="n">
        <v>1.875</v>
      </c>
    </row>
    <row r="7">
      <c r="A7" s="15" t="inlineStr">
        <is>
          <t>Defaults of rent total</t>
        </is>
      </c>
      <c r="B7" s="76" t="n">
        <v>0.275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0.1125</v>
      </c>
    </row>
    <row r="15">
      <c r="A15" s="15" t="inlineStr">
        <is>
          <t>Issues of the Manor total</t>
        </is>
      </c>
      <c r="B15" s="76" t="n">
        <v>40.34791666666666</v>
      </c>
    </row>
    <row r="16">
      <c r="A16" s="76" t="inlineStr">
        <is>
          <t>Issues of the tenements in the lord's hands total</t>
        </is>
      </c>
      <c r="B16" s="76" t="n"/>
    </row>
    <row r="17">
      <c r="A17" s="76" t="inlineStr">
        <is>
          <t>Sale of labour services total</t>
        </is>
      </c>
      <c r="B17" s="76" t="n"/>
    </row>
    <row r="18">
      <c r="A18" s="15" t="inlineStr">
        <is>
          <t>Sale of corn total</t>
        </is>
      </c>
      <c r="B18" s="76" t="n">
        <v>104.0333333333333</v>
      </c>
    </row>
    <row r="19">
      <c r="A19" s="15" t="inlineStr">
        <is>
          <t>Entry and marriage fines total</t>
        </is>
      </c>
      <c r="B19" s="76" t="n">
        <v>6.966666666666667</v>
      </c>
    </row>
    <row r="20">
      <c r="A20" s="15" t="inlineStr">
        <is>
          <t>Pleas &amp; perquisites total</t>
        </is>
      </c>
      <c r="B20" s="76" t="n">
        <v>6.441666666666666</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9.608333333333333</v>
      </c>
    </row>
    <row r="31">
      <c r="A31" s="15" t="inlineStr">
        <is>
          <t>Purchase of corn total</t>
        </is>
      </c>
      <c r="B31" t="n">
        <v>12.04270833333333</v>
      </c>
    </row>
    <row r="32">
      <c r="A32" s="15" t="inlineStr">
        <is>
          <t>Cost of carts and wagons total</t>
        </is>
      </c>
      <c r="B32" t="n">
        <v>1.858333333333333</v>
      </c>
    </row>
    <row r="33">
      <c r="A33" s="15" t="inlineStr">
        <is>
          <t>Cost of dairy total</t>
        </is>
      </c>
      <c r="B33" t="n">
        <v>10.97291666666667</v>
      </c>
    </row>
    <row r="34">
      <c r="A34" s="15" t="inlineStr">
        <is>
          <t>Purchase of stock total</t>
        </is>
      </c>
    </row>
    <row r="35">
      <c r="A35" s="15" t="inlineStr">
        <is>
          <t>Sheepcote total</t>
        </is>
      </c>
    </row>
    <row r="36">
      <c r="A36" s="15" t="inlineStr">
        <is>
          <t>Cost of buildings total</t>
        </is>
      </c>
      <c r="B36" s="84" t="n">
        <v>0.9333333333333333</v>
      </c>
    </row>
    <row r="37">
      <c r="A37" s="15" t="inlineStr">
        <is>
          <t>Threshing total</t>
        </is>
      </c>
      <c r="B37" t="n">
        <v>0.8395833333333333</v>
      </c>
    </row>
    <row r="38">
      <c r="A38" s="15" t="inlineStr">
        <is>
          <t>Barley expenses</t>
        </is>
      </c>
    </row>
    <row r="39">
      <c r="A39" s="15" t="inlineStr">
        <is>
          <t>Expenses of the harvest total</t>
        </is>
      </c>
      <c r="B39" t="n">
        <v>0.7749999999999999</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47.90104166666666</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338.5</v>
      </c>
      <c r="F62" s="13" t="n"/>
    </row>
    <row r="63">
      <c r="A63" s="76" t="inlineStr">
        <is>
          <t>Rye</t>
        </is>
      </c>
      <c r="F63" s="13" t="n"/>
    </row>
    <row r="64">
      <c r="A64" s="76" t="inlineStr">
        <is>
          <t>Dredge</t>
        </is>
      </c>
      <c r="F64" s="13" t="n"/>
    </row>
    <row r="65">
      <c r="A65" s="76" t="inlineStr">
        <is>
          <t>Curall</t>
        </is>
      </c>
      <c r="B65" t="n">
        <v>19</v>
      </c>
      <c r="F65" s="13" t="n"/>
    </row>
    <row r="66">
      <c r="A66" s="76" t="inlineStr">
        <is>
          <t>Barley</t>
        </is>
      </c>
      <c r="B66" t="n">
        <v>61</v>
      </c>
      <c r="F66" s="13" t="n"/>
    </row>
    <row r="67">
      <c r="A67" s="76" t="inlineStr">
        <is>
          <t>Oats</t>
        </is>
      </c>
      <c r="B67" t="n">
        <v>290</v>
      </c>
      <c r="F67" s="13" t="n"/>
    </row>
    <row r="68">
      <c r="A68" s="76" t="inlineStr">
        <is>
          <t>Beans</t>
        </is>
      </c>
      <c r="F68" s="13" t="n"/>
    </row>
    <row r="69">
      <c r="A69" s="76" t="inlineStr">
        <is>
          <t>Peas</t>
        </is>
      </c>
      <c r="F69" s="13" t="n"/>
    </row>
    <row r="70">
      <c r="A70" s="76" t="inlineStr">
        <is>
          <t>Vetches</t>
        </is>
      </c>
      <c r="E70" t="n">
        <v>0.1</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v>0</v>
      </c>
      <c r="D88" s="76">
        <f>C88-B88</f>
        <v/>
      </c>
      <c r="F88" s="84">
        <f>'Stock'!K5*'Stock'!O5</f>
        <v/>
      </c>
      <c r="G88" s="84">
        <f>D88*'Stock'!O5</f>
        <v/>
      </c>
    </row>
    <row r="89">
      <c r="A89" s="15" t="inlineStr">
        <is>
          <t>Plough horses</t>
        </is>
      </c>
      <c r="B89" s="76" t="n">
        <v>11</v>
      </c>
      <c r="C89" s="76" t="n">
        <v>12</v>
      </c>
      <c r="D89" s="76" t="n">
        <v>1</v>
      </c>
      <c r="F89" s="84">
        <f>'Stock'!K6*'Stock'!O6</f>
        <v/>
      </c>
      <c r="G89" s="84">
        <f>D89*'Stock'!O6</f>
        <v/>
      </c>
    </row>
    <row r="90">
      <c r="A90" s="15" t="inlineStr">
        <is>
          <t>Colts (2 years)</t>
        </is>
      </c>
      <c r="B90" s="76" t="n"/>
      <c r="C90" s="76" t="n">
        <v>0</v>
      </c>
      <c r="D90" s="76">
        <f>C90-B90</f>
        <v/>
      </c>
      <c r="F90" s="84">
        <f>'Stock'!K8*'Stock'!O8</f>
        <v/>
      </c>
      <c r="G90" s="84">
        <f>D90*'Stock'!O8</f>
        <v/>
      </c>
    </row>
    <row r="91">
      <c r="A91" s="15" t="inlineStr">
        <is>
          <t>Colts (2 years)</t>
        </is>
      </c>
      <c r="B91" s="76" t="n"/>
      <c r="C91" s="76" t="n">
        <v>0</v>
      </c>
      <c r="D91" s="76">
        <f>C91-B91</f>
        <v/>
      </c>
      <c r="F91" s="84">
        <f>'Stock'!K8*'Stock'!O8</f>
        <v/>
      </c>
      <c r="G91" s="84">
        <f>D91*'Stock'!O8</f>
        <v/>
      </c>
    </row>
    <row r="92">
      <c r="A92" s="15" t="inlineStr">
        <is>
          <t>Colts (1 year)</t>
        </is>
      </c>
      <c r="B92" s="76" t="n"/>
      <c r="C92" s="76" t="n">
        <v>0</v>
      </c>
      <c r="D92" s="76">
        <f>C92-B92</f>
        <v/>
      </c>
      <c r="F92" s="84">
        <f>'Stock'!K9*'Stock'!O9</f>
        <v/>
      </c>
      <c r="G92" s="84">
        <f>D92*'Stock'!O9</f>
        <v/>
      </c>
    </row>
    <row r="93">
      <c r="A93" s="15" t="inlineStr">
        <is>
          <t>Foals</t>
        </is>
      </c>
      <c r="B93" s="76" t="n"/>
      <c r="C93" s="76" t="n">
        <v>0</v>
      </c>
      <c r="D93" s="76">
        <f>C93-B93</f>
        <v/>
      </c>
      <c r="F93" s="84">
        <f>'Stock'!K10*'Stock'!O10</f>
        <v/>
      </c>
      <c r="G93" s="84">
        <f>D93*'Stock'!O10</f>
        <v/>
      </c>
    </row>
    <row r="94">
      <c r="A94" s="15" t="inlineStr">
        <is>
          <t>Oxen</t>
        </is>
      </c>
      <c r="B94" s="76" t="n">
        <v>65</v>
      </c>
      <c r="C94" s="76" t="n">
        <v>59</v>
      </c>
      <c r="D94" s="76" t="n">
        <v>-6</v>
      </c>
      <c r="F94" s="84" t="n">
        <v>59</v>
      </c>
      <c r="G94" s="84" t="n">
        <v>-6</v>
      </c>
    </row>
    <row r="95">
      <c r="A95" s="15" t="inlineStr">
        <is>
          <t>Bulls</t>
        </is>
      </c>
      <c r="B95" s="76" t="n">
        <v>1</v>
      </c>
      <c r="C95" s="76" t="n">
        <v>1</v>
      </c>
      <c r="D95" s="76" t="n">
        <v>0</v>
      </c>
      <c r="F95" s="84">
        <f>'Stock'!K12*'Stock'!O12</f>
        <v/>
      </c>
      <c r="G95" s="84">
        <f>D95*'Stock'!O12</f>
        <v/>
      </c>
    </row>
    <row r="96">
      <c r="A96" s="15" t="inlineStr">
        <is>
          <t>Cows</t>
        </is>
      </c>
      <c r="B96" s="76" t="n">
        <v>23</v>
      </c>
      <c r="C96" s="76" t="n">
        <v>26</v>
      </c>
      <c r="D96" s="76" t="n">
        <v>3</v>
      </c>
      <c r="F96" s="84">
        <f>'Stock'!K13*'Stock'!O13</f>
        <v/>
      </c>
      <c r="G96" s="84">
        <f>D96*'Stock'!O13</f>
        <v/>
      </c>
    </row>
    <row r="97">
      <c r="A97" s="15" t="inlineStr">
        <is>
          <t>Steers</t>
        </is>
      </c>
      <c r="B97" s="76" t="n">
        <v>8</v>
      </c>
      <c r="C97" s="76" t="n">
        <v>0</v>
      </c>
      <c r="D97" s="76" t="n">
        <v>-8</v>
      </c>
      <c r="F97" s="84">
        <f>'Stock'!K14*'Stock'!O14</f>
        <v/>
      </c>
      <c r="G97" s="84">
        <f>D97*'Stock'!O14</f>
        <v/>
      </c>
    </row>
    <row r="98">
      <c r="A98" s="15" t="inlineStr">
        <is>
          <t>Bullocks</t>
        </is>
      </c>
      <c r="B98" s="76" t="n">
        <v>9</v>
      </c>
      <c r="C98" s="76" t="n">
        <v>9</v>
      </c>
      <c r="D98" s="76" t="n">
        <v>0</v>
      </c>
      <c r="F98" s="84">
        <f>'Stock'!K15*'Stock'!O15</f>
        <v/>
      </c>
      <c r="G98" s="84">
        <f>D98*'Stock'!O15</f>
        <v/>
      </c>
    </row>
    <row r="99">
      <c r="A99" s="15" t="inlineStr">
        <is>
          <t>Yearlings</t>
        </is>
      </c>
      <c r="B99" s="76" t="n">
        <v>9</v>
      </c>
      <c r="C99" s="76" t="n">
        <v>9</v>
      </c>
      <c r="D99" s="76" t="n">
        <v>0</v>
      </c>
      <c r="F99" s="84">
        <f>'Stock'!K16*'Stock'!O16</f>
        <v/>
      </c>
      <c r="G99" s="84">
        <f>D99*'Stock'!O16</f>
        <v/>
      </c>
    </row>
    <row r="100">
      <c r="A100" s="15" t="inlineStr">
        <is>
          <t>Calves</t>
        </is>
      </c>
      <c r="B100" s="76" t="n"/>
      <c r="C100" s="76" t="n">
        <v>10</v>
      </c>
      <c r="D100" s="76">
        <f>C100-B100</f>
        <v/>
      </c>
      <c r="F100" s="84">
        <f>'Stock'!K17*'Stock'!O17</f>
        <v/>
      </c>
      <c r="G100" s="84">
        <f>D100*'Stock'!O17</f>
        <v/>
      </c>
    </row>
    <row r="101">
      <c r="A101" s="15" t="inlineStr">
        <is>
          <t>Wethers</t>
        </is>
      </c>
      <c r="B101" s="76" t="n">
        <v>166</v>
      </c>
      <c r="C101" s="76" t="n">
        <v>171</v>
      </c>
      <c r="D101" s="76" t="n">
        <v>5</v>
      </c>
      <c r="F101" s="84">
        <f>'Stock'!K18*'Stock'!O18</f>
        <v/>
      </c>
      <c r="G101" s="84">
        <f>D101*'Stock'!O18</f>
        <v/>
      </c>
    </row>
    <row r="102">
      <c r="A102" s="15" t="inlineStr">
        <is>
          <t>Rams</t>
        </is>
      </c>
      <c r="B102" s="76" t="n">
        <v>12</v>
      </c>
      <c r="C102" s="76" t="n">
        <v>14</v>
      </c>
      <c r="D102" s="76" t="n">
        <v>2</v>
      </c>
      <c r="F102" s="84" t="n">
        <v>14</v>
      </c>
      <c r="G102" s="84" t="n">
        <v>2</v>
      </c>
    </row>
    <row r="103">
      <c r="A103" s="15" t="inlineStr">
        <is>
          <t>Ewes</t>
        </is>
      </c>
      <c r="B103" s="76" t="n">
        <v>238</v>
      </c>
      <c r="C103" s="76" t="n">
        <v>261</v>
      </c>
      <c r="D103" s="76" t="n">
        <v>23</v>
      </c>
      <c r="F103" s="84">
        <f>'Stock'!K20*'Stock'!O20</f>
        <v/>
      </c>
      <c r="G103" s="84">
        <f>D103*'Stock'!O20</f>
        <v/>
      </c>
    </row>
    <row r="104">
      <c r="A104" s="15" t="inlineStr">
        <is>
          <t>Hoggs</t>
        </is>
      </c>
      <c r="B104" s="76" t="n">
        <v>99</v>
      </c>
      <c r="C104" s="76" t="n">
        <v>0</v>
      </c>
      <c r="D104" s="76" t="n">
        <v>-99</v>
      </c>
      <c r="F104" s="84">
        <f>'Stock'!K21*'Stock'!O21</f>
        <v/>
      </c>
      <c r="G104" s="84">
        <f>D104*'Stock'!O21</f>
        <v/>
      </c>
    </row>
    <row r="105">
      <c r="A105" s="15" t="inlineStr">
        <is>
          <t>Lambs</t>
        </is>
      </c>
      <c r="B105" s="76" t="n"/>
      <c r="C105" s="76" t="n">
        <v>125</v>
      </c>
      <c r="D105" s="76">
        <f>C105-B105</f>
        <v/>
      </c>
      <c r="F105" s="84">
        <f>'Stock'!K22*'Stock'!O22</f>
        <v/>
      </c>
      <c r="G105" s="84">
        <f>D105*'Stock'!O22</f>
        <v/>
      </c>
    </row>
    <row r="106">
      <c r="A106" s="15" t="inlineStr">
        <is>
          <t>Boars</t>
        </is>
      </c>
      <c r="B106" s="76" t="n">
        <v>1</v>
      </c>
      <c r="C106" s="76" t="n">
        <v>1</v>
      </c>
      <c r="D106" s="76" t="n">
        <v>0</v>
      </c>
      <c r="F106" s="84">
        <f>'Stock'!K23*'Stock'!O23</f>
        <v/>
      </c>
      <c r="G106" s="84">
        <f>D106*'Stock'!O23</f>
        <v/>
      </c>
    </row>
    <row r="107">
      <c r="A107" s="15" t="inlineStr">
        <is>
          <t>Sows</t>
        </is>
      </c>
      <c r="B107" s="76" t="n">
        <v>2</v>
      </c>
      <c r="C107" s="76" t="n">
        <v>2</v>
      </c>
      <c r="D107" s="76" t="n">
        <v>0</v>
      </c>
      <c r="F107" s="84">
        <f>'Stock'!K24*'Stock'!O24</f>
        <v/>
      </c>
      <c r="G107" s="84">
        <f>D107*'Stock'!O24</f>
        <v/>
      </c>
    </row>
    <row r="108">
      <c r="A108" s="15" t="inlineStr">
        <is>
          <t>Pigs</t>
        </is>
      </c>
      <c r="B108" s="76" t="n">
        <v>21</v>
      </c>
      <c r="C108" s="76" t="n">
        <v>15</v>
      </c>
      <c r="D108" s="76" t="n">
        <v>-6</v>
      </c>
      <c r="F108" s="84">
        <f>'Stock'!K25*'Stock'!O25</f>
        <v/>
      </c>
      <c r="G108" s="84">
        <f>D108*'Stock'!O25</f>
        <v/>
      </c>
    </row>
    <row r="109">
      <c r="A109" s="15" t="inlineStr">
        <is>
          <t>Hoggets</t>
        </is>
      </c>
      <c r="B109" s="76" t="n">
        <v>28</v>
      </c>
      <c r="C109" s="76" t="n">
        <v>0</v>
      </c>
      <c r="D109" s="76" t="n">
        <v>-28</v>
      </c>
      <c r="F109" s="84">
        <f>'Stock'!K26*'Stock'!O26</f>
        <v/>
      </c>
      <c r="G109" s="84">
        <f>D109*'Stock'!O26</f>
        <v/>
      </c>
    </row>
    <row r="110">
      <c r="A110" s="15" t="inlineStr">
        <is>
          <t>Piglets</t>
        </is>
      </c>
      <c r="B110" s="76" t="n"/>
      <c r="C110" s="76" t="n">
        <v>35</v>
      </c>
      <c r="D110" s="76">
        <f>C110-B110</f>
        <v/>
      </c>
      <c r="F110" s="84">
        <f>'Stock'!K27*'Stock'!O27</f>
        <v/>
      </c>
      <c r="G110" s="84">
        <f>D110*'Stock'!O27</f>
        <v/>
      </c>
    </row>
    <row r="111">
      <c r="A111" s="15" t="inlineStr">
        <is>
          <t>Swans</t>
        </is>
      </c>
      <c r="B111" s="76" t="n"/>
      <c r="C111" s="76" t="n">
        <v>0</v>
      </c>
      <c r="D111" s="76">
        <f>C111-B111</f>
        <v/>
      </c>
      <c r="F111" s="84">
        <f>'Stock'!K28*'Stock'!O28</f>
        <v/>
      </c>
      <c r="G111" s="84">
        <f>D111*'Stock'!O28</f>
        <v/>
      </c>
    </row>
    <row r="112">
      <c r="A112" s="15" t="inlineStr">
        <is>
          <t>Peacocks</t>
        </is>
      </c>
      <c r="B112" s="76" t="n"/>
      <c r="C112" s="76" t="n">
        <v>0</v>
      </c>
      <c r="D112" s="76">
        <f>C112-B112</f>
        <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c r="C120" t="n">
        <v>0</v>
      </c>
      <c r="F120">
        <f>C120*'Stock'!O35</f>
        <v/>
      </c>
    </row>
    <row r="121">
      <c r="A121" s="15" t="inlineStr">
        <is>
          <t>Wool locks</t>
        </is>
      </c>
      <c r="C121" t="n">
        <v>0</v>
      </c>
      <c r="F121">
        <f>C121*'Stock'!O36</f>
        <v/>
      </c>
    </row>
    <row r="122">
      <c r="A122" s="15" t="inlineStr">
        <is>
          <t>Wool sold at shearing</t>
        </is>
      </c>
      <c r="C122" t="n">
        <v>0</v>
      </c>
      <c r="F122">
        <f>C122*'Stock'!O37</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f>C154*'Stock'!O68</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C166*'Stock'!O89</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9"/>
  <sheetViews>
    <sheetView topLeftCell="A1" workbookViewId="0">
      <selection activeCell="A1" sqref="A1"/>
    </sheetView>
  </sheetViews>
  <sheetFormatPr baseColWidth="8" defaultRowHeight="15"/>
  <cols>
    <col width="80" customWidth="1" min="1" max="1"/>
    <col width="17.1640625" customWidth="1" min="7" max="7"/>
    <col width="20.83203125" customWidth="1" min="8" max="8"/>
  </cols>
  <sheetData>
    <row r="1" ht="19" customHeight="1">
      <c r="A1" s="127" t="inlineStr">
        <is>
          <t>MERDON OVERVIEW</t>
        </is>
      </c>
      <c r="B1" s="128" t="inlineStr">
        <is>
          <t>£</t>
        </is>
      </c>
      <c r="C1" s="129" t="inlineStr">
        <is>
          <t xml:space="preserve">s </t>
        </is>
      </c>
      <c r="D1" s="129" t="inlineStr">
        <is>
          <t>d</t>
        </is>
      </c>
      <c r="E1" s="130" t="n"/>
      <c r="F1" s="130" t="n"/>
      <c r="G1" s="131" t="inlineStr">
        <is>
          <t>Total in £</t>
        </is>
      </c>
      <c r="H1" s="132" t="inlineStr">
        <is>
          <t>Error</t>
        </is>
      </c>
    </row>
    <row r="2">
      <c r="A2" s="15" t="n"/>
      <c r="B2" s="15" t="n"/>
      <c r="C2" s="15" t="n"/>
      <c r="D2" s="15" t="n"/>
      <c r="E2" s="15" t="n"/>
      <c r="F2" s="15" t="n"/>
      <c r="G2" s="133" t="n"/>
      <c r="H2" s="10" t="n"/>
    </row>
    <row r="3">
      <c r="A3" s="8" t="inlineStr">
        <is>
          <t>CASH ACCOUNT</t>
        </is>
      </c>
      <c r="B3" s="15" t="n"/>
      <c r="C3" s="15" t="n"/>
      <c r="D3" s="15" t="n"/>
      <c r="E3" s="15" t="n"/>
      <c r="F3" s="15" t="n"/>
      <c r="G3" s="133" t="n"/>
      <c r="H3" s="10" t="n"/>
    </row>
    <row r="4">
      <c r="A4" s="16" t="inlineStr">
        <is>
          <t>RECEIPTS</t>
        </is>
      </c>
      <c r="B4" s="134" t="n"/>
      <c r="C4" s="134" t="n"/>
      <c r="D4" s="134" t="n"/>
      <c r="E4" s="134" t="n"/>
      <c r="F4" s="134" t="n"/>
      <c r="G4" s="135" t="n"/>
      <c r="H4" s="10" t="n"/>
    </row>
    <row r="5">
      <c r="A5" s="15" t="inlineStr">
        <is>
          <t>Arrears total</t>
        </is>
      </c>
      <c r="C5" s="15" t="n"/>
      <c r="D5" s="15" t="n"/>
      <c r="E5" s="15" t="n"/>
      <c r="F5" s="15" t="n"/>
      <c r="G5" s="136">
        <f>IF(INDEX('Merdon Receipts'!$A$4:$F$131,MATCH('Merdon Overview'!$A5,'Merdon Receipts'!$A$4:$A$131,0),6)=0,"",INDEX('Merdon Receipts'!$A$4:$F$131,MATCH('Merdon Overview'!$A5,'Merdon Receipts'!$A$4:$A$131,0),6))</f>
        <v/>
      </c>
      <c r="H5" s="10" t="n"/>
    </row>
    <row r="6">
      <c r="A6" s="15" t="inlineStr">
        <is>
          <t>Rents of assize total</t>
        </is>
      </c>
      <c r="B6" s="15" t="n"/>
      <c r="C6" s="15" t="n"/>
      <c r="D6" s="15" t="n"/>
      <c r="E6" s="15" t="n"/>
      <c r="F6" s="15" t="n"/>
      <c r="G6" s="136">
        <f>IF(INDEX('Merdon Receipts'!$A$4:$F$131,MATCH('Merdon Overview'!$A6,'Merdon Receipts'!$A$4:$A$131,0),6)=0,"",INDEX('Merdon Receipts'!$A$4:$F$131,MATCH('Merdon Overview'!$A6,'Merdon Receipts'!$A$4:$A$131,0),6))</f>
        <v/>
      </c>
      <c r="H6" s="10" t="n"/>
    </row>
    <row r="7">
      <c r="A7" s="15" t="inlineStr">
        <is>
          <t>Quittances total</t>
        </is>
      </c>
      <c r="B7" s="15" t="n"/>
      <c r="C7" s="15" t="n"/>
      <c r="D7" s="15" t="n"/>
      <c r="E7" s="15" t="n"/>
      <c r="F7" s="15" t="n"/>
      <c r="G7" s="136">
        <f>IF(INDEX('Merdon Receipts'!$A$4:$F$131,MATCH('Merdon Overview'!$A7,'Merdon Receipts'!$A$4:$A$131,0),6)=0,"",INDEX('Merdon Receipts'!$A$4:$F$131,MATCH('Merdon Overview'!$A7,'Merdon Receipts'!$A$4:$A$131,0),6))</f>
        <v/>
      </c>
      <c r="H7" s="10" t="n"/>
    </row>
    <row r="8">
      <c r="A8" s="15" t="inlineStr">
        <is>
          <t>Defaults of rent total</t>
        </is>
      </c>
      <c r="B8" s="15" t="n"/>
      <c r="C8" s="15" t="n"/>
      <c r="D8" s="15" t="n"/>
      <c r="E8" s="15" t="n"/>
      <c r="F8" s="15" t="n"/>
      <c r="G8" s="136">
        <f>IF(INDEX('Merdon Receipts'!$A$4:$F$131,MATCH('Merdon Overview'!$A8,'Merdon Receipts'!$A$4:$A$131,0),6)=0,"",INDEX('Merdon Receipts'!$A$4:$F$131,MATCH('Merdon Overview'!$A8,'Merdon Receipts'!$A$4:$A$131,0),6))</f>
        <v/>
      </c>
      <c r="H8" s="10" t="n"/>
    </row>
    <row r="9">
      <c r="A9" s="15" t="inlineStr">
        <is>
          <t>Total rents remaining</t>
        </is>
      </c>
      <c r="B9" s="15" t="n"/>
      <c r="C9" s="15" t="n"/>
      <c r="D9" s="15" t="n"/>
      <c r="E9" s="15" t="n"/>
      <c r="F9" s="15" t="n"/>
      <c r="G9" s="136">
        <f>'Merdon Receipts'!F30</f>
        <v/>
      </c>
      <c r="H9" s="10" t="n"/>
    </row>
    <row r="10">
      <c r="A10" s="15" t="inlineStr">
        <is>
          <t>Annual recognizances total</t>
        </is>
      </c>
      <c r="B10" s="15" t="n"/>
      <c r="C10" s="15" t="n"/>
      <c r="D10" s="15" t="n"/>
      <c r="E10" s="15" t="n"/>
      <c r="F10" s="15" t="n"/>
      <c r="G10" s="136">
        <f>IF(INDEX('Merdon Receipts'!$A$4:$F$131,MATCH('Merdon Overview'!$A10,'Merdon Receipts'!$A$4:$A$131,0),6)=0,"",INDEX('Merdon Receipts'!$A$4:$F$131,MATCH('Merdon Overview'!$A10,'Merdon Receipts'!$A$4:$A$131,0),6))</f>
        <v/>
      </c>
      <c r="H10" s="10" t="n"/>
    </row>
    <row r="11">
      <c r="A11" s="15" t="inlineStr">
        <is>
          <t>Issues of the Manor total</t>
        </is>
      </c>
      <c r="B11" s="15" t="n"/>
      <c r="C11" s="15" t="n"/>
      <c r="D11" s="15" t="n"/>
      <c r="E11" s="15" t="n"/>
      <c r="F11" s="15" t="n"/>
      <c r="G11" s="136">
        <f>IF(INDEX('Merdon Receipts'!$A$4:$F$131,MATCH('Merdon Overview'!$A11,'Merdon Receipts'!$A$4:$A$131,0),6)=0,"",INDEX('Merdon Receipts'!$A$4:$F$131,MATCH('Merdon Overview'!$A11,'Merdon Receipts'!$A$4:$A$131,0),6))</f>
        <v/>
      </c>
      <c r="H11" s="10" t="n"/>
    </row>
    <row r="12">
      <c r="A12" s="15" t="inlineStr">
        <is>
          <t>Sale of corn total</t>
        </is>
      </c>
      <c r="B12" s="15" t="n"/>
      <c r="C12" s="15" t="n"/>
      <c r="D12" s="15" t="n"/>
      <c r="E12" s="15" t="n"/>
      <c r="F12" s="15" t="n"/>
      <c r="G12" s="136">
        <f>IF(INDEX('Merdon Receipts'!$A$4:$F$131,MATCH('Merdon Overview'!$A12,'Merdon Receipts'!$A$4:$A$131,0),6)=0,"",INDEX('Merdon Receipts'!$A$4:$F$131,MATCH('Merdon Overview'!$A12,'Merdon Receipts'!$A$4:$A$131,0),6))</f>
        <v/>
      </c>
      <c r="H12" s="10" t="n"/>
    </row>
    <row r="13">
      <c r="A13" s="15" t="inlineStr">
        <is>
          <t>Entry and marriage fines total</t>
        </is>
      </c>
      <c r="B13" s="15" t="n"/>
      <c r="C13" s="15" t="n"/>
      <c r="D13" s="15" t="n"/>
      <c r="E13" s="15" t="n"/>
      <c r="F13" s="15" t="n"/>
      <c r="G13" s="136">
        <f>IF(INDEX('Merdon Receipts'!$A$4:$F$131,MATCH('Merdon Overview'!$A13,'Merdon Receipts'!$A$4:$A$131,0),6)=0,"",INDEX('Merdon Receipts'!$A$4:$F$131,MATCH('Merdon Overview'!$A13,'Merdon Receipts'!$A$4:$A$131,0),6))</f>
        <v/>
      </c>
      <c r="H13" s="10" t="n"/>
    </row>
    <row r="14">
      <c r="A14" s="15" t="inlineStr">
        <is>
          <t>Pleas &amp; perquisites total</t>
        </is>
      </c>
      <c r="B14" s="15" t="n"/>
      <c r="C14" s="15" t="n"/>
      <c r="D14" s="15" t="n"/>
      <c r="E14" s="15" t="n"/>
      <c r="F14" s="15" t="n"/>
      <c r="G14" s="136">
        <f>IF(INDEX('Merdon Receipts'!$A$4:$F$131,MATCH('Merdon Overview'!$A14,'Merdon Receipts'!$A$4:$A$131,0),6)=0,"",INDEX('Merdon Receipts'!$A$4:$F$131,MATCH('Merdon Overview'!$A14,'Merdon Receipts'!$A$4:$A$131,0),6))</f>
        <v/>
      </c>
      <c r="H14" s="10" t="n"/>
    </row>
    <row r="15">
      <c r="A15" s="17" t="inlineStr">
        <is>
          <t>Sum of the above (incl. arrears)</t>
        </is>
      </c>
      <c r="B15" s="17" t="n"/>
      <c r="C15" s="17" t="n"/>
      <c r="D15" s="17" t="n"/>
      <c r="E15" s="17" t="n"/>
      <c r="F15" s="17" t="n"/>
      <c r="G15" s="137">
        <f>G5+G9+G10+G11+G12+G13+G14</f>
        <v/>
      </c>
      <c r="H15" s="10" t="n"/>
    </row>
    <row r="16">
      <c r="A16" s="17" t="inlineStr">
        <is>
          <t>Total recorded in the accounts excl. arrears</t>
        </is>
      </c>
      <c r="B16" s="17" t="n"/>
      <c r="C16" s="17" t="n"/>
      <c r="D16" s="17" t="n"/>
      <c r="E16" s="17" t="n"/>
      <c r="F16" s="17" t="n"/>
      <c r="G16" s="137">
        <f>'Merdon Receipts'!F130</f>
        <v/>
      </c>
      <c r="H16" s="138">
        <f>G15-G16</f>
        <v/>
      </c>
      <c r="I16" s="40" t="n"/>
    </row>
    <row r="17">
      <c r="A17" s="17" t="inlineStr">
        <is>
          <t>Total recorded in the accounts incl. arrears</t>
        </is>
      </c>
      <c r="B17" s="17" t="n"/>
      <c r="C17" s="17" t="n"/>
      <c r="D17" s="17" t="n"/>
      <c r="E17" s="17" t="n"/>
      <c r="F17" s="17" t="n"/>
      <c r="G17" s="137">
        <f>'Merdon Receipts'!F131</f>
        <v/>
      </c>
      <c r="H17" s="138" t="n"/>
    </row>
    <row r="18">
      <c r="A18" s="15" t="n"/>
      <c r="B18" s="15" t="n"/>
      <c r="C18" s="15" t="n"/>
      <c r="D18" s="15" t="n"/>
      <c r="E18" s="15" t="n"/>
      <c r="F18" s="15" t="n"/>
      <c r="G18" s="133" t="n"/>
      <c r="H18" s="10" t="n"/>
    </row>
    <row r="19">
      <c r="A19" s="15" t="n"/>
      <c r="B19" s="15" t="n"/>
      <c r="C19" s="15" t="n"/>
      <c r="D19" s="15" t="n"/>
      <c r="E19" s="15" t="n"/>
      <c r="F19" s="15" t="n"/>
      <c r="G19" s="133" t="n"/>
      <c r="H19" s="10" t="n"/>
    </row>
    <row r="20">
      <c r="A20" s="16" t="inlineStr">
        <is>
          <t>EXPENSES</t>
        </is>
      </c>
      <c r="B20" s="134" t="n"/>
      <c r="C20" s="134" t="n"/>
      <c r="D20" s="134" t="n"/>
      <c r="E20" s="134" t="n"/>
      <c r="F20" s="134" t="n"/>
      <c r="G20" s="135" t="n"/>
      <c r="H20" s="10" t="n"/>
    </row>
    <row r="21">
      <c r="A21" s="15" t="inlineStr">
        <is>
          <t>Cost of ploughs total</t>
        </is>
      </c>
      <c r="C21" s="15" t="n"/>
      <c r="D21" s="15" t="n"/>
      <c r="E21" s="15" t="n"/>
      <c r="F21" s="15" t="n"/>
      <c r="G21" s="136">
        <f>IF(INDEX('Merdon Expenses'!$A$2:$F$170,MATCH('Merdon Overview'!$A21,'Merdon Expenses'!$A$2:$A$170,0),6)=0,"",INDEX('Merdon Expenses'!$A$2:$F$170,MATCH('Merdon Overview'!$A21,'Merdon Expenses'!$A$2:$A$170,0),6))</f>
        <v/>
      </c>
      <c r="H21" s="10" t="n"/>
    </row>
    <row r="22">
      <c r="A22" s="15" t="inlineStr">
        <is>
          <t>Purchase of corn total</t>
        </is>
      </c>
      <c r="B22" s="15" t="n"/>
      <c r="C22" s="15" t="n"/>
      <c r="D22" s="15" t="n"/>
      <c r="E22" s="15" t="n"/>
      <c r="F22" s="15" t="n"/>
      <c r="G22" s="136">
        <f>IF(INDEX('Merdon Expenses'!$A$2:$F$170,MATCH('Merdon Overview'!$A22,'Merdon Expenses'!$A$2:$A$170,0),6)=0,"",INDEX('Merdon Expenses'!$A$2:$F$170,MATCH('Merdon Overview'!$A22,'Merdon Expenses'!$A$2:$A$170,0),6))</f>
        <v/>
      </c>
      <c r="H22" s="10" t="n"/>
    </row>
    <row r="23">
      <c r="A23" s="15" t="inlineStr">
        <is>
          <t>Cost of carts and wagons total</t>
        </is>
      </c>
      <c r="B23" s="15" t="n"/>
      <c r="C23" s="15" t="n"/>
      <c r="D23" s="15" t="n"/>
      <c r="E23" s="15" t="n"/>
      <c r="F23" s="15" t="n"/>
      <c r="G23" s="136">
        <f>IF(INDEX('Merdon Expenses'!$A$2:$F$170,MATCH('Merdon Overview'!$A23,'Merdon Expenses'!$A$2:$A$170,0),6)=0,"",INDEX('Merdon Expenses'!$A$2:$F$170,MATCH('Merdon Overview'!$A23,'Merdon Expenses'!$A$2:$A$170,0),6))</f>
        <v/>
      </c>
      <c r="H23" s="10" t="n"/>
    </row>
    <row r="24">
      <c r="A24" s="15" t="inlineStr">
        <is>
          <t>Cost of dairy total</t>
        </is>
      </c>
      <c r="B24" s="15" t="n"/>
      <c r="C24" s="15" t="n"/>
      <c r="D24" s="15" t="n"/>
      <c r="E24" s="15" t="n"/>
      <c r="F24" s="15" t="n"/>
      <c r="G24" s="136">
        <f>IF(INDEX('Merdon Expenses'!$A$2:$F$170,MATCH('Merdon Overview'!$A24,'Merdon Expenses'!$A$2:$A$170,0),6)=0,"",INDEX('Merdon Expenses'!$A$2:$F$170,MATCH('Merdon Overview'!$A24,'Merdon Expenses'!$A$2:$A$170,0),6))</f>
        <v/>
      </c>
      <c r="H24" s="10" t="n"/>
    </row>
    <row r="25">
      <c r="A25" s="15" t="inlineStr">
        <is>
          <t>Weeding total</t>
        </is>
      </c>
      <c r="B25" s="15" t="n"/>
      <c r="C25" s="15" t="n"/>
      <c r="D25" s="15" t="n"/>
      <c r="E25" s="15" t="n"/>
      <c r="F25" s="15" t="n"/>
      <c r="G25" s="136">
        <f>IF(INDEX('Merdon Expenses'!$A$2:$F$170,MATCH('Merdon Overview'!$A25,'Merdon Expenses'!$A$2:$A$170,0),6)=0,"",INDEX('Merdon Expenses'!$A$2:$F$170,MATCH('Merdon Overview'!$A25,'Merdon Expenses'!$A$2:$A$170,0),6))</f>
        <v/>
      </c>
      <c r="H25" s="10" t="n"/>
    </row>
    <row r="26">
      <c r="A26" t="inlineStr">
        <is>
          <t>Provision of household servants at harvest-time total</t>
        </is>
      </c>
      <c r="B26" s="15" t="n"/>
      <c r="C26" s="15" t="n"/>
      <c r="D26" s="15" t="n"/>
      <c r="E26" s="15" t="n"/>
      <c r="F26" s="15" t="n"/>
      <c r="G26" s="136">
        <f>IF(INDEX('Merdon Expenses'!$A$2:$F$170,MATCH('Merdon Overview'!$A26,'Merdon Expenses'!$A$2:$A$170,0),6)=0,"",INDEX('Merdon Expenses'!$A$2:$F$170,MATCH('Merdon Overview'!$A26,'Merdon Expenses'!$A$2:$A$170,0),6))</f>
        <v/>
      </c>
      <c r="H26" s="10" t="n"/>
    </row>
    <row r="27">
      <c r="A27" s="15" t="inlineStr">
        <is>
          <t>Cost of buildings total</t>
        </is>
      </c>
      <c r="B27" s="15" t="n"/>
      <c r="C27" s="15" t="n"/>
      <c r="D27" s="15" t="n"/>
      <c r="E27" s="15" t="n"/>
      <c r="F27" s="15" t="n"/>
      <c r="G27" s="136">
        <f>IF(INDEX('Merdon Expenses'!$A$2:$F$170,MATCH('Merdon Overview'!$A27,'Merdon Expenses'!$A$2:$A$170,0),6)=0,"",INDEX('Merdon Expenses'!$A$2:$F$170,MATCH('Merdon Overview'!$A27,'Merdon Expenses'!$A$2:$A$170,0),6))</f>
        <v/>
      </c>
      <c r="H27" s="10" t="n"/>
    </row>
    <row r="28">
      <c r="A28" s="15" t="inlineStr">
        <is>
          <t>Threshing total</t>
        </is>
      </c>
      <c r="B28" s="15" t="n"/>
      <c r="C28" s="15" t="n"/>
      <c r="D28" s="15" t="n"/>
      <c r="E28" s="15" t="n"/>
      <c r="F28" s="15" t="n"/>
      <c r="G28" s="136">
        <f>IF(INDEX('Merdon Expenses'!$A$2:$F$170,MATCH('Merdon Overview'!$A28,'Merdon Expenses'!$A$2:$A$170,0),6)=0,"",INDEX('Merdon Expenses'!$A$2:$F$170,MATCH('Merdon Overview'!$A28,'Merdon Expenses'!$A$2:$A$170,0),6))</f>
        <v/>
      </c>
      <c r="H28" s="10" t="n"/>
    </row>
    <row r="29">
      <c r="A29" s="15" t="inlineStr">
        <is>
          <t>Expenses of the harvest total</t>
        </is>
      </c>
      <c r="B29" s="15" t="n"/>
      <c r="C29" s="15" t="n"/>
      <c r="D29" s="15" t="n"/>
      <c r="E29" s="15" t="n"/>
      <c r="F29" s="15" t="n"/>
      <c r="G29" s="136">
        <f>IF(INDEX('Merdon Expenses'!$A$2:$F$170,MATCH('Merdon Overview'!$A29,'Merdon Expenses'!$A$2:$A$170,0),6)=0,"",INDEX('Merdon Expenses'!$A$2:$F$170,MATCH('Merdon Overview'!$A29,'Merdon Expenses'!$A$2:$A$170,0),6))</f>
        <v/>
      </c>
      <c r="H29" s="10" t="n"/>
    </row>
    <row r="30">
      <c r="A30" t="inlineStr">
        <is>
          <t>Payments for building repairs total</t>
        </is>
      </c>
      <c r="B30" s="15" t="n"/>
      <c r="C30" s="15" t="n"/>
      <c r="D30" s="15" t="n"/>
      <c r="E30" s="15" t="n"/>
      <c r="F30" s="15" t="n"/>
      <c r="G30" s="136">
        <f>IF(INDEX('Merdon Expenses'!$A$2:$F$170,MATCH('Merdon Overview'!$A30,'Merdon Expenses'!$A$2:$A$170,0),6)=0,"",INDEX('Merdon Expenses'!$A$2:$F$170,MATCH('Merdon Overview'!$A30,'Merdon Expenses'!$A$2:$A$170,0),6))</f>
        <v/>
      </c>
      <c r="H30" s="10" t="n"/>
    </row>
    <row r="31">
      <c r="A31" t="inlineStr">
        <is>
          <t>Cost of the park total</t>
        </is>
      </c>
      <c r="B31" s="15" t="n"/>
      <c r="C31" s="15" t="n"/>
      <c r="D31" s="15" t="n"/>
      <c r="E31" s="15" t="n"/>
      <c r="F31" s="15" t="n"/>
      <c r="G31" s="136">
        <f>IF(INDEX('Merdon Expenses'!$A$2:$F$170,MATCH('Merdon Overview'!$A31,'Merdon Expenses'!$A$2:$A$170,0),6)=0,"",INDEX('Merdon Expenses'!$A$2:$F$170,MATCH('Merdon Overview'!$A31,'Merdon Expenses'!$A$2:$A$170,0),6))</f>
        <v/>
      </c>
      <c r="H31" s="10" t="n"/>
    </row>
    <row r="32">
      <c r="A32" s="15" t="inlineStr">
        <is>
          <t>Steward's expenses total</t>
        </is>
      </c>
      <c r="B32" s="15" t="n"/>
      <c r="C32" s="15" t="n"/>
      <c r="D32" s="15" t="n"/>
      <c r="E32" s="15" t="n"/>
      <c r="F32" s="15" t="n"/>
      <c r="G32" s="136">
        <f>IF(INDEX('Merdon Expenses'!$A$2:$F$170,MATCH('Merdon Overview'!$A32,'Merdon Expenses'!$A$2:$A$170,0),6)=0,"",INDEX('Merdon Expenses'!$A$2:$F$170,MATCH('Merdon Overview'!$A32,'Merdon Expenses'!$A$2:$A$170,0),6))</f>
        <v/>
      </c>
      <c r="H32" s="10" t="n"/>
    </row>
    <row r="33">
      <c r="A33" s="17" t="inlineStr">
        <is>
          <t>Sum of the above</t>
        </is>
      </c>
      <c r="B33" s="134" t="n"/>
      <c r="C33" s="134" t="n"/>
      <c r="D33" s="134" t="n"/>
      <c r="E33" s="134" t="n"/>
      <c r="F33" s="134" t="n"/>
      <c r="G33" s="139">
        <f>SUM(G21:G32)</f>
        <v/>
      </c>
      <c r="H33" s="10" t="n"/>
    </row>
    <row r="34">
      <c r="A34" s="17" t="inlineStr">
        <is>
          <t>Total of all expenses</t>
        </is>
      </c>
      <c r="B34" s="134" t="n"/>
      <c r="C34" s="134" t="n"/>
      <c r="D34" s="134" t="n"/>
      <c r="E34" s="134" t="n"/>
      <c r="F34" s="134" t="n"/>
      <c r="G34" s="139">
        <f>'Merdon Expenses'!F165</f>
        <v/>
      </c>
      <c r="H34" s="138">
        <f>G33-G34</f>
        <v/>
      </c>
    </row>
    <row r="35">
      <c r="A35" s="17" t="inlineStr">
        <is>
          <t>Capital Expenses</t>
        </is>
      </c>
      <c r="B35" s="134" t="n"/>
      <c r="C35" s="134" t="n"/>
      <c r="D35" s="134" t="n"/>
      <c r="E35" s="134" t="n"/>
      <c r="F35" s="134" t="n"/>
      <c r="G35" s="139">
        <f>'Merdon Expenses'!F170</f>
        <v/>
      </c>
      <c r="H35" s="10" t="n"/>
    </row>
    <row r="36">
      <c r="A36" s="15" t="n"/>
      <c r="B36" s="15" t="n"/>
      <c r="C36" s="15" t="n"/>
      <c r="D36" s="15" t="n"/>
      <c r="E36" s="15" t="n"/>
      <c r="F36" s="15" t="n"/>
      <c r="G36" s="133" t="n"/>
      <c r="H36" s="10" t="n"/>
    </row>
    <row r="37">
      <c r="A37" s="18" t="inlineStr">
        <is>
          <t>Owed by the reeve</t>
        </is>
      </c>
      <c r="B37" s="18" t="n"/>
      <c r="C37" s="18" t="n"/>
      <c r="D37" s="18" t="n"/>
      <c r="E37" s="18" t="n"/>
      <c r="F37" s="18" t="n"/>
      <c r="G37" s="140">
        <f>G15-G5-G33</f>
        <v/>
      </c>
      <c r="H37" s="10" t="n"/>
    </row>
    <row r="38">
      <c r="A38" s="18" t="inlineStr">
        <is>
          <t>From accounts</t>
        </is>
      </c>
      <c r="B38" s="18" t="n"/>
      <c r="C38" s="18" t="n"/>
      <c r="D38" s="18" t="n"/>
      <c r="E38" s="18" t="n"/>
      <c r="F38" s="18" t="n"/>
      <c r="G38" s="141">
        <f>'Merdon Expenses'!F166</f>
        <v/>
      </c>
      <c r="H38" s="138">
        <f>G38-G37</f>
        <v/>
      </c>
    </row>
    <row r="39">
      <c r="A39" s="15" t="n"/>
      <c r="B39" s="15" t="n"/>
      <c r="C39" s="15" t="n"/>
      <c r="D39" s="15" t="n"/>
      <c r="E39" s="15" t="n"/>
      <c r="F39" s="15" t="n"/>
      <c r="G39" s="133" t="n"/>
      <c r="H39" s="10" t="n"/>
    </row>
    <row r="40">
      <c r="A40" s="18" t="inlineStr">
        <is>
          <t>Cash deliveries</t>
        </is>
      </c>
      <c r="B40" s="18" t="n"/>
      <c r="C40" s="18" t="n"/>
      <c r="D40" s="18" t="n"/>
      <c r="E40" s="18" t="n"/>
      <c r="F40" s="18" t="n"/>
      <c r="G40" s="140">
        <f>'Merdon Expenses'!F168</f>
        <v/>
      </c>
      <c r="H40" s="10" t="n"/>
    </row>
    <row r="41">
      <c r="A41" s="20" t="inlineStr">
        <is>
          <t>Total of all allowances and cash deliveries in accounts</t>
        </is>
      </c>
      <c r="B41" s="142" t="inlineStr">
        <is>
          <t>n/a</t>
        </is>
      </c>
      <c r="C41" s="142" t="n"/>
      <c r="D41" s="142" t="n"/>
      <c r="E41" s="142" t="n"/>
      <c r="F41" s="142" t="n"/>
      <c r="G41" s="143">
        <f>SUM(G40)</f>
        <v/>
      </c>
      <c r="H41" s="10" t="n"/>
    </row>
    <row r="42">
      <c r="A42" s="15" t="n"/>
      <c r="B42" s="15" t="n"/>
      <c r="C42" s="15" t="n"/>
      <c r="D42" s="15" t="n"/>
      <c r="E42" s="15" t="n"/>
      <c r="F42" s="15" t="n"/>
      <c r="G42" s="133" t="n"/>
      <c r="H42" s="10" t="n"/>
    </row>
    <row r="43">
      <c r="A43" s="18" t="inlineStr">
        <is>
          <t>Net amount owed</t>
        </is>
      </c>
      <c r="B43" s="18" t="n"/>
      <c r="C43" s="18" t="n"/>
      <c r="D43" s="18" t="n"/>
      <c r="E43" s="18" t="n"/>
      <c r="F43" s="18" t="n"/>
      <c r="G43" s="141">
        <f>G38-G40</f>
        <v/>
      </c>
      <c r="H43" s="10" t="n"/>
    </row>
    <row r="44">
      <c r="A44" s="18" t="inlineStr">
        <is>
          <t>Net amount owed in accounts</t>
        </is>
      </c>
      <c r="B44" s="18" t="n"/>
      <c r="C44" s="18" t="n"/>
      <c r="D44" s="18" t="n"/>
      <c r="E44" s="18" t="n"/>
      <c r="F44" s="18" t="n"/>
      <c r="G44" s="140">
        <f>'Merdon Expenses'!F169</f>
        <v/>
      </c>
      <c r="H44" s="138">
        <f>G44-G43</f>
        <v/>
      </c>
    </row>
    <row r="45">
      <c r="A45" s="15" t="n"/>
      <c r="B45" s="15" t="n"/>
      <c r="C45" s="15" t="n"/>
      <c r="D45" s="15" t="n"/>
      <c r="E45" s="15" t="n"/>
      <c r="F45" s="15" t="n"/>
      <c r="G45" s="133" t="n"/>
      <c r="H45" s="10" t="n"/>
    </row>
    <row r="46">
      <c r="A46" s="16" t="inlineStr">
        <is>
          <t xml:space="preserve">GRANGE ACCOUNT </t>
        </is>
      </c>
      <c r="B46" s="144" t="inlineStr">
        <is>
          <t>Net Production</t>
        </is>
      </c>
      <c r="D46" s="134" t="n"/>
      <c r="E46" s="134" t="n"/>
      <c r="F46" s="134" t="n"/>
      <c r="G46" s="139" t="n"/>
      <c r="H46" s="94" t="n"/>
    </row>
    <row r="47" ht="34" customHeight="1">
      <c r="A47" s="21" t="inlineStr">
        <is>
          <t>Grange</t>
        </is>
      </c>
      <c r="B47" s="145" t="inlineStr">
        <is>
          <t>qrs</t>
        </is>
      </c>
      <c r="C47" s="146" t="n"/>
      <c r="D47" s="21" t="n"/>
      <c r="E47" s="21" t="n"/>
      <c r="F47" s="21" t="n"/>
      <c r="G47" s="147" t="inlineStr">
        <is>
          <t>Value of net output (£)</t>
        </is>
      </c>
      <c r="H47" s="148" t="inlineStr">
        <is>
          <t>Value of total gross production in £</t>
        </is>
      </c>
      <c r="I47" t="inlineStr">
        <is>
          <t>Note: Columns indexed are hardcoded, do not alter number of columns in issues of grange</t>
        </is>
      </c>
    </row>
    <row r="48">
      <c r="A48" t="inlineStr">
        <is>
          <t>Net wheat</t>
        </is>
      </c>
      <c r="B48" s="15">
        <f>IF(INDEX('Issues of the Grange'!$A$2:$P$25,MATCH('Merdon Overview'!$A48,'Issues of the Grange'!$A$2:$A$25,0),10)=0,"",INDEX('Issues of the Grange'!$A$2:$P$25,MATCH('Merdon Overview'!$A48,'Issues of the Grange'!$A$2:$A$25,0),10))</f>
        <v/>
      </c>
      <c r="C48" s="15" t="n"/>
      <c r="D48" s="15" t="n"/>
      <c r="E48" s="15" t="n"/>
      <c r="F48" s="15" t="n"/>
      <c r="G48" s="133">
        <f>IF(INDEX('Issues of the Grange'!$A$2:$P$25,MATCH('Merdon Overview'!$A48,'Issues of the Grange'!$A$2:$A$25,0),13)=0,"",INDEX('Issues of the Grange'!$A$2:$P$25,MATCH('Merdon Overview'!$A48,'Issues of the Grange'!$A$2:$A$25,0),13))</f>
        <v/>
      </c>
      <c r="H48" s="26">
        <f>'Issues of the Grange'!P5</f>
        <v/>
      </c>
    </row>
    <row r="49">
      <c r="A49" t="inlineStr">
        <is>
          <t>Net curall</t>
        </is>
      </c>
      <c r="B49" s="15">
        <f>IF(INDEX('Issues of the Grange'!$A$2:$P$25,MATCH('Merdon Overview'!$A49,'Issues of the Grange'!$A$2:$A$25,0),10)=0,"",INDEX('Issues of the Grange'!$A$2:$P$25,MATCH('Merdon Overview'!$A49,'Issues of the Grange'!$A$2:$A$25,0),10))</f>
        <v/>
      </c>
      <c r="C49" s="15" t="n"/>
      <c r="D49" s="15" t="n"/>
      <c r="E49" s="15" t="n"/>
      <c r="F49" s="15" t="n"/>
      <c r="G49" s="133">
        <f>IF(INDEX('Issues of the Grange'!$A$2:$P$25,MATCH('Merdon Overview'!$A49,'Issues of the Grange'!$A$2:$A$25,0),13)=0,"",INDEX('Issues of the Grange'!$A$2:$P$25,MATCH('Merdon Overview'!$A49,'Issues of the Grange'!$A$2:$A$25,0),13))</f>
        <v/>
      </c>
      <c r="H49" s="26">
        <f>'Issues of the Grange'!P6</f>
        <v/>
      </c>
    </row>
    <row r="50">
      <c r="A50" t="inlineStr">
        <is>
          <t>Net barley</t>
        </is>
      </c>
      <c r="B50" s="15">
        <f>IF(INDEX('Issues of the Grange'!$A$2:$P$25,MATCH('Merdon Overview'!$A50,'Issues of the Grange'!$A$2:$A$25,0),10)=0,"",INDEX('Issues of the Grange'!$A$2:$P$25,MATCH('Merdon Overview'!$A50,'Issues of the Grange'!$A$2:$A$25,0),10))</f>
        <v/>
      </c>
      <c r="C50" s="15" t="n"/>
      <c r="D50" s="15" t="n"/>
      <c r="E50" s="15" t="n"/>
      <c r="F50" s="15" t="n"/>
      <c r="G50" s="133">
        <f>IF(INDEX('Issues of the Grange'!$A$2:$P$25,MATCH('Merdon Overview'!$A50,'Issues of the Grange'!$A$2:$A$25,0),13)=0,"",INDEX('Issues of the Grange'!$A$2:$P$25,MATCH('Merdon Overview'!$A50,'Issues of the Grange'!$A$2:$A$25,0),13))</f>
        <v/>
      </c>
      <c r="H50" s="26">
        <f>'Issues of the Grange'!P7</f>
        <v/>
      </c>
    </row>
    <row r="51">
      <c r="A51" t="inlineStr">
        <is>
          <t>Net oats</t>
        </is>
      </c>
      <c r="B51" s="15">
        <f>IF(INDEX('Issues of the Grange'!$A$2:$P$25,MATCH('Merdon Overview'!$A51,'Issues of the Grange'!$A$2:$A$25,0),10)=0,"",INDEX('Issues of the Grange'!$A$2:$P$25,MATCH('Merdon Overview'!$A51,'Issues of the Grange'!$A$2:$A$25,0),10))</f>
        <v/>
      </c>
      <c r="C51" s="15" t="n"/>
      <c r="D51" s="15" t="n"/>
      <c r="E51" s="15" t="n"/>
      <c r="F51" s="15" t="n"/>
      <c r="G51" s="133">
        <f>IF(INDEX('Issues of the Grange'!$A$2:$P$25,MATCH('Merdon Overview'!$A51,'Issues of the Grange'!$A$2:$A$25,0),13)=0,"",INDEX('Issues of the Grange'!$A$2:$P$25,MATCH('Merdon Overview'!$A51,'Issues of the Grange'!$A$2:$A$25,0),13))</f>
        <v/>
      </c>
      <c r="H51" s="26">
        <f>'Issues of the Grange'!P8</f>
        <v/>
      </c>
    </row>
    <row r="52">
      <c r="A52" t="inlineStr">
        <is>
          <t>Net peas</t>
        </is>
      </c>
      <c r="B52" s="15">
        <f>IF(INDEX('Issues of the Grange'!$A$2:$P$25,MATCH('Merdon Overview'!$A52,'Issues of the Grange'!$A$2:$A$25,0),10)=0,"",INDEX('Issues of the Grange'!$A$2:$P$25,MATCH('Merdon Overview'!$A52,'Issues of the Grange'!$A$2:$A$25,0),10))</f>
        <v/>
      </c>
      <c r="C52" s="15" t="n"/>
      <c r="D52" s="15" t="n"/>
      <c r="E52" s="15" t="n"/>
      <c r="F52" s="15" t="n"/>
      <c r="G52" s="133">
        <f>IF(INDEX('Issues of the Grange'!$A$2:$P$25,MATCH('Merdon Overview'!$A52,'Issues of the Grange'!$A$2:$A$25,0),13)=0,"",INDEX('Issues of the Grange'!$A$2:$P$25,MATCH('Merdon Overview'!$A52,'Issues of the Grange'!$A$2:$A$25,0),13))</f>
        <v/>
      </c>
      <c r="H52" s="26">
        <f>'Issues of the Grange'!P9</f>
        <v/>
      </c>
    </row>
    <row r="53">
      <c r="A53" t="inlineStr">
        <is>
          <t>Net vetches</t>
        </is>
      </c>
      <c r="B53" s="15">
        <f>IF(INDEX('Issues of the Grange'!$A$2:$P$25,MATCH('Merdon Overview'!$A53,'Issues of the Grange'!$A$2:$A$25,0),10)=0,"",INDEX('Issues of the Grange'!$A$2:$P$25,MATCH('Merdon Overview'!$A53,'Issues of the Grange'!$A$2:$A$25,0),10))</f>
        <v/>
      </c>
      <c r="C53" s="15" t="n"/>
      <c r="D53" s="15" t="n"/>
      <c r="E53" s="15" t="n"/>
      <c r="F53" s="15" t="n"/>
      <c r="G53" s="133">
        <f>IF(INDEX('Issues of the Grange'!$A$2:$P$25,MATCH('Merdon Overview'!$A53,'Issues of the Grange'!$A$2:$A$25,0),13)=0,"",INDEX('Issues of the Grange'!$A$2:$P$25,MATCH('Merdon Overview'!$A53,'Issues of the Grange'!$A$2:$A$25,0),13))</f>
        <v/>
      </c>
      <c r="H53" s="26">
        <f>'Issues of the Grange'!P10</f>
        <v/>
      </c>
    </row>
    <row r="54">
      <c r="A54" s="17" t="inlineStr">
        <is>
          <t>Total value of gross production (sum of the above)</t>
        </is>
      </c>
      <c r="B54" s="134" t="n"/>
      <c r="C54" s="134" t="n"/>
      <c r="D54" s="134" t="n"/>
      <c r="E54" s="134" t="n"/>
      <c r="F54" s="134" t="n"/>
      <c r="G54" s="55">
        <f>SUM(H48:H53)</f>
        <v/>
      </c>
      <c r="H54" s="94" t="n"/>
    </row>
    <row r="55">
      <c r="A55" s="17" t="inlineStr">
        <is>
          <t>Total value of net production</t>
        </is>
      </c>
      <c r="B55" s="134" t="n"/>
      <c r="C55" s="134" t="n"/>
      <c r="D55" s="134" t="n"/>
      <c r="E55" s="134" t="n"/>
      <c r="F55" s="134" t="n"/>
      <c r="G55" s="135">
        <f>SUM(G48:G53)</f>
        <v/>
      </c>
      <c r="H55" s="94" t="n"/>
    </row>
    <row r="56">
      <c r="A56" s="17" t="inlineStr">
        <is>
          <t>Value of sales</t>
        </is>
      </c>
      <c r="B56" s="134" t="n"/>
      <c r="C56" s="134" t="n"/>
      <c r="D56" s="134" t="n"/>
      <c r="E56" s="134" t="n"/>
      <c r="F56" s="134" t="n"/>
      <c r="G56" s="139">
        <f>'Issues of the Grange'!N25</f>
        <v/>
      </c>
      <c r="H56" s="94" t="n"/>
    </row>
    <row r="57">
      <c r="A57" s="15" t="n"/>
      <c r="B57" s="15" t="n"/>
      <c r="C57" s="15" t="n"/>
      <c r="D57" s="15" t="n"/>
      <c r="E57" s="15" t="n"/>
      <c r="F57" s="15" t="n"/>
      <c r="G57" s="133" t="n"/>
      <c r="H57" s="10" t="n"/>
    </row>
    <row r="58">
      <c r="A58" s="16" t="inlineStr">
        <is>
          <t>MILL ACCOUNT</t>
        </is>
      </c>
      <c r="B58" s="134" t="inlineStr">
        <is>
          <t>n/a</t>
        </is>
      </c>
      <c r="C58" s="134" t="n"/>
      <c r="D58" s="134" t="n"/>
      <c r="E58" s="134" t="n"/>
      <c r="F58" s="134" t="n"/>
      <c r="G58" s="139" t="n"/>
      <c r="H58" s="10" t="n"/>
    </row>
    <row r="59">
      <c r="A59" s="8" t="inlineStr">
        <is>
          <t>Issues of the mill</t>
        </is>
      </c>
      <c r="B59" s="149" t="inlineStr">
        <is>
          <t>qrs</t>
        </is>
      </c>
      <c r="C59" s="150" t="inlineStr">
        <is>
          <t>bus</t>
        </is>
      </c>
      <c r="D59" s="15" t="n"/>
      <c r="E59" s="15" t="n"/>
      <c r="F59" s="15" t="n"/>
      <c r="G59" s="77" t="inlineStr">
        <is>
          <t>£</t>
        </is>
      </c>
      <c r="H59" s="10" t="n"/>
    </row>
    <row r="60">
      <c r="A60" s="15" t="inlineStr">
        <is>
          <t>Wheat</t>
        </is>
      </c>
      <c r="B60" s="15" t="n"/>
      <c r="C60" s="15" t="n"/>
      <c r="D60" s="15" t="n"/>
      <c r="E60" s="15" t="n"/>
      <c r="F60" s="15" t="n"/>
      <c r="G60" s="133" t="n"/>
      <c r="H60" s="10" t="n"/>
    </row>
    <row r="61">
      <c r="A61" s="15" t="inlineStr">
        <is>
          <t>Oatmeal</t>
        </is>
      </c>
      <c r="B61" s="15" t="n"/>
      <c r="C61" s="15" t="n"/>
      <c r="D61" s="15" t="n"/>
      <c r="E61" s="15" t="n"/>
      <c r="F61" s="15" t="n"/>
      <c r="G61" s="133" t="n"/>
      <c r="H61" s="10" t="n"/>
    </row>
    <row r="62">
      <c r="A62" s="15" t="inlineStr">
        <is>
          <t>1st grade malt</t>
        </is>
      </c>
      <c r="B62" s="15" t="n"/>
      <c r="C62" s="15" t="n"/>
      <c r="D62" s="15" t="n"/>
      <c r="E62" s="15" t="n"/>
      <c r="F62" s="15" t="n"/>
      <c r="G62" s="133" t="n"/>
      <c r="H62" s="10" t="n"/>
    </row>
    <row r="63">
      <c r="A63" s="15" t="inlineStr">
        <is>
          <t>2nd grade malt</t>
        </is>
      </c>
      <c r="B63" s="15" t="n"/>
      <c r="C63" s="15" t="n"/>
      <c r="D63" s="15" t="n"/>
      <c r="E63" s="15" t="n"/>
      <c r="F63" s="15" t="n"/>
      <c r="G63" s="133" t="n"/>
      <c r="H63" s="10" t="n"/>
    </row>
    <row r="64">
      <c r="A64" s="15" t="inlineStr">
        <is>
          <t>Maslin</t>
        </is>
      </c>
      <c r="B64" s="15" t="n"/>
      <c r="C64" s="15" t="n"/>
      <c r="D64" s="15" t="n"/>
      <c r="E64" s="15" t="n"/>
      <c r="F64" s="15" t="n"/>
      <c r="G64" s="133" t="n"/>
      <c r="H64" s="10" t="n"/>
    </row>
    <row r="65">
      <c r="A65" s="17" t="inlineStr">
        <is>
          <t>Total value of production (sum of the above)</t>
        </is>
      </c>
      <c r="B65" s="134" t="n"/>
      <c r="C65" s="134" t="n"/>
      <c r="D65" s="134" t="n"/>
      <c r="E65" s="134" t="n"/>
      <c r="F65" s="134" t="n"/>
      <c r="G65" s="135" t="n"/>
      <c r="H65" s="10" t="n"/>
    </row>
    <row r="66">
      <c r="A66" s="17" t="inlineStr">
        <is>
          <t>Value of sales</t>
        </is>
      </c>
      <c r="B66" s="134" t="n"/>
      <c r="C66" s="134" t="n"/>
      <c r="D66" s="134" t="n"/>
      <c r="E66" s="134" t="n"/>
      <c r="F66" s="134" t="n"/>
      <c r="G66" s="135" t="inlineStr">
        <is>
          <t>n/a</t>
        </is>
      </c>
      <c r="H66" s="10" t="n"/>
    </row>
    <row r="67">
      <c r="A67" s="15" t="n"/>
      <c r="B67" s="15" t="n"/>
      <c r="C67" s="15" t="n"/>
      <c r="D67" s="15" t="n"/>
      <c r="E67" s="15" t="n"/>
      <c r="F67" s="15" t="n"/>
      <c r="G67" s="133" t="n"/>
      <c r="H67" s="10" t="n"/>
    </row>
    <row r="68">
      <c r="A68" s="16" t="inlineStr">
        <is>
          <t>STOCK ACCOUNT</t>
        </is>
      </c>
      <c r="B68" s="134" t="n"/>
      <c r="C68" s="134" t="n"/>
      <c r="D68" s="134" t="n"/>
      <c r="E68" s="134" t="n"/>
      <c r="F68" s="134" t="n"/>
      <c r="G68" s="139" t="n"/>
      <c r="H68" s="94" t="n"/>
    </row>
    <row r="69" ht="34" customHeight="1">
      <c r="A69" s="21" t="inlineStr">
        <is>
          <t>Livestock</t>
        </is>
      </c>
      <c r="B69" s="151" t="inlineStr">
        <is>
          <t>Inherited stock</t>
        </is>
      </c>
      <c r="C69" s="151" t="inlineStr">
        <is>
          <t>End-period  stock</t>
        </is>
      </c>
      <c r="D69" s="146" t="inlineStr">
        <is>
          <t>Stockbuilding</t>
        </is>
      </c>
      <c r="E69" s="152" t="n"/>
      <c r="F69" s="153" t="inlineStr">
        <is>
          <t>Sales in (£)</t>
        </is>
      </c>
      <c r="G69" s="153" t="inlineStr">
        <is>
          <t>Value of stock (£) at sales prices</t>
        </is>
      </c>
      <c r="H69" s="153" t="inlineStr">
        <is>
          <t>Value of production (£) at sales prices</t>
        </is>
      </c>
    </row>
    <row r="70" ht="17" customHeight="1">
      <c r="A70" s="22" t="inlineStr">
        <is>
          <t>Cart-horses</t>
        </is>
      </c>
      <c r="B70" s="15">
        <f>IFERROR(INDEX(Stock!$A$3:$U$92,MATCH('Merdon Overview'!$A70,Stock!$A$3:$A$92,0),MATCH('Merdon Overview'!B$69,Stock!$A$3:$U$3,0)),0)</f>
        <v/>
      </c>
      <c r="C70" s="15">
        <f>IFERROR(INDEX(Stock!$A$3:$U$92,MATCH('Merdon Overview'!$A70,Stock!$A$3:$A$92,0),MATCH('Merdon Overview'!C$69,Stock!$A$3:$U$3,0)),0)</f>
        <v/>
      </c>
      <c r="D70" s="15">
        <f>C70-B70</f>
        <v/>
      </c>
      <c r="E70" s="133" t="n"/>
      <c r="F70" s="15">
        <f>IFERROR(INDEX(Stock!$A$3:$U$92,MATCH('Merdon Overview'!$A70,Stock!$A$3:$A$92,0),MATCH('Merdon Overview'!F$69,Stock!$A$3:$U$3,0)),0)</f>
        <v/>
      </c>
      <c r="H70" s="133">
        <f>IFERROR(INDEX(Stock!$A$3:$U$92,MATCH('Merdon Overview'!$A70,Stock!$A$3:$A$92,0),MATCH('Merdon Overview'!H$69,Stock!$A$3:$U$3,0)),0)</f>
        <v/>
      </c>
    </row>
    <row r="71" ht="17" customHeight="1">
      <c r="A71" s="22" t="inlineStr">
        <is>
          <t>Mares</t>
        </is>
      </c>
      <c r="B71" s="15">
        <f>IFERROR(INDEX(Stock!$A$3:$U$92,MATCH('Merdon Overview'!$A71,Stock!$A$3:$A$92,0),MATCH('Merdon Overview'!B$69,Stock!$A$3:$U$3,0)),0)</f>
        <v/>
      </c>
      <c r="C71" s="15">
        <f>IFERROR(INDEX(Stock!$A$3:$U$92,MATCH('Merdon Overview'!$A71,Stock!$A$3:$A$92,0),MATCH('Merdon Overview'!C$69,Stock!$A$3:$U$3,0)),0)</f>
        <v/>
      </c>
      <c r="D71" s="15">
        <f>C71-B71</f>
        <v/>
      </c>
      <c r="E71" s="133" t="n"/>
      <c r="F71" s="15">
        <f>IFERROR(INDEX(Stock!$A$3:$U$92,MATCH('Merdon Overview'!$A71,Stock!$A$3:$A$92,0),MATCH('Merdon Overview'!F$69,Stock!$A$3:$U$3,0)),0)</f>
        <v/>
      </c>
      <c r="H71" s="133">
        <f>IFERROR(INDEX(Stock!$A$3:$U$92,MATCH('Merdon Overview'!$A71,Stock!$A$3:$A$92,0),MATCH('Merdon Overview'!H$69,Stock!$A$3:$U$3,0)),0)</f>
        <v/>
      </c>
    </row>
    <row r="72">
      <c r="A72" s="15" t="inlineStr">
        <is>
          <t>Plough horses</t>
        </is>
      </c>
      <c r="B72" s="15">
        <f>IFERROR(INDEX(Stock!$A$3:$U$92,MATCH('Merdon Overview'!$A72,Stock!$A$3:$A$92,0),MATCH('Merdon Overview'!B$69,Stock!$A$3:$U$3,0)),0)</f>
        <v/>
      </c>
      <c r="C72" s="15">
        <f>IFERROR(INDEX(Stock!$A$3:$U$92,MATCH('Merdon Overview'!$A72,Stock!$A$3:$A$92,0),MATCH('Merdon Overview'!C$69,Stock!$A$3:$U$3,0)),0)</f>
        <v/>
      </c>
      <c r="D72" s="15">
        <f>C72-B72</f>
        <v/>
      </c>
      <c r="E72" s="133" t="n"/>
      <c r="F72" s="133">
        <f>IFERROR(INDEX(Stock!$A$3:$U$92,MATCH('Merdon Overview'!$A72,Stock!$A$3:$A$92,0),MATCH('Merdon Overview'!F$69,Stock!$A$3:$U$3,0)),0)</f>
        <v/>
      </c>
      <c r="G72" s="26">
        <f>Stock!S6</f>
        <v/>
      </c>
      <c r="H72" s="133">
        <f>IFERROR(INDEX(Stock!$A$3:$U$92,MATCH('Merdon Overview'!$A72,Stock!$A$3:$A$92,0),MATCH('Merdon Overview'!H$69,Stock!$A$3:$U$3,0)),0)</f>
        <v/>
      </c>
    </row>
    <row r="73">
      <c r="A73" s="15" t="inlineStr">
        <is>
          <t>Colts (2 years)</t>
        </is>
      </c>
      <c r="B73" s="15">
        <f>IFERROR(INDEX(Stock!$A$3:$U$92,MATCH('Merdon Overview'!$A73,Stock!$A$3:$A$92,0),MATCH('Merdon Overview'!B$69,Stock!$A$3:$U$3,0)),0)</f>
        <v/>
      </c>
      <c r="C73" s="15">
        <f>IFERROR(INDEX(Stock!$A$3:$U$92,MATCH('Merdon Overview'!$A73,Stock!$A$3:$A$92,0),MATCH('Merdon Overview'!C$69,Stock!$A$3:$U$3,0)),0)</f>
        <v/>
      </c>
      <c r="D73" s="15">
        <f>C73-B73</f>
        <v/>
      </c>
      <c r="E73" s="133" t="n"/>
      <c r="F73" s="133">
        <f>IFERROR(INDEX(Stock!$A$3:$U$92,MATCH('Merdon Overview'!$A73,Stock!$A$3:$A$92,0),MATCH('Merdon Overview'!F$69,Stock!$A$3:$U$3,0)),0)</f>
        <v/>
      </c>
      <c r="H73" s="133">
        <f>IFERROR(INDEX(Stock!$A$3:$U$92,MATCH('Merdon Overview'!$A73,Stock!$A$3:$A$92,0),MATCH('Merdon Overview'!H$69,Stock!$A$3:$U$3,0)),0)</f>
        <v/>
      </c>
    </row>
    <row r="74">
      <c r="A74" s="15" t="inlineStr">
        <is>
          <t>Colts (2 years)</t>
        </is>
      </c>
      <c r="B74" s="15">
        <f>IFERROR(INDEX(Stock!$A$3:$U$92,MATCH('Merdon Overview'!$A74,Stock!$A$3:$A$92,0),MATCH('Merdon Overview'!B$69,Stock!$A$3:$U$3,0)),0)</f>
        <v/>
      </c>
      <c r="C74" s="15">
        <f>IFERROR(INDEX(Stock!$A$3:$U$92,MATCH('Merdon Overview'!$A74,Stock!$A$3:$A$92,0),MATCH('Merdon Overview'!C$69,Stock!$A$3:$U$3,0)),0)</f>
        <v/>
      </c>
      <c r="D74" s="15">
        <f>C74-B74</f>
        <v/>
      </c>
      <c r="E74" s="133" t="n"/>
      <c r="F74" s="133">
        <f>IFERROR(INDEX(Stock!$A$3:$U$92,MATCH('Merdon Overview'!$A74,Stock!$A$3:$A$92,0),MATCH('Merdon Overview'!F$69,Stock!$A$3:$U$3,0)),0)</f>
        <v/>
      </c>
      <c r="H74" s="133">
        <f>IFERROR(INDEX(Stock!$A$3:$U$92,MATCH('Merdon Overview'!$A74,Stock!$A$3:$A$92,0),MATCH('Merdon Overview'!H$69,Stock!$A$3:$U$3,0)),0)</f>
        <v/>
      </c>
    </row>
    <row r="75">
      <c r="A75" s="15" t="inlineStr">
        <is>
          <t>Colts (1 year)</t>
        </is>
      </c>
      <c r="B75" s="15">
        <f>IFERROR(INDEX(Stock!$A$3:$U$92,MATCH('Merdon Overview'!$A75,Stock!$A$3:$A$92,0),MATCH('Merdon Overview'!B$69,Stock!$A$3:$U$3,0)),0)</f>
        <v/>
      </c>
      <c r="C75" s="15">
        <f>IFERROR(INDEX(Stock!$A$3:$U$92,MATCH('Merdon Overview'!$A75,Stock!$A$3:$A$92,0),MATCH('Merdon Overview'!C$69,Stock!$A$3:$U$3,0)),0)</f>
        <v/>
      </c>
      <c r="D75" s="15">
        <f>C75-B75</f>
        <v/>
      </c>
      <c r="E75" s="133" t="n"/>
      <c r="F75" s="133">
        <f>IFERROR(INDEX(Stock!$A$3:$U$92,MATCH('Merdon Overview'!$A75,Stock!$A$3:$A$92,0),MATCH('Merdon Overview'!F$69,Stock!$A$3:$U$3,0)),0)</f>
        <v/>
      </c>
      <c r="H75" s="133">
        <f>IFERROR(INDEX(Stock!$A$3:$U$92,MATCH('Merdon Overview'!$A75,Stock!$A$3:$A$92,0),MATCH('Merdon Overview'!H$69,Stock!$A$3:$U$3,0)),0)</f>
        <v/>
      </c>
    </row>
    <row r="76">
      <c r="A76" s="15" t="inlineStr">
        <is>
          <t>Foals</t>
        </is>
      </c>
      <c r="B76" s="15">
        <f>IFERROR(INDEX(Stock!$A$3:$U$92,MATCH('Merdon Overview'!$A76,Stock!$A$3:$A$92,0),MATCH('Merdon Overview'!B$69,Stock!$A$3:$U$3,0)),0)</f>
        <v/>
      </c>
      <c r="C76" s="15">
        <f>IFERROR(INDEX(Stock!$A$3:$U$92,MATCH('Merdon Overview'!$A76,Stock!$A$3:$A$92,0),MATCH('Merdon Overview'!C$69,Stock!$A$3:$U$3,0)),0)</f>
        <v/>
      </c>
      <c r="D76" s="15">
        <f>C76-B76</f>
        <v/>
      </c>
      <c r="E76" s="133" t="n"/>
      <c r="F76" s="133">
        <f>IFERROR(INDEX(Stock!$A$3:$U$92,MATCH('Merdon Overview'!$A76,Stock!$A$3:$A$92,0),MATCH('Merdon Overview'!F$69,Stock!$A$3:$U$3,0)),0)</f>
        <v/>
      </c>
      <c r="H76" s="133">
        <f>IFERROR(INDEX(Stock!$A$3:$U$92,MATCH('Merdon Overview'!$A76,Stock!$A$3:$A$92,0),MATCH('Merdon Overview'!H$69,Stock!$A$3:$U$3,0)),0)</f>
        <v/>
      </c>
    </row>
    <row r="77">
      <c r="A77" s="15" t="inlineStr">
        <is>
          <t>Oxen</t>
        </is>
      </c>
      <c r="B77" s="15">
        <f>IFERROR(INDEX(Stock!$A$3:$U$92,MATCH('Merdon Overview'!$A77,Stock!$A$3:$A$92,0),MATCH('Merdon Overview'!B$69,Stock!$A$3:$U$3,0)),0)</f>
        <v/>
      </c>
      <c r="C77" s="15">
        <f>IFERROR(INDEX(Stock!$A$3:$U$92,MATCH('Merdon Overview'!$A77,Stock!$A$3:$A$92,0),MATCH('Merdon Overview'!C$69,Stock!$A$3:$U$3,0)),0)</f>
        <v/>
      </c>
      <c r="D77" s="15">
        <f>C77-B77</f>
        <v/>
      </c>
      <c r="E77" s="133" t="n"/>
      <c r="F77" s="133">
        <f>IFERROR(INDEX(Stock!$A$3:$U$92,MATCH('Merdon Overview'!$A77,Stock!$A$3:$A$92,0),MATCH('Merdon Overview'!F$69,Stock!$A$3:$U$3,0)),0)</f>
        <v/>
      </c>
      <c r="G77" s="26">
        <f>Stock!S11</f>
        <v/>
      </c>
      <c r="H77" s="133">
        <f>IFERROR(INDEX(Stock!$A$3:$U$92,MATCH('Merdon Overview'!$A77,Stock!$A$3:$A$92,0),MATCH('Merdon Overview'!H$69,Stock!$A$3:$U$3,0)),0)</f>
        <v/>
      </c>
    </row>
    <row r="78">
      <c r="A78" s="15" t="inlineStr">
        <is>
          <t>Bulls</t>
        </is>
      </c>
      <c r="B78" s="15">
        <f>IFERROR(INDEX(Stock!$A$3:$U$92,MATCH('Merdon Overview'!$A78,Stock!$A$3:$A$92,0),MATCH('Merdon Overview'!B$69,Stock!$A$3:$U$3,0)),0)</f>
        <v/>
      </c>
      <c r="C78" s="15">
        <f>IFERROR(INDEX(Stock!$A$3:$U$92,MATCH('Merdon Overview'!$A78,Stock!$A$3:$A$92,0),MATCH('Merdon Overview'!C$69,Stock!$A$3:$U$3,0)),0)</f>
        <v/>
      </c>
      <c r="D78" s="15">
        <f>C78-B78</f>
        <v/>
      </c>
      <c r="E78" s="133" t="n"/>
      <c r="F78" s="133">
        <f>IFERROR(INDEX(Stock!$A$3:$U$92,MATCH('Merdon Overview'!$A78,Stock!$A$3:$A$92,0),MATCH('Merdon Overview'!F$69,Stock!$A$3:$U$3,0)),0)</f>
        <v/>
      </c>
      <c r="H78" s="133">
        <f>IFERROR(INDEX(Stock!$A$3:$U$92,MATCH('Merdon Overview'!$A78,Stock!$A$3:$A$92,0),MATCH('Merdon Overview'!H$69,Stock!$A$3:$U$3,0)),0)</f>
        <v/>
      </c>
    </row>
    <row r="79">
      <c r="A79" s="15" t="inlineStr">
        <is>
          <t>Cows</t>
        </is>
      </c>
      <c r="B79" s="15">
        <f>IFERROR(INDEX(Stock!$A$3:$U$92,MATCH('Merdon Overview'!$A79,Stock!$A$3:$A$92,0),MATCH('Merdon Overview'!B$69,Stock!$A$3:$U$3,0)),0)</f>
        <v/>
      </c>
      <c r="C79" s="15">
        <f>IFERROR(INDEX(Stock!$A$3:$U$92,MATCH('Merdon Overview'!$A79,Stock!$A$3:$A$92,0),MATCH('Merdon Overview'!C$69,Stock!$A$3:$U$3,0)),0)</f>
        <v/>
      </c>
      <c r="D79" s="15">
        <f>C79-B79</f>
        <v/>
      </c>
      <c r="E79" s="133" t="n"/>
      <c r="F79" s="133">
        <f>IFERROR(INDEX(Stock!$A$3:$U$92,MATCH('Merdon Overview'!$A79,Stock!$A$3:$A$92,0),MATCH('Merdon Overview'!F$69,Stock!$A$3:$U$3,0)),0)</f>
        <v/>
      </c>
      <c r="G79" s="26">
        <f>Stock!S13</f>
        <v/>
      </c>
      <c r="H79" s="133">
        <f>IFERROR(INDEX(Stock!$A$3:$U$92,MATCH('Merdon Overview'!$A79,Stock!$A$3:$A$92,0),MATCH('Merdon Overview'!H$69,Stock!$A$3:$U$3,0)),0)</f>
        <v/>
      </c>
    </row>
    <row r="80">
      <c r="A80" s="15" t="inlineStr">
        <is>
          <t>Steers</t>
        </is>
      </c>
      <c r="B80" s="15">
        <f>IFERROR(INDEX(Stock!$A$3:$U$92,MATCH('Merdon Overview'!$A80,Stock!$A$3:$A$92,0),MATCH('Merdon Overview'!B$69,Stock!$A$3:$U$3,0)),0)</f>
        <v/>
      </c>
      <c r="C80" s="15">
        <f>IFERROR(INDEX(Stock!$A$3:$U$92,MATCH('Merdon Overview'!$A80,Stock!$A$3:$A$92,0),MATCH('Merdon Overview'!C$69,Stock!$A$3:$U$3,0)),0)</f>
        <v/>
      </c>
      <c r="D80" s="15">
        <f>C80-B80</f>
        <v/>
      </c>
      <c r="E80" s="133" t="n"/>
      <c r="F80" s="133">
        <f>IFERROR(INDEX(Stock!$A$3:$U$92,MATCH('Merdon Overview'!$A80,Stock!$A$3:$A$92,0),MATCH('Merdon Overview'!F$69,Stock!$A$3:$U$3,0)),0)</f>
        <v/>
      </c>
      <c r="H80" s="133">
        <f>IFERROR(INDEX(Stock!$A$3:$U$92,MATCH('Merdon Overview'!$A80,Stock!$A$3:$A$92,0),MATCH('Merdon Overview'!H$69,Stock!$A$3:$U$3,0)),0)</f>
        <v/>
      </c>
    </row>
    <row r="81">
      <c r="A81" s="15" t="inlineStr">
        <is>
          <t>Bullocks</t>
        </is>
      </c>
      <c r="B81" s="15">
        <f>IFERROR(INDEX(Stock!$A$3:$U$92,MATCH('Merdon Overview'!$A81,Stock!$A$3:$A$92,0),MATCH('Merdon Overview'!B$69,Stock!$A$3:$U$3,0)),0)</f>
        <v/>
      </c>
      <c r="C81" s="15">
        <f>IFERROR(INDEX(Stock!$A$3:$U$92,MATCH('Merdon Overview'!$A81,Stock!$A$3:$A$92,0),MATCH('Merdon Overview'!C$69,Stock!$A$3:$U$3,0)),0)</f>
        <v/>
      </c>
      <c r="D81" s="15">
        <f>C81-B81</f>
        <v/>
      </c>
      <c r="E81" s="133" t="n"/>
      <c r="F81" s="133">
        <f>IFERROR(INDEX(Stock!$A$3:$U$92,MATCH('Merdon Overview'!$A81,Stock!$A$3:$A$92,0),MATCH('Merdon Overview'!F$69,Stock!$A$3:$U$3,0)),0)</f>
        <v/>
      </c>
      <c r="H81" s="133">
        <f>IFERROR(INDEX(Stock!$A$3:$U$92,MATCH('Merdon Overview'!$A81,Stock!$A$3:$A$92,0),MATCH('Merdon Overview'!H$69,Stock!$A$3:$U$3,0)),0)</f>
        <v/>
      </c>
    </row>
    <row r="82">
      <c r="A82" s="15" t="inlineStr">
        <is>
          <t>Yearlings</t>
        </is>
      </c>
      <c r="B82" s="15">
        <f>IFERROR(INDEX(Stock!$A$3:$U$92,MATCH('Merdon Overview'!$A82,Stock!$A$3:$A$92,0),MATCH('Merdon Overview'!B$69,Stock!$A$3:$U$3,0)),0)</f>
        <v/>
      </c>
      <c r="C82" s="15">
        <f>IFERROR(INDEX(Stock!$A$3:$U$92,MATCH('Merdon Overview'!$A82,Stock!$A$3:$A$92,0),MATCH('Merdon Overview'!C$69,Stock!$A$3:$U$3,0)),0)</f>
        <v/>
      </c>
      <c r="D82" s="15">
        <f>C82-B82</f>
        <v/>
      </c>
      <c r="E82" s="133" t="n"/>
      <c r="F82" s="133">
        <f>IFERROR(INDEX(Stock!$A$3:$U$92,MATCH('Merdon Overview'!$A82,Stock!$A$3:$A$92,0),MATCH('Merdon Overview'!F$69,Stock!$A$3:$U$3,0)),0)</f>
        <v/>
      </c>
      <c r="H82" s="133">
        <f>IFERROR(INDEX(Stock!$A$3:$U$92,MATCH('Merdon Overview'!$A82,Stock!$A$3:$A$92,0),MATCH('Merdon Overview'!H$69,Stock!$A$3:$U$3,0)),0)</f>
        <v/>
      </c>
    </row>
    <row r="83">
      <c r="A83" s="15" t="inlineStr">
        <is>
          <t>Calves</t>
        </is>
      </c>
      <c r="B83" s="15">
        <f>IFERROR(INDEX(Stock!$A$3:$U$92,MATCH('Merdon Overview'!$A83,Stock!$A$3:$A$92,0),MATCH('Merdon Overview'!B$69,Stock!$A$3:$U$3,0)),0)</f>
        <v/>
      </c>
      <c r="C83" s="15">
        <f>IFERROR(INDEX(Stock!$A$3:$U$92,MATCH('Merdon Overview'!$A83,Stock!$A$3:$A$92,0),MATCH('Merdon Overview'!C$69,Stock!$A$3:$U$3,0)),0)</f>
        <v/>
      </c>
      <c r="D83" s="15">
        <f>C83-B83</f>
        <v/>
      </c>
      <c r="E83" s="133" t="n"/>
      <c r="F83" s="133">
        <f>IFERROR(INDEX(Stock!$A$3:$U$92,MATCH('Merdon Overview'!$A83,Stock!$A$3:$A$92,0),MATCH('Merdon Overview'!F$69,Stock!$A$3:$U$3,0)),0)</f>
        <v/>
      </c>
      <c r="G83" s="26">
        <f>Stock!S17</f>
        <v/>
      </c>
      <c r="H83" s="133">
        <f>IFERROR(INDEX(Stock!$A$3:$U$92,MATCH('Merdon Overview'!$A83,Stock!$A$3:$A$92,0),MATCH('Merdon Overview'!H$69,Stock!$A$3:$U$3,0)),0)</f>
        <v/>
      </c>
    </row>
    <row r="84">
      <c r="A84" s="15" t="inlineStr">
        <is>
          <t>Wethers</t>
        </is>
      </c>
      <c r="B84" s="15">
        <f>IFERROR(INDEX(Stock!$A$3:$U$92,MATCH('Merdon Overview'!$A84,Stock!$A$3:$A$92,0),MATCH('Merdon Overview'!B$69,Stock!$A$3:$U$3,0)),0)</f>
        <v/>
      </c>
      <c r="C84" s="15">
        <f>IFERROR(INDEX(Stock!$A$3:$U$92,MATCH('Merdon Overview'!$A84,Stock!$A$3:$A$92,0),MATCH('Merdon Overview'!C$69,Stock!$A$3:$U$3,0)),0)</f>
        <v/>
      </c>
      <c r="D84" s="15">
        <f>C84-B84</f>
        <v/>
      </c>
      <c r="E84" s="133" t="n"/>
      <c r="F84" s="133">
        <f>IFERROR(INDEX(Stock!$A$3:$U$92,MATCH('Merdon Overview'!$A84,Stock!$A$3:$A$92,0),MATCH('Merdon Overview'!F$69,Stock!$A$3:$U$3,0)),0)</f>
        <v/>
      </c>
      <c r="G84" s="26">
        <f>Stock!S18</f>
        <v/>
      </c>
      <c r="H84" s="133">
        <f>IFERROR(INDEX(Stock!$A$3:$U$92,MATCH('Merdon Overview'!$A84,Stock!$A$3:$A$92,0),MATCH('Merdon Overview'!H$69,Stock!$A$3:$U$3,0)),0)</f>
        <v/>
      </c>
    </row>
    <row r="85">
      <c r="A85" s="15" t="inlineStr">
        <is>
          <t>Rams</t>
        </is>
      </c>
      <c r="B85" s="15">
        <f>IFERROR(INDEX(Stock!$A$3:$U$92,MATCH('Merdon Overview'!$A85,Stock!$A$3:$A$92,0),MATCH('Merdon Overview'!B$69,Stock!$A$3:$U$3,0)),0)</f>
        <v/>
      </c>
      <c r="C85" s="15">
        <f>IFERROR(INDEX(Stock!$A$3:$U$92,MATCH('Merdon Overview'!$A85,Stock!$A$3:$A$92,0),MATCH('Merdon Overview'!C$69,Stock!$A$3:$U$3,0)),0)</f>
        <v/>
      </c>
      <c r="D85" s="15">
        <f>C85-B85</f>
        <v/>
      </c>
      <c r="E85" s="133" t="n"/>
      <c r="F85" s="133">
        <f>IFERROR(INDEX(Stock!$A$3:$U$92,MATCH('Merdon Overview'!$A85,Stock!$A$3:$A$92,0),MATCH('Merdon Overview'!F$69,Stock!$A$3:$U$3,0)),0)</f>
        <v/>
      </c>
      <c r="G85" s="26">
        <f>Stock!S19</f>
        <v/>
      </c>
      <c r="H85" s="133">
        <f>IFERROR(INDEX(Stock!$A$3:$U$92,MATCH('Merdon Overview'!$A85,Stock!$A$3:$A$92,0),MATCH('Merdon Overview'!H$69,Stock!$A$3:$U$3,0)),0)</f>
        <v/>
      </c>
    </row>
    <row r="86">
      <c r="A86" s="15" t="inlineStr">
        <is>
          <t>Ewes</t>
        </is>
      </c>
      <c r="B86" s="15">
        <f>IFERROR(INDEX(Stock!$A$3:$U$92,MATCH('Merdon Overview'!$A86,Stock!$A$3:$A$92,0),MATCH('Merdon Overview'!B$69,Stock!$A$3:$U$3,0)),0)</f>
        <v/>
      </c>
      <c r="C86" s="15">
        <f>IFERROR(INDEX(Stock!$A$3:$U$92,MATCH('Merdon Overview'!$A86,Stock!$A$3:$A$92,0),MATCH('Merdon Overview'!C$69,Stock!$A$3:$U$3,0)),0)</f>
        <v/>
      </c>
      <c r="D86" s="15">
        <f>C86-B86</f>
        <v/>
      </c>
      <c r="E86" s="133" t="n"/>
      <c r="F86" s="133">
        <f>IFERROR(INDEX(Stock!$A$3:$U$92,MATCH('Merdon Overview'!$A86,Stock!$A$3:$A$92,0),MATCH('Merdon Overview'!F$69,Stock!$A$3:$U$3,0)),0)</f>
        <v/>
      </c>
      <c r="G86" s="26">
        <f>Stock!S20</f>
        <v/>
      </c>
      <c r="H86" s="133">
        <f>IFERROR(INDEX(Stock!$A$3:$U$92,MATCH('Merdon Overview'!$A86,Stock!$A$3:$A$92,0),MATCH('Merdon Overview'!H$69,Stock!$A$3:$U$3,0)),0)</f>
        <v/>
      </c>
    </row>
    <row r="87">
      <c r="A87" s="15" t="inlineStr">
        <is>
          <t>Hoggs</t>
        </is>
      </c>
      <c r="B87" s="15">
        <f>IFERROR(INDEX(Stock!$A$3:$U$92,MATCH('Merdon Overview'!$A87,Stock!$A$3:$A$92,0),MATCH('Merdon Overview'!B$69,Stock!$A$3:$U$3,0)),0)</f>
        <v/>
      </c>
      <c r="C87" s="15">
        <f>IFERROR(INDEX(Stock!$A$3:$U$92,MATCH('Merdon Overview'!$A87,Stock!$A$3:$A$92,0),MATCH('Merdon Overview'!C$69,Stock!$A$3:$U$3,0)),0)</f>
        <v/>
      </c>
      <c r="D87" s="15">
        <f>C87-B87</f>
        <v/>
      </c>
      <c r="E87" s="133" t="n"/>
      <c r="F87" s="133">
        <f>IFERROR(INDEX(Stock!$A$3:$U$92,MATCH('Merdon Overview'!$A87,Stock!$A$3:$A$92,0),MATCH('Merdon Overview'!F$69,Stock!$A$3:$U$3,0)),0)</f>
        <v/>
      </c>
      <c r="H87" s="133">
        <f>IFERROR(INDEX(Stock!$A$3:$U$92,MATCH('Merdon Overview'!$A87,Stock!$A$3:$A$92,0),MATCH('Merdon Overview'!H$69,Stock!$A$3:$U$3,0)),0)</f>
        <v/>
      </c>
    </row>
    <row r="88">
      <c r="A88" s="15" t="inlineStr">
        <is>
          <t>Lambs</t>
        </is>
      </c>
      <c r="B88" s="15">
        <f>IFERROR(INDEX(Stock!$A$3:$U$92,MATCH('Merdon Overview'!$A88,Stock!$A$3:$A$92,0),MATCH('Merdon Overview'!B$69,Stock!$A$3:$U$3,0)),0)</f>
        <v/>
      </c>
      <c r="C88" s="15">
        <f>IFERROR(INDEX(Stock!$A$3:$U$92,MATCH('Merdon Overview'!$A88,Stock!$A$3:$A$92,0),MATCH('Merdon Overview'!C$69,Stock!$A$3:$U$3,0)),0)</f>
        <v/>
      </c>
      <c r="D88" s="15">
        <f>C88-B88</f>
        <v/>
      </c>
      <c r="E88" s="133" t="n"/>
      <c r="F88" s="133">
        <f>IFERROR(INDEX(Stock!$A$3:$U$92,MATCH('Merdon Overview'!$A88,Stock!$A$3:$A$92,0),MATCH('Merdon Overview'!F$69,Stock!$A$3:$U$3,0)),0)</f>
        <v/>
      </c>
      <c r="G88" s="26">
        <f>Stock!S22</f>
        <v/>
      </c>
      <c r="H88" s="133">
        <f>IFERROR(INDEX(Stock!$A$3:$U$92,MATCH('Merdon Overview'!$A88,Stock!$A$3:$A$92,0),MATCH('Merdon Overview'!H$69,Stock!$A$3:$U$3,0)),0)</f>
        <v/>
      </c>
    </row>
    <row r="89">
      <c r="A89" s="15" t="inlineStr">
        <is>
          <t>Boars</t>
        </is>
      </c>
      <c r="B89" s="15">
        <f>IFERROR(INDEX(Stock!$A$3:$U$92,MATCH('Merdon Overview'!$A89,Stock!$A$3:$A$92,0),MATCH('Merdon Overview'!B$69,Stock!$A$3:$U$3,0)),0)</f>
        <v/>
      </c>
      <c r="C89" s="15">
        <f>IFERROR(INDEX(Stock!$A$3:$U$92,MATCH('Merdon Overview'!$A89,Stock!$A$3:$A$92,0),MATCH('Merdon Overview'!C$69,Stock!$A$3:$U$3,0)),0)</f>
        <v/>
      </c>
      <c r="D89" s="15">
        <f>C89-B89</f>
        <v/>
      </c>
      <c r="E89" s="133" t="n"/>
      <c r="F89" s="133">
        <f>IFERROR(INDEX(Stock!$A$3:$U$92,MATCH('Merdon Overview'!$A89,Stock!$A$3:$A$92,0),MATCH('Merdon Overview'!F$69,Stock!$A$3:$U$3,0)),0)</f>
        <v/>
      </c>
      <c r="H89" s="133">
        <f>IFERROR(INDEX(Stock!$A$3:$U$92,MATCH('Merdon Overview'!$A89,Stock!$A$3:$A$92,0),MATCH('Merdon Overview'!H$69,Stock!$A$3:$U$3,0)),0)</f>
        <v/>
      </c>
    </row>
    <row r="90">
      <c r="A90" s="15" t="inlineStr">
        <is>
          <t>Sows</t>
        </is>
      </c>
      <c r="B90" s="15">
        <f>IFERROR(INDEX(Stock!$A$3:$U$92,MATCH('Merdon Overview'!$A90,Stock!$A$3:$A$92,0),MATCH('Merdon Overview'!B$69,Stock!$A$3:$U$3,0)),0)</f>
        <v/>
      </c>
      <c r="C90" s="15">
        <f>IFERROR(INDEX(Stock!$A$3:$U$92,MATCH('Merdon Overview'!$A90,Stock!$A$3:$A$92,0),MATCH('Merdon Overview'!C$69,Stock!$A$3:$U$3,0)),0)</f>
        <v/>
      </c>
      <c r="D90" s="15">
        <f>C90-B90</f>
        <v/>
      </c>
      <c r="E90" s="133" t="n"/>
      <c r="F90" s="133">
        <f>IFERROR(INDEX(Stock!$A$3:$U$92,MATCH('Merdon Overview'!$A90,Stock!$A$3:$A$92,0),MATCH('Merdon Overview'!F$69,Stock!$A$3:$U$3,0)),0)</f>
        <v/>
      </c>
      <c r="H90" s="133">
        <f>IFERROR(INDEX(Stock!$A$3:$U$92,MATCH('Merdon Overview'!$A90,Stock!$A$3:$A$92,0),MATCH('Merdon Overview'!H$69,Stock!$A$3:$U$3,0)),0)</f>
        <v/>
      </c>
    </row>
    <row r="91">
      <c r="A91" s="15" t="inlineStr">
        <is>
          <t>Pigs</t>
        </is>
      </c>
      <c r="B91" s="15">
        <f>IFERROR(INDEX(Stock!$A$3:$U$92,MATCH('Merdon Overview'!$A91,Stock!$A$3:$A$92,0),MATCH('Merdon Overview'!B$69,Stock!$A$3:$U$3,0)),0)</f>
        <v/>
      </c>
      <c r="C91" s="15">
        <f>IFERROR(INDEX(Stock!$A$3:$U$92,MATCH('Merdon Overview'!$A91,Stock!$A$3:$A$92,0),MATCH('Merdon Overview'!C$69,Stock!$A$3:$U$3,0)),0)</f>
        <v/>
      </c>
      <c r="D91" s="15">
        <f>C91-B91</f>
        <v/>
      </c>
      <c r="E91" s="133" t="n"/>
      <c r="F91" s="133">
        <f>IFERROR(INDEX(Stock!$A$3:$U$92,MATCH('Merdon Overview'!$A91,Stock!$A$3:$A$92,0),MATCH('Merdon Overview'!F$69,Stock!$A$3:$U$3,0)),0)</f>
        <v/>
      </c>
      <c r="G91" s="26">
        <f>Stock!S25</f>
        <v/>
      </c>
      <c r="H91" s="133">
        <f>IFERROR(INDEX(Stock!$A$3:$U$92,MATCH('Merdon Overview'!$A91,Stock!$A$3:$A$92,0),MATCH('Merdon Overview'!H$69,Stock!$A$3:$U$3,0)),0)</f>
        <v/>
      </c>
    </row>
    <row r="92">
      <c r="A92" s="15" t="inlineStr">
        <is>
          <t>Hoggets</t>
        </is>
      </c>
      <c r="B92" s="15">
        <f>IFERROR(INDEX(Stock!$A$3:$U$92,MATCH('Merdon Overview'!$A92,Stock!$A$3:$A$92,0),MATCH('Merdon Overview'!B$69,Stock!$A$3:$U$3,0)),0)</f>
        <v/>
      </c>
      <c r="C92" s="15">
        <f>IFERROR(INDEX(Stock!$A$3:$U$92,MATCH('Merdon Overview'!$A92,Stock!$A$3:$A$92,0),MATCH('Merdon Overview'!C$69,Stock!$A$3:$U$3,0)),0)</f>
        <v/>
      </c>
      <c r="D92" s="15">
        <f>C92-B92</f>
        <v/>
      </c>
      <c r="E92" s="133" t="n"/>
      <c r="F92" s="15">
        <f>IFERROR(INDEX(Stock!$A$3:$U$92,MATCH('Merdon Overview'!$A92,Stock!$A$3:$A$92,0),MATCH('Merdon Overview'!F$69,Stock!$A$3:$U$3,0)),0)</f>
        <v/>
      </c>
      <c r="H92" s="133">
        <f>IFERROR(INDEX(Stock!$A$3:$U$92,MATCH('Merdon Overview'!$A92,Stock!$A$3:$A$92,0),MATCH('Merdon Overview'!H$69,Stock!$A$3:$U$3,0)),0)</f>
        <v/>
      </c>
    </row>
    <row r="93">
      <c r="A93" s="15" t="inlineStr">
        <is>
          <t>Piglets</t>
        </is>
      </c>
      <c r="B93" s="15">
        <f>IFERROR(INDEX(Stock!$A$3:$U$92,MATCH('Merdon Overview'!$A93,Stock!$A$3:$A$92,0),MATCH('Merdon Overview'!B$69,Stock!$A$3:$U$3,0)),0)</f>
        <v/>
      </c>
      <c r="C93" s="15">
        <f>IFERROR(INDEX(Stock!$A$3:$U$92,MATCH('Merdon Overview'!$A93,Stock!$A$3:$A$92,0),MATCH('Merdon Overview'!C$69,Stock!$A$3:$U$3,0)),0)</f>
        <v/>
      </c>
      <c r="D93" s="15">
        <f>C93-B93</f>
        <v/>
      </c>
      <c r="E93" s="133" t="n"/>
      <c r="F93" s="15">
        <f>IFERROR(INDEX(Stock!$A$3:$U$92,MATCH('Merdon Overview'!$A93,Stock!$A$3:$A$92,0),MATCH('Merdon Overview'!F$69,Stock!$A$3:$U$3,0)),0)</f>
        <v/>
      </c>
      <c r="H93" s="133">
        <f>IFERROR(INDEX(Stock!$A$3:$U$92,MATCH('Merdon Overview'!$A93,Stock!$A$3:$A$92,0),MATCH('Merdon Overview'!H$69,Stock!$A$3:$U$3,0)),0)</f>
        <v/>
      </c>
    </row>
    <row r="94">
      <c r="A94" s="15" t="inlineStr">
        <is>
          <t>Swans</t>
        </is>
      </c>
      <c r="B94" s="15">
        <f>IFERROR(INDEX(Stock!$A$3:$U$92,MATCH('Merdon Overview'!$A94,Stock!$A$3:$A$92,0),MATCH('Merdon Overview'!B$69,Stock!$A$3:$U$3,0)),0)</f>
        <v/>
      </c>
      <c r="C94" s="15">
        <f>IFERROR(INDEX(Stock!$A$3:$U$92,MATCH('Merdon Overview'!$A94,Stock!$A$3:$A$92,0),MATCH('Merdon Overview'!C$69,Stock!$A$3:$U$3,0)),0)</f>
        <v/>
      </c>
      <c r="D94" s="15">
        <f>C94-B94</f>
        <v/>
      </c>
      <c r="E94" s="133" t="n"/>
      <c r="F94" s="15">
        <f>IFERROR(INDEX(Stock!$A$3:$U$92,MATCH('Merdon Overview'!$A94,Stock!$A$3:$A$92,0),MATCH('Merdon Overview'!F$69,Stock!$A$3:$U$3,0)),0)</f>
        <v/>
      </c>
      <c r="H94" s="133">
        <f>IFERROR(INDEX(Stock!$A$3:$U$92,MATCH('Merdon Overview'!$A94,Stock!$A$3:$A$92,0),MATCH('Merdon Overview'!H$69,Stock!$A$3:$U$3,0)),0)</f>
        <v/>
      </c>
    </row>
    <row r="95">
      <c r="A95" s="15" t="inlineStr">
        <is>
          <t>Peacocks</t>
        </is>
      </c>
      <c r="B95" s="15">
        <f>IFERROR(INDEX(Stock!$A$3:$U$92,MATCH('Merdon Overview'!$A95,Stock!$A$3:$A$92,0),MATCH('Merdon Overview'!B$69,Stock!$A$3:$U$3,0)),0)</f>
        <v/>
      </c>
      <c r="C95" s="15">
        <f>IFERROR(INDEX(Stock!$A$3:$U$92,MATCH('Merdon Overview'!$A95,Stock!$A$3:$A$92,0),MATCH('Merdon Overview'!C$69,Stock!$A$3:$U$3,0)),0)</f>
        <v/>
      </c>
      <c r="D95" s="15">
        <f>C95-B95</f>
        <v/>
      </c>
      <c r="E95" s="133" t="n"/>
      <c r="F95" s="15">
        <f>IFERROR(INDEX(Stock!$A$3:$U$92,MATCH('Merdon Overview'!$A95,Stock!$A$3:$A$92,0),MATCH('Merdon Overview'!F$69,Stock!$A$3:$U$3,0)),0)</f>
        <v/>
      </c>
      <c r="H95" s="133">
        <f>IFERROR(INDEX(Stock!$A$3:$U$92,MATCH('Merdon Overview'!$A95,Stock!$A$3:$A$92,0),MATCH('Merdon Overview'!H$69,Stock!$A$3:$U$3,0)),0)</f>
        <v/>
      </c>
    </row>
    <row r="96">
      <c r="A96" s="17" t="inlineStr">
        <is>
          <t>Total value of stock (sum of the above)</t>
        </is>
      </c>
      <c r="B96" s="134" t="n"/>
      <c r="C96" s="134" t="n"/>
      <c r="D96" s="134" t="n"/>
      <c r="E96" s="134" t="n"/>
      <c r="F96" s="134" t="n"/>
      <c r="G96" s="55">
        <f>SUM(G70:G95)</f>
        <v/>
      </c>
      <c r="H96" s="94" t="n"/>
    </row>
    <row r="97">
      <c r="A97" s="17" t="inlineStr">
        <is>
          <t>Total value of stockbuilding</t>
        </is>
      </c>
      <c r="B97" s="134" t="n"/>
      <c r="C97" s="134" t="n"/>
      <c r="D97" s="134" t="n"/>
      <c r="E97" s="134" t="n"/>
      <c r="F97" s="134" t="n"/>
      <c r="G97" s="139">
        <f>SUM(H70:H95)</f>
        <v/>
      </c>
      <c r="H97" s="94" t="n"/>
    </row>
    <row r="98">
      <c r="A98" s="17" t="inlineStr">
        <is>
          <t>Value of sales</t>
        </is>
      </c>
      <c r="B98" s="134" t="n"/>
      <c r="C98" s="134" t="n"/>
      <c r="D98" s="134" t="n"/>
      <c r="E98" s="134" t="n"/>
      <c r="F98" s="134" t="n"/>
      <c r="G98" s="139">
        <f>SUM(F70:F95)</f>
        <v/>
      </c>
      <c r="H98" s="94" t="n"/>
    </row>
    <row r="99">
      <c r="A99" s="15" t="n"/>
      <c r="B99" s="15" t="n"/>
      <c r="C99" s="15" t="n"/>
      <c r="D99" s="15" t="n"/>
      <c r="E99" s="15" t="n"/>
      <c r="F99" s="15" t="n"/>
      <c r="G99" s="133" t="n"/>
      <c r="H99" s="10" t="n"/>
    </row>
    <row r="100" ht="34" customHeight="1">
      <c r="A100" s="16" t="inlineStr">
        <is>
          <t>Wool</t>
        </is>
      </c>
      <c r="B100" s="151" t="inlineStr">
        <is>
          <t>Inherited stock</t>
        </is>
      </c>
      <c r="C100" s="151" t="inlineStr">
        <is>
          <t>End-period  stock</t>
        </is>
      </c>
      <c r="D100" s="146" t="inlineStr">
        <is>
          <t>Stockbuilding</t>
        </is>
      </c>
      <c r="E100" s="152" t="n"/>
      <c r="F100" s="153" t="inlineStr">
        <is>
          <t>Sales in (£)</t>
        </is>
      </c>
      <c r="G100" s="153" t="inlineStr">
        <is>
          <t>Value of stock (£) at sales prices</t>
        </is>
      </c>
      <c r="H100" s="153" t="inlineStr">
        <is>
          <t>Value of production (£) at sales prices</t>
        </is>
      </c>
    </row>
    <row r="101" ht="17" customHeight="1">
      <c r="A101" s="22" t="inlineStr">
        <is>
          <t>Fleeces</t>
        </is>
      </c>
      <c r="B101" s="15">
        <f>IFERROR(INDEX(Stock!$A$3:$U$92,MATCH('Merdon Overview'!$A101,Stock!$A$3:$A$92,0),MATCH('Merdon Overview'!B$69,Stock!$A$3:$U$3,0)),0)</f>
        <v/>
      </c>
      <c r="C101" s="15">
        <f>IFERROR(INDEX(Stock!$A$3:$U$92,MATCH('Merdon Overview'!$A101,Stock!$A$3:$A$92,0),MATCH('Merdon Overview'!C$69,Stock!$A$3:$U$3,0)),0)</f>
        <v/>
      </c>
      <c r="D101" s="15">
        <f>C101-B101</f>
        <v/>
      </c>
      <c r="F101" s="15">
        <f>IFERROR(INDEX(Stock!$A$3:$U$92,MATCH('Merdon Overview'!$A101,Stock!$A$3:$A$92,0),MATCH('Merdon Overview'!F$69,Stock!$A$3:$U$3,0)),0)</f>
        <v/>
      </c>
      <c r="G101" s="26">
        <f>Stock!S34</f>
        <v/>
      </c>
      <c r="H101" s="133">
        <f>IFERROR(INDEX(Stock!$A$3:$U$92,MATCH('Merdon Overview'!$A101,Stock!$A$3:$A$92,0),MATCH('Merdon Overview'!H$69,Stock!$A$3:$U$3,0)),0)</f>
        <v/>
      </c>
    </row>
    <row r="102">
      <c r="A102" s="15" t="inlineStr">
        <is>
          <t>Coarse wool</t>
        </is>
      </c>
      <c r="B102" s="15">
        <f>IFERROR(INDEX(Stock!$A$3:$U$92,MATCH('Merdon Overview'!$A102,Stock!$A$3:$A$92,0),MATCH('Merdon Overview'!B$69,Stock!$A$3:$U$3,0)),0)</f>
        <v/>
      </c>
      <c r="C102" s="15">
        <f>IFERROR(INDEX(Stock!$A$3:$U$92,MATCH('Merdon Overview'!$A102,Stock!$A$3:$A$92,0),MATCH('Merdon Overview'!C$69,Stock!$A$3:$U$3,0)),0)</f>
        <v/>
      </c>
      <c r="D102" s="15">
        <f>C102-B102</f>
        <v/>
      </c>
      <c r="F102" s="15">
        <f>IFERROR(INDEX(Stock!$A$3:$U$92,MATCH('Merdon Overview'!$A102,Stock!$A$3:$A$92,0),MATCH('Merdon Overview'!F$69,Stock!$A$3:$U$3,0)),0)</f>
        <v/>
      </c>
      <c r="G102" s="26">
        <f>Stock!S35</f>
        <v/>
      </c>
      <c r="H102" s="133">
        <f>IFERROR(INDEX(Stock!$A$3:$U$92,MATCH('Merdon Overview'!$A102,Stock!$A$3:$A$92,0),MATCH('Merdon Overview'!H$69,Stock!$A$3:$U$3,0)),0)</f>
        <v/>
      </c>
    </row>
    <row r="103">
      <c r="A103" s="15" t="inlineStr">
        <is>
          <t>Lamb's wool</t>
        </is>
      </c>
      <c r="B103" s="15">
        <f>IFERROR(INDEX(Stock!$A$3:$U$92,MATCH('Merdon Overview'!$A103,Stock!$A$3:$A$92,0),MATCH('Merdon Overview'!B$69,Stock!$A$3:$U$3,0)),0)</f>
        <v/>
      </c>
      <c r="C103" s="15">
        <f>IFERROR(INDEX(Stock!$A$3:$U$92,MATCH('Merdon Overview'!$A103,Stock!$A$3:$A$92,0),MATCH('Merdon Overview'!C$69,Stock!$A$3:$U$3,0)),0)</f>
        <v/>
      </c>
      <c r="D103" s="15">
        <f>C103-B103</f>
        <v/>
      </c>
      <c r="F103" s="15">
        <f>IFERROR(INDEX(Stock!$A$3:$U$92,MATCH('Merdon Overview'!$A103,Stock!$A$3:$A$92,0),MATCH('Merdon Overview'!F$69,Stock!$A$3:$U$3,0)),0)</f>
        <v/>
      </c>
      <c r="G103" s="26">
        <f>Stock!S36</f>
        <v/>
      </c>
      <c r="H103" s="133">
        <f>IFERROR(INDEX(Stock!$A$3:$U$92,MATCH('Merdon Overview'!$A103,Stock!$A$3:$A$92,0),MATCH('Merdon Overview'!H$69,Stock!$A$3:$U$3,0)),0)</f>
        <v/>
      </c>
    </row>
    <row r="104">
      <c r="A104" s="15" t="inlineStr">
        <is>
          <t>Wool locks</t>
        </is>
      </c>
      <c r="B104" s="15">
        <f>IFERROR(INDEX(Stock!$A$3:$U$92,MATCH('Merdon Overview'!$A104,Stock!$A$3:$A$92,0),MATCH('Merdon Overview'!B$69,Stock!$A$3:$U$3,0)),0)</f>
        <v/>
      </c>
      <c r="C104" s="15">
        <f>IFERROR(INDEX(Stock!$A$3:$U$92,MATCH('Merdon Overview'!$A104,Stock!$A$3:$A$92,0),MATCH('Merdon Overview'!C$69,Stock!$A$3:$U$3,0)),0)</f>
        <v/>
      </c>
      <c r="D104" s="15">
        <f>C104-B104</f>
        <v/>
      </c>
      <c r="F104" s="15">
        <f>IFERROR(INDEX(Stock!$A$3:$U$92,MATCH('Merdon Overview'!$A104,Stock!$A$3:$A$92,0),MATCH('Merdon Overview'!F$69,Stock!$A$3:$U$3,0)),0)</f>
        <v/>
      </c>
      <c r="G104" s="26">
        <f>Stock!S37</f>
        <v/>
      </c>
      <c r="H104" s="133">
        <f>IFERROR(INDEX(Stock!$A$3:$U$92,MATCH('Merdon Overview'!$A104,Stock!$A$3:$A$92,0),MATCH('Merdon Overview'!H$69,Stock!$A$3:$U$3,0)),0)</f>
        <v/>
      </c>
    </row>
    <row r="105">
      <c r="A105" s="15" t="inlineStr">
        <is>
          <t>Wool sold at shearing</t>
        </is>
      </c>
      <c r="B105" s="15">
        <f>IFERROR(INDEX(Stock!$A$3:$U$92,MATCH('Merdon Overview'!$A105,Stock!$A$3:$A$92,0),MATCH('Merdon Overview'!B$69,Stock!$A$3:$U$3,0)),0)</f>
        <v/>
      </c>
      <c r="C105" s="15">
        <f>IFERROR(INDEX(Stock!$A$3:$U$92,MATCH('Merdon Overview'!$A105,Stock!$A$3:$A$92,0),MATCH('Merdon Overview'!C$69,Stock!$A$3:$U$3,0)),0)</f>
        <v/>
      </c>
      <c r="D105" s="15">
        <f>C105-B105</f>
        <v/>
      </c>
      <c r="F105" s="15">
        <f>IFERROR(INDEX(Stock!$A$3:$U$92,MATCH('Merdon Overview'!$A105,Stock!$A$3:$A$92,0),MATCH('Merdon Overview'!F$69,Stock!$A$3:$U$3,0)),0)</f>
        <v/>
      </c>
      <c r="G105" s="26">
        <f>Stock!S38</f>
        <v/>
      </c>
      <c r="H105" s="133">
        <f>IFERROR(INDEX(Stock!$A$3:$U$92,MATCH('Merdon Overview'!$A105,Stock!$A$3:$A$92,0),MATCH('Merdon Overview'!H$69,Stock!$A$3:$U$3,0)),0)</f>
        <v/>
      </c>
    </row>
    <row r="106">
      <c r="A106" s="17" t="inlineStr">
        <is>
          <t>Total value of stock (sum of the above)</t>
        </is>
      </c>
      <c r="B106" s="134" t="n"/>
      <c r="C106" s="134" t="n"/>
      <c r="D106" s="134" t="n"/>
      <c r="E106" s="134" t="n"/>
      <c r="F106" s="134" t="n"/>
      <c r="G106" s="55">
        <f>SUM(G101:G105)</f>
        <v/>
      </c>
      <c r="H106" s="94" t="n"/>
    </row>
    <row r="107">
      <c r="A107" s="17" t="inlineStr">
        <is>
          <t>Total value of production</t>
        </is>
      </c>
      <c r="B107" s="134" t="n"/>
      <c r="C107" s="134" t="n"/>
      <c r="D107" s="134" t="n"/>
      <c r="E107" s="134" t="n"/>
      <c r="F107" s="134" t="n"/>
      <c r="G107" s="139">
        <f>SUM(H101:H105)</f>
        <v/>
      </c>
      <c r="H107" s="94" t="n"/>
    </row>
    <row r="108">
      <c r="A108" s="17" t="inlineStr">
        <is>
          <t>Value of sales</t>
        </is>
      </c>
      <c r="B108" s="134" t="n"/>
      <c r="C108" s="134" t="n"/>
      <c r="D108" s="134" t="n"/>
      <c r="E108" s="134" t="n"/>
      <c r="F108" s="134" t="n"/>
      <c r="G108" s="139">
        <f>SUM(F101:F105)</f>
        <v/>
      </c>
      <c r="H108" s="94" t="n"/>
    </row>
    <row r="109">
      <c r="A109" s="8" t="n"/>
      <c r="B109" s="15" t="n"/>
      <c r="C109" s="15" t="n"/>
      <c r="D109" s="15" t="n"/>
      <c r="E109" s="15" t="n"/>
      <c r="F109" s="15" t="n"/>
      <c r="G109" s="133" t="n"/>
      <c r="H109" s="10" t="n"/>
    </row>
    <row r="110" ht="34" customHeight="1">
      <c r="A110" s="16" t="inlineStr">
        <is>
          <t>Hides</t>
        </is>
      </c>
      <c r="B110" s="151" t="inlineStr">
        <is>
          <t>Inherited stock</t>
        </is>
      </c>
      <c r="C110" s="151" t="inlineStr">
        <is>
          <t>End-period  stock</t>
        </is>
      </c>
      <c r="D110" s="146" t="inlineStr">
        <is>
          <t>Stockbuilding</t>
        </is>
      </c>
      <c r="E110" s="152" t="n"/>
      <c r="F110" s="153" t="inlineStr">
        <is>
          <t>Sales in (£)</t>
        </is>
      </c>
      <c r="G110" s="153" t="inlineStr">
        <is>
          <t>Value of stock (£) at sales prices</t>
        </is>
      </c>
      <c r="H110" s="153" t="inlineStr">
        <is>
          <t>Value of production (£) at sales prices</t>
        </is>
      </c>
    </row>
    <row r="111">
      <c r="A111" s="15" t="inlineStr">
        <is>
          <t>Ox hides</t>
        </is>
      </c>
      <c r="B111" s="15">
        <f>IFERROR(INDEX(Stock!$A$3:$U$92,MATCH('Merdon Overview'!$A111,Stock!$A$3:$A$92,0),MATCH('Merdon Overview'!B$69,Stock!$A$3:$U$3,0)),0)</f>
        <v/>
      </c>
      <c r="C111" s="15">
        <f>IFERROR(INDEX(Stock!$A$3:$U$92,MATCH('Merdon Overview'!$A111,Stock!$A$3:$A$92,0),MATCH('Merdon Overview'!C$69,Stock!$A$3:$U$3,0)),0)</f>
        <v/>
      </c>
      <c r="D111" s="15">
        <f>C111-B111</f>
        <v/>
      </c>
      <c r="E111" s="15" t="n"/>
      <c r="F111" s="15">
        <f>IFERROR(INDEX(Stock!$A$3:$U$92,MATCH('Merdon Overview'!$A111,Stock!$A$3:$A$92,0),MATCH('Merdon Overview'!F$69,Stock!$A$3:$U$3,0)),0)</f>
        <v/>
      </c>
      <c r="G111" s="26">
        <f>Stock!S42</f>
        <v/>
      </c>
      <c r="H111" s="133">
        <f>IFERROR(INDEX(Stock!$A$3:$U$92,MATCH('Merdon Overview'!$A111,Stock!$A$3:$A$92,0),MATCH('Merdon Overview'!H$69,Stock!$A$3:$U$3,0)),0)</f>
        <v/>
      </c>
    </row>
    <row r="112">
      <c r="A112" s="15" t="inlineStr">
        <is>
          <t>Cow hides</t>
        </is>
      </c>
      <c r="B112" s="15">
        <f>IFERROR(INDEX(Stock!$A$3:$U$92,MATCH('Merdon Overview'!$A112,Stock!$A$3:$A$92,0),MATCH('Merdon Overview'!B$69,Stock!$A$3:$U$3,0)),0)</f>
        <v/>
      </c>
      <c r="C112" s="15">
        <f>IFERROR(INDEX(Stock!$A$3:$U$92,MATCH('Merdon Overview'!$A112,Stock!$A$3:$A$92,0),MATCH('Merdon Overview'!C$69,Stock!$A$3:$U$3,0)),0)</f>
        <v/>
      </c>
      <c r="D112" s="15">
        <f>C112-B112</f>
        <v/>
      </c>
      <c r="E112" s="15" t="n"/>
      <c r="F112" s="15">
        <f>IFERROR(INDEX(Stock!$A$3:$U$92,MATCH('Merdon Overview'!$A112,Stock!$A$3:$A$92,0),MATCH('Merdon Overview'!F$69,Stock!$A$3:$U$3,0)),0)</f>
        <v/>
      </c>
      <c r="G112" s="26">
        <f>Stock!S43</f>
        <v/>
      </c>
      <c r="H112" s="133">
        <f>IFERROR(INDEX(Stock!$A$3:$U$92,MATCH('Merdon Overview'!$A112,Stock!$A$3:$A$92,0),MATCH('Merdon Overview'!H$69,Stock!$A$3:$U$3,0)),0)</f>
        <v/>
      </c>
    </row>
    <row r="113">
      <c r="A113" s="15" t="inlineStr">
        <is>
          <t>Mare hides</t>
        </is>
      </c>
      <c r="B113" s="15">
        <f>IFERROR(INDEX(Stock!$A$3:$U$92,MATCH('Merdon Overview'!$A113,Stock!$A$3:$A$92,0),MATCH('Merdon Overview'!B$69,Stock!$A$3:$U$3,0)),0)</f>
        <v/>
      </c>
      <c r="C113" s="15">
        <f>IFERROR(INDEX(Stock!$A$3:$U$92,MATCH('Merdon Overview'!$A113,Stock!$A$3:$A$92,0),MATCH('Merdon Overview'!C$69,Stock!$A$3:$U$3,0)),0)</f>
        <v/>
      </c>
      <c r="D113" s="15">
        <f>C113-B113</f>
        <v/>
      </c>
      <c r="E113" s="15" t="n"/>
      <c r="F113" s="15">
        <f>IFERROR(INDEX(Stock!$A$3:$U$92,MATCH('Merdon Overview'!$A113,Stock!$A$3:$A$92,0),MATCH('Merdon Overview'!F$69,Stock!$A$3:$U$3,0)),0)</f>
        <v/>
      </c>
      <c r="G113" s="26">
        <f>Stock!S44</f>
        <v/>
      </c>
      <c r="H113" s="133">
        <f>IFERROR(INDEX(Stock!$A$3:$U$92,MATCH('Merdon Overview'!$A113,Stock!$A$3:$A$92,0),MATCH('Merdon Overview'!H$69,Stock!$A$3:$U$3,0)),0)</f>
        <v/>
      </c>
    </row>
    <row r="114">
      <c r="A114" s="15" t="inlineStr">
        <is>
          <t>Steer hides</t>
        </is>
      </c>
      <c r="B114" s="15">
        <f>IFERROR(INDEX(Stock!$A$3:$U$92,MATCH('Merdon Overview'!$A114,Stock!$A$3:$A$92,0),MATCH('Merdon Overview'!B$69,Stock!$A$3:$U$3,0)),0)</f>
        <v/>
      </c>
      <c r="C114" s="15">
        <f>IFERROR(INDEX(Stock!$A$3:$U$92,MATCH('Merdon Overview'!$A114,Stock!$A$3:$A$92,0),MATCH('Merdon Overview'!C$69,Stock!$A$3:$U$3,0)),0)</f>
        <v/>
      </c>
      <c r="D114" s="15">
        <f>C114-B114</f>
        <v/>
      </c>
      <c r="E114" s="15" t="n"/>
      <c r="F114" s="15">
        <f>IFERROR(INDEX(Stock!$A$3:$U$92,MATCH('Merdon Overview'!$A114,Stock!$A$3:$A$92,0),MATCH('Merdon Overview'!F$69,Stock!$A$3:$U$3,0)),0)</f>
        <v/>
      </c>
      <c r="G114" s="26">
        <f>Stock!S45</f>
        <v/>
      </c>
      <c r="H114" s="133">
        <f>IFERROR(INDEX(Stock!$A$3:$U$92,MATCH('Merdon Overview'!$A114,Stock!$A$3:$A$92,0),MATCH('Merdon Overview'!H$69,Stock!$A$3:$U$3,0)),0)</f>
        <v/>
      </c>
    </row>
    <row r="115">
      <c r="A115" s="15" t="inlineStr">
        <is>
          <t>Yearling Calf hides</t>
        </is>
      </c>
      <c r="B115" s="15">
        <f>IFERROR(INDEX(Stock!$A$3:$U$92,MATCH('Merdon Overview'!$A115,Stock!$A$3:$A$92,0),MATCH('Merdon Overview'!B$69,Stock!$A$3:$U$3,0)),0)</f>
        <v/>
      </c>
      <c r="C115" s="15">
        <f>IFERROR(INDEX(Stock!$A$3:$U$92,MATCH('Merdon Overview'!$A115,Stock!$A$3:$A$92,0),MATCH('Merdon Overview'!C$69,Stock!$A$3:$U$3,0)),0)</f>
        <v/>
      </c>
      <c r="D115" s="15">
        <f>C115-B115</f>
        <v/>
      </c>
      <c r="E115" s="15" t="n"/>
      <c r="F115" s="15">
        <f>IFERROR(INDEX(Stock!$A$3:$U$92,MATCH('Merdon Overview'!$A115,Stock!$A$3:$A$92,0),MATCH('Merdon Overview'!F$69,Stock!$A$3:$U$3,0)),0)</f>
        <v/>
      </c>
      <c r="G115" s="26">
        <f>Stock!S46</f>
        <v/>
      </c>
      <c r="H115" s="133">
        <f>IFERROR(INDEX(Stock!$A$3:$U$92,MATCH('Merdon Overview'!$A115,Stock!$A$3:$A$92,0),MATCH('Merdon Overview'!H$69,Stock!$A$3:$U$3,0)),0)</f>
        <v/>
      </c>
    </row>
    <row r="116">
      <c r="A116" s="15" t="inlineStr">
        <is>
          <t>Calf hides</t>
        </is>
      </c>
      <c r="B116" s="15">
        <f>IFERROR(INDEX(Stock!$A$3:$U$92,MATCH('Merdon Overview'!$A116,Stock!$A$3:$A$92,0),MATCH('Merdon Overview'!B$69,Stock!$A$3:$U$3,0)),0)</f>
        <v/>
      </c>
      <c r="C116" s="15">
        <f>IFERROR(INDEX(Stock!$A$3:$U$92,MATCH('Merdon Overview'!$A116,Stock!$A$3:$A$92,0),MATCH('Merdon Overview'!C$69,Stock!$A$3:$U$3,0)),0)</f>
        <v/>
      </c>
      <c r="D116" s="15">
        <f>C116-B116</f>
        <v/>
      </c>
      <c r="E116" s="15" t="n"/>
      <c r="F116" s="15">
        <f>IFERROR(INDEX(Stock!$A$3:$U$92,MATCH('Merdon Overview'!$A116,Stock!$A$3:$A$92,0),MATCH('Merdon Overview'!F$69,Stock!$A$3:$U$3,0)),0)</f>
        <v/>
      </c>
      <c r="G116" s="26">
        <f>Stock!S47</f>
        <v/>
      </c>
      <c r="H116" s="133">
        <f>IFERROR(INDEX(Stock!$A$3:$U$92,MATCH('Merdon Overview'!$A116,Stock!$A$3:$A$92,0),MATCH('Merdon Overview'!H$69,Stock!$A$3:$U$3,0)),0)</f>
        <v/>
      </c>
    </row>
    <row r="117">
      <c r="A117" s="23" t="inlineStr">
        <is>
          <t>Pig hides</t>
        </is>
      </c>
      <c r="B117" s="15">
        <f>IFERROR(INDEX(Stock!$A$3:$U$92,MATCH('Merdon Overview'!$A117,Stock!$A$3:$A$92,0),MATCH('Merdon Overview'!B$69,Stock!$A$3:$U$3,0)),0)</f>
        <v/>
      </c>
      <c r="C117" s="15">
        <f>IFERROR(INDEX(Stock!$A$3:$U$92,MATCH('Merdon Overview'!$A117,Stock!$A$3:$A$92,0),MATCH('Merdon Overview'!C$69,Stock!$A$3:$U$3,0)),0)</f>
        <v/>
      </c>
      <c r="D117" s="15">
        <f>C117-B117</f>
        <v/>
      </c>
      <c r="E117" s="15" t="n"/>
      <c r="F117" s="15">
        <f>IFERROR(INDEX(Stock!$A$3:$U$92,MATCH('Merdon Overview'!$A117,Stock!$A$3:$A$92,0),MATCH('Merdon Overview'!F$69,Stock!$A$3:$U$3,0)),0)</f>
        <v/>
      </c>
      <c r="G117" s="26">
        <f>Stock!S48</f>
        <v/>
      </c>
      <c r="H117" s="133">
        <f>IFERROR(INDEX(Stock!$A$3:$U$92,MATCH('Merdon Overview'!$A117,Stock!$A$3:$A$92,0),MATCH('Merdon Overview'!H$69,Stock!$A$3:$U$3,0)),0)</f>
        <v/>
      </c>
    </row>
    <row r="118">
      <c r="A118" s="24" t="inlineStr">
        <is>
          <t>Weather woolskins</t>
        </is>
      </c>
      <c r="B118" s="15">
        <f>IFERROR(INDEX(Stock!$A$3:$U$92,MATCH('Merdon Overview'!$A118,Stock!$A$3:$A$92,0),MATCH('Merdon Overview'!B$69,Stock!$A$3:$U$3,0)),0)</f>
        <v/>
      </c>
      <c r="C118" s="15">
        <f>IFERROR(INDEX(Stock!$A$3:$U$92,MATCH('Merdon Overview'!$A118,Stock!$A$3:$A$92,0),MATCH('Merdon Overview'!C$69,Stock!$A$3:$U$3,0)),0)</f>
        <v/>
      </c>
      <c r="D118" s="15">
        <f>C118-B118</f>
        <v/>
      </c>
      <c r="E118" s="15" t="n"/>
      <c r="F118" s="15">
        <f>IFERROR(INDEX(Stock!$A$3:$U$92,MATCH('Merdon Overview'!$A118,Stock!$A$3:$A$92,0),MATCH('Merdon Overview'!F$69,Stock!$A$3:$U$3,0)),0)</f>
        <v/>
      </c>
      <c r="G118" s="26">
        <f>Stock!S49</f>
        <v/>
      </c>
      <c r="H118" s="133">
        <f>IFERROR(INDEX(Stock!$A$3:$U$92,MATCH('Merdon Overview'!$A118,Stock!$A$3:$A$92,0),MATCH('Merdon Overview'!H$69,Stock!$A$3:$U$3,0)),0)</f>
        <v/>
      </c>
    </row>
    <row r="119">
      <c r="A119" s="24" t="inlineStr">
        <is>
          <t>Ram woolskins</t>
        </is>
      </c>
      <c r="B119" s="15">
        <f>IFERROR(INDEX(Stock!$A$3:$U$92,MATCH('Merdon Overview'!$A119,Stock!$A$3:$A$92,0),MATCH('Merdon Overview'!B$69,Stock!$A$3:$U$3,0)),0)</f>
        <v/>
      </c>
      <c r="C119" s="15">
        <f>IFERROR(INDEX(Stock!$A$3:$U$92,MATCH('Merdon Overview'!$A119,Stock!$A$3:$A$92,0),MATCH('Merdon Overview'!C$69,Stock!$A$3:$U$3,0)),0)</f>
        <v/>
      </c>
      <c r="D119" s="15">
        <f>C119-B119</f>
        <v/>
      </c>
      <c r="E119" s="15" t="n"/>
      <c r="F119" s="15">
        <f>IFERROR(INDEX(Stock!$A$3:$U$92,MATCH('Merdon Overview'!$A119,Stock!$A$3:$A$92,0),MATCH('Merdon Overview'!F$69,Stock!$A$3:$U$3,0)),0)</f>
        <v/>
      </c>
      <c r="G119" s="26">
        <f>Stock!S50</f>
        <v/>
      </c>
      <c r="H119" s="133">
        <f>IFERROR(INDEX(Stock!$A$3:$U$92,MATCH('Merdon Overview'!$A119,Stock!$A$3:$A$92,0),MATCH('Merdon Overview'!H$69,Stock!$A$3:$U$3,0)),0)</f>
        <v/>
      </c>
    </row>
    <row r="120">
      <c r="A120" s="24" t="inlineStr">
        <is>
          <t>Ewe woolskins</t>
        </is>
      </c>
      <c r="B120" s="15">
        <f>IFERROR(INDEX(Stock!$A$3:$U$92,MATCH('Merdon Overview'!$A120,Stock!$A$3:$A$92,0),MATCH('Merdon Overview'!B$69,Stock!$A$3:$U$3,0)),0)</f>
        <v/>
      </c>
      <c r="C120" s="15">
        <f>IFERROR(INDEX(Stock!$A$3:$U$92,MATCH('Merdon Overview'!$A120,Stock!$A$3:$A$92,0),MATCH('Merdon Overview'!C$69,Stock!$A$3:$U$3,0)),0)</f>
        <v/>
      </c>
      <c r="D120" s="15">
        <f>C120-B120</f>
        <v/>
      </c>
      <c r="E120" s="15" t="n"/>
      <c r="F120" s="15">
        <f>IFERROR(INDEX(Stock!$A$3:$U$92,MATCH('Merdon Overview'!$A120,Stock!$A$3:$A$92,0),MATCH('Merdon Overview'!F$69,Stock!$A$3:$U$3,0)),0)</f>
        <v/>
      </c>
      <c r="G120" s="26">
        <f>Stock!S51</f>
        <v/>
      </c>
      <c r="H120" s="133">
        <f>IFERROR(INDEX(Stock!$A$3:$U$92,MATCH('Merdon Overview'!$A120,Stock!$A$3:$A$92,0),MATCH('Merdon Overview'!H$69,Stock!$A$3:$U$3,0)),0)</f>
        <v/>
      </c>
    </row>
    <row r="121">
      <c r="A121" s="24" t="inlineStr">
        <is>
          <t>Hogg woolskins</t>
        </is>
      </c>
      <c r="B121" s="15">
        <f>IFERROR(INDEX(Stock!$A$3:$U$92,MATCH('Merdon Overview'!$A121,Stock!$A$3:$A$92,0),MATCH('Merdon Overview'!B$69,Stock!$A$3:$U$3,0)),0)</f>
        <v/>
      </c>
      <c r="C121" s="15">
        <f>IFERROR(INDEX(Stock!$A$3:$U$92,MATCH('Merdon Overview'!$A121,Stock!$A$3:$A$92,0),MATCH('Merdon Overview'!C$69,Stock!$A$3:$U$3,0)),0)</f>
        <v/>
      </c>
      <c r="D121" s="15">
        <f>C121-B121</f>
        <v/>
      </c>
      <c r="E121" s="15" t="n"/>
      <c r="F121" s="15">
        <f>IFERROR(INDEX(Stock!$A$3:$U$92,MATCH('Merdon Overview'!$A121,Stock!$A$3:$A$92,0),MATCH('Merdon Overview'!F$69,Stock!$A$3:$U$3,0)),0)</f>
        <v/>
      </c>
      <c r="G121" s="26">
        <f>Stock!S52</f>
        <v/>
      </c>
      <c r="H121" s="133">
        <f>IFERROR(INDEX(Stock!$A$3:$U$92,MATCH('Merdon Overview'!$A121,Stock!$A$3:$A$92,0),MATCH('Merdon Overview'!H$69,Stock!$A$3:$U$3,0)),0)</f>
        <v/>
      </c>
    </row>
    <row r="122">
      <c r="A122" s="25" t="inlineStr">
        <is>
          <t>Woolskins (total)</t>
        </is>
      </c>
      <c r="B122" s="15">
        <f>IFERROR(INDEX(Stock!$A$3:$U$92,MATCH('Merdon Overview'!$A122,Stock!$A$3:$A$92,0),MATCH('Merdon Overview'!B$69,Stock!$A$3:$U$3,0)),0)</f>
        <v/>
      </c>
      <c r="C122" s="15">
        <f>IFERROR(INDEX(Stock!$A$3:$U$92,MATCH('Merdon Overview'!$A122,Stock!$A$3:$A$92,0),MATCH('Merdon Overview'!C$69,Stock!$A$3:$U$3,0)),0)</f>
        <v/>
      </c>
      <c r="D122" s="15">
        <f>C122-B122</f>
        <v/>
      </c>
      <c r="E122" s="15" t="n"/>
      <c r="F122" s="15">
        <f>IFERROR(INDEX(Stock!$A$3:$U$92,MATCH('Merdon Overview'!$A122,Stock!$A$3:$A$92,0),MATCH('Merdon Overview'!F$69,Stock!$A$3:$U$3,0)),0)</f>
        <v/>
      </c>
      <c r="G122" s="26">
        <f>Stock!S53</f>
        <v/>
      </c>
      <c r="H122" s="133">
        <f>IFERROR(INDEX(Stock!$A$3:$U$92,MATCH('Merdon Overview'!$A122,Stock!$A$3:$A$92,0),MATCH('Merdon Overview'!H$69,Stock!$A$3:$U$3,0)),0)</f>
        <v/>
      </c>
    </row>
    <row r="123">
      <c r="A123" s="24" t="inlineStr">
        <is>
          <t>Wether bareskins</t>
        </is>
      </c>
      <c r="B123" s="15">
        <f>IFERROR(INDEX(Stock!$A$3:$U$92,MATCH('Merdon Overview'!$A123,Stock!$A$3:$A$92,0),MATCH('Merdon Overview'!B$69,Stock!$A$3:$U$3,0)),0)</f>
        <v/>
      </c>
      <c r="C123" s="15">
        <f>IFERROR(INDEX(Stock!$A$3:$U$92,MATCH('Merdon Overview'!$A123,Stock!$A$3:$A$92,0),MATCH('Merdon Overview'!C$69,Stock!$A$3:$U$3,0)),0)</f>
        <v/>
      </c>
      <c r="D123" s="15">
        <f>C123-B123</f>
        <v/>
      </c>
      <c r="E123" s="15" t="n"/>
      <c r="F123" s="15">
        <f>IFERROR(INDEX(Stock!$A$3:$U$92,MATCH('Merdon Overview'!$A123,Stock!$A$3:$A$92,0),MATCH('Merdon Overview'!F$69,Stock!$A$3:$U$3,0)),0)</f>
        <v/>
      </c>
      <c r="G123" s="26">
        <f>Stock!S54</f>
        <v/>
      </c>
      <c r="H123" s="133">
        <f>IFERROR(INDEX(Stock!$A$3:$U$92,MATCH('Merdon Overview'!$A123,Stock!$A$3:$A$92,0),MATCH('Merdon Overview'!H$69,Stock!$A$3:$U$3,0)),0)</f>
        <v/>
      </c>
    </row>
    <row r="124">
      <c r="A124" s="24" t="inlineStr">
        <is>
          <t>Ram bareskins</t>
        </is>
      </c>
      <c r="B124" s="15">
        <f>IFERROR(INDEX(Stock!$A$3:$U$92,MATCH('Merdon Overview'!$A124,Stock!$A$3:$A$92,0),MATCH('Merdon Overview'!B$69,Stock!$A$3:$U$3,0)),0)</f>
        <v/>
      </c>
      <c r="C124" s="15">
        <f>IFERROR(INDEX(Stock!$A$3:$U$92,MATCH('Merdon Overview'!$A124,Stock!$A$3:$A$92,0),MATCH('Merdon Overview'!C$69,Stock!$A$3:$U$3,0)),0)</f>
        <v/>
      </c>
      <c r="D124" s="15">
        <f>C124-B124</f>
        <v/>
      </c>
      <c r="E124" s="15" t="n"/>
      <c r="F124" s="15">
        <f>IFERROR(INDEX(Stock!$A$3:$U$92,MATCH('Merdon Overview'!$A124,Stock!$A$3:$A$92,0),MATCH('Merdon Overview'!F$69,Stock!$A$3:$U$3,0)),0)</f>
        <v/>
      </c>
      <c r="G124" s="26">
        <f>Stock!S55</f>
        <v/>
      </c>
      <c r="H124" s="133">
        <f>IFERROR(INDEX(Stock!$A$3:$U$92,MATCH('Merdon Overview'!$A124,Stock!$A$3:$A$92,0),MATCH('Merdon Overview'!H$69,Stock!$A$3:$U$3,0)),0)</f>
        <v/>
      </c>
    </row>
    <row r="125">
      <c r="A125" s="24" t="inlineStr">
        <is>
          <t>Ewe bareskins</t>
        </is>
      </c>
      <c r="B125" s="15">
        <f>IFERROR(INDEX(Stock!$A$3:$U$92,MATCH('Merdon Overview'!$A125,Stock!$A$3:$A$92,0),MATCH('Merdon Overview'!B$69,Stock!$A$3:$U$3,0)),0)</f>
        <v/>
      </c>
      <c r="C125" s="15">
        <f>IFERROR(INDEX(Stock!$A$3:$U$92,MATCH('Merdon Overview'!$A125,Stock!$A$3:$A$92,0),MATCH('Merdon Overview'!C$69,Stock!$A$3:$U$3,0)),0)</f>
        <v/>
      </c>
      <c r="D125" s="15">
        <f>C125-B125</f>
        <v/>
      </c>
      <c r="E125" s="15" t="n"/>
      <c r="F125" s="15">
        <f>IFERROR(INDEX(Stock!$A$3:$U$92,MATCH('Merdon Overview'!$A125,Stock!$A$3:$A$92,0),MATCH('Merdon Overview'!F$69,Stock!$A$3:$U$3,0)),0)</f>
        <v/>
      </c>
      <c r="G125" s="26">
        <f>Stock!S56</f>
        <v/>
      </c>
      <c r="H125" s="133">
        <f>IFERROR(INDEX(Stock!$A$3:$U$92,MATCH('Merdon Overview'!$A125,Stock!$A$3:$A$92,0),MATCH('Merdon Overview'!H$69,Stock!$A$3:$U$3,0)),0)</f>
        <v/>
      </c>
    </row>
    <row r="126">
      <c r="A126" s="24" t="inlineStr">
        <is>
          <t>Hogg bareskins</t>
        </is>
      </c>
      <c r="B126" s="15">
        <f>IFERROR(INDEX(Stock!$A$3:$U$92,MATCH('Merdon Overview'!$A126,Stock!$A$3:$A$92,0),MATCH('Merdon Overview'!B$69,Stock!$A$3:$U$3,0)),0)</f>
        <v/>
      </c>
      <c r="C126" s="15">
        <f>IFERROR(INDEX(Stock!$A$3:$U$92,MATCH('Merdon Overview'!$A126,Stock!$A$3:$A$92,0),MATCH('Merdon Overview'!C$69,Stock!$A$3:$U$3,0)),0)</f>
        <v/>
      </c>
      <c r="D126" s="15">
        <f>C126-B126</f>
        <v/>
      </c>
      <c r="E126" s="15" t="n"/>
      <c r="F126" s="15">
        <f>IFERROR(INDEX(Stock!$A$3:$U$92,MATCH('Merdon Overview'!$A126,Stock!$A$3:$A$92,0),MATCH('Merdon Overview'!F$69,Stock!$A$3:$U$3,0)),0)</f>
        <v/>
      </c>
      <c r="G126" s="26">
        <f>Stock!S57</f>
        <v/>
      </c>
      <c r="H126" s="133">
        <f>IFERROR(INDEX(Stock!$A$3:$U$92,MATCH('Merdon Overview'!$A126,Stock!$A$3:$A$92,0),MATCH('Merdon Overview'!H$69,Stock!$A$3:$U$3,0)),0)</f>
        <v/>
      </c>
    </row>
    <row r="127">
      <c r="A127" s="25" t="inlineStr">
        <is>
          <t>Bareskins (total)</t>
        </is>
      </c>
      <c r="B127" s="15">
        <f>IFERROR(INDEX(Stock!$A$3:$U$92,MATCH('Merdon Overview'!$A127,Stock!$A$3:$A$92,0),MATCH('Merdon Overview'!B$69,Stock!$A$3:$U$3,0)),0)</f>
        <v/>
      </c>
      <c r="C127" s="15">
        <f>IFERROR(INDEX(Stock!$A$3:$U$92,MATCH('Merdon Overview'!$A127,Stock!$A$3:$A$92,0),MATCH('Merdon Overview'!C$69,Stock!$A$3:$U$3,0)),0)</f>
        <v/>
      </c>
      <c r="D127" s="15">
        <f>C127-B127</f>
        <v/>
      </c>
      <c r="E127" s="15" t="n"/>
      <c r="F127" s="15">
        <f>IFERROR(INDEX(Stock!$A$3:$U$92,MATCH('Merdon Overview'!$A127,Stock!$A$3:$A$92,0),MATCH('Merdon Overview'!F$69,Stock!$A$3:$U$3,0)),0)</f>
        <v/>
      </c>
      <c r="G127" s="26">
        <f>Stock!S58</f>
        <v/>
      </c>
      <c r="H127" s="133">
        <f>IFERROR(INDEX(Stock!$A$3:$U$92,MATCH('Merdon Overview'!$A127,Stock!$A$3:$A$92,0),MATCH('Merdon Overview'!H$69,Stock!$A$3:$U$3,0)),0)</f>
        <v/>
      </c>
    </row>
    <row r="128">
      <c r="A128" s="15" t="inlineStr">
        <is>
          <t>Lambskins</t>
        </is>
      </c>
      <c r="B128" s="15">
        <f>IFERROR(INDEX(Stock!$A$3:$U$92,MATCH('Merdon Overview'!$A128,Stock!$A$3:$A$92,0),MATCH('Merdon Overview'!B$69,Stock!$A$3:$U$3,0)),0)</f>
        <v/>
      </c>
      <c r="C128" s="15">
        <f>IFERROR(INDEX(Stock!$A$3:$U$92,MATCH('Merdon Overview'!$A128,Stock!$A$3:$A$92,0),MATCH('Merdon Overview'!C$69,Stock!$A$3:$U$3,0)),0)</f>
        <v/>
      </c>
      <c r="D128" s="15">
        <f>C128-B128</f>
        <v/>
      </c>
      <c r="E128" s="15" t="n"/>
      <c r="F128" s="15">
        <f>IFERROR(INDEX(Stock!$A$3:$U$92,MATCH('Merdon Overview'!$A128,Stock!$A$3:$A$92,0),MATCH('Merdon Overview'!F$69,Stock!$A$3:$U$3,0)),0)</f>
        <v/>
      </c>
      <c r="G128" s="26">
        <f>Stock!S59</f>
        <v/>
      </c>
      <c r="H128" s="133">
        <f>IFERROR(INDEX(Stock!$A$3:$U$92,MATCH('Merdon Overview'!$A128,Stock!$A$3:$A$92,0),MATCH('Merdon Overview'!H$69,Stock!$A$3:$U$3,0)),0)</f>
        <v/>
      </c>
    </row>
    <row r="129">
      <c r="A129" s="15" t="inlineStr">
        <is>
          <t>Rotted skins</t>
        </is>
      </c>
      <c r="B129" s="15">
        <f>IFERROR(INDEX(Stock!$A$3:$U$92,MATCH('Merdon Overview'!$A129,Stock!$A$3:$A$92,0),MATCH('Merdon Overview'!B$69,Stock!$A$3:$U$3,0)),0)</f>
        <v/>
      </c>
      <c r="C129" s="15">
        <f>IFERROR(INDEX(Stock!$A$3:$U$92,MATCH('Merdon Overview'!$A129,Stock!$A$3:$A$92,0),MATCH('Merdon Overview'!C$69,Stock!$A$3:$U$3,0)),0)</f>
        <v/>
      </c>
      <c r="D129" s="15">
        <f>C129-B129</f>
        <v/>
      </c>
      <c r="E129" s="15" t="n"/>
      <c r="F129" s="15">
        <f>IFERROR(INDEX(Stock!$A$3:$U$92,MATCH('Merdon Overview'!$A129,Stock!$A$3:$A$92,0),MATCH('Merdon Overview'!F$69,Stock!$A$3:$U$3,0)),0)</f>
        <v/>
      </c>
      <c r="G129" s="26">
        <f>Stock!S60</f>
        <v/>
      </c>
      <c r="H129" s="133">
        <f>IFERROR(INDEX(Stock!$A$3:$U$92,MATCH('Merdon Overview'!$A129,Stock!$A$3:$A$92,0),MATCH('Merdon Overview'!H$69,Stock!$A$3:$U$3,0)),0)</f>
        <v/>
      </c>
    </row>
    <row r="130">
      <c r="A130" s="15" t="inlineStr">
        <is>
          <t>Shorn skins</t>
        </is>
      </c>
      <c r="B130" s="15">
        <f>IFERROR(INDEX(Stock!$A$3:$U$92,MATCH('Merdon Overview'!$A130,Stock!$A$3:$A$92,0),MATCH('Merdon Overview'!B$69,Stock!$A$3:$U$3,0)),0)</f>
        <v/>
      </c>
      <c r="C130" s="15">
        <f>IFERROR(INDEX(Stock!$A$3:$U$92,MATCH('Merdon Overview'!$A130,Stock!$A$3:$A$92,0),MATCH('Merdon Overview'!C$69,Stock!$A$3:$U$3,0)),0)</f>
        <v/>
      </c>
      <c r="D130" s="15">
        <f>C130-B130</f>
        <v/>
      </c>
      <c r="E130" s="15" t="n"/>
      <c r="F130" s="15">
        <f>IFERROR(INDEX(Stock!$A$3:$U$92,MATCH('Merdon Overview'!$A130,Stock!$A$3:$A$92,0),MATCH('Merdon Overview'!F$69,Stock!$A$3:$U$3,0)),0)</f>
        <v/>
      </c>
      <c r="G130" s="26">
        <f>Stock!S61</f>
        <v/>
      </c>
      <c r="H130" s="133">
        <f>IFERROR(INDEX(Stock!$A$3:$U$92,MATCH('Merdon Overview'!$A130,Stock!$A$3:$A$92,0),MATCH('Merdon Overview'!H$69,Stock!$A$3:$U$3,0)),0)</f>
        <v/>
      </c>
    </row>
    <row r="131">
      <c r="A131" s="17" t="inlineStr">
        <is>
          <t>Total value of stock (sum of the above)</t>
        </is>
      </c>
      <c r="B131" s="134" t="n"/>
      <c r="C131" s="134" t="n"/>
      <c r="D131" s="134" t="n"/>
      <c r="E131" s="134" t="n"/>
      <c r="F131" s="134" t="n"/>
      <c r="G131" s="139">
        <f>SUM(G111:G130)</f>
        <v/>
      </c>
      <c r="H131" s="94" t="n"/>
    </row>
    <row r="132">
      <c r="A132" s="17" t="inlineStr">
        <is>
          <t>Total value of production</t>
        </is>
      </c>
      <c r="B132" s="134" t="n"/>
      <c r="C132" s="134" t="n"/>
      <c r="D132" s="134" t="n"/>
      <c r="E132" s="134" t="n"/>
      <c r="F132" s="134" t="n"/>
      <c r="G132" s="139">
        <f>SUM(H111:H130)</f>
        <v/>
      </c>
      <c r="H132" s="94" t="n"/>
    </row>
    <row r="133">
      <c r="A133" s="17" t="inlineStr">
        <is>
          <t>Value of sales</t>
        </is>
      </c>
      <c r="B133" s="134" t="n"/>
      <c r="C133" s="134" t="n"/>
      <c r="D133" s="134" t="n"/>
      <c r="E133" s="134" t="n"/>
      <c r="F133" s="134" t="n"/>
      <c r="G133" s="139">
        <f>SUM(F111:F130)</f>
        <v/>
      </c>
      <c r="H133" s="94" t="n"/>
    </row>
    <row r="134">
      <c r="A134" s="15" t="n"/>
      <c r="B134" s="15" t="n"/>
      <c r="C134" s="15" t="n"/>
      <c r="D134" s="15" t="n"/>
      <c r="E134" s="15" t="n"/>
      <c r="F134" s="15" t="n"/>
      <c r="G134" s="133" t="n"/>
      <c r="H134" s="10" t="n"/>
    </row>
    <row r="135" ht="34" customHeight="1">
      <c r="A135" s="16" t="inlineStr">
        <is>
          <t>Poultry stock</t>
        </is>
      </c>
      <c r="B135" s="151" t="inlineStr">
        <is>
          <t>Inherited stock</t>
        </is>
      </c>
      <c r="C135" s="151" t="inlineStr">
        <is>
          <t>End-period  stock</t>
        </is>
      </c>
      <c r="D135" s="146" t="inlineStr">
        <is>
          <t>Stockbuilding</t>
        </is>
      </c>
      <c r="E135" s="152" t="n"/>
      <c r="F135" s="153" t="inlineStr">
        <is>
          <t>Sales in (£)</t>
        </is>
      </c>
      <c r="G135" s="153" t="inlineStr">
        <is>
          <t>Value of stock (£) at sales prices</t>
        </is>
      </c>
      <c r="H135" s="153" t="inlineStr">
        <is>
          <t>Value of production (£) at sales prices</t>
        </is>
      </c>
    </row>
    <row r="136" ht="17" customHeight="1">
      <c r="A136" s="22" t="inlineStr">
        <is>
          <t>Hens</t>
        </is>
      </c>
      <c r="B136" s="15">
        <f>IFERROR(INDEX(Stock!$A$3:$U$92,MATCH('Merdon Overview'!$A136,Stock!$A$3:$A$92,0),MATCH('Merdon Overview'!B$69,Stock!$A$3:$U$3,0)),0)</f>
        <v/>
      </c>
      <c r="C136" s="15">
        <f>IFERROR(INDEX(Stock!$A$3:$U$92,MATCH('Merdon Overview'!$A136,Stock!$A$3:$A$92,0),MATCH('Merdon Overview'!C$69,Stock!$A$3:$U$3,0)),0)</f>
        <v/>
      </c>
      <c r="D136" s="15">
        <f>C136-B136</f>
        <v/>
      </c>
      <c r="E136" s="15" t="n"/>
      <c r="F136" s="15">
        <f>IFERROR(INDEX(Stock!$A$3:$U$92,MATCH('Merdon Overview'!$A136,Stock!$A$3:$A$92,0),MATCH('Merdon Overview'!F$69,Stock!$A$3:$U$3,0)),0)</f>
        <v/>
      </c>
      <c r="H136" s="133">
        <f>IFERROR(INDEX(Stock!$A$3:$U$92,MATCH('Merdon Overview'!$A136,Stock!$A$3:$A$92,0),MATCH('Merdon Overview'!H$69,Stock!$A$3:$U$3,0)),0)</f>
        <v/>
      </c>
      <c r="I136" t="inlineStr">
        <is>
          <t>nothing</t>
        </is>
      </c>
    </row>
    <row r="137">
      <c r="A137" s="15" t="inlineStr">
        <is>
          <t>Geese</t>
        </is>
      </c>
      <c r="B137" s="15">
        <f>IFERROR(INDEX(Stock!$A$3:$U$92,MATCH('Merdon Overview'!$A137,Stock!$A$3:$A$92,0),MATCH('Merdon Overview'!B$69,Stock!$A$3:$U$3,0)),0)</f>
        <v/>
      </c>
      <c r="C137" s="15">
        <f>IFERROR(INDEX(Stock!$A$3:$U$92,MATCH('Merdon Overview'!$A137,Stock!$A$3:$A$92,0),MATCH('Merdon Overview'!C$69,Stock!$A$3:$U$3,0)),0)</f>
        <v/>
      </c>
      <c r="D137" s="15">
        <f>C137-B137</f>
        <v/>
      </c>
      <c r="E137" s="15" t="n"/>
      <c r="F137" s="15">
        <f>IFERROR(INDEX(Stock!$A$3:$U$92,MATCH('Merdon Overview'!$A137,Stock!$A$3:$A$92,0),MATCH('Merdon Overview'!F$69,Stock!$A$3:$U$3,0)),0)</f>
        <v/>
      </c>
      <c r="H137" s="133">
        <f>IFERROR(INDEX(Stock!$A$3:$U$92,MATCH('Merdon Overview'!$A137,Stock!$A$3:$A$92,0),MATCH('Merdon Overview'!H$69,Stock!$A$3:$U$3,0)),0)</f>
        <v/>
      </c>
    </row>
    <row r="138">
      <c r="A138" s="15" t="inlineStr">
        <is>
          <t>Capons (from chickens)</t>
        </is>
      </c>
      <c r="B138" s="15">
        <f>IFERROR(INDEX(Stock!$A$3:$U$92,MATCH('Merdon Overview'!$A138,Stock!$A$3:$A$92,0),MATCH('Merdon Overview'!B$69,Stock!$A$3:$U$3,0)),0)</f>
        <v/>
      </c>
      <c r="C138" s="15">
        <f>IFERROR(INDEX(Stock!$A$3:$U$92,MATCH('Merdon Overview'!$A138,Stock!$A$3:$A$92,0),MATCH('Merdon Overview'!C$69,Stock!$A$3:$U$3,0)),0)</f>
        <v/>
      </c>
      <c r="D138" s="15">
        <f>C138-B138</f>
        <v/>
      </c>
      <c r="E138" s="15" t="n"/>
      <c r="F138" s="15">
        <f>IFERROR(INDEX(Stock!$A$3:$U$92,MATCH('Merdon Overview'!$A138,Stock!$A$3:$A$92,0),MATCH('Merdon Overview'!F$69,Stock!$A$3:$U$3,0)),0)</f>
        <v/>
      </c>
      <c r="H138" s="133">
        <f>IFERROR(INDEX(Stock!$A$3:$U$92,MATCH('Merdon Overview'!$A138,Stock!$A$3:$A$92,0),MATCH('Merdon Overview'!H$69,Stock!$A$3:$U$3,0)),0)</f>
        <v/>
      </c>
    </row>
    <row r="139">
      <c r="A139" s="15" t="inlineStr">
        <is>
          <t>Cocks &amp; hens</t>
        </is>
      </c>
      <c r="B139" s="15">
        <f>IFERROR(INDEX(Stock!$A$3:$U$92,MATCH('Merdon Overview'!$A139,Stock!$A$3:$A$92,0),MATCH('Merdon Overview'!B$69,Stock!$A$3:$U$3,0)),0)</f>
        <v/>
      </c>
      <c r="C139" s="15">
        <f>IFERROR(INDEX(Stock!$A$3:$U$92,MATCH('Merdon Overview'!$A139,Stock!$A$3:$A$92,0),MATCH('Merdon Overview'!C$69,Stock!$A$3:$U$3,0)),0)</f>
        <v/>
      </c>
      <c r="D139" s="15">
        <f>C139-B139</f>
        <v/>
      </c>
      <c r="E139" s="15" t="n"/>
      <c r="F139" s="15">
        <f>IFERROR(INDEX(Stock!$A$3:$U$92,MATCH('Merdon Overview'!$A139,Stock!$A$3:$A$92,0),MATCH('Merdon Overview'!F$69,Stock!$A$3:$U$3,0)),0)</f>
        <v/>
      </c>
      <c r="H139" s="133">
        <f>IFERROR(INDEX(Stock!$A$3:$U$92,MATCH('Merdon Overview'!$A139,Stock!$A$3:$A$92,0),MATCH('Merdon Overview'!H$69,Stock!$A$3:$U$3,0)),0)</f>
        <v/>
      </c>
    </row>
    <row r="140">
      <c r="A140" s="17" t="inlineStr">
        <is>
          <t>Total value of stock (sum of the above)</t>
        </is>
      </c>
      <c r="B140" s="134" t="n"/>
      <c r="C140" s="134" t="n"/>
      <c r="D140" s="134" t="n"/>
      <c r="E140" s="134" t="n"/>
      <c r="F140" s="134" t="n"/>
      <c r="G140" s="139" t="n"/>
      <c r="H140" s="94" t="n"/>
    </row>
    <row r="141">
      <c r="A141" s="17" t="inlineStr">
        <is>
          <t>Total value of production</t>
        </is>
      </c>
      <c r="B141" s="134" t="n"/>
      <c r="C141" s="134" t="n"/>
      <c r="D141" s="134" t="n"/>
      <c r="E141" s="134" t="n"/>
      <c r="F141" s="134" t="n"/>
      <c r="G141" s="139" t="n"/>
      <c r="H141" s="94" t="n"/>
    </row>
    <row r="142">
      <c r="A142" s="17" t="inlineStr">
        <is>
          <t>Value of sales</t>
        </is>
      </c>
      <c r="B142" s="134" t="n"/>
      <c r="C142" s="134" t="n"/>
      <c r="D142" s="134" t="n"/>
      <c r="E142" s="134" t="n"/>
      <c r="F142" s="134" t="n"/>
      <c r="G142" s="139" t="n"/>
      <c r="H142" s="94" t="n"/>
    </row>
    <row r="143">
      <c r="A143" s="15" t="n"/>
      <c r="B143" s="15" t="n"/>
      <c r="C143" s="15" t="n"/>
      <c r="D143" s="15" t="n"/>
      <c r="E143" s="15" t="n"/>
      <c r="F143" s="15" t="n"/>
      <c r="G143" s="133" t="n"/>
      <c r="H143" s="10" t="n"/>
    </row>
    <row r="144" ht="34" customHeight="1">
      <c r="A144" s="16" t="inlineStr">
        <is>
          <t>Poultry production</t>
        </is>
      </c>
      <c r="B144" s="151" t="inlineStr">
        <is>
          <t>Inherited stock</t>
        </is>
      </c>
      <c r="C144" s="151" t="inlineStr">
        <is>
          <t>End-period  stock</t>
        </is>
      </c>
      <c r="D144" s="146" t="inlineStr">
        <is>
          <t>Stockbuilding</t>
        </is>
      </c>
      <c r="E144" s="152" t="n"/>
      <c r="F144" s="153" t="inlineStr">
        <is>
          <t>Sales in (£)</t>
        </is>
      </c>
      <c r="G144" s="153" t="inlineStr">
        <is>
          <t>Value of stock (£) at sales prices</t>
        </is>
      </c>
      <c r="H144" s="153" t="inlineStr">
        <is>
          <t>Value of production (£) at sales prices</t>
        </is>
      </c>
    </row>
    <row r="145">
      <c r="A145" s="15" t="inlineStr">
        <is>
          <t>Eggs</t>
        </is>
      </c>
      <c r="B145" s="15">
        <f>IFERROR(INDEX(Stock!$A$3:$U$92,MATCH('Merdon Overview'!$A145,Stock!$A$3:$A$92,0),MATCH('Merdon Overview'!B$69,Stock!$A$3:$U$3,0)),0)</f>
        <v/>
      </c>
      <c r="C145" s="15">
        <f>IFERROR(INDEX(Stock!$A$3:$U$92,MATCH('Merdon Overview'!$A145,Stock!$A$3:$A$92,0),MATCH('Merdon Overview'!C$69,Stock!$A$3:$U$3,0)),0)</f>
        <v/>
      </c>
      <c r="D145" s="15">
        <f>C145-B145</f>
        <v/>
      </c>
      <c r="E145" s="15" t="n"/>
      <c r="F145" s="15">
        <f>IFERROR(INDEX(Stock!$A$3:$U$92,MATCH('Merdon Overview'!$A145,Stock!$A$3:$A$92,0),MATCH('Merdon Overview'!F$69,Stock!$A$3:$U$3,0)),0)</f>
        <v/>
      </c>
      <c r="G145" s="26">
        <f>Stock!S73</f>
        <v/>
      </c>
      <c r="H145" s="133">
        <f>IFERROR(INDEX(Stock!$A$3:$U$92,MATCH('Merdon Overview'!$A145,Stock!$A$3:$A$92,0),MATCH('Merdon Overview'!H$69,Stock!$A$3:$U$3,0)),0)</f>
        <v/>
      </c>
    </row>
    <row r="146">
      <c r="A146" s="15" t="inlineStr">
        <is>
          <t>Cocks &amp; hens from churchscot of customary tenants</t>
        </is>
      </c>
      <c r="B146" s="15">
        <f>IFERROR(INDEX(Stock!$A$3:$U$92,MATCH('Merdon Overview'!$A146,Stock!$A$3:$A$92,0),MATCH('Merdon Overview'!B$69,Stock!$A$3:$U$3,0)),0)</f>
        <v/>
      </c>
      <c r="C146" s="15">
        <f>IFERROR(INDEX(Stock!$A$3:$U$92,MATCH('Merdon Overview'!$A146,Stock!$A$3:$A$92,0),MATCH('Merdon Overview'!C$69,Stock!$A$3:$U$3,0)),0)</f>
        <v/>
      </c>
      <c r="D146" s="15">
        <f>C146-B146</f>
        <v/>
      </c>
      <c r="E146" s="15" t="n"/>
      <c r="F146" s="15">
        <f>IFERROR(INDEX(Stock!$A$3:$U$92,MATCH('Merdon Overview'!$A146,Stock!$A$3:$A$92,0),MATCH('Merdon Overview'!F$69,Stock!$A$3:$U$3,0)),0)</f>
        <v/>
      </c>
      <c r="G146" s="26">
        <f>Stock!S74</f>
        <v/>
      </c>
      <c r="H146" s="133">
        <f>IFERROR(INDEX(Stock!$A$3:$U$92,MATCH('Merdon Overview'!$A146,Stock!$A$3:$A$92,0),MATCH('Merdon Overview'!H$69,Stock!$A$3:$U$3,0)),0)</f>
        <v/>
      </c>
    </row>
    <row r="147">
      <c r="A147" s="17" t="inlineStr">
        <is>
          <t>Total value of stock (sum of the above)</t>
        </is>
      </c>
      <c r="B147" s="134" t="n"/>
      <c r="C147" s="134" t="n"/>
      <c r="D147" s="134" t="n"/>
      <c r="E147" s="134" t="n"/>
      <c r="F147" s="134" t="n"/>
      <c r="G147" s="139">
        <f>SUM(G145:G146)</f>
        <v/>
      </c>
      <c r="H147" s="94" t="n"/>
    </row>
    <row r="148">
      <c r="A148" s="17" t="inlineStr">
        <is>
          <t>Total value of production</t>
        </is>
      </c>
      <c r="B148" s="134" t="n"/>
      <c r="C148" s="134" t="n"/>
      <c r="D148" s="134" t="n"/>
      <c r="E148" s="134" t="n"/>
      <c r="F148" s="134" t="n"/>
      <c r="G148" s="139">
        <f>SUM(H145:H146)</f>
        <v/>
      </c>
      <c r="H148" s="94" t="n"/>
    </row>
    <row r="149">
      <c r="A149" s="17" t="inlineStr">
        <is>
          <t>Value of sales</t>
        </is>
      </c>
      <c r="B149" s="134" t="n"/>
      <c r="C149" s="134" t="n"/>
      <c r="D149" s="134" t="n"/>
      <c r="E149" s="134" t="n"/>
      <c r="F149" s="134" t="n"/>
      <c r="G149" s="139">
        <f>SUM(F145:F146)</f>
        <v/>
      </c>
      <c r="H149" s="94" t="n"/>
    </row>
    <row r="150">
      <c r="A150" s="15" t="n"/>
      <c r="B150" s="15" t="n"/>
      <c r="C150" s="15" t="n"/>
      <c r="D150" s="15" t="n"/>
      <c r="E150" s="15" t="n"/>
      <c r="F150" s="15" t="n"/>
      <c r="G150" s="133" t="n"/>
      <c r="H150" s="10" t="n"/>
    </row>
    <row r="151" ht="34" customHeight="1">
      <c r="A151" s="16" t="inlineStr">
        <is>
          <t>Dairy Production</t>
        </is>
      </c>
      <c r="B151" s="151" t="inlineStr">
        <is>
          <t>Inherited stock</t>
        </is>
      </c>
      <c r="C151" s="151" t="inlineStr">
        <is>
          <t>End-period  stock</t>
        </is>
      </c>
      <c r="D151" s="146" t="inlineStr">
        <is>
          <t>Stockbuilding</t>
        </is>
      </c>
      <c r="E151" s="152" t="n"/>
      <c r="F151" s="153" t="inlineStr">
        <is>
          <t>Sales in (£)</t>
        </is>
      </c>
      <c r="G151" s="153" t="inlineStr">
        <is>
          <t>Value of stock (£) at sales prices</t>
        </is>
      </c>
      <c r="H151" s="153" t="inlineStr">
        <is>
          <t>Value of production (£) at sales prices</t>
        </is>
      </c>
    </row>
    <row r="152">
      <c r="A152" s="15" t="inlineStr">
        <is>
          <t>Butter</t>
        </is>
      </c>
      <c r="B152" s="15">
        <f>IFERROR(INDEX(Stock!$A$3:$U$92,MATCH('Merdon Overview'!$A152,Stock!$A$3:$A$92,0),MATCH('Merdon Overview'!B$69,Stock!$A$3:$U$3,0)),0)</f>
        <v/>
      </c>
      <c r="C152" s="15">
        <f>IFERROR(INDEX(Stock!$A$3:$U$92,MATCH('Merdon Overview'!$A152,Stock!$A$3:$A$92,0),MATCH('Merdon Overview'!C$69,Stock!$A$3:$U$3,0)),0)</f>
        <v/>
      </c>
      <c r="D152" s="15">
        <f>C152-B152</f>
        <v/>
      </c>
      <c r="E152" s="15" t="n"/>
      <c r="F152" s="133">
        <f>IFERROR(INDEX(Stock!$A$3:$U$92,MATCH('Merdon Overview'!$A152,Stock!$A$3:$A$92,0),MATCH('Merdon Overview'!F$69,Stock!$A$3:$U$3,0)),0)</f>
        <v/>
      </c>
      <c r="G152" s="26">
        <f>Stock!S89</f>
        <v/>
      </c>
      <c r="H152" s="133">
        <f>IFERROR(INDEX(Stock!$A$3:$U$92,MATCH('Merdon Overview'!$A152,Stock!$A$3:$A$92,0),MATCH('Merdon Overview'!H$69,Stock!$A$3:$U$3,0)),0)</f>
        <v/>
      </c>
    </row>
    <row r="153">
      <c r="A153" s="15" t="inlineStr">
        <is>
          <t>Winter Cheese</t>
        </is>
      </c>
      <c r="B153" s="15">
        <f>IFERROR(INDEX(Stock!$A$3:$U$92,MATCH('Merdon Overview'!$A153,Stock!$A$3:$A$92,0),MATCH('Merdon Overview'!B$69,Stock!$A$3:$U$3,0)),0)</f>
        <v/>
      </c>
      <c r="C153" s="15">
        <f>IFERROR(INDEX(Stock!$A$3:$U$92,MATCH('Merdon Overview'!$A153,Stock!$A$3:$A$92,0),MATCH('Merdon Overview'!C$69,Stock!$A$3:$U$3,0)),0)</f>
        <v/>
      </c>
      <c r="D153" s="15">
        <f>C153-B153</f>
        <v/>
      </c>
      <c r="E153" s="15" t="n"/>
      <c r="F153" s="133">
        <f>IFERROR(INDEX(Stock!$A$3:$U$92,MATCH('Merdon Overview'!$A153,Stock!$A$3:$A$92,0),MATCH('Merdon Overview'!F$69,Stock!$A$3:$U$3,0)),0)</f>
        <v/>
      </c>
      <c r="G153" s="26">
        <f>Stock!S84</f>
        <v/>
      </c>
      <c r="H153" s="133">
        <f>IFERROR(INDEX(Stock!$A$3:$U$92,MATCH('Merdon Overview'!$A153,Stock!$A$3:$A$92,0),MATCH('Merdon Overview'!H$69,Stock!$A$3:$U$3,0)),0)</f>
        <v/>
      </c>
    </row>
    <row r="154">
      <c r="A154" s="15" t="inlineStr">
        <is>
          <t>Summer Cheese</t>
        </is>
      </c>
      <c r="B154" s="15">
        <f>IFERROR(INDEX(Stock!$A$3:$U$92,MATCH('Merdon Overview'!$A154,Stock!$A$3:$A$92,0),MATCH('Merdon Overview'!B$69,Stock!$A$3:$U$3,0)),0)</f>
        <v/>
      </c>
      <c r="C154" s="15">
        <f>IFERROR(INDEX(Stock!$A$3:$U$92,MATCH('Merdon Overview'!$A154,Stock!$A$3:$A$92,0),MATCH('Merdon Overview'!C$69,Stock!$A$3:$U$3,0)),0)</f>
        <v/>
      </c>
      <c r="D154" s="15">
        <f>C154-B154</f>
        <v/>
      </c>
      <c r="E154" s="15" t="n"/>
      <c r="F154" s="133">
        <f>IFERROR(INDEX(Stock!$A$3:$U$92,MATCH('Merdon Overview'!$A154,Stock!$A$3:$A$92,0),MATCH('Merdon Overview'!F$69,Stock!$A$3:$U$3,0)),0)</f>
        <v/>
      </c>
      <c r="G154" s="26">
        <f>Stock!S85</f>
        <v/>
      </c>
      <c r="H154" s="133">
        <f>IFERROR(INDEX(Stock!$A$3:$U$92,MATCH('Merdon Overview'!$A154,Stock!$A$3:$A$92,0),MATCH('Merdon Overview'!H$69,Stock!$A$3:$U$3,0)),0)</f>
        <v/>
      </c>
    </row>
    <row r="155">
      <c r="A155" s="17" t="inlineStr">
        <is>
          <t>Total value of stock (sum of the above)</t>
        </is>
      </c>
      <c r="B155" s="134" t="n"/>
      <c r="C155" s="134" t="n"/>
      <c r="D155" s="134" t="n"/>
      <c r="E155" s="134" t="n"/>
      <c r="F155" s="134" t="n"/>
      <c r="G155" s="55">
        <f>SUM(G152:G154)</f>
        <v/>
      </c>
      <c r="H155" s="139" t="n"/>
    </row>
    <row r="156">
      <c r="A156" s="17" t="inlineStr">
        <is>
          <t>Total value of production</t>
        </is>
      </c>
      <c r="B156" s="134" t="n"/>
      <c r="C156" s="134" t="n"/>
      <c r="D156" s="134" t="n"/>
      <c r="E156" s="134" t="n"/>
      <c r="F156" s="134" t="n"/>
      <c r="G156" s="55">
        <f>SUM(H152:H154)</f>
        <v/>
      </c>
      <c r="H156" s="139" t="n"/>
    </row>
    <row r="157">
      <c r="A157" s="17" t="inlineStr">
        <is>
          <t>Value of sales</t>
        </is>
      </c>
      <c r="B157" s="134" t="n"/>
      <c r="C157" s="134" t="n"/>
      <c r="D157" s="134" t="n"/>
      <c r="E157" s="134" t="n"/>
      <c r="F157" s="134" t="n"/>
      <c r="G157" s="55">
        <f>SUM(F152:F154)</f>
        <v/>
      </c>
      <c r="H157" s="139" t="n"/>
    </row>
    <row r="158">
      <c r="A158" s="15" t="n"/>
      <c r="B158" s="15" t="n"/>
      <c r="C158" s="15" t="n"/>
      <c r="D158" s="15" t="n"/>
      <c r="E158" s="15" t="n"/>
      <c r="F158" s="15" t="n"/>
      <c r="G158" s="133" t="n"/>
      <c r="H158" s="10" t="n"/>
    </row>
    <row r="159" ht="17" customHeight="1">
      <c r="A159" s="15" t="n"/>
      <c r="B159" s="15" t="n"/>
      <c r="C159" s="15" t="n"/>
      <c r="D159" s="15" t="n"/>
      <c r="E159" s="15" t="n"/>
      <c r="F159" s="15" t="n"/>
      <c r="G159" s="133" t="n"/>
      <c r="H159" s="10" t="n"/>
    </row>
    <row r="160" ht="17" customHeight="1">
      <c r="A160" s="103" t="n"/>
      <c r="B160" s="104" t="inlineStr">
        <is>
          <t>Total in £</t>
        </is>
      </c>
      <c r="C160" s="105" t="n"/>
      <c r="D160" s="154" t="n"/>
      <c r="E160" s="155" t="n"/>
      <c r="F160" s="15" t="n"/>
      <c r="G160" s="133" t="n"/>
      <c r="H160" s="10" t="n"/>
    </row>
    <row r="161">
      <c r="A161" s="97" t="inlineStr">
        <is>
          <t>Total Production Value of all Output (Grange, Dairy, Livestock Sales, Wools, Skins - NO Mill)</t>
        </is>
      </c>
      <c r="B161" s="26">
        <f>G156+G148+G132+G107+G98+G55</f>
        <v/>
      </c>
      <c r="C161" s="10" t="n"/>
      <c r="D161" s="9" t="n"/>
      <c r="E161" s="156" t="n"/>
      <c r="F161" s="15" t="n"/>
      <c r="G161" s="157" t="n"/>
      <c r="H161" s="10" t="n"/>
    </row>
    <row r="162">
      <c r="A162" s="98" t="inlineStr">
        <is>
          <t>Total Sales Value of all Output as defined above</t>
        </is>
      </c>
      <c r="B162" s="26">
        <f>G157+G149+G133+G108+G98+G56</f>
        <v/>
      </c>
      <c r="C162" s="10" t="n"/>
      <c r="D162" s="9" t="n"/>
      <c r="E162" s="156" t="n"/>
      <c r="F162" s="15" t="n"/>
      <c r="G162" s="157" t="n"/>
      <c r="H162" s="10" t="n"/>
    </row>
    <row r="163">
      <c r="A163" s="98" t="inlineStr">
        <is>
          <t>Total Sales of Corn + Issues of the Manor as recorded in account</t>
        </is>
      </c>
      <c r="B163" s="26">
        <f>G12+G11</f>
        <v/>
      </c>
      <c r="C163" s="10" t="n"/>
      <c r="D163" s="9" t="n"/>
      <c r="E163" s="156" t="n"/>
      <c r="F163" s="15" t="n"/>
      <c r="G163" s="133" t="n"/>
      <c r="H163" s="10" t="n"/>
    </row>
    <row r="164">
      <c r="A164" s="98" t="inlineStr">
        <is>
          <t>Production Value + Cash Receipts (excl. Arrears, Issues, Corn and Mill)</t>
        </is>
      </c>
      <c r="B164" s="26">
        <f>B161+G9+G10+G13+G14</f>
        <v/>
      </c>
      <c r="C164" s="10" t="n"/>
      <c r="D164" s="9" t="n"/>
      <c r="E164" s="156" t="n"/>
      <c r="F164" s="15" t="n"/>
      <c r="G164" s="133" t="n"/>
      <c r="H164" s="10" t="n"/>
    </row>
    <row r="165">
      <c r="A165" s="99" t="n"/>
      <c r="B165" s="9" t="n"/>
      <c r="C165" s="10" t="n"/>
      <c r="D165" s="9" t="n"/>
      <c r="E165" s="156" t="n"/>
      <c r="F165" s="15" t="n"/>
      <c r="G165" s="157" t="n"/>
      <c r="H165" s="10" t="n"/>
    </row>
    <row r="166">
      <c r="A166" s="100" t="inlineStr">
        <is>
          <t>% of capital expenses in terms of total production</t>
        </is>
      </c>
      <c r="B166" s="158">
        <f>G35/B161</f>
        <v/>
      </c>
      <c r="C166" s="40" t="n"/>
      <c r="D166" s="9" t="n"/>
      <c r="E166" s="156" t="n"/>
      <c r="F166" s="15" t="n"/>
      <c r="G166" s="133" t="n"/>
      <c r="H166" s="10" t="n"/>
    </row>
    <row r="167">
      <c r="A167" s="98" t="inlineStr">
        <is>
          <t>% of capital expenses in terms of total production + cash receipts</t>
        </is>
      </c>
      <c r="B167" s="158">
        <f>G35/B164</f>
        <v/>
      </c>
      <c r="C167" s="10" t="n"/>
      <c r="D167" s="9" t="n"/>
      <c r="E167" s="156" t="n"/>
      <c r="F167" s="15" t="n"/>
      <c r="G167" s="157" t="n"/>
      <c r="H167" s="10" t="n"/>
    </row>
    <row r="168">
      <c r="A168" s="99" t="n"/>
      <c r="B168" s="9" t="n"/>
      <c r="C168" s="10" t="n"/>
      <c r="D168" s="9" t="n"/>
      <c r="E168" s="156" t="n"/>
    </row>
    <row r="169" ht="17" customHeight="1">
      <c r="A169" s="101" t="inlineStr">
        <is>
          <t>% of capital expenses as calculated previously</t>
        </is>
      </c>
      <c r="B169" s="159" t="n">
        <v>0.051509</v>
      </c>
      <c r="C169" s="102" t="n"/>
      <c r="D169" s="160" t="n"/>
      <c r="E169" s="161" t="n"/>
    </row>
  </sheetData>
  <mergeCells count="1">
    <mergeCell ref="B46:C4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31"/>
  <sheetViews>
    <sheetView topLeftCell="A1" workbookViewId="0">
      <selection activeCell="A1" sqref="A1"/>
    </sheetView>
  </sheetViews>
  <sheetFormatPr baseColWidth="8" defaultRowHeight="15"/>
  <cols>
    <col width="41.5" customWidth="1" min="1" max="1"/>
  </cols>
  <sheetData>
    <row r="1">
      <c r="A1" t="inlineStr">
        <is>
          <t>MERDON RECEIPTS</t>
        </is>
      </c>
      <c r="F1" s="162" t="n"/>
      <c r="H1" s="10" t="n"/>
    </row>
    <row r="2">
      <c r="B2" s="89" t="inlineStr">
        <is>
          <t>£</t>
        </is>
      </c>
      <c r="C2" s="90" t="inlineStr">
        <is>
          <t xml:space="preserve">s </t>
        </is>
      </c>
      <c r="D2" s="90" t="inlineStr">
        <is>
          <t>d</t>
        </is>
      </c>
      <c r="E2" s="12" t="n"/>
      <c r="F2" s="5" t="inlineStr">
        <is>
          <t>Total in £</t>
        </is>
      </c>
      <c r="G2" s="163" t="inlineStr">
        <is>
          <t>Error</t>
        </is>
      </c>
      <c r="H2" s="12" t="inlineStr">
        <is>
          <t>Notes</t>
        </is>
      </c>
    </row>
    <row r="3">
      <c r="F3" s="162" t="n"/>
      <c r="H3" s="10" t="n"/>
    </row>
    <row r="4">
      <c r="A4" s="12" t="inlineStr">
        <is>
          <t>Arrears</t>
        </is>
      </c>
      <c r="F4" s="162" t="n"/>
      <c r="H4" s="10" t="n"/>
    </row>
    <row r="5">
      <c r="A5" t="inlineStr">
        <is>
          <t>Arrears total</t>
        </is>
      </c>
      <c r="B5" t="n">
        <v>40</v>
      </c>
      <c r="C5" t="n">
        <v>7</v>
      </c>
      <c r="D5" t="n">
        <v>4.5</v>
      </c>
      <c r="F5" s="164">
        <f>B5+C5/20+D5/240</f>
        <v/>
      </c>
      <c r="H5" s="10" t="n"/>
    </row>
    <row r="6">
      <c r="A6" t="inlineStr">
        <is>
          <t>of which delivered to treasurer of Wolvesey</t>
        </is>
      </c>
      <c r="B6" t="n">
        <v>40</v>
      </c>
      <c r="C6" t="n">
        <v>7</v>
      </c>
      <c r="D6" t="n">
        <v>4.5</v>
      </c>
      <c r="F6" s="164">
        <f>B6+C6/20+D6/240</f>
        <v/>
      </c>
      <c r="H6" s="10" t="n"/>
    </row>
    <row r="7"/>
    <row r="8">
      <c r="A8" s="12" t="inlineStr">
        <is>
          <t>Rents of assize</t>
        </is>
      </c>
    </row>
    <row r="9">
      <c r="A9" t="inlineStr">
        <is>
          <t>at Easter</t>
        </is>
      </c>
      <c r="B9" t="n">
        <v>18</v>
      </c>
      <c r="C9" t="n">
        <v>18</v>
      </c>
      <c r="D9" t="n">
        <v>1.75</v>
      </c>
      <c r="F9" s="164">
        <f>B9+C9/20+D9/240</f>
        <v/>
      </c>
    </row>
    <row r="10">
      <c r="A10" t="inlineStr">
        <is>
          <t>at Michaelmas</t>
        </is>
      </c>
      <c r="B10" t="n">
        <v>19</v>
      </c>
      <c r="C10" t="n">
        <v>19</v>
      </c>
      <c r="D10" t="n">
        <v>4.5</v>
      </c>
      <c r="F10" s="164">
        <f>B10+C10/20+D10/240</f>
        <v/>
      </c>
    </row>
    <row r="11">
      <c r="A11" s="12" t="inlineStr">
        <is>
          <t>Total recorded in accounts</t>
        </is>
      </c>
      <c r="B11" t="n">
        <v>38</v>
      </c>
      <c r="C11" t="n">
        <v>17</v>
      </c>
      <c r="D11" t="n">
        <v>6.25</v>
      </c>
      <c r="F11" s="164">
        <f>B11+C11/20+D11/240</f>
        <v/>
      </c>
    </row>
    <row r="12">
      <c r="A12" s="12" t="inlineStr">
        <is>
          <t>Rents of assize total</t>
        </is>
      </c>
      <c r="B12">
        <f>SUM(B9:B10)</f>
        <v/>
      </c>
      <c r="C12">
        <f>SUM(C9:C10)</f>
        <v/>
      </c>
      <c r="D12">
        <f>SUM(D9:D10)</f>
        <v/>
      </c>
      <c r="F12" s="164">
        <f>B12+C12/20+D12/240</f>
        <v/>
      </c>
      <c r="G12" s="162">
        <f>F12-F11</f>
        <v/>
      </c>
    </row>
    <row r="13"/>
    <row r="14">
      <c r="A14" s="12" t="inlineStr">
        <is>
          <t>Quittances</t>
        </is>
      </c>
    </row>
    <row r="15">
      <c r="A15" t="inlineStr">
        <is>
          <t>1 reeve and 1 beadle</t>
        </is>
      </c>
      <c r="C15" t="n">
        <v>5</v>
      </c>
      <c r="F15" s="164">
        <f>B15+C15/20+D15/240</f>
        <v/>
      </c>
    </row>
    <row r="16">
      <c r="A16" t="inlineStr">
        <is>
          <t>1 hayward</t>
        </is>
      </c>
      <c r="C16" t="n">
        <v>1</v>
      </c>
      <c r="D16" t="n">
        <v>3</v>
      </c>
      <c r="F16" s="164">
        <f>B16+C16/20+D16/240</f>
        <v/>
      </c>
    </row>
    <row r="17">
      <c r="A17" t="inlineStr">
        <is>
          <t>1 swineherd</t>
        </is>
      </c>
      <c r="C17" t="n">
        <v>2</v>
      </c>
      <c r="D17" t="n">
        <v>6</v>
      </c>
      <c r="F17" s="164">
        <f>B17+C17/20+D17/240</f>
        <v/>
      </c>
    </row>
    <row r="18">
      <c r="A18" t="inlineStr">
        <is>
          <t>10 ploughmen</t>
        </is>
      </c>
      <c r="C18" t="n">
        <v>12</v>
      </c>
      <c r="D18" t="n">
        <v>6</v>
      </c>
      <c r="F18" s="164">
        <f>B18+C18/20+D18/240</f>
        <v/>
      </c>
    </row>
    <row r="19">
      <c r="A19" t="inlineStr">
        <is>
          <t>12 workers for the year</t>
        </is>
      </c>
      <c r="C19" t="n">
        <v>15</v>
      </c>
      <c r="F19" s="164">
        <f>B19+C19/20+D19/240</f>
        <v/>
      </c>
    </row>
    <row r="20">
      <c r="A20" t="inlineStr">
        <is>
          <t>1 keeper of wethers</t>
        </is>
      </c>
      <c r="C20" t="n">
        <v>1</v>
      </c>
      <c r="D20" t="n">
        <v>3</v>
      </c>
      <c r="F20" s="164">
        <f>B20+C20/20+D20/240</f>
        <v/>
      </c>
    </row>
    <row r="21">
      <c r="A21" s="12" t="inlineStr">
        <is>
          <t>Total recorded in accounts</t>
        </is>
      </c>
      <c r="B21" t="n">
        <v>1</v>
      </c>
      <c r="C21" t="n">
        <v>17</v>
      </c>
      <c r="D21" t="n">
        <v>6</v>
      </c>
      <c r="F21" s="164">
        <f>B21+C21/20+D21/240</f>
        <v/>
      </c>
    </row>
    <row r="22">
      <c r="A22" s="12" t="inlineStr">
        <is>
          <t>Quittances total</t>
        </is>
      </c>
      <c r="B22">
        <f>SUM(B15:B20)</f>
        <v/>
      </c>
      <c r="C22">
        <f>SUM(C15:C20)</f>
        <v/>
      </c>
      <c r="D22">
        <f>SUM(D15:D20)</f>
        <v/>
      </c>
      <c r="F22" s="164">
        <f>B22+C22/20+D22/240</f>
        <v/>
      </c>
      <c r="G22" s="162">
        <f>F22-F21</f>
        <v/>
      </c>
    </row>
    <row r="23"/>
    <row r="24">
      <c r="A24" s="12" t="inlineStr">
        <is>
          <t>Defaults of rent</t>
        </is>
      </c>
    </row>
    <row r="25">
      <c r="A25" t="inlineStr">
        <is>
          <t>of William de Cruce</t>
        </is>
      </c>
      <c r="C25" t="n">
        <v>5</v>
      </c>
      <c r="F25" s="164">
        <f>B25+C25/20+D25/240</f>
        <v/>
      </c>
    </row>
    <row r="26">
      <c r="A26" t="inlineStr">
        <is>
          <t>1 plot in the vill of Hursley which William Faber formerly encroached and buit upon pulled down because it was a nuisance</t>
        </is>
      </c>
      <c r="D26" t="n">
        <v>6</v>
      </c>
      <c r="F26" s="164">
        <f>B26+C26/20+D26/240</f>
        <v/>
      </c>
    </row>
    <row r="27">
      <c r="A27" s="12" t="inlineStr">
        <is>
          <t>Total recorded in accounts</t>
        </is>
      </c>
      <c r="C27" t="n">
        <v>5</v>
      </c>
      <c r="D27" t="n">
        <v>6</v>
      </c>
      <c r="F27" s="164">
        <f>B27+C27/20+D27/240</f>
        <v/>
      </c>
    </row>
    <row r="28">
      <c r="A28" s="12" t="inlineStr">
        <is>
          <t>Defaults of rent total</t>
        </is>
      </c>
      <c r="B28">
        <f>SUM(B25:B26)</f>
        <v/>
      </c>
      <c r="C28">
        <f>SUM(C25:C26)</f>
        <v/>
      </c>
      <c r="D28">
        <f>SUM(D25:D26)</f>
        <v/>
      </c>
      <c r="F28" s="164">
        <f>B28+C28/20+D28/240</f>
        <v/>
      </c>
      <c r="G28" s="162">
        <f>F28-F27</f>
        <v/>
      </c>
    </row>
    <row r="29"/>
    <row r="30">
      <c r="A30" s="12" t="inlineStr">
        <is>
          <t>Total of rents remaining</t>
        </is>
      </c>
      <c r="B30" t="n">
        <v>36</v>
      </c>
      <c r="C30" t="n">
        <v>14</v>
      </c>
      <c r="D30" t="n">
        <v>6.25</v>
      </c>
      <c r="F30" s="164">
        <f>B30+C30/20+D30/240</f>
        <v/>
      </c>
    </row>
    <row r="31">
      <c r="F31" s="164" t="n"/>
    </row>
    <row r="32">
      <c r="A32" s="12" t="inlineStr">
        <is>
          <t>Annual recognizances</t>
        </is>
      </c>
    </row>
    <row r="33">
      <c r="A33" t="inlineStr">
        <is>
          <t>from Adam</t>
        </is>
      </c>
      <c r="D33" t="n">
        <v>6</v>
      </c>
      <c r="F33" s="164">
        <f>B33+C33/20+D33/240</f>
        <v/>
      </c>
    </row>
    <row r="34">
      <c r="A34" t="inlineStr">
        <is>
          <t>from William</t>
        </is>
      </c>
      <c r="D34" t="n">
        <v>6</v>
      </c>
      <c r="F34" s="164">
        <f>B34+C34/20+D34/240</f>
        <v/>
      </c>
    </row>
    <row r="35">
      <c r="A35" t="inlineStr">
        <is>
          <t>from Walter</t>
        </is>
      </c>
      <c r="D35" t="n">
        <v>6</v>
      </c>
      <c r="F35" s="164">
        <f>B35+C35/20+D35/240</f>
        <v/>
      </c>
    </row>
    <row r="36">
      <c r="A36" t="inlineStr">
        <is>
          <t>from Ralph</t>
        </is>
      </c>
      <c r="D36" t="n">
        <v>3</v>
      </c>
      <c r="F36" s="164">
        <f>B36+C36/20+D36/240</f>
        <v/>
      </c>
    </row>
    <row r="37">
      <c r="A37" t="inlineStr">
        <is>
          <t>from Nicholas</t>
        </is>
      </c>
      <c r="D37" t="n">
        <v>3</v>
      </c>
      <c r="F37" s="164">
        <f>B37+C37/20+D37/240</f>
        <v/>
      </c>
    </row>
    <row r="38">
      <c r="A38" t="inlineStr">
        <is>
          <t>from John</t>
        </is>
      </c>
      <c r="D38" t="n">
        <v>3</v>
      </c>
      <c r="F38" s="164">
        <f>B38+C38/20+D38/240</f>
        <v/>
      </c>
    </row>
    <row r="39">
      <c r="A39" s="12" t="inlineStr">
        <is>
          <t>Total recorded in accounts</t>
        </is>
      </c>
      <c r="C39" t="n">
        <v>2</v>
      </c>
      <c r="D39" t="n">
        <v>3</v>
      </c>
      <c r="F39" s="164">
        <f>B39+C39/20+D39/240</f>
        <v/>
      </c>
    </row>
    <row r="40">
      <c r="A40" s="12" t="inlineStr">
        <is>
          <t>Annual recognizances total</t>
        </is>
      </c>
      <c r="B40">
        <f>SUM(B33:B38)</f>
        <v/>
      </c>
      <c r="C40">
        <f>SUM(C33:C38)</f>
        <v/>
      </c>
      <c r="D40">
        <f>SUM(D33:D38)</f>
        <v/>
      </c>
      <c r="F40" s="164">
        <f>B40+C40/20+D40/240</f>
        <v/>
      </c>
      <c r="G40" s="162">
        <f>F40-F39</f>
        <v/>
      </c>
    </row>
    <row r="41">
      <c r="A41" s="162" t="n"/>
    </row>
    <row r="42">
      <c r="A42" s="12" t="inlineStr">
        <is>
          <t>Issues of the manor</t>
        </is>
      </c>
    </row>
    <row r="43">
      <c r="A43" t="inlineStr">
        <is>
          <t>from panage of pigs at Martinmas</t>
        </is>
      </c>
      <c r="B43" t="n">
        <v>3</v>
      </c>
      <c r="C43" t="n">
        <v>2</v>
      </c>
      <c r="F43" s="164">
        <f>B43+C43/20+D43/240</f>
        <v/>
      </c>
    </row>
    <row r="44">
      <c r="A44" t="inlineStr">
        <is>
          <t>from the whole hudnred of Merdon to have heath and lords will</t>
        </is>
      </c>
      <c r="C44" t="n">
        <v>7</v>
      </c>
      <c r="F44" s="164">
        <f>B44+C44/20+D44/240</f>
        <v/>
      </c>
    </row>
    <row r="45">
      <c r="A45" t="inlineStr">
        <is>
          <t>from the pasturage next to Bouyat' sold for 36 yearlings</t>
        </is>
      </c>
      <c r="C45" t="n">
        <v>10</v>
      </c>
      <c r="D45" t="n">
        <v>6</v>
      </c>
      <c r="F45" s="164">
        <f>B45+C45/20+D45/240</f>
        <v/>
      </c>
    </row>
    <row r="46">
      <c r="A46" t="inlineStr">
        <is>
          <t>from honey found in the wood and sold</t>
        </is>
      </c>
      <c r="B46" t="n">
        <v>1</v>
      </c>
      <c r="C46" t="n">
        <v>6</v>
      </c>
      <c r="F46" s="164">
        <f>B46+C46/20+D46/240</f>
        <v/>
      </c>
    </row>
    <row r="47">
      <c r="A47" t="inlineStr">
        <is>
          <t>from the pasturage sold of 6 horses and mares, 11 oxen and cows, and 16 bullocks</t>
        </is>
      </c>
      <c r="C47" t="n">
        <v>14</v>
      </c>
      <c r="D47" t="n">
        <v>10</v>
      </c>
      <c r="F47" s="164">
        <f>B47+C47/20+D47/240</f>
        <v/>
      </c>
    </row>
    <row r="48">
      <c r="A48" t="inlineStr">
        <is>
          <t>from Adam le Bul' so that he may have dung from two cesspits beside the road</t>
        </is>
      </c>
      <c r="D48" t="n">
        <v>6</v>
      </c>
      <c r="F48" s="164">
        <f>B48+C48/20+D48/240</f>
        <v/>
      </c>
    </row>
    <row r="49">
      <c r="A49" t="inlineStr">
        <is>
          <t>for release of 26 labour services not done in winter this year</t>
        </is>
      </c>
      <c r="C49" t="n">
        <v>3</v>
      </c>
      <c r="D49" t="n">
        <v>3.5</v>
      </c>
      <c r="F49" s="164">
        <f>B49+C49/20+D49/240</f>
        <v/>
      </c>
    </row>
    <row r="50">
      <c r="A50" t="inlineStr">
        <is>
          <t>for release of labour service not done at harvest time</t>
        </is>
      </c>
      <c r="B50" t="n">
        <v>1</v>
      </c>
      <c r="C50" t="n">
        <v>1</v>
      </c>
      <c r="F50" s="164">
        <f>B50+C50/20+D50/240</f>
        <v/>
      </c>
    </row>
    <row r="51">
      <c r="A51" t="inlineStr">
        <is>
          <t>from 2 feeble plough-horses sold</t>
        </is>
      </c>
      <c r="C51" t="n">
        <v>8</v>
      </c>
      <c r="F51" s="164">
        <f>B51+C51/20+D51/240</f>
        <v/>
      </c>
    </row>
    <row r="52">
      <c r="A52" t="inlineStr">
        <is>
          <t>from 12 oxen sold</t>
        </is>
      </c>
      <c r="B52" t="n">
        <v>5</v>
      </c>
      <c r="C52" t="n">
        <v>8</v>
      </c>
      <c r="D52" t="n">
        <v>10</v>
      </c>
      <c r="F52" s="164">
        <f>B52+C52/20+D52/240</f>
        <v/>
      </c>
    </row>
    <row r="53">
      <c r="A53" t="inlineStr">
        <is>
          <t>from 5 old cows sold before calving</t>
        </is>
      </c>
      <c r="B53" t="n">
        <v>2</v>
      </c>
      <c r="C53" t="n">
        <v>5</v>
      </c>
      <c r="F53" s="164">
        <f>B53+C53/20+D53/240</f>
        <v/>
      </c>
    </row>
    <row r="54">
      <c r="A54" t="inlineStr">
        <is>
          <t>from 5 feeble suckling calves sold</t>
        </is>
      </c>
      <c r="C54" t="n">
        <v>5</v>
      </c>
      <c r="F54" s="164">
        <f>B54+C54/20+D54/240</f>
        <v/>
      </c>
    </row>
    <row r="55">
      <c r="A55" t="inlineStr">
        <is>
          <t>from 21 wethers and 1 ram sold before shearing</t>
        </is>
      </c>
      <c r="B55" t="n">
        <v>1</v>
      </c>
      <c r="C55" t="n">
        <v>7</v>
      </c>
      <c r="D55" t="n">
        <v>6</v>
      </c>
      <c r="F55" s="164">
        <f>B55+C55/20+D55/240</f>
        <v/>
      </c>
    </row>
    <row r="56">
      <c r="A56" t="inlineStr">
        <is>
          <t>from 2 rams and 24 ewes sold at the same feast</t>
        </is>
      </c>
      <c r="B56" t="n">
        <v>1</v>
      </c>
      <c r="C56" t="n">
        <v>6</v>
      </c>
      <c r="F56" s="164">
        <f>B56+C56/20+D56/240</f>
        <v/>
      </c>
    </row>
    <row r="57">
      <c r="A57" t="inlineStr">
        <is>
          <t>from 34 lambs sold after shearing to the reeve of Twyford</t>
        </is>
      </c>
      <c r="C57" t="n">
        <v>17</v>
      </c>
      <c r="F57" s="164">
        <f>B57+C57/20+D57/240</f>
        <v/>
      </c>
    </row>
    <row r="58">
      <c r="A58" t="inlineStr">
        <is>
          <t>from 29 pigs sold</t>
        </is>
      </c>
      <c r="B58" t="n">
        <v>4</v>
      </c>
      <c r="C58" t="n">
        <v>8</v>
      </c>
      <c r="D58" t="n">
        <v>6</v>
      </c>
      <c r="F58" s="164">
        <f>B58+C58/20+D58/240</f>
        <v/>
      </c>
    </row>
    <row r="59">
      <c r="A59" t="inlineStr">
        <is>
          <t>from 2 cloves 4 lb of wool locks sold</t>
        </is>
      </c>
      <c r="C59" t="n">
        <v>3</v>
      </c>
      <c r="F59" s="164">
        <f>B59+C59/20+D59/240</f>
        <v/>
      </c>
    </row>
    <row r="60">
      <c r="A60" t="inlineStr">
        <is>
          <t>from 6 cloves of winter cheese sold</t>
        </is>
      </c>
      <c r="C60" t="n">
        <v>1</v>
      </c>
      <c r="D60" t="n">
        <v>7</v>
      </c>
      <c r="F60" s="164">
        <f>B60+C60/20+D60/240</f>
        <v/>
      </c>
    </row>
    <row r="61">
      <c r="A61" t="inlineStr">
        <is>
          <t>from 8 weys 7 cloves of summer cheese sold</t>
        </is>
      </c>
      <c r="B61" t="n">
        <v>3</v>
      </c>
      <c r="C61" t="n">
        <v>8</v>
      </c>
      <c r="D61" t="n">
        <v>9</v>
      </c>
      <c r="F61" s="164">
        <f>B61+C61/20+D61/240</f>
        <v/>
      </c>
    </row>
    <row r="62">
      <c r="A62" t="inlineStr">
        <is>
          <t>from 1 ox from the heriot of John Byssop</t>
        </is>
      </c>
      <c r="C62" t="n">
        <v>9</v>
      </c>
      <c r="F62" s="164">
        <f>B62+C62/20+D62/240</f>
        <v/>
      </c>
    </row>
    <row r="63">
      <c r="A63" t="inlineStr">
        <is>
          <t>from 1.5 cows from the heriot of Geoffrey le Glut</t>
        </is>
      </c>
      <c r="C63" t="n">
        <v>4</v>
      </c>
      <c r="F63" s="164">
        <f>B63+C63/20+D63/240</f>
        <v/>
      </c>
    </row>
    <row r="64">
      <c r="A64" t="inlineStr">
        <is>
          <t>from 15 cloves 1 lb of butter sold</t>
        </is>
      </c>
      <c r="C64" t="n">
        <v>4</v>
      </c>
      <c r="D64" t="n">
        <v>5</v>
      </c>
      <c r="F64" s="164">
        <f>B64+C64/20+D64/240</f>
        <v/>
      </c>
    </row>
    <row r="65">
      <c r="A65" t="inlineStr">
        <is>
          <t>from the hides sold of 3 oxen in murrain</t>
        </is>
      </c>
      <c r="C65" t="n">
        <v>6</v>
      </c>
      <c r="D65" t="n">
        <v>4</v>
      </c>
      <c r="F65" s="164">
        <f>B65+C65/20+D65/240</f>
        <v/>
      </c>
    </row>
    <row r="66">
      <c r="A66" t="inlineStr">
        <is>
          <t>from the hides of 2 calves sold</t>
        </is>
      </c>
      <c r="D66" t="n">
        <v>2</v>
      </c>
      <c r="F66" s="164">
        <f>B66+C66/20+D66/240</f>
        <v/>
      </c>
    </row>
    <row r="67">
      <c r="A67" t="inlineStr">
        <is>
          <t>from the skins sold of 7 wethers, 7 ewes and 3 hoggs in murrain before shearing</t>
        </is>
      </c>
      <c r="C67" t="n">
        <v>5</v>
      </c>
      <c r="D67" t="n">
        <v>2</v>
      </c>
      <c r="F67" s="164">
        <f>B67+C67/20+D67/240</f>
        <v/>
      </c>
    </row>
    <row r="68">
      <c r="A68" t="inlineStr">
        <is>
          <t>from the skins sold of 4 wethers and 1 ewe in murraina fter shearing</t>
        </is>
      </c>
      <c r="D68" t="n">
        <v>6</v>
      </c>
      <c r="F68" s="164">
        <f>B68+C68/20+D68/240</f>
        <v/>
      </c>
    </row>
    <row r="69">
      <c r="A69" t="inlineStr">
        <is>
          <t>from the skins sold of 4 lambs before weaning</t>
        </is>
      </c>
      <c r="C69" t="n">
        <v>1</v>
      </c>
      <c r="D69" t="n">
        <v>2</v>
      </c>
      <c r="F69" s="164">
        <f>B69+C69/20+D69/240</f>
        <v/>
      </c>
    </row>
    <row r="70">
      <c r="A70" t="inlineStr">
        <is>
          <t>from the skins sold of 4 lambs in murraina fter shearing</t>
        </is>
      </c>
      <c r="D70" t="n">
        <v>2</v>
      </c>
      <c r="F70" s="164">
        <f>B70+C70/20+D70/240</f>
        <v/>
      </c>
    </row>
    <row r="71">
      <c r="A71" t="inlineStr">
        <is>
          <t>from 48 hens from churchscot sold</t>
        </is>
      </c>
      <c r="C71" t="n">
        <v>4</v>
      </c>
      <c r="F71" s="164">
        <f>B71+C71/20+D71/240</f>
        <v/>
      </c>
    </row>
    <row r="72">
      <c r="A72" t="inlineStr">
        <is>
          <t>from 400 eggs sold according to custom</t>
        </is>
      </c>
      <c r="C72" t="n">
        <v>1</v>
      </c>
      <c r="F72" s="164">
        <f>B72+C72/20+D72/240</f>
        <v/>
      </c>
    </row>
    <row r="73">
      <c r="A73" t="inlineStr">
        <is>
          <t>from heath and broom sold in the foreign wood this year</t>
        </is>
      </c>
      <c r="C73" t="n">
        <v>5</v>
      </c>
      <c r="D73" t="n">
        <v>6</v>
      </c>
      <c r="F73" s="164">
        <f>B73+C73/20+D73/240</f>
        <v/>
      </c>
    </row>
    <row r="74">
      <c r="A74" t="inlineStr">
        <is>
          <t>from the sale of 27 oxen bought the previous year to agist in the park</t>
        </is>
      </c>
      <c r="B74" t="n">
        <v>10</v>
      </c>
      <c r="C74" t="n">
        <v>14</v>
      </c>
      <c r="D74" t="n">
        <v>10</v>
      </c>
      <c r="F74" s="164">
        <f>B74+C74/20+D74/240</f>
        <v/>
      </c>
    </row>
    <row r="75">
      <c r="A75" t="inlineStr">
        <is>
          <t>from dairy produce sold at the audit</t>
        </is>
      </c>
      <c r="C75" t="n">
        <v>6</v>
      </c>
      <c r="D75" t="n">
        <v>5</v>
      </c>
      <c r="F75" s="164">
        <f>B75+C75/20+D75/240</f>
        <v/>
      </c>
    </row>
    <row r="76">
      <c r="A76" s="12" t="inlineStr">
        <is>
          <t>Total recorded in accounts</t>
        </is>
      </c>
      <c r="B76" t="n">
        <v>39</v>
      </c>
      <c r="D76" t="n">
        <v>7.5</v>
      </c>
      <c r="F76" s="164">
        <f>B76+C76/20+D76/240</f>
        <v/>
      </c>
    </row>
    <row r="77">
      <c r="A77" s="12" t="inlineStr">
        <is>
          <t>Issues of the manor total</t>
        </is>
      </c>
      <c r="B77">
        <f>SUM(B43:B75)</f>
        <v/>
      </c>
      <c r="C77">
        <f>SUM(C43:C75)</f>
        <v/>
      </c>
      <c r="D77">
        <f>SUM(D43:D75)</f>
        <v/>
      </c>
      <c r="F77" s="164">
        <f>B77+C77/20+D77/240</f>
        <v/>
      </c>
      <c r="G77" s="162">
        <f>F77-F76</f>
        <v/>
      </c>
    </row>
    <row r="78"/>
    <row r="79">
      <c r="A79" s="12" t="inlineStr">
        <is>
          <t>Sale of corn</t>
        </is>
      </c>
    </row>
    <row r="80">
      <c r="A80" t="inlineStr">
        <is>
          <t>from 308 qrs 3 bus of wheat sold</t>
        </is>
      </c>
      <c r="B80" t="n">
        <v>91</v>
      </c>
      <c r="C80" t="n">
        <v>1</v>
      </c>
      <c r="D80" t="n">
        <v>1</v>
      </c>
      <c r="F80" s="164">
        <f>B80+C80/20+D80/240</f>
        <v/>
      </c>
    </row>
    <row r="81">
      <c r="A81" t="inlineStr">
        <is>
          <t>from 16 qrs 5 bus of curall sold</t>
        </is>
      </c>
      <c r="B81" t="n">
        <v>3</v>
      </c>
      <c r="C81" t="n">
        <v>6</v>
      </c>
      <c r="D81" t="n">
        <v>6</v>
      </c>
      <c r="F81" s="164">
        <f>B81+C81/20+D81/240</f>
        <v/>
      </c>
    </row>
    <row r="82">
      <c r="A82" t="inlineStr">
        <is>
          <t>from 8 qrs 5 bus of barley sold</t>
        </is>
      </c>
      <c r="B82" t="n">
        <v>1</v>
      </c>
      <c r="C82" t="n">
        <v>8</v>
      </c>
      <c r="D82" t="n">
        <v>9</v>
      </c>
      <c r="F82" s="164">
        <f>B82+C82/20+D82/240</f>
        <v/>
      </c>
    </row>
    <row r="83">
      <c r="A83" t="inlineStr">
        <is>
          <t>from 42 qrs of oats sold</t>
        </is>
      </c>
      <c r="B83" t="n">
        <v>4</v>
      </c>
      <c r="C83" t="n">
        <v>12</v>
      </c>
      <c r="D83" t="n">
        <v>5</v>
      </c>
      <c r="F83" s="164">
        <f>B83+C83/20+D83/240</f>
        <v/>
      </c>
    </row>
    <row r="84">
      <c r="A84" t="inlineStr">
        <is>
          <t>from 4 bus of beans sold</t>
        </is>
      </c>
      <c r="C84" t="n">
        <v>1</v>
      </c>
      <c r="D84" t="n">
        <v>4</v>
      </c>
      <c r="F84" s="164">
        <f>B84+C84/20+D84/240</f>
        <v/>
      </c>
    </row>
    <row r="85">
      <c r="A85" t="inlineStr">
        <is>
          <t>from 12 qrs 2 bus of peas sold</t>
        </is>
      </c>
      <c r="B85" t="n">
        <v>1</v>
      </c>
      <c r="C85" t="n">
        <v>12</v>
      </c>
      <c r="D85" t="n">
        <v>8</v>
      </c>
      <c r="F85" s="164">
        <f>B85+C85/20+D85/240</f>
        <v/>
      </c>
    </row>
    <row r="86">
      <c r="A86" t="inlineStr">
        <is>
          <t>from 16 qrs 7 bus of vetches sold</t>
        </is>
      </c>
      <c r="B86" t="n">
        <v>1</v>
      </c>
      <c r="C86" t="n">
        <v>13</v>
      </c>
      <c r="D86" t="n">
        <v>9</v>
      </c>
      <c r="F86" s="164">
        <f>B86+C86/20+D86/240</f>
        <v/>
      </c>
    </row>
    <row r="87">
      <c r="A87" t="inlineStr">
        <is>
          <t>from 1 qr 2 bus of barley sold at the audit</t>
        </is>
      </c>
      <c r="C87" t="n">
        <v>4</v>
      </c>
      <c r="D87" t="n">
        <v>2</v>
      </c>
      <c r="F87" s="164">
        <f>B87+C87/20+D87/240</f>
        <v/>
      </c>
    </row>
    <row r="88">
      <c r="A88" s="12" t="inlineStr">
        <is>
          <t>Total recorded in accounts</t>
        </is>
      </c>
      <c r="B88" t="n">
        <v>104</v>
      </c>
      <c r="D88" t="n">
        <v>8</v>
      </c>
      <c r="F88" s="164">
        <f>B88+C88/20+D88/240</f>
        <v/>
      </c>
    </row>
    <row r="89">
      <c r="A89" s="12" t="inlineStr">
        <is>
          <t>Sale of corn total</t>
        </is>
      </c>
      <c r="B89">
        <f>SUM(B80:B87)</f>
        <v/>
      </c>
      <c r="C89">
        <f>SUM(C80:C87)</f>
        <v/>
      </c>
      <c r="D89">
        <f>SUM(D80:D87)</f>
        <v/>
      </c>
      <c r="F89" s="164">
        <f>B89+C89/20+D89/240</f>
        <v/>
      </c>
      <c r="G89" s="162">
        <f>F89-F88</f>
        <v/>
      </c>
    </row>
    <row r="90"/>
    <row r="91">
      <c r="A91" s="12" t="inlineStr">
        <is>
          <t>Entry and marriage fines</t>
        </is>
      </c>
    </row>
    <row r="92">
      <c r="A92" t="inlineStr">
        <is>
          <t>from tithing of Merdon at Martinmas</t>
        </is>
      </c>
      <c r="C92" t="n">
        <v>13</v>
      </c>
      <c r="D92" t="n">
        <v>4</v>
      </c>
      <c r="F92" s="164">
        <f>B92+C92/20+D92/240</f>
        <v/>
      </c>
    </row>
    <row r="93">
      <c r="A93" t="inlineStr">
        <is>
          <t>from tithing of West Pitt for same</t>
        </is>
      </c>
      <c r="C93" t="n">
        <v>1</v>
      </c>
      <c r="F93" s="164">
        <f>B93+C93/20+D93/240</f>
        <v/>
      </c>
    </row>
    <row r="94">
      <c r="A94" t="inlineStr">
        <is>
          <t>from tithing of Merdon at the hundred-court of Hockday</t>
        </is>
      </c>
      <c r="C94" t="n">
        <v>13</v>
      </c>
      <c r="D94" t="n">
        <v>4</v>
      </c>
      <c r="F94" s="164">
        <f>B94+C94/20+D94/240</f>
        <v/>
      </c>
    </row>
    <row r="95">
      <c r="A95" t="inlineStr">
        <is>
          <t>from the tithing of West Pitt for the same</t>
        </is>
      </c>
      <c r="C95" t="n">
        <v>1</v>
      </c>
      <c r="F95" s="164">
        <f>B95+C95/20+D95/240</f>
        <v/>
      </c>
    </row>
    <row r="96">
      <c r="A96" t="inlineStr">
        <is>
          <t>from Alice to retain 0.5 virgates of land from husband</t>
        </is>
      </c>
      <c r="C96" t="n">
        <v>13</v>
      </c>
      <c r="D96" t="n">
        <v>4</v>
      </c>
      <c r="F96" s="164">
        <f>B96+C96/20+D96/240</f>
        <v/>
      </c>
    </row>
    <row r="97">
      <c r="A97" t="inlineStr">
        <is>
          <t>from Edith to retain 1 ferling from husband</t>
        </is>
      </c>
      <c r="C97" t="n">
        <v>13</v>
      </c>
      <c r="D97" t="n">
        <v>4</v>
      </c>
      <c r="F97" s="164">
        <f>B97+C97/20+D97/240</f>
        <v/>
      </c>
    </row>
    <row r="98">
      <c r="A98" t="inlineStr">
        <is>
          <t>from Alice to retain 1 ferling of land and other purprestures which belonged to her husband</t>
        </is>
      </c>
      <c r="C98" t="n">
        <v>13</v>
      </c>
      <c r="D98" t="n">
        <v>4</v>
      </c>
      <c r="F98" s="164">
        <f>B98+C98/20+D98/240</f>
        <v/>
      </c>
    </row>
    <row r="99">
      <c r="A99" t="inlineStr">
        <is>
          <t>from Beatrice to retain 1 cottage from husband</t>
        </is>
      </c>
      <c r="C99" t="n">
        <v>1</v>
      </c>
      <c r="F99" s="164">
        <f>B99+C99/20+D99/240</f>
        <v/>
      </c>
    </row>
    <row r="100">
      <c r="A100" t="inlineStr">
        <is>
          <t>from Juliana for marrying her daughter outside</t>
        </is>
      </c>
      <c r="C100" t="n">
        <v>4</v>
      </c>
      <c r="F100" s="164">
        <f>B100+C100/20+D100/240</f>
        <v/>
      </c>
    </row>
    <row r="101">
      <c r="A101" t="inlineStr">
        <is>
          <t>from John to have Alice and 1 ferling of her land</t>
        </is>
      </c>
      <c r="C101" t="n">
        <v>13</v>
      </c>
      <c r="D101" t="n">
        <v>4</v>
      </c>
      <c r="F101" s="164">
        <f>B101+C101/20+D101/240</f>
        <v/>
      </c>
    </row>
    <row r="102">
      <c r="A102" t="inlineStr">
        <is>
          <t>from Robert to have 1 ferling of land from father of his wife</t>
        </is>
      </c>
      <c r="C102" t="n">
        <v>6</v>
      </c>
      <c r="D102" t="n">
        <v>8</v>
      </c>
      <c r="F102" s="164">
        <f>B102+C102/20+D102/240</f>
        <v/>
      </c>
    </row>
    <row r="103">
      <c r="A103" t="inlineStr">
        <is>
          <t>from Joan for mayying her daughter outside</t>
        </is>
      </c>
      <c r="C103" t="n">
        <v>4</v>
      </c>
      <c r="F103" s="164">
        <f>B103+C103/20+D103/240</f>
        <v/>
      </c>
    </row>
    <row r="104">
      <c r="A104" t="inlineStr">
        <is>
          <t>from Martin for marrying his daughter</t>
        </is>
      </c>
      <c r="C104" t="n">
        <v>3</v>
      </c>
      <c r="F104" s="164">
        <f>B104+C104/20+D104/240</f>
        <v/>
      </c>
    </row>
    <row r="105">
      <c r="A105" t="inlineStr">
        <is>
          <t>from Isabel to have 1 messuage and 1 ferling of land from mother</t>
        </is>
      </c>
      <c r="C105" t="n">
        <v>13</v>
      </c>
      <c r="D105" t="n">
        <v>4</v>
      </c>
      <c r="F105" s="164">
        <f>B105+C105/20+D105/240</f>
        <v/>
      </c>
    </row>
    <row r="106">
      <c r="A106" t="inlineStr">
        <is>
          <t>from Joan for marrying her daughter outside</t>
        </is>
      </c>
      <c r="C106" t="n">
        <v>4</v>
      </c>
      <c r="F106" s="164">
        <f>B106+C106/20+D106/240</f>
        <v/>
      </c>
    </row>
    <row r="107">
      <c r="A107" t="inlineStr">
        <is>
          <t>from William to have 1 house with a curtilage</t>
        </is>
      </c>
      <c r="C107" t="n">
        <v>1</v>
      </c>
      <c r="F107" s="164">
        <f>B107+C107/20+D107/240</f>
        <v/>
      </c>
    </row>
    <row r="108">
      <c r="A108" t="inlineStr">
        <is>
          <t>from Walter to have 1 garden by surrender of John</t>
        </is>
      </c>
      <c r="C108" t="n">
        <v>2</v>
      </c>
      <c r="F108" s="164">
        <f>B108+C108/20+D108/240</f>
        <v/>
      </c>
    </row>
    <row r="109">
      <c r="A109" t="inlineStr">
        <is>
          <t>from walter to have Emma with a house of hers</t>
        </is>
      </c>
      <c r="C109" t="n">
        <v>3</v>
      </c>
      <c r="F109" s="164">
        <f>B109+C109/20+D109/240</f>
        <v/>
      </c>
    </row>
    <row r="110">
      <c r="A110" t="inlineStr">
        <is>
          <t>from Geoffrey to have 1 messuage 1 ferling of land from father</t>
        </is>
      </c>
      <c r="C110" t="n">
        <v>13</v>
      </c>
      <c r="D110" t="n">
        <v>4</v>
      </c>
      <c r="F110" s="164">
        <f>B110+C110/20+D110/240</f>
        <v/>
      </c>
    </row>
    <row r="111">
      <c r="A111" t="inlineStr">
        <is>
          <t>from Asketil to have 0.5 house by surrender of his father</t>
        </is>
      </c>
      <c r="C111" t="n">
        <v>2</v>
      </c>
      <c r="F111" s="164">
        <f>B111+C111/20+D111/240</f>
        <v/>
      </c>
    </row>
    <row r="112">
      <c r="A112" s="12" t="inlineStr">
        <is>
          <t>Total recorded in accounts</t>
        </is>
      </c>
      <c r="B112" t="n">
        <v>6</v>
      </c>
      <c r="C112" t="n">
        <v>19</v>
      </c>
      <c r="D112" t="n">
        <v>4</v>
      </c>
      <c r="F112" s="164">
        <f>B112+C112/20+D112/240</f>
        <v/>
      </c>
    </row>
    <row r="113">
      <c r="A113" s="12" t="inlineStr">
        <is>
          <t>Entry and marriage fines total</t>
        </is>
      </c>
      <c r="B113">
        <f>SUM(B92:B111)</f>
        <v/>
      </c>
      <c r="C113">
        <f>SUM(C92:C111)</f>
        <v/>
      </c>
      <c r="D113">
        <f>SUM(D92:D111)</f>
        <v/>
      </c>
      <c r="F113" s="164">
        <f>B113+C113/20+D113/240</f>
        <v/>
      </c>
      <c r="G113" s="162">
        <f>F113-F112</f>
        <v/>
      </c>
    </row>
    <row r="114"/>
    <row r="115">
      <c r="A115" s="12" t="inlineStr">
        <is>
          <t>Pleas and perquisites</t>
        </is>
      </c>
    </row>
    <row r="116">
      <c r="A116" t="inlineStr">
        <is>
          <t>from group because they declared against the payment of hens to the beadle which they were bound to pay</t>
        </is>
      </c>
      <c r="C116" t="n">
        <v>13</v>
      </c>
      <c r="F116" s="164">
        <f>B116+C116/20+D116/240</f>
        <v/>
      </c>
    </row>
    <row r="117">
      <c r="A117" t="inlineStr">
        <is>
          <t>from the tithing of Merdon for concealment</t>
        </is>
      </c>
      <c r="C117" t="n">
        <v>3</v>
      </c>
      <c r="D117" t="n">
        <v>4</v>
      </c>
      <c r="F117" s="164">
        <f>B117+C117/20+D117/240</f>
        <v/>
      </c>
    </row>
    <row r="118">
      <c r="A118" t="inlineStr">
        <is>
          <t>from Adam because he did not do suit to the mill of Compton</t>
        </is>
      </c>
      <c r="C118" t="n">
        <v>6</v>
      </c>
      <c r="D118" t="n">
        <v>8</v>
      </c>
      <c r="F118" s="164">
        <f>B118+C118/20+D118/240</f>
        <v/>
      </c>
    </row>
    <row r="119">
      <c r="A119" t="inlineStr">
        <is>
          <t>form the relict of Charlemayn for the same</t>
        </is>
      </c>
      <c r="C119" t="n">
        <v>2</v>
      </c>
      <c r="F119" s="164">
        <f>B119+C119/20+D119/240</f>
        <v/>
      </c>
    </row>
    <row r="120">
      <c r="A120" t="inlineStr">
        <is>
          <t>from Adam for trespass of wood in the park</t>
        </is>
      </c>
      <c r="C120" t="n">
        <v>2</v>
      </c>
      <c r="F120" s="164">
        <f>B120+C120/20+D120/240</f>
        <v/>
      </c>
    </row>
    <row r="121">
      <c r="A121" t="inlineStr">
        <is>
          <t>from John for carrying off timber from the park</t>
        </is>
      </c>
      <c r="C121" t="n">
        <v>2</v>
      </c>
      <c r="F121" s="164">
        <f>B121+C121/20+D121/240</f>
        <v/>
      </c>
    </row>
    <row r="122">
      <c r="A122" t="inlineStr">
        <is>
          <t>from Walter for the same</t>
        </is>
      </c>
      <c r="C122" t="n">
        <v>2</v>
      </c>
      <c r="F122" s="164">
        <f>B122+C122/20+D122/240</f>
        <v/>
      </c>
    </row>
    <row r="123">
      <c r="A123" t="inlineStr">
        <is>
          <t>from the tithing of Merdon because it allowed Richard to go though it was ordered that he should be detained for a certain transgression done in the park</t>
        </is>
      </c>
      <c r="C123" t="n">
        <v>2</v>
      </c>
      <c r="F123" s="164">
        <f>B123+C123/20+D123/240</f>
        <v/>
      </c>
    </row>
    <row r="124">
      <c r="A124" t="inlineStr">
        <is>
          <t>from various men for various transgressions</t>
        </is>
      </c>
      <c r="B124" t="n">
        <v>4</v>
      </c>
      <c r="C124" t="n">
        <v>15</v>
      </c>
      <c r="D124" t="n">
        <v>10</v>
      </c>
      <c r="F124" s="164">
        <f>B124+C124/20+D124/240</f>
        <v/>
      </c>
    </row>
    <row r="125">
      <c r="A125" s="12" t="inlineStr">
        <is>
          <t>Total recorded in accounts</t>
        </is>
      </c>
      <c r="B125" t="n">
        <v>6</v>
      </c>
      <c r="C125" t="n">
        <v>8</v>
      </c>
      <c r="D125" t="n">
        <v>10</v>
      </c>
      <c r="F125" s="164">
        <f>B125+C125/20+D125/240</f>
        <v/>
      </c>
    </row>
    <row r="126">
      <c r="A126" s="12" t="inlineStr">
        <is>
          <t>Pleas &amp; perquisites total</t>
        </is>
      </c>
      <c r="B126">
        <f>SUM(B116:B124)</f>
        <v/>
      </c>
      <c r="C126">
        <f>SUM(C116:C124)</f>
        <v/>
      </c>
      <c r="D126">
        <f>SUM(D116:D124)</f>
        <v/>
      </c>
      <c r="F126" s="164">
        <f>B126+C126/20+D126/240</f>
        <v/>
      </c>
    </row>
    <row r="127"/>
    <row r="128">
      <c r="A128" s="8" t="inlineStr">
        <is>
          <t>Total of all receipts (sum of above excl. arrears)</t>
        </is>
      </c>
      <c r="B128">
        <f>SUM(B126,B113,B89,B77,B40,B28,B22,B12)</f>
        <v/>
      </c>
      <c r="C128">
        <f>SUM(C126,C113,C89,C77,C40,C28,C22,C12)</f>
        <v/>
      </c>
      <c r="D128">
        <f>SUM(D126,D113,D89,D77,D40,D28,D22,D12)</f>
        <v/>
      </c>
      <c r="F128" s="164">
        <f>B128+C128/20+D128/240</f>
        <v/>
      </c>
    </row>
    <row r="129">
      <c r="A129" s="8" t="inlineStr">
        <is>
          <t>Total of all receipts (sum of above incl. arrears)</t>
        </is>
      </c>
      <c r="B129">
        <f>SUM(B126,B113,B89,B77,B40,B28,B22,B12,B5)</f>
        <v/>
      </c>
      <c r="C129">
        <f>SUM(C126,C113,C89,C77,C40,C28,C22,C12,C5)</f>
        <v/>
      </c>
      <c r="D129">
        <f>SUM(D126,D113,D89,D77,D40,D28,D22,D12,D5)</f>
        <v/>
      </c>
      <c r="F129" s="164">
        <f>B129+C129/20+D129/240</f>
        <v/>
      </c>
    </row>
    <row r="130">
      <c r="A130" s="8" t="inlineStr">
        <is>
          <t>Total of all receipts in account excl.  arrears</t>
        </is>
      </c>
      <c r="B130" t="n">
        <v>193</v>
      </c>
      <c r="C130" t="n">
        <v>6</v>
      </c>
      <c r="D130" t="n">
        <v>2.75</v>
      </c>
      <c r="F130" s="164">
        <f>B130+C130/20+D130/240</f>
        <v/>
      </c>
      <c r="G130" s="162">
        <f>F130-F128</f>
        <v/>
      </c>
    </row>
    <row r="131">
      <c r="A131" s="8" t="inlineStr">
        <is>
          <t>Total of all receipts in account incl. arrears</t>
        </is>
      </c>
      <c r="F131" s="164">
        <f>B131+C131/20+D131/240</f>
        <v/>
      </c>
      <c r="G131" s="162">
        <f>F131-F129</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70"/>
  <sheetViews>
    <sheetView topLeftCell="A1" workbookViewId="0">
      <selection activeCell="A1" sqref="A1"/>
    </sheetView>
  </sheetViews>
  <sheetFormatPr baseColWidth="8" defaultRowHeight="15"/>
  <cols>
    <col width="39" customWidth="1" min="1" max="1"/>
    <col width="10.83203125" customWidth="1" min="7" max="7"/>
  </cols>
  <sheetData>
    <row r="1">
      <c r="A1" s="15" t="inlineStr">
        <is>
          <t>MERDON EXPENSES</t>
        </is>
      </c>
      <c r="B1" s="15" t="n"/>
      <c r="C1" s="15" t="n"/>
      <c r="D1" s="15" t="n"/>
      <c r="E1" s="15" t="n"/>
      <c r="F1" s="165" t="n"/>
      <c r="H1" s="10" t="n"/>
    </row>
    <row r="2">
      <c r="A2" s="15" t="n"/>
      <c r="B2" s="149" t="inlineStr">
        <is>
          <t>£</t>
        </is>
      </c>
      <c r="C2" s="150" t="inlineStr">
        <is>
          <t xml:space="preserve">s </t>
        </is>
      </c>
      <c r="D2" s="150" t="inlineStr">
        <is>
          <t>d</t>
        </is>
      </c>
      <c r="E2" s="8" t="n"/>
      <c r="F2" s="166" t="inlineStr">
        <is>
          <t>Total in £</t>
        </is>
      </c>
      <c r="G2" s="163" t="inlineStr">
        <is>
          <t>Error</t>
        </is>
      </c>
      <c r="H2" s="12" t="inlineStr">
        <is>
          <t>Notes</t>
        </is>
      </c>
    </row>
    <row r="3">
      <c r="A3" s="12" t="inlineStr">
        <is>
          <t>Cost of Ploughs</t>
        </is>
      </c>
    </row>
    <row r="4">
      <c r="A4" t="inlineStr">
        <is>
          <t>iron and steel for 6 ploughs</t>
        </is>
      </c>
      <c r="B4" t="n">
        <v>1</v>
      </c>
      <c r="C4" t="n">
        <v>1</v>
      </c>
      <c r="D4" t="n">
        <v>7</v>
      </c>
      <c r="F4" s="162">
        <f>B4+C4/20+D4/240</f>
        <v/>
      </c>
    </row>
    <row r="5">
      <c r="A5" t="inlineStr">
        <is>
          <t>in 3 ploughshares bought</t>
        </is>
      </c>
      <c r="C5" t="n">
        <v>2</v>
      </c>
      <c r="F5" s="162">
        <f>B5+C5/20+D5/240</f>
        <v/>
      </c>
    </row>
    <row r="6">
      <c r="A6" t="inlineStr">
        <is>
          <t>in 1 coulter mended with iron</t>
        </is>
      </c>
      <c r="D6" t="n">
        <v>3</v>
      </c>
      <c r="F6" s="162">
        <f>B6+C6/20+D6/240</f>
        <v/>
      </c>
    </row>
    <row r="7">
      <c r="A7" t="inlineStr">
        <is>
          <t>in 10 plough feet</t>
        </is>
      </c>
      <c r="C7" t="n">
        <v>3</v>
      </c>
      <c r="D7" t="n">
        <v>4</v>
      </c>
      <c r="F7" s="162">
        <f>B7+C7/20+D7/240</f>
        <v/>
      </c>
    </row>
    <row r="8">
      <c r="A8" t="inlineStr">
        <is>
          <t>in fitting ploughs with iron tyres</t>
        </is>
      </c>
      <c r="D8" t="n">
        <v>6</v>
      </c>
      <c r="F8" s="162">
        <f>B8+C8/20+D8/240</f>
        <v/>
      </c>
    </row>
    <row r="9">
      <c r="A9" t="inlineStr">
        <is>
          <t>in 4 pairs of wheels</t>
        </is>
      </c>
      <c r="C9" t="n">
        <v>1</v>
      </c>
      <c r="D9" t="n">
        <v>4</v>
      </c>
      <c r="F9" s="162">
        <f>B9+C9/20+D9/240</f>
        <v/>
      </c>
    </row>
    <row r="10">
      <c r="A10" t="inlineStr">
        <is>
          <t>in 3 new harrows made</t>
        </is>
      </c>
      <c r="D10" t="n">
        <v>6</v>
      </c>
      <c r="F10" s="162">
        <f>B10+C10/20+D10/240</f>
        <v/>
      </c>
    </row>
    <row r="11">
      <c r="A11" t="inlineStr">
        <is>
          <t>in shoeing 12 plough-horses for the year</t>
        </is>
      </c>
      <c r="C11" t="n">
        <v>6</v>
      </c>
      <c r="F11" s="162">
        <f>B11+C11/20+D11/240</f>
        <v/>
      </c>
    </row>
    <row r="12">
      <c r="A12" t="inlineStr">
        <is>
          <t>in 8 halters made</t>
        </is>
      </c>
      <c r="D12" t="n">
        <v>2</v>
      </c>
      <c r="F12" s="162">
        <f>B12+C12/20+D12/240</f>
        <v/>
      </c>
    </row>
    <row r="13">
      <c r="A13" t="inlineStr">
        <is>
          <t>in boon-works of 50 ploughmen</t>
        </is>
      </c>
      <c r="C13" t="n">
        <v>16</v>
      </c>
      <c r="D13" t="n">
        <v>8</v>
      </c>
      <c r="F13" s="162">
        <f>B13+C13/20+D13/240</f>
        <v/>
      </c>
    </row>
    <row r="14">
      <c r="A14" t="inlineStr">
        <is>
          <t>in boonworks of 9 ploughmen of slackstead</t>
        </is>
      </c>
      <c r="C14" t="n">
        <v>1</v>
      </c>
      <c r="D14" t="n">
        <v>1.5</v>
      </c>
      <c r="F14" s="162">
        <f>B14+C14/20+D14/240</f>
        <v/>
      </c>
    </row>
    <row r="15">
      <c r="A15" t="inlineStr">
        <is>
          <t>in boon-works of 2 free men ploughing 2 acres of land</t>
        </is>
      </c>
      <c r="D15" t="n">
        <v>3</v>
      </c>
      <c r="F15" s="162">
        <f>B15+C15/20+D15/240</f>
        <v/>
      </c>
    </row>
    <row r="16">
      <c r="A16" t="inlineStr">
        <is>
          <t>in stipend of 10 ploughmen for 221 Saturday ploughings</t>
        </is>
      </c>
      <c r="B16" t="n">
        <v>2</v>
      </c>
      <c r="C16" t="n">
        <v>2</v>
      </c>
      <c r="D16" t="n">
        <v>11.5</v>
      </c>
      <c r="F16" s="162">
        <f>B16+C16/20+D16/240</f>
        <v/>
      </c>
    </row>
    <row r="17">
      <c r="A17" t="inlineStr">
        <is>
          <t>in stipend of the smith making the ironwork</t>
        </is>
      </c>
      <c r="C17" t="n">
        <v>4</v>
      </c>
      <c r="D17" t="n">
        <v>4.75</v>
      </c>
      <c r="F17" s="162">
        <f>B17+C17/20+D17/240</f>
        <v/>
      </c>
    </row>
    <row r="18">
      <c r="A18" t="inlineStr">
        <is>
          <t>in stipend of 2 ploughmen for the year</t>
        </is>
      </c>
      <c r="C18" t="n">
        <v>6</v>
      </c>
      <c r="F18" s="162">
        <f>B18+C18/20+D18/240</f>
        <v/>
      </c>
    </row>
    <row r="19">
      <c r="A19" t="inlineStr">
        <is>
          <t>in 2 plough-horses bought</t>
        </is>
      </c>
      <c r="C19" t="n">
        <v>15</v>
      </c>
      <c r="F19" s="162">
        <f>B19+C19/20+D19/240</f>
        <v/>
      </c>
    </row>
    <row r="20">
      <c r="A20" t="inlineStr">
        <is>
          <t>in 5 oxen bought</t>
        </is>
      </c>
      <c r="B20" t="n">
        <v>2</v>
      </c>
      <c r="C20" t="n">
        <v>10</v>
      </c>
      <c r="D20" t="n">
        <v>1.25</v>
      </c>
      <c r="F20" s="162">
        <f>B20+C20/20+D20/240</f>
        <v/>
      </c>
    </row>
    <row r="21">
      <c r="A21" t="inlineStr">
        <is>
          <t>in forage bought from the parson of Hursley</t>
        </is>
      </c>
      <c r="B21" t="n">
        <v>1</v>
      </c>
      <c r="F21" s="162">
        <f>B21+C21/20+D21/240</f>
        <v/>
      </c>
    </row>
    <row r="22">
      <c r="A22" s="12" t="inlineStr">
        <is>
          <t>Total recorded in accounts</t>
        </is>
      </c>
      <c r="B22" t="n">
        <v>9</v>
      </c>
      <c r="C22" t="n">
        <v>12</v>
      </c>
      <c r="D22" t="n">
        <v>11</v>
      </c>
      <c r="F22" s="164">
        <f>B22+C22/20+D22/240</f>
        <v/>
      </c>
    </row>
    <row r="23">
      <c r="A23" s="12" t="inlineStr">
        <is>
          <t>Cost of ploughs total</t>
        </is>
      </c>
      <c r="B23">
        <f>SUM(B4:B21)</f>
        <v/>
      </c>
      <c r="C23">
        <f>SUM(C4:C21)</f>
        <v/>
      </c>
      <c r="D23">
        <f>SUM(D4:D21)</f>
        <v/>
      </c>
      <c r="F23" s="164">
        <f>B23+C23/20+D23/240</f>
        <v/>
      </c>
      <c r="G23" s="138">
        <f>F23-F22</f>
        <v/>
      </c>
    </row>
    <row r="24">
      <c r="A24" s="12" t="inlineStr">
        <is>
          <t>Total capital expenses</t>
        </is>
      </c>
      <c r="B24">
        <f>SUM(B4:B12)</f>
        <v/>
      </c>
      <c r="C24">
        <f>SUM(C4:C12)</f>
        <v/>
      </c>
      <c r="D24">
        <f>SUM(D4:D12)</f>
        <v/>
      </c>
      <c r="F24" s="164">
        <f>B24+C24/20+D24/240</f>
        <v/>
      </c>
      <c r="G24" s="138" t="n"/>
    </row>
    <row r="25"/>
    <row r="26">
      <c r="A26" s="12" t="inlineStr">
        <is>
          <t>Purchase of Corn</t>
        </is>
      </c>
    </row>
    <row r="27">
      <c r="A27" t="inlineStr">
        <is>
          <t>in 29 qrs 1 bus of wheat bought for sowing</t>
        </is>
      </c>
      <c r="B27" t="n">
        <v>8</v>
      </c>
      <c r="C27" t="n">
        <v>6</v>
      </c>
      <c r="D27" t="n">
        <v>10.25</v>
      </c>
    </row>
    <row r="28">
      <c r="A28" t="inlineStr">
        <is>
          <t>in 11 qrs of barley bought for sowing</t>
        </is>
      </c>
      <c r="B28" t="n">
        <v>2</v>
      </c>
      <c r="C28" t="n">
        <v>4</v>
      </c>
    </row>
    <row r="29">
      <c r="A29" t="inlineStr">
        <is>
          <t>in 15 qrs of oats bought for sowing</t>
        </is>
      </c>
      <c r="B29" t="n">
        <v>1</v>
      </c>
      <c r="C29" t="n">
        <v>10</v>
      </c>
      <c r="F29" s="162">
        <f>B29+C29/20+D29/240</f>
        <v/>
      </c>
    </row>
    <row r="30">
      <c r="A30" s="12" t="inlineStr">
        <is>
          <t>Total recorded in accounts</t>
        </is>
      </c>
      <c r="B30" t="n">
        <v>12</v>
      </c>
      <c r="D30" t="n">
        <v>10.25</v>
      </c>
      <c r="F30" s="164">
        <f>B30+C30/20+D30/240</f>
        <v/>
      </c>
    </row>
    <row r="31">
      <c r="A31" s="12" t="inlineStr">
        <is>
          <t>Purchase of corn total</t>
        </is>
      </c>
      <c r="B31">
        <f>SUM(B27:B29)</f>
        <v/>
      </c>
      <c r="C31">
        <f>SUM(C27:C29)</f>
        <v/>
      </c>
      <c r="D31">
        <f>SUM(D27:D29)</f>
        <v/>
      </c>
      <c r="F31" s="164">
        <f>B31+C31/20+D31/240</f>
        <v/>
      </c>
      <c r="G31" s="138">
        <f>F31-F30</f>
        <v/>
      </c>
    </row>
    <row r="32"/>
    <row r="33">
      <c r="A33" s="12" t="inlineStr">
        <is>
          <t>Cost of Carts and Wagons</t>
        </is>
      </c>
    </row>
    <row r="34">
      <c r="A34" t="inlineStr">
        <is>
          <t>in a pair of wheels bought</t>
        </is>
      </c>
      <c r="C34" t="n">
        <v>3</v>
      </c>
      <c r="D34" t="n">
        <v>1</v>
      </c>
      <c r="F34" s="162">
        <f>B34+C34/20+D34/240</f>
        <v/>
      </c>
    </row>
    <row r="35">
      <c r="A35" t="inlineStr">
        <is>
          <t>in 1 new binding bought and fitted</t>
        </is>
      </c>
      <c r="C35" t="n">
        <v>9</v>
      </c>
      <c r="D35" t="n">
        <v>11</v>
      </c>
      <c r="F35" s="162">
        <f>B35+C35/20+D35/240</f>
        <v/>
      </c>
    </row>
    <row r="36">
      <c r="A36" t="inlineStr">
        <is>
          <t>in fitting the cart with axles</t>
        </is>
      </c>
      <c r="D36" t="n">
        <v>10</v>
      </c>
      <c r="F36" s="162">
        <f>B36+C36/20+D36/240</f>
        <v/>
      </c>
    </row>
    <row r="37">
      <c r="A37" t="inlineStr">
        <is>
          <t>in clouts and nails and grease</t>
        </is>
      </c>
      <c r="C37" t="n">
        <v>2</v>
      </c>
      <c r="D37" t="n">
        <v>6</v>
      </c>
      <c r="F37" s="162">
        <f>B37+C37/20+D37/240</f>
        <v/>
      </c>
    </row>
    <row r="38">
      <c r="A38" t="inlineStr">
        <is>
          <t>in collar bought and and 1 pair of saddle pads</t>
        </is>
      </c>
      <c r="C38" t="n">
        <v>1</v>
      </c>
      <c r="D38" t="n">
        <v>2</v>
      </c>
      <c r="F38" s="162">
        <f>B38+C38/20+D38/240</f>
        <v/>
      </c>
    </row>
    <row r="39">
      <c r="A39" t="inlineStr">
        <is>
          <t>in 1 saddle bought</t>
        </is>
      </c>
      <c r="D39" t="n">
        <v>4</v>
      </c>
      <c r="F39" s="162">
        <f>B39+C39/20+D39/240</f>
        <v/>
      </c>
    </row>
    <row r="40">
      <c r="A40" t="inlineStr">
        <is>
          <t>in 1 cart rope</t>
        </is>
      </c>
      <c r="C40" t="n">
        <v>1</v>
      </c>
      <c r="D40" t="n">
        <v>4</v>
      </c>
      <c r="F40" s="162">
        <f>B40+C40/20+D40/240</f>
        <v/>
      </c>
    </row>
    <row r="41">
      <c r="A41" t="inlineStr">
        <is>
          <t>in 1 pair of traces</t>
        </is>
      </c>
      <c r="D41" t="n">
        <v>7</v>
      </c>
      <c r="F41" s="162">
        <f>B41+C41/20+D41/240</f>
        <v/>
      </c>
    </row>
    <row r="42">
      <c r="A42" t="inlineStr">
        <is>
          <t>in 1 pair of wheels for clearing dung</t>
        </is>
      </c>
      <c r="C42" t="n">
        <v>2</v>
      </c>
      <c r="F42" s="162">
        <f>B42+C42/20+D42/240</f>
        <v/>
      </c>
    </row>
    <row r="43">
      <c r="A43" t="inlineStr">
        <is>
          <t>in 4 wooden hoops</t>
        </is>
      </c>
      <c r="D43" t="n">
        <v>3</v>
      </c>
      <c r="F43" s="162">
        <f>B43+C43/20+D43/240</f>
        <v/>
      </c>
    </row>
    <row r="44">
      <c r="A44" t="inlineStr">
        <is>
          <t>in 1 cart-body made anew</t>
        </is>
      </c>
      <c r="D44" t="n">
        <v>6</v>
      </c>
      <c r="F44" s="162">
        <f>B44+C44/20+D44/240</f>
        <v/>
      </c>
    </row>
    <row r="45">
      <c r="A45" t="inlineStr">
        <is>
          <t>in mending harnesses</t>
        </is>
      </c>
      <c r="D45" t="n">
        <v>4</v>
      </c>
      <c r="F45" s="162">
        <f>B45+C45/20+D45/240</f>
        <v/>
      </c>
    </row>
    <row r="46">
      <c r="A46" t="inlineStr">
        <is>
          <t>in white leather</t>
        </is>
      </c>
      <c r="D46" t="n">
        <v>6</v>
      </c>
      <c r="F46" s="162">
        <f>B46+C46/20+D46/240</f>
        <v/>
      </c>
    </row>
    <row r="47">
      <c r="A47" t="inlineStr">
        <is>
          <t>in 8 ells of canvas bought for 6 sacks</t>
        </is>
      </c>
      <c r="C47" t="n">
        <v>2</v>
      </c>
      <c r="F47" s="162">
        <f>B47+C47/20+D47/240</f>
        <v/>
      </c>
    </row>
    <row r="48">
      <c r="A48" t="inlineStr">
        <is>
          <t>in shoeing 4 cart horses</t>
        </is>
      </c>
      <c r="C48" t="n">
        <v>5</v>
      </c>
      <c r="D48" t="n">
        <v>10</v>
      </c>
      <c r="F48" s="162">
        <f>B48+C48/20+D48/240</f>
        <v/>
      </c>
    </row>
    <row r="49">
      <c r="A49" t="inlineStr">
        <is>
          <t>in stipend of 2 carters for the year</t>
        </is>
      </c>
      <c r="C49" t="n">
        <v>6</v>
      </c>
      <c r="F49" s="162">
        <f>B49+C49/20+D49/240</f>
        <v/>
      </c>
    </row>
    <row r="50">
      <c r="A50" s="12" t="inlineStr">
        <is>
          <t>Total recorded in accounts</t>
        </is>
      </c>
      <c r="B50" t="n">
        <v>1</v>
      </c>
      <c r="C50" t="n">
        <v>16</v>
      </c>
      <c r="D50" t="n">
        <v>11</v>
      </c>
      <c r="F50" s="164">
        <f>B50+C50/20+D50/240</f>
        <v/>
      </c>
    </row>
    <row r="51">
      <c r="A51" s="12" t="inlineStr">
        <is>
          <t>Cost of carts and wagons total</t>
        </is>
      </c>
      <c r="B51">
        <f>SUM(B34:B49)</f>
        <v/>
      </c>
      <c r="C51">
        <f>SUM(C34:C49)</f>
        <v/>
      </c>
      <c r="D51">
        <f>SUM(D34:D49)</f>
        <v/>
      </c>
      <c r="F51" s="164">
        <f>B51+C51/20+D51/240</f>
        <v/>
      </c>
      <c r="G51" s="138">
        <f>F51-F50</f>
        <v/>
      </c>
    </row>
    <row r="52">
      <c r="A52" s="12" t="inlineStr">
        <is>
          <t>Total capital expenses</t>
        </is>
      </c>
      <c r="B52">
        <f>SUM(B34:B48)</f>
        <v/>
      </c>
      <c r="C52">
        <f>SUM(C34:C48)</f>
        <v/>
      </c>
      <c r="D52">
        <f>SUM(D34:D48)</f>
        <v/>
      </c>
      <c r="F52" s="164">
        <f>B52+C52/20+D52/240</f>
        <v/>
      </c>
      <c r="G52" s="138" t="n"/>
    </row>
    <row r="53"/>
    <row r="54">
      <c r="A54" s="12" t="inlineStr">
        <is>
          <t>Cost of Dairy</t>
        </is>
      </c>
    </row>
    <row r="55">
      <c r="A55" t="inlineStr">
        <is>
          <t>in woollen and linen cloth</t>
        </is>
      </c>
      <c r="D55" t="n">
        <v>8</v>
      </c>
      <c r="F55" s="162">
        <f>B55+C55/20+D55/240</f>
        <v/>
      </c>
    </row>
    <row r="56">
      <c r="A56" t="inlineStr">
        <is>
          <t>in a press bought</t>
        </is>
      </c>
      <c r="D56" t="n">
        <v>4.5</v>
      </c>
      <c r="F56" s="162">
        <f>B56+C56/20+D56/240</f>
        <v/>
      </c>
    </row>
    <row r="57">
      <c r="A57" t="inlineStr">
        <is>
          <t>in earthenware pots and pans</t>
        </is>
      </c>
      <c r="D57" t="n">
        <v>5</v>
      </c>
      <c r="F57" s="162">
        <f>B57+C57/20+D57/240</f>
        <v/>
      </c>
    </row>
    <row r="58">
      <c r="A58" t="inlineStr">
        <is>
          <t>in mending the utensils of the dairy</t>
        </is>
      </c>
      <c r="D58" t="n">
        <v>6</v>
      </c>
      <c r="F58" s="162">
        <f>B58+C58/20+D58/240</f>
        <v/>
      </c>
    </row>
    <row r="59">
      <c r="A59" t="inlineStr">
        <is>
          <t>in plastering and mending the walls of the dairy</t>
        </is>
      </c>
      <c r="D59" t="n">
        <v>2</v>
      </c>
      <c r="F59" s="162">
        <f>B59+C59/20+D59/240</f>
        <v/>
      </c>
    </row>
    <row r="60">
      <c r="A60" t="inlineStr">
        <is>
          <t>in 4 bus of salt bought</t>
        </is>
      </c>
      <c r="C60" t="n">
        <v>1</v>
      </c>
      <c r="D60" t="n">
        <v>2.5</v>
      </c>
      <c r="F60" s="162">
        <f>B60+C60/20+D60/240</f>
        <v/>
      </c>
    </row>
    <row r="61">
      <c r="A61" t="inlineStr">
        <is>
          <t>in grease, vinegar and copperas bought for greasing sheep</t>
        </is>
      </c>
      <c r="C61" t="n">
        <v>15</v>
      </c>
      <c r="D61" t="n">
        <v>5.5</v>
      </c>
      <c r="F61" s="162">
        <f>B61+C61/20+D61/240</f>
        <v/>
      </c>
    </row>
    <row r="62">
      <c r="A62" t="inlineStr">
        <is>
          <t>in 32 hurdles bought for the fold</t>
        </is>
      </c>
      <c r="C62" t="n">
        <v>3</v>
      </c>
      <c r="D62" t="n">
        <v>4.5</v>
      </c>
      <c r="F62" s="162">
        <f>B62+C62/20+D62/240</f>
        <v/>
      </c>
    </row>
    <row r="63">
      <c r="A63" t="inlineStr">
        <is>
          <t>in roofing the sheepcote with stubble</t>
        </is>
      </c>
      <c r="C63" t="n">
        <v>6</v>
      </c>
      <c r="D63" t="n">
        <v>2.5</v>
      </c>
      <c r="F63" s="162">
        <f>B63+C63/20+D63/240</f>
        <v/>
      </c>
    </row>
    <row r="64">
      <c r="A64" t="inlineStr">
        <is>
          <t>in repairing and restoring in the places the door and walls of sheepcote</t>
        </is>
      </c>
      <c r="D64" t="n">
        <v>7</v>
      </c>
      <c r="F64" s="162">
        <f>B64+C64/20+D64/240</f>
        <v/>
      </c>
    </row>
    <row r="65">
      <c r="A65" t="inlineStr">
        <is>
          <t>in 1 lath work made anew</t>
        </is>
      </c>
      <c r="D65" t="n">
        <v>7</v>
      </c>
      <c r="F65" s="162">
        <f>B65+C65/20+D65/240</f>
        <v/>
      </c>
    </row>
    <row r="66">
      <c r="A66" t="inlineStr">
        <is>
          <t>in 3 buckets bought</t>
        </is>
      </c>
      <c r="C66" t="n">
        <v>1</v>
      </c>
      <c r="F66" s="162">
        <f>B66+C66/20+D66/240</f>
        <v/>
      </c>
    </row>
    <row r="67">
      <c r="A67" t="inlineStr">
        <is>
          <t>in 1 mould bought</t>
        </is>
      </c>
      <c r="D67" t="n">
        <v>10</v>
      </c>
      <c r="F67" s="162">
        <f>B67+C67/20+D67/240</f>
        <v/>
      </c>
    </row>
    <row r="68">
      <c r="A68" t="inlineStr">
        <is>
          <t>in 12 ells of canvas bought for packing wool</t>
        </is>
      </c>
      <c r="C68" t="n">
        <v>3</v>
      </c>
      <c r="D68" t="n">
        <v>2</v>
      </c>
      <c r="F68" s="162">
        <f>B68+C68/20+D68/240</f>
        <v/>
      </c>
      <c r="H68" t="inlineStr">
        <is>
          <t>Not dairy related?</t>
        </is>
      </c>
    </row>
    <row r="69">
      <c r="A69" t="inlineStr">
        <is>
          <t xml:space="preserve">in packing the said wool with thread </t>
        </is>
      </c>
      <c r="D69" t="n">
        <v>6.5</v>
      </c>
      <c r="F69" s="162">
        <f>B69+C69/20+D69/240</f>
        <v/>
      </c>
    </row>
    <row r="70">
      <c r="A70" t="inlineStr">
        <is>
          <t>in 1 brass pan bought</t>
        </is>
      </c>
      <c r="C70" t="n">
        <v>5</v>
      </c>
      <c r="F70" s="162">
        <f>B70+C70/20+D70/240</f>
        <v/>
      </c>
    </row>
    <row r="71">
      <c r="A71" t="inlineStr">
        <is>
          <t>in hooping the same with iron</t>
        </is>
      </c>
      <c r="C71" t="n">
        <v>1</v>
      </c>
      <c r="F71" s="162">
        <f>B71+C71/20+D71/240</f>
        <v/>
      </c>
    </row>
    <row r="72">
      <c r="A72" t="inlineStr">
        <is>
          <t>in stipend of 1 dairymaid</t>
        </is>
      </c>
      <c r="C72" t="n">
        <v>2</v>
      </c>
      <c r="F72" s="162">
        <f>B72+C72/20+D72/240</f>
        <v/>
      </c>
    </row>
    <row r="73">
      <c r="A73" t="inlineStr">
        <is>
          <t>in stipend of 1 cowherd for the year</t>
        </is>
      </c>
      <c r="C73" t="n">
        <v>2</v>
      </c>
      <c r="F73" s="162">
        <f>B73+C73/20+D73/240</f>
        <v/>
      </c>
    </row>
    <row r="74">
      <c r="A74" t="inlineStr">
        <is>
          <t>in stipend of 1 keeper of ewes</t>
        </is>
      </c>
      <c r="C74" t="n">
        <v>3</v>
      </c>
      <c r="F74" s="162">
        <f>B74+C74/20+D74/240</f>
        <v/>
      </c>
    </row>
    <row r="75">
      <c r="A75" t="inlineStr">
        <is>
          <t>in stipend of 1 keeper of hoggs and lambs</t>
        </is>
      </c>
      <c r="C75" t="n">
        <v>3</v>
      </c>
      <c r="F75" s="162">
        <f>B75+C75/20+D75/240</f>
        <v/>
      </c>
    </row>
    <row r="76">
      <c r="A76" t="inlineStr">
        <is>
          <t>in 27 yearlings bought</t>
        </is>
      </c>
      <c r="B76" t="n">
        <v>7</v>
      </c>
      <c r="C76" t="n">
        <v>4</v>
      </c>
      <c r="D76" t="n">
        <v>4.5</v>
      </c>
      <c r="F76" s="162">
        <f>B76+C76/20+D76/240</f>
        <v/>
      </c>
    </row>
    <row r="77">
      <c r="A77" t="inlineStr">
        <is>
          <t>in 3 cows bought</t>
        </is>
      </c>
      <c r="B77" t="n">
        <v>1</v>
      </c>
      <c r="C77" t="n">
        <v>4</v>
      </c>
      <c r="F77" s="162">
        <f>B77+C77/20+D77/240</f>
        <v/>
      </c>
    </row>
    <row r="78">
      <c r="A78" s="12" t="inlineStr">
        <is>
          <t>Total recorded in accounts</t>
        </is>
      </c>
      <c r="B78" t="n">
        <v>10</v>
      </c>
      <c r="C78" t="n">
        <v>19</v>
      </c>
      <c r="D78" t="n">
        <v>5.5</v>
      </c>
      <c r="F78" s="164">
        <f>B78+C78/20+D78/240</f>
        <v/>
      </c>
    </row>
    <row r="79">
      <c r="A79" s="12" t="inlineStr">
        <is>
          <t>Cost of dairy total</t>
        </is>
      </c>
      <c r="B79">
        <f>SUM(B55:B77)</f>
        <v/>
      </c>
      <c r="C79">
        <f>SUM(C55:C77)</f>
        <v/>
      </c>
      <c r="D79">
        <f>SUM(D55:D77)</f>
        <v/>
      </c>
      <c r="F79" s="164">
        <f>B79+C79/20+D79/240</f>
        <v/>
      </c>
      <c r="G79" s="138">
        <f>F79-F78</f>
        <v/>
      </c>
    </row>
    <row r="80">
      <c r="A80" s="12" t="inlineStr">
        <is>
          <t>Total capital expenses</t>
        </is>
      </c>
      <c r="B80">
        <f>SUM(B55:B71)</f>
        <v/>
      </c>
      <c r="C80">
        <f>SUM(C55:C71)</f>
        <v/>
      </c>
      <c r="D80">
        <f>SUM(D55:D71)</f>
        <v/>
      </c>
      <c r="F80" s="164">
        <f>B80+C80/20+D80/240</f>
        <v/>
      </c>
      <c r="G80" s="138" t="n"/>
    </row>
    <row r="81"/>
    <row r="82">
      <c r="A82" s="12" t="inlineStr">
        <is>
          <t>Cost of Buildings</t>
        </is>
      </c>
    </row>
    <row r="83">
      <c r="A83" t="inlineStr">
        <is>
          <t>in re-roofing</t>
        </is>
      </c>
      <c r="C83" t="n">
        <v>11</v>
      </c>
      <c r="D83" t="n">
        <v>8</v>
      </c>
      <c r="F83" s="162">
        <f>B83+C83/20+D83/240</f>
        <v/>
      </c>
    </row>
    <row r="84">
      <c r="A84" t="inlineStr">
        <is>
          <t>in mending the crib of the stable</t>
        </is>
      </c>
      <c r="C84" t="n">
        <v>1</v>
      </c>
      <c r="D84" t="n">
        <v>1</v>
      </c>
      <c r="F84" s="162">
        <f>B84+C84/20+D84/240</f>
        <v/>
      </c>
    </row>
    <row r="85">
      <c r="A85" t="inlineStr">
        <is>
          <t>in mending 1 axe</t>
        </is>
      </c>
      <c r="D85" t="n">
        <v>3</v>
      </c>
      <c r="F85" s="162">
        <f>B85+C85/20+D85/240</f>
        <v/>
      </c>
    </row>
    <row r="86">
      <c r="A86" t="inlineStr">
        <is>
          <t>in digging 1 perch</t>
        </is>
      </c>
      <c r="D86" t="n">
        <v>2</v>
      </c>
      <c r="F86" s="162">
        <f>B86+C86/20+D86/240</f>
        <v/>
      </c>
    </row>
    <row r="87">
      <c r="A87" t="inlineStr">
        <is>
          <t>in iron bought for forks and shovels</t>
        </is>
      </c>
      <c r="D87" t="n">
        <v>7</v>
      </c>
      <c r="F87" s="162">
        <f>B87+C87/20+D87/240</f>
        <v/>
      </c>
    </row>
    <row r="88">
      <c r="A88" t="inlineStr">
        <is>
          <t>in mending the palisade between the hall and chamber</t>
        </is>
      </c>
      <c r="D88" t="n">
        <v>4</v>
      </c>
      <c r="F88" s="162">
        <f>B88+C88/20+D88/240</f>
        <v/>
      </c>
    </row>
    <row r="89">
      <c r="A89" t="inlineStr">
        <is>
          <t>in 1 basket for corn bought</t>
        </is>
      </c>
      <c r="D89" t="n">
        <v>4</v>
      </c>
      <c r="F89" s="162">
        <f>B89+C89/20+D89/240</f>
        <v/>
      </c>
    </row>
    <row r="90">
      <c r="A90" t="inlineStr">
        <is>
          <t>in covering and mending walls in haybarn</t>
        </is>
      </c>
      <c r="D90" t="n">
        <v>4</v>
      </c>
      <c r="F90" s="162">
        <f>B90+C90/20+D90/240</f>
        <v/>
      </c>
    </row>
    <row r="91">
      <c r="A91" t="inlineStr">
        <is>
          <t>in enclosing the great field with hedges</t>
        </is>
      </c>
      <c r="D91" t="n">
        <v>11</v>
      </c>
      <c r="F91" s="162">
        <f>B91+C91/20+D91/240</f>
        <v/>
      </c>
    </row>
    <row r="92">
      <c r="A92" t="inlineStr">
        <is>
          <t>in castrating piglets</t>
        </is>
      </c>
      <c r="D92" t="n">
        <v>4</v>
      </c>
      <c r="F92" s="162">
        <f>B92+C92/20+D92/240</f>
        <v/>
      </c>
    </row>
    <row r="93">
      <c r="A93" t="inlineStr">
        <is>
          <t>in 82 qrs 5 bus of oats cast cleaned and winnowed for sowing</t>
        </is>
      </c>
      <c r="C93" t="n">
        <v>2</v>
      </c>
      <c r="D93" t="n">
        <v>8</v>
      </c>
      <c r="F93" s="162">
        <f>B93+C93/20+D93/240</f>
        <v/>
      </c>
    </row>
    <row r="94">
      <c r="A94" s="12" t="inlineStr">
        <is>
          <t>Total recorded in accounts</t>
        </is>
      </c>
      <c r="C94" t="n">
        <v>18</v>
      </c>
      <c r="D94" t="n">
        <v>8</v>
      </c>
      <c r="F94" s="164">
        <f>B94+C94/20+D94/240</f>
        <v/>
      </c>
    </row>
    <row r="95">
      <c r="A95" s="12" t="inlineStr">
        <is>
          <t>Cost of buildings total</t>
        </is>
      </c>
      <c r="B95">
        <f>SUM(B83:B93)</f>
        <v/>
      </c>
      <c r="C95">
        <f>SUM(C83:C93)</f>
        <v/>
      </c>
      <c r="D95">
        <f>SUM(D83:D93)</f>
        <v/>
      </c>
      <c r="F95" s="164">
        <f>B95+C95/20+D95/240</f>
        <v/>
      </c>
      <c r="G95" s="138">
        <f>F95-F94</f>
        <v/>
      </c>
    </row>
    <row r="96">
      <c r="A96" s="12" t="inlineStr">
        <is>
          <t>Total capital expenses</t>
        </is>
      </c>
      <c r="B96">
        <f>SUM(B83:B91)</f>
        <v/>
      </c>
      <c r="C96">
        <f>SUM(C83:C91)</f>
        <v/>
      </c>
      <c r="D96">
        <f>SUM(D83:D91)</f>
        <v/>
      </c>
      <c r="F96" s="164">
        <f>B96+C96/20+D96/240</f>
        <v/>
      </c>
      <c r="G96" s="138" t="n"/>
    </row>
    <row r="97"/>
    <row r="98">
      <c r="A98" s="12" t="inlineStr">
        <is>
          <t>Threshing</t>
        </is>
      </c>
    </row>
    <row r="99">
      <c r="A99" t="inlineStr">
        <is>
          <t>in threshing 20 qrs wheat</t>
        </is>
      </c>
      <c r="C99" t="n">
        <v>3</v>
      </c>
      <c r="D99" t="n">
        <v>8</v>
      </c>
      <c r="F99" s="162">
        <f>B99+C99/20+D99/240</f>
        <v/>
      </c>
    </row>
    <row r="100">
      <c r="A100" t="inlineStr">
        <is>
          <t>in wages of William carrying out the issue of the grange</t>
        </is>
      </c>
      <c r="C100" t="n">
        <v>11</v>
      </c>
      <c r="D100" t="n">
        <v>1.5</v>
      </c>
      <c r="F100" s="162">
        <f>B100+C100/20+D100/240</f>
        <v/>
      </c>
    </row>
    <row r="101">
      <c r="A101" t="inlineStr">
        <is>
          <t>in stipend of the same</t>
        </is>
      </c>
      <c r="C101" t="n">
        <v>2</v>
      </c>
      <c r="F101" s="162">
        <f>B101+C101/20+D101/240</f>
        <v/>
      </c>
    </row>
    <row r="102">
      <c r="A102" s="12" t="inlineStr">
        <is>
          <t>Total recorded in accounts</t>
        </is>
      </c>
      <c r="C102" t="n">
        <v>16</v>
      </c>
      <c r="D102" t="n">
        <v>9.5</v>
      </c>
      <c r="F102" s="164">
        <f>B102+C102/20+D102/240</f>
        <v/>
      </c>
    </row>
    <row r="103">
      <c r="A103" s="12" t="inlineStr">
        <is>
          <t>Threshing total</t>
        </is>
      </c>
      <c r="B103">
        <f>SUM(B99:B101)</f>
        <v/>
      </c>
      <c r="C103">
        <f>SUM(C99:C101)</f>
        <v/>
      </c>
      <c r="D103">
        <f>SUM(D99:D101)</f>
        <v/>
      </c>
      <c r="F103" s="164">
        <f>B103+C103/20+D103/240</f>
        <v/>
      </c>
      <c r="G103" s="138">
        <f>F103-F102</f>
        <v/>
      </c>
    </row>
    <row r="104"/>
    <row r="105">
      <c r="A105" s="12" t="inlineStr">
        <is>
          <t>Weeding</t>
        </is>
      </c>
    </row>
    <row r="106">
      <c r="A106" t="inlineStr">
        <is>
          <t>in weeding corn above labour service</t>
        </is>
      </c>
      <c r="C106" t="n">
        <v>10</v>
      </c>
      <c r="F106" s="162">
        <f>B106+C106/20+D106/240</f>
        <v/>
      </c>
    </row>
    <row r="107">
      <c r="A107" t="inlineStr">
        <is>
          <t>in mowing 20 acres of meadow</t>
        </is>
      </c>
      <c r="C107" t="n">
        <v>5</v>
      </c>
      <c r="D107" t="n">
        <v>10</v>
      </c>
      <c r="F107" s="162">
        <f>B107+C107/20+D107/240</f>
        <v/>
      </c>
    </row>
    <row r="108">
      <c r="A108" t="inlineStr">
        <is>
          <t>in mowing 26 acres at Chasterlye</t>
        </is>
      </c>
      <c r="C108" t="n">
        <v>7</v>
      </c>
      <c r="D108" t="n">
        <v>2</v>
      </c>
      <c r="F108" s="162">
        <f>B108+C108/20+D108/240</f>
        <v/>
      </c>
    </row>
    <row r="109">
      <c r="A109" s="12" t="inlineStr">
        <is>
          <t>Total recorded in accounts</t>
        </is>
      </c>
      <c r="B109" t="n">
        <v>1</v>
      </c>
      <c r="C109" t="n">
        <v>3</v>
      </c>
      <c r="F109" s="164">
        <f>B109+C109/20+D109/240</f>
        <v/>
      </c>
    </row>
    <row r="110">
      <c r="A110" s="12" t="inlineStr">
        <is>
          <t>Weeding total</t>
        </is>
      </c>
      <c r="B110">
        <f>SUM(B106:B108)</f>
        <v/>
      </c>
      <c r="C110">
        <f>SUM(C106:C109)</f>
        <v/>
      </c>
      <c r="D110">
        <f>SUM(D106:D108)</f>
        <v/>
      </c>
      <c r="F110" s="164">
        <f>B110+C110/20+D110/240</f>
        <v/>
      </c>
      <c r="G110" s="138">
        <f>F110-F109</f>
        <v/>
      </c>
    </row>
    <row r="111"/>
    <row r="112">
      <c r="A112" s="12" t="inlineStr">
        <is>
          <t>Expenses of the Harvest</t>
        </is>
      </c>
    </row>
    <row r="113">
      <c r="A113" t="inlineStr">
        <is>
          <t>in meat bought for the great boon-work</t>
        </is>
      </c>
      <c r="C113" t="n">
        <v>8</v>
      </c>
      <c r="D113" t="n">
        <v>8</v>
      </c>
      <c r="F113" s="162">
        <f>B113+C113/20+D113/240</f>
        <v/>
      </c>
    </row>
    <row r="114">
      <c r="A114" t="inlineStr">
        <is>
          <t>in herrings bought</t>
        </is>
      </c>
      <c r="C114" t="n">
        <v>6</v>
      </c>
      <c r="D114" t="n">
        <v>10</v>
      </c>
      <c r="F114" s="162">
        <f>B114+C114/20+D114/240</f>
        <v/>
      </c>
    </row>
    <row r="115">
      <c r="A115" s="12" t="inlineStr">
        <is>
          <t>Total recorded in accounts</t>
        </is>
      </c>
      <c r="C115" t="n">
        <v>15</v>
      </c>
      <c r="D115" t="n">
        <v>6</v>
      </c>
      <c r="F115" s="164">
        <f>B115+C115/20+D115/240</f>
        <v/>
      </c>
    </row>
    <row r="116">
      <c r="A116" s="12" t="inlineStr">
        <is>
          <t>Expenses of the harvest total</t>
        </is>
      </c>
      <c r="B116">
        <f>SUM(B113:B114)</f>
        <v/>
      </c>
      <c r="C116">
        <f>SUM(C113:C114)</f>
        <v/>
      </c>
      <c r="D116">
        <f>SUM(D113:D114)</f>
        <v/>
      </c>
      <c r="F116" s="164">
        <f>B116+C116/20+D116/240</f>
        <v/>
      </c>
      <c r="G116" s="138">
        <f>F116-F115</f>
        <v/>
      </c>
    </row>
    <row r="117"/>
    <row r="118">
      <c r="A118" s="12" t="inlineStr">
        <is>
          <t>Provision of household servants at harvest-time</t>
        </is>
      </c>
    </row>
    <row r="119">
      <c r="A119" t="inlineStr">
        <is>
          <t>in provision of group who helped with harvest</t>
        </is>
      </c>
      <c r="B119" t="n">
        <v>1</v>
      </c>
      <c r="C119" t="n">
        <v>13</v>
      </c>
      <c r="D119" t="n">
        <v>11</v>
      </c>
      <c r="F119" s="162">
        <f>B119+C119/20+D119/240</f>
        <v/>
      </c>
    </row>
    <row r="120">
      <c r="A120" t="inlineStr">
        <is>
          <t>in stipend of 1 man keeping the corn in the fields at night who by day helped to load the carts</t>
        </is>
      </c>
      <c r="C120" t="n">
        <v>3</v>
      </c>
      <c r="F120" s="162">
        <f>B120+C120/20+D120/240</f>
        <v/>
      </c>
    </row>
    <row r="121">
      <c r="A121" s="12" t="inlineStr">
        <is>
          <t>Total recorded in accounts</t>
        </is>
      </c>
      <c r="B121" t="n">
        <v>1</v>
      </c>
      <c r="C121" t="n">
        <v>16</v>
      </c>
      <c r="D121" t="n">
        <v>11</v>
      </c>
      <c r="F121" s="164">
        <f>B121+C121/20+D121/240</f>
        <v/>
      </c>
    </row>
    <row r="122">
      <c r="A122" s="12" t="inlineStr">
        <is>
          <t>Provision of household servants at harvest-time total</t>
        </is>
      </c>
      <c r="B122">
        <f>SUM(B119:B120)</f>
        <v/>
      </c>
      <c r="C122">
        <f>SUM(C119:C120)</f>
        <v/>
      </c>
      <c r="D122">
        <f>SUM(D119:D120)</f>
        <v/>
      </c>
      <c r="F122" s="164">
        <f>B122+C122/20+D122/240</f>
        <v/>
      </c>
      <c r="G122" s="138">
        <f>F122-F121</f>
        <v/>
      </c>
    </row>
    <row r="123">
      <c r="A123" s="12" t="n"/>
      <c r="F123" s="164" t="n"/>
      <c r="G123" s="138" t="n"/>
    </row>
    <row r="124">
      <c r="A124" s="12" t="inlineStr">
        <is>
          <t>Cost of the park</t>
        </is>
      </c>
      <c r="F124" s="164" t="n"/>
      <c r="G124" s="138" t="n"/>
    </row>
    <row r="125">
      <c r="A125" t="inlineStr">
        <is>
          <t>in mending the park</t>
        </is>
      </c>
      <c r="C125" t="n">
        <v>2</v>
      </c>
      <c r="F125" s="162">
        <f>B125+C125/20+D125/240</f>
        <v/>
      </c>
      <c r="G125" s="138" t="n"/>
    </row>
    <row r="126">
      <c r="A126" t="inlineStr">
        <is>
          <t>in enclosing 7 furlongs 36 perches</t>
        </is>
      </c>
      <c r="C126" t="n">
        <v>19</v>
      </c>
      <c r="D126" t="n">
        <v>9</v>
      </c>
      <c r="F126" s="162">
        <f>B126+C126/20+D126/240</f>
        <v/>
      </c>
      <c r="G126" s="138" t="n"/>
    </row>
    <row r="127">
      <c r="A127" t="inlineStr">
        <is>
          <t>in splitting stakes</t>
        </is>
      </c>
      <c r="C127" t="n">
        <v>1</v>
      </c>
      <c r="D127" t="n">
        <v>2</v>
      </c>
      <c r="F127" s="162">
        <f>B127+C127/20+D127/240</f>
        <v/>
      </c>
      <c r="G127" s="138" t="n"/>
    </row>
    <row r="128">
      <c r="A128" t="inlineStr">
        <is>
          <t>in enclosing 5 furlongs 16 perches in foreign park</t>
        </is>
      </c>
      <c r="C128" t="n">
        <v>9</v>
      </c>
      <c r="F128" s="162">
        <f>B128+C128/20+D128/240</f>
        <v/>
      </c>
      <c r="G128" s="138" t="n"/>
    </row>
    <row r="129">
      <c r="A129" t="inlineStr">
        <is>
          <t>in wages of park-keeper</t>
        </is>
      </c>
      <c r="C129" t="n">
        <v>12</v>
      </c>
      <c r="D129" t="n">
        <v>6</v>
      </c>
      <c r="F129" s="162">
        <f>B129+C129/20+D129/240</f>
        <v/>
      </c>
      <c r="G129" s="138" t="n"/>
    </row>
    <row r="130">
      <c r="A130" t="inlineStr">
        <is>
          <t>in stipend of 1 attendant keeping the park in place</t>
        </is>
      </c>
      <c r="C130" t="n">
        <v>1</v>
      </c>
      <c r="D130" t="n">
        <v>9</v>
      </c>
      <c r="F130" s="162">
        <f>B130+C130/20+D130/240</f>
        <v/>
      </c>
      <c r="G130" s="138" t="n"/>
    </row>
    <row r="131">
      <c r="A131" s="12" t="inlineStr">
        <is>
          <t>Total recorded in accounts</t>
        </is>
      </c>
      <c r="B131" t="n">
        <v>2</v>
      </c>
      <c r="C131" t="n">
        <v>6</v>
      </c>
      <c r="D131" t="n">
        <v>2</v>
      </c>
      <c r="F131" s="164">
        <f>B131+C131/20+D131/240</f>
        <v/>
      </c>
      <c r="G131" s="138" t="n"/>
    </row>
    <row r="132">
      <c r="A132" s="12" t="inlineStr">
        <is>
          <t>Cost of the park total</t>
        </is>
      </c>
      <c r="B132">
        <f>SUM(B125:B130)</f>
        <v/>
      </c>
      <c r="C132">
        <f>SUM(C125:C130)</f>
        <v/>
      </c>
      <c r="D132">
        <f>SUM(D125:D130)</f>
        <v/>
      </c>
      <c r="F132" s="164">
        <f>B132+C132/20+D132/240</f>
        <v/>
      </c>
      <c r="G132" s="138">
        <f>F132-F131</f>
        <v/>
      </c>
    </row>
    <row r="133">
      <c r="A133" s="12" t="inlineStr">
        <is>
          <t>Total capital expenses</t>
        </is>
      </c>
      <c r="B133">
        <f>SUM(B125:B128)</f>
        <v/>
      </c>
      <c r="C133">
        <f>SUM(C125:C128)</f>
        <v/>
      </c>
      <c r="D133">
        <f>SUM(D125:D128)</f>
        <v/>
      </c>
      <c r="F133" s="164">
        <f>B133+C133/20+D133/240</f>
        <v/>
      </c>
      <c r="G133" s="138" t="n"/>
    </row>
    <row r="134"/>
    <row r="135">
      <c r="A135" s="12" t="inlineStr">
        <is>
          <t>Steward's Expenses</t>
        </is>
      </c>
    </row>
    <row r="136">
      <c r="A136" t="inlineStr">
        <is>
          <t>at tourns</t>
        </is>
      </c>
      <c r="C136" t="n">
        <v>7</v>
      </c>
      <c r="D136" t="n">
        <v>1</v>
      </c>
      <c r="F136" s="162">
        <f>B136+C136/20+D136/240</f>
        <v/>
      </c>
    </row>
    <row r="137">
      <c r="A137" t="inlineStr">
        <is>
          <t>expenses of Nicholas</t>
        </is>
      </c>
      <c r="B137" t="n">
        <v>1</v>
      </c>
      <c r="C137" t="n">
        <v>3</v>
      </c>
      <c r="D137" t="n">
        <v>7</v>
      </c>
      <c r="F137" s="162">
        <f>B137+C137/20+D137/240</f>
        <v/>
      </c>
    </row>
    <row r="138">
      <c r="A138" t="inlineStr">
        <is>
          <t>expenses of John</t>
        </is>
      </c>
      <c r="B138" t="n">
        <v>1</v>
      </c>
      <c r="C138" t="n">
        <v>2</v>
      </c>
      <c r="F138" s="162">
        <f>B138+C138/20+D138/240</f>
        <v/>
      </c>
    </row>
    <row r="139">
      <c r="A139" t="inlineStr">
        <is>
          <t>expenses of Simon</t>
        </is>
      </c>
      <c r="D139" t="n">
        <v>5</v>
      </c>
      <c r="F139" s="162">
        <f>B139+C139/20+D139/240</f>
        <v/>
      </c>
    </row>
    <row r="140">
      <c r="A140" t="inlineStr">
        <is>
          <t>in expenses of stewards attendant going to st Giles fair</t>
        </is>
      </c>
      <c r="D140" t="n">
        <v>5</v>
      </c>
      <c r="F140" s="162">
        <f>B140+C140/20+D140/240</f>
        <v/>
      </c>
    </row>
    <row r="141">
      <c r="A141" t="inlineStr">
        <is>
          <t>expenses of Geoffrey</t>
        </is>
      </c>
      <c r="C141" t="n">
        <v>1</v>
      </c>
      <c r="D141" t="n">
        <v>11</v>
      </c>
      <c r="F141" s="162">
        <f>B141+C141/20+D141/240</f>
        <v/>
      </c>
    </row>
    <row r="142">
      <c r="A142" s="12" t="inlineStr">
        <is>
          <t>Total recorded in accounts</t>
        </is>
      </c>
      <c r="B142" t="n">
        <v>2</v>
      </c>
      <c r="C142" t="n">
        <v>15</v>
      </c>
      <c r="D142" t="n">
        <v>5</v>
      </c>
      <c r="F142" s="164">
        <f>B142+C142/20+D142/240</f>
        <v/>
      </c>
    </row>
    <row r="143">
      <c r="A143" s="12" t="inlineStr">
        <is>
          <t>Steward's expenses total</t>
        </is>
      </c>
      <c r="B143">
        <f>SUM(B136:B141)</f>
        <v/>
      </c>
      <c r="C143">
        <f>SUM(C136:C141)</f>
        <v/>
      </c>
      <c r="D143">
        <f>SUM(D136:D141)</f>
        <v/>
      </c>
      <c r="F143" s="164">
        <f>B143+C143/20+D143/240</f>
        <v/>
      </c>
      <c r="G143" s="138">
        <f>F143-F142</f>
        <v/>
      </c>
    </row>
    <row r="144"/>
    <row r="145">
      <c r="A145" s="12" t="inlineStr">
        <is>
          <t>Payments for building repairs</t>
        </is>
      </c>
    </row>
    <row r="146">
      <c r="A146" t="inlineStr">
        <is>
          <t>in 2000 slates bought</t>
        </is>
      </c>
      <c r="C146" t="n">
        <v>3</v>
      </c>
      <c r="F146" s="164">
        <f>B146+C146/20+D146/240</f>
        <v/>
      </c>
    </row>
    <row r="147">
      <c r="A147" t="inlineStr">
        <is>
          <t>in 3 qrs 5 bus of lime</t>
        </is>
      </c>
      <c r="C147" t="n">
        <v>2</v>
      </c>
      <c r="D147" t="n">
        <v>4</v>
      </c>
      <c r="F147" s="164">
        <f>B147+C147/20+D147/240</f>
        <v/>
      </c>
    </row>
    <row r="148">
      <c r="A148" t="inlineStr">
        <is>
          <t>in stipend of 1 roofer and his mate</t>
        </is>
      </c>
      <c r="C148" t="n">
        <v>8</v>
      </c>
      <c r="D148" t="n">
        <v>6</v>
      </c>
      <c r="F148" s="164">
        <f>B148+C148/20+D148/240</f>
        <v/>
      </c>
    </row>
    <row r="149">
      <c r="A149" t="inlineStr">
        <is>
          <t>in ridge tiles bought</t>
        </is>
      </c>
      <c r="D149" t="n">
        <v>2</v>
      </c>
      <c r="F149" s="164">
        <f>B149+C149/20+D149/240</f>
        <v/>
      </c>
    </row>
    <row r="150">
      <c r="A150" t="inlineStr">
        <is>
          <t>in pegs bought</t>
        </is>
      </c>
      <c r="D150" t="n">
        <v>2</v>
      </c>
      <c r="F150" s="164">
        <f>B150+C150/20+D150/240</f>
        <v/>
      </c>
    </row>
    <row r="151">
      <c r="A151" t="inlineStr">
        <is>
          <t>in mending kitchen door and walls</t>
        </is>
      </c>
      <c r="C151" t="n">
        <v>1</v>
      </c>
      <c r="D151" t="n">
        <v>8</v>
      </c>
      <c r="F151" s="164">
        <f>B151+C151/20+D151/240</f>
        <v/>
      </c>
    </row>
    <row r="152">
      <c r="A152" t="inlineStr">
        <is>
          <t>in mending bishops chamber</t>
        </is>
      </c>
      <c r="C152" t="n">
        <v>12</v>
      </c>
      <c r="F152" s="164">
        <f>B152+C152/20+D152/240</f>
        <v/>
      </c>
    </row>
    <row r="153">
      <c r="A153" t="inlineStr">
        <is>
          <t>in boards and planks</t>
        </is>
      </c>
      <c r="C153" t="n">
        <v>7</v>
      </c>
      <c r="D153" t="n">
        <v>6</v>
      </c>
      <c r="F153" s="164">
        <f>B153+C153/20+D153/240</f>
        <v/>
      </c>
    </row>
    <row r="154">
      <c r="A154" t="inlineStr">
        <is>
          <t>in large and small nails</t>
        </is>
      </c>
      <c r="C154" t="n">
        <v>1</v>
      </c>
      <c r="D154" t="n">
        <v>8</v>
      </c>
      <c r="F154" s="164">
        <f>B154+C154/20+D154/240</f>
        <v/>
      </c>
    </row>
    <row r="155">
      <c r="A155" t="inlineStr">
        <is>
          <t>in stipend of 3 masons to fix dairy chamber</t>
        </is>
      </c>
      <c r="C155" t="n">
        <v>12</v>
      </c>
      <c r="F155" s="164">
        <f>B155+C155/20+D155/240</f>
        <v/>
      </c>
    </row>
    <row r="156">
      <c r="A156" t="inlineStr">
        <is>
          <t>in making 1600 shingles with 1 door to granary made anew</t>
        </is>
      </c>
      <c r="C156" t="n">
        <v>4</v>
      </c>
      <c r="F156" s="164">
        <f>B156+C156/20+D156/240</f>
        <v/>
      </c>
    </row>
    <row r="157">
      <c r="A157" t="inlineStr">
        <is>
          <t>in hooks and hinges for granary door</t>
        </is>
      </c>
      <c r="D157" t="n">
        <v>8</v>
      </c>
      <c r="F157" s="164">
        <f>B157+C157/20+D157/240</f>
        <v/>
      </c>
    </row>
    <row r="158">
      <c r="A158" t="inlineStr">
        <is>
          <t>in timber felled for bishops chamber</t>
        </is>
      </c>
      <c r="C158" t="n">
        <v>1</v>
      </c>
      <c r="D158" t="n">
        <v>9</v>
      </c>
      <c r="F158" s="164">
        <f>B158+C158/20+D158/240</f>
        <v/>
      </c>
    </row>
    <row r="159">
      <c r="A159" s="12" t="inlineStr">
        <is>
          <t>Total recorded in accounts</t>
        </is>
      </c>
      <c r="B159" t="n">
        <v>2</v>
      </c>
      <c r="C159" t="n">
        <v>15</v>
      </c>
      <c r="D159" t="n">
        <v>5</v>
      </c>
      <c r="F159" s="164">
        <f>B159+C159/20+D159/240</f>
        <v/>
      </c>
    </row>
    <row r="160">
      <c r="A160" s="12" t="inlineStr">
        <is>
          <t>Payments for building repairs total</t>
        </is>
      </c>
      <c r="B160">
        <f>SUM(B146:B158)</f>
        <v/>
      </c>
      <c r="C160">
        <f>SUM(C146:C158)</f>
        <v/>
      </c>
      <c r="D160">
        <f>SUM(D146:D158)</f>
        <v/>
      </c>
      <c r="F160" s="164">
        <f>B160+C160/20+D160/240</f>
        <v/>
      </c>
      <c r="G160" s="138">
        <f>F160-F159</f>
        <v/>
      </c>
    </row>
    <row r="161">
      <c r="A161" s="12" t="inlineStr">
        <is>
          <t>Total capital expenses</t>
        </is>
      </c>
      <c r="B161">
        <f>SUM(B146:B158)</f>
        <v/>
      </c>
      <c r="C161">
        <f>SUM(C146:C158)</f>
        <v/>
      </c>
      <c r="D161">
        <f>SUM(D146:D158)</f>
        <v/>
      </c>
      <c r="F161" s="164">
        <f>B161+C161/20+D161/240</f>
        <v/>
      </c>
    </row>
    <row r="162">
      <c r="A162" s="12" t="inlineStr">
        <is>
          <t>Total demesne capital expenses</t>
        </is>
      </c>
      <c r="B162">
        <f>B153+B154+B155+B156+B157</f>
        <v/>
      </c>
      <c r="C162">
        <f>C153+C154+C155+C156+C157</f>
        <v/>
      </c>
      <c r="D162">
        <f>D153+D154+D155+D156+D157</f>
        <v/>
      </c>
      <c r="F162" s="164">
        <f>B162+C162/20+D162/240</f>
        <v/>
      </c>
    </row>
    <row r="163"/>
    <row r="164">
      <c r="A164" t="inlineStr">
        <is>
          <t>Total of all Expenses</t>
        </is>
      </c>
      <c r="B164" t="n">
        <v>47</v>
      </c>
      <c r="C164" t="n">
        <v>18</v>
      </c>
      <c r="D164" t="n">
        <v>0.25</v>
      </c>
      <c r="F164" s="162">
        <f>B164+C164/20+D164/240</f>
        <v/>
      </c>
    </row>
    <row r="165">
      <c r="A165" t="inlineStr">
        <is>
          <t>Total of all Expenses (calculated)</t>
        </is>
      </c>
      <c r="B165">
        <f>SUM(B160,B143,B132,B122,B116,B110,B103,B95,B79,B51,B30,B23)</f>
        <v/>
      </c>
      <c r="C165">
        <f>SUM(C160,C143,C132,C122,C116,C110,C103,C95,C79,C51,C30,C23)</f>
        <v/>
      </c>
      <c r="D165">
        <f>SUM(D160,D143,D132,D122,D116,D110,D103,D95,D79,D51,D30,D23)</f>
        <v/>
      </c>
      <c r="F165" s="162">
        <f>B165+C165/20+D165/240</f>
        <v/>
      </c>
      <c r="G165" s="138">
        <f>F165-F164</f>
        <v/>
      </c>
    </row>
    <row r="166">
      <c r="A166" t="inlineStr">
        <is>
          <t>And thus he owes</t>
        </is>
      </c>
      <c r="B166" t="n">
        <v>145</v>
      </c>
      <c r="C166" t="n">
        <v>8</v>
      </c>
      <c r="D166" t="n">
        <v>2.5</v>
      </c>
      <c r="F166" s="162">
        <f>B166+C166/20+D166/240</f>
        <v/>
      </c>
    </row>
    <row r="167">
      <c r="A167" t="inlineStr">
        <is>
          <t>Allowances</t>
        </is>
      </c>
      <c r="B167" t="n">
        <v>1</v>
      </c>
      <c r="C167" t="n">
        <v>14</v>
      </c>
      <c r="D167" t="n">
        <v>3</v>
      </c>
      <c r="F167" s="162" t="n"/>
      <c r="H167" t="inlineStr">
        <is>
          <t>Not seen before - need to decide what we do here… is broken down further in pipe roll</t>
        </is>
      </c>
    </row>
    <row r="168">
      <c r="A168" t="inlineStr">
        <is>
          <t>Delivered to Sir Geoffrey, treasurer of Wolvesey</t>
        </is>
      </c>
      <c r="B168" t="n">
        <v>101</v>
      </c>
      <c r="C168" t="n">
        <v>10</v>
      </c>
      <c r="F168" s="162">
        <f>B168+C168/20+D168/240</f>
        <v/>
      </c>
    </row>
    <row r="169">
      <c r="A169" t="inlineStr">
        <is>
          <t>and thus he owes clear</t>
        </is>
      </c>
      <c r="B169" t="n">
        <v>42</v>
      </c>
      <c r="C169" t="n">
        <v>3</v>
      </c>
      <c r="D169" t="n">
        <v>11.5</v>
      </c>
      <c r="F169" s="162">
        <f>B169+C169/20+D169/240</f>
        <v/>
      </c>
    </row>
    <row r="170">
      <c r="A170" s="12" t="inlineStr">
        <is>
          <t>Total capital expenses</t>
        </is>
      </c>
      <c r="B170" s="12">
        <f>SUM(B162,B133,B96,B80,B52,B24)</f>
        <v/>
      </c>
      <c r="C170" s="12">
        <f>SUM(C162,C133,C96,C80,C52,C24)</f>
        <v/>
      </c>
      <c r="D170" s="12">
        <f>SUM(D162,D133,D96,D80,D52,D24)</f>
        <v/>
      </c>
      <c r="E170" s="12" t="n"/>
      <c r="F170" s="164">
        <f>B170+C170/20+D170/240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5"/>
  <sheetViews>
    <sheetView topLeftCell="A1" workbookViewId="0">
      <selection activeCell="A1" sqref="A1"/>
    </sheetView>
  </sheetViews>
  <sheetFormatPr baseColWidth="8" defaultRowHeight="15"/>
  <cols>
    <col width="21.33203125" customWidth="1" min="14" max="14"/>
  </cols>
  <sheetData>
    <row r="1">
      <c r="A1" s="38" t="n"/>
      <c r="B1" s="40" t="inlineStr">
        <is>
          <t>The issue of the grange account gives the total "yield" at the top of each heading in curly brackets, measurements used: fold, qrs, bus</t>
        </is>
      </c>
      <c r="I1" s="167" t="n"/>
      <c r="J1" s="167" t="n"/>
      <c r="O1" s="168" t="n"/>
      <c r="P1" s="168" t="n"/>
      <c r="Q1" s="168" t="n"/>
    </row>
    <row r="2">
      <c r="A2" s="38" t="n"/>
      <c r="B2" s="169" t="inlineStr">
        <is>
          <t>In "Issues of the grange" (p.xx)</t>
        </is>
      </c>
      <c r="C2" s="169" t="n"/>
      <c r="D2" s="169" t="n"/>
      <c r="E2" s="169" t="n"/>
      <c r="F2" s="169" t="n"/>
      <c r="G2" s="170" t="inlineStr">
        <is>
          <t>In "Sale of Corn" (p.x)</t>
        </is>
      </c>
      <c r="H2" s="170" t="n"/>
      <c r="I2" s="170" t="n"/>
      <c r="J2" s="170" t="n"/>
      <c r="K2" s="170" t="n"/>
      <c r="L2" s="170" t="n"/>
      <c r="M2" s="170" t="n"/>
      <c r="N2" s="170" t="n"/>
      <c r="O2" s="171" t="n"/>
      <c r="P2" s="172" t="inlineStr">
        <is>
          <t>Value of Total Production</t>
        </is>
      </c>
      <c r="Q2" s="172" t="n"/>
    </row>
    <row r="3">
      <c r="A3" s="38" t="inlineStr">
        <is>
          <t>Gross output</t>
        </is>
      </c>
      <c r="B3" s="168" t="inlineStr">
        <is>
          <t>Quantity</t>
        </is>
      </c>
      <c r="D3" s="168" t="inlineStr">
        <is>
          <t>Additional bought-in</t>
        </is>
      </c>
      <c r="F3" s="173" t="inlineStr">
        <is>
          <t>Quantity</t>
        </is>
      </c>
      <c r="G3" s="168" t="inlineStr">
        <is>
          <t>Quantity noted as sold</t>
        </is>
      </c>
      <c r="J3" s="168" t="inlineStr">
        <is>
          <t>Difference Produced vs. Sold</t>
        </is>
      </c>
      <c r="K3" s="167" t="inlineStr">
        <is>
          <t>Price 1</t>
        </is>
      </c>
      <c r="L3" s="167" t="inlineStr">
        <is>
          <t>Quantity 1</t>
        </is>
      </c>
      <c r="M3" s="167" t="inlineStr">
        <is>
          <t>Price 2</t>
        </is>
      </c>
      <c r="N3" s="167" t="inlineStr">
        <is>
          <t>Quantity 2</t>
        </is>
      </c>
      <c r="O3" s="173" t="inlineStr">
        <is>
          <t>Unit price</t>
        </is>
      </c>
      <c r="P3" s="168" t="inlineStr">
        <is>
          <t>Value</t>
        </is>
      </c>
    </row>
    <row r="4">
      <c r="B4" s="174" t="inlineStr">
        <is>
          <t>qrs</t>
        </is>
      </c>
      <c r="C4" s="174" t="inlineStr">
        <is>
          <t>bus</t>
        </is>
      </c>
      <c r="D4" s="174" t="inlineStr">
        <is>
          <t>qrs</t>
        </is>
      </c>
      <c r="E4" s="174" t="inlineStr">
        <is>
          <t>bus</t>
        </is>
      </c>
      <c r="F4" s="175" t="inlineStr">
        <is>
          <t>qrs</t>
        </is>
      </c>
      <c r="G4" s="174" t="inlineStr">
        <is>
          <t>qrs</t>
        </is>
      </c>
      <c r="H4" s="174" t="inlineStr">
        <is>
          <t>bus</t>
        </is>
      </c>
      <c r="I4" s="174" t="inlineStr">
        <is>
          <t>qrs</t>
        </is>
      </c>
      <c r="J4" s="174" t="n"/>
      <c r="K4" s="174" t="inlineStr">
        <is>
          <t>£</t>
        </is>
      </c>
      <c r="L4" s="174" t="inlineStr">
        <is>
          <t>qrs</t>
        </is>
      </c>
      <c r="M4" s="174" t="inlineStr">
        <is>
          <t>£</t>
        </is>
      </c>
      <c r="N4" s="174" t="inlineStr">
        <is>
          <t>qrs</t>
        </is>
      </c>
      <c r="O4" s="175" t="inlineStr">
        <is>
          <t>£ per qr</t>
        </is>
      </c>
      <c r="P4" s="176" t="inlineStr">
        <is>
          <t>£</t>
        </is>
      </c>
      <c r="Q4" s="177" t="n"/>
    </row>
    <row r="5">
      <c r="A5" t="inlineStr">
        <is>
          <t>Wheat</t>
        </is>
      </c>
      <c r="B5" t="n">
        <v>338.5</v>
      </c>
      <c r="D5" t="n">
        <v>29</v>
      </c>
      <c r="E5" t="n">
        <v>1</v>
      </c>
      <c r="F5" s="178">
        <f>B5+D5+C5/8+E5/8</f>
        <v/>
      </c>
      <c r="G5" t="n">
        <v>308</v>
      </c>
      <c r="H5" t="n">
        <v>3</v>
      </c>
      <c r="I5">
        <f>G5+H5/8</f>
        <v/>
      </c>
      <c r="J5" s="26">
        <f>F5-I5</f>
        <v/>
      </c>
      <c r="K5" s="162">
        <f>'Merdon Receipts'!F80</f>
        <v/>
      </c>
      <c r="L5">
        <f>I5</f>
        <v/>
      </c>
      <c r="O5" s="179">
        <f>IFERROR((K5+M5)/(L5+N5),0)</f>
        <v/>
      </c>
      <c r="P5" s="26">
        <f>O5*F5</f>
        <v/>
      </c>
    </row>
    <row r="6">
      <c r="A6" t="inlineStr">
        <is>
          <t>Curall</t>
        </is>
      </c>
      <c r="B6" t="n">
        <v>19</v>
      </c>
      <c r="C6" t="n">
        <v>2</v>
      </c>
      <c r="F6" s="180">
        <f>B6+D6+C6/8+E6/8</f>
        <v/>
      </c>
      <c r="G6" t="n">
        <v>16</v>
      </c>
      <c r="H6" t="n">
        <v>5</v>
      </c>
      <c r="I6">
        <f>G6+H6/8</f>
        <v/>
      </c>
      <c r="J6" s="26">
        <f>F6-I6</f>
        <v/>
      </c>
      <c r="K6" s="162">
        <f>'Merdon Receipts'!F81</f>
        <v/>
      </c>
      <c r="L6">
        <f>I6</f>
        <v/>
      </c>
      <c r="O6" s="179">
        <f>IFERROR((K6+M6)/(L6+N6),0)</f>
        <v/>
      </c>
      <c r="P6" s="26">
        <f>O6*F6</f>
        <v/>
      </c>
    </row>
    <row r="7">
      <c r="A7" t="inlineStr">
        <is>
          <t>Barley</t>
        </is>
      </c>
      <c r="B7" t="n">
        <v>61</v>
      </c>
      <c r="D7" t="n">
        <v>19</v>
      </c>
      <c r="E7" t="n">
        <v>1</v>
      </c>
      <c r="F7" s="180">
        <f>B7+D7+C7/8+E7/8</f>
        <v/>
      </c>
      <c r="G7" t="n">
        <v>9</v>
      </c>
      <c r="H7" t="n">
        <v>7</v>
      </c>
      <c r="I7">
        <f>G7+H7/8</f>
        <v/>
      </c>
      <c r="J7" s="26">
        <f>F7-I7</f>
        <v/>
      </c>
      <c r="K7" s="162">
        <f>'Merdon Receipts'!F82</f>
        <v/>
      </c>
      <c r="L7">
        <f>8+5/8</f>
        <v/>
      </c>
      <c r="M7" s="162">
        <f>'Merdon Receipts'!F87</f>
        <v/>
      </c>
      <c r="N7">
        <f>1+2/8</f>
        <v/>
      </c>
      <c r="O7" s="179">
        <f>IFERROR((K7+M7)/(L7+N7),0)</f>
        <v/>
      </c>
      <c r="P7" s="26">
        <f>O7*F7</f>
        <v/>
      </c>
    </row>
    <row r="8">
      <c r="A8" t="inlineStr">
        <is>
          <t>Oats</t>
        </is>
      </c>
      <c r="B8" t="n">
        <v>290</v>
      </c>
      <c r="D8" t="n">
        <v>15</v>
      </c>
      <c r="F8" s="180">
        <f>B8+D8+C8/8+E8/8</f>
        <v/>
      </c>
      <c r="G8" t="n">
        <v>42</v>
      </c>
      <c r="I8">
        <f>G8+H8/8</f>
        <v/>
      </c>
      <c r="J8" s="26">
        <f>F8-I8</f>
        <v/>
      </c>
      <c r="K8" s="162">
        <f>'Merdon Receipts'!F83</f>
        <v/>
      </c>
      <c r="L8">
        <f>I8</f>
        <v/>
      </c>
      <c r="O8" s="179">
        <f>IFERROR((K8+M8)/(L8+N8),0)</f>
        <v/>
      </c>
      <c r="P8" s="26">
        <f>O8*F8</f>
        <v/>
      </c>
    </row>
    <row r="9">
      <c r="A9" t="inlineStr">
        <is>
          <t>Beans</t>
        </is>
      </c>
      <c r="C9" t="n">
        <v>6</v>
      </c>
      <c r="F9" s="180">
        <f>B9+D9+C9/8+E9/8</f>
        <v/>
      </c>
      <c r="H9" t="n">
        <v>4</v>
      </c>
      <c r="I9">
        <f>G9+H9/8</f>
        <v/>
      </c>
      <c r="J9" s="26">
        <f>F9-I9</f>
        <v/>
      </c>
      <c r="K9" s="162">
        <f>'Merdon Receipts'!F84</f>
        <v/>
      </c>
      <c r="L9">
        <f>I9</f>
        <v/>
      </c>
      <c r="O9" s="179">
        <f>IFERROR((K9+M9)/(L9+N9),0)</f>
        <v/>
      </c>
      <c r="P9" s="26">
        <f>O9*F9</f>
        <v/>
      </c>
    </row>
    <row r="10">
      <c r="A10" t="inlineStr">
        <is>
          <t>Peas</t>
        </is>
      </c>
      <c r="B10" t="n">
        <v>16</v>
      </c>
      <c r="C10" t="n">
        <v>5</v>
      </c>
      <c r="F10" s="180">
        <f>B10+D10+C10/8+E10/8</f>
        <v/>
      </c>
      <c r="G10" t="n">
        <v>12</v>
      </c>
      <c r="H10" t="n">
        <v>2</v>
      </c>
      <c r="I10">
        <f>G10+H10/8</f>
        <v/>
      </c>
      <c r="J10" s="26">
        <f>F10-I10</f>
        <v/>
      </c>
      <c r="K10" s="162">
        <f>'Merdon Receipts'!F85</f>
        <v/>
      </c>
      <c r="L10">
        <f>I10</f>
        <v/>
      </c>
      <c r="O10" s="179">
        <f>IFERROR((K10+M10)/(L10+N10),0)</f>
        <v/>
      </c>
      <c r="P10" s="26">
        <f>O10*F10</f>
        <v/>
      </c>
    </row>
    <row r="11">
      <c r="A11" t="inlineStr">
        <is>
          <t>Vetches</t>
        </is>
      </c>
      <c r="B11" t="n">
        <v>22</v>
      </c>
      <c r="C11" t="n">
        <v>2</v>
      </c>
      <c r="F11" s="180">
        <f>B11+D11+C11/8+E11/8</f>
        <v/>
      </c>
      <c r="G11" t="n">
        <v>16</v>
      </c>
      <c r="H11" t="n">
        <v>7</v>
      </c>
      <c r="I11">
        <f>G11+H11/8</f>
        <v/>
      </c>
      <c r="J11" s="26">
        <f>F11-I11</f>
        <v/>
      </c>
      <c r="K11" s="162">
        <f>'Merdon Receipts'!F86</f>
        <v/>
      </c>
      <c r="L11">
        <f>I11</f>
        <v/>
      </c>
      <c r="O11" s="179">
        <f>IFERROR((K11+M11)/(L11+N11),0)</f>
        <v/>
      </c>
      <c r="P11" s="26">
        <f>O11*F11</f>
        <v/>
      </c>
    </row>
    <row r="12"/>
    <row r="13">
      <c r="A13" s="181" t="inlineStr">
        <is>
          <t>Total Production</t>
        </is>
      </c>
      <c r="B13" s="54" t="n"/>
      <c r="C13" s="54" t="n"/>
      <c r="D13" s="54" t="n"/>
      <c r="E13" s="54" t="n"/>
      <c r="F13" s="55">
        <f>SUM(F5:F11)</f>
        <v/>
      </c>
      <c r="G13" s="54" t="n"/>
      <c r="H13" s="54" t="n"/>
      <c r="I13" s="54" t="n"/>
      <c r="J13" s="54" t="n"/>
      <c r="K13" s="54" t="n"/>
      <c r="L13" s="54" t="n"/>
      <c r="M13" s="54" t="n"/>
      <c r="N13" s="54" t="n"/>
      <c r="O13" s="54" t="n"/>
      <c r="P13" s="55">
        <f>SUM(P5:P11)</f>
        <v/>
      </c>
      <c r="Q13" s="67" t="inlineStr">
        <is>
          <t>Production value is significantly more, as much less was sold than what was produced</t>
        </is>
      </c>
    </row>
    <row r="14">
      <c r="A14" s="181" t="inlineStr">
        <is>
          <t>Sales of corn (as recorded in accounts)</t>
        </is>
      </c>
      <c r="B14" s="54" t="n"/>
      <c r="C14" s="54" t="n"/>
      <c r="D14" s="54" t="n"/>
      <c r="E14" s="54" t="n"/>
      <c r="F14" s="54">
        <f>SUM(I5:I11)</f>
        <v/>
      </c>
      <c r="G14" s="54" t="n"/>
      <c r="H14" s="54" t="n"/>
      <c r="I14" s="54" t="n"/>
      <c r="J14" s="54" t="n"/>
      <c r="K14" s="54" t="n"/>
      <c r="L14" s="54" t="n"/>
      <c r="M14" s="54" t="n"/>
      <c r="N14" s="54" t="n"/>
      <c r="O14" s="54" t="n"/>
      <c r="P14" s="55">
        <f>SUM(K5:K11,M5:M11)</f>
        <v/>
      </c>
      <c r="Q14" s="54" t="n"/>
    </row>
    <row r="15"/>
    <row r="16"/>
    <row r="17" ht="102" customHeight="1">
      <c r="A17" s="38" t="inlineStr">
        <is>
          <t>Net output</t>
        </is>
      </c>
      <c r="B17" s="182" t="inlineStr">
        <is>
          <t>Gross output</t>
        </is>
      </c>
      <c r="C17" s="183" t="inlineStr">
        <is>
          <t>Seed</t>
        </is>
      </c>
      <c r="F17" t="inlineStr">
        <is>
          <t>tithe</t>
        </is>
      </c>
      <c r="G17" s="184" t="inlineStr">
        <is>
          <t>to manorial servants &amp; livestock</t>
        </is>
      </c>
      <c r="J17" s="182" t="inlineStr">
        <is>
          <t>Output net of tithe &amp; seed &amp; liveries to manorial servants</t>
        </is>
      </c>
      <c r="K17" t="inlineStr">
        <is>
          <t>in stock from last year</t>
        </is>
      </c>
      <c r="L17" s="185" t="inlineStr">
        <is>
          <t xml:space="preserve">Price </t>
        </is>
      </c>
      <c r="M17" s="182" t="inlineStr">
        <is>
          <t>Value of net output</t>
        </is>
      </c>
      <c r="N17" s="182" t="inlineStr">
        <is>
          <t>Value of sales (in "Sale of Corn")</t>
        </is>
      </c>
    </row>
    <row r="18">
      <c r="B18" s="167" t="inlineStr">
        <is>
          <t>qrs</t>
        </is>
      </c>
      <c r="C18" s="167" t="inlineStr">
        <is>
          <t>qrs</t>
        </is>
      </c>
      <c r="D18" t="inlineStr">
        <is>
          <t>bus</t>
        </is>
      </c>
      <c r="E18" t="inlineStr">
        <is>
          <t>qrs</t>
        </is>
      </c>
      <c r="F18" t="inlineStr">
        <is>
          <t>qrs</t>
        </is>
      </c>
      <c r="G18" t="inlineStr">
        <is>
          <t>qrs</t>
        </is>
      </c>
      <c r="H18" t="inlineStr">
        <is>
          <t>bus</t>
        </is>
      </c>
      <c r="I18" s="179" t="inlineStr">
        <is>
          <t>qrs</t>
        </is>
      </c>
      <c r="J18" s="167" t="inlineStr">
        <is>
          <t>qrs</t>
        </is>
      </c>
      <c r="K18" s="179" t="inlineStr">
        <is>
          <t>qrs</t>
        </is>
      </c>
      <c r="L18" s="186" t="inlineStr">
        <is>
          <t>£ per qr</t>
        </is>
      </c>
      <c r="M18" s="167" t="inlineStr">
        <is>
          <t>£</t>
        </is>
      </c>
      <c r="N18" s="167" t="inlineStr">
        <is>
          <t>£</t>
        </is>
      </c>
    </row>
    <row r="19">
      <c r="A19" t="inlineStr">
        <is>
          <t>Net wheat</t>
        </is>
      </c>
      <c r="B19" s="26">
        <f>F5</f>
        <v/>
      </c>
      <c r="C19" t="n">
        <v>54.5</v>
      </c>
      <c r="E19">
        <f>C19+D19/8</f>
        <v/>
      </c>
      <c r="G19" t="n">
        <v>4</v>
      </c>
      <c r="H19" t="n">
        <v>6</v>
      </c>
      <c r="I19" s="179">
        <f>G19+H19/8</f>
        <v/>
      </c>
      <c r="J19" s="26">
        <f>B19-(E19+F19+I19)</f>
        <v/>
      </c>
      <c r="K19" s="179" t="n"/>
      <c r="L19" s="187">
        <f>O5</f>
        <v/>
      </c>
      <c r="M19" s="26">
        <f>L19*J19</f>
        <v/>
      </c>
      <c r="N19" s="26">
        <f>O5*I5</f>
        <v/>
      </c>
    </row>
    <row r="20">
      <c r="A20" t="inlineStr">
        <is>
          <t>Net curall</t>
        </is>
      </c>
      <c r="B20" s="26">
        <f>F6</f>
        <v/>
      </c>
      <c r="E20">
        <f>C20+D20/8</f>
        <v/>
      </c>
      <c r="G20" t="n">
        <v>2</v>
      </c>
      <c r="H20" t="n">
        <v>5</v>
      </c>
      <c r="I20" s="179">
        <f>G20+H20/8</f>
        <v/>
      </c>
      <c r="J20" s="26">
        <f>B20-(E20+F20+I20)</f>
        <v/>
      </c>
      <c r="K20" s="179" t="n"/>
      <c r="L20" s="187">
        <f>O6</f>
        <v/>
      </c>
      <c r="M20" s="26">
        <f>L20*J20</f>
        <v/>
      </c>
      <c r="N20" s="26">
        <f>O6*I6</f>
        <v/>
      </c>
    </row>
    <row r="21">
      <c r="A21" t="inlineStr">
        <is>
          <t>Net barley</t>
        </is>
      </c>
      <c r="B21" s="26">
        <f>F7</f>
        <v/>
      </c>
      <c r="C21" t="n">
        <v>18</v>
      </c>
      <c r="D21" t="n">
        <v>5</v>
      </c>
      <c r="E21">
        <f>C21+D21/8</f>
        <v/>
      </c>
      <c r="G21">
        <f>31.5+5+3+0.5+7</f>
        <v/>
      </c>
      <c r="H21">
        <f>1+2+6+2+6</f>
        <v/>
      </c>
      <c r="I21" s="179">
        <f>G21+H21/8</f>
        <v/>
      </c>
      <c r="J21" s="26">
        <f>B21-(E21+F21+I21)</f>
        <v/>
      </c>
      <c r="K21" s="179" t="n"/>
      <c r="L21" s="187">
        <f>O7</f>
        <v/>
      </c>
      <c r="M21" s="26">
        <f>L21*J21</f>
        <v/>
      </c>
      <c r="N21" s="26">
        <f>O7*I7</f>
        <v/>
      </c>
      <c r="P21" s="188" t="inlineStr">
        <is>
          <t>Think about how to get avoid getting negative value of output by accounting for bought in here</t>
        </is>
      </c>
    </row>
    <row r="22">
      <c r="A22" t="inlineStr">
        <is>
          <t>Net oats</t>
        </is>
      </c>
      <c r="B22" s="26">
        <f>F8</f>
        <v/>
      </c>
      <c r="C22" t="n">
        <v>97</v>
      </c>
      <c r="D22" t="n">
        <v>5</v>
      </c>
      <c r="E22">
        <f>C22+D22/8</f>
        <v/>
      </c>
      <c r="G22">
        <f>28+9+26+2</f>
        <v/>
      </c>
      <c r="H22">
        <f>1+2</f>
        <v/>
      </c>
      <c r="I22" s="179">
        <f>G22+H22/8</f>
        <v/>
      </c>
      <c r="J22" s="26">
        <f>B22-(E22+F22+I22)</f>
        <v/>
      </c>
      <c r="K22" s="179" t="n"/>
      <c r="L22" s="187">
        <f>O8</f>
        <v/>
      </c>
      <c r="M22" s="26">
        <f>L22*J22</f>
        <v/>
      </c>
      <c r="N22" s="26">
        <f>O8*I8</f>
        <v/>
      </c>
    </row>
    <row r="23">
      <c r="A23" t="inlineStr">
        <is>
          <t>Net peas</t>
        </is>
      </c>
      <c r="B23" s="26">
        <f>F9</f>
        <v/>
      </c>
      <c r="E23">
        <f>C23+D23/8</f>
        <v/>
      </c>
      <c r="I23" s="179">
        <f>G23+H23/8</f>
        <v/>
      </c>
      <c r="J23" s="26">
        <f>B23-(E23+F23+I23)</f>
        <v/>
      </c>
      <c r="K23" s="179" t="n"/>
      <c r="L23" s="187">
        <f>O10</f>
        <v/>
      </c>
      <c r="M23" s="26">
        <f>L23*J23</f>
        <v/>
      </c>
      <c r="N23" s="26">
        <f>O10*I10</f>
        <v/>
      </c>
    </row>
    <row r="24">
      <c r="A24" t="inlineStr">
        <is>
          <t>Net vetches</t>
        </is>
      </c>
      <c r="B24" s="26">
        <f>F10</f>
        <v/>
      </c>
      <c r="E24">
        <f>C24+D24/8</f>
        <v/>
      </c>
      <c r="I24" s="179">
        <f>G24+H24/8</f>
        <v/>
      </c>
      <c r="J24" s="26">
        <f>B24-(E24+F24+I24)</f>
        <v/>
      </c>
      <c r="K24" s="179" t="n"/>
      <c r="L24" s="187">
        <f>O11</f>
        <v/>
      </c>
      <c r="M24" s="26">
        <f>L24*J24</f>
        <v/>
      </c>
      <c r="N24" s="26">
        <f>O11*I11</f>
        <v/>
      </c>
    </row>
    <row r="25">
      <c r="A25" s="181" t="inlineStr">
        <is>
          <t>Total</t>
        </is>
      </c>
      <c r="B25" s="55">
        <f>SUM(B19:B24)</f>
        <v/>
      </c>
      <c r="C25" s="54" t="n"/>
      <c r="D25" s="54" t="n"/>
      <c r="E25" s="54">
        <f>SUM(E19:E24)</f>
        <v/>
      </c>
      <c r="F25" s="54" t="n"/>
      <c r="G25" s="54" t="n"/>
      <c r="H25" s="54" t="n"/>
      <c r="I25" s="54" t="n"/>
      <c r="J25" s="55">
        <f>SUM(J19:J24)</f>
        <v/>
      </c>
      <c r="K25" s="54" t="n"/>
      <c r="L25" s="54" t="n"/>
      <c r="M25" s="55">
        <f>SUM(M19:M24)</f>
        <v/>
      </c>
      <c r="N25" s="55">
        <f>SUM(N19:N24)</f>
        <v/>
      </c>
    </row>
  </sheetData>
  <mergeCells count="5">
    <mergeCell ref="B3:C3"/>
    <mergeCell ref="C17:E17"/>
    <mergeCell ref="G17:I17"/>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98"/>
  <sheetViews>
    <sheetView topLeftCell="A1" workbookViewId="0">
      <selection activeCell="A1" sqref="A1"/>
    </sheetView>
  </sheetViews>
  <sheetFormatPr baseColWidth="8" defaultRowHeight="15"/>
  <cols>
    <col width="34.83203125" customWidth="1" min="1" max="1"/>
    <col width="11.6640625" customWidth="1" min="14" max="14"/>
    <col width="10.83203125" customWidth="1" min="17" max="17"/>
    <col width="15" customWidth="1" min="18" max="18"/>
    <col width="10.83203125" customWidth="1" min="20" max="20"/>
  </cols>
  <sheetData>
    <row r="1">
      <c r="A1" s="8" t="inlineStr">
        <is>
          <t>EAST KNOYLE STOCK ACCOUNT</t>
        </is>
      </c>
      <c r="B1" s="15" t="n"/>
      <c r="C1" s="15" t="n"/>
      <c r="D1" s="15" t="n"/>
      <c r="E1" s="15" t="n"/>
      <c r="F1" s="15" t="n"/>
      <c r="G1" s="15" t="n"/>
      <c r="H1" s="15" t="n"/>
      <c r="I1" s="15" t="n"/>
      <c r="J1" s="15" t="n"/>
      <c r="K1" s="15" t="n"/>
      <c r="L1" s="133" t="n"/>
      <c r="M1" s="133" t="n"/>
      <c r="N1" s="15" t="n"/>
      <c r="O1" s="15" t="n"/>
      <c r="P1" s="15" t="n"/>
      <c r="Q1" s="133" t="n"/>
      <c r="R1" s="133" t="n"/>
      <c r="S1" s="133" t="n"/>
      <c r="T1" s="133" t="n"/>
      <c r="U1" s="15" t="n"/>
    </row>
    <row r="2">
      <c r="A2" s="22" t="n"/>
      <c r="B2" s="15" t="n"/>
      <c r="C2" s="15" t="n"/>
      <c r="D2" s="15" t="n"/>
      <c r="E2" s="15" t="n"/>
      <c r="F2" s="15" t="n"/>
      <c r="G2" s="15" t="n"/>
      <c r="H2" s="15" t="n"/>
      <c r="I2" s="15" t="n"/>
      <c r="J2" s="15" t="n"/>
      <c r="K2" s="15" t="n"/>
      <c r="L2" s="133" t="n"/>
      <c r="M2" s="133" t="n"/>
      <c r="N2" s="15" t="n"/>
      <c r="O2" s="15" t="n"/>
      <c r="P2" s="15" t="n"/>
      <c r="Q2" s="133" t="n"/>
      <c r="R2" s="133" t="n"/>
      <c r="S2" s="133" t="n"/>
      <c r="T2" s="133" t="n"/>
      <c r="U2" s="15" t="n"/>
    </row>
    <row r="3" ht="51" customHeight="1">
      <c r="A3" s="189" t="inlineStr">
        <is>
          <t>Livestock</t>
        </is>
      </c>
      <c r="B3" s="190" t="inlineStr">
        <is>
          <t>Inherited stock</t>
        </is>
      </c>
      <c r="C3" s="190" t="inlineStr">
        <is>
          <t>Bought</t>
        </is>
      </c>
      <c r="D3" s="190" t="inlineStr">
        <is>
          <t>Produced</t>
        </is>
      </c>
      <c r="E3" s="8" t="inlineStr">
        <is>
          <t>strays</t>
        </is>
      </c>
      <c r="F3" s="8" t="inlineStr">
        <is>
          <t>herbage</t>
        </is>
      </c>
      <c r="G3" s="190" t="inlineStr">
        <is>
          <t>sold</t>
        </is>
      </c>
      <c r="H3" s="190" t="inlineStr">
        <is>
          <t>in murrain</t>
        </is>
      </c>
      <c r="I3" s="190" t="inlineStr">
        <is>
          <t>accounted for elsewhere</t>
        </is>
      </c>
      <c r="J3" s="190" t="inlineStr">
        <is>
          <t>End-period  stock</t>
        </is>
      </c>
      <c r="K3" s="190" t="inlineStr">
        <is>
          <t>cross-check</t>
        </is>
      </c>
      <c r="L3" s="191" t="inlineStr">
        <is>
          <t>price 1</t>
        </is>
      </c>
      <c r="M3" s="191" t="inlineStr">
        <is>
          <t>units 1</t>
        </is>
      </c>
      <c r="N3" s="190" t="inlineStr">
        <is>
          <t>price 2</t>
        </is>
      </c>
      <c r="O3" s="190" t="inlineStr">
        <is>
          <t>units 2</t>
        </is>
      </c>
      <c r="P3" s="190" t="inlineStr">
        <is>
          <t>Weight (weys)</t>
        </is>
      </c>
      <c r="Q3" s="191" t="inlineStr">
        <is>
          <t>Unit price (£)</t>
        </is>
      </c>
      <c r="R3" s="192" t="inlineStr">
        <is>
          <t>Value of production (£) at sales prices</t>
        </is>
      </c>
      <c r="S3" s="192" t="inlineStr">
        <is>
          <t>Value of stock at sales prices</t>
        </is>
      </c>
      <c r="T3" s="192" t="inlineStr">
        <is>
          <t>Sales in (£)</t>
        </is>
      </c>
      <c r="U3" s="190" t="inlineStr">
        <is>
          <t>Details</t>
        </is>
      </c>
    </row>
    <row r="4" ht="17" customHeight="1">
      <c r="A4" s="22" t="inlineStr">
        <is>
          <t>Cart-horses</t>
        </is>
      </c>
      <c r="B4" s="15" t="n">
        <v>4</v>
      </c>
      <c r="C4" s="15" t="n"/>
      <c r="D4" s="15" t="n"/>
      <c r="E4" s="15" t="n"/>
      <c r="F4" s="15" t="n"/>
      <c r="G4" s="15" t="n"/>
      <c r="H4" s="15" t="n"/>
      <c r="I4" s="15" t="n"/>
      <c r="J4" s="15" t="n">
        <v>4</v>
      </c>
      <c r="K4" s="190">
        <f>B4+C4+D4+E4-F4-G4-H4-I4</f>
        <v/>
      </c>
      <c r="Q4" s="133">
        <f>IFERROR((L4+N4)/(M4+O4),"")</f>
        <v/>
      </c>
      <c r="R4" s="133">
        <f>IFERROR(D4*Q4,"")</f>
        <v/>
      </c>
      <c r="S4" s="133" t="n"/>
      <c r="T4" s="133">
        <f>IFERROR(Q4*G4,"")</f>
        <v/>
      </c>
      <c r="U4" s="15" t="n"/>
    </row>
    <row r="5" ht="17" customHeight="1">
      <c r="A5" s="22" t="inlineStr">
        <is>
          <t>Mares</t>
        </is>
      </c>
      <c r="B5" s="15" t="n"/>
      <c r="C5" s="15" t="n"/>
      <c r="D5" s="15" t="n"/>
      <c r="E5" s="15" t="n"/>
      <c r="F5" s="15" t="n"/>
      <c r="G5" s="15" t="n"/>
      <c r="H5" s="15" t="n"/>
      <c r="I5" s="15" t="n"/>
      <c r="J5" s="15" t="n"/>
      <c r="K5" s="190">
        <f>B5+C5+D5+E5-F5-G5-H5-I5</f>
        <v/>
      </c>
      <c r="L5" s="191" t="n"/>
      <c r="M5" s="191" t="n"/>
      <c r="N5" s="190" t="n"/>
      <c r="O5" s="190" t="n"/>
      <c r="P5" s="190" t="n"/>
      <c r="Q5" s="133">
        <f>IFERROR((L5+N5)/(M5+O5),"")</f>
        <v/>
      </c>
      <c r="R5" s="133">
        <f>IFERROR(D5*Q5,"")</f>
        <v/>
      </c>
      <c r="S5" s="133" t="n"/>
      <c r="T5" s="133">
        <f>IFERROR(Q5*G5,"")</f>
        <v/>
      </c>
      <c r="U5" s="15" t="n"/>
    </row>
    <row r="6">
      <c r="A6" s="15" t="inlineStr">
        <is>
          <t>Plough horses</t>
        </is>
      </c>
      <c r="B6" s="15" t="n">
        <v>11</v>
      </c>
      <c r="C6" s="15" t="n">
        <v>2</v>
      </c>
      <c r="D6" s="15" t="n">
        <v>1</v>
      </c>
      <c r="E6" s="15" t="n"/>
      <c r="F6" s="15" t="n"/>
      <c r="G6" s="15" t="n">
        <v>2</v>
      </c>
      <c r="H6" s="15" t="n"/>
      <c r="I6" s="15" t="n"/>
      <c r="J6" s="15" t="n">
        <v>12</v>
      </c>
      <c r="K6" s="190">
        <f>B6+C6+D6+E6-F6-G6-H6-I6</f>
        <v/>
      </c>
      <c r="L6" s="191">
        <f>'Merdon Receipts'!F51</f>
        <v/>
      </c>
      <c r="M6" s="191" t="n">
        <v>2</v>
      </c>
      <c r="N6" s="190" t="n"/>
      <c r="O6" s="190" t="n"/>
      <c r="P6" s="190" t="n"/>
      <c r="Q6" s="133">
        <f>IFERROR((L6+N6)/(M6+O6),"")</f>
        <v/>
      </c>
      <c r="R6" s="133">
        <f>IFERROR(D6*Q6,"")</f>
        <v/>
      </c>
      <c r="S6" s="133">
        <f>Q6*K6</f>
        <v/>
      </c>
      <c r="T6" s="133">
        <f>IFERROR(Q6*G6,"")</f>
        <v/>
      </c>
      <c r="U6" s="15" t="n"/>
    </row>
    <row r="7">
      <c r="A7" s="15" t="inlineStr">
        <is>
          <t>Colts (2 years)</t>
        </is>
      </c>
      <c r="B7" s="15" t="n"/>
      <c r="C7" s="15" t="n"/>
      <c r="D7" s="15" t="n"/>
      <c r="E7" s="15" t="n"/>
      <c r="F7" s="15" t="n"/>
      <c r="G7" s="15" t="n"/>
      <c r="H7" s="15" t="n"/>
      <c r="I7" s="15" t="n"/>
      <c r="J7" s="15" t="n"/>
      <c r="K7" s="190">
        <f>B7+C7+D7+E7-F7-G7-H7-I7</f>
        <v/>
      </c>
      <c r="L7" s="191" t="n"/>
      <c r="M7" s="191" t="n"/>
      <c r="N7" s="190" t="n"/>
      <c r="O7" s="190" t="n"/>
      <c r="P7" s="190" t="n"/>
      <c r="Q7" s="133">
        <f>IFERROR((L7+N7)/(M7+O7),"")</f>
        <v/>
      </c>
      <c r="R7" s="133">
        <f>IFERROR(D7*Q7,"")</f>
        <v/>
      </c>
      <c r="S7" s="133" t="n"/>
      <c r="T7" s="133">
        <f>IFERROR(Q7*G7,"")</f>
        <v/>
      </c>
      <c r="U7" s="15" t="n"/>
    </row>
    <row r="8">
      <c r="A8" s="15" t="inlineStr">
        <is>
          <t>Colts (2 years)</t>
        </is>
      </c>
      <c r="B8" s="15" t="n"/>
      <c r="C8" s="15" t="n"/>
      <c r="D8" s="15" t="n"/>
      <c r="E8" s="15" t="n"/>
      <c r="F8" s="15" t="n"/>
      <c r="G8" s="15" t="n"/>
      <c r="H8" s="15" t="n"/>
      <c r="I8" s="15" t="n"/>
      <c r="J8" s="15" t="n"/>
      <c r="K8" s="190">
        <f>B8+C8+D8+E8-F8-G8-H8-I8</f>
        <v/>
      </c>
      <c r="L8" s="191" t="n"/>
      <c r="M8" s="191" t="n"/>
      <c r="N8" s="190" t="n"/>
      <c r="O8" s="190" t="n"/>
      <c r="P8" s="190" t="n"/>
      <c r="Q8" s="133">
        <f>IFERROR((L8+N8)/(M8+O8),"")</f>
        <v/>
      </c>
      <c r="R8" s="133">
        <f>IFERROR(D8*Q8,"")</f>
        <v/>
      </c>
      <c r="S8" s="133" t="n"/>
      <c r="T8" s="133">
        <f>IFERROR(Q8*G8,"")</f>
        <v/>
      </c>
      <c r="U8" s="15" t="n"/>
    </row>
    <row r="9">
      <c r="A9" s="15" t="inlineStr">
        <is>
          <t>Colts (1 year)</t>
        </is>
      </c>
      <c r="B9" s="15" t="n"/>
      <c r="C9" s="15" t="n"/>
      <c r="D9" s="15" t="n"/>
      <c r="E9" s="15" t="n"/>
      <c r="F9" s="15" t="n"/>
      <c r="G9" s="15" t="n"/>
      <c r="H9" s="15" t="n"/>
      <c r="I9" s="15" t="n"/>
      <c r="J9" s="15" t="n"/>
      <c r="K9" s="190">
        <f>B9+C9+D9+E9-F9-G9-H9-I9</f>
        <v/>
      </c>
      <c r="L9" s="191" t="n"/>
      <c r="M9" s="191" t="n"/>
      <c r="N9" s="190" t="n"/>
      <c r="O9" s="190" t="n"/>
      <c r="P9" s="190" t="n"/>
      <c r="Q9" s="133">
        <f>IFERROR((L9+N9)/(M9+O9),"")</f>
        <v/>
      </c>
      <c r="R9" s="133">
        <f>IFERROR(D9*Q9,"")</f>
        <v/>
      </c>
      <c r="S9" s="133" t="n"/>
      <c r="T9" s="133">
        <f>IFERROR(Q9*G9,"")</f>
        <v/>
      </c>
      <c r="U9" s="15" t="n"/>
    </row>
    <row r="10">
      <c r="A10" s="15" t="inlineStr">
        <is>
          <t>Foals</t>
        </is>
      </c>
      <c r="B10" s="15" t="n"/>
      <c r="C10" s="15" t="n"/>
      <c r="D10" s="15" t="n"/>
      <c r="E10" s="15" t="n"/>
      <c r="F10" s="15" t="n"/>
      <c r="G10" s="15" t="n"/>
      <c r="H10" s="15" t="n"/>
      <c r="I10" s="15" t="n"/>
      <c r="J10" s="15" t="n"/>
      <c r="K10" s="190">
        <f>B10+C10+D10+E10-F10-G10-H10-I10</f>
        <v/>
      </c>
      <c r="L10" s="191" t="n"/>
      <c r="M10" s="191" t="n"/>
      <c r="N10" s="190" t="n"/>
      <c r="O10" s="190" t="n"/>
      <c r="P10" s="190" t="n"/>
      <c r="Q10" s="133">
        <f>IFERROR((L10+N10)/(M10+O10),"")</f>
        <v/>
      </c>
      <c r="R10" s="133">
        <f>IFERROR(D10*Q10,"")</f>
        <v/>
      </c>
      <c r="S10" s="133" t="n"/>
      <c r="T10" s="133">
        <f>IFERROR(Q10*G10,"")</f>
        <v/>
      </c>
      <c r="U10" s="15" t="n"/>
    </row>
    <row r="11">
      <c r="A11" s="15" t="inlineStr">
        <is>
          <t>Oxen</t>
        </is>
      </c>
      <c r="B11" s="15" t="n">
        <v>65</v>
      </c>
      <c r="C11" s="15" t="n">
        <v>5</v>
      </c>
      <c r="D11" s="15" t="n">
        <v>5</v>
      </c>
      <c r="E11" s="15" t="n"/>
      <c r="F11" s="15" t="n"/>
      <c r="G11" s="15" t="n">
        <v>13</v>
      </c>
      <c r="H11" s="15" t="n">
        <v>3</v>
      </c>
      <c r="I11" s="15" t="n"/>
      <c r="J11" s="15" t="n">
        <v>59</v>
      </c>
      <c r="K11" s="190">
        <f>B11+C11+D11+E11-F11-G11-H11-I11</f>
        <v/>
      </c>
      <c r="L11" s="193">
        <f>'Merdon Receipts'!F52</f>
        <v/>
      </c>
      <c r="M11" s="193" t="n">
        <v>12</v>
      </c>
      <c r="N11" s="194">
        <f>'Merdon Receipts'!F62</f>
        <v/>
      </c>
      <c r="O11" s="195" t="n">
        <v>1</v>
      </c>
      <c r="P11" s="195" t="n"/>
      <c r="Q11" s="133">
        <f>IFERROR((L11+N11)/(M11+O11),"")</f>
        <v/>
      </c>
      <c r="R11" s="133">
        <f>IFERROR(D11*Q11,"")</f>
        <v/>
      </c>
      <c r="S11" s="133">
        <f>Q11*K11</f>
        <v/>
      </c>
      <c r="T11" s="133">
        <f>IFERROR(Q11*G11,"")</f>
        <v/>
      </c>
      <c r="U11" s="15" t="n"/>
    </row>
    <row r="12">
      <c r="A12" s="15" t="inlineStr">
        <is>
          <t>Bulls</t>
        </is>
      </c>
      <c r="B12" s="15" t="n">
        <v>1</v>
      </c>
      <c r="C12" s="15" t="n"/>
      <c r="D12" s="15" t="n"/>
      <c r="E12" s="15" t="n"/>
      <c r="F12" s="15" t="n"/>
      <c r="G12" s="15" t="n"/>
      <c r="H12" s="15" t="n"/>
      <c r="I12" s="15" t="n"/>
      <c r="J12" s="15" t="n">
        <v>1</v>
      </c>
      <c r="K12" s="190">
        <f>B12+C12+D12+E12-F12-G12-H12-I12</f>
        <v/>
      </c>
      <c r="L12" s="193" t="n"/>
      <c r="M12" s="193" t="n"/>
      <c r="N12" s="195" t="n"/>
      <c r="O12" s="195" t="n"/>
      <c r="P12" s="195" t="n"/>
      <c r="Q12" s="133">
        <f>IFERROR((L12+N12)/(M12+O12),"")</f>
        <v/>
      </c>
      <c r="R12" s="133">
        <f>IFERROR(D12*Q12,"")</f>
        <v/>
      </c>
      <c r="S12" s="133" t="n"/>
      <c r="T12" s="133">
        <f>IFERROR(Q12*G12,"")</f>
        <v/>
      </c>
      <c r="U12" s="15" t="n"/>
    </row>
    <row r="13">
      <c r="A13" s="15" t="inlineStr">
        <is>
          <t>Cows</t>
        </is>
      </c>
      <c r="B13" s="15" t="n">
        <v>23</v>
      </c>
      <c r="C13" s="15" t="n">
        <v>3</v>
      </c>
      <c r="D13" s="15" t="n">
        <v>5</v>
      </c>
      <c r="E13" s="15" t="n"/>
      <c r="F13" s="15" t="n"/>
      <c r="G13" s="15" t="n">
        <v>5</v>
      </c>
      <c r="H13" s="15" t="n"/>
      <c r="I13" s="15" t="n"/>
      <c r="J13" s="15" t="n">
        <v>26</v>
      </c>
      <c r="K13" s="190">
        <f>B13+C13+D13+E13-F13-G13-H13-I13</f>
        <v/>
      </c>
      <c r="L13" s="193">
        <f>'Merdon Receipts'!F53</f>
        <v/>
      </c>
      <c r="M13" s="193" t="n">
        <v>5</v>
      </c>
      <c r="N13" s="195" t="n"/>
      <c r="O13" s="195" t="n"/>
      <c r="P13" s="195" t="n"/>
      <c r="Q13" s="133">
        <f>IFERROR((L13+N13)/(M13+O13),"")</f>
        <v/>
      </c>
      <c r="R13" s="133">
        <f>IFERROR(D13*Q13,"")</f>
        <v/>
      </c>
      <c r="S13" s="133">
        <f>Q13*K13</f>
        <v/>
      </c>
      <c r="T13" s="133">
        <f>IFERROR(Q13*G13,"")</f>
        <v/>
      </c>
      <c r="U13" s="15" t="n"/>
    </row>
    <row r="14">
      <c r="A14" s="15" t="inlineStr">
        <is>
          <t>Steers</t>
        </is>
      </c>
      <c r="B14" s="15" t="n">
        <v>8</v>
      </c>
      <c r="C14" s="15" t="n"/>
      <c r="D14" s="15" t="n"/>
      <c r="E14" s="15" t="n"/>
      <c r="F14" s="15" t="n"/>
      <c r="G14" s="15" t="n"/>
      <c r="H14" s="15" t="n"/>
      <c r="I14" s="15" t="n">
        <v>8</v>
      </c>
      <c r="J14" s="15" t="n">
        <v>0</v>
      </c>
      <c r="K14" s="190">
        <f>B14+C14+D14+E14-F14-G14-H14-I14</f>
        <v/>
      </c>
      <c r="L14" s="193" t="n"/>
      <c r="M14" s="193" t="n"/>
      <c r="N14" s="195" t="n"/>
      <c r="O14" s="195" t="n"/>
      <c r="P14" s="195" t="n"/>
      <c r="Q14" s="133">
        <f>IFERROR((L14+N14)/(M14+O14),"")</f>
        <v/>
      </c>
      <c r="R14" s="133">
        <f>IFERROR(D14*Q14,"")</f>
        <v/>
      </c>
      <c r="S14" s="133" t="n"/>
      <c r="T14" s="133">
        <f>IFERROR(Q14*G14,"")</f>
        <v/>
      </c>
      <c r="U14" s="15" t="n"/>
    </row>
    <row r="15">
      <c r="A15" s="15" t="inlineStr">
        <is>
          <t>Bullocks</t>
        </is>
      </c>
      <c r="B15" s="15" t="n">
        <v>9</v>
      </c>
      <c r="C15" s="15" t="n"/>
      <c r="D15" s="15" t="n"/>
      <c r="E15" s="15" t="n"/>
      <c r="F15" s="15" t="n"/>
      <c r="G15" s="15" t="n"/>
      <c r="H15" s="15" t="n"/>
      <c r="I15" s="15" t="n"/>
      <c r="J15" s="15" t="n">
        <v>9</v>
      </c>
      <c r="K15" s="190">
        <f>B15+C15+D15+E15-F15-G15-H15-I15</f>
        <v/>
      </c>
      <c r="L15" s="193" t="n"/>
      <c r="M15" s="193" t="n"/>
      <c r="N15" s="195" t="n"/>
      <c r="O15" s="195" t="n"/>
      <c r="P15" s="195" t="n"/>
      <c r="Q15" s="133">
        <f>IFERROR((L15+N15)/(M15+O15),"")</f>
        <v/>
      </c>
      <c r="R15" s="133">
        <f>IFERROR(D15*Q15,"")</f>
        <v/>
      </c>
      <c r="S15" s="133" t="n"/>
      <c r="T15" s="133">
        <f>IFERROR(Q15*G15,"")</f>
        <v/>
      </c>
      <c r="U15" s="15" t="n"/>
    </row>
    <row r="16">
      <c r="A16" s="15" t="inlineStr">
        <is>
          <t>Yearlings</t>
        </is>
      </c>
      <c r="B16" s="15" t="n">
        <v>9</v>
      </c>
      <c r="C16" s="15" t="n"/>
      <c r="D16" s="15" t="n"/>
      <c r="E16" s="15" t="n"/>
      <c r="F16" s="15" t="n"/>
      <c r="G16" s="15" t="n"/>
      <c r="H16" s="15" t="n"/>
      <c r="I16" s="15" t="n"/>
      <c r="J16" s="15" t="n">
        <v>9</v>
      </c>
      <c r="K16" s="190">
        <f>B16+C16+D16+E16-F16-G16-H16-I16</f>
        <v/>
      </c>
      <c r="L16" s="193" t="n"/>
      <c r="M16" s="193" t="n"/>
      <c r="N16" s="195" t="n"/>
      <c r="O16" s="195" t="n"/>
      <c r="P16" s="195" t="n"/>
      <c r="Q16" s="133">
        <f>IFERROR((L16+N16)/(M16+O16),"")</f>
        <v/>
      </c>
      <c r="R16" s="133">
        <f>IFERROR(D16*Q16,"")</f>
        <v/>
      </c>
      <c r="S16" s="133" t="n"/>
      <c r="T16" s="133">
        <f>IFERROR(Q16*G16,"")</f>
        <v/>
      </c>
      <c r="U16" s="15" t="n"/>
    </row>
    <row r="17">
      <c r="A17" s="15" t="inlineStr">
        <is>
          <t>Calves</t>
        </is>
      </c>
      <c r="B17" s="15" t="n"/>
      <c r="C17" s="15" t="n">
        <v>2</v>
      </c>
      <c r="D17" s="15" t="n">
        <v>17</v>
      </c>
      <c r="E17" s="15" t="n"/>
      <c r="F17" s="15" t="n"/>
      <c r="G17" s="15" t="n">
        <v>5</v>
      </c>
      <c r="H17" s="15" t="n">
        <v>2</v>
      </c>
      <c r="I17" s="15" t="n">
        <v>2</v>
      </c>
      <c r="J17" s="15" t="n">
        <v>10</v>
      </c>
      <c r="K17" s="190">
        <f>B17+C17+D17+E17-F17-G17-H17-I17</f>
        <v/>
      </c>
      <c r="L17" s="193">
        <f>'Merdon Receipts'!F54</f>
        <v/>
      </c>
      <c r="M17" s="193" t="n">
        <v>5</v>
      </c>
      <c r="N17" s="195" t="n"/>
      <c r="O17" s="195" t="n"/>
      <c r="P17" s="195" t="n"/>
      <c r="Q17" s="133">
        <f>IFERROR((L17+N17)/(M17+O17),"")</f>
        <v/>
      </c>
      <c r="R17" s="133">
        <f>IFERROR(D17*Q17,"")</f>
        <v/>
      </c>
      <c r="S17" s="133">
        <f>Q17*K17</f>
        <v/>
      </c>
      <c r="T17" s="133">
        <f>IFERROR(Q17*G17,"")</f>
        <v/>
      </c>
      <c r="U17" s="15" t="inlineStr">
        <is>
          <t>accounted for elsewhere is tithe</t>
        </is>
      </c>
    </row>
    <row r="18">
      <c r="A18" s="15" t="inlineStr">
        <is>
          <t>Wethers</t>
        </is>
      </c>
      <c r="B18" s="15" t="n">
        <v>166</v>
      </c>
      <c r="C18" s="15" t="n"/>
      <c r="D18" s="15" t="n">
        <v>37</v>
      </c>
      <c r="E18" s="15" t="n"/>
      <c r="F18" s="15" t="n"/>
      <c r="G18" s="15" t="n">
        <v>21</v>
      </c>
      <c r="H18" s="15" t="n">
        <v>11</v>
      </c>
      <c r="I18" s="15" t="n"/>
      <c r="J18" s="15" t="n">
        <v>171</v>
      </c>
      <c r="K18" s="190">
        <f>B18+C18+D18+E18-F18-G18-H18-I18</f>
        <v/>
      </c>
      <c r="L18" s="193">
        <f>'Merdon Receipts'!F55*(20/22)</f>
        <v/>
      </c>
      <c r="M18" s="193" t="n">
        <v>21</v>
      </c>
      <c r="N18" s="195" t="n"/>
      <c r="O18" s="195" t="n"/>
      <c r="P18" s="195" t="n"/>
      <c r="Q18" s="133">
        <f>IFERROR((L18+N18)/(M18+O18),"")</f>
        <v/>
      </c>
      <c r="R18" s="133">
        <f>IFERROR(D18*Q18,"")</f>
        <v/>
      </c>
      <c r="S18" s="133">
        <f>Q18*K18</f>
        <v/>
      </c>
      <c r="T18" s="133">
        <f>IFERROR(Q18*G18,"")</f>
        <v/>
      </c>
      <c r="U18" s="15" t="inlineStr">
        <is>
          <t>price in receipts includes 1 ram excuded by assumign same price</t>
        </is>
      </c>
    </row>
    <row r="19">
      <c r="A19" s="15" t="inlineStr">
        <is>
          <t>Rams</t>
        </is>
      </c>
      <c r="B19" s="15" t="n">
        <v>12</v>
      </c>
      <c r="C19" s="15" t="n"/>
      <c r="D19" s="15" t="n">
        <v>5</v>
      </c>
      <c r="E19" s="15" t="n"/>
      <c r="F19" s="15" t="n"/>
      <c r="G19" s="15" t="n">
        <v>3</v>
      </c>
      <c r="H19" s="15" t="n"/>
      <c r="I19" s="15" t="n"/>
      <c r="J19" s="15" t="n">
        <v>14</v>
      </c>
      <c r="K19" s="190">
        <f>B19+C19+D19+E19-F19-G19-H19-I19</f>
        <v/>
      </c>
      <c r="L19" s="193">
        <f>'Merdon Receipts'!F56*(2/26)</f>
        <v/>
      </c>
      <c r="M19" s="193" t="n">
        <v>2</v>
      </c>
      <c r="N19" s="195">
        <f>'Merdon Receipts'!F55*(1/22)</f>
        <v/>
      </c>
      <c r="O19" s="195" t="n">
        <v>1</v>
      </c>
      <c r="P19" s="195" t="n"/>
      <c r="Q19" s="133">
        <f>IFERROR((L19+N19)/(M19+O19),"")</f>
        <v/>
      </c>
      <c r="R19" s="133">
        <f>IFERROR(D19*Q19,"")</f>
        <v/>
      </c>
      <c r="S19" s="133">
        <f>Q19*K19</f>
        <v/>
      </c>
      <c r="T19" s="133">
        <f>IFERROR(Q19*G19,"")</f>
        <v/>
      </c>
      <c r="U19" s="15" t="inlineStr">
        <is>
          <t>price in reciepts includes ewes which are excluded by assuming same unit price</t>
        </is>
      </c>
    </row>
    <row r="20">
      <c r="A20" s="15" t="inlineStr">
        <is>
          <t>Ewes</t>
        </is>
      </c>
      <c r="B20" s="15" t="n">
        <v>238</v>
      </c>
      <c r="C20" s="15" t="n"/>
      <c r="D20" s="15" t="n">
        <v>55</v>
      </c>
      <c r="E20" s="15" t="n"/>
      <c r="F20" s="15" t="n"/>
      <c r="G20" s="15" t="n">
        <v>24</v>
      </c>
      <c r="H20" s="15" t="n">
        <v>8</v>
      </c>
      <c r="I20" s="15" t="n"/>
      <c r="J20" s="15" t="n">
        <v>261</v>
      </c>
      <c r="K20" s="190">
        <f>B20+C20+D20+E20-F20-G20-H20-I20</f>
        <v/>
      </c>
      <c r="L20" s="193">
        <f>'Merdon Receipts'!F56*(20/22)</f>
        <v/>
      </c>
      <c r="M20" s="193" t="n">
        <v>24</v>
      </c>
      <c r="N20" s="195" t="n"/>
      <c r="O20" s="195" t="n"/>
      <c r="P20" s="195" t="n"/>
      <c r="Q20" s="133">
        <f>IFERROR((L20+N20)/(M20+O20),"")</f>
        <v/>
      </c>
      <c r="R20" s="133">
        <f>IFERROR(D20*Q20,"")</f>
        <v/>
      </c>
      <c r="S20" s="133">
        <f>Q20*K20</f>
        <v/>
      </c>
      <c r="T20" s="133">
        <f>IFERROR(Q20*G20,"")</f>
        <v/>
      </c>
      <c r="U20" s="15" t="inlineStr">
        <is>
          <t>price in reciepts includes rams which are excluded by assuming same unit price</t>
        </is>
      </c>
    </row>
    <row r="21">
      <c r="A21" s="15" t="inlineStr">
        <is>
          <t>Hoggs</t>
        </is>
      </c>
      <c r="B21" s="15" t="n">
        <v>99</v>
      </c>
      <c r="C21" s="15" t="n"/>
      <c r="D21" s="15" t="n"/>
      <c r="E21" s="15" t="n"/>
      <c r="F21" s="15" t="n"/>
      <c r="G21" s="15" t="n"/>
      <c r="H21" s="15" t="n">
        <v>3</v>
      </c>
      <c r="I21" s="15" t="n">
        <v>96</v>
      </c>
      <c r="J21" s="15" t="n">
        <v>0</v>
      </c>
      <c r="K21" s="190">
        <f>B21+C21+D21+E21-F21-G21-H21-I21</f>
        <v/>
      </c>
      <c r="L21" s="193" t="n"/>
      <c r="M21" s="193" t="n"/>
      <c r="N21" s="195" t="n"/>
      <c r="O21" s="195" t="n"/>
      <c r="P21" s="195" t="n"/>
      <c r="Q21" s="133">
        <f>IFERROR((L21+N21)/(M21+O21),"")</f>
        <v/>
      </c>
      <c r="R21" s="133">
        <f>IFERROR(D21*Q21,"")</f>
        <v/>
      </c>
      <c r="S21" s="133" t="n"/>
      <c r="T21" s="133">
        <f>IFERROR(Q21*G21,"")</f>
        <v/>
      </c>
      <c r="U21" s="15" t="n"/>
    </row>
    <row r="22">
      <c r="A22" s="15" t="inlineStr">
        <is>
          <t>Lambs</t>
        </is>
      </c>
      <c r="B22" s="15" t="n"/>
      <c r="C22" s="15" t="n"/>
      <c r="D22" s="15" t="n">
        <v>202</v>
      </c>
      <c r="E22" s="15" t="n"/>
      <c r="F22" s="15" t="n"/>
      <c r="G22" s="15" t="n">
        <v>37</v>
      </c>
      <c r="H22" s="15" t="n">
        <v>18</v>
      </c>
      <c r="I22" s="15" t="n">
        <v>22</v>
      </c>
      <c r="J22" s="15" t="n">
        <v>125</v>
      </c>
      <c r="K22" s="190">
        <f>B22+C22+D22+E22-F22-G22-H22-I22</f>
        <v/>
      </c>
      <c r="L22" s="193">
        <f>'Merdon Receipts'!F57</f>
        <v/>
      </c>
      <c r="M22" s="193" t="n">
        <v>34</v>
      </c>
      <c r="N22" s="195" t="n"/>
      <c r="O22" s="195" t="n"/>
      <c r="P22" s="195" t="n"/>
      <c r="Q22" s="133">
        <f>IFERROR((L22+N22)/(M22+O22),"")</f>
        <v/>
      </c>
      <c r="R22" s="133">
        <f>IFERROR(D22*Q22,"")</f>
        <v/>
      </c>
      <c r="S22" s="133">
        <f>Q22*K22</f>
        <v/>
      </c>
      <c r="T22" s="133">
        <f>IFERROR(Q22*G22,"")</f>
        <v/>
      </c>
      <c r="U22" s="15" t="inlineStr">
        <is>
          <t>accounted for elsewhere is tithe; number of lambs sold in stock doesn't match receipts</t>
        </is>
      </c>
    </row>
    <row r="23">
      <c r="A23" s="15" t="inlineStr">
        <is>
          <t>Boars</t>
        </is>
      </c>
      <c r="B23" s="15" t="n">
        <v>1</v>
      </c>
      <c r="C23" s="15" t="n"/>
      <c r="D23" s="15" t="n">
        <v>1</v>
      </c>
      <c r="E23" s="15" t="n"/>
      <c r="F23" s="15" t="n"/>
      <c r="G23" s="15" t="n"/>
      <c r="H23" s="15" t="n">
        <v>1</v>
      </c>
      <c r="I23" s="15" t="n"/>
      <c r="J23" s="15" t="n">
        <v>1</v>
      </c>
      <c r="K23" s="190">
        <f>B23+C23+D23+E23-F23-G23-H23-I23</f>
        <v/>
      </c>
      <c r="L23" s="193" t="n"/>
      <c r="M23" s="193" t="n"/>
      <c r="N23" s="195" t="n"/>
      <c r="O23" s="195" t="n"/>
      <c r="P23" s="195" t="n"/>
      <c r="Q23" s="133">
        <f>IFERROR((L23+N23)/(M23+O23),"")</f>
        <v/>
      </c>
      <c r="R23" s="133">
        <f>IFERROR(D23*Q23,"")</f>
        <v/>
      </c>
      <c r="S23" s="133" t="n"/>
      <c r="T23" s="133">
        <f>IFERROR(Q23*G23,"")</f>
        <v/>
      </c>
      <c r="U23" s="15" t="n"/>
    </row>
    <row r="24">
      <c r="A24" s="15" t="inlineStr">
        <is>
          <t>Sows</t>
        </is>
      </c>
      <c r="B24" s="15" t="n">
        <v>2</v>
      </c>
      <c r="C24" s="15" t="n"/>
      <c r="D24" s="15" t="n">
        <v>1</v>
      </c>
      <c r="E24" s="15" t="n"/>
      <c r="F24" s="15" t="n"/>
      <c r="G24" s="15" t="n"/>
      <c r="H24" s="15" t="n">
        <v>1</v>
      </c>
      <c r="I24" s="15" t="n"/>
      <c r="J24" s="15" t="n">
        <v>2</v>
      </c>
      <c r="K24" s="190">
        <f>B24+C24+D24+E24-F24-G24-H24-I24</f>
        <v/>
      </c>
      <c r="L24" s="193" t="n"/>
      <c r="M24" s="193" t="n"/>
      <c r="N24" s="195" t="n"/>
      <c r="O24" s="195" t="n"/>
      <c r="P24" s="195" t="n"/>
      <c r="Q24" s="133">
        <f>IFERROR((L24+N24)/(M24+O24),"")</f>
        <v/>
      </c>
      <c r="R24" s="133">
        <f>IFERROR(D24*Q24,"")</f>
        <v/>
      </c>
      <c r="S24" s="133" t="n"/>
      <c r="T24" s="133">
        <f>IFERROR(Q24*G24,"")</f>
        <v/>
      </c>
      <c r="U24" s="15" t="n"/>
    </row>
    <row r="25">
      <c r="A25" s="15" t="inlineStr">
        <is>
          <t>Pigs</t>
        </is>
      </c>
      <c r="B25" s="15" t="n">
        <v>21</v>
      </c>
      <c r="C25" s="15" t="n"/>
      <c r="D25" s="15" t="n">
        <v>22</v>
      </c>
      <c r="E25" s="15" t="n">
        <v>1</v>
      </c>
      <c r="F25" s="15" t="n"/>
      <c r="G25" s="15" t="n">
        <v>29</v>
      </c>
      <c r="H25" s="15" t="n"/>
      <c r="I25" s="15" t="n"/>
      <c r="J25" s="15" t="n">
        <v>15</v>
      </c>
      <c r="K25" s="190">
        <f>B25+C25+D25+E25-F25-G25-H25-I25</f>
        <v/>
      </c>
      <c r="L25" s="193">
        <f>'Merdon Receipts'!F58</f>
        <v/>
      </c>
      <c r="M25" s="193" t="n">
        <v>29</v>
      </c>
      <c r="N25" s="195" t="n"/>
      <c r="O25" s="195" t="n"/>
      <c r="P25" s="195" t="n"/>
      <c r="Q25" s="133">
        <f>IFERROR((L25+N25)/(M25+O25),"")</f>
        <v/>
      </c>
      <c r="R25" s="133">
        <f>IFERROR(D25*Q25,"")</f>
        <v/>
      </c>
      <c r="S25" s="133">
        <f>Q25*K25</f>
        <v/>
      </c>
      <c r="T25" s="133">
        <f>IFERROR(Q25*G25,"")</f>
        <v/>
      </c>
      <c r="U25" s="15" t="n"/>
    </row>
    <row r="26">
      <c r="A26" s="15" t="inlineStr">
        <is>
          <t>Hoggets</t>
        </is>
      </c>
      <c r="B26" s="15" t="n">
        <v>28</v>
      </c>
      <c r="C26" s="15" t="n"/>
      <c r="D26" s="15" t="n"/>
      <c r="E26" s="15" t="n"/>
      <c r="F26" s="15" t="n"/>
      <c r="G26" s="15" t="n"/>
      <c r="H26" s="15" t="n">
        <v>4</v>
      </c>
      <c r="I26" s="15" t="n">
        <v>24</v>
      </c>
      <c r="J26" s="15" t="n">
        <v>0</v>
      </c>
      <c r="K26" s="190">
        <f>B26+C26+D26+E26-F26-G26-H26-I26</f>
        <v/>
      </c>
      <c r="L26" s="193" t="n"/>
      <c r="M26" s="193" t="n"/>
      <c r="N26" s="195" t="n"/>
      <c r="O26" s="195" t="n"/>
      <c r="P26" s="195" t="n"/>
      <c r="Q26" s="133">
        <f>IFERROR((L26+N26)/(M26+O26),"")</f>
        <v/>
      </c>
      <c r="R26" s="133">
        <f>IFERROR(D26*Q26,"")</f>
        <v/>
      </c>
      <c r="S26" s="133" t="n"/>
      <c r="T26" s="133">
        <f>IFERROR(Q26*G26,"")</f>
        <v/>
      </c>
      <c r="U26" s="15" t="n"/>
    </row>
    <row r="27">
      <c r="A27" s="15" t="inlineStr">
        <is>
          <t>Piglets</t>
        </is>
      </c>
      <c r="B27" s="15" t="n"/>
      <c r="C27" s="15" t="n"/>
      <c r="D27" s="15" t="n">
        <v>40</v>
      </c>
      <c r="E27" s="15" t="n"/>
      <c r="F27" s="15" t="n"/>
      <c r="G27" s="15" t="n"/>
      <c r="H27" s="15" t="n"/>
      <c r="I27" s="15" t="n">
        <v>5</v>
      </c>
      <c r="J27" s="15" t="n">
        <v>35</v>
      </c>
      <c r="K27" s="190">
        <f>B27+C27+D27+E27-F27-G27-H27-I27</f>
        <v/>
      </c>
      <c r="L27" s="193" t="n"/>
      <c r="M27" s="193" t="n"/>
      <c r="N27" s="195" t="n"/>
      <c r="O27" s="195" t="n"/>
      <c r="P27" s="195" t="n"/>
      <c r="Q27" s="133">
        <f>IFERROR((L27+N27)/(M27+O27),"")</f>
        <v/>
      </c>
      <c r="R27" s="133">
        <f>IFERROR(D27*Q27,"")</f>
        <v/>
      </c>
      <c r="S27" s="133" t="n"/>
      <c r="T27" s="133">
        <f>IFERROR(Q27*G27,"")</f>
        <v/>
      </c>
      <c r="U27" s="15" t="inlineStr">
        <is>
          <t>accounted for elsewhere is tithe</t>
        </is>
      </c>
    </row>
    <row r="28">
      <c r="A28" s="15" t="inlineStr">
        <is>
          <t>Swans</t>
        </is>
      </c>
      <c r="B28" s="15" t="n"/>
      <c r="C28" s="15" t="n"/>
      <c r="D28" s="15" t="n"/>
      <c r="E28" s="15" t="n"/>
      <c r="F28" s="15" t="n"/>
      <c r="G28" s="15" t="n"/>
      <c r="H28" s="15" t="n"/>
      <c r="I28" s="15" t="n"/>
      <c r="J28" s="15" t="n"/>
      <c r="K28" s="190">
        <f>B28+C28+D28+E28-F28-G28-H28-I28</f>
        <v/>
      </c>
      <c r="L28" s="193" t="n"/>
      <c r="M28" s="193" t="n"/>
      <c r="N28" s="195" t="n"/>
      <c r="O28" s="195" t="n"/>
      <c r="P28" s="195" t="n"/>
      <c r="Q28" s="133">
        <f>IFERROR((L28+N28)/(M28+O28),"")</f>
        <v/>
      </c>
      <c r="R28" s="133">
        <f>IFERROR(D28*Q28,"")</f>
        <v/>
      </c>
      <c r="S28" s="133" t="n"/>
      <c r="T28" s="133">
        <f>IFERROR(Q28*G28,"")</f>
        <v/>
      </c>
      <c r="U28" s="15" t="n"/>
    </row>
    <row r="29">
      <c r="A29" s="15" t="inlineStr">
        <is>
          <t>Peacocks</t>
        </is>
      </c>
      <c r="B29" s="15" t="n"/>
      <c r="C29" s="15" t="n"/>
      <c r="D29" s="15" t="n"/>
      <c r="E29" s="15" t="n"/>
      <c r="F29" s="15" t="n"/>
      <c r="G29" s="15" t="n"/>
      <c r="H29" s="15" t="n"/>
      <c r="I29" s="15" t="n"/>
      <c r="J29" s="15" t="n"/>
      <c r="K29" s="190">
        <f>B29+C29+D29+E29-F29-G29-H29-I29</f>
        <v/>
      </c>
      <c r="L29" s="133" t="n"/>
      <c r="M29" s="133" t="n"/>
      <c r="N29" s="15" t="n"/>
      <c r="O29" s="15" t="n"/>
      <c r="P29" s="15" t="n"/>
      <c r="Q29" s="133">
        <f>IFERROR((L29+N29)/(M29+O29),"")</f>
        <v/>
      </c>
      <c r="R29" s="133">
        <f>IFERROR(D29*Q29,"")</f>
        <v/>
      </c>
      <c r="S29" s="133" t="n"/>
      <c r="T29" s="133">
        <f>IFERROR(Q29*G29,"")</f>
        <v/>
      </c>
      <c r="U29" s="15" t="n"/>
    </row>
    <row r="30">
      <c r="A30" s="196" t="inlineStr">
        <is>
          <t>Total</t>
        </is>
      </c>
      <c r="B30" s="196" t="n"/>
      <c r="C30" s="196" t="n"/>
      <c r="D30" s="196" t="n"/>
      <c r="E30" s="196" t="n"/>
      <c r="F30" s="196" t="n"/>
      <c r="G30" s="196" t="n"/>
      <c r="H30" s="196" t="n"/>
      <c r="I30" s="196" t="n"/>
      <c r="J30" s="196" t="n"/>
      <c r="K30" s="197">
        <f>B30+C30+D30+E30-F30-G30-H30-I30</f>
        <v/>
      </c>
      <c r="L30" s="198" t="n"/>
      <c r="M30" s="198" t="n"/>
      <c r="N30" s="196" t="n"/>
      <c r="O30" s="196" t="n"/>
      <c r="P30" s="196" t="n"/>
      <c r="Q30" s="198">
        <f>IFERROR((L30+N30)/(M30+O30),"")</f>
        <v/>
      </c>
      <c r="R30" s="198">
        <f>IFERROR(D30*Q30,"")</f>
        <v/>
      </c>
      <c r="S30" s="198" t="n"/>
      <c r="T30" s="198">
        <f>SUM(T4:T29)</f>
        <v/>
      </c>
      <c r="U30" s="196" t="n"/>
    </row>
    <row r="31">
      <c r="A31" s="15" t="n"/>
      <c r="B31" s="15" t="n"/>
      <c r="C31" s="15" t="n"/>
      <c r="D31" s="15" t="n"/>
      <c r="E31" s="15" t="n"/>
      <c r="F31" s="15" t="n"/>
      <c r="G31" s="15" t="n"/>
      <c r="H31" s="15" t="n"/>
      <c r="I31" s="15" t="n"/>
      <c r="J31" s="15" t="n"/>
      <c r="K31" s="190">
        <f>B31+C31+D31+E31-F31-G31-H31-I31</f>
        <v/>
      </c>
      <c r="L31" s="133" t="n"/>
      <c r="M31" s="133" t="n"/>
      <c r="N31" s="15" t="n"/>
      <c r="O31" s="15" t="n"/>
      <c r="P31" s="15" t="n"/>
      <c r="Q31" s="133">
        <f>IFERROR((L31+N31)/(M31+O31),"")</f>
        <v/>
      </c>
      <c r="R31" s="133">
        <f>IFERROR(D31*Q31,"")</f>
        <v/>
      </c>
      <c r="S31" s="133" t="n"/>
      <c r="T31" s="133">
        <f>IFERROR(Q31*G31,"")</f>
        <v/>
      </c>
      <c r="U31" s="15" t="n"/>
    </row>
    <row r="32" ht="17" customHeight="1">
      <c r="A32" s="189" t="inlineStr">
        <is>
          <t>Wool</t>
        </is>
      </c>
      <c r="B32" s="199" t="n"/>
      <c r="C32" s="199" t="n"/>
      <c r="D32" s="199" t="n"/>
      <c r="E32" s="199" t="n"/>
      <c r="F32" s="15" t="n"/>
      <c r="G32" s="15" t="n"/>
      <c r="H32" s="15" t="n"/>
      <c r="I32" s="15" t="n"/>
      <c r="J32" s="15" t="n"/>
      <c r="K32" s="190">
        <f>B32+C32+D32+E32-F32-G32-H32-I32</f>
        <v/>
      </c>
      <c r="L32" s="133" t="n"/>
      <c r="M32" s="133" t="n"/>
      <c r="N32" s="15" t="n"/>
      <c r="O32" s="15" t="n"/>
      <c r="P32" s="15" t="n"/>
      <c r="Q32" s="133">
        <f>IFERROR((L32+N32)/(M32+O32),"")</f>
        <v/>
      </c>
      <c r="R32" s="133">
        <f>IFERROR(D32*Q32,"")</f>
        <v/>
      </c>
      <c r="S32" s="133" t="n"/>
      <c r="T32" s="133">
        <f>IFERROR(Q32*G32,"")</f>
        <v/>
      </c>
      <c r="U32" s="15" t="n"/>
    </row>
    <row r="33" ht="17" customHeight="1">
      <c r="A33" s="22" t="inlineStr">
        <is>
          <t>Fleeces</t>
        </is>
      </c>
      <c r="B33" s="15" t="n"/>
      <c r="C33" s="15" t="n"/>
      <c r="D33" s="15" t="n"/>
      <c r="E33" s="15" t="n"/>
      <c r="F33" s="15" t="n"/>
      <c r="G33" s="15" t="n"/>
      <c r="H33" s="15" t="n"/>
      <c r="I33" s="15" t="n"/>
      <c r="J33" s="15" t="n"/>
      <c r="K33" s="190">
        <f>B33+C33+D33+E33-F33-G33-H33-I33</f>
        <v/>
      </c>
      <c r="L33" s="133" t="n"/>
      <c r="M33" s="133" t="n"/>
      <c r="N33" s="15" t="n"/>
      <c r="O33" s="15" t="n"/>
      <c r="P33" s="15" t="n"/>
      <c r="Q33" s="133">
        <f>IFERROR((L33+N33)/(M33+O33),"")</f>
        <v/>
      </c>
      <c r="R33" s="133">
        <f>IFERROR(D33*Q33,"")</f>
        <v/>
      </c>
      <c r="S33" s="133" t="n"/>
      <c r="T33" s="133">
        <f>IFERROR(Q33*G33,"")</f>
        <v/>
      </c>
      <c r="U33" s="15" t="n"/>
    </row>
    <row r="34">
      <c r="A34" s="15" t="inlineStr">
        <is>
          <t>Coarse wool</t>
        </is>
      </c>
      <c r="B34" s="15" t="n"/>
      <c r="C34" s="15" t="n"/>
      <c r="D34" s="15" t="n">
        <v>451</v>
      </c>
      <c r="E34" s="15" t="n"/>
      <c r="F34" s="15" t="n"/>
      <c r="G34" s="15" t="n">
        <v>405</v>
      </c>
      <c r="H34" s="15" t="n"/>
      <c r="I34" s="15" t="n">
        <v>46</v>
      </c>
      <c r="J34" s="15" t="n">
        <v>0</v>
      </c>
      <c r="K34" s="190">
        <f>B34+C34+D34+E34-F34-G34-H34-I34</f>
        <v/>
      </c>
      <c r="L34" s="133" t="n"/>
      <c r="M34" s="133" t="n"/>
      <c r="N34" s="15" t="n"/>
      <c r="O34" s="15" t="n"/>
      <c r="P34" s="15">
        <f>3+14*Assumptions!E5</f>
        <v/>
      </c>
      <c r="Q34" s="26" t="n">
        <v>0.02</v>
      </c>
      <c r="R34" s="133">
        <f>IFERROR(D34*Q34,"")</f>
        <v/>
      </c>
      <c r="S34" s="133" t="n"/>
      <c r="T34" s="133" t="n"/>
      <c r="U34" t="inlineStr">
        <is>
          <t>unit price from overview sheet (UnitPricesStocks_averages)</t>
        </is>
      </c>
    </row>
    <row r="35">
      <c r="A35" s="15" t="inlineStr">
        <is>
          <t>Lamb's wool</t>
        </is>
      </c>
      <c r="B35" s="15" t="n"/>
      <c r="C35" s="15" t="n"/>
      <c r="D35" s="15" t="n">
        <v>163</v>
      </c>
      <c r="E35" s="15" t="n"/>
      <c r="F35" s="15" t="n"/>
      <c r="G35" s="15" t="n">
        <v>163</v>
      </c>
      <c r="H35" s="15" t="n"/>
      <c r="I35" s="15" t="n"/>
      <c r="J35" s="15" t="n">
        <v>0</v>
      </c>
      <c r="K35" s="190">
        <f>B35+C35+D35+E35-F35-G35-H35-I35</f>
        <v/>
      </c>
      <c r="L35" s="133" t="n"/>
      <c r="M35" s="133" t="n"/>
      <c r="N35" s="15" t="n"/>
      <c r="O35" s="15" t="n"/>
      <c r="P35" s="15">
        <f>13*0.04</f>
        <v/>
      </c>
      <c r="Q35" s="26" t="n">
        <v>0.01</v>
      </c>
      <c r="R35" s="133">
        <f>IFERROR(D35*Q35,"")</f>
        <v/>
      </c>
      <c r="S35" s="133" t="n"/>
      <c r="T35" s="133">
        <f>IFERROR(Q35*G35,"")</f>
        <v/>
      </c>
      <c r="U35" t="inlineStr">
        <is>
          <t>unit price from overview sheet (UnitPricesStocks_averages)</t>
        </is>
      </c>
    </row>
    <row r="36">
      <c r="A36" s="15" t="inlineStr">
        <is>
          <t>Wool locks</t>
        </is>
      </c>
      <c r="B36" s="15" t="n"/>
      <c r="C36" s="15" t="n"/>
      <c r="D36" s="15">
        <f>2*0.04+4*Assumptions!E4</f>
        <v/>
      </c>
      <c r="E36" s="15" t="n"/>
      <c r="F36" s="15" t="n"/>
      <c r="G36" s="15">
        <f>D36</f>
        <v/>
      </c>
      <c r="H36" s="15" t="n"/>
      <c r="I36" s="15" t="n"/>
      <c r="J36" s="15" t="n"/>
      <c r="K36" s="190">
        <f>B36+C36+D36+E36-F36-G36-H36-I36</f>
        <v/>
      </c>
      <c r="L36" s="133">
        <f>'Merdon Receipts'!F59</f>
        <v/>
      </c>
      <c r="M36" s="15">
        <f>P36</f>
        <v/>
      </c>
      <c r="N36" s="15" t="n"/>
      <c r="O36" s="15" t="n"/>
      <c r="P36" s="15">
        <f>G36</f>
        <v/>
      </c>
      <c r="Q36" s="133">
        <f>IFERROR((L36+N36)/(M36+O36),"")</f>
        <v/>
      </c>
      <c r="R36" s="133">
        <f>IFERROR(D36*Q36,"")</f>
        <v/>
      </c>
      <c r="S36" s="133">
        <f>Q36*K36</f>
        <v/>
      </c>
      <c r="T36" s="133">
        <f>IFERROR(Q36*G36,"")</f>
        <v/>
      </c>
      <c r="U36" s="15" t="n"/>
    </row>
    <row r="37">
      <c r="A37" s="15" t="inlineStr">
        <is>
          <t>Wool sold at shearing</t>
        </is>
      </c>
      <c r="B37" s="15" t="n"/>
      <c r="C37" s="15" t="n"/>
      <c r="D37" s="15" t="n"/>
      <c r="E37" s="15" t="n"/>
      <c r="F37" s="15" t="n"/>
      <c r="G37" s="15" t="n"/>
      <c r="H37" s="15" t="n"/>
      <c r="I37" s="15" t="n"/>
      <c r="J37" s="15" t="n"/>
      <c r="K37" s="190">
        <f>B37+C37+D37+E37-F37-G37-H37-I37</f>
        <v/>
      </c>
      <c r="L37" s="133" t="n"/>
      <c r="M37" s="133" t="n"/>
      <c r="N37" s="15" t="n"/>
      <c r="O37" s="15" t="n"/>
      <c r="P37" s="15" t="n"/>
      <c r="Q37" s="133">
        <f>IFERROR((L37+N37)/(M37+O37),"")</f>
        <v/>
      </c>
      <c r="R37" s="133">
        <f>IFERROR(D37*Q37,"")</f>
        <v/>
      </c>
      <c r="S37" s="133" t="n"/>
      <c r="T37" s="133">
        <f>IFERROR(Q37*G37,"")</f>
        <v/>
      </c>
      <c r="U37" s="15" t="n"/>
    </row>
    <row r="38">
      <c r="A38" s="196" t="inlineStr">
        <is>
          <t>Total</t>
        </is>
      </c>
      <c r="B38" s="196" t="n"/>
      <c r="C38" s="196" t="n"/>
      <c r="D38" s="196" t="n"/>
      <c r="E38" s="196" t="n"/>
      <c r="F38" s="196" t="n"/>
      <c r="G38" s="196" t="n"/>
      <c r="H38" s="196" t="n"/>
      <c r="I38" s="196" t="n"/>
      <c r="J38" s="196" t="n"/>
      <c r="K38" s="197">
        <f>B38+C38+D38+E38-F38-G38-H38-I38</f>
        <v/>
      </c>
      <c r="L38" s="198" t="n"/>
      <c r="M38" s="198" t="n"/>
      <c r="N38" s="196" t="n"/>
      <c r="O38" s="196" t="n"/>
      <c r="P38" s="196" t="n"/>
      <c r="Q38" s="198">
        <f>IFERROR((L38+N38)/(M38+O38),"")</f>
        <v/>
      </c>
      <c r="R38" s="198">
        <f>SUM(R34:R36)</f>
        <v/>
      </c>
      <c r="S38" s="198" t="n"/>
      <c r="T38" s="198">
        <f>SUM(T34:T37)</f>
        <v/>
      </c>
      <c r="U38" s="196" t="n"/>
    </row>
    <row r="39">
      <c r="A39" s="15" t="n"/>
      <c r="B39" s="15" t="n"/>
      <c r="C39" s="15" t="n"/>
      <c r="D39" s="15" t="n"/>
      <c r="E39" s="15" t="n"/>
      <c r="F39" s="15" t="n"/>
      <c r="G39" s="15" t="n"/>
      <c r="H39" s="15" t="n"/>
      <c r="I39" s="15" t="n"/>
      <c r="J39" s="15" t="n"/>
      <c r="K39" s="190">
        <f>B39+C39+D39+E39-F39-G39-H39-I39</f>
        <v/>
      </c>
      <c r="L39" s="133" t="n"/>
      <c r="M39" s="133" t="n"/>
      <c r="N39" s="15" t="n"/>
      <c r="O39" s="15" t="n"/>
      <c r="P39" s="15" t="n"/>
      <c r="Q39" s="133">
        <f>IFERROR((L39+N39)/(M39+O39),"")</f>
        <v/>
      </c>
      <c r="R39" s="133">
        <f>IFERROR(D39*Q39,"")</f>
        <v/>
      </c>
      <c r="S39" s="133" t="n"/>
      <c r="T39" s="133">
        <f>IFERROR(Q39*G39,"")</f>
        <v/>
      </c>
      <c r="U39" s="15" t="n"/>
    </row>
    <row r="40">
      <c r="A40" s="15" t="n"/>
      <c r="B40" s="15" t="n"/>
      <c r="C40" s="15" t="n"/>
      <c r="D40" s="15" t="n"/>
      <c r="E40" s="15" t="n"/>
      <c r="F40" s="15" t="n"/>
      <c r="G40" s="15" t="n"/>
      <c r="H40" s="15" t="n"/>
      <c r="I40" s="15" t="n"/>
      <c r="J40" s="15" t="n"/>
      <c r="K40" s="190">
        <f>B40+C40+D40+E40-F40-G40-H40-I40</f>
        <v/>
      </c>
      <c r="L40" s="133" t="n"/>
      <c r="M40" s="133" t="n"/>
      <c r="N40" s="15" t="n"/>
      <c r="O40" s="15" t="n"/>
      <c r="P40" s="15" t="n"/>
      <c r="Q40" s="133">
        <f>IFERROR((L40+N40)/(M40+O40),"")</f>
        <v/>
      </c>
      <c r="R40" s="133">
        <f>IFERROR(D40*Q40,"")</f>
        <v/>
      </c>
      <c r="S40" s="133" t="n"/>
      <c r="T40" s="133">
        <f>IFERROR(Q40*G40,"")</f>
        <v/>
      </c>
      <c r="U40" s="15" t="n"/>
    </row>
    <row r="41" ht="17" customHeight="1">
      <c r="A41" s="189" t="inlineStr">
        <is>
          <t>Hides</t>
        </is>
      </c>
      <c r="B41" s="199" t="n"/>
      <c r="C41" s="199" t="n"/>
      <c r="D41" s="15" t="n"/>
      <c r="E41" s="15" t="n"/>
      <c r="F41" s="15" t="n"/>
      <c r="G41" s="15" t="n"/>
      <c r="H41" s="15" t="n"/>
      <c r="I41" s="15" t="n"/>
      <c r="J41" s="15" t="n"/>
      <c r="K41" s="190">
        <f>B41+C41+D41+E41-F41-G41-H41-I41</f>
        <v/>
      </c>
      <c r="L41" s="133" t="n"/>
      <c r="M41" s="133" t="n"/>
      <c r="N41" s="15" t="n"/>
      <c r="O41" s="15" t="n"/>
      <c r="P41" s="15" t="n"/>
      <c r="Q41" s="133">
        <f>IFERROR((L41+N41)/(M41+O41),"")</f>
        <v/>
      </c>
      <c r="R41" s="133">
        <f>IFERROR(D41*Q41,"")</f>
        <v/>
      </c>
      <c r="S41" s="133" t="n"/>
      <c r="T41" s="133">
        <f>IFERROR(Q41*G41,"")</f>
        <v/>
      </c>
      <c r="U41" s="15" t="n"/>
    </row>
    <row r="42">
      <c r="A42" s="15" t="inlineStr">
        <is>
          <t>Ox hides</t>
        </is>
      </c>
      <c r="B42" s="15" t="n"/>
      <c r="C42" s="15" t="n"/>
      <c r="D42" s="15" t="n">
        <v>3</v>
      </c>
      <c r="E42" s="15" t="n"/>
      <c r="F42" s="15" t="n"/>
      <c r="G42" s="15" t="n">
        <v>3</v>
      </c>
      <c r="H42" s="15" t="n"/>
      <c r="I42" s="15" t="n"/>
      <c r="J42" s="15" t="n">
        <v>0</v>
      </c>
      <c r="K42" s="190">
        <f>B42+C42+D42+E42-F42-G42-H42-I42</f>
        <v/>
      </c>
      <c r="L42" s="133">
        <f>'Merdon Receipts'!F65</f>
        <v/>
      </c>
      <c r="M42" s="133" t="n">
        <v>3</v>
      </c>
      <c r="N42" s="15" t="n"/>
      <c r="O42" s="133" t="n"/>
      <c r="P42" s="133" t="n"/>
      <c r="Q42" s="133">
        <f>IFERROR((L42+N42)/(M42+O42),"")</f>
        <v/>
      </c>
      <c r="R42" s="133">
        <f>IFERROR(D42*Q42,"")</f>
        <v/>
      </c>
      <c r="S42" s="133">
        <f>Q42*K42</f>
        <v/>
      </c>
      <c r="T42" s="133">
        <f>IFERROR(Q42*G42,"")</f>
        <v/>
      </c>
      <c r="U42" s="15" t="n"/>
    </row>
    <row r="43">
      <c r="A43" s="15" t="inlineStr">
        <is>
          <t>Cow hides</t>
        </is>
      </c>
      <c r="B43" s="15" t="n"/>
      <c r="C43" s="15" t="n"/>
      <c r="D43" s="15" t="n">
        <v>2</v>
      </c>
      <c r="F43" s="15" t="n"/>
      <c r="G43" s="15" t="n">
        <v>2</v>
      </c>
      <c r="H43" s="15" t="n"/>
      <c r="I43" s="15" t="n"/>
      <c r="J43" s="15" t="n">
        <v>0</v>
      </c>
      <c r="K43" s="190">
        <f>B43+C43+D43+E43-F43-G43-H43-I43</f>
        <v/>
      </c>
      <c r="L43" s="133">
        <f>'Merdon Receipts'!F66</f>
        <v/>
      </c>
      <c r="M43" s="133" t="n">
        <v>2</v>
      </c>
      <c r="N43" s="15" t="n"/>
      <c r="O43" s="133" t="n"/>
      <c r="P43" s="133" t="n"/>
      <c r="Q43" s="133">
        <f>IFERROR((L43+N43)/(M43+O43),"")</f>
        <v/>
      </c>
      <c r="R43" s="133">
        <f>IFERROR(D43*Q43,"")</f>
        <v/>
      </c>
      <c r="S43" s="133">
        <f>Q43*K43</f>
        <v/>
      </c>
      <c r="T43" s="133">
        <f>IFERROR(Q43*G43,"")</f>
        <v/>
      </c>
      <c r="U43" s="15" t="n"/>
    </row>
    <row r="44">
      <c r="A44" s="15" t="inlineStr">
        <is>
          <t>Mare hides</t>
        </is>
      </c>
      <c r="B44" s="15" t="n"/>
      <c r="C44" s="15" t="n"/>
      <c r="D44" s="15" t="n"/>
      <c r="E44" s="15" t="n"/>
      <c r="F44" s="15" t="n"/>
      <c r="G44" s="15" t="n"/>
      <c r="H44" s="15" t="n"/>
      <c r="I44" s="15" t="n"/>
      <c r="J44" s="15" t="n"/>
      <c r="K44" s="190">
        <f>B44+C44+D44+E44-F44-G44-H44-I44</f>
        <v/>
      </c>
      <c r="L44" s="133" t="n"/>
      <c r="M44" s="133" t="n"/>
      <c r="N44" s="15" t="n"/>
      <c r="O44" s="15" t="n"/>
      <c r="P44" s="15" t="n"/>
      <c r="Q44" s="133">
        <f>IFERROR((L44+N44)/(M44+O44),"")</f>
        <v/>
      </c>
      <c r="R44" s="133">
        <f>IFERROR(D44*Q44,"")</f>
        <v/>
      </c>
      <c r="S44" s="133" t="n"/>
      <c r="T44" s="133">
        <f>IFERROR(Q44*G44,"")</f>
        <v/>
      </c>
      <c r="U44" s="15" t="n"/>
    </row>
    <row r="45">
      <c r="A45" s="15" t="inlineStr">
        <is>
          <t>Steer hides</t>
        </is>
      </c>
      <c r="B45" s="15" t="n"/>
      <c r="C45" s="15" t="n"/>
      <c r="D45" s="15" t="n"/>
      <c r="F45" s="15" t="n"/>
      <c r="G45" s="15" t="n"/>
      <c r="H45" s="15" t="n"/>
      <c r="I45" s="15" t="n"/>
      <c r="J45" s="15" t="n"/>
      <c r="K45" s="190">
        <f>B45+C45+D45+E45-F45-G45-H45-I45</f>
        <v/>
      </c>
      <c r="L45" s="133" t="n"/>
      <c r="M45" s="133" t="n"/>
      <c r="N45" s="200" t="n"/>
      <c r="O45" s="15" t="n"/>
      <c r="P45" s="15" t="n"/>
      <c r="Q45" s="133">
        <f>IFERROR((L45+N45)/(M45+O45),"")</f>
        <v/>
      </c>
      <c r="R45" s="133">
        <f>IFERROR(D45*Q45,"")</f>
        <v/>
      </c>
      <c r="S45" s="133" t="n"/>
      <c r="T45" s="133">
        <f>IFERROR(Q45*G45,"")</f>
        <v/>
      </c>
      <c r="U45" s="15" t="n"/>
    </row>
    <row r="46">
      <c r="A46" s="15" t="inlineStr">
        <is>
          <t>Yearling Calf hides</t>
        </is>
      </c>
      <c r="B46" s="15" t="n"/>
      <c r="C46" s="15" t="n"/>
      <c r="D46" s="15" t="n"/>
      <c r="E46" s="15" t="n"/>
      <c r="F46" s="15" t="n"/>
      <c r="G46" s="15" t="n"/>
      <c r="H46" s="15" t="n"/>
      <c r="I46" s="15" t="n"/>
      <c r="J46" s="15" t="n"/>
      <c r="K46" s="190">
        <f>B46+C46+D46+E46-F46-G46-H46-I46</f>
        <v/>
      </c>
      <c r="L46" s="133" t="n"/>
      <c r="M46" s="133" t="n"/>
      <c r="N46" s="15" t="n"/>
      <c r="O46" s="15" t="n"/>
      <c r="P46" s="15" t="n"/>
      <c r="Q46" s="133">
        <f>IFERROR((L46+N46)/(M46+O46),"")</f>
        <v/>
      </c>
      <c r="R46" s="133">
        <f>IFERROR(D46*Q46,"")</f>
        <v/>
      </c>
      <c r="S46" s="133" t="n"/>
      <c r="T46" s="133">
        <f>IFERROR(Q46*G46,"")</f>
        <v/>
      </c>
      <c r="U46" s="15" t="n"/>
    </row>
    <row r="47">
      <c r="A47" s="15" t="inlineStr">
        <is>
          <t>Calf hides</t>
        </is>
      </c>
      <c r="B47" s="15" t="n"/>
      <c r="C47" s="15" t="n"/>
      <c r="D47" s="15" t="n"/>
      <c r="E47" s="15" t="n"/>
      <c r="F47" s="15" t="n"/>
      <c r="G47" s="15" t="n"/>
      <c r="H47" s="15" t="n"/>
      <c r="I47" s="15" t="n"/>
      <c r="J47" s="15" t="n"/>
      <c r="K47" s="190">
        <f>B47+C47+D47+E47-F47-G47-H47-I47</f>
        <v/>
      </c>
      <c r="L47" s="133" t="n"/>
      <c r="M47" s="133" t="n"/>
      <c r="N47" s="15" t="n"/>
      <c r="O47" s="15" t="n"/>
      <c r="P47" s="15" t="n"/>
      <c r="Q47" s="133">
        <f>IFERROR((L47+N47)/(M47+O47),"")</f>
        <v/>
      </c>
      <c r="R47" s="133">
        <f>IFERROR(D47*Q47,"")</f>
        <v/>
      </c>
      <c r="S47" s="133" t="n"/>
      <c r="T47" s="133">
        <f>IFERROR(Q47*G47,"")</f>
        <v/>
      </c>
      <c r="U47" s="15" t="n"/>
    </row>
    <row r="48">
      <c r="A48" s="23" t="inlineStr">
        <is>
          <t>Pig hides</t>
        </is>
      </c>
      <c r="B48" s="15" t="n"/>
      <c r="C48" s="15" t="n"/>
      <c r="D48" s="15" t="n"/>
      <c r="E48" s="15" t="n"/>
      <c r="F48" s="15" t="n"/>
      <c r="G48" s="15" t="n"/>
      <c r="H48" s="15" t="n"/>
      <c r="I48" s="15" t="n"/>
      <c r="J48" s="15" t="n"/>
      <c r="K48" s="190">
        <f>B48+C48+D48+E48-F48-G48-H48-I48</f>
        <v/>
      </c>
      <c r="L48" s="133" t="n"/>
      <c r="M48" s="133" t="n"/>
      <c r="N48" s="15" t="n"/>
      <c r="O48" s="15" t="n"/>
      <c r="P48" s="15" t="n"/>
      <c r="Q48" s="133">
        <f>IFERROR((L48+N48)/(M48+O48),"")</f>
        <v/>
      </c>
      <c r="R48" s="133">
        <f>IFERROR(D48*Q48,"")</f>
        <v/>
      </c>
      <c r="S48" s="133" t="n"/>
      <c r="T48" s="133">
        <f>IFERROR(Q48*G48,"")</f>
        <v/>
      </c>
      <c r="U48" s="15" t="n"/>
    </row>
    <row r="49">
      <c r="A49" s="24" t="inlineStr">
        <is>
          <t>Weather woolskins</t>
        </is>
      </c>
      <c r="B49" s="15" t="n">
        <v>7</v>
      </c>
      <c r="C49" s="15" t="n"/>
      <c r="D49" s="15" t="n"/>
      <c r="E49" s="15" t="n"/>
      <c r="F49" s="15" t="n"/>
      <c r="G49" s="15" t="n">
        <v>7</v>
      </c>
      <c r="H49" s="15" t="n"/>
      <c r="I49" s="15" t="n"/>
      <c r="J49" s="15" t="n">
        <v>0</v>
      </c>
      <c r="K49" s="190">
        <f>B49+C49+D49+E49-F49-G49-H49-I49</f>
        <v/>
      </c>
      <c r="L49" s="133" t="n"/>
      <c r="M49" s="133" t="n"/>
      <c r="N49" s="15" t="n"/>
      <c r="O49" s="15" t="n"/>
      <c r="P49" s="15" t="n"/>
      <c r="Q49" s="133">
        <f>IFERROR((L49+N49)/(M49+O49),"")</f>
        <v/>
      </c>
      <c r="R49" s="133">
        <f>IFERROR(D49*Q49,"")</f>
        <v/>
      </c>
      <c r="S49" s="133" t="n"/>
      <c r="T49" s="133">
        <f>IFERROR(Q49*G49,"")</f>
        <v/>
      </c>
      <c r="U49" s="15" t="n"/>
    </row>
    <row r="50">
      <c r="A50" s="24" t="inlineStr">
        <is>
          <t>Ram woolskins</t>
        </is>
      </c>
      <c r="B50" s="15" t="n"/>
      <c r="C50" s="15" t="n"/>
      <c r="D50" s="15" t="n"/>
      <c r="E50" s="15" t="n"/>
      <c r="F50" s="15" t="n"/>
      <c r="G50" s="15" t="n"/>
      <c r="H50" s="15" t="n"/>
      <c r="I50" s="15" t="n"/>
      <c r="J50" s="15" t="n"/>
      <c r="K50" s="190">
        <f>B50+C50+D50+E50-F50-G50-H50-I50</f>
        <v/>
      </c>
      <c r="L50" s="133" t="n"/>
      <c r="M50" s="133" t="n"/>
      <c r="N50" s="15" t="n"/>
      <c r="O50" s="15" t="n"/>
      <c r="P50" s="15" t="n"/>
      <c r="Q50" s="133">
        <f>IFERROR((L50+N50)/(M50+O50),"")</f>
        <v/>
      </c>
      <c r="R50" s="133">
        <f>IFERROR(D50*Q50,"")</f>
        <v/>
      </c>
      <c r="S50" s="133" t="n"/>
      <c r="T50" s="133">
        <f>IFERROR(Q50*G50,"")</f>
        <v/>
      </c>
      <c r="U50" s="15" t="n"/>
    </row>
    <row r="51">
      <c r="A51" s="24" t="inlineStr">
        <is>
          <t>Ewe woolskins</t>
        </is>
      </c>
      <c r="B51" s="15" t="n">
        <v>7</v>
      </c>
      <c r="C51" s="15" t="n"/>
      <c r="D51" s="15" t="n"/>
      <c r="E51" s="15" t="n"/>
      <c r="F51" s="15" t="n"/>
      <c r="G51" s="15" t="n">
        <v>7</v>
      </c>
      <c r="H51" s="15" t="n"/>
      <c r="I51" s="15" t="n"/>
      <c r="J51" s="15" t="n">
        <v>0</v>
      </c>
      <c r="K51" s="190">
        <f>B51+C51+D51+E51-F51-G51-H51-I51</f>
        <v/>
      </c>
      <c r="L51" s="133" t="n"/>
      <c r="M51" s="133" t="n"/>
      <c r="N51" s="15" t="n"/>
      <c r="O51" s="15" t="n"/>
      <c r="P51" s="15" t="n"/>
      <c r="Q51" s="133">
        <f>IFERROR((L51+N51)/(M51+O51),"")</f>
        <v/>
      </c>
      <c r="R51" s="133">
        <f>IFERROR(D51*Q51,"")</f>
        <v/>
      </c>
      <c r="S51" s="133" t="n"/>
      <c r="T51" s="133">
        <f>IFERROR(Q51*G51,"")</f>
        <v/>
      </c>
      <c r="U51" s="15" t="n"/>
    </row>
    <row r="52">
      <c r="A52" s="24" t="inlineStr">
        <is>
          <t>Hogg woolskins</t>
        </is>
      </c>
      <c r="B52" s="15" t="n">
        <v>3</v>
      </c>
      <c r="C52" s="15" t="n"/>
      <c r="D52" s="15" t="n"/>
      <c r="E52" s="15" t="n"/>
      <c r="F52" s="15" t="n"/>
      <c r="G52" s="15" t="n">
        <v>3</v>
      </c>
      <c r="H52" s="15" t="n"/>
      <c r="I52" s="15" t="n"/>
      <c r="J52" s="15" t="n">
        <v>0</v>
      </c>
      <c r="K52" s="190">
        <f>B52+C52+D52+E52-F52-G52-H52-I52</f>
        <v/>
      </c>
      <c r="L52" s="133" t="n"/>
      <c r="M52" s="133" t="n"/>
      <c r="N52" s="15" t="n"/>
      <c r="O52" s="15" t="n"/>
      <c r="P52" s="15" t="n"/>
      <c r="Q52" s="133">
        <f>IFERROR((L52+N52)/(M52+O52),"")</f>
        <v/>
      </c>
      <c r="R52" s="133">
        <f>IFERROR(D52*Q52,"")</f>
        <v/>
      </c>
      <c r="S52" s="133" t="n"/>
      <c r="T52" s="133">
        <f>IFERROR(Q52*G52,"")</f>
        <v/>
      </c>
      <c r="U52" s="15" t="n"/>
    </row>
    <row r="53">
      <c r="A53" s="25" t="inlineStr">
        <is>
          <t>Woolskins (total)</t>
        </is>
      </c>
      <c r="B53" s="15" t="n">
        <v>17</v>
      </c>
      <c r="C53" s="15" t="n"/>
      <c r="D53" s="15" t="n"/>
      <c r="E53" s="15" t="n"/>
      <c r="F53" s="15" t="n"/>
      <c r="G53" s="15" t="n">
        <v>17</v>
      </c>
      <c r="H53" s="15" t="n"/>
      <c r="I53" s="15" t="n"/>
      <c r="J53" s="15" t="n">
        <v>0</v>
      </c>
      <c r="K53" s="190">
        <f>B53+C53+D53+E53-F53-G53-H53-I53</f>
        <v/>
      </c>
      <c r="L53" s="133">
        <f>'Merdon Receipts'!F67</f>
        <v/>
      </c>
      <c r="M53" s="133" t="n">
        <v>17</v>
      </c>
      <c r="N53" s="15" t="n"/>
      <c r="O53" s="15" t="n"/>
      <c r="P53" s="15" t="n"/>
      <c r="Q53" s="133">
        <f>IFERROR((L53+N53)/(M53+O53),"")</f>
        <v/>
      </c>
      <c r="R53" s="133">
        <f>IFERROR(D53*Q53,"")</f>
        <v/>
      </c>
      <c r="S53" s="133">
        <f>Q53*K53</f>
        <v/>
      </c>
      <c r="T53" s="133">
        <f>IFERROR(Q53*G53,"")</f>
        <v/>
      </c>
      <c r="U53" s="15" t="n"/>
    </row>
    <row r="54">
      <c r="A54" s="24" t="inlineStr">
        <is>
          <t>Wether bareskins</t>
        </is>
      </c>
      <c r="B54" s="15" t="n"/>
      <c r="C54" s="15" t="n"/>
      <c r="D54" s="15" t="n">
        <v>4</v>
      </c>
      <c r="E54" s="15" t="n"/>
      <c r="F54" s="15" t="n"/>
      <c r="G54" s="15" t="n">
        <v>4</v>
      </c>
      <c r="H54" s="15" t="n"/>
      <c r="I54" s="15" t="n"/>
      <c r="J54" s="15" t="n">
        <v>0</v>
      </c>
      <c r="K54" s="190">
        <f>B54+C54+D54+E54-F54-G54-H54-I54</f>
        <v/>
      </c>
      <c r="L54" s="133" t="n"/>
      <c r="M54" s="133" t="n"/>
      <c r="N54" s="15" t="n"/>
      <c r="O54" s="15" t="n"/>
      <c r="P54" s="15" t="n"/>
      <c r="Q54" s="133">
        <f>IFERROR((L54+N54)/(M54+O54),"")</f>
        <v/>
      </c>
      <c r="R54" s="133">
        <f>IFERROR(D54*Q54,"")</f>
        <v/>
      </c>
      <c r="S54" s="133" t="n"/>
      <c r="T54" s="133">
        <f>IFERROR(Q54*G54,"")</f>
        <v/>
      </c>
      <c r="U54" s="15" t="n"/>
    </row>
    <row r="55">
      <c r="A55" s="24" t="inlineStr">
        <is>
          <t>Ram bareskins</t>
        </is>
      </c>
      <c r="B55" s="15" t="n"/>
      <c r="C55" s="15" t="n"/>
      <c r="D55" s="15" t="n"/>
      <c r="E55" s="15" t="n"/>
      <c r="F55" s="15" t="n"/>
      <c r="G55" s="15" t="n"/>
      <c r="H55" s="15" t="n"/>
      <c r="I55" s="15" t="n"/>
      <c r="J55" s="15" t="n"/>
      <c r="K55" s="190">
        <f>B55+C55+D55+E55-F55-G55-H55-I55</f>
        <v/>
      </c>
      <c r="L55" s="133" t="n"/>
      <c r="M55" s="133" t="n"/>
      <c r="N55" s="15" t="n"/>
      <c r="O55" s="15" t="n"/>
      <c r="P55" s="15" t="n"/>
      <c r="Q55" s="133">
        <f>IFERROR((L55+N55)/(M55+O55),"")</f>
        <v/>
      </c>
      <c r="R55" s="133">
        <f>IFERROR(D55*Q55,"")</f>
        <v/>
      </c>
      <c r="S55" s="133" t="n"/>
      <c r="T55" s="133">
        <f>IFERROR(Q55*G55,"")</f>
        <v/>
      </c>
      <c r="U55" s="15" t="n"/>
    </row>
    <row r="56">
      <c r="A56" s="24" t="inlineStr">
        <is>
          <t>Ewe bareskins</t>
        </is>
      </c>
      <c r="B56" s="15" t="n"/>
      <c r="C56" s="15" t="n"/>
      <c r="D56" s="15" t="n">
        <v>1</v>
      </c>
      <c r="E56" s="15" t="n"/>
      <c r="F56" s="15" t="n"/>
      <c r="G56" s="15" t="n">
        <v>1</v>
      </c>
      <c r="H56" s="15" t="n"/>
      <c r="I56" s="15" t="n"/>
      <c r="J56" s="15" t="n">
        <v>0</v>
      </c>
      <c r="K56" s="190">
        <f>B56+C56+D56+E56-F56-G56-H56-I56</f>
        <v/>
      </c>
      <c r="L56" s="133" t="n"/>
      <c r="M56" s="133" t="n"/>
      <c r="N56" s="15" t="n"/>
      <c r="O56" s="15" t="n"/>
      <c r="P56" s="15" t="n"/>
      <c r="Q56" s="133">
        <f>IFERROR((L56+N56)/(M56+O56),"")</f>
        <v/>
      </c>
      <c r="R56" s="133">
        <f>IFERROR(D56*Q56,"")</f>
        <v/>
      </c>
      <c r="S56" s="133" t="n"/>
      <c r="T56" s="133">
        <f>IFERROR(Q56*G56,"")</f>
        <v/>
      </c>
      <c r="U56" s="15" t="n"/>
    </row>
    <row r="57">
      <c r="A57" s="24" t="inlineStr">
        <is>
          <t>Hogg bareskins</t>
        </is>
      </c>
      <c r="B57" s="15" t="n"/>
      <c r="C57" s="15" t="n"/>
      <c r="D57" s="15" t="n"/>
      <c r="E57" s="15" t="n"/>
      <c r="F57" s="15" t="n"/>
      <c r="G57" s="15" t="n"/>
      <c r="H57" s="15" t="n"/>
      <c r="I57" s="15" t="n"/>
      <c r="J57" s="15" t="n"/>
      <c r="K57" s="190">
        <f>B57+C57+D57+E57-F57-G57-H57-I57</f>
        <v/>
      </c>
      <c r="L57" s="133" t="n"/>
      <c r="M57" s="133" t="n"/>
      <c r="N57" s="15" t="n"/>
      <c r="O57" s="15" t="n"/>
      <c r="P57" s="15" t="n"/>
      <c r="Q57" s="133">
        <f>IFERROR((L57+N57)/(M57+O57),"")</f>
        <v/>
      </c>
      <c r="R57" s="133">
        <f>IFERROR(D57*Q57,"")</f>
        <v/>
      </c>
      <c r="S57" s="133" t="n"/>
      <c r="T57" s="133">
        <f>IFERROR(Q57*G57,"")</f>
        <v/>
      </c>
      <c r="U57" s="15" t="n"/>
    </row>
    <row r="58">
      <c r="A58" s="25" t="inlineStr">
        <is>
          <t>Bareskins (total)</t>
        </is>
      </c>
      <c r="B58" s="15" t="n"/>
      <c r="C58" s="15" t="n"/>
      <c r="D58" s="15" t="n">
        <v>5</v>
      </c>
      <c r="E58" s="15" t="n"/>
      <c r="F58" s="15" t="n"/>
      <c r="G58" s="15" t="n">
        <v>5</v>
      </c>
      <c r="H58" s="15" t="n"/>
      <c r="I58" s="15" t="n"/>
      <c r="J58" s="15" t="n">
        <v>0</v>
      </c>
      <c r="K58" s="190">
        <f>B58+C58+D58+E58-F58-G58-H58-I58</f>
        <v/>
      </c>
      <c r="L58" s="133">
        <f>'Merdon Receipts'!F68</f>
        <v/>
      </c>
      <c r="M58" s="133" t="n">
        <v>5</v>
      </c>
      <c r="N58" s="15" t="n"/>
      <c r="O58" s="15" t="n"/>
      <c r="P58" s="15" t="n"/>
      <c r="Q58" s="133">
        <f>IFERROR((L58+N58)/(M58+O58),"")</f>
        <v/>
      </c>
      <c r="R58" s="133">
        <f>IFERROR(D58*Q58,"")</f>
        <v/>
      </c>
      <c r="S58" s="133">
        <f>Q58*K58</f>
        <v/>
      </c>
      <c r="T58" s="133">
        <f>IFERROR(Q58*G58,"")</f>
        <v/>
      </c>
      <c r="U58" s="15" t="n"/>
    </row>
    <row r="59">
      <c r="A59" s="15" t="inlineStr">
        <is>
          <t>Lambskins</t>
        </is>
      </c>
      <c r="B59" s="15" t="n"/>
      <c r="C59" s="15" t="n"/>
      <c r="D59" s="15" t="n">
        <v>16</v>
      </c>
      <c r="E59" s="15" t="n"/>
      <c r="F59" s="15" t="n"/>
      <c r="G59" s="15" t="n">
        <v>16</v>
      </c>
      <c r="H59" s="15" t="n"/>
      <c r="I59" s="15" t="n"/>
      <c r="J59" s="15" t="n">
        <v>0</v>
      </c>
      <c r="K59" s="190">
        <f>B59+C59+D59+E59-F59-G59-H59-I59</f>
        <v/>
      </c>
      <c r="L59" s="133">
        <f>'Merdon Receipts'!F69</f>
        <v/>
      </c>
      <c r="M59" s="133" t="n">
        <v>4</v>
      </c>
      <c r="N59" s="200">
        <f>'Merdon Receipts'!F70</f>
        <v/>
      </c>
      <c r="O59" s="15" t="n">
        <v>4</v>
      </c>
      <c r="P59" s="15" t="n"/>
      <c r="Q59" s="133">
        <f>IFERROR((L59+N59)/(M59+O59),"")</f>
        <v/>
      </c>
      <c r="R59" s="133">
        <f>IFERROR(D59*Q59,"")</f>
        <v/>
      </c>
      <c r="S59" s="133">
        <f>Q59*K59</f>
        <v/>
      </c>
      <c r="T59" s="133">
        <f>IFERROR(Q59*G59,"")</f>
        <v/>
      </c>
      <c r="U59" s="15" t="inlineStr">
        <is>
          <t>Number sold in receipts doesn't match that of stock</t>
        </is>
      </c>
    </row>
    <row r="60">
      <c r="A60" s="15" t="inlineStr">
        <is>
          <t>Rotted skins</t>
        </is>
      </c>
      <c r="B60" s="15" t="n"/>
      <c r="C60" s="15" t="n"/>
      <c r="D60" s="15" t="n"/>
      <c r="E60" s="15" t="n"/>
      <c r="F60" s="15" t="n"/>
      <c r="G60" s="15" t="n"/>
      <c r="H60" s="15" t="n"/>
      <c r="I60" s="15" t="n"/>
      <c r="J60" s="15" t="n"/>
      <c r="K60" s="190">
        <f>B60+C60+D60+E60-F60-G60-H60-I60</f>
        <v/>
      </c>
      <c r="L60" s="133" t="n"/>
      <c r="M60" s="133" t="n"/>
      <c r="N60" s="15" t="n"/>
      <c r="O60" s="15" t="n"/>
      <c r="P60" s="15" t="n"/>
      <c r="Q60" s="133">
        <f>IFERROR((L60+N60)/(M60+O60),"")</f>
        <v/>
      </c>
      <c r="R60" s="133">
        <f>IFERROR(D60*Q60,"")</f>
        <v/>
      </c>
      <c r="S60" s="133" t="n"/>
      <c r="T60" s="133">
        <f>IFERROR(Q60*G60,"")</f>
        <v/>
      </c>
      <c r="U60" s="15" t="n"/>
    </row>
    <row r="61">
      <c r="A61" s="15" t="inlineStr">
        <is>
          <t>Shorn skins</t>
        </is>
      </c>
      <c r="B61" s="15" t="n"/>
      <c r="C61" s="15" t="n"/>
      <c r="D61" s="15" t="n"/>
      <c r="E61" s="15" t="n"/>
      <c r="F61" s="15" t="n"/>
      <c r="G61" s="15" t="n"/>
      <c r="H61" s="15" t="n"/>
      <c r="I61" s="15" t="n"/>
      <c r="J61" s="15" t="n"/>
      <c r="K61" s="190">
        <f>B61+C61+D61+E61-F61-G61-H61-I61</f>
        <v/>
      </c>
      <c r="L61" s="133" t="n"/>
      <c r="M61" s="133" t="n"/>
      <c r="N61" s="15" t="n"/>
      <c r="O61" s="15" t="n"/>
      <c r="P61" s="15" t="n"/>
      <c r="Q61" s="133">
        <f>IFERROR((L61+N61)/(M61+O61),"")</f>
        <v/>
      </c>
      <c r="R61" s="133">
        <f>IFERROR(D61*Q61,"")</f>
        <v/>
      </c>
      <c r="S61" s="133" t="n"/>
      <c r="T61" s="133">
        <f>IFERROR(Q61*G61,"")</f>
        <v/>
      </c>
      <c r="U61" s="15" t="n"/>
    </row>
    <row r="62">
      <c r="A62" s="196" t="inlineStr">
        <is>
          <t>Total</t>
        </is>
      </c>
      <c r="B62" s="196" t="n"/>
      <c r="C62" s="196" t="n"/>
      <c r="D62" s="196" t="n"/>
      <c r="E62" s="196" t="n"/>
      <c r="F62" s="196" t="n"/>
      <c r="G62" s="196" t="n"/>
      <c r="H62" s="196" t="n"/>
      <c r="I62" s="196" t="n"/>
      <c r="J62" s="196" t="n"/>
      <c r="K62" s="197">
        <f>B62+C62+D62+E62-F62-G62-H62-I62</f>
        <v/>
      </c>
      <c r="L62" s="198" t="n"/>
      <c r="M62" s="198" t="n"/>
      <c r="N62" s="196" t="n"/>
      <c r="O62" s="196" t="n"/>
      <c r="P62" s="196" t="n"/>
      <c r="Q62" s="198">
        <f>IFERROR((L62+N62)/(M62+O62),"")</f>
        <v/>
      </c>
      <c r="R62" s="198">
        <f>IFERROR(D62*Q62,"")</f>
        <v/>
      </c>
      <c r="S62" s="198" t="n"/>
      <c r="T62" s="198">
        <f>SUM(T42:T61)</f>
        <v/>
      </c>
      <c r="U62" s="196" t="n"/>
    </row>
    <row r="63">
      <c r="A63" s="15" t="n"/>
      <c r="B63" s="15" t="n"/>
      <c r="C63" s="15" t="n"/>
      <c r="D63" s="15" t="n"/>
      <c r="E63" s="15" t="n"/>
      <c r="F63" s="15" t="n"/>
      <c r="G63" s="15" t="n"/>
      <c r="H63" s="15" t="n"/>
      <c r="I63" s="15" t="n"/>
      <c r="J63" s="15" t="n"/>
      <c r="K63" s="190">
        <f>B63+C63+D63+E63-F63-G63-H63-I63</f>
        <v/>
      </c>
      <c r="L63" s="133" t="n"/>
      <c r="M63" s="133" t="n"/>
      <c r="N63" s="15" t="n"/>
      <c r="O63" s="15" t="n"/>
      <c r="P63" s="15" t="n"/>
      <c r="Q63" s="133">
        <f>IFERROR((L63+N63)/(M63+O63),"")</f>
        <v/>
      </c>
      <c r="R63" s="133">
        <f>IFERROR(D63*Q63,"")</f>
        <v/>
      </c>
      <c r="S63" s="133" t="n"/>
      <c r="T63" s="133">
        <f>IFERROR(Q63*G63,"")</f>
        <v/>
      </c>
      <c r="U63" s="15" t="n"/>
    </row>
    <row r="64" ht="17" customHeight="1">
      <c r="A64" s="189" t="inlineStr">
        <is>
          <t>Poultry stock</t>
        </is>
      </c>
      <c r="B64" s="199" t="n"/>
      <c r="C64" s="199" t="n"/>
      <c r="D64" s="15" t="n"/>
      <c r="E64" s="15" t="n"/>
      <c r="F64" s="15" t="n"/>
      <c r="G64" s="15" t="n"/>
      <c r="H64" s="15" t="n"/>
      <c r="I64" s="15" t="n"/>
      <c r="J64" s="15" t="n"/>
      <c r="K64" s="190">
        <f>B64+C64+D64+E64-F64-G64-H64-I64</f>
        <v/>
      </c>
      <c r="L64" s="133" t="n"/>
      <c r="M64" s="133" t="n"/>
      <c r="N64" s="15" t="n"/>
      <c r="O64" s="15" t="n"/>
      <c r="P64" s="15" t="n"/>
      <c r="Q64" s="133">
        <f>IFERROR((L64+N64)/(M64+O64),"")</f>
        <v/>
      </c>
      <c r="R64" s="133">
        <f>IFERROR(D64*Q64,"")</f>
        <v/>
      </c>
      <c r="S64" s="133" t="n"/>
      <c r="T64" s="133">
        <f>IFERROR(Q64*G64,"")</f>
        <v/>
      </c>
      <c r="U64" s="15" t="n"/>
    </row>
    <row r="65" ht="17" customHeight="1">
      <c r="A65" s="22" t="inlineStr">
        <is>
          <t>Hens</t>
        </is>
      </c>
      <c r="B65" s="15" t="n"/>
      <c r="C65" s="15" t="n"/>
      <c r="D65" s="15" t="n"/>
      <c r="E65" s="15" t="n"/>
      <c r="F65" s="15" t="n"/>
      <c r="G65" s="15" t="n"/>
      <c r="H65" s="15" t="n"/>
      <c r="I65" s="15" t="n"/>
      <c r="J65" s="15" t="n"/>
      <c r="K65" s="190">
        <f>B65+C65+D65+E65-F65-G65-H65-I65</f>
        <v/>
      </c>
      <c r="L65" s="133" t="n"/>
      <c r="M65" s="133" t="n"/>
      <c r="N65" s="15" t="n"/>
      <c r="O65" s="15" t="n"/>
      <c r="P65" s="15" t="n"/>
      <c r="Q65" s="133">
        <f>IFERROR((L65+N65)/(M65+O65),"")</f>
        <v/>
      </c>
      <c r="R65" s="133">
        <f>IFERROR(D65*Q65,"")</f>
        <v/>
      </c>
      <c r="S65" s="133" t="n"/>
      <c r="T65" s="133">
        <f>IFERROR(Q65*G65,"")</f>
        <v/>
      </c>
      <c r="U65" s="15" t="n"/>
    </row>
    <row r="66">
      <c r="A66" s="15" t="inlineStr">
        <is>
          <t>Geese</t>
        </is>
      </c>
      <c r="B66" s="15" t="n"/>
      <c r="C66" s="15" t="n"/>
      <c r="D66" s="15" t="n"/>
      <c r="E66" s="15" t="n"/>
      <c r="F66" s="15" t="n"/>
      <c r="G66" s="15" t="n"/>
      <c r="H66" s="15" t="n"/>
      <c r="I66" s="15" t="n"/>
      <c r="J66" s="15" t="n"/>
      <c r="K66" s="190">
        <f>B66+C66+D66+E66-F66-G66-H66-I66</f>
        <v/>
      </c>
      <c r="L66" s="133" t="n"/>
      <c r="M66" s="133" t="n"/>
      <c r="N66" s="15" t="n"/>
      <c r="O66" s="15" t="n"/>
      <c r="P66" s="15" t="n"/>
      <c r="Q66" s="133">
        <f>IFERROR((L66+N66)/(M66+O66),"")</f>
        <v/>
      </c>
      <c r="R66" s="133">
        <f>IFERROR(D66*Q66,"")</f>
        <v/>
      </c>
      <c r="S66" s="133" t="n"/>
      <c r="T66" s="133">
        <f>IFERROR(Q66*G66,"")</f>
        <v/>
      </c>
      <c r="U66" s="15" t="n"/>
    </row>
    <row r="67">
      <c r="A67" s="15" t="inlineStr">
        <is>
          <t>Capons (from chickens)</t>
        </is>
      </c>
      <c r="B67" s="15" t="n"/>
      <c r="C67" s="15" t="n"/>
      <c r="D67" s="15" t="n"/>
      <c r="E67" s="15" t="n"/>
      <c r="F67" s="15" t="n"/>
      <c r="G67" s="15" t="n"/>
      <c r="H67" s="15" t="n"/>
      <c r="I67" s="15" t="n"/>
      <c r="J67" s="15" t="n"/>
      <c r="K67" s="190">
        <f>B67+C67+D67+E67-F67-G67-H67-I67</f>
        <v/>
      </c>
      <c r="L67" s="133" t="n"/>
      <c r="M67" s="133" t="n"/>
      <c r="N67" s="15" t="n"/>
      <c r="O67" s="15" t="n"/>
      <c r="P67" s="15" t="n"/>
      <c r="Q67" s="133">
        <f>IFERROR((L67+N67)/(M67+O67),"")</f>
        <v/>
      </c>
      <c r="R67" s="133">
        <f>IFERROR(D67*Q67,"")</f>
        <v/>
      </c>
      <c r="S67" s="133" t="n"/>
      <c r="T67" s="133">
        <f>IFERROR(Q67*G67,"")</f>
        <v/>
      </c>
      <c r="U67" s="15" t="n"/>
    </row>
    <row r="68">
      <c r="A68" s="15" t="inlineStr">
        <is>
          <t>Cocks &amp; hens</t>
        </is>
      </c>
      <c r="B68" s="15" t="n"/>
      <c r="C68" s="15" t="n"/>
      <c r="D68" s="15" t="n"/>
      <c r="E68" s="15" t="n"/>
      <c r="F68" s="15" t="n"/>
      <c r="G68" s="15" t="n"/>
      <c r="H68" s="15" t="n"/>
      <c r="I68" s="15" t="n"/>
      <c r="J68" s="15" t="n"/>
      <c r="K68" s="190">
        <f>B68+C68+D68+E68-F68-G68-H68-I68</f>
        <v/>
      </c>
      <c r="L68" s="133" t="n"/>
      <c r="M68" s="133" t="n"/>
      <c r="N68" s="15" t="n"/>
      <c r="O68" s="15" t="n"/>
      <c r="P68" s="15" t="n"/>
      <c r="Q68" s="133">
        <f>IFERROR((L68+N68)/(M68+O68),"")</f>
        <v/>
      </c>
      <c r="R68" s="133">
        <f>IFERROR(D68*Q68,"")</f>
        <v/>
      </c>
      <c r="S68" s="133" t="n"/>
      <c r="T68" s="133">
        <f>IFERROR(Q68*G68,"")</f>
        <v/>
      </c>
      <c r="U68" s="15" t="n"/>
    </row>
    <row r="69">
      <c r="A69" s="196" t="inlineStr">
        <is>
          <t>Total</t>
        </is>
      </c>
      <c r="B69" s="196" t="n"/>
      <c r="C69" s="196" t="n"/>
      <c r="D69" s="196" t="n"/>
      <c r="E69" s="196" t="n"/>
      <c r="F69" s="196" t="n"/>
      <c r="G69" s="196" t="n"/>
      <c r="H69" s="196" t="n"/>
      <c r="I69" s="196" t="n"/>
      <c r="J69" s="196" t="n"/>
      <c r="K69" s="197" t="n"/>
      <c r="L69" s="198" t="n"/>
      <c r="M69" s="198" t="n"/>
      <c r="N69" s="196" t="n"/>
      <c r="O69" s="196" t="n"/>
      <c r="P69" s="196" t="n"/>
      <c r="Q69" s="198" t="n"/>
      <c r="R69" s="198" t="n"/>
      <c r="S69" s="198" t="n"/>
      <c r="T69" s="198" t="n"/>
      <c r="U69" s="196" t="n"/>
    </row>
    <row r="70">
      <c r="A70" s="15" t="n"/>
      <c r="B70" s="15" t="n"/>
      <c r="C70" s="15" t="n"/>
      <c r="D70" s="15" t="n"/>
      <c r="E70" s="15" t="n"/>
      <c r="F70" s="15" t="n"/>
      <c r="G70" s="15" t="n"/>
      <c r="H70" s="15" t="n"/>
      <c r="I70" s="15" t="n"/>
      <c r="J70" s="15" t="n"/>
      <c r="K70" s="190">
        <f>B70+C70+D70+E70-F70-G70-H70-I70</f>
        <v/>
      </c>
      <c r="L70" s="133" t="n"/>
      <c r="M70" s="133" t="n"/>
      <c r="N70" s="15" t="n"/>
      <c r="O70" s="15" t="n"/>
      <c r="P70" s="15" t="n"/>
      <c r="Q70" s="133">
        <f>IFERROR((L70+N70)/(M70+O70),"")</f>
        <v/>
      </c>
      <c r="R70" s="133">
        <f>IFERROR(D70*Q70,"")</f>
        <v/>
      </c>
      <c r="S70" s="133" t="n"/>
      <c r="T70" s="133">
        <f>IFERROR(Q70*G70,"")</f>
        <v/>
      </c>
      <c r="U70" s="15" t="n"/>
    </row>
    <row r="71">
      <c r="A71" s="15" t="n"/>
      <c r="B71" s="15" t="n"/>
      <c r="C71" s="15" t="n"/>
      <c r="D71" s="15" t="n"/>
      <c r="E71" s="15" t="n"/>
      <c r="F71" s="15" t="n"/>
      <c r="G71" s="15" t="n"/>
      <c r="H71" s="15" t="n"/>
      <c r="I71" s="15" t="n"/>
      <c r="J71" s="15" t="n"/>
      <c r="K71" s="190">
        <f>B71+C71+D71+E71-F71-G71-H71-I71</f>
        <v/>
      </c>
      <c r="L71" s="133" t="n"/>
      <c r="M71" s="133" t="n"/>
      <c r="N71" s="15" t="n"/>
      <c r="O71" s="15" t="n"/>
      <c r="P71" s="15" t="n"/>
      <c r="Q71" s="133">
        <f>IFERROR((L71+N71)/(M71+O71),"")</f>
        <v/>
      </c>
      <c r="R71" s="133">
        <f>IFERROR(D71*Q71,"")</f>
        <v/>
      </c>
      <c r="S71" s="133" t="n"/>
      <c r="T71" s="133">
        <f>IFERROR(Q71*G71,"")</f>
        <v/>
      </c>
      <c r="U71" s="15" t="n"/>
    </row>
    <row r="72">
      <c r="A72" s="8" t="inlineStr">
        <is>
          <t>Poultry production</t>
        </is>
      </c>
      <c r="B72" s="199" t="n"/>
      <c r="C72" s="199" t="n"/>
      <c r="D72" s="15" t="n"/>
      <c r="E72" s="15" t="n"/>
      <c r="F72" s="15" t="n"/>
      <c r="G72" s="15" t="n"/>
      <c r="H72" s="15" t="n"/>
      <c r="I72" s="15" t="n"/>
      <c r="J72" s="15" t="n"/>
      <c r="K72" s="190">
        <f>B72+C72+D72+E72-F72-G72-H72-I72</f>
        <v/>
      </c>
      <c r="L72" s="133" t="n"/>
      <c r="M72" s="133" t="n"/>
      <c r="N72" s="15" t="n"/>
      <c r="O72" s="15" t="n"/>
      <c r="P72" s="15" t="n"/>
      <c r="Q72" s="133">
        <f>IFERROR((L72+N72)/(M72+O72),"")</f>
        <v/>
      </c>
      <c r="R72" s="133">
        <f>IFERROR(D72*Q72,"")</f>
        <v/>
      </c>
      <c r="S72" s="133" t="n"/>
      <c r="T72" s="133">
        <f>IFERROR(Q72*G72,"")</f>
        <v/>
      </c>
      <c r="U72" s="15" t="n"/>
    </row>
    <row r="73">
      <c r="A73" s="15" t="inlineStr">
        <is>
          <t>Eggs</t>
        </is>
      </c>
      <c r="B73" s="15" t="n"/>
      <c r="C73" s="15" t="n"/>
      <c r="D73" s="15" t="n">
        <v>400</v>
      </c>
      <c r="E73" s="15" t="n"/>
      <c r="F73" s="15" t="n"/>
      <c r="G73" s="15" t="n">
        <v>400</v>
      </c>
      <c r="H73" s="15" t="n"/>
      <c r="I73" s="15" t="n"/>
      <c r="J73" s="15" t="n">
        <v>0</v>
      </c>
      <c r="K73" s="190">
        <f>B73+C73+D73+E73-F73-G73-H73-I73</f>
        <v/>
      </c>
      <c r="L73" s="133">
        <f>'Merdon Receipts'!F72</f>
        <v/>
      </c>
      <c r="M73" s="133" t="n">
        <v>400</v>
      </c>
      <c r="N73" s="15" t="n"/>
      <c r="O73" s="15" t="n"/>
      <c r="P73" s="15" t="n"/>
      <c r="Q73" s="133">
        <f>IFERROR((L73+N73)/(M73+O73),"")</f>
        <v/>
      </c>
      <c r="R73" s="133">
        <f>IFERROR(D73*Q73,"")</f>
        <v/>
      </c>
      <c r="S73" s="133">
        <f>Q73*K73</f>
        <v/>
      </c>
      <c r="T73" s="133">
        <f>IFERROR(Q73*G73,"")</f>
        <v/>
      </c>
      <c r="U73" s="15" t="n"/>
    </row>
    <row r="74">
      <c r="A74" s="15" t="inlineStr">
        <is>
          <t>Cocks &amp; hens from churchscot of customary tenants</t>
        </is>
      </c>
      <c r="B74" s="15" t="n"/>
      <c r="C74" s="15" t="n"/>
      <c r="D74" s="15" t="n"/>
      <c r="E74" s="15" t="n"/>
      <c r="F74" s="15" t="n"/>
      <c r="G74" s="15" t="n"/>
      <c r="H74" s="15" t="n"/>
      <c r="I74" s="15" t="n"/>
      <c r="J74" s="15" t="n"/>
      <c r="K74" s="190">
        <f>B74+C74+D74+E74-F74-G74-H74-I74</f>
        <v/>
      </c>
      <c r="L74" s="133" t="n"/>
      <c r="M74" s="133" t="n"/>
      <c r="N74" s="15" t="n"/>
      <c r="O74" s="15" t="n"/>
      <c r="P74" s="15" t="n"/>
      <c r="Q74" s="133">
        <f>IFERROR((L74+N74)/(M74+O74),"")</f>
        <v/>
      </c>
      <c r="R74" s="133">
        <f>IFERROR(D74*Q74,"")</f>
        <v/>
      </c>
      <c r="S74" s="133" t="n"/>
      <c r="T74" s="133">
        <f>IFERROR(Q74*G74,"")</f>
        <v/>
      </c>
      <c r="U74" s="15" t="n"/>
    </row>
    <row r="75">
      <c r="A75" s="196" t="inlineStr">
        <is>
          <t>Total</t>
        </is>
      </c>
      <c r="B75" s="196" t="n"/>
      <c r="C75" s="196" t="n"/>
      <c r="D75" s="196" t="n"/>
      <c r="E75" s="196" t="n"/>
      <c r="F75" s="196" t="n"/>
      <c r="G75" s="196" t="n"/>
      <c r="H75" s="196" t="n"/>
      <c r="I75" s="196" t="n"/>
      <c r="J75" s="196" t="n"/>
      <c r="K75" s="197">
        <f>B75+C75+D75+E75-F75-G75-H75-I75</f>
        <v/>
      </c>
      <c r="L75" s="198" t="n"/>
      <c r="M75" s="198" t="n"/>
      <c r="N75" s="196" t="n"/>
      <c r="O75" s="196" t="n"/>
      <c r="P75" s="196" t="n"/>
      <c r="Q75" s="198">
        <f>IFERROR((L75+N75)/(M75+O75),"")</f>
        <v/>
      </c>
      <c r="R75" s="198">
        <f>IFERROR(D75*Q75,"")</f>
        <v/>
      </c>
      <c r="S75" s="198" t="n"/>
      <c r="T75" s="198">
        <f>SUM(T73:T74)</f>
        <v/>
      </c>
      <c r="U75" s="196" t="n"/>
    </row>
    <row r="76">
      <c r="A76" s="15" t="n"/>
      <c r="B76" s="15" t="n"/>
      <c r="C76" s="15" t="n"/>
      <c r="D76" s="15" t="n"/>
      <c r="E76" s="15" t="n"/>
      <c r="F76" s="15" t="n"/>
      <c r="G76" s="15" t="n"/>
      <c r="H76" s="15" t="n"/>
      <c r="I76" s="15" t="n"/>
      <c r="J76" s="15" t="n"/>
      <c r="K76" s="190">
        <f>B76+C76+D76+E76-F76-G76-H76-I76</f>
        <v/>
      </c>
      <c r="L76" s="133" t="n"/>
      <c r="M76" s="133" t="n"/>
      <c r="N76" s="15" t="n"/>
      <c r="O76" s="15" t="n"/>
      <c r="P76" s="15" t="n"/>
      <c r="Q76" s="133">
        <f>IFERROR((L76+N76)/(M76+O76),"")</f>
        <v/>
      </c>
      <c r="R76" s="133">
        <f>IFERROR(D76*Q76,"")</f>
        <v/>
      </c>
      <c r="S76" s="133" t="n"/>
      <c r="T76" s="133">
        <f>IFERROR(Q76*G76,"")</f>
        <v/>
      </c>
      <c r="U76" s="15" t="n"/>
    </row>
    <row r="77">
      <c r="A77" s="8" t="inlineStr">
        <is>
          <t>Meat</t>
        </is>
      </c>
      <c r="B77" s="15" t="n"/>
      <c r="C77" s="15" t="n"/>
      <c r="D77" s="15" t="n"/>
      <c r="E77" s="15" t="n"/>
      <c r="F77" s="15" t="n"/>
      <c r="G77" s="15" t="n"/>
      <c r="H77" s="15" t="n"/>
      <c r="I77" s="15" t="n"/>
      <c r="J77" s="15" t="n"/>
      <c r="K77" s="190">
        <f>B77+C77+D77+E77-F77-G77-H77-I77</f>
        <v/>
      </c>
      <c r="L77" s="133" t="n"/>
      <c r="M77" s="133" t="n"/>
      <c r="N77" s="15" t="n"/>
      <c r="O77" s="15" t="n"/>
      <c r="P77" s="15" t="n"/>
      <c r="Q77" s="133">
        <f>IFERROR((L77+N77)/(M77+O77),"")</f>
        <v/>
      </c>
      <c r="R77" s="133">
        <f>IFERROR(D77*Q77,"")</f>
        <v/>
      </c>
      <c r="S77" s="133" t="n"/>
      <c r="T77" s="133">
        <f>IFERROR(Q77*G77,"")</f>
        <v/>
      </c>
      <c r="U77" s="15" t="n"/>
    </row>
    <row r="78">
      <c r="A78" s="15" t="inlineStr">
        <is>
          <t>Beef</t>
        </is>
      </c>
      <c r="B78" s="15" t="n"/>
      <c r="C78" s="15" t="n"/>
      <c r="D78" s="15" t="n"/>
      <c r="E78" s="15" t="n"/>
      <c r="F78" s="15" t="n"/>
      <c r="G78" s="15" t="n"/>
      <c r="H78" s="15" t="n"/>
      <c r="I78" s="15" t="n"/>
      <c r="J78" s="15" t="n"/>
      <c r="K78" s="190">
        <f>B78+C78+D78+E78-F78-G78-H78-I78</f>
        <v/>
      </c>
      <c r="L78" s="133" t="n"/>
      <c r="M78" s="133" t="n"/>
      <c r="N78" s="15" t="n"/>
      <c r="O78" s="15" t="n"/>
      <c r="P78" s="15" t="n"/>
      <c r="Q78" s="133">
        <f>IFERROR((L78+N78)/(M78+O78),"")</f>
        <v/>
      </c>
      <c r="R78" s="133">
        <f>IFERROR(D78*Q78,"")</f>
        <v/>
      </c>
      <c r="S78" s="133" t="n"/>
      <c r="T78" s="133">
        <f>IFERROR(Q78*G78,"")</f>
        <v/>
      </c>
      <c r="U78" s="15" t="n"/>
    </row>
    <row r="79">
      <c r="A79" s="15" t="inlineStr">
        <is>
          <t>Mutton</t>
        </is>
      </c>
      <c r="B79" s="15" t="n"/>
      <c r="C79" s="15" t="n"/>
      <c r="D79" s="15" t="n"/>
      <c r="E79" s="15" t="n"/>
      <c r="F79" s="15" t="n"/>
      <c r="G79" s="15" t="n"/>
      <c r="H79" s="15" t="n"/>
      <c r="I79" s="15" t="n"/>
      <c r="J79" s="15" t="n"/>
      <c r="K79" s="190">
        <f>B79+C79+D79+E79-F79-G79-H79-I79</f>
        <v/>
      </c>
      <c r="L79" s="133" t="n"/>
      <c r="M79" s="133" t="n"/>
      <c r="N79" s="15" t="n"/>
      <c r="O79" s="15" t="n"/>
      <c r="P79" s="15" t="n"/>
      <c r="Q79" s="133">
        <f>IFERROR((L79+N79)/(M79+O79),"")</f>
        <v/>
      </c>
      <c r="R79" s="133">
        <f>IFERROR(D79*Q79,"")</f>
        <v/>
      </c>
      <c r="S79" s="133" t="n"/>
      <c r="T79" s="133">
        <f>IFERROR(Q79*G79,"")</f>
        <v/>
      </c>
      <c r="U79" s="15" t="n"/>
    </row>
    <row r="80">
      <c r="A80" s="15" t="inlineStr">
        <is>
          <t>Pork</t>
        </is>
      </c>
      <c r="B80" s="15" t="n"/>
      <c r="C80" s="15" t="n"/>
      <c r="D80" s="15" t="n"/>
      <c r="E80" s="15" t="n"/>
      <c r="F80" s="15" t="n"/>
      <c r="G80" s="15" t="n"/>
      <c r="H80" s="15" t="n"/>
      <c r="I80" s="15" t="n"/>
      <c r="J80" s="15" t="n"/>
      <c r="K80" s="190">
        <f>B80+C80+D80+E80-F80-G80-H80-I80</f>
        <v/>
      </c>
      <c r="L80" s="133" t="n"/>
      <c r="M80" s="133" t="n"/>
      <c r="N80" s="15" t="n"/>
      <c r="O80" s="15" t="n"/>
      <c r="P80" s="15" t="n"/>
      <c r="Q80" s="133">
        <f>IFERROR((L80+N80)/(M80+O80),"")</f>
        <v/>
      </c>
      <c r="R80" s="133">
        <f>IFERROR(D80*Q80,"")</f>
        <v/>
      </c>
      <c r="S80" s="133" t="n"/>
      <c r="T80" s="133">
        <f>IFERROR(Q80*G80,"")</f>
        <v/>
      </c>
      <c r="U80" s="15" t="n"/>
    </row>
    <row r="81">
      <c r="A81" s="15" t="n"/>
      <c r="B81" s="15" t="n"/>
      <c r="C81" s="15" t="n"/>
      <c r="D81" s="15" t="n"/>
      <c r="E81" s="15" t="n"/>
      <c r="F81" s="15" t="n"/>
      <c r="G81" s="15" t="n"/>
      <c r="H81" s="15" t="n"/>
      <c r="I81" s="15" t="n"/>
      <c r="J81" s="15" t="n"/>
      <c r="K81" s="190">
        <f>B81+C81+D81+E81-F81-G81-H81-I81</f>
        <v/>
      </c>
      <c r="L81" s="133" t="n"/>
      <c r="M81" s="133" t="n"/>
      <c r="N81" s="15" t="n"/>
      <c r="O81" s="15" t="n"/>
      <c r="P81" s="15" t="n"/>
      <c r="Q81" s="133">
        <f>IFERROR((L81+N81)/(M81+O81),"")</f>
        <v/>
      </c>
      <c r="R81" s="133">
        <f>IFERROR(D81*Q81,"")</f>
        <v/>
      </c>
      <c r="S81" s="133" t="n"/>
      <c r="T81" s="133">
        <f>IFERROR(Q81*G81,"")</f>
        <v/>
      </c>
      <c r="U81" s="15" t="n"/>
    </row>
    <row r="82">
      <c r="A82" s="15" t="n"/>
      <c r="B82" s="15" t="n"/>
      <c r="C82" s="15" t="n"/>
      <c r="D82" s="15" t="n"/>
      <c r="E82" s="15" t="n"/>
      <c r="F82" s="15" t="n"/>
      <c r="G82" s="15" t="n"/>
      <c r="H82" s="15" t="n"/>
      <c r="I82" s="15" t="n"/>
      <c r="J82" s="15" t="n"/>
      <c r="K82" s="190">
        <f>B82+C82+D82+E82-F82-G82-H82-I82</f>
        <v/>
      </c>
      <c r="L82" s="133" t="n"/>
      <c r="M82" s="133" t="n"/>
      <c r="N82" s="15" t="n"/>
      <c r="O82" s="15" t="n"/>
      <c r="P82" s="15" t="n"/>
      <c r="Q82" s="133">
        <f>IFERROR((L82+N82)/(M82+O82),"")</f>
        <v/>
      </c>
      <c r="R82" s="133">
        <f>IFERROR(D82*Q82,"")</f>
        <v/>
      </c>
      <c r="S82" s="133" t="n"/>
      <c r="T82" s="133">
        <f>IFERROR(Q82*G82,"")</f>
        <v/>
      </c>
      <c r="U82" s="15" t="n"/>
    </row>
    <row r="83">
      <c r="A83" s="8" t="inlineStr">
        <is>
          <t>Cheese</t>
        </is>
      </c>
      <c r="B83" s="199" t="n"/>
      <c r="C83" s="199" t="n"/>
      <c r="D83" s="15" t="n"/>
      <c r="E83" s="15" t="n"/>
      <c r="F83" s="15" t="n"/>
      <c r="G83" s="15" t="n"/>
      <c r="H83" s="15" t="n"/>
      <c r="I83" s="15" t="n"/>
      <c r="J83" s="15" t="n"/>
      <c r="K83" s="190">
        <f>B83+C83+D83+E83-F83-G83-H83-I83</f>
        <v/>
      </c>
      <c r="L83" s="133" t="n"/>
      <c r="M83" s="133" t="n"/>
      <c r="N83" s="15" t="n"/>
      <c r="O83" s="15" t="n"/>
      <c r="P83" s="15" t="n"/>
      <c r="Q83" s="133">
        <f>IFERROR((L83+N83)/(M83+O83),"")</f>
        <v/>
      </c>
      <c r="R83" s="133">
        <f>IFERROR(D83*Q83,"")</f>
        <v/>
      </c>
      <c r="S83" s="133" t="n"/>
      <c r="T83" s="133">
        <f>IFERROR(Q83*G83,"")</f>
        <v/>
      </c>
      <c r="U83" s="15" t="n"/>
    </row>
    <row r="84">
      <c r="A84" s="15" t="inlineStr">
        <is>
          <t>Winter cheese</t>
        </is>
      </c>
      <c r="B84" s="15" t="n"/>
      <c r="C84" s="15" t="n"/>
      <c r="D84" s="15" t="n">
        <v>18</v>
      </c>
      <c r="E84" s="15" t="n"/>
      <c r="F84" s="15" t="n"/>
      <c r="G84" s="15" t="n">
        <v>18</v>
      </c>
      <c r="H84" s="15" t="n"/>
      <c r="I84" s="15" t="n"/>
      <c r="J84" s="15" t="n">
        <v>0</v>
      </c>
      <c r="K84" s="190">
        <f>B84+C84+D84+E84-F84-G84-H84-I84</f>
        <v/>
      </c>
      <c r="L84" s="133">
        <f>'Merdon Receipts'!F60</f>
        <v/>
      </c>
      <c r="M84" s="133" t="n">
        <v>18</v>
      </c>
      <c r="N84" s="15" t="n"/>
      <c r="O84" s="15" t="n"/>
      <c r="P84" s="15" t="n"/>
      <c r="Q84" s="133">
        <f>IFERROR((L84+N84)/(M84+O84),"")</f>
        <v/>
      </c>
      <c r="R84" s="133">
        <f>IFERROR(D84*Q84,"")</f>
        <v/>
      </c>
      <c r="S84" s="133">
        <f>Q84*K84</f>
        <v/>
      </c>
      <c r="T84" s="133">
        <f>IFERROR(Q84*G84,"")</f>
        <v/>
      </c>
      <c r="U84" s="15" t="inlineStr">
        <is>
          <t>6 cloves</t>
        </is>
      </c>
    </row>
    <row r="85">
      <c r="A85" s="15" t="inlineStr">
        <is>
          <t>Summer cheese</t>
        </is>
      </c>
      <c r="B85" s="15" t="n"/>
      <c r="C85" s="15" t="n"/>
      <c r="D85" s="15" t="n">
        <v>168</v>
      </c>
      <c r="E85" s="15" t="n"/>
      <c r="F85" s="15" t="n"/>
      <c r="G85" s="15" t="n">
        <v>157</v>
      </c>
      <c r="H85" s="15" t="n"/>
      <c r="I85" s="15" t="n">
        <v>11</v>
      </c>
      <c r="J85" s="15" t="n">
        <v>0</v>
      </c>
      <c r="K85" s="190">
        <f>B85+C85+D85+E85-F85-G85-H85-I85</f>
        <v/>
      </c>
      <c r="L85" s="133">
        <f>'Merdon Receipts'!F61</f>
        <v/>
      </c>
      <c r="M85" s="133" t="n">
        <v>157</v>
      </c>
      <c r="N85" s="15" t="n"/>
      <c r="O85" s="15" t="n"/>
      <c r="P85" s="15" t="n"/>
      <c r="Q85" s="133">
        <f>IFERROR((L85+N85)/(M85+O85),"")</f>
        <v/>
      </c>
      <c r="R85" s="133">
        <f>IFERROR(D85*Q85,"")</f>
        <v/>
      </c>
      <c r="S85" s="133">
        <f>Q85*K85</f>
        <v/>
      </c>
      <c r="T85" s="133">
        <f>IFERROR(Q85*G85,"")</f>
        <v/>
      </c>
      <c r="U85" s="15" t="inlineStr">
        <is>
          <t>accounted for elsewhere is tithe; weight is 8 weys 7 cloves</t>
        </is>
      </c>
    </row>
    <row r="86">
      <c r="A86" s="196" t="inlineStr">
        <is>
          <t>Total</t>
        </is>
      </c>
      <c r="B86" s="196" t="n"/>
      <c r="C86" s="196" t="n"/>
      <c r="D86" s="196" t="n"/>
      <c r="E86" s="196" t="n"/>
      <c r="F86" s="196" t="n"/>
      <c r="G86" s="196" t="n"/>
      <c r="H86" s="196" t="n"/>
      <c r="I86" s="196" t="n"/>
      <c r="J86" s="196" t="n"/>
      <c r="K86" s="197" t="n"/>
      <c r="L86" s="198" t="n"/>
      <c r="M86" s="198" t="n"/>
      <c r="N86" s="196" t="n"/>
      <c r="O86" s="196" t="n"/>
      <c r="P86" s="196" t="n"/>
      <c r="Q86" s="198" t="n"/>
      <c r="R86" s="198" t="n"/>
      <c r="S86" s="198" t="n"/>
      <c r="T86" s="198">
        <f>SUM(T84:T85)</f>
        <v/>
      </c>
      <c r="U86" s="196" t="n"/>
    </row>
    <row r="87">
      <c r="A87" s="15" t="n"/>
      <c r="B87" s="15" t="n"/>
      <c r="C87" s="15" t="n"/>
      <c r="D87" s="15" t="n"/>
      <c r="E87" s="15" t="n"/>
      <c r="F87" s="15" t="n"/>
      <c r="G87" s="15" t="n"/>
      <c r="H87" s="15" t="n"/>
      <c r="I87" s="15" t="n"/>
      <c r="J87" s="15" t="n"/>
      <c r="K87" s="190">
        <f>B87+C87+D87+E87-F87-G87-H87-I87</f>
        <v/>
      </c>
      <c r="L87" s="133" t="n"/>
      <c r="M87" s="133" t="n"/>
      <c r="N87" s="15" t="n"/>
      <c r="O87" s="15" t="n"/>
      <c r="P87" s="15" t="n"/>
      <c r="Q87" s="133">
        <f>IFERROR((L87+N87)/(M87+O87),"")</f>
        <v/>
      </c>
      <c r="R87" s="133">
        <f>IFERROR(D87*Q87,"")</f>
        <v/>
      </c>
      <c r="S87" s="133" t="n"/>
      <c r="T87" s="133">
        <f>IFERROR(Q87*G87,"")</f>
        <v/>
      </c>
      <c r="U87" s="15" t="n"/>
    </row>
    <row r="88">
      <c r="A88" s="15" t="n"/>
      <c r="B88" s="15" t="n"/>
      <c r="C88" s="15" t="n"/>
      <c r="D88" s="15" t="n"/>
      <c r="E88" s="15" t="n"/>
      <c r="F88" s="15" t="n"/>
      <c r="G88" s="15" t="n"/>
      <c r="H88" s="15" t="n"/>
      <c r="I88" s="15" t="n"/>
      <c r="J88" s="15" t="n"/>
      <c r="K88" s="190">
        <f>B88+C88+D88+E88-F88-G88-H88-I88</f>
        <v/>
      </c>
      <c r="L88" s="133" t="n"/>
      <c r="M88" s="133" t="n"/>
      <c r="N88" s="15" t="n"/>
      <c r="O88" s="15" t="n"/>
      <c r="P88" s="15" t="n"/>
      <c r="Q88" s="133">
        <f>IFERROR((L88+N88)/(M88+O88),"")</f>
        <v/>
      </c>
      <c r="R88" s="133">
        <f>IFERROR(D88*Q88,"")</f>
        <v/>
      </c>
      <c r="S88" s="133" t="n"/>
      <c r="T88" s="133">
        <f>IFERROR(Q88*G88,"")</f>
        <v/>
      </c>
      <c r="U88" s="15" t="n"/>
    </row>
    <row r="89">
      <c r="A89" s="8" t="inlineStr">
        <is>
          <t>Butter</t>
        </is>
      </c>
      <c r="B89" s="199" t="n"/>
      <c r="C89" s="199" t="n"/>
      <c r="D89" s="15">
        <f>15*0.04+1*Assumptions!E4</f>
        <v/>
      </c>
      <c r="E89" s="15" t="n"/>
      <c r="F89" s="15" t="n"/>
      <c r="G89" s="15">
        <f>D89</f>
        <v/>
      </c>
      <c r="H89" s="15" t="n"/>
      <c r="I89" s="15" t="n"/>
      <c r="J89" s="15" t="n"/>
      <c r="K89" s="190">
        <f>B89+C89+D89+E89-F89-G89-H89-I89</f>
        <v/>
      </c>
      <c r="L89" s="133">
        <f>'Merdon Receipts'!F64</f>
        <v/>
      </c>
      <c r="M89" s="15">
        <f>P89</f>
        <v/>
      </c>
      <c r="N89" s="15" t="n"/>
      <c r="P89" s="15">
        <f>G89</f>
        <v/>
      </c>
      <c r="Q89" s="133">
        <f>IFERROR((L89+N89)/(M89+O89),"")</f>
        <v/>
      </c>
      <c r="R89" s="133">
        <f>IFERROR(D89*Q89,"")</f>
        <v/>
      </c>
      <c r="S89" s="133">
        <f>Q89*K89</f>
        <v/>
      </c>
      <c r="T89" s="133">
        <f>IFERROR(Q89*G89,"")</f>
        <v/>
      </c>
      <c r="U89" s="15" t="n"/>
    </row>
    <row r="90">
      <c r="A90" s="196" t="inlineStr">
        <is>
          <t>Total</t>
        </is>
      </c>
      <c r="B90" s="196" t="n"/>
      <c r="C90" s="196" t="n"/>
      <c r="D90" s="196" t="n"/>
      <c r="E90" s="196" t="n"/>
      <c r="F90" s="196" t="n"/>
      <c r="G90" s="196" t="n"/>
      <c r="H90" s="196" t="n"/>
      <c r="I90" s="196" t="n"/>
      <c r="J90" s="196" t="n"/>
      <c r="K90" s="197">
        <f>B90+C90+D90+E90-F90-G90-H90-I90</f>
        <v/>
      </c>
      <c r="L90" s="198" t="n"/>
      <c r="M90" s="198" t="n"/>
      <c r="N90" s="196" t="n"/>
      <c r="O90" s="196" t="n"/>
      <c r="P90" s="196" t="n"/>
      <c r="Q90" s="198">
        <f>IFERROR((L90+N90)/(M90+O90),"")</f>
        <v/>
      </c>
      <c r="R90" s="198">
        <f>IFERROR(D90*Q90,"")</f>
        <v/>
      </c>
      <c r="S90" s="198" t="n"/>
      <c r="T90" s="198">
        <f>T89</f>
        <v/>
      </c>
      <c r="U90" s="196" t="n"/>
    </row>
    <row r="91">
      <c r="A91" s="15" t="n"/>
      <c r="B91" s="15" t="n"/>
      <c r="C91" s="15" t="n"/>
      <c r="D91" s="15" t="n"/>
      <c r="E91" s="15" t="n"/>
      <c r="F91" s="15" t="n"/>
      <c r="G91" s="15" t="n"/>
      <c r="H91" s="15" t="n"/>
      <c r="I91" s="15" t="n"/>
      <c r="J91" s="15" t="n"/>
      <c r="K91" s="190" t="n"/>
      <c r="L91" s="133" t="n"/>
      <c r="M91" s="133" t="n"/>
      <c r="N91" s="15" t="n"/>
      <c r="O91" s="15" t="n"/>
      <c r="P91" s="15" t="n"/>
      <c r="Q91" s="133">
        <f>IFERROR((L91+N91)/(M91+O91),"")</f>
        <v/>
      </c>
      <c r="R91" s="133">
        <f>IFERROR(D91*Q91,"")</f>
        <v/>
      </c>
      <c r="S91" s="133" t="n"/>
      <c r="T91" s="133">
        <f>IFERROR(Q91*G91,"")</f>
        <v/>
      </c>
      <c r="U91" s="15" t="n"/>
    </row>
    <row r="92">
      <c r="A92" s="8" t="inlineStr">
        <is>
          <t>Cider</t>
        </is>
      </c>
      <c r="B92" s="15" t="n"/>
      <c r="C92" s="15" t="n"/>
      <c r="D92" s="15" t="n"/>
      <c r="E92" s="15" t="n"/>
      <c r="F92" s="15" t="n"/>
      <c r="G92" s="15" t="n"/>
      <c r="H92" s="15" t="n"/>
      <c r="I92" s="15" t="n"/>
      <c r="J92" s="15" t="n"/>
      <c r="K92" s="190" t="n"/>
      <c r="L92" s="133" t="n"/>
      <c r="M92" s="133" t="n"/>
      <c r="N92" s="15" t="n"/>
      <c r="O92" s="15" t="n"/>
      <c r="P92" s="15" t="n"/>
      <c r="Q92" s="133">
        <f>IFERROR((L92+N92)/(M92+O92),"")</f>
        <v/>
      </c>
      <c r="R92" s="133">
        <f>IFERROR(D92*Q92,"")</f>
        <v/>
      </c>
      <c r="S92" s="133" t="n"/>
      <c r="T92" s="133">
        <f>IFERROR(Q92*G92,"")</f>
        <v/>
      </c>
      <c r="U92" s="15" t="n"/>
    </row>
    <row r="93">
      <c r="A93" s="15" t="n"/>
      <c r="B93" s="15" t="n"/>
      <c r="C93" s="15" t="n"/>
      <c r="D93" s="15" t="n"/>
      <c r="E93" s="15" t="n"/>
      <c r="F93" s="15" t="n"/>
      <c r="G93" s="15" t="n"/>
      <c r="H93" s="15" t="n"/>
      <c r="I93" s="15" t="n"/>
      <c r="J93" s="15" t="n"/>
      <c r="K93" s="190" t="n"/>
      <c r="L93" s="133" t="n"/>
      <c r="M93" s="133" t="n"/>
      <c r="N93" s="15" t="n"/>
      <c r="O93" s="15" t="n"/>
      <c r="P93" s="15" t="n"/>
      <c r="Q93" s="133">
        <f>IFERROR((L93+N93)/(M93+O93),"")</f>
        <v/>
      </c>
      <c r="R93" s="133">
        <f>IFERROR(D93*Q93,"")</f>
        <v/>
      </c>
      <c r="S93" s="133" t="n"/>
      <c r="T93" s="133">
        <f>IFERROR(Q93*G93,"")</f>
        <v/>
      </c>
      <c r="U93" s="15" t="n"/>
    </row>
    <row r="94">
      <c r="A94" s="15" t="n"/>
      <c r="B94" s="15" t="n"/>
      <c r="C94" s="15" t="n"/>
      <c r="D94" s="15" t="n"/>
      <c r="E94" s="15" t="n"/>
      <c r="F94" s="15" t="n"/>
      <c r="G94" s="15" t="n"/>
      <c r="H94" s="15" t="n"/>
      <c r="I94" s="15" t="n"/>
      <c r="J94" s="15" t="n"/>
      <c r="K94" s="190" t="n"/>
      <c r="L94" s="133" t="n"/>
      <c r="M94" s="133" t="n"/>
      <c r="N94" s="15" t="n"/>
      <c r="O94" s="15" t="n"/>
      <c r="P94" s="15" t="n"/>
      <c r="Q94" s="133">
        <f>IFERROR((L94+N94)/(M94+O94),"")</f>
        <v/>
      </c>
      <c r="R94" s="133">
        <f>IFERROR(D94*Q94,"")</f>
        <v/>
      </c>
      <c r="S94" s="133" t="n"/>
      <c r="T94" s="133">
        <f>IFERROR(Q94*G94,"")</f>
        <v/>
      </c>
      <c r="U94" s="15" t="n"/>
    </row>
    <row r="95">
      <c r="A95" s="15" t="n"/>
      <c r="B95" s="15" t="n"/>
      <c r="C95" s="15" t="n"/>
      <c r="D95" s="15" t="n"/>
      <c r="E95" s="15" t="n"/>
      <c r="F95" s="15" t="n"/>
      <c r="G95" s="15" t="n"/>
      <c r="H95" s="15" t="n"/>
      <c r="I95" s="15" t="n"/>
      <c r="J95" s="15" t="n"/>
      <c r="K95" s="190" t="n"/>
      <c r="L95" s="133" t="n"/>
      <c r="M95" s="133" t="n"/>
      <c r="N95" s="15" t="n"/>
      <c r="O95" s="15" t="n"/>
      <c r="P95" s="15" t="n"/>
      <c r="Q95" s="133">
        <f>IFERROR((L95+N95)/(M95+O95),"")</f>
        <v/>
      </c>
      <c r="R95" s="133">
        <f>IFERROR(D95*Q95,"")</f>
        <v/>
      </c>
      <c r="S95" s="133" t="n"/>
      <c r="T95" s="133">
        <f>IFERROR(Q95*G95,"")</f>
        <v/>
      </c>
      <c r="U95" s="15" t="n"/>
    </row>
    <row r="96">
      <c r="B96" s="199" t="n"/>
      <c r="C96" s="199" t="n"/>
      <c r="D96" s="15" t="n"/>
      <c r="E96" s="15" t="n"/>
      <c r="F96" s="15" t="n"/>
      <c r="G96" s="15" t="n"/>
      <c r="H96" s="15" t="n"/>
      <c r="I96" s="15" t="n"/>
      <c r="J96" s="15" t="n"/>
      <c r="K96" s="190" t="n"/>
      <c r="L96" s="133" t="n"/>
      <c r="M96" s="133" t="n"/>
      <c r="N96" s="15" t="n"/>
      <c r="O96" s="15" t="n"/>
      <c r="P96" s="15" t="n"/>
      <c r="Q96" s="133">
        <f>IFERROR((L96+N96)/(M96+O96),"")</f>
        <v/>
      </c>
      <c r="R96" s="133">
        <f>IFERROR(D96*Q96,"")</f>
        <v/>
      </c>
      <c r="S96" s="133" t="n"/>
      <c r="T96" s="133">
        <f>IFERROR(Q96*G96,"")</f>
        <v/>
      </c>
      <c r="U96" s="15" t="n"/>
    </row>
    <row r="97">
      <c r="Q97" s="133">
        <f>IFERROR((L97+N97)/(M97+O97),"")</f>
        <v/>
      </c>
      <c r="R97" s="133">
        <f>IFERROR(D97*Q97,"")</f>
        <v/>
      </c>
      <c r="S97" s="133" t="n"/>
      <c r="T97" s="133">
        <f>IFERROR(Q97*G97,"")</f>
        <v/>
      </c>
    </row>
    <row r="98">
      <c r="A98"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2025-12-18T10:17:12Z</dcterms:modified>
  <cp:lastModifiedBy>Kowalski, Kuba</cp:lastModifiedBy>
</cp:coreProperties>
</file>
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23224579-6C87-D643-B088-CAC9DD939550}" xr6:coauthVersionLast="47" xr6:coauthVersionMax="47" xr10:uidLastSave="{00000000-0000-0000-0000-000000000000}"/>
  <bookViews>
    <workbookView xWindow="7740" yWindow="500" windowWidth="26040" windowHeight="16580" xr2:uid="{00000000-000D-0000-FFFF-FFFF00000000}"/>
  </bookViews>
  <sheets>
    <sheet name="Overview" sheetId="5" r:id="rId1"/>
    <sheet name="Receipts" sheetId="2" r:id="rId2"/>
    <sheet name="Expenses" sheetId="3" r:id="rId3"/>
    <sheet name="Issues of the Grange" sheetId="11" r:id="rId4"/>
    <sheet name="Issues of the Mills" sheetId="6" r:id="rId5"/>
    <sheet name="Stock" sheetId="4" r:id="rId6"/>
    <sheet name="Issues of the Grange raw" sheetId="10" r:id="rId7"/>
    <sheet name="Sale of Corn Prices" sheetId="12" r:id="rId8"/>
    <sheet name="raw data"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7" i="5" l="1"/>
  <c r="B176" i="5"/>
  <c r="B174" i="5"/>
  <c r="B173" i="5"/>
  <c r="B172" i="5"/>
  <c r="B171" i="5"/>
  <c r="B166" i="5"/>
  <c r="B165" i="5"/>
  <c r="B162" i="5"/>
  <c r="B164" i="5"/>
  <c r="B163" i="5"/>
  <c r="B159" i="5"/>
  <c r="B158" i="5"/>
  <c r="B156" i="5"/>
  <c r="B155" i="5"/>
  <c r="B148" i="5"/>
  <c r="B149" i="5"/>
  <c r="B150" i="5"/>
  <c r="B147" i="5"/>
  <c r="B144" i="5"/>
  <c r="B143" i="5"/>
  <c r="B124" i="5"/>
  <c r="B125" i="5"/>
  <c r="B126" i="5"/>
  <c r="B127" i="5"/>
  <c r="B128" i="5"/>
  <c r="B129" i="5"/>
  <c r="B130" i="5"/>
  <c r="B131" i="5"/>
  <c r="B132" i="5"/>
  <c r="B133" i="5"/>
  <c r="B134" i="5"/>
  <c r="B135" i="5"/>
  <c r="B136" i="5"/>
  <c r="B137" i="5"/>
  <c r="B138" i="5"/>
  <c r="B139" i="5"/>
  <c r="B140" i="5"/>
  <c r="B141" i="5"/>
  <c r="B142" i="5"/>
  <c r="B123" i="5"/>
  <c r="T94" i="4"/>
  <c r="T93" i="4"/>
  <c r="T90" i="4"/>
  <c r="T89" i="4"/>
  <c r="T88" i="4"/>
  <c r="O88" i="4"/>
  <c r="T78" i="4"/>
  <c r="O76" i="4"/>
  <c r="T76" i="4"/>
  <c r="B119" i="5"/>
  <c r="B116" i="5"/>
  <c r="B117" i="5"/>
  <c r="B118" i="5"/>
  <c r="B115" i="5"/>
  <c r="B112" i="5"/>
  <c r="B106" i="5"/>
  <c r="B107" i="5"/>
  <c r="B108" i="5"/>
  <c r="B109" i="5"/>
  <c r="B85" i="5"/>
  <c r="B86" i="5"/>
  <c r="B87" i="5"/>
  <c r="B88" i="5"/>
  <c r="B89" i="5"/>
  <c r="B90" i="5"/>
  <c r="B91" i="5"/>
  <c r="B92" i="5"/>
  <c r="B93" i="5"/>
  <c r="B94" i="5"/>
  <c r="B95" i="5"/>
  <c r="B96" i="5"/>
  <c r="B97" i="5"/>
  <c r="B98" i="5"/>
  <c r="B99" i="5"/>
  <c r="B100" i="5"/>
  <c r="B101" i="5"/>
  <c r="B102" i="5"/>
  <c r="B103" i="5"/>
  <c r="B104" i="5"/>
  <c r="B105" i="5"/>
  <c r="B84" i="5"/>
  <c r="E70" i="5"/>
  <c r="F170" i="2"/>
  <c r="B63" i="5"/>
  <c r="E63" i="5"/>
  <c r="F63" i="5"/>
  <c r="B64" i="5"/>
  <c r="E64" i="5"/>
  <c r="F64" i="5"/>
  <c r="B65" i="5"/>
  <c r="E65" i="5"/>
  <c r="F65" i="5"/>
  <c r="B66" i="5"/>
  <c r="E66" i="5"/>
  <c r="F66" i="5"/>
  <c r="B67" i="5"/>
  <c r="E67" i="5"/>
  <c r="F67" i="5"/>
  <c r="F62" i="5"/>
  <c r="E69" i="5" s="1"/>
  <c r="E62" i="5"/>
  <c r="E68" i="5" s="1"/>
  <c r="B62" i="5"/>
  <c r="B45" i="5"/>
  <c r="B46" i="5"/>
  <c r="B47" i="5"/>
  <c r="B44" i="5"/>
  <c r="B25" i="5"/>
  <c r="F166" i="3"/>
  <c r="F165" i="3"/>
  <c r="K143" i="3"/>
  <c r="K142" i="3"/>
  <c r="K141" i="3"/>
  <c r="J135" i="3"/>
  <c r="J136" i="3"/>
  <c r="J137" i="3"/>
  <c r="J138" i="3"/>
  <c r="J139" i="3"/>
  <c r="J140" i="3"/>
  <c r="J141" i="3"/>
  <c r="J142" i="3"/>
  <c r="J143" i="3"/>
  <c r="J144" i="3"/>
  <c r="J145" i="3"/>
  <c r="J134" i="3"/>
  <c r="J89" i="3"/>
  <c r="K71" i="3"/>
  <c r="K72" i="3"/>
  <c r="K73" i="3"/>
  <c r="K74" i="3"/>
  <c r="K75" i="3"/>
  <c r="K76" i="3"/>
  <c r="K77" i="3"/>
  <c r="K78" i="3"/>
  <c r="K79" i="3"/>
  <c r="K80" i="3"/>
  <c r="K81" i="3"/>
  <c r="K82" i="3"/>
  <c r="K83" i="3"/>
  <c r="K84" i="3"/>
  <c r="K70" i="3"/>
  <c r="J71" i="3"/>
  <c r="J72" i="3"/>
  <c r="J73" i="3"/>
  <c r="J74" i="3"/>
  <c r="J75" i="3"/>
  <c r="J76" i="3"/>
  <c r="J77" i="3"/>
  <c r="J78" i="3"/>
  <c r="J79" i="3"/>
  <c r="J80" i="3"/>
  <c r="J81" i="3"/>
  <c r="J82" i="3"/>
  <c r="J83" i="3"/>
  <c r="J84" i="3"/>
  <c r="J70" i="3"/>
  <c r="J65" i="3"/>
  <c r="K65" i="3" s="1"/>
  <c r="J66" i="3"/>
  <c r="K66" i="3"/>
  <c r="K64" i="3"/>
  <c r="J64" i="3"/>
  <c r="J58" i="3"/>
  <c r="K58" i="3" s="1"/>
  <c r="K47" i="3"/>
  <c r="K48" i="3"/>
  <c r="K49" i="3"/>
  <c r="K50" i="3"/>
  <c r="K51" i="3"/>
  <c r="K52" i="3"/>
  <c r="K53" i="3"/>
  <c r="K54" i="3"/>
  <c r="K55" i="3"/>
  <c r="K56" i="3"/>
  <c r="K57" i="3"/>
  <c r="K46" i="3"/>
  <c r="J55" i="3"/>
  <c r="J56" i="3"/>
  <c r="J54" i="3"/>
  <c r="J47" i="3"/>
  <c r="J48" i="3"/>
  <c r="J49" i="3"/>
  <c r="J50" i="3"/>
  <c r="J51" i="3"/>
  <c r="J52" i="3"/>
  <c r="J46" i="3"/>
  <c r="K28" i="3"/>
  <c r="K29" i="3"/>
  <c r="K30" i="3"/>
  <c r="K31" i="3"/>
  <c r="K32" i="3"/>
  <c r="K33" i="3"/>
  <c r="K34" i="3"/>
  <c r="K35" i="3"/>
  <c r="K36" i="3"/>
  <c r="K37" i="3"/>
  <c r="K38" i="3"/>
  <c r="K39" i="3"/>
  <c r="K27" i="3"/>
  <c r="J28" i="3"/>
  <c r="J29" i="3"/>
  <c r="J30" i="3"/>
  <c r="J31" i="3"/>
  <c r="J32" i="3"/>
  <c r="J33" i="3"/>
  <c r="J34" i="3"/>
  <c r="J35" i="3"/>
  <c r="J36" i="3"/>
  <c r="J37" i="3"/>
  <c r="J38" i="3"/>
  <c r="J39" i="3"/>
  <c r="J27" i="3"/>
  <c r="K4" i="3"/>
  <c r="K5" i="3"/>
  <c r="K6" i="3"/>
  <c r="K7" i="3"/>
  <c r="K8" i="3"/>
  <c r="K9" i="3"/>
  <c r="K10" i="3"/>
  <c r="K11" i="3"/>
  <c r="K12" i="3"/>
  <c r="K3" i="3"/>
  <c r="J4" i="3"/>
  <c r="J5" i="3"/>
  <c r="J6" i="3"/>
  <c r="J7" i="3"/>
  <c r="J8" i="3"/>
  <c r="J9" i="3"/>
  <c r="J10" i="3"/>
  <c r="J11" i="3"/>
  <c r="J12" i="3"/>
  <c r="J3" i="3"/>
  <c r="G164" i="3"/>
  <c r="F164" i="3"/>
  <c r="F163" i="3"/>
  <c r="F251" i="2"/>
  <c r="B23" i="5" s="1"/>
  <c r="T37" i="4"/>
  <c r="G251" i="2" l="1"/>
  <c r="F252" i="2"/>
  <c r="B24" i="5" s="1"/>
  <c r="C25" i="5"/>
  <c r="O37" i="4"/>
  <c r="T39" i="4"/>
  <c r="T36" i="4"/>
  <c r="T35" i="4"/>
  <c r="R78" i="4"/>
  <c r="R94" i="4"/>
  <c r="R90" i="4"/>
  <c r="O93" i="4"/>
  <c r="O89" i="4"/>
  <c r="R93" i="4"/>
  <c r="R88" i="4"/>
  <c r="R89" i="4"/>
  <c r="F108" i="2"/>
  <c r="R76" i="4" s="1"/>
  <c r="J89" i="4"/>
  <c r="J35" i="4"/>
  <c r="R31" i="4"/>
  <c r="O12" i="4"/>
  <c r="O14" i="4"/>
  <c r="O18" i="4"/>
  <c r="O19" i="4"/>
  <c r="O21" i="4"/>
  <c r="O22" i="4"/>
  <c r="O23" i="4"/>
  <c r="O24" i="4"/>
  <c r="O26" i="4"/>
  <c r="O7" i="4"/>
  <c r="R26" i="4"/>
  <c r="R24" i="4"/>
  <c r="R23" i="4"/>
  <c r="R22" i="4"/>
  <c r="R21" i="4"/>
  <c r="R19" i="4"/>
  <c r="R18" i="4"/>
  <c r="R14" i="4"/>
  <c r="R12" i="4"/>
  <c r="R7" i="4"/>
  <c r="L16" i="11"/>
  <c r="O16" i="11" s="1"/>
  <c r="L12" i="11"/>
  <c r="L13" i="11"/>
  <c r="L14" i="11"/>
  <c r="L15" i="11"/>
  <c r="O15" i="11" s="1"/>
  <c r="L11" i="11"/>
  <c r="O12" i="11"/>
  <c r="O13" i="11"/>
  <c r="O14" i="11"/>
  <c r="O11" i="11"/>
  <c r="N12" i="11"/>
  <c r="N13" i="11"/>
  <c r="N14" i="11"/>
  <c r="N15" i="11"/>
  <c r="N16" i="11"/>
  <c r="N11" i="11"/>
  <c r="E12" i="11"/>
  <c r="E13" i="11"/>
  <c r="E14" i="11"/>
  <c r="E15" i="11"/>
  <c r="E16" i="11"/>
  <c r="E11" i="11"/>
  <c r="K12" i="11"/>
  <c r="K13" i="11"/>
  <c r="K14" i="11"/>
  <c r="K15" i="11"/>
  <c r="K16" i="11"/>
  <c r="K11" i="11"/>
  <c r="I16" i="11"/>
  <c r="J14" i="11"/>
  <c r="I14" i="11"/>
  <c r="J13" i="11"/>
  <c r="I13" i="11"/>
  <c r="I11" i="11"/>
  <c r="B12" i="11"/>
  <c r="B13" i="11"/>
  <c r="B14" i="11"/>
  <c r="B15" i="11"/>
  <c r="B16" i="11"/>
  <c r="B11" i="11"/>
  <c r="I3" i="11"/>
  <c r="I4" i="11"/>
  <c r="I5" i="11"/>
  <c r="I6" i="11"/>
  <c r="I7" i="11"/>
  <c r="I2" i="11"/>
  <c r="G3" i="11"/>
  <c r="G4" i="11"/>
  <c r="G5" i="11"/>
  <c r="G6" i="11"/>
  <c r="G7" i="11"/>
  <c r="G2" i="11"/>
  <c r="J27" i="4"/>
  <c r="I26" i="4"/>
  <c r="C26" i="4"/>
  <c r="J23" i="4"/>
  <c r="I23" i="4"/>
  <c r="J22" i="4"/>
  <c r="I21" i="4"/>
  <c r="I19" i="4"/>
  <c r="J18" i="4"/>
  <c r="C18" i="4"/>
  <c r="J15" i="4"/>
  <c r="C14" i="4"/>
  <c r="C12" i="4"/>
  <c r="C7" i="4"/>
  <c r="F146" i="3"/>
  <c r="G147" i="3" s="1"/>
  <c r="F118" i="3"/>
  <c r="F122" i="3"/>
  <c r="F106" i="3"/>
  <c r="G107" i="3" s="1"/>
  <c r="F95" i="3"/>
  <c r="F97" i="3" s="1"/>
  <c r="F96" i="3"/>
  <c r="F66" i="3"/>
  <c r="F68" i="3" s="1"/>
  <c r="F67" i="3"/>
  <c r="F60" i="3"/>
  <c r="F62" i="3" s="1"/>
  <c r="G62" i="3" s="1"/>
  <c r="F28" i="3"/>
  <c r="F44" i="3" s="1"/>
  <c r="G44" i="3" s="1"/>
  <c r="F3" i="3"/>
  <c r="F25" i="3" s="1"/>
  <c r="F24" i="3"/>
  <c r="F247" i="2"/>
  <c r="G247" i="2" s="1"/>
  <c r="F181" i="2"/>
  <c r="F183" i="2"/>
  <c r="F174" i="2"/>
  <c r="G175" i="2" s="1"/>
  <c r="F160" i="2"/>
  <c r="G161" i="2" s="1"/>
  <c r="G39" i="2"/>
  <c r="G36" i="2"/>
  <c r="F21" i="2"/>
  <c r="F23" i="2" s="1"/>
  <c r="G23" i="2" s="1"/>
  <c r="G5" i="2"/>
  <c r="F124" i="3" l="1"/>
  <c r="G124" i="3" s="1"/>
  <c r="G97" i="3"/>
  <c r="G68" i="3"/>
  <c r="G25" i="3"/>
  <c r="F184" i="2"/>
  <c r="G18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0" authorId="0" shapeId="0" xr:uid="{4493DE6D-47C9-4446-8760-23B0F007E833}">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61A1A52E-8702-654D-AE7F-0EC9211730EC}">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FCE10211-1585-7849-9342-3997FF9EB1DC}">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<sst xmlns="http://schemas.openxmlformats.org/spreadsheetml/2006/main" count="2647" uniqueCount="986">
  <si>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</si>
  <si>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</si>
  <si>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</si>
  <si>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</si>
  <si>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</si>
  <si>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</si>
  <si>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</si>
  <si>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</si>
  <si>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</si>
  <si>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</si>
  <si>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</si>
  <si>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</si>
  <si>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</si>
  <si>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</si>
  <si>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</si>
  <si>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</si>
  <si>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</si>
  <si>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</si>
  <si>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Quarters 4</t>
  </si>
  <si>
    <t>Bushels 4</t>
  </si>
  <si>
    <t>Quarters 5</t>
  </si>
  <si>
    <t>Bushels 5</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</si>
  <si>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</si>
  <si>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</si>
  <si>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</si>
  <si>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</si>
  <si>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</si>
  <si>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</si>
  <si>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</si>
  <si>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</si>
  <si>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</si>
  <si>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</si>
  <si>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</si>
  <si>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</si>
  <si>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</si>
  <si>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</si>
  <si>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</si>
  <si>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</si>
  <si>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Arrears</t>
  </si>
  <si>
    <t>Robert de Froyle, bailiff, and Robert Stretthe, reeve, render account for £71 18 shilling 3.5pence of arrears from the previous year.</t>
  </si>
  <si>
    <t>All delivered to Sir Geoffrey, treasurer of Wolvesey, by 1 tally, and they are quit.</t>
  </si>
  <si>
    <t>Rents</t>
  </si>
  <si>
    <t>The same render account for £14 10 shilling 10.75pence for all rents of assize at Christmas.</t>
  </si>
  <si>
    <t>£23 8.75pence at Easter (22 April).</t>
  </si>
  <si>
    <t>£14 10 shilling 10.5pence at the Nativity of St John the Baptist (24 June).</t>
  </si>
  <si>
    <t>£23 19 shilling 3.5pence at Michaelmas (29 September).</t>
  </si>
  <si>
    <t>Total, £76 1 shilling 9.5pence</t>
  </si>
  <si>
    <t>Quittances</t>
  </si>
  <si>
    <t>In quittance of 1 reeve for the year 5 shilling.</t>
  </si>
  <si>
    <t>1 beadle for the year 5 shilling.</t>
  </si>
  <si>
    <t>1 swineherd, 1 smith, 1 hayward who kept the lord's corn and pasture and sowed the wheat and barley, 1 shepherd of wethers, and 1 keeper of ewes, 10 shilling, or 2 shilling each.</t>
  </si>
  <si>
    <t>barley, wheat</t>
  </si>
  <si>
    <t>4 ploughmen for the year, and 1 ploughman for 1 term, 8 shilling 6pence.</t>
  </si>
  <si>
    <t>9 workers, each of whom are bound to reap everyday at harvest-time 1 acre as it lies and after the harvest are bound to work twice a week, 18 shilling, or 2 shilling each.</t>
  </si>
  <si>
    <t>3 cottars for the year, each of whom are bound to reap everyday .5 acre as it lies and after the harvest are bound to work once a week, 3 shilling.</t>
  </si>
  <si>
    <t>2 workers who are bound to reap everyday at harvest-time 1 acre as it lies and after the harvest are bound to work twice a week with their carts, working at the lord's pleasure, besides carrying dung, 6 shilling for the year.</t>
  </si>
  <si>
    <t>1 granary-keeper for the year 2 shilling Total, £2 17 shilling 6pence</t>
  </si>
  <si>
    <t>Defaults of rent</t>
  </si>
  <si>
    <t>In default of the land between the Barton and garden drawn into demesne, £1 2 shilling 8pence for the year.</t>
  </si>
  <si>
    <t>the land of Osbert de Langely, 8pence for the year.</t>
  </si>
  <si>
    <t>the land of Richard Baton, 6pence for the year.</t>
  </si>
  <si>
    <t>the land of Hugh son of Agnes, 6pence for the year.</t>
  </si>
  <si>
    <t>the land of Richard Swanemere, 3pence for the year.</t>
  </si>
  <si>
    <t>the land of the mill drawn into the park, 6 shilling 5pence for the year.</t>
  </si>
  <si>
    <t>the rent of Peter Clericus, 1 shilling 6pence for the year.</t>
  </si>
  <si>
    <t>Total, £1 12 shilling 6pence</t>
  </si>
  <si>
    <t>Total of quittances and defaults of rent</t>
  </si>
  <si>
    <t>Total of quittances and defaults of rent, £4 10 shilling</t>
  </si>
  <si>
    <t>Total of rents remaining</t>
  </si>
  <si>
    <t>Total of rents remaining, £71 11 s. 9.5pence</t>
  </si>
  <si>
    <t>Farm of the mills</t>
  </si>
  <si>
    <t>The same render account for 12 shilling for the farm of the mill of Caldekot' for the year.</t>
  </si>
  <si>
    <t>10 shilling for the farm of the mill of Mattokeford'.</t>
  </si>
  <si>
    <t>8 shilling for the farm of the mill of Frogg' for the year.</t>
  </si>
  <si>
    <t>£1 for the farm of the fulling mill for the year.</t>
  </si>
  <si>
    <t>Total, £2 10 shilling</t>
  </si>
  <si>
    <t>Cumin</t>
  </si>
  <si>
    <t>The same render account for 1 lb of cumin from Peter Clericus for a certain messuage.</t>
  </si>
  <si>
    <t>1 lb from John Suneburn and Thomas Canon for the same.</t>
  </si>
  <si>
    <t>1 lb from Robert Faber to have 1 plot beside the fishpond.</t>
  </si>
  <si>
    <t>1 lb from William Burg' for the same.</t>
  </si>
  <si>
    <t>1 lb from Robert Ude for the same.</t>
  </si>
  <si>
    <t>1 lb from Richard Doggecherl for the same.</t>
  </si>
  <si>
    <t>Total, 6 lbs.</t>
  </si>
  <si>
    <t>All delivered to Wolvesey.</t>
  </si>
  <si>
    <t>Pepper</t>
  </si>
  <si>
    <t>The same render account for 0.5 lb of pepper from Roger Everard for certain land which his father bought from Henry Philipp'.</t>
  </si>
  <si>
    <t>Annual recognizance</t>
  </si>
  <si>
    <t>The same render account for 6pence from Adam de Marwell' for annual recognizance.</t>
  </si>
  <si>
    <t>6pence from Geoffrey le Warernyr for the same.</t>
  </si>
  <si>
    <t>6pence from Richard de Deily, clerk,1 whilst he wishes to remain outside the manor.</t>
  </si>
  <si>
    <t>6pence from John Pyk for annual recognizance.</t>
  </si>
  <si>
    <t>6pence from Geoffrey de Ecclesia for the same.</t>
  </si>
  <si>
    <t>6pence from Henry Wldred' for not being in a tithing.</t>
  </si>
  <si>
    <t>3pence from John, son of Robert Marescal, for annual recognizance.</t>
  </si>
  <si>
    <t>3pence from John Gyles for no longer being prosecuted by the tithing.</t>
  </si>
  <si>
    <t>3pence from John Smermongar' for the same.</t>
  </si>
  <si>
    <t>6pence from William de Bottely for no longer being prosecuted for tithingpenny, but he will come to court for the two law-days only, and this during the lord's pleasure.</t>
  </si>
  <si>
    <t>3pence from Henry Burden for annual recognizance.</t>
  </si>
  <si>
    <t>Total, 4 shilling 6pence</t>
  </si>
  <si>
    <t>Issues of the manor</t>
  </si>
  <si>
    <t>The same render account for £2 12 shilling 7pence from pannage of pigs within this year.</t>
  </si>
  <si>
    <t>nothing from foreign pannage of pigs this year.</t>
  </si>
  <si>
    <t>£5 3 shilling 2pence from pannage of pigs in the park this year.</t>
  </si>
  <si>
    <t>£5 15 shilling 6pence from the agistment of livestock in the park, as made clear in the details.</t>
  </si>
  <si>
    <t>8 shilling from 1 old plough-horse sold.</t>
  </si>
  <si>
    <t>3 shilling 4pence from 1 feeble plough-horse from the heriot of John Schore sold.</t>
  </si>
  <si>
    <t>£2 16 shilling from 6 old oxen sold, at 8 shilling for 1, 9 shilling each for 2, and 10 shilling each for 3.</t>
  </si>
  <si>
    <t>£1 16 shilling from 6 feeble cows sold, at 6 shilling each.</t>
  </si>
  <si>
    <t>6 shilling from 6 late-born calves sold, at 1 shilling each.</t>
  </si>
  <si>
    <t>7 shilling from 7 old wethers sold at Martinmas.</t>
  </si>
  <si>
    <t>5 shilling 10pence from 7 old ewes sold at the same feast.</t>
  </si>
  <si>
    <t>13 shilling from 26 hoggs sold, at 6pence each.</t>
  </si>
  <si>
    <t>4 shilling from 12 feeble lambs sold, at 4pence each.</t>
  </si>
  <si>
    <t>1 shilling from the flesh sold of 1 boar which suddenly died.</t>
  </si>
  <si>
    <t>12 shilling 6pence from 5 pigs sold, at 2 shilling 6pence each.</t>
  </si>
  <si>
    <t>6pence from the heriot of William Edmund because he did not have 1 beast.</t>
  </si>
  <si>
    <t>6pence from the heriot of William Faber of Bursledon for the same.</t>
  </si>
  <si>
    <t>6pence from the heriot of Juliana Brond' for the same.</t>
  </si>
  <si>
    <t>6pence from the heriot of John ate Fryrth' for the same.</t>
  </si>
  <si>
    <t>1 shilling from the heriot of Walter Oxenherd' for the same.</t>
  </si>
  <si>
    <t>4 shilling from the hide and flesh sold of 1 ox dead from murrain in March.</t>
  </si>
  <si>
    <t>2 shilling 8pence from the hide sold of 1 ox dead from murrain in April.</t>
  </si>
  <si>
    <t>1 shilling 9pence from the hide of 1 cow dead from murrain in the same month.</t>
  </si>
  <si>
    <t>8pence from the hides of 2 steers dead from murrain.</t>
  </si>
  <si>
    <t>9pence from the hides of 3 bullocks in murrain.</t>
  </si>
  <si>
    <t>10pence from the hides sold of 4 yearlings dead from murrain.</t>
  </si>
  <si>
    <t>2pence from the hide sold of 1 calf in murrain.</t>
  </si>
  <si>
    <t>10 shilling 1pence from the skins sold of 18 wethers, 31 ewes and 5 hoggs in murrain before shearing, at 3pence a skin of wethers, 2pence a skin of ewes, and 1pence a skin of hoggs.</t>
  </si>
  <si>
    <t>1 shilling 2pence from the skins sold of 11 wethers and 3 ewes in murrain after shearing, at 1pence each.</t>
  </si>
  <si>
    <t>1 shilling 4pence from the skins sold of 16 lambs in murrain before weaning, at 1pence a skin.</t>
  </si>
  <si>
    <t>1.5pence from the skins sold of 3 rotted sheep.</t>
  </si>
  <si>
    <t>nothing from coarse wool here because it is sent toi Wolvesey.</t>
  </si>
  <si>
    <t>5 shilling 3pence from 6 cloves of wool locks sold, at 10.5pence a clove.</t>
  </si>
  <si>
    <t>4 shilling 3pence from /2 wey of winter cheese sold.</t>
  </si>
  <si>
    <t>£4 13 shilling 6pence from 11 weys of cheese made in summer sold, at 8 shilling 6pence a wey.</t>
  </si>
  <si>
    <t>6 shilling 10.5pence from 22 cloves of butter sold, at 3.75pence a clove.</t>
  </si>
  <si>
    <t>£1 18 shilling from the men of Bursledon for 76 sesters of salt sold, at 6pence a sester.</t>
  </si>
  <si>
    <t>£1 16 shilling 6pence from 73 sesters of salt from rents sold this year.</t>
  </si>
  <si>
    <t>£7 6 shilling 3pence from 292.5 sesters of salt from the arrears of the last account.</t>
  </si>
  <si>
    <t>12 shilling 1Opence from 154 hens from churchscot sold.</t>
  </si>
  <si>
    <t>9 shilling from the hundred for the mowing of Cribelescrofte.</t>
  </si>
  <si>
    <t>6 shilling 4pence from the pasturage sold in various places, that is, 5 shilling from la Worth' and 1 shilling 4pence from various remnants around Orkelestret.</t>
  </si>
  <si>
    <t>1 shilling 6pence from the hundred for the mowing of the meadow of Bitterne.</t>
  </si>
  <si>
    <t>6 shilling 8pence from heath in the park sold this year.</t>
  </si>
  <si>
    <t>nothing from nuts collected in the park this year.</t>
  </si>
  <si>
    <t>10 shilling 6pence from the loppings of oaks felled to mend the palisade.</t>
  </si>
  <si>
    <t>5 shilling from cablish in the park sold this year.</t>
  </si>
  <si>
    <t>2 shilling 2pence from 2 dead trees sold felled in le Hordareswod' for the bees.</t>
  </si>
  <si>
    <t>nothing from dead trees in the wood of Parkhurst this year.</t>
  </si>
  <si>
    <t>nothing from wood in Holemor' this year.</t>
  </si>
  <si>
    <t>1 shilling 3pence from honey sold this year.</t>
  </si>
  <si>
    <t>3 shilling from plough-services sold this year.</t>
  </si>
  <si>
    <t>nothing from the bee-hives (meller') this year.</t>
  </si>
  <si>
    <t>1 shilling 8pence from Richard Ywon for release from his labour service for a third of 1 virgate of land this year.</t>
  </si>
  <si>
    <t>4 shilling from Adam de Yulley and Robert de Yulley for the same.</t>
  </si>
  <si>
    <t>nothing from Robert de Wodecote because he worked.</t>
  </si>
  <si>
    <t>3 shilling 4pence from Robert de la Bech for the same.</t>
  </si>
  <si>
    <t>2 shilling 8pence from John son of Azonis for the same.</t>
  </si>
  <si>
    <t>1 shilling 8pence from John, son of Robert Clericus of Upham, for the land of Bance.</t>
  </si>
  <si>
    <t>2 shilling from Walter Bues for release from the labour service for the land of Suuenel'.</t>
  </si>
  <si>
    <t>1 shilling from Mark de Yully for the same for the land of Godderehele.</t>
  </si>
  <si>
    <t>1 shilling from Guy ate Ford' for the same for the land of Godderehele.</t>
  </si>
  <si>
    <t>1 shilling from Thomas Sauser for the same.</t>
  </si>
  <si>
    <t>3 shilling from Peter le Parker for the same for the land which formerly belonged to Adam Prest.</t>
  </si>
  <si>
    <t>2 shilling from John ate Broke for the same for the land which belonged to William ate W11'.</t>
  </si>
  <si>
    <t>9 shilling from John Bance for the labour service of the land which belonged to Richard Bance.</t>
  </si>
  <si>
    <t>nothing from Thomas Cangeler and William le Byke this year because they worked.</t>
  </si>
  <si>
    <t>13 shilling from Margery Moysaut, Robert Faber, William Chubb', Adam Thoremond, William Pyk, Richard Everard', William Bos, William Cantoy, Richard Boll', William Asser, John de Anne, Robert le Cupere and Richard Molendinarius for the same, at 1 shilling each.</t>
  </si>
  <si>
    <t>1 shilling 6pence from Hugh Balhorn for the same.</t>
  </si>
  <si>
    <t>4 shilling from William Hudayn for the same.</t>
  </si>
  <si>
    <t>nothing from Walter Bues for the land which belonged to Danyl because he worked.</t>
  </si>
  <si>
    <t>5 shilling from Alice Ram for the same.</t>
  </si>
  <si>
    <t>1 shilling from Richard Ywon for release from the labour service for the land of le Capon this year.</t>
  </si>
  <si>
    <t>2 shilling from John Waremond for the same.</t>
  </si>
  <si>
    <t>2 shilling from Henry le Whyte for the land which belonged to Wrench'.</t>
  </si>
  <si>
    <t>3 shilling from Henry de Porcestr' for the same for the land of Dulch.</t>
  </si>
  <si>
    <t>2 shilling 6pence from John Rygou and Gilbert Frogg' for the same.</t>
  </si>
  <si>
    <t>2 shilling from Henry de Porcestr' for the same.</t>
  </si>
  <si>
    <t>1 shilling 8pence from John Chop' for the same.</t>
  </si>
  <si>
    <t>4 shilling from Richard Jacob for the same for the land at la Pund'.</t>
  </si>
  <si>
    <t>4 shilling from Henry Lypse for the same.</t>
  </si>
  <si>
    <t>6 shilling 8pence from Matilda ate Forde for release from her labour service at harvest-time.</t>
  </si>
  <si>
    <t>3 shilling from Thomas ate Ford' for the same.</t>
  </si>
  <si>
    <t>£4 11 shilling from the labour services of 7 carters sold this year, at 13 shilling 4pence a carter.</t>
  </si>
  <si>
    <t>nothing from small labour services before and during harvest-time this year because they were worked.</t>
  </si>
  <si>
    <t>£4 16 shilling 10.5pence from the hundred for release from the labour service for the demesne lands leased for rent, because so many more were accustomed to work, and because 3 shilling 2.5pence are subtracted for the lands which Richard Wodeloc and John Everard hold who are now affirmed free by charter of the lord, that is, for the land of la Fryth' which John Everard holds and the land of Cotehull' which Richard Wodoloc holds.</t>
  </si>
  <si>
    <t>£1 5 shilling from oaks felled in the park for killing foxes.</t>
  </si>
  <si>
    <t>16 shilling 8pence from 50 acres of land on Almesholte let at farm this year, at 4pence an acre.</t>
  </si>
  <si>
    <t>5pence from the tails and feathers of 2 peacocks.</t>
  </si>
  <si>
    <t>3 shilling 5V2pence from dairy produce sold at the audit.</t>
  </si>
  <si>
    <t>£19 7 shilling 7pence from 50 Yearlings bought and agisted in the park the previous year and afterwards solpence Total, £77 8 shilling 1pence</t>
  </si>
  <si>
    <t>Sale of corn</t>
  </si>
  <si>
    <t>The same render account for £22 15 shilling 8.5pence from 73.5 quarters of wheat sold, at 5 shilling a quarters for 7.5 quarters 1 bushels, 5 shilling 4pence a quarters for 6.5 quarters, 6 shilling a quarters for 19 quarters 3 bushels, and 6 shilling 8pence a quarters for 40 quarters..</t>
  </si>
  <si>
    <t>wheat</t>
  </si>
  <si>
    <t>17 shilling 5.75pence from 8 quarters' bushels of curall sold, at 2 shilling a quarters for 4 quarters, and 2 shilling 4pence a quarters for 4 quarters .5 bushels.</t>
  </si>
  <si>
    <t>curall</t>
  </si>
  <si>
    <t>£1 1 shilling 3pence from 5 quarters 2.5 bushels of barley sold, at 4 shilling a quarters.</t>
  </si>
  <si>
    <t>barley</t>
  </si>
  <si>
    <t>£6 13 shilling 10pence from 58.5 quarters 3 bushels, of oats sold, at 2 shilling a quarters for 31 quarters, 2 shilling 4pence a quarters for 7.5 quarters, and 2 shilling 8pence a quarters for 20 quarters 3 bushels.</t>
  </si>
  <si>
    <t>oats</t>
  </si>
  <si>
    <t>8pence from 2 bushels of peas sold.</t>
  </si>
  <si>
    <t>peas</t>
  </si>
  <si>
    <t>4 shilling 3pence from 2 quarters 1 bushels of vetches sold, at 2 shilling a quarters.</t>
  </si>
  <si>
    <t>vetches</t>
  </si>
  <si>
    <t>Total, £31 13 shilling 2.25pence</t>
  </si>
  <si>
    <t>East mill</t>
  </si>
  <si>
    <t>The same render account for 7 shilling 7pence from 1 quarters 3 bushels of wheat sold, at 5 shilling 4pence for 1 quarters, and 9pence a bushels for 3 bushels.</t>
  </si>
  <si>
    <t>£3 3 shilling 6pence from 18 quarters 1 bushels of maslin sold, at 3 shilling 4pence a quarters for 7 quarters, and 4 shilling a quarters for 8 quarters 1 bushels Total, £3 11 shilling 1pence</t>
  </si>
  <si>
    <t>maslin</t>
  </si>
  <si>
    <t>Mill outside the gate</t>
  </si>
  <si>
    <t>The same render account for 6 shilling 3pence from 1 quarters 1 bushels of wheat sold, at 7pence for 1 bushels, 8pence a bushels for 4 bushels, and 9pence a bushels for 3 bushels.</t>
  </si>
  <si>
    <t>9 shilling 2r.5-1pence from 2 quarters 5 bushels of maslin sold, at 4.5pence a bushels for 5 bushels, 3 shilling 4pence for 1 quarters, and 4 shilling for 1 quarters.</t>
  </si>
  <si>
    <t>£1 12 shilling 4pence from 5 quarters 5.5 bushels of coarse-ground corn sold, at 5 shilling 4pence a quarters for 2 quarters 5.5 bushels, and 6 shilling a quarters for 3 quarters.</t>
  </si>
  <si>
    <t>£1 13 shilling 8pence from 13.5 quarters of malt sold, at 2 shilling 4pence a quarters for 5 quarters, 2 shilling 6pence a quarters for 4 quarters, and 2 shilling 8pence a quarters for 4.5 quarters.</t>
  </si>
  <si>
    <t>6 shilling 8pence from 1 quarters of oatmeal solpence Total, £4 8 shilling 1.5pence Total of both, £7 19 shilling 2.5pence</t>
  </si>
  <si>
    <t>oatmeal</t>
  </si>
  <si>
    <t>Entry and marriage fines</t>
  </si>
  <si>
    <t>The same render account for 10 shilling from the 2 tithings of Bishops Waltham for tithingpenny at the hundred-court of Martinmas (11 November).</t>
  </si>
  <si>
    <t>4 shilling from the tithing of Mensingefeld' for the same.</t>
  </si>
  <si>
    <t>4 shilling from the tithing of Bursledon for the same.</t>
  </si>
  <si>
    <t>1 shilling 6pence from the tithing of Hou for the same.</t>
  </si>
  <si>
    <t>4 shilling from the tithing of Wangefeld' for the same.</t>
  </si>
  <si>
    <t>3 shilling from the tithing of Durley for the same.</t>
  </si>
  <si>
    <t>2 shilling 6pence from the tithing of Wyntershll' for the same.</t>
  </si>
  <si>
    <t>3 shilling from the tithing of Upham for the same.</t>
  </si>
  <si>
    <t>3 shilling from the tithing of Wodekot' for the same.</t>
  </si>
  <si>
    <t>3 shilling from the tithing of Ashton for the same.</t>
  </si>
  <si>
    <t>£1 18 shilling from the same tithings for tithingpenny at the hundred-court of Hockday (1 May).</t>
  </si>
  <si>
    <t>6 shilling 8pence from Mork to have a third of .5 virgate of land which belonged to Agnes his mother.</t>
  </si>
  <si>
    <t>2 shilling from Robert ate Fryth' to have 2 day-works (daywrk') of land by surrender of the said le Cokery, to build and live on the said holding.</t>
  </si>
  <si>
    <t>13 shilling 4pence from Adam ate Brok to have Laura, who was wife of Roger ate Wynd', with her land.</t>
  </si>
  <si>
    <t>2 shilling from Alice, relict of John le Duk', to retain 1 ferling of land which belonged to her husband.</t>
  </si>
  <si>
    <t>1 shilling from Agnes, who was wife of John Shope, to retain 1 cottage and 1 curtilage which belonged to her husband.</t>
  </si>
  <si>
    <t>£9 from Richard Everard' to have 1 ferling of land by surrender of Walter Ude.</t>
  </si>
  <si>
    <t>2 shilling from Mice, relict of Henry Wygayn, to retain 1 cottage and 1 curtilage which belonged to her husband.</t>
  </si>
  <si>
    <t>6 shilling 8pence from Isabel, who was wife of Henry le French', to retain .5 virgate of land which belonged to her husband.</t>
  </si>
  <si>
    <t>4 shilling from Matilda, relict of Richard Moysent, to retain 1 ferling of land and 2 messuages which belonged to her husband.</t>
  </si>
  <si>
    <t>6 shilling 8pence from Juliana, relict of Richard Boll', to retain 2 messuages 2 acres of land which belonged to her husband.</t>
  </si>
  <si>
    <t>55. from William Coperych' to have Joan Walot with 1 messuage and 1 curtilage.</t>
  </si>
  <si>
    <t>1 shilling from Sibyl, who was wife of Roger Cutel, to retain 1 ferling of land which belonged to her husband, 2 shilling from Henry le Whyte to have 4 acres of purpresture by surrender of Robert Wydecok in la Lygh'.</t>
  </si>
  <si>
    <t>1 shilling from Lucy, relict of William Edmond, to retain 1 cottage which belonged to her husband.</t>
  </si>
  <si>
    <t>2 shilling from Roger, son of William Faber of Bursledon, to have .5 ferling of land which belonged to his father.</t>
  </si>
  <si>
    <t>1 shilling from Richard de Farnham to have 1 messuage with 1 curtilage by surrender of John Bor.</t>
  </si>
  <si>
    <t>13 shilling 4pence from Alexander Bronyng' to have 0.5 ferling of land by surrender of Juliana Brond.</t>
  </si>
  <si>
    <t>£1 6 shilling 8pence from Adam ate Hull' to have 1 messuage' virgate of land which belonged to his father.</t>
  </si>
  <si>
    <t>£1 from John le Bor to have .5 ferling of land by surrender of Henry ate Aysse.</t>
  </si>
  <si>
    <t>£1 from Alice, relict of Roginald de Porteslad', to retain 1 messuage and' ferling of land and various purprestures which belonged to her husband.</t>
  </si>
  <si>
    <t>£5 from Richard Ywon to have 1 messuage and a third of 1 virgate of land which belonged to martin de Yulley, father of Margaret, wife of the aforesaid Richard, whose heir she is.</t>
  </si>
  <si>
    <t>2 shilling from Henry Walewayn for marrying Christina his daughter outside.</t>
  </si>
  <si>
    <t>2 shilling from Matilda, relict of John ate Fryth', to retain 1 messuage and 1 acre of land which belonged to her husband.</t>
  </si>
  <si>
    <t>2 shilling from Joan, daughter of Hugh Faber, to have 1 messuage and 1 curtilage by surrender of Hugh her father.</t>
  </si>
  <si>
    <t>2 shilling from William Walays to have 1 curtilage by surrender of Hugh Faber.</t>
  </si>
  <si>
    <t>3 shilling from Henry Waterboks to have 1 messuage 1 curtilage by surrender of Walter Oxenherde.</t>
  </si>
  <si>
    <t>Total, £25 3 shilling 4pence</t>
  </si>
  <si>
    <t>Perquisites</t>
  </si>
  <si>
    <t>The same render account for 3 shilling from Thomas de Bogestok for keeping the lord's wethers badly.</t>
  </si>
  <si>
    <t>£2 from Adam le Palmere because convicted of transgression of labour service.</t>
  </si>
  <si>
    <t>£1 from Adam Austyn, bartoner, for the same.</t>
  </si>
  <si>
    <t>2 shilling from the Prior of Hamble for licence to agree.</t>
  </si>
  <si>
    <t>6 shilling 8pence from Richard Ude for false complaint against Richard Everard.</t>
  </si>
  <si>
    <t>2 shilling from Geoffrey Frogge because he obstructed a former path to the nuisance of his neighbours.</t>
  </si>
  <si>
    <t>2 shilling from the tithing of Bishops Waltham for concealment.</t>
  </si>
  <si>
    <t>2 shilling from Thomas ate Ford' for breaking the assize of ale.</t>
  </si>
  <si>
    <t>2 shilling from Robert ate Berch' for the assize of bread.</t>
  </si>
  <si>
    <t>2 shilling from Joan, relict of Robert Clericus of Upham, because she is not proceeding against Robert ate Bech'.</t>
  </si>
  <si>
    <t>2 shilling from Guy ate Ford' to have an inquest.</t>
  </si>
  <si>
    <t>2 shilling from Geoffrey Forc' for transgression against Thomas Ban3.</t>
  </si>
  <si>
    <t>6 shilling 8pence from Geoffrey Byk' and others because they refused to make a contribution towards the hundred shillings which the hundred paid annually.</t>
  </si>
  <si>
    <t>6 shilling 8pence from the tithing of Wynteshull' because of false presentment.</t>
  </si>
  <si>
    <t>2 shilling from the tithing of Wodekote for concealment.</t>
  </si>
  <si>
    <t>2 shilling from Robert Marescall' for trespass done to pasture in wardship.</t>
  </si>
  <si>
    <t>£7 10 shilling 9pence from various men for various transgressions.</t>
  </si>
  <si>
    <t>£1 from Richard le Wyte and John Boefs, park-keepers, for selling wood, which they did for their own use.</t>
  </si>
  <si>
    <t>Total, £13 13 shilling 9pence</t>
  </si>
  <si>
    <t>Total of both, £38 17 shilling 1pence</t>
  </si>
  <si>
    <t>Total of all receipts</t>
  </si>
  <si>
    <t>Total of all receipts, £230 3 shilling 10.25pence</t>
  </si>
  <si>
    <t>Cost of ploughs</t>
  </si>
  <si>
    <t>In iron and steel bought for 4 ploughs for the year and 1 plough for' year 9 shilling 10d:.</t>
  </si>
  <si>
    <t>4 ploughs made anew 8pence.</t>
  </si>
  <si>
    <t>4 pairs of wheels bought for ploughs 1 shilling 4pence.</t>
  </si>
  <si>
    <t>fitting ploughs with iron tyres 5.5pence.</t>
  </si>
  <si>
    <t>4 ploughshares bought 3 shilling.</t>
  </si>
  <si>
    <t>5 plough feet bought 2 shilling 6pence.</t>
  </si>
  <si>
    <t>1 coulter bought for ploughs 1 shilling 4pence.</t>
  </si>
  <si>
    <t>3 halters of hemp bought for the plough-horses 1.5pence.</t>
  </si>
  <si>
    <t>mending old ploughs 4pence.</t>
  </si>
  <si>
    <t>shoeing 4 plough-horses for the year 3 shilling, because in between times I when they were not ploughing they carried the dung.</t>
  </si>
  <si>
    <t>.</t>
  </si>
  <si>
    <t>boon-works of 48 ploughmen from within the hundred 4 shilling, and each ploughman will plough 2 acres as they lie.</t>
  </si>
  <si>
    <t>Moreover, within the hundred they are bound to plough 52 acres as they lie for landrighe without the cost of the lorpence.</t>
  </si>
  <si>
    <t>winter boon-works of 23 ploughmen from Droxford this year 1 shilling 11pence, or 1pence a ploughman, and each ploughman will plough 2 acres as they lie.</t>
  </si>
  <si>
    <t>Lenten boon-works of 48 ploughmen from within the hundred 4 shilling, or 1pence a ploughman, and each ploughman will plough acre as it lies.</t>
  </si>
  <si>
    <t>stipend of 4 ploughmen for 8 Saturday ploughings at the time of the winter sowing, 11 Saturdays at the summer sowing, and 10 Saturdays at the fallowing, with the stipend of 1 ploughman for 8 Saturday ploughings at the sowing of the barley, 13 shilling 10pence, or 1.5pence each when ploughing for sowing, and 1pence when fallowing.</t>
  </si>
  <si>
    <t>stipend of 4 drovers for the year and 1 drover for' year 13 shilling 6pence, or 3 shilling each.</t>
  </si>
  <si>
    <t>1 plough-horse bought 9 shilling 6pence.</t>
  </si>
  <si>
    <t>9 oxen bought £5 8pence, at 9 shilling 6pence for 1,10 shilling 1pence each for 2, 11 shilling 6pence each for 2, and 12 shilling each for 4..</t>
  </si>
  <si>
    <t>4 bushels of peas bought for sowing 1 shilling 4pence.</t>
  </si>
  <si>
    <t>3 quarters 2 bushels of vetches bought 5 shilling 5pence, at 1 shilling 8pence a quarters.</t>
  </si>
  <si>
    <t>forage bought to support the lord's stock £1 4 shilling Total, £10 1 shilling 5pence</t>
  </si>
  <si>
    <t>Cost of carts</t>
  </si>
  <si>
    <t>In 1 new cart with iron tyres with all equipment bought 14 shilling.</t>
  </si>
  <si>
    <t>mending the old cart 1 .5pence.</t>
  </si>
  <si>
    <t>clouts, nails and grease bought 1 shilling 10pence.</t>
  </si>
  <si>
    <t>fitting the carts with axles at various times with axles bought for the same 6.25pence.</t>
  </si>
  <si>
    <t>1 cart-rail made anew for the cart 3pence.</t>
  </si>
  <si>
    <t>1 pair of traces bought 5.5pence.</t>
  </si>
  <si>
    <t>3 collars and 1 pair of saddle-pads bought 2 shilling 4pence.</t>
  </si>
  <si>
    <t>a hemp rope bought 11pence.</t>
  </si>
  <si>
    <t>white leather bought 4pence.</t>
  </si>
  <si>
    <t>2 pairs of swingletrees 2pence.</t>
  </si>
  <si>
    <t>1 saddle for the same 2.5pence.</t>
  </si>
  <si>
    <t>1 thill-rope (tilropt') bought 1.25pence.</t>
  </si>
  <si>
    <t>hooping wooden frets to the hubs of the old cart 2pence.</t>
  </si>
  <si>
    <t>forage for 2 cart-horses for the year 3 shilling.</t>
  </si>
  <si>
    <t>stipend of 1 carter for the year 3 shilling.</t>
  </si>
  <si>
    <t>stipend of 1 carter leading the other cart to the dung for 0.5 year 1 shilling 6pence, because for the other 0.5 year he held the horse-plough.</t>
  </si>
  <si>
    <t>Total, £1 9 shilling</t>
  </si>
  <si>
    <t>Cost of the dairy</t>
  </si>
  <si>
    <t>In woollen and linen cloth bought for the dairy 8.5pence.</t>
  </si>
  <si>
    <t>a press bought for the same 6pence.</t>
  </si>
  <si>
    <t>7 bushels of salt bought 10.5pence.</t>
  </si>
  <si>
    <t>2 buckets and 1 tub bought anew for the same 9pence.</t>
  </si>
  <si>
    <t>earthenware pots and pans 4pence.</t>
  </si>
  <si>
    <t>grease bought for greasing sheep 11 shilling 4pence.</t>
  </si>
  <si>
    <t>10 ells of canvas bought for packing wool 2 shilling 11pence, at 3.5pence an ell.</t>
  </si>
  <si>
    <t>castrating 9 piglets 3pence.</t>
  </si>
  <si>
    <t>wattling anew the sheepcote at Langeheg' 2 shilling 6pence.</t>
  </si>
  <si>
    <t>re-roofing in places the said sheepcote which had been unroofed 3 shilling.</t>
  </si>
  <si>
    <t>roofing in places the sheepcote at Legsted' 6pence.</t>
  </si>
  <si>
    <t>8 cows bought after calving £3 13 shilling 6pence, at 8 shilling 10pence each for 3, 9 shilling 4pence each for 3, and 9 shilling 6pence each for 2..</t>
  </si>
  <si>
    <t>a tripod bought 8pence.</t>
  </si>
  <si>
    <t>stipend of 1 cowherd for the year 3 shilling.</t>
  </si>
  <si>
    <t>stipend of 1 dairymaid for the year 2 shilling Total, £5 2 shilling 10pence</t>
  </si>
  <si>
    <t>Cost of buildings at Berth'</t>
  </si>
  <si>
    <t>In re-roofing the barn in places 4 shilling 10pence.</t>
  </si>
  <si>
    <t>mending the gate of the same 3pence.</t>
  </si>
  <si>
    <t>fencing for the enclosure 3.5pence Total, 5 shilling 4.5pence</t>
  </si>
  <si>
    <t>Cost of buildings in the curia</t>
  </si>
  <si>
    <t>In rebuilding anew the great barn which had partly collapsed through rotten timber with a carpenter to do this and laths made for the same 14 shilling 8pence.</t>
  </si>
  <si>
    <t>large nails to fasten the rafters of the barn 3pence.</t>
  </si>
  <si>
    <t>10,000 nails bought for laths 6 shilling 8pence.</t>
  </si>
  <si>
    <t>15,000 large slates bought for the said barn £1, at 1 shilling 4pence a 1,000..</t>
  </si>
  <si>
    <t>pegs bought for the same 1 shilling 3pence.</t>
  </si>
  <si>
    <t>re-roofing the said part of the barn anew and roofing the whole of the barn in places 18 shilling 1pence.</t>
  </si>
  <si>
    <t>13 quarters of lime bought for the same 6 shilling 6pence.</t>
  </si>
  <si>
    <t>sand bought 4pence.</t>
  </si>
  <si>
    <t>re-roofing the granary in places and the gate inside and re-roofing the great stable in places 1 shilling 11pence.</t>
  </si>
  <si>
    <t>3,000 large slates bought for the same 4 shilling.</t>
  </si>
  <si>
    <t>2 quarters of lime bought for the same 1 shilling.</t>
  </si>
  <si>
    <t>nails bought for laths 3.5pence.</t>
  </si>
  <si>
    <t>mending the stable outside the gate with a carpenter for the same 1 shilling 10pence.</t>
  </si>
  <si>
    <t>re-roofing the said stable with straw in places 1 shilling 6.5pence.</t>
  </si>
  <si>
    <t>mending the palisade around the curia in parts 2 shilling.</t>
  </si>
  <si>
    <t>54 quarters' of charcoal made and sent to Wolvesey 6 shilling 9pence, at 1.5pence a quarters.</t>
  </si>
  <si>
    <t>Total, £4 7 shilling 1pence</t>
  </si>
  <si>
    <t>Cost of the park</t>
  </si>
  <si>
    <t>In making the palisade of the park anew in places and mending it elsewhere £1 8 shilling 10pence Total, £1 8 shilling 10pence</t>
  </si>
  <si>
    <t>Threshing</t>
  </si>
  <si>
    <t>Nothing for the threshing of peas and vetches because they were threshed by labour service.</t>
  </si>
  <si>
    <t>vetches, peas</t>
  </si>
  <si>
    <t>2 sacks bought 1 shilling 1pence.</t>
  </si>
  <si>
    <t>1 basket for corn bought 3pence Total, 1 shilling 4pence</t>
  </si>
  <si>
    <t>Hay harvest (Autumpn')</t>
  </si>
  <si>
    <t>in mowing the meadow of Bitterne according to custom 1 shilling.</t>
  </si>
  <si>
    <t>tossing the hay of the same 1 shilling 6pence.</t>
  </si>
  <si>
    <t>mowing the new meadow 2 shilling 6pence.</t>
  </si>
  <si>
    <t>tossing the hay 4pence.</t>
  </si>
  <si>
    <t>mowing Ballesmed 1 shilling 6pence.</t>
  </si>
  <si>
    <t>tossing the hay 2pence.</t>
  </si>
  <si>
    <t>mowing the meadow of la Mere 1 shilling Total, 8 shilling</t>
  </si>
  <si>
    <t>Corn harvest (Autumpn')</t>
  </si>
  <si>
    <t>In bread bought for 347 men at two harvest boon-works 14 shilling 5.5pence, and each has bread worth .5pence.</t>
  </si>
  <si>
    <t>1,041 herrings bought for the same 6 shilling 1pence, at 8pence a hundred, and each has 3 herrings.</t>
  </si>
  <si>
    <t>bread bought for the great boon-work of 228 men 9 shilling 6pence, and they have as before.</t>
  </si>
  <si>
    <t>meat bought for the same 9 shilling 6pence.</t>
  </si>
  <si>
    <t>meat bought for the same 6 shilling 10pence And they do 1 boon-work at their own cost without food and drink.</t>
  </si>
  <si>
    <t>mowing 14 acres of vetches 4 shilling 8pence, at 4pence an acre.</t>
  </si>
  <si>
    <t>Total, £2 11 shilling 0.5pence</t>
  </si>
  <si>
    <t>Cost of mills</t>
  </si>
  <si>
    <t>In iron bought for mending and lengthening the spindle of the mill outside the gate 5pence.</t>
  </si>
  <si>
    <t>steel bought for the bills of both mills 5pence.</t>
  </si>
  <si>
    <t>making anew the outer wheel and trough of the east mill 2 shilling 6pence.</t>
  </si>
  <si>
    <t>timber sawn for the same 2 shilling 6pence.</t>
  </si>
  <si>
    <t>nails bought for the same 8.5pence.</t>
  </si>
  <si>
    <t>mending the sluice beside the east mill with the digging of earth and carrying of turf for the same and making stakes for the same 3 shilling 4pence Total, 9 shilling 9.5pence</t>
  </si>
  <si>
    <t>Expenses of the steward</t>
  </si>
  <si>
    <t>In expenses of the steward for his visits at 2 tourns by 2 tallies £1 2 shilling l1pence.</t>
  </si>
  <si>
    <t>expenses of Roger, bailiff from Michaelmas until Christmas, £1 12 shilling 1pence.</t>
  </si>
  <si>
    <t>fur bought for the same bailiff 3 shilling.</t>
  </si>
  <si>
    <t>expenses of Robert, bailiff and clerk, for his visits from Christmas until the following Michaelmas £2..</t>
  </si>
  <si>
    <t>1 fur bought for the summer livery of Robert the bailiff 3 shilling Total, £5 1 shilling</t>
  </si>
  <si>
    <t>Wages of the door-keeper</t>
  </si>
  <si>
    <t>In wages of the door-keeper for the year £1 10 shilling 5pence Total, £1 10 shilling 5pence</t>
  </si>
  <si>
    <t>Purchase of stock</t>
  </si>
  <si>
    <t>In 50 yearlings bought and agisted in the park the previous year, because their sale is answered for in this roll, £17 18 shilling 2.25pence Total, £17 18 shilling 2.25pence</t>
  </si>
  <si>
    <t>Foreign expenses</t>
  </si>
  <si>
    <t>In allowance of the reeve for 80 perches of ditch around the new meadow in the park 10 shilling, at 1.5pence a perch.</t>
  </si>
  <si>
    <t>obstructing the watercourse so that it does not flow beyond the said meadow 3 shilling 6pence.</t>
  </si>
  <si>
    <t>enclosing the said meadow 2 shilling.</t>
  </si>
  <si>
    <t>seedlings collected for the same ditch 1 shilling 8pence.</t>
  </si>
  <si>
    <t>70 perches of new ditch around a certain purpresture beside the cowshed for nurturing calves 8 shilling 9pence, at 1.5pence a perch.</t>
  </si>
  <si>
    <t>seedlings collected for the same 1 shilling 4pence.</t>
  </si>
  <si>
    <t>enclosing the said ditch 1 shilling 11pence.</t>
  </si>
  <si>
    <t>a sluice for the small fishpond and a new trough for the same with a carpenter for the same 8 shilling.</t>
  </si>
  <si>
    <t>men hired by the day to dig the foundations of the said sluice, dig and carry earth and turfs, and make and put in stakes for the same, 13 shilling.</t>
  </si>
  <si>
    <t>large nails bought for the same 8pence.</t>
  </si>
  <si>
    <t>hooping 1 cask of wine 3pence.</t>
  </si>
  <si>
    <t>oaks felled and a ditch made for killing foxes by order of the lord £1 3 shilling 8pence Total, £3 14 shilling 9pence</t>
  </si>
  <si>
    <t>Total of all expenses</t>
  </si>
  <si>
    <t>Total of all expenses, £54 9 shilling 0.75pence</t>
  </si>
  <si>
    <t>And he owes</t>
  </si>
  <si>
    <t>And he owes, £175 14 shilling 9.5pence</t>
  </si>
  <si>
    <t>Cash deliveries</t>
  </si>
  <si>
    <t>Delivered to Sir Geoffrey, treasurer of Wolvesey, by 1 tally, £116 3 shilling 2pence</t>
  </si>
  <si>
    <t>And thus he owes clear</t>
  </si>
  <si>
    <t>And thus he owes clear, £59 11 shilling 7.5pence</t>
  </si>
  <si>
    <t>Wheat</t>
  </si>
  <si>
    <t>{yield: three-fold plus 5 quarters 1.5 bushels}</t>
  </si>
  <si>
    <t>The same render account for 131.5 quarters from the whole issue of wheat by struck measure.</t>
  </si>
  <si>
    <t>6 bushels from churchscot.</t>
  </si>
  <si>
    <t>Total, 1.32 quarters 2 bushels</t>
  </si>
  <si>
    <t>Sown over 453 acres as they lie in Rouerigg', la Mere and la Woth', 47 quarters 1 bushels.</t>
  </si>
  <si>
    <t>that is, 5 bushels over 6 acres, less'' bushels in all.</t>
  </si>
  <si>
    <t>provision of the steward for his visits by 2 tallies, 1 quarters.</t>
  </si>
  <si>
    <t>provision of Roger, bailiff from Michaelmas until Christmas, 4.5 quarters.</t>
  </si>
  <si>
    <t>provision of Robert the bailiff for his visits from Christmas until Michaelmas, 4 quarters.</t>
  </si>
  <si>
    <t>Delivered to 1 hayward from the Circumcision (1 January) until Lammas (1 August), for 30 weeks, and from the Decollation of St John (29 August) until Michaelmas (29 September), for 4 weeks, 2 quarters 1 bushels, because he takes the rest in barley.</t>
  </si>
  <si>
    <t>he takes a quarter every 8 weeks and in between times sits at table.</t>
  </si>
  <si>
    <t>Sold, 73 quarters 4 bushels It balances.</t>
  </si>
  <si>
    <t>Curall</t>
  </si>
  <si>
    <t>The same render account for 9 quarters 3.5 bushels from the whole issue of curall by struck measure.</t>
  </si>
  <si>
    <t>Mixed with barley for the liveries of the manorial servants, 1 quarters 3 bushels Sold, 8 quarters .5 bushels It balances.</t>
  </si>
  <si>
    <t>Barley</t>
  </si>
  <si>
    <t>{yield: four-fold less 4 quarters 5 bushels}</t>
  </si>
  <si>
    <t>The same render account for 77 quarters 3 bushels from the whole issue of barley by struck measure.</t>
  </si>
  <si>
    <t>1 quarters 3 bushels received above from curall.</t>
  </si>
  <si>
    <t>1 quarters 1 bushels received below from peas.</t>
  </si>
  <si>
    <t>2 quarters 1 bushels received from vetches.</t>
  </si>
  <si>
    <t>Total, 82 quarters.</t>
  </si>
  <si>
    <t>Sown over 98 acres as they lie on both sides of la Longehegg' and in Crikelescrofte, 20 quarters.</t>
  </si>
  <si>
    <t>that is, 3 bushels 1 peck an acre, plus .5 bushels 1 peck in all.</t>
  </si>
  <si>
    <t>Delivered to 4 drovers for the year, 26 quarters, taking a quarter every 8 weeks.</t>
  </si>
  <si>
    <t>Delivered to 1 carter for the year, 6.5 quarters, who takes as before.</t>
  </si>
  <si>
    <t>Delivered to 1 drover who drove the horse-plough for .5 year and the other cart for the other .5 year, 6.5 quarters, and he takes as before.</t>
  </si>
  <si>
    <t>Delivered to 1 cowherd for the year, 4 quarters 2.5 bushels, taking a quarter every 12 weeks.</t>
  </si>
  <si>
    <t>Delivered to to 1 dairymaid for the year, 5 quarters 1.5 bushels, taking a quarter every 10 weeks. {Henceforth the dairymaid should take nothing except a quarter every 12 weeks.</t>
  </si>
  <si>
    <t>also hereafter the dairymaid should answer for the offspring of geese and hens}.</t>
  </si>
  <si>
    <t>corrody of 1 swineherd and 1 shepherd with the ewes, 4 quarters.</t>
  </si>
  <si>
    <t>corrody of 1 keeper of lambs for .5 year, 1 quarters.</t>
  </si>
  <si>
    <t>Delivered to the same for the other .5 year because he kept the lambs of Bishops Waltham and Droxford, 2 quarters, taking a quarter every 13 weeks.</t>
  </si>
  <si>
    <t>Delivered to 1 hayward from the Circumcision until Lammas, for 30 weeks, and from the Decollation of St John the Baptist until Michaelmas, for 4 weeks, 2 quarters 1 bushels, because he takes the rest in wheat.</t>
  </si>
  <si>
    <t>he takes a quarter every 8 weeks and in between times at harvest-time he sits at table.</t>
  </si>
  <si>
    <t>Sold, 5 quarters 2.5 bushels Sold at the audit, 0.5 bushels It balances.</t>
  </si>
  <si>
    <t>Oats</t>
  </si>
  <si>
    <t>(yield: two-fold plus 5 quarters .5 bushels)</t>
  </si>
  <si>
    <t>The same render account for 180 quarters .5 bushels from the whole issue of oats by struck measure.</t>
  </si>
  <si>
    <t>25 quarters by estimation in sheaves.</t>
  </si>
  <si>
    <t>Total, 205 quarters .5 bushels</t>
  </si>
  <si>
    <t>Sown over 405 acres as they lie at Langehegg', Hok', Crikelescrofte and at Legsted', 88.5 quarters bushels.</t>
  </si>
  <si>
    <t>that is, 1 bushels 1 peck an acre, plus 1 peck in all.</t>
  </si>
  <si>
    <t>fodder of 2 cart-horses for the year, 15.5 quarters.</t>
  </si>
  <si>
    <t>fodder of the plough-horses at sowing time, 5.5 quarters.</t>
  </si>
  <si>
    <t>fodder of the steward's horses for his visits by 2 tallies, 2 quarters 2 bushels.</t>
  </si>
  <si>
    <t>fodder of the horses of Roger, bailiff from Michaelmas until Christmas, 4 quarters.</t>
  </si>
  <si>
    <t>fodder of the horses of Robert, bailiff and clerk, for his visits from Christmas until Michaelmas, 5 quarters 2.5 bushels.</t>
  </si>
  <si>
    <t>supporting oxen by estimation in sheaves, 25 quarters.</t>
  </si>
  <si>
    <t>Sold, 58.5 quarters 3 bushels It balances.</t>
  </si>
  <si>
    <t>Peas</t>
  </si>
  <si>
    <t>{yield: three-fold plus 2.5 bushels}</t>
  </si>
  <si>
    <t>The same render account for 3 quarters 2.5 bushels from the whole issue of peas.</t>
  </si>
  <si>
    <t>4 bushels bought.</t>
  </si>
  <si>
    <t>Total, 3.5 quarters 2.5 bushels</t>
  </si>
  <si>
    <t>Sown over 20 acres as they lie in la Worth', 2 quarters 3.5 bushels.</t>
  </si>
  <si>
    <t>that is, 1 bushels an acre, less 0.5 bushels in all.</t>
  </si>
  <si>
    <t>Mixed with barley for the liveries of the manorial servants, 1 quarters 1 bushels Sold, 2 bushels It balances.</t>
  </si>
  <si>
    <t>Vetches</t>
  </si>
  <si>
    <t>(yield: three-and-a-half-fold plus 1 bushels)</t>
  </si>
  <si>
    <t>The same render account for 8 quarters from the whole issue of vetches by struck measure.</t>
  </si>
  <si>
    <t>3 quarters 2 bushels bought.</t>
  </si>
  <si>
    <t>Total, 11 quarters 2 bushels</t>
  </si>
  <si>
    <t>Sown over 59 acres as they lie in la Worth' and beside Trtboddestret', 5.5 quarters.</t>
  </si>
  <si>
    <t>that is, 1 bushels and 1 peck an acre, less I peck in all.</t>
  </si>
  <si>
    <t>Mixed above with barley, 2 quarters 1 bushels.</t>
  </si>
  <si>
    <t>supporting  pigs, 1.5 quarters.</t>
  </si>
  <si>
    <t>Sold, 2 quarters 1 bushels It balances.</t>
  </si>
  <si>
    <t>Issues of the mills</t>
  </si>
  <si>
    <t>Wheat: 1 quarters 3 bushels from the whole issue of the east mill.</t>
  </si>
  <si>
    <t>all solpence</t>
  </si>
  <si>
    <t>Maslin: 18 quarters 1 bushels from the whole issue of the same mill.</t>
  </si>
  <si>
    <t>Wheat: 1 quarters 1 bushels from the whole issue of the mill.</t>
  </si>
  <si>
    <t>Maslin: 2.5 quarters 1 bushels from the whole issue of the mill.</t>
  </si>
  <si>
    <t>Coarse-ground corn: 5.5 quarters 1.5 bushels from the issue of the mill.</t>
  </si>
  <si>
    <t>Malt: 13.5 quarters from the issue of the mill.</t>
  </si>
  <si>
    <t>Oatmeal:' 1 quarters of oatmeal (gruel!) from the issue of the mill.</t>
  </si>
  <si>
    <t>Stock</t>
  </si>
  <si>
    <t>Cart-horses: 2 remain from the previous year.</t>
  </si>
  <si>
    <t>2 remain.</t>
  </si>
  <si>
    <t>Plough-horses: 3 remain from the previous year.</t>
  </si>
  <si>
    <t>1 from the heriot of John Thore.</t>
  </si>
  <si>
    <t>1 from the heriot of Roginald de Porteslad'.</t>
  </si>
  <si>
    <t>1 bought.</t>
  </si>
  <si>
    <t>Total, 6. 2 sold.</t>
  </si>
  <si>
    <t>4 remain.</t>
  </si>
  <si>
    <t>Oxen: 48 remain from the previous year.</t>
  </si>
  <si>
    <t>3 additions.</t>
  </si>
  <si>
    <t>1 from the heriot of Henry Frth'.</t>
  </si>
  <si>
    <t>1 from the heriot of Martin de Yully.</t>
  </si>
  <si>
    <t>9 bought.</t>
  </si>
  <si>
    <t>Total, 62. 2 in murrain.</t>
  </si>
  <si>
    <t>6 solpence Total, 8. 54 remain.</t>
  </si>
  <si>
    <t>Bulls: 1 remains from the previous year.</t>
  </si>
  <si>
    <t>1 remains.</t>
  </si>
  <si>
    <t>Cows: 27 remain from the previous year.</t>
  </si>
  <si>
    <t>8 additions.</t>
  </si>
  <si>
    <t>12 from the heriot of Agnes ate Frith' before calving.</t>
  </si>
  <si>
    <t>1 from the heriot of Richard Moysent before calving.</t>
  </si>
  <si>
    <t>1 from the heriot of Richard Boll' before calving.</t>
  </si>
  <si>
    <t>1 from the heriot of Adam ate Hull' before calving.</t>
  </si>
  <si>
    <t>8 bought after calving about the feast of St John the Baptist (24 June).</t>
  </si>
  <si>
    <t>Total, 47. 1 in murrain before calving.</t>
  </si>
  <si>
    <t>6 sold before calving.</t>
  </si>
  <si>
    <t>Total, 7. 40 remain.</t>
  </si>
  <si>
    <t>Steers: 12 remain from the previous year's bullocks.</t>
  </si>
  <si>
    <t>1 from the heriot of Roger Kutel.</t>
  </si>
  <si>
    <t>Total, 13. 2 in murrain.</t>
  </si>
  <si>
    <t>3 added to oxen, 8 to cows.</t>
  </si>
  <si>
    <t>Total, 13. None remain.</t>
  </si>
  <si>
    <t>Bullocks: 11 remain from the previous year's yearlings.</t>
  </si>
  <si>
    <t>3 in murrain.</t>
  </si>
  <si>
    <t>8 remain.</t>
  </si>
  <si>
    <t>Yearlings: 11 remain from the previous year's calves.</t>
  </si>
  <si>
    <t>4 in murrain.</t>
  </si>
  <si>
    <t>7 remain, 3 of them male.</t>
  </si>
  <si>
    <t>Calves: 19 from the offspring of the said cows because 3 were sterile, 8 bought after calving, 6 sold before calving, and 1 in murrain before calving. 2 in3 tithe.</t>
  </si>
  <si>
    <t>6 sold.</t>
  </si>
  <si>
    <t>11 remain, 6 of them male.</t>
  </si>
  <si>
    <t>Wethers: 249 remain from the previous year.</t>
  </si>
  <si>
    <t>58 additions.</t>
  </si>
  <si>
    <t>Total, 307. 7 sold at Martinmas.</t>
  </si>
  <si>
    <t>18 in murrain before shearing, 11 after shearing.</t>
  </si>
  <si>
    <t>Total, 36. 271 remain.</t>
  </si>
  <si>
    <t>Rams: 2 remain from the previous year.</t>
  </si>
  <si>
    <t>6 added from hoggs.</t>
  </si>
  <si>
    <t>Total, 8. 8 remain.</t>
  </si>
  <si>
    <t>Ewes: 226 remain from the previous year.</t>
  </si>
  <si>
    <t>50 added from hoggs.</t>
  </si>
  <si>
    <t>Total, 276.7 sold at Martinmas.</t>
  </si>
  <si>
    <t>30 in murrain before breeding and shearing, 1 after breeding and before shearing, and 2 after shearing.</t>
  </si>
  <si>
    <t>Total, 40. 236 remain.</t>
  </si>
  <si>
    <t>Hoggs: 145 remain from the previous year's lambs.</t>
  </si>
  <si>
    <t>26 sold because feeble.</t>
  </si>
  <si>
    <t>5 in murrain before shearing.</t>
  </si>
  <si>
    <t>58 added to wethers, 6 to rams, and 50 to ewes.</t>
  </si>
  <si>
    <t>None remain.</t>
  </si>
  <si>
    <t>Lambs: 172 produced by the said ewes this year because 17 were sterile. 16 in murrain before weaning, 3 after weaning and before shearing.</t>
  </si>
  <si>
    <t>16 in tithe.</t>
  </si>
  <si>
    <t>3 in customary payment to 1 beadle, 1 smith and 1 shepherd.</t>
  </si>
  <si>
    <t>12 sold before shearing because feeble.</t>
  </si>
  <si>
    <t>Total, 50. 122 remain.</t>
  </si>
  <si>
    <t>Sows: 2 remain from the previous year.</t>
  </si>
  <si>
    <t>Boars: 1 remains from the previous year.</t>
  </si>
  <si>
    <t>1 addition.</t>
  </si>
  <si>
    <t>Total, 2. 1 sold.</t>
  </si>
  <si>
    <t>Pigs: 12 remain from the previous year.</t>
  </si>
  <si>
    <t>30 added from hoggets.</t>
  </si>
  <si>
    <t>1 from the heriot of Henry Wygayn.</t>
  </si>
  <si>
    <t>Total, 43. 3 in murrain.</t>
  </si>
  <si>
    <t>2 in provision of Roger the bailiff.</t>
  </si>
  <si>
    <t>5 solpence Total, 10. 33 remain.</t>
  </si>
  <si>
    <t>Hoggets: 37 remain from the previous year's piglets.</t>
  </si>
  <si>
    <t>6 in murrain.</t>
  </si>
  <si>
    <t>1 added to boars, 30 to pigs.</t>
  </si>
  <si>
    <t>None remain</t>
  </si>
  <si>
    <t>Piglets: 17 from the offspring of the sows this year. 3 in murrain.</t>
  </si>
  <si>
    <t>1 in tithe.</t>
  </si>
  <si>
    <t>Total, 4. 13 remain.</t>
  </si>
  <si>
    <t>Coarse wool {yield of fleece 3Vpence less 4.75. in all): 528 fleeces produced at the shearing this year.</t>
  </si>
  <si>
    <t>53 in tithe.</t>
  </si>
  <si>
    <t>375 sent to Wolvesey, which made 2 weys and 12 cloves.</t>
  </si>
  <si>
    <t>Wool locks: 6 cloves.</t>
  </si>
  <si>
    <t>Lamb's-wool: (yield of fleece 1.25pence plus 8.25pence in all): 122 fleeces produced at the shearing this year.</t>
  </si>
  <si>
    <t>all sent to Wolvesey, which made 7 cloves.</t>
  </si>
  <si>
    <t>Winter cheese: 41 made this year.</t>
  </si>
  <si>
    <t>all sold, which made .5 wey.</t>
  </si>
  <si>
    <t>Summer cheese: {yield of cow 3 shilling and sheep 3pence with 4 cheeses in customary payment valued at 2 shilling 8pence and 1 cheese in provision of the steward valued at 6pence, less 3 shilling 51/pence in all): 162 cheeses made between Thursday the feast of St Alphege (19 April) and Michaelmas (29 September), both days included.</t>
  </si>
  <si>
    <t>1 in customary payment for the mowing of the meadow.</t>
  </si>
  <si>
    <t>1 in provision of the steward.</t>
  </si>
  <si>
    <t>141 sold, which made 11 weys.</t>
  </si>
  <si>
    <t>Butter: 22 cloves made this year.</t>
  </si>
  <si>
    <t>Salt: 292.5 sesters remain from the previous year.</t>
  </si>
  <si>
    <t>76 sesters from the rent of Bursledon this year.</t>
  </si>
  <si>
    <t>Total, 368.5 sesters. 3 washed away (decursu).</t>
  </si>
  <si>
    <t>365.5 sesters solpence</t>
  </si>
  <si>
    <t>Hens: 172 from churchscot. 1 in default of the land of Peter ate Feld'.</t>
  </si>
  <si>
    <t>1 in default of the land of William Operych.</t>
  </si>
  <si>
    <t>1 in default of the land of Maurice Hudy.</t>
  </si>
  <si>
    <t>2 in default of the land of Matilda Charnpayn.</t>
  </si>
  <si>
    <t>2 in default of Isabel Walewayn.</t>
  </si>
  <si>
    <t>2 in default of the land of Henry Parmenter.</t>
  </si>
  <si>
    <t>1 in default of the land of Robert Faber.</t>
  </si>
  <si>
    <t>4 in default of the land which belonged to Henry Wrenht, which was leased and which Henry le White now holds.</t>
  </si>
  <si>
    <t>2 in default of the land of Walter ate Brok'.</t>
  </si>
  <si>
    <t>2 in default of the land of Walter Kempe.</t>
  </si>
  <si>
    <t>Total, 18. 154 solpence</t>
  </si>
  <si>
    <t>Swans: 13 remain from the previous year.</t>
  </si>
  <si>
    <t>3 from this year's offspring.</t>
  </si>
  <si>
    <t>Total, 16, of which.</t>
  </si>
  <si>
    <t>Peacocks: 6 remain from the previous year.</t>
  </si>
  <si>
    <t>1 from this year's offspring.</t>
  </si>
  <si>
    <t>Total, 7.5 in murrain.</t>
  </si>
  <si>
    <t>5 remain, 2 of them peacocks.</t>
  </si>
  <si>
    <t>Cider: 60 gallons remain from the previous year.</t>
  </si>
  <si>
    <t>2 casks from this year's issue.</t>
  </si>
  <si>
    <t>60 gallons in provision of Roger the bailiff.</t>
  </si>
  <si>
    <t>2 casks remain.</t>
  </si>
  <si>
    <t>Hides: 2 from oxen, 1 from a cow, 2 from steers, 3 from bullocks, 4 from yearlings dead from murrain.</t>
  </si>
  <si>
    <t>Total, 11. All solpence</t>
  </si>
  <si>
    <t>Woolskins: 18 from wethers, 31 from ewes and 5 from hoggs dead from murrain before shearing.</t>
  </si>
  <si>
    <t>Total, 53. All solpence</t>
  </si>
  <si>
    <t>Bare skins: 11 from wethers and 3 from ewes dead from murrain after shearing.</t>
  </si>
  <si>
    <t>Lambskins: 16 from lambs in murrain before weaning and shearing, 3 after weaning and before shearing.</t>
  </si>
  <si>
    <t>Total, 19. All solpence</t>
  </si>
  <si>
    <t>Ornaments: 1 antiphoner, 2 legendaries, 1 missal, 1 alb with a hood, 1 maniple, 1 stole, 1 chasuble, 2 towels, 1 chalice with a paten, 2 cruets of tin, 1 chest for the same, 1 chest which is in the keeping of the reeve for collecting the lord's money, 1 altar frontal of silk, and 1 ell-measure for measuring cloth with a weight for weighing bread  remain from the previous year.</t>
  </si>
  <si>
    <t>1 missal, 1 alb with a hood, 1 maniple with a stole, 1 chasuble, 2 towels, 1 chalice with a paten, 2 cruets of tin, 1 altar frontal of iseilk, and 1 chest in which to put the aforesaid items sent to Bitterne.</t>
  </si>
  <si>
    <t>1 antiphoner, 2 gendaries and 1 ell-measure with a weight for weighing bread remain at Bishops Waltham.</t>
  </si>
  <si>
    <t>Utensils: 3 brass pots, 1 pitcher, 1 pan, 1 ewer with a basin, 1 lead vessel of 6 sesters, 1 bushel measure, 1 standard gallon measure remain from the previous year.</t>
  </si>
  <si>
    <t>all remain here apart from the bushel and gallon measures.</t>
  </si>
  <si>
    <t>Carts: 2 remain from the previous year.</t>
  </si>
  <si>
    <t>Total, 3. 1 worn out.</t>
  </si>
  <si>
    <t>2 carts with iron tyres remain.</t>
  </si>
  <si>
    <t>Chains: 1 iron chain remains from the previous year.</t>
  </si>
  <si>
    <t>it remains.</t>
  </si>
  <si>
    <t>Error</t>
  </si>
  <si>
    <t>Total</t>
  </si>
  <si>
    <t>The same render account for £22 15 shilling 8.5pence from 73.5 quarters of wheat sold, at 5 shilling a qr for 7.5 quarters 1 bushels, 5 shilling 4pence a qr for 6.5 quarters, 6 shilling a qr for 19 quarters 3 bushels, and 6 shilling 8pence a qr for 40 quarters..</t>
  </si>
  <si>
    <t>17 shilling 5.75pence from 8 quarters' bushels of curall sold, at 2 shilling a qr for 4 quarters, and 2 shilling 4pence a qr for 4 quarters .5 bushels.</t>
  </si>
  <si>
    <t>£1 1 shilling 3pence from 5 quarters 2.5 bushels of barley sold, at 4 shilling a qr.</t>
  </si>
  <si>
    <t>£6 13 shilling 10pence from 58.5 quarters 3 bus, of oats sold, at 2 shilling a qr for 31 quarters, 2 shilling 4pence a qr for 7.5 quarters, and 2 shilling 8pence a qr for 20 quarters 3 bushels.</t>
  </si>
  <si>
    <t>4 shilling 3pence from 2 quarters 1 bushels of vetches sold, at 2 shilling a qr.</t>
  </si>
  <si>
    <t>The same render account for 7 shilling 7pence from 1 qr 3 bushels of wheat sold, at 5 shilling 4pence for 1 qr, and 9pence a bushels for 3 bushels.</t>
  </si>
  <si>
    <t>The same render account for 6 shilling 3pence from 1 qr 1 bushels of wheat sold, at 7pence for 1 bushels, 8pence a bushels for 4 bushels, and 9pence a bushels for 3 bushels.</t>
  </si>
  <si>
    <t>9 shilling 2r.5-1pence from 2 quarters 5 bushels of maslin sold, at 4.5pence a bushels for 5 bushels, 3 shilling 4pence for 1 qr, and 4 shilling for 1 qr.</t>
  </si>
  <si>
    <t>£1 12 shilling 4pence from 5 quarters 5.5 bushels of coarse-ground corn sold, at 5 shilling 4pence a qr for 2 quarters 5.5 bushels, and 6 shilling a qr for 3 quarters.</t>
  </si>
  <si>
    <t>£1 13 shilling 8pence from 13.5 quarters of malt sold, at 2 shilling 4pence a qr for 5 quarters, 2 shilling 6pence a qr for 4 quarters, and 2 shilling 8pence a qr for 4.5 quarters.</t>
  </si>
  <si>
    <t>3 quarters 2 bushels of vetches bought 5 shilling 5pence, at 1 shilling 8pence a qr.</t>
  </si>
  <si>
    <t>54 quarters' of charcoal made and sent to Wolvesey 6 shilling 9pence, at 1.5pence a qr.</t>
  </si>
  <si>
    <t>added</t>
  </si>
  <si>
    <t>sold</t>
  </si>
  <si>
    <t>Cart-horses</t>
  </si>
  <si>
    <t>Oxen</t>
  </si>
  <si>
    <t>Bulls</t>
  </si>
  <si>
    <t>Cows</t>
  </si>
  <si>
    <t>Steers</t>
  </si>
  <si>
    <t>Bullocks</t>
  </si>
  <si>
    <t>Yearlings</t>
  </si>
  <si>
    <t>Calves</t>
  </si>
  <si>
    <t>Wethers</t>
  </si>
  <si>
    <t>Rams</t>
  </si>
  <si>
    <t>Ewes</t>
  </si>
  <si>
    <t>Hoggs</t>
  </si>
  <si>
    <t>Lambs</t>
  </si>
  <si>
    <t>Sows</t>
  </si>
  <si>
    <t>Boars</t>
  </si>
  <si>
    <t>Pigs</t>
  </si>
  <si>
    <t>Hoggets</t>
  </si>
  <si>
    <t>Piglets</t>
  </si>
  <si>
    <t>Wool locks</t>
  </si>
  <si>
    <t>Cheese</t>
  </si>
  <si>
    <t>Butter</t>
  </si>
  <si>
    <t>Poultry stock</t>
  </si>
  <si>
    <t>Swans</t>
  </si>
  <si>
    <t>Peacocks</t>
  </si>
  <si>
    <t>Cider</t>
  </si>
  <si>
    <t>Bareskins</t>
  </si>
  <si>
    <t>Lambskins</t>
  </si>
  <si>
    <t>Utensils</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</si>
  <si>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</si>
  <si>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</si>
  <si>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</si>
  <si>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</si>
  <si>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</si>
  <si>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</si>
  <si>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</si>
  <si>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</si>
  <si>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</si>
  <si>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</si>
  <si>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</si>
  <si>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</si>
  <si>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</si>
  <si>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</si>
  <si>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</si>
  <si>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</si>
  <si>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</si>
  <si>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</si>
  <si>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</si>
  <si>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</si>
  <si>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</si>
  <si>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</si>
  <si>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</si>
  <si>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provision of the steward for his visits by 2 tallies, 1 qr.</t>
  </si>
  <si>
    <t>Mixed with barley for the liveries of the manorial servants, 1 qr 3 bushels Sold, 8 quarters .5 bushels It balances.</t>
  </si>
  <si>
    <t>1 qr 3 bushels received above from curall.</t>
  </si>
  <si>
    <t>1 qr 1 bushels received below from peas.</t>
  </si>
  <si>
    <t>corrody of 1 keeper of lambs for .5 year, 1 qr.</t>
  </si>
  <si>
    <t>Mixed with barley for the liveries of the manorial servants, 1 qr 1 bushels Sold, 2 bushels It balances.</t>
  </si>
  <si>
    <t>Gross Output</t>
  </si>
  <si>
    <t>Difference Produced+Bought-Sold</t>
  </si>
  <si>
    <t>Weighted Average Price per Quarter</t>
  </si>
  <si>
    <t>Non-Weighted Average Price per Quarter</t>
  </si>
  <si>
    <t>Value of Total Production weighted</t>
  </si>
  <si>
    <t>Maslin</t>
  </si>
  <si>
    <t>Oatmeal</t>
  </si>
  <si>
    <t>Quarters 0</t>
  </si>
  <si>
    <t>Bushels 0</t>
  </si>
  <si>
    <t>£ a quarter 1</t>
  </si>
  <si>
    <t>£ a quarter 2</t>
  </si>
  <si>
    <t>£ a quarter 3</t>
  </si>
  <si>
    <t>£ a quarter 4</t>
  </si>
  <si>
    <t>Quarters Sold</t>
  </si>
  <si>
    <t>Corn lowercase</t>
  </si>
  <si>
    <t>inf</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</si>
  <si>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</si>
  <si>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</si>
  <si>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</si>
  <si>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</si>
  <si>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</si>
  <si>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</si>
  <si>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</si>
  <si>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</si>
  <si>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</si>
  <si>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</si>
  <si>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</si>
  <si>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</si>
  <si>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</si>
  <si>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</si>
  <si>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</si>
  <si>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</si>
  <si>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</si>
  <si>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</si>
  <si>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</si>
  <si>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</si>
  <si>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</si>
  <si>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</si>
  <si>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</si>
  <si>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</si>
  <si>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</si>
  <si>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</si>
  <si>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</si>
  <si>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</si>
  <si>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</si>
  <si>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</si>
  <si>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</si>
  <si>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</si>
  <si>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</si>
  <si>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</si>
  <si>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</si>
  <si>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</si>
  <si>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</si>
  <si>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</si>
  <si>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</si>
  <si>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</si>
  <si>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</si>
  <si>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</si>
  <si>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</si>
  <si>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</si>
  <si>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</si>
  <si>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</si>
  <si>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</si>
  <si>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Sum of the above</t>
  </si>
  <si>
    <t>Total of all allowances and cash deliveries in accounts</t>
  </si>
  <si>
    <t>Net amount owed</t>
  </si>
  <si>
    <t>Net amount owed in accounts</t>
  </si>
  <si>
    <t xml:space="preserve">GRANGE ACCOUNT </t>
  </si>
  <si>
    <t>Grange</t>
  </si>
  <si>
    <t>Total value of gross production (sum of the above)</t>
  </si>
  <si>
    <t>Total value of net production</t>
  </si>
  <si>
    <t>Value of sales</t>
  </si>
  <si>
    <t>MILL ACCOUNT</t>
  </si>
  <si>
    <t>Issues of the mill</t>
  </si>
  <si>
    <t>1st grade malt</t>
  </si>
  <si>
    <t>2nd grade malt</t>
  </si>
  <si>
    <t>Total value of production (sum of the above)</t>
  </si>
  <si>
    <t>STOCK ACCOUNT</t>
  </si>
  <si>
    <t>Livestock</t>
  </si>
  <si>
    <t>Mares</t>
  </si>
  <si>
    <t>Plough horses</t>
  </si>
  <si>
    <t>Colts (2 years)</t>
  </si>
  <si>
    <t>Colts (1 year)</t>
  </si>
  <si>
    <t>Foals</t>
  </si>
  <si>
    <t>Total value of stock (sum of the above)</t>
  </si>
  <si>
    <t>Total value of production</t>
  </si>
  <si>
    <t>Wool</t>
  </si>
  <si>
    <t>Coarse wool</t>
  </si>
  <si>
    <t>Lamb's wool</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</si>
  <si>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</si>
  <si>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</si>
  <si>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</si>
  <si>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</si>
  <si>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</si>
  <si>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</si>
  <si>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</si>
  <si>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</si>
  <si>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</si>
  <si>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</si>
  <si>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</si>
  <si>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</si>
  <si>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</si>
  <si>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</si>
  <si>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</si>
  <si>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</si>
  <si>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</si>
  <si>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</si>
  <si>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</si>
  <si>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Rotted skins</t>
  </si>
  <si>
    <t>Shorn skins</t>
  </si>
  <si>
    <t>Hens</t>
  </si>
  <si>
    <t>Geese</t>
  </si>
  <si>
    <t>Capons (from chickens)</t>
  </si>
  <si>
    <t>Cocks &amp; hens</t>
  </si>
  <si>
    <t>Poultry production</t>
  </si>
  <si>
    <t>Eggs</t>
  </si>
  <si>
    <t>Cocks &amp; hens from churchscot of customary tenants</t>
  </si>
  <si>
    <t>Sum of above</t>
  </si>
  <si>
    <t>Total value of stock</t>
  </si>
  <si>
    <t>Dairy Production</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</si>
  <si>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</si>
  <si>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</si>
  <si>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</si>
  <si>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</si>
  <si>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</si>
  <si>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</si>
  <si>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</si>
  <si>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</si>
  <si>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</si>
  <si>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BISHOPS WALTHAM</t>
  </si>
  <si>
    <t>Total in £</t>
  </si>
  <si>
    <t>Note</t>
  </si>
  <si>
    <t>BISHOPS WALTHAM RECEIPT</t>
  </si>
  <si>
    <t>£</t>
  </si>
  <si>
    <t xml:space="preserve">s </t>
  </si>
  <si>
    <t>d</t>
  </si>
  <si>
    <t>Notes</t>
  </si>
  <si>
    <t xml:space="preserve">1 granary-keeper for the year 2 shilling </t>
  </si>
  <si>
    <t>Total, £2 17 shilling 6pence</t>
  </si>
  <si>
    <t xml:space="preserve">£19 7 shilling 7pence from 50 Yearlings bought and agisted in the park the previous year and afterwards solpence </t>
  </si>
  <si>
    <t>Total, £77 8 shilling 1pence</t>
  </si>
  <si>
    <t xml:space="preserve">£3 3 shilling 6pence from 18 quarters 1 bushels of maslin sold, at 3 shilling 4pence a qr for 7 quarters, and 4 shilling a qr for 8 quarters 1 bushels </t>
  </si>
  <si>
    <t>Total, £3 11 shilling 1pence</t>
  </si>
  <si>
    <t>Total of both, £7 19 shilling 2.5pence</t>
  </si>
  <si>
    <t xml:space="preserve">6 shilling 8pence from 1 qr of oatmeal solpence </t>
  </si>
  <si>
    <t xml:space="preserve">Total, £4 8 shilling 1.5pence </t>
  </si>
  <si>
    <t>BISHOPS WALTHAM EXPENSES</t>
  </si>
  <si>
    <t xml:space="preserve">forage bought to support the lord's stock £1 4 shilling </t>
  </si>
  <si>
    <t>Total, £10 1 shilling 5pence</t>
  </si>
  <si>
    <t>In iron and steel bought for 4 ploughs for the year and 1 plough for' year 9 shilling 10pence</t>
  </si>
  <si>
    <t xml:space="preserve">stipend of 1 dairymaid for the year 2 shilling </t>
  </si>
  <si>
    <t>Total, £5 2 shilling 10pence</t>
  </si>
  <si>
    <t>8 cows bought after calving £3 13 shilling 6pence, at 8 shilling 10pence each for 3, 9 shilling 4pence each for 3, and 9 shilling 6pence each for 2.</t>
  </si>
  <si>
    <t xml:space="preserve">fencing for the enclosure 3.5pence </t>
  </si>
  <si>
    <t>Total, 5 shilling 4.5pence</t>
  </si>
  <si>
    <t xml:space="preserve">In making the palisade of the park anew in places and mending it elsewhere £1 8 shilling 10pence </t>
  </si>
  <si>
    <t>Total, £1 8 shilling 10pence</t>
  </si>
  <si>
    <t xml:space="preserve">1 basket for corn bought 3pence </t>
  </si>
  <si>
    <t>Total, 1 shilling 4pence</t>
  </si>
  <si>
    <t xml:space="preserve">mowing the meadow of la Mere 1 shilling </t>
  </si>
  <si>
    <t>Total, 8 shilling</t>
  </si>
  <si>
    <t xml:space="preserve">1 fur bought for the summer livery of Robert the bailiff 3 shilling </t>
  </si>
  <si>
    <t>Total, £5 1 shilling</t>
  </si>
  <si>
    <t>expenses of Robert, bailiff and clerk, for his visits from Christmas until the following Michaelmas £2.</t>
  </si>
  <si>
    <t>In expenses of the steward for his visits at 2 tourns by 2 tallies £1 2 shilling 11pence.</t>
  </si>
  <si>
    <t xml:space="preserve">In wages of the door-keeper for the year £1 10 shilling 5pence </t>
  </si>
  <si>
    <t>Total, £1 10 shilling 5pence</t>
  </si>
  <si>
    <t xml:space="preserve">In 50 yearlings bought and agisted in the park the previous year, because their sale is answered for in this roll, £17 18 shilling 2.25pence </t>
  </si>
  <si>
    <t>Total, £17 18 shilling 2.25pence</t>
  </si>
  <si>
    <t xml:space="preserve">oaks felled and a ditch made for killing foxes by order of the lord £1 3 shilling 8pence </t>
  </si>
  <si>
    <t>Total, £3 14 shilling 9pence</t>
  </si>
  <si>
    <t>Colts (unspecified years)</t>
  </si>
  <si>
    <t>Total Value</t>
  </si>
  <si>
    <t>Total wool</t>
  </si>
  <si>
    <t>Mare</t>
  </si>
  <si>
    <t>Steer</t>
  </si>
  <si>
    <t>calves</t>
  </si>
  <si>
    <t>pigs</t>
  </si>
  <si>
    <t>Woolskins (incl. 10 in tithe)</t>
  </si>
  <si>
    <t>wethers</t>
  </si>
  <si>
    <t>rams</t>
  </si>
  <si>
    <t>ewes</t>
  </si>
  <si>
    <t>hoggs</t>
  </si>
  <si>
    <t>Woolskins (excl. 10 in tithe)</t>
  </si>
  <si>
    <t>Lambskins (excl. 8 in tithe)</t>
  </si>
  <si>
    <t xml:space="preserve">Total </t>
  </si>
  <si>
    <t>Total poultry stock</t>
  </si>
  <si>
    <t>Total poultry excluding churchscot</t>
  </si>
  <si>
    <t>Meat</t>
  </si>
  <si>
    <t>Beef</t>
  </si>
  <si>
    <t>Mutton</t>
  </si>
  <si>
    <t>Pork</t>
  </si>
  <si>
    <t>Winter cheese</t>
  </si>
  <si>
    <t>Summer cheese</t>
  </si>
  <si>
    <t>Total Dairy Sales</t>
  </si>
  <si>
    <t>Additional Information (not necessarily useful)</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</si>
  <si>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</si>
  <si>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</si>
  <si>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</si>
  <si>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</si>
  <si>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</si>
  <si>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</si>
  <si>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</si>
  <si>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</si>
  <si>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</si>
  <si>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</si>
  <si>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</si>
  <si>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</si>
  <si>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</si>
  <si>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</si>
  <si>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</si>
  <si>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</si>
  <si>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</si>
  <si>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</si>
  <si>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</si>
  <si>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</si>
  <si>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</si>
  <si>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</si>
  <si>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</si>
  <si>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</si>
  <si>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</si>
  <si>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subtracted</t>
  </si>
  <si>
    <t>Inherited stock</t>
  </si>
  <si>
    <t>strays</t>
  </si>
  <si>
    <t>herbage</t>
  </si>
  <si>
    <t>churchscot</t>
  </si>
  <si>
    <t>of which in default</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</si>
  <si>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</si>
  <si>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</si>
  <si>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</si>
  <si>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</si>
  <si>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</si>
  <si>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</si>
  <si>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</si>
  <si>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</si>
  <si>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</si>
  <si>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</si>
  <si>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</si>
  <si>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</si>
  <si>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</si>
  <si>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BISHOPS WALTHAM STOCK ACCOUNT</t>
  </si>
  <si>
    <t>Total Quantity</t>
  </si>
  <si>
    <t>Received from churchscot</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</si>
  <si>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</si>
  <si>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</si>
  <si>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</si>
  <si>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</si>
  <si>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</si>
  <si>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</si>
  <si>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</si>
  <si>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</si>
  <si>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</si>
  <si>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</si>
  <si>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</si>
  <si>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</si>
  <si>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</si>
  <si>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</si>
  <si>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</si>
  <si>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</si>
  <si>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measured in cloves</t>
  </si>
  <si>
    <t>accounting doesnt add up</t>
  </si>
  <si>
    <t>measured in casks</t>
  </si>
  <si>
    <t>12 shilling 10 pence from 154 hens from churchscot sold.</t>
  </si>
  <si>
    <t>4 shilling 3pence from 0.5 wey of winter cheese sold.</t>
  </si>
  <si>
    <t>nothing from coarse wool here because it is sent to Wolvesey.</t>
  </si>
  <si>
    <t>not recorded as sold in stock but recorded as sold in issues</t>
  </si>
  <si>
    <t>Total of all receipts recorded in accounts</t>
  </si>
  <si>
    <t>Total cross-check without arrears</t>
  </si>
  <si>
    <t>Total cross-check with arrears</t>
  </si>
  <si>
    <t>Perquisites and entry fines</t>
  </si>
  <si>
    <t>Fixed investment</t>
  </si>
  <si>
    <t>Demesne fixed investment</t>
  </si>
  <si>
    <t>not agricultural?</t>
  </si>
  <si>
    <t>Total Production</t>
  </si>
  <si>
    <t>qrs</t>
  </si>
  <si>
    <t>Value of total gross production in £</t>
  </si>
  <si>
    <t>Value of total net production in £</t>
  </si>
  <si>
    <t>Sales value in £</t>
  </si>
  <si>
    <t>Value of production at sales prices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</si>
</sst>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sz val="11"/>
      <color rgb="FFFF0000"/>
      <name val="Calibri (Body)"/>
    </font>
    <font>
      <b/>
      <sz val="12"/>
      <color theme="1"/>
      <name val="Calibri (Body)"/>
    </font>
    <font>
      <b/>
      <sz val="12"/>
      <color rgb="FFFF0000"/>
      <name val="Calibri (Body)"/>
    </font>
    <font>
      <b/>
      <sz val="12"/>
      <name val="Calibri"/>
      <family val="2"/>
    </font>
    <font>
      <sz val="11"/>
      <color rgb="FFFF0000"/>
      <name val="Calibri"/>
      <family val="2"/>
      <scheme val="minor"/>
    </font>
    <font>
      <i/>
      <sz val="12"/>
      <color theme="1"/>
      <name val="Calibri"/>
      <family val="2"/>
      <scheme val="minor"/>
    </font>
    <font>
      <b/>
      <sz val="10"/>
      <color rgb="FF000000"/>
      <name val="Tahoma"/>
      <family val="2"/>
    </font>
    <font>
      <sz val="10"/>
      <color rgb="FF000000"/>
      <name val="Tahoma"/>
      <family val="2"/>
    </font>
    <font>
      <b/>
      <sz val="11"/>
      <color theme="1"/>
      <name val="Calibri"/>
      <family val="2"/>
      <scheme val="minor"/>
    </font>
    <font>
      <b/>
      <sz val="11"/>
      <color rgb="FF000000"/>
      <name val="Calibri"/>
      <family val="2"/>
      <scheme val="minor"/>
    </font>
  </fonts>
  <fills count="9">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6" tint="0.79998168889431442"/>
        <bgColor indexed="64"/>
      </patternFill>
    </fill>
    <fill>
      <patternFill patternType="solid">
        <fgColor rgb="FFFFFF00"/>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thin">
        <color theme="0" tint="-0.34998626667073579"/>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92">
    <xf numFmtId="0" fontId="0" fillId="0" borderId="0" xfId="0"/>
    <xf numFmtId="0" fontId="3" fillId="0" borderId="1" xfId="0" applyFont="1" applyBorder="1" applyAlignment="1">
      <alignment horizontal="center" vertical="top"/>
    </xf>
    <xf numFmtId="0" fontId="5" fillId="0" borderId="0" xfId="0" applyFont="1"/>
    <xf numFmtId="0" fontId="5" fillId="2" borderId="0" xfId="0" applyFont="1" applyFill="1"/>
    <xf numFmtId="0" fontId="6" fillId="0" borderId="0" xfId="0" applyFont="1"/>
    <xf numFmtId="0" fontId="2" fillId="0" borderId="0" xfId="0" applyFont="1"/>
    <xf numFmtId="0" fontId="7" fillId="3" borderId="2" xfId="0" applyFont="1" applyFill="1" applyBorder="1"/>
    <xf numFmtId="0" fontId="7" fillId="3" borderId="0" xfId="0" applyFont="1" applyFill="1"/>
    <xf numFmtId="0" fontId="8" fillId="2" borderId="0" xfId="0" applyFont="1" applyFill="1"/>
    <xf numFmtId="0" fontId="6" fillId="0" borderId="3" xfId="0" applyFont="1" applyBorder="1"/>
    <xf numFmtId="0" fontId="4" fillId="0" borderId="0" xfId="0" applyFont="1"/>
    <xf numFmtId="0" fontId="6" fillId="4" borderId="0" xfId="0" applyFont="1" applyFill="1"/>
    <xf numFmtId="0" fontId="9" fillId="4" borderId="0" xfId="0" applyFont="1" applyFill="1"/>
    <xf numFmtId="0" fontId="9" fillId="5" borderId="0" xfId="0" applyFont="1" applyFill="1"/>
    <xf numFmtId="0" fontId="9" fillId="2" borderId="0" xfId="0" applyFont="1" applyFill="1"/>
    <xf numFmtId="0" fontId="5" fillId="6" borderId="0" xfId="0" applyFont="1" applyFill="1"/>
    <xf numFmtId="0" fontId="5" fillId="3" borderId="0" xfId="0" applyFont="1" applyFill="1"/>
    <xf numFmtId="0" fontId="6" fillId="0" borderId="0" xfId="0" applyFont="1" applyAlignment="1">
      <alignment wrapText="1"/>
    </xf>
    <xf numFmtId="0" fontId="9" fillId="6" borderId="0" xfId="0" applyFont="1" applyFill="1"/>
    <xf numFmtId="0" fontId="6" fillId="0" borderId="4" xfId="0" applyFont="1" applyBorder="1"/>
    <xf numFmtId="0" fontId="6" fillId="0" borderId="0" xfId="0" applyFont="1" applyAlignment="1">
      <alignment horizontal="right"/>
    </xf>
    <xf numFmtId="0" fontId="6" fillId="0" borderId="4" xfId="0" applyFont="1" applyBorder="1" applyAlignment="1">
      <alignment horizontal="left"/>
    </xf>
    <xf numFmtId="0" fontId="6" fillId="3" borderId="5" xfId="0" applyFont="1" applyFill="1" applyBorder="1"/>
    <xf numFmtId="0" fontId="9" fillId="2" borderId="6" xfId="0" applyFont="1" applyFill="1" applyBorder="1"/>
    <xf numFmtId="0" fontId="9" fillId="5" borderId="6" xfId="0" applyFont="1" applyFill="1" applyBorder="1"/>
    <xf numFmtId="0" fontId="6" fillId="0" borderId="6" xfId="0" applyFont="1" applyBorder="1"/>
    <xf numFmtId="10" fontId="9" fillId="2" borderId="6" xfId="0" applyNumberFormat="1" applyFont="1" applyFill="1" applyBorder="1"/>
    <xf numFmtId="10" fontId="9" fillId="5" borderId="7" xfId="0" applyNumberFormat="1" applyFont="1" applyFill="1" applyBorder="1"/>
    <xf numFmtId="2" fontId="5" fillId="0" borderId="0" xfId="0" applyNumberFormat="1" applyFont="1" applyAlignment="1">
      <alignment horizontal="right"/>
    </xf>
    <xf numFmtId="2" fontId="10" fillId="0" borderId="0" xfId="0" applyNumberFormat="1" applyFont="1" applyAlignment="1">
      <alignment horizontal="right"/>
    </xf>
    <xf numFmtId="0" fontId="3" fillId="0" borderId="0" xfId="0" applyFont="1" applyAlignment="1">
      <alignment horizontal="center" vertical="top"/>
    </xf>
    <xf numFmtId="4" fontId="12" fillId="0" borderId="0" xfId="0" applyNumberFormat="1" applyFont="1" applyAlignment="1">
      <alignment horizontal="right"/>
    </xf>
    <xf numFmtId="0" fontId="12" fillId="0" borderId="0" xfId="0" applyFont="1" applyAlignment="1">
      <alignment horizontal="right"/>
    </xf>
    <xf numFmtId="0" fontId="14" fillId="0" borderId="0" xfId="0" applyFont="1" applyAlignment="1">
      <alignment horizontal="left" vertical="top"/>
    </xf>
    <xf numFmtId="0" fontId="14" fillId="0" borderId="0" xfId="0" applyFont="1" applyAlignment="1">
      <alignment horizontal="center" vertical="top"/>
    </xf>
    <xf numFmtId="2" fontId="0" fillId="0" borderId="0" xfId="0" applyNumberFormat="1"/>
    <xf numFmtId="2" fontId="11" fillId="0" borderId="0" xfId="0" applyNumberFormat="1" applyFont="1"/>
    <xf numFmtId="2" fontId="4" fillId="0" borderId="0" xfId="0" applyNumberFormat="1" applyFont="1" applyAlignment="1">
      <alignment horizontal="center"/>
    </xf>
    <xf numFmtId="2" fontId="13" fillId="0" borderId="0" xfId="0" applyNumberFormat="1" applyFont="1" applyAlignment="1">
      <alignment horizontal="center" vertical="top"/>
    </xf>
    <xf numFmtId="0" fontId="12" fillId="0" borderId="0" xfId="0" applyFont="1"/>
    <xf numFmtId="0" fontId="14" fillId="0" borderId="0" xfId="0" applyFont="1" applyAlignment="1">
      <alignment horizontal="center" vertical="center"/>
    </xf>
    <xf numFmtId="4" fontId="12" fillId="0" borderId="0" xfId="0" applyNumberFormat="1" applyFont="1" applyAlignment="1">
      <alignment horizontal="center" vertical="center"/>
    </xf>
    <xf numFmtId="0" fontId="12" fillId="0" borderId="0" xfId="0" applyFont="1" applyAlignment="1">
      <alignment horizontal="center" vertical="center"/>
    </xf>
    <xf numFmtId="0" fontId="2" fillId="0" borderId="0" xfId="0" applyFont="1" applyAlignment="1">
      <alignment horizontal="center" vertical="center"/>
    </xf>
    <xf numFmtId="2" fontId="4" fillId="0" borderId="0" xfId="0" applyNumberFormat="1" applyFont="1" applyAlignment="1">
      <alignment horizontal="center" vertical="center"/>
    </xf>
    <xf numFmtId="2" fontId="13" fillId="0" borderId="0" xfId="0" applyNumberFormat="1" applyFont="1" applyAlignment="1">
      <alignment horizontal="center" vertical="center"/>
    </xf>
    <xf numFmtId="2" fontId="15" fillId="0" borderId="0" xfId="0" applyNumberFormat="1" applyFont="1"/>
    <xf numFmtId="0" fontId="0" fillId="0" borderId="0" xfId="0" applyAlignment="1">
      <alignment wrapText="1"/>
    </xf>
    <xf numFmtId="0" fontId="4" fillId="0" borderId="0" xfId="0" applyFont="1" applyAlignment="1">
      <alignment wrapText="1"/>
    </xf>
    <xf numFmtId="0" fontId="16" fillId="7" borderId="0" xfId="0" applyFont="1" applyFill="1"/>
    <xf numFmtId="0" fontId="0" fillId="0" borderId="8" xfId="0" applyBorder="1"/>
    <xf numFmtId="0" fontId="0" fillId="0" borderId="0" xfId="0" applyAlignment="1">
      <alignment horizontal="right"/>
    </xf>
    <xf numFmtId="0" fontId="0" fillId="0" borderId="8" xfId="0" applyBorder="1" applyAlignment="1">
      <alignment horizontal="left"/>
    </xf>
    <xf numFmtId="0" fontId="0" fillId="0" borderId="0" xfId="0" applyAlignment="1">
      <alignment horizontal="left"/>
    </xf>
    <xf numFmtId="0" fontId="0" fillId="3" borderId="0" xfId="0" applyFill="1"/>
    <xf numFmtId="0" fontId="0" fillId="8" borderId="0" xfId="0" applyFill="1"/>
    <xf numFmtId="0" fontId="16" fillId="3" borderId="0" xfId="0" applyFont="1" applyFill="1"/>
    <xf numFmtId="0" fontId="16" fillId="0" borderId="0" xfId="0" applyFont="1"/>
    <xf numFmtId="2" fontId="0" fillId="0" borderId="0" xfId="0" applyNumberFormat="1" applyAlignment="1">
      <alignment wrapText="1"/>
    </xf>
    <xf numFmtId="2" fontId="5" fillId="0" borderId="0" xfId="0" applyNumberFormat="1" applyFont="1" applyAlignment="1">
      <alignment horizontal="left" vertical="center" wrapText="1"/>
    </xf>
    <xf numFmtId="0" fontId="4" fillId="0" borderId="0" xfId="0" applyFont="1" applyAlignment="1">
      <alignment horizontal="left" wrapText="1"/>
    </xf>
    <xf numFmtId="0" fontId="4" fillId="0" borderId="0" xfId="0" applyFont="1" applyAlignment="1">
      <alignment horizontal="left"/>
    </xf>
    <xf numFmtId="2" fontId="4" fillId="0" borderId="0" xfId="0" applyNumberFormat="1" applyFont="1" applyAlignment="1">
      <alignment horizontal="left" wrapText="1"/>
    </xf>
    <xf numFmtId="0" fontId="3" fillId="0" borderId="0" xfId="0" applyFont="1" applyAlignment="1">
      <alignment horizontal="center" vertical="top" wrapText="1"/>
    </xf>
    <xf numFmtId="2" fontId="3" fillId="0" borderId="0" xfId="0" applyNumberFormat="1" applyFont="1" applyAlignment="1">
      <alignment horizontal="center" vertical="top" wrapText="1"/>
    </xf>
    <xf numFmtId="0" fontId="19" fillId="0" borderId="0" xfId="0" applyFont="1"/>
    <xf numFmtId="0" fontId="19" fillId="0" borderId="0" xfId="0" applyFont="1" applyAlignment="1">
      <alignment horizontal="right" wrapText="1"/>
    </xf>
    <xf numFmtId="0" fontId="19" fillId="0" borderId="0" xfId="0" applyFont="1" applyAlignment="1">
      <alignment wrapText="1"/>
    </xf>
    <xf numFmtId="0" fontId="20" fillId="0" borderId="10" xfId="0" applyFont="1" applyBorder="1" applyAlignment="1">
      <alignment wrapText="1"/>
    </xf>
    <xf numFmtId="2" fontId="19" fillId="0" borderId="0" xfId="0" applyNumberFormat="1" applyFont="1" applyAlignment="1">
      <alignment horizontal="right" wrapText="1"/>
    </xf>
    <xf numFmtId="0" fontId="0" fillId="0" borderId="10" xfId="0" applyBorder="1"/>
    <xf numFmtId="0" fontId="0" fillId="7" borderId="0" xfId="0" applyFill="1"/>
    <xf numFmtId="2" fontId="0" fillId="7" borderId="0" xfId="0" applyNumberFormat="1" applyFill="1"/>
    <xf numFmtId="0" fontId="0" fillId="0" borderId="0" xfId="0" applyAlignment="1">
      <alignment horizontal="center" wrapText="1"/>
    </xf>
    <xf numFmtId="0" fontId="0" fillId="0" borderId="9" xfId="0" applyBorder="1" applyAlignment="1">
      <alignment horizontal="center" wrapText="1"/>
    </xf>
    <xf numFmtId="0" fontId="1" fillId="0" borderId="0" xfId="0" applyFont="1"/>
    <xf numFmtId="2" fontId="4" fillId="0" borderId="0" xfId="0" applyNumberFormat="1" applyFont="1" applyAlignment="1">
      <alignment horizontal="center" vertical="center" wrapText="1"/>
    </xf>
    <xf numFmtId="0" fontId="15" fillId="0" borderId="0" xfId="0" applyFont="1"/>
    <xf numFmtId="0" fontId="4" fillId="3" borderId="0" xfId="0" applyFont="1" applyFill="1" applyAlignment="1">
      <alignment horizontal="center"/>
    </xf>
    <xf numFmtId="0" fontId="1" fillId="3" borderId="0" xfId="0" applyFont="1" applyFill="1"/>
    <xf numFmtId="2" fontId="1" fillId="3" borderId="0" xfId="0" applyNumberFormat="1" applyFont="1" applyFill="1"/>
    <xf numFmtId="4" fontId="4" fillId="0" borderId="0" xfId="0" applyNumberFormat="1" applyFont="1" applyAlignment="1">
      <alignment horizontal="right"/>
    </xf>
    <xf numFmtId="0" fontId="4" fillId="0" borderId="0" xfId="0" applyFont="1" applyAlignment="1">
      <alignment horizontal="right"/>
    </xf>
    <xf numFmtId="2" fontId="4" fillId="0" borderId="0" xfId="0" applyNumberFormat="1" applyFont="1"/>
    <xf numFmtId="0" fontId="15" fillId="3" borderId="0" xfId="0" applyFont="1" applyFill="1"/>
    <xf numFmtId="2" fontId="0" fillId="3" borderId="0" xfId="0" applyNumberFormat="1" applyFill="1"/>
    <xf numFmtId="0" fontId="19" fillId="3" borderId="0" xfId="0" applyFont="1" applyFill="1"/>
    <xf numFmtId="0" fontId="0" fillId="0" borderId="12" xfId="0" applyBorder="1"/>
    <xf numFmtId="0" fontId="0" fillId="0" borderId="13" xfId="0" applyBorder="1"/>
    <xf numFmtId="0" fontId="0" fillId="0" borderId="11" xfId="0" applyBorder="1"/>
    <xf numFmtId="2" fontId="0" fillId="0" borderId="12" xfId="0" applyNumberFormat="1" applyBorder="1"/>
    <xf numFmtId="10" fontId="0" fillId="0" borderId="12"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9"/>
  <sheetViews>
    <sheetView tabSelected="1" zoomScale="110" workbookViewId="0">
      <pane xSplit="1" ySplit="1" topLeftCell="B160" activePane="bottomRight" state="frozen"/>
      <selection pane="topRight" activeCell="B1" sqref="B1"/>
      <selection pane="bottomLeft" activeCell="A2" sqref="A2"/>
      <selection pane="bottomRight" activeCell="B171" sqref="B171"/>
    </sheetView>
  </sheetViews>
  <sheetFormatPr baseColWidth="10" defaultColWidth="8.83203125" defaultRowHeight="16" x14ac:dyDescent="0.2"/>
  <cols>
    <col min="1" max="1" width="80" style="5" bestFit="1" customWidth="1"/>
    <col min="2" max="2" width="29.5" bestFit="1" customWidth="1"/>
    <col min="3" max="3" width="8.83203125" style="77"/>
    <col min="5" max="5" width="30.83203125" bestFit="1" customWidth="1"/>
    <col min="6" max="6" width="29.33203125" bestFit="1" customWidth="1"/>
  </cols>
  <sheetData>
    <row r="1" spans="1:4" x14ac:dyDescent="0.2">
      <c r="A1" s="2" t="s">
        <v>836</v>
      </c>
      <c r="B1" s="28" t="s">
        <v>837</v>
      </c>
      <c r="C1" s="29" t="s">
        <v>634</v>
      </c>
      <c r="D1" s="10" t="s">
        <v>838</v>
      </c>
    </row>
    <row r="2" spans="1:4" x14ac:dyDescent="0.2">
      <c r="A2" s="2" t="s">
        <v>723</v>
      </c>
    </row>
    <row r="3" spans="1:4" x14ac:dyDescent="0.2">
      <c r="A3" s="3" t="s">
        <v>724</v>
      </c>
    </row>
    <row r="4" spans="1:4" x14ac:dyDescent="0.2">
      <c r="A4" s="4" t="s">
        <v>725</v>
      </c>
    </row>
    <row r="5" spans="1:4" x14ac:dyDescent="0.2">
      <c r="A5" s="4" t="s">
        <v>726</v>
      </c>
    </row>
    <row r="6" spans="1:4" x14ac:dyDescent="0.2">
      <c r="A6" s="4" t="s">
        <v>727</v>
      </c>
    </row>
    <row r="7" spans="1:4" x14ac:dyDescent="0.2">
      <c r="A7" s="4" t="s">
        <v>728</v>
      </c>
    </row>
    <row r="8" spans="1:4" x14ac:dyDescent="0.2">
      <c r="A8" s="5" t="s">
        <v>729</v>
      </c>
    </row>
    <row r="9" spans="1:4" x14ac:dyDescent="0.2">
      <c r="A9" s="5" t="s">
        <v>730</v>
      </c>
    </row>
    <row r="10" spans="1:4" x14ac:dyDescent="0.2">
      <c r="A10" s="5" t="s">
        <v>731</v>
      </c>
    </row>
    <row r="11" spans="1:4" x14ac:dyDescent="0.2">
      <c r="A11" s="5" t="s">
        <v>732</v>
      </c>
    </row>
    <row r="12" spans="1:4" x14ac:dyDescent="0.2">
      <c r="A12" s="5" t="s">
        <v>733</v>
      </c>
    </row>
    <row r="13" spans="1:4" x14ac:dyDescent="0.2">
      <c r="A13" s="5" t="s">
        <v>734</v>
      </c>
    </row>
    <row r="14" spans="1:4" x14ac:dyDescent="0.2">
      <c r="A14" s="4" t="s">
        <v>735</v>
      </c>
    </row>
    <row r="15" spans="1:4" x14ac:dyDescent="0.2">
      <c r="A15" s="4" t="s">
        <v>736</v>
      </c>
    </row>
    <row r="16" spans="1:4" x14ac:dyDescent="0.2">
      <c r="A16" s="5" t="s">
        <v>737</v>
      </c>
    </row>
    <row r="17" spans="1:3" x14ac:dyDescent="0.2">
      <c r="A17" s="5" t="s">
        <v>738</v>
      </c>
    </row>
    <row r="18" spans="1:3" x14ac:dyDescent="0.2">
      <c r="A18" s="4" t="s">
        <v>739</v>
      </c>
    </row>
    <row r="19" spans="1:3" x14ac:dyDescent="0.2">
      <c r="A19" s="4" t="s">
        <v>740</v>
      </c>
    </row>
    <row r="20" spans="1:3" x14ac:dyDescent="0.2">
      <c r="A20" s="4" t="s">
        <v>741</v>
      </c>
    </row>
    <row r="21" spans="1:3" x14ac:dyDescent="0.2">
      <c r="A21" s="5" t="s">
        <v>742</v>
      </c>
    </row>
    <row r="22" spans="1:3" x14ac:dyDescent="0.2">
      <c r="A22" s="5" t="s">
        <v>743</v>
      </c>
    </row>
    <row r="23" spans="1:3" x14ac:dyDescent="0.2">
      <c r="A23" s="6" t="s">
        <v>744</v>
      </c>
      <c r="B23" s="85">
        <f>Receipts!F251</f>
        <v>210.17833333333334</v>
      </c>
    </row>
    <row r="24" spans="1:3" x14ac:dyDescent="0.2">
      <c r="A24" s="7" t="s">
        <v>745</v>
      </c>
      <c r="B24" s="85">
        <f>Receipts!F252</f>
        <v>282.08833333333337</v>
      </c>
    </row>
    <row r="25" spans="1:3" x14ac:dyDescent="0.2">
      <c r="A25" s="8" t="s">
        <v>746</v>
      </c>
      <c r="B25" s="85">
        <f>Receipts!F250</f>
        <v>230.19</v>
      </c>
      <c r="C25" s="46">
        <f>B25-B23</f>
        <v>20.011666666666656</v>
      </c>
    </row>
    <row r="26" spans="1:3" x14ac:dyDescent="0.2">
      <c r="A26" s="8" t="s">
        <v>747</v>
      </c>
      <c r="B26" s="54"/>
    </row>
    <row r="27" spans="1:3" x14ac:dyDescent="0.2">
      <c r="A27" s="4"/>
    </row>
    <row r="28" spans="1:3" x14ac:dyDescent="0.2">
      <c r="A28" s="4"/>
    </row>
    <row r="29" spans="1:3" x14ac:dyDescent="0.2">
      <c r="A29" s="3" t="s">
        <v>748</v>
      </c>
    </row>
    <row r="30" spans="1:3" x14ac:dyDescent="0.2">
      <c r="A30" s="4" t="s">
        <v>749</v>
      </c>
    </row>
    <row r="31" spans="1:3" x14ac:dyDescent="0.2">
      <c r="A31" s="4" t="s">
        <v>750</v>
      </c>
    </row>
    <row r="32" spans="1:3" x14ac:dyDescent="0.2">
      <c r="A32" s="4" t="s">
        <v>751</v>
      </c>
    </row>
    <row r="33" spans="1:2" x14ac:dyDescent="0.2">
      <c r="A33" s="4" t="s">
        <v>752</v>
      </c>
    </row>
    <row r="34" spans="1:2" x14ac:dyDescent="0.2">
      <c r="A34" s="4" t="s">
        <v>753</v>
      </c>
    </row>
    <row r="35" spans="1:2" x14ac:dyDescent="0.2">
      <c r="A35" s="4" t="s">
        <v>754</v>
      </c>
    </row>
    <row r="36" spans="1:2" x14ac:dyDescent="0.2">
      <c r="A36" s="4" t="s">
        <v>755</v>
      </c>
    </row>
    <row r="37" spans="1:2" x14ac:dyDescent="0.2">
      <c r="A37" s="4" t="s">
        <v>756</v>
      </c>
    </row>
    <row r="38" spans="1:2" x14ac:dyDescent="0.2">
      <c r="A38" s="4" t="s">
        <v>757</v>
      </c>
    </row>
    <row r="39" spans="1:2" x14ac:dyDescent="0.2">
      <c r="A39" s="4" t="s">
        <v>758</v>
      </c>
    </row>
    <row r="40" spans="1:2" x14ac:dyDescent="0.2">
      <c r="A40" s="4" t="s">
        <v>759</v>
      </c>
    </row>
    <row r="41" spans="1:2" x14ac:dyDescent="0.2">
      <c r="A41" s="4" t="s">
        <v>760</v>
      </c>
    </row>
    <row r="42" spans="1:2" x14ac:dyDescent="0.2">
      <c r="A42" s="4" t="s">
        <v>761</v>
      </c>
    </row>
    <row r="43" spans="1:2" x14ac:dyDescent="0.2">
      <c r="A43" s="9" t="s">
        <v>762</v>
      </c>
    </row>
    <row r="44" spans="1:2" x14ac:dyDescent="0.2">
      <c r="A44" s="7" t="s">
        <v>763</v>
      </c>
      <c r="B44" s="85">
        <f>Expenses!F163</f>
        <v>54.45</v>
      </c>
    </row>
    <row r="45" spans="1:2" x14ac:dyDescent="0.2">
      <c r="A45" s="7" t="s">
        <v>764</v>
      </c>
      <c r="B45" s="85">
        <f>Expenses!F164</f>
        <v>53.956666666666663</v>
      </c>
    </row>
    <row r="46" spans="1:2" x14ac:dyDescent="0.2">
      <c r="A46" s="7" t="s">
        <v>765</v>
      </c>
      <c r="B46" s="85">
        <f>Expenses!F165</f>
        <v>12.888333333333328</v>
      </c>
    </row>
    <row r="47" spans="1:2" x14ac:dyDescent="0.2">
      <c r="A47" s="7" t="s">
        <v>766</v>
      </c>
      <c r="B47" s="85">
        <f>Expenses!F166</f>
        <v>8.7883333333333287</v>
      </c>
    </row>
    <row r="48" spans="1:2" x14ac:dyDescent="0.2">
      <c r="A48" s="10"/>
      <c r="B48" s="35"/>
    </row>
    <row r="49" spans="1:6" x14ac:dyDescent="0.2">
      <c r="A49" s="11" t="s">
        <v>767</v>
      </c>
    </row>
    <row r="50" spans="1:6" x14ac:dyDescent="0.2">
      <c r="A50" s="11" t="s">
        <v>768</v>
      </c>
    </row>
    <row r="51" spans="1:6" x14ac:dyDescent="0.2">
      <c r="A51" s="4"/>
    </row>
    <row r="52" spans="1:6" x14ac:dyDescent="0.2">
      <c r="A52" s="11" t="s">
        <v>769</v>
      </c>
    </row>
    <row r="53" spans="1:6" x14ac:dyDescent="0.2">
      <c r="A53" s="11" t="s">
        <v>414</v>
      </c>
    </row>
    <row r="54" spans="1:6" x14ac:dyDescent="0.2">
      <c r="A54" s="12" t="s">
        <v>770</v>
      </c>
    </row>
    <row r="55" spans="1:6" x14ac:dyDescent="0.2">
      <c r="A55" s="13" t="s">
        <v>771</v>
      </c>
    </row>
    <row r="56" spans="1:6" x14ac:dyDescent="0.2">
      <c r="A56" s="4"/>
    </row>
    <row r="57" spans="1:6" x14ac:dyDescent="0.2">
      <c r="A57" s="11" t="s">
        <v>772</v>
      </c>
    </row>
    <row r="58" spans="1:6" x14ac:dyDescent="0.2">
      <c r="A58" s="11" t="s">
        <v>773</v>
      </c>
    </row>
    <row r="59" spans="1:6" x14ac:dyDescent="0.2">
      <c r="A59" s="4"/>
    </row>
    <row r="60" spans="1:6" x14ac:dyDescent="0.2">
      <c r="A60" s="3" t="s">
        <v>774</v>
      </c>
      <c r="B60" s="78" t="s">
        <v>980</v>
      </c>
      <c r="C60" s="78"/>
      <c r="D60" s="79"/>
      <c r="E60" s="79"/>
      <c r="F60" s="80"/>
    </row>
    <row r="61" spans="1:6" x14ac:dyDescent="0.2">
      <c r="A61" s="2" t="s">
        <v>775</v>
      </c>
      <c r="B61" s="81" t="s">
        <v>981</v>
      </c>
      <c r="C61" s="82"/>
      <c r="D61" s="75"/>
      <c r="E61" s="83" t="s">
        <v>982</v>
      </c>
      <c r="F61" s="83" t="s">
        <v>983</v>
      </c>
    </row>
    <row r="62" spans="1:6" ht="15" x14ac:dyDescent="0.2">
      <c r="A62" t="s">
        <v>194</v>
      </c>
      <c r="B62">
        <f>'Issues of the Grange'!B2</f>
        <v>132.25</v>
      </c>
      <c r="E62" s="35">
        <f>'Issues of the Grange'!I2</f>
        <v>40.998249716553296</v>
      </c>
      <c r="F62" s="35">
        <f>'Issues of the Grange'!O11</f>
        <v>22.78541666666667</v>
      </c>
    </row>
    <row r="63" spans="1:6" ht="15" x14ac:dyDescent="0.2">
      <c r="A63" t="s">
        <v>196</v>
      </c>
      <c r="B63">
        <f>'Issues of the Grange'!B3</f>
        <v>10</v>
      </c>
      <c r="E63" s="35">
        <f>'Issues of the Grange'!I3</f>
        <v>1.0893719806763289</v>
      </c>
      <c r="F63" s="35">
        <f>'Issues of the Grange'!O12</f>
        <v>0.93958333333333377</v>
      </c>
    </row>
    <row r="64" spans="1:6" ht="15" x14ac:dyDescent="0.2">
      <c r="A64" t="s">
        <v>198</v>
      </c>
      <c r="B64">
        <f>'Issues of the Grange'!B4</f>
        <v>83.375</v>
      </c>
      <c r="E64" s="35">
        <f>'Issues of the Grange'!I4</f>
        <v>16.675000000000001</v>
      </c>
      <c r="F64" s="35">
        <f>'Issues of the Grange'!O13</f>
        <v>1.1500000000000001</v>
      </c>
    </row>
    <row r="65" spans="1:6" ht="15" x14ac:dyDescent="0.2">
      <c r="A65" t="s">
        <v>200</v>
      </c>
      <c r="B65">
        <f>'Issues of the Grange'!B5</f>
        <v>205.0625</v>
      </c>
      <c r="E65" s="35">
        <f>'Issues of the Grange'!I5</f>
        <v>23.307174451521576</v>
      </c>
      <c r="F65" s="35">
        <f>'Issues of the Grange'!O14</f>
        <v>6.6987703467798978</v>
      </c>
    </row>
    <row r="66" spans="1:6" ht="15" x14ac:dyDescent="0.2">
      <c r="A66" t="s">
        <v>202</v>
      </c>
      <c r="B66">
        <f>'Issues of the Grange'!B6</f>
        <v>3.8125</v>
      </c>
      <c r="E66" s="35">
        <f>'Issues of the Grange'!I6</f>
        <v>0.50833333333333319</v>
      </c>
      <c r="F66" s="35">
        <f>'Issues of the Grange'!O15</f>
        <v>3.3333333333333326E-2</v>
      </c>
    </row>
    <row r="67" spans="1:6" ht="15" x14ac:dyDescent="0.2">
      <c r="A67" t="s">
        <v>204</v>
      </c>
      <c r="B67">
        <f>'Issues of the Grange'!B7</f>
        <v>11.375</v>
      </c>
      <c r="E67" s="35">
        <f>'Issues of the Grange'!I7</f>
        <v>1.1375</v>
      </c>
      <c r="F67" s="35">
        <f>'Issues of the Grange'!O16</f>
        <v>0.22499999999999998</v>
      </c>
    </row>
    <row r="68" spans="1:6" x14ac:dyDescent="0.2">
      <c r="A68" s="14" t="s">
        <v>776</v>
      </c>
      <c r="B68" s="54"/>
      <c r="C68" s="84"/>
      <c r="D68" s="54"/>
      <c r="E68" s="85">
        <f>SUM(E62:E67)</f>
        <v>83.715629482084537</v>
      </c>
      <c r="F68" s="54"/>
    </row>
    <row r="69" spans="1:6" x14ac:dyDescent="0.2">
      <c r="A69" s="14" t="s">
        <v>777</v>
      </c>
      <c r="B69" s="54"/>
      <c r="C69" s="84"/>
      <c r="D69" s="54"/>
      <c r="E69" s="85">
        <f>SUM(F62:F67)</f>
        <v>31.832103680113239</v>
      </c>
      <c r="F69" s="54"/>
    </row>
    <row r="70" spans="1:6" x14ac:dyDescent="0.2">
      <c r="A70" s="14" t="s">
        <v>778</v>
      </c>
      <c r="B70" s="54"/>
      <c r="C70" s="84"/>
      <c r="D70" s="54"/>
      <c r="E70" s="85">
        <f>Receipts!F175+Receipts!F170+Receipts!F184</f>
        <v>23.028333333333336</v>
      </c>
      <c r="F70" s="54"/>
    </row>
    <row r="71" spans="1:6" x14ac:dyDescent="0.2">
      <c r="A71" s="4"/>
    </row>
    <row r="72" spans="1:6" x14ac:dyDescent="0.2">
      <c r="A72" s="3" t="s">
        <v>779</v>
      </c>
    </row>
    <row r="73" spans="1:6" x14ac:dyDescent="0.2">
      <c r="A73" s="2" t="s">
        <v>780</v>
      </c>
    </row>
    <row r="74" spans="1:6" x14ac:dyDescent="0.2">
      <c r="A74" s="4" t="s">
        <v>418</v>
      </c>
    </row>
    <row r="75" spans="1:6" x14ac:dyDescent="0.2">
      <c r="A75" s="4" t="s">
        <v>713</v>
      </c>
    </row>
    <row r="76" spans="1:6" x14ac:dyDescent="0.2">
      <c r="A76" s="4" t="s">
        <v>781</v>
      </c>
    </row>
    <row r="77" spans="1:6" x14ac:dyDescent="0.2">
      <c r="A77" s="4" t="s">
        <v>782</v>
      </c>
    </row>
    <row r="78" spans="1:6" x14ac:dyDescent="0.2">
      <c r="A78" s="4" t="s">
        <v>712</v>
      </c>
    </row>
    <row r="79" spans="1:6" x14ac:dyDescent="0.2">
      <c r="A79" s="14" t="s">
        <v>783</v>
      </c>
    </row>
    <row r="80" spans="1:6" x14ac:dyDescent="0.2">
      <c r="A80" s="14" t="s">
        <v>778</v>
      </c>
    </row>
    <row r="81" spans="1:2" x14ac:dyDescent="0.2">
      <c r="A81" s="4"/>
    </row>
    <row r="82" spans="1:2" x14ac:dyDescent="0.2">
      <c r="A82" s="15" t="s">
        <v>784</v>
      </c>
      <c r="B82" s="54"/>
    </row>
    <row r="83" spans="1:2" x14ac:dyDescent="0.2">
      <c r="A83" s="16" t="s">
        <v>785</v>
      </c>
      <c r="B83" s="86" t="s">
        <v>984</v>
      </c>
    </row>
    <row r="84" spans="1:2" ht="17" x14ac:dyDescent="0.2">
      <c r="A84" s="17" t="s">
        <v>650</v>
      </c>
      <c r="B84">
        <f>Stock!R5</f>
        <v>0</v>
      </c>
    </row>
    <row r="85" spans="1:2" ht="17" x14ac:dyDescent="0.2">
      <c r="A85" s="17" t="s">
        <v>786</v>
      </c>
      <c r="B85">
        <f>Stock!R6</f>
        <v>0</v>
      </c>
    </row>
    <row r="86" spans="1:2" x14ac:dyDescent="0.2">
      <c r="A86" s="4" t="s">
        <v>787</v>
      </c>
      <c r="B86">
        <f>Stock!R7</f>
        <v>0.57000000000000006</v>
      </c>
    </row>
    <row r="87" spans="1:2" x14ac:dyDescent="0.2">
      <c r="A87" s="4" t="s">
        <v>788</v>
      </c>
      <c r="B87">
        <f>Stock!R8</f>
        <v>0</v>
      </c>
    </row>
    <row r="88" spans="1:2" x14ac:dyDescent="0.2">
      <c r="A88" s="4" t="s">
        <v>788</v>
      </c>
      <c r="B88">
        <f>Stock!R9</f>
        <v>0</v>
      </c>
    </row>
    <row r="89" spans="1:2" x14ac:dyDescent="0.2">
      <c r="A89" s="4" t="s">
        <v>789</v>
      </c>
      <c r="B89">
        <f>Stock!R10</f>
        <v>0</v>
      </c>
    </row>
    <row r="90" spans="1:2" x14ac:dyDescent="0.2">
      <c r="A90" s="4" t="s">
        <v>790</v>
      </c>
      <c r="B90">
        <f>Stock!R11</f>
        <v>0</v>
      </c>
    </row>
    <row r="91" spans="1:2" x14ac:dyDescent="0.2">
      <c r="A91" s="4" t="s">
        <v>651</v>
      </c>
      <c r="B91">
        <f>Stock!R12</f>
        <v>2.8</v>
      </c>
    </row>
    <row r="92" spans="1:2" x14ac:dyDescent="0.2">
      <c r="A92" s="4" t="s">
        <v>652</v>
      </c>
      <c r="B92">
        <f>Stock!R13</f>
        <v>0</v>
      </c>
    </row>
    <row r="93" spans="1:2" x14ac:dyDescent="0.2">
      <c r="A93" s="4" t="s">
        <v>653</v>
      </c>
      <c r="B93">
        <f>Stock!R14</f>
        <v>1.8</v>
      </c>
    </row>
    <row r="94" spans="1:2" x14ac:dyDescent="0.2">
      <c r="A94" s="4" t="s">
        <v>654</v>
      </c>
      <c r="B94">
        <f>Stock!R15</f>
        <v>0</v>
      </c>
    </row>
    <row r="95" spans="1:2" x14ac:dyDescent="0.2">
      <c r="A95" s="4" t="s">
        <v>655</v>
      </c>
      <c r="B95">
        <f>Stock!R16</f>
        <v>0</v>
      </c>
    </row>
    <row r="96" spans="1:2" x14ac:dyDescent="0.2">
      <c r="A96" s="4" t="s">
        <v>656</v>
      </c>
      <c r="B96">
        <f>Stock!R17</f>
        <v>0</v>
      </c>
    </row>
    <row r="97" spans="1:2" x14ac:dyDescent="0.2">
      <c r="A97" s="4" t="s">
        <v>657</v>
      </c>
      <c r="B97">
        <f>Stock!R18</f>
        <v>0.3</v>
      </c>
    </row>
    <row r="98" spans="1:2" x14ac:dyDescent="0.2">
      <c r="A98" s="4" t="s">
        <v>658</v>
      </c>
      <c r="B98">
        <f>Stock!R19</f>
        <v>0.35</v>
      </c>
    </row>
    <row r="99" spans="1:2" x14ac:dyDescent="0.2">
      <c r="A99" s="4" t="s">
        <v>659</v>
      </c>
      <c r="B99">
        <f>Stock!R20</f>
        <v>0</v>
      </c>
    </row>
    <row r="100" spans="1:2" x14ac:dyDescent="0.2">
      <c r="A100" s="4" t="s">
        <v>660</v>
      </c>
      <c r="B100">
        <f>Stock!R21</f>
        <v>0.28999999999999998</v>
      </c>
    </row>
    <row r="101" spans="1:2" x14ac:dyDescent="0.2">
      <c r="A101" s="4" t="s">
        <v>661</v>
      </c>
      <c r="B101">
        <f>Stock!R22</f>
        <v>0.68</v>
      </c>
    </row>
    <row r="102" spans="1:2" x14ac:dyDescent="0.2">
      <c r="A102" s="4" t="s">
        <v>662</v>
      </c>
      <c r="B102">
        <f>Stock!R23</f>
        <v>0.22</v>
      </c>
    </row>
    <row r="103" spans="1:2" x14ac:dyDescent="0.2">
      <c r="A103" s="4" t="s">
        <v>664</v>
      </c>
      <c r="B103">
        <f>Stock!R24</f>
        <v>0.05</v>
      </c>
    </row>
    <row r="104" spans="1:2" x14ac:dyDescent="0.2">
      <c r="A104" s="4" t="s">
        <v>663</v>
      </c>
      <c r="B104">
        <f>Stock!R25</f>
        <v>0</v>
      </c>
    </row>
    <row r="105" spans="1:2" x14ac:dyDescent="0.2">
      <c r="A105" s="4" t="s">
        <v>665</v>
      </c>
      <c r="B105">
        <f>Stock!R26</f>
        <v>0.62</v>
      </c>
    </row>
    <row r="106" spans="1:2" x14ac:dyDescent="0.2">
      <c r="A106" s="4" t="s">
        <v>666</v>
      </c>
      <c r="B106">
        <f>Stock!R27</f>
        <v>0</v>
      </c>
    </row>
    <row r="107" spans="1:2" x14ac:dyDescent="0.2">
      <c r="A107" s="4" t="s">
        <v>667</v>
      </c>
      <c r="B107">
        <f>Stock!R28</f>
        <v>0</v>
      </c>
    </row>
    <row r="108" spans="1:2" x14ac:dyDescent="0.2">
      <c r="A108" s="4" t="s">
        <v>672</v>
      </c>
      <c r="B108">
        <f>Stock!R29</f>
        <v>0</v>
      </c>
    </row>
    <row r="109" spans="1:2" x14ac:dyDescent="0.2">
      <c r="A109" s="4" t="s">
        <v>673</v>
      </c>
      <c r="B109">
        <f>Stock!R30</f>
        <v>0</v>
      </c>
    </row>
    <row r="110" spans="1:2" x14ac:dyDescent="0.2">
      <c r="A110" s="14" t="s">
        <v>791</v>
      </c>
      <c r="B110" s="54"/>
    </row>
    <row r="111" spans="1:2" x14ac:dyDescent="0.2">
      <c r="A111" s="14" t="s">
        <v>792</v>
      </c>
      <c r="B111" s="54"/>
    </row>
    <row r="112" spans="1:2" x14ac:dyDescent="0.2">
      <c r="A112" s="14" t="s">
        <v>778</v>
      </c>
      <c r="B112" s="54">
        <f>Stock!R31</f>
        <v>7.6799999999999988</v>
      </c>
    </row>
    <row r="113" spans="1:2" x14ac:dyDescent="0.2">
      <c r="A113" s="4"/>
    </row>
    <row r="114" spans="1:2" x14ac:dyDescent="0.2">
      <c r="A114" s="3" t="s">
        <v>793</v>
      </c>
      <c r="B114" s="86" t="s">
        <v>985</v>
      </c>
    </row>
    <row r="115" spans="1:2" ht="15" x14ac:dyDescent="0.2">
      <c r="A115" t="s">
        <v>794</v>
      </c>
      <c r="B115">
        <f>Stock!T35</f>
        <v>8.56</v>
      </c>
    </row>
    <row r="116" spans="1:2" ht="15" x14ac:dyDescent="0.2">
      <c r="A116" t="s">
        <v>795</v>
      </c>
      <c r="B116">
        <f>Stock!T36</f>
        <v>1.22</v>
      </c>
    </row>
    <row r="117" spans="1:2" ht="15" x14ac:dyDescent="0.2">
      <c r="A117" t="s">
        <v>668</v>
      </c>
      <c r="B117">
        <f>Stock!T37</f>
        <v>0.26249999999999996</v>
      </c>
    </row>
    <row r="118" spans="1:2" ht="15" x14ac:dyDescent="0.2">
      <c r="A118" t="s">
        <v>796</v>
      </c>
      <c r="B118">
        <f>Stock!T38</f>
        <v>0</v>
      </c>
    </row>
    <row r="119" spans="1:2" x14ac:dyDescent="0.2">
      <c r="A119" s="18" t="s">
        <v>783</v>
      </c>
      <c r="B119" s="85">
        <f>Stock!T39</f>
        <v>10.0425</v>
      </c>
    </row>
    <row r="120" spans="1:2" x14ac:dyDescent="0.2">
      <c r="A120" s="18" t="s">
        <v>778</v>
      </c>
      <c r="B120" s="54">
        <v>0</v>
      </c>
    </row>
    <row r="121" spans="1:2" x14ac:dyDescent="0.2">
      <c r="A121" s="2"/>
    </row>
    <row r="122" spans="1:2" x14ac:dyDescent="0.2">
      <c r="A122" s="3" t="s">
        <v>797</v>
      </c>
      <c r="B122" s="86" t="s">
        <v>985</v>
      </c>
    </row>
    <row r="123" spans="1:2" x14ac:dyDescent="0.2">
      <c r="A123" s="4" t="s">
        <v>798</v>
      </c>
      <c r="B123">
        <f>Stock!T43</f>
        <v>0</v>
      </c>
    </row>
    <row r="124" spans="1:2" x14ac:dyDescent="0.2">
      <c r="A124" s="4" t="s">
        <v>799</v>
      </c>
      <c r="B124">
        <f>Stock!T44</f>
        <v>0</v>
      </c>
    </row>
    <row r="125" spans="1:2" x14ac:dyDescent="0.2">
      <c r="A125" s="4" t="s">
        <v>800</v>
      </c>
      <c r="B125">
        <f>Stock!T45</f>
        <v>0</v>
      </c>
    </row>
    <row r="126" spans="1:2" x14ac:dyDescent="0.2">
      <c r="A126" s="4" t="s">
        <v>801</v>
      </c>
      <c r="B126">
        <f>Stock!T46</f>
        <v>0</v>
      </c>
    </row>
    <row r="127" spans="1:2" x14ac:dyDescent="0.2">
      <c r="A127" s="4" t="s">
        <v>802</v>
      </c>
      <c r="B127">
        <f>Stock!T47</f>
        <v>0</v>
      </c>
    </row>
    <row r="128" spans="1:2" x14ac:dyDescent="0.2">
      <c r="A128" s="4" t="s">
        <v>803</v>
      </c>
      <c r="B128">
        <f>Stock!T48</f>
        <v>0</v>
      </c>
    </row>
    <row r="129" spans="1:2" x14ac:dyDescent="0.2">
      <c r="A129" s="19" t="s">
        <v>804</v>
      </c>
      <c r="B129">
        <f>Stock!T49</f>
        <v>0</v>
      </c>
    </row>
    <row r="130" spans="1:2" x14ac:dyDescent="0.2">
      <c r="A130" s="20" t="s">
        <v>805</v>
      </c>
      <c r="B130">
        <f>Stock!T50</f>
        <v>0</v>
      </c>
    </row>
    <row r="131" spans="1:2" x14ac:dyDescent="0.2">
      <c r="A131" s="20" t="s">
        <v>806</v>
      </c>
      <c r="B131">
        <f>Stock!T51</f>
        <v>0</v>
      </c>
    </row>
    <row r="132" spans="1:2" x14ac:dyDescent="0.2">
      <c r="A132" s="20" t="s">
        <v>807</v>
      </c>
      <c r="B132">
        <f>Stock!T52</f>
        <v>0</v>
      </c>
    </row>
    <row r="133" spans="1:2" x14ac:dyDescent="0.2">
      <c r="A133" s="20" t="s">
        <v>808</v>
      </c>
      <c r="B133">
        <f>Stock!T53</f>
        <v>0</v>
      </c>
    </row>
    <row r="134" spans="1:2" x14ac:dyDescent="0.2">
      <c r="A134" s="21" t="s">
        <v>809</v>
      </c>
      <c r="B134">
        <f>Stock!T54</f>
        <v>0</v>
      </c>
    </row>
    <row r="135" spans="1:2" x14ac:dyDescent="0.2">
      <c r="A135" s="20" t="s">
        <v>810</v>
      </c>
      <c r="B135">
        <f>Stock!T55</f>
        <v>0</v>
      </c>
    </row>
    <row r="136" spans="1:2" x14ac:dyDescent="0.2">
      <c r="A136" s="20" t="s">
        <v>811</v>
      </c>
      <c r="B136">
        <f>Stock!T56</f>
        <v>0</v>
      </c>
    </row>
    <row r="137" spans="1:2" x14ac:dyDescent="0.2">
      <c r="A137" s="20" t="s">
        <v>812</v>
      </c>
      <c r="B137">
        <f>Stock!T57</f>
        <v>0</v>
      </c>
    </row>
    <row r="138" spans="1:2" x14ac:dyDescent="0.2">
      <c r="A138" s="20" t="s">
        <v>813</v>
      </c>
      <c r="B138">
        <f>Stock!T58</f>
        <v>0</v>
      </c>
    </row>
    <row r="139" spans="1:2" x14ac:dyDescent="0.2">
      <c r="A139" s="21" t="s">
        <v>814</v>
      </c>
      <c r="B139">
        <f>Stock!T59</f>
        <v>0</v>
      </c>
    </row>
    <row r="140" spans="1:2" x14ac:dyDescent="0.2">
      <c r="A140" s="4" t="s">
        <v>676</v>
      </c>
      <c r="B140">
        <f>Stock!T60</f>
        <v>0</v>
      </c>
    </row>
    <row r="141" spans="1:2" x14ac:dyDescent="0.2">
      <c r="A141" s="4" t="s">
        <v>815</v>
      </c>
      <c r="B141">
        <f>Stock!T61</f>
        <v>0</v>
      </c>
    </row>
    <row r="142" spans="1:2" x14ac:dyDescent="0.2">
      <c r="A142" s="4" t="s">
        <v>816</v>
      </c>
      <c r="B142">
        <f>Stock!T62</f>
        <v>0</v>
      </c>
    </row>
    <row r="143" spans="1:2" x14ac:dyDescent="0.2">
      <c r="A143" s="14" t="s">
        <v>783</v>
      </c>
      <c r="B143" s="54">
        <f>SUM(B123:B142)</f>
        <v>0</v>
      </c>
    </row>
    <row r="144" spans="1:2" x14ac:dyDescent="0.2">
      <c r="A144" s="14" t="s">
        <v>778</v>
      </c>
      <c r="B144" s="54">
        <f>B143</f>
        <v>0</v>
      </c>
    </row>
    <row r="145" spans="1:2" x14ac:dyDescent="0.2">
      <c r="A145" s="4"/>
    </row>
    <row r="146" spans="1:2" x14ac:dyDescent="0.2">
      <c r="A146" s="3" t="s">
        <v>671</v>
      </c>
      <c r="B146" s="86" t="s">
        <v>985</v>
      </c>
    </row>
    <row r="147" spans="1:2" ht="17" x14ac:dyDescent="0.2">
      <c r="A147" s="17" t="s">
        <v>817</v>
      </c>
      <c r="B147">
        <f>Stock!T67</f>
        <v>0</v>
      </c>
    </row>
    <row r="148" spans="1:2" x14ac:dyDescent="0.2">
      <c r="A148" s="4" t="s">
        <v>818</v>
      </c>
      <c r="B148">
        <f>Stock!T68</f>
        <v>0</v>
      </c>
    </row>
    <row r="149" spans="1:2" x14ac:dyDescent="0.2">
      <c r="A149" s="4" t="s">
        <v>819</v>
      </c>
      <c r="B149">
        <f>Stock!T69</f>
        <v>0</v>
      </c>
    </row>
    <row r="150" spans="1:2" x14ac:dyDescent="0.2">
      <c r="A150" s="4" t="s">
        <v>820</v>
      </c>
      <c r="B150">
        <f>Stock!T70</f>
        <v>0</v>
      </c>
    </row>
    <row r="151" spans="1:2" x14ac:dyDescent="0.2">
      <c r="A151" s="18" t="s">
        <v>783</v>
      </c>
      <c r="B151" s="54"/>
    </row>
    <row r="152" spans="1:2" x14ac:dyDescent="0.2">
      <c r="A152" s="18" t="s">
        <v>778</v>
      </c>
      <c r="B152" s="54"/>
    </row>
    <row r="153" spans="1:2" x14ac:dyDescent="0.2">
      <c r="A153" s="4"/>
    </row>
    <row r="154" spans="1:2" x14ac:dyDescent="0.2">
      <c r="A154" s="3" t="s">
        <v>821</v>
      </c>
      <c r="B154" s="86" t="s">
        <v>985</v>
      </c>
    </row>
    <row r="155" spans="1:2" x14ac:dyDescent="0.2">
      <c r="A155" s="4" t="s">
        <v>822</v>
      </c>
      <c r="B155">
        <f>Stock!T75</f>
        <v>0</v>
      </c>
    </row>
    <row r="156" spans="1:2" x14ac:dyDescent="0.2">
      <c r="A156" s="4" t="s">
        <v>823</v>
      </c>
      <c r="B156">
        <f>Stock!T76</f>
        <v>1.5</v>
      </c>
    </row>
    <row r="157" spans="1:2" x14ac:dyDescent="0.2">
      <c r="A157" s="4" t="s">
        <v>824</v>
      </c>
    </row>
    <row r="158" spans="1:2" x14ac:dyDescent="0.2">
      <c r="A158" s="14" t="s">
        <v>825</v>
      </c>
      <c r="B158" s="54">
        <f>SUM(B155:B156)</f>
        <v>1.5</v>
      </c>
    </row>
    <row r="159" spans="1:2" x14ac:dyDescent="0.2">
      <c r="A159" s="14" t="s">
        <v>778</v>
      </c>
      <c r="B159" s="54">
        <f>Stock!R78</f>
        <v>1.5</v>
      </c>
    </row>
    <row r="160" spans="1:2" x14ac:dyDescent="0.2">
      <c r="A160" s="4"/>
    </row>
    <row r="161" spans="1:2" x14ac:dyDescent="0.2">
      <c r="A161" s="3" t="s">
        <v>826</v>
      </c>
      <c r="B161" s="86" t="s">
        <v>985</v>
      </c>
    </row>
    <row r="162" spans="1:2" x14ac:dyDescent="0.2">
      <c r="A162" s="4" t="s">
        <v>670</v>
      </c>
      <c r="B162">
        <f>Stock!T94</f>
        <v>0.34</v>
      </c>
    </row>
    <row r="163" spans="1:2" x14ac:dyDescent="0.2">
      <c r="A163" s="4" t="s">
        <v>827</v>
      </c>
      <c r="B163" s="35">
        <f>Stock!T88</f>
        <v>0.21000000000000002</v>
      </c>
    </row>
    <row r="164" spans="1:2" x14ac:dyDescent="0.2">
      <c r="A164" s="4" t="s">
        <v>828</v>
      </c>
      <c r="B164" s="35">
        <f>Stock!T89</f>
        <v>5.3770212765957437</v>
      </c>
    </row>
    <row r="165" spans="1:2" x14ac:dyDescent="0.2">
      <c r="A165" s="14" t="s">
        <v>783</v>
      </c>
      <c r="B165" s="85">
        <f>Stock!T90+B162</f>
        <v>5.9270212765957435</v>
      </c>
    </row>
    <row r="166" spans="1:2" x14ac:dyDescent="0.2">
      <c r="A166" s="14" t="s">
        <v>778</v>
      </c>
      <c r="B166" s="85">
        <f>Stock!R90+B162</f>
        <v>5.2299999999999995</v>
      </c>
    </row>
    <row r="167" spans="1:2" x14ac:dyDescent="0.2">
      <c r="A167" s="4"/>
    </row>
    <row r="168" spans="1:2" x14ac:dyDescent="0.2">
      <c r="A168" s="4"/>
    </row>
    <row r="169" spans="1:2" ht="17" thickBot="1" x14ac:dyDescent="0.25"/>
    <row r="170" spans="1:2" ht="17" thickBot="1" x14ac:dyDescent="0.25">
      <c r="A170" s="22"/>
      <c r="B170" s="89"/>
    </row>
    <row r="171" spans="1:2" x14ac:dyDescent="0.2">
      <c r="A171" s="23" t="s">
        <v>829</v>
      </c>
      <c r="B171" s="90">
        <f>B165+B158+B151+B143+B119+B112+E69</f>
        <v>56.981624956708984</v>
      </c>
    </row>
    <row r="172" spans="1:2" x14ac:dyDescent="0.2">
      <c r="A172" s="24" t="s">
        <v>830</v>
      </c>
      <c r="B172" s="90">
        <f>B166+B159+B152+B144+B120+B112+E70</f>
        <v>37.438333333333333</v>
      </c>
    </row>
    <row r="173" spans="1:2" x14ac:dyDescent="0.2">
      <c r="A173" s="24" t="s">
        <v>831</v>
      </c>
      <c r="B173" s="90">
        <f>Receipts!F170+Receipts!F175+Receipts!F184+Receipts!F161</f>
        <v>100.42833333333334</v>
      </c>
    </row>
    <row r="174" spans="1:2" x14ac:dyDescent="0.2">
      <c r="A174" s="24" t="s">
        <v>832</v>
      </c>
      <c r="B174" s="90">
        <f>B171+Receipts!F39+Receipts!F49+Receipts!F53+Receipts!F67+Receipts!F224+Receipts!F244</f>
        <v>166.73162495670897</v>
      </c>
    </row>
    <row r="175" spans="1:2" x14ac:dyDescent="0.2">
      <c r="A175" s="25"/>
      <c r="B175" s="87"/>
    </row>
    <row r="176" spans="1:2" x14ac:dyDescent="0.2">
      <c r="A176" s="26" t="s">
        <v>833</v>
      </c>
      <c r="B176" s="91">
        <f>B47/B171</f>
        <v>0.15423100587268521</v>
      </c>
    </row>
    <row r="177" spans="1:2" x14ac:dyDescent="0.2">
      <c r="A177" s="24" t="s">
        <v>834</v>
      </c>
      <c r="B177" s="91">
        <f>B47/B174</f>
        <v>5.2709456503019003E-2</v>
      </c>
    </row>
    <row r="178" spans="1:2" x14ac:dyDescent="0.2">
      <c r="A178" s="25"/>
      <c r="B178" s="87"/>
    </row>
    <row r="179" spans="1:2" ht="17" thickBot="1" x14ac:dyDescent="0.25">
      <c r="A179" s="27" t="s">
        <v>835</v>
      </c>
      <c r="B179" s="88"/>
    </row>
  </sheetData>
  <mergeCells count="1">
    <mergeCell ref="B60:C6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2"/>
  <sheetViews>
    <sheetView zoomScale="115" workbookViewId="0">
      <pane xSplit="1" ySplit="2" topLeftCell="B232" activePane="bottomRight" state="frozen"/>
      <selection pane="topRight" activeCell="B1" sqref="B1"/>
      <selection pane="bottomLeft" activeCell="A3" sqref="A3"/>
      <selection pane="bottomRight" activeCell="F171" sqref="F171"/>
    </sheetView>
  </sheetViews>
  <sheetFormatPr baseColWidth="10" defaultColWidth="8.83203125" defaultRowHeight="15" x14ac:dyDescent="0.2"/>
  <cols>
    <col min="1" max="1" width="33.33203125" bestFit="1" customWidth="1"/>
    <col min="6" max="6" width="8.83203125" style="35"/>
    <col min="7" max="7" width="8.83203125" style="36"/>
  </cols>
  <sheetData>
    <row r="1" spans="1:8" ht="16" x14ac:dyDescent="0.2">
      <c r="A1" s="2" t="s">
        <v>839</v>
      </c>
    </row>
    <row r="2" spans="1:8" ht="16" x14ac:dyDescent="0.2">
      <c r="A2" s="34" t="s">
        <v>0</v>
      </c>
      <c r="B2" s="31" t="s">
        <v>840</v>
      </c>
      <c r="C2" s="32" t="s">
        <v>841</v>
      </c>
      <c r="D2" s="32" t="s">
        <v>842</v>
      </c>
      <c r="E2" s="32"/>
      <c r="F2" s="37" t="s">
        <v>837</v>
      </c>
      <c r="G2" s="38" t="s">
        <v>634</v>
      </c>
      <c r="H2" s="33" t="s">
        <v>843</v>
      </c>
    </row>
    <row r="3" spans="1:8" x14ac:dyDescent="0.2">
      <c r="A3" t="s">
        <v>38</v>
      </c>
      <c r="B3">
        <v>71</v>
      </c>
      <c r="C3">
        <v>18</v>
      </c>
      <c r="D3">
        <v>3.5</v>
      </c>
      <c r="F3" s="35">
        <v>71.91</v>
      </c>
      <c r="H3" t="s">
        <v>39</v>
      </c>
    </row>
    <row r="4" spans="1:8" x14ac:dyDescent="0.2">
      <c r="A4" t="s">
        <v>38</v>
      </c>
      <c r="B4">
        <v>0</v>
      </c>
      <c r="C4">
        <v>0</v>
      </c>
      <c r="D4">
        <v>0</v>
      </c>
      <c r="F4" s="35">
        <v>0</v>
      </c>
      <c r="H4" t="s">
        <v>40</v>
      </c>
    </row>
    <row r="5" spans="1:8" x14ac:dyDescent="0.2">
      <c r="A5" t="s">
        <v>38</v>
      </c>
      <c r="F5" s="35">
        <v>71.91</v>
      </c>
      <c r="G5" s="36">
        <f>F5-F3</f>
        <v>0</v>
      </c>
      <c r="H5" t="s">
        <v>635</v>
      </c>
    </row>
    <row r="7" spans="1:8" x14ac:dyDescent="0.2">
      <c r="A7" t="s">
        <v>41</v>
      </c>
      <c r="B7">
        <v>14</v>
      </c>
      <c r="C7">
        <v>10</v>
      </c>
      <c r="D7">
        <v>10.75</v>
      </c>
      <c r="F7" s="35">
        <v>14.54</v>
      </c>
      <c r="H7" t="s">
        <v>42</v>
      </c>
    </row>
    <row r="8" spans="1:8" x14ac:dyDescent="0.2">
      <c r="A8" t="s">
        <v>41</v>
      </c>
      <c r="B8">
        <v>23</v>
      </c>
      <c r="C8">
        <v>0</v>
      </c>
      <c r="D8">
        <v>8.75</v>
      </c>
      <c r="F8" s="35">
        <v>23.04</v>
      </c>
      <c r="H8" t="s">
        <v>43</v>
      </c>
    </row>
    <row r="9" spans="1:8" x14ac:dyDescent="0.2">
      <c r="A9" t="s">
        <v>41</v>
      </c>
      <c r="B9">
        <v>14</v>
      </c>
      <c r="C9">
        <v>10</v>
      </c>
      <c r="D9">
        <v>10.5</v>
      </c>
      <c r="F9" s="35">
        <v>14.54</v>
      </c>
      <c r="H9" t="s">
        <v>44</v>
      </c>
    </row>
    <row r="10" spans="1:8" x14ac:dyDescent="0.2">
      <c r="A10" t="s">
        <v>41</v>
      </c>
      <c r="B10">
        <v>23</v>
      </c>
      <c r="C10">
        <v>19</v>
      </c>
      <c r="D10">
        <v>3.5</v>
      </c>
      <c r="F10" s="35">
        <v>23.96</v>
      </c>
      <c r="H10" t="s">
        <v>45</v>
      </c>
    </row>
    <row r="11" spans="1:8" x14ac:dyDescent="0.2">
      <c r="A11" t="s">
        <v>41</v>
      </c>
      <c r="B11">
        <v>76</v>
      </c>
      <c r="C11">
        <v>1</v>
      </c>
      <c r="D11">
        <v>9.5</v>
      </c>
      <c r="F11" s="35">
        <v>76.09</v>
      </c>
      <c r="H11" t="s">
        <v>46</v>
      </c>
    </row>
    <row r="12" spans="1:8" x14ac:dyDescent="0.2">
      <c r="A12" t="s">
        <v>41</v>
      </c>
      <c r="F12" s="35">
        <v>76.08</v>
      </c>
      <c r="G12" s="36">
        <v>-1.0000000000005119E-2</v>
      </c>
      <c r="H12" t="s">
        <v>635</v>
      </c>
    </row>
    <row r="14" spans="1:8" x14ac:dyDescent="0.2">
      <c r="A14" t="s">
        <v>47</v>
      </c>
      <c r="B14">
        <v>0</v>
      </c>
      <c r="C14">
        <v>5</v>
      </c>
      <c r="D14">
        <v>0</v>
      </c>
      <c r="F14" s="35">
        <v>0.25</v>
      </c>
      <c r="H14" t="s">
        <v>48</v>
      </c>
    </row>
    <row r="15" spans="1:8" x14ac:dyDescent="0.2">
      <c r="A15" t="s">
        <v>47</v>
      </c>
      <c r="B15">
        <v>0</v>
      </c>
      <c r="C15">
        <v>5</v>
      </c>
      <c r="D15">
        <v>0</v>
      </c>
      <c r="F15" s="35">
        <v>0.25</v>
      </c>
      <c r="H15" t="s">
        <v>49</v>
      </c>
    </row>
    <row r="16" spans="1:8" x14ac:dyDescent="0.2">
      <c r="A16" t="s">
        <v>47</v>
      </c>
      <c r="B16">
        <v>0</v>
      </c>
      <c r="C16">
        <v>10</v>
      </c>
      <c r="D16">
        <v>0</v>
      </c>
      <c r="F16" s="35">
        <v>0.5</v>
      </c>
      <c r="H16" t="s">
        <v>50</v>
      </c>
    </row>
    <row r="17" spans="1:8" x14ac:dyDescent="0.2">
      <c r="A17" t="s">
        <v>47</v>
      </c>
      <c r="B17">
        <v>0</v>
      </c>
      <c r="C17">
        <v>8</v>
      </c>
      <c r="D17">
        <v>6</v>
      </c>
      <c r="F17" s="35">
        <v>0.43</v>
      </c>
      <c r="H17" t="s">
        <v>52</v>
      </c>
    </row>
    <row r="18" spans="1:8" x14ac:dyDescent="0.2">
      <c r="A18" t="s">
        <v>47</v>
      </c>
      <c r="B18">
        <v>0</v>
      </c>
      <c r="C18">
        <v>18</v>
      </c>
      <c r="D18">
        <v>0</v>
      </c>
      <c r="F18" s="35">
        <v>0.9</v>
      </c>
      <c r="H18" t="s">
        <v>53</v>
      </c>
    </row>
    <row r="19" spans="1:8" x14ac:dyDescent="0.2">
      <c r="A19" t="s">
        <v>47</v>
      </c>
      <c r="B19">
        <v>0</v>
      </c>
      <c r="C19">
        <v>3</v>
      </c>
      <c r="D19">
        <v>0</v>
      </c>
      <c r="F19" s="35">
        <v>0.15</v>
      </c>
      <c r="H19" t="s">
        <v>54</v>
      </c>
    </row>
    <row r="20" spans="1:8" x14ac:dyDescent="0.2">
      <c r="A20" t="s">
        <v>47</v>
      </c>
      <c r="B20">
        <v>0</v>
      </c>
      <c r="C20">
        <v>6</v>
      </c>
      <c r="D20">
        <v>0</v>
      </c>
      <c r="F20" s="35">
        <v>0.3</v>
      </c>
      <c r="H20" t="s">
        <v>55</v>
      </c>
    </row>
    <row r="21" spans="1:8" x14ac:dyDescent="0.2">
      <c r="A21" t="s">
        <v>47</v>
      </c>
      <c r="B21">
        <v>0</v>
      </c>
      <c r="C21">
        <v>2</v>
      </c>
      <c r="D21">
        <v>0</v>
      </c>
      <c r="F21" s="35">
        <f>B21+C21/20+D21/240</f>
        <v>0.1</v>
      </c>
      <c r="H21" t="s">
        <v>844</v>
      </c>
    </row>
    <row r="22" spans="1:8" x14ac:dyDescent="0.2">
      <c r="A22" t="s">
        <v>47</v>
      </c>
      <c r="B22">
        <v>2</v>
      </c>
      <c r="C22">
        <v>17</v>
      </c>
      <c r="D22">
        <v>6</v>
      </c>
      <c r="F22" s="35">
        <v>2.88</v>
      </c>
      <c r="H22" t="s">
        <v>845</v>
      </c>
    </row>
    <row r="23" spans="1:8" x14ac:dyDescent="0.2">
      <c r="A23" t="s">
        <v>47</v>
      </c>
      <c r="F23" s="35">
        <f>SUM(F14:F21)</f>
        <v>2.88</v>
      </c>
      <c r="G23" s="36">
        <f>F23-F22</f>
        <v>0</v>
      </c>
      <c r="H23" t="s">
        <v>635</v>
      </c>
    </row>
    <row r="25" spans="1:8" x14ac:dyDescent="0.2">
      <c r="A25" t="s">
        <v>57</v>
      </c>
      <c r="B25">
        <v>1</v>
      </c>
      <c r="C25">
        <v>2</v>
      </c>
      <c r="D25">
        <v>8</v>
      </c>
      <c r="F25" s="35">
        <v>1.1299999999999999</v>
      </c>
      <c r="H25" t="s">
        <v>58</v>
      </c>
    </row>
    <row r="26" spans="1:8" x14ac:dyDescent="0.2">
      <c r="A26" t="s">
        <v>57</v>
      </c>
      <c r="B26">
        <v>0</v>
      </c>
      <c r="C26">
        <v>0</v>
      </c>
      <c r="D26">
        <v>8</v>
      </c>
      <c r="F26" s="35">
        <v>0.03</v>
      </c>
      <c r="H26" t="s">
        <v>59</v>
      </c>
    </row>
    <row r="27" spans="1:8" x14ac:dyDescent="0.2">
      <c r="A27" t="s">
        <v>57</v>
      </c>
      <c r="B27">
        <v>0</v>
      </c>
      <c r="C27">
        <v>0</v>
      </c>
      <c r="D27">
        <v>6</v>
      </c>
      <c r="F27" s="35">
        <v>0.03</v>
      </c>
      <c r="H27" t="s">
        <v>60</v>
      </c>
    </row>
    <row r="28" spans="1:8" x14ac:dyDescent="0.2">
      <c r="A28" t="s">
        <v>57</v>
      </c>
      <c r="B28">
        <v>0</v>
      </c>
      <c r="C28">
        <v>0</v>
      </c>
      <c r="D28">
        <v>6</v>
      </c>
      <c r="F28" s="35">
        <v>0.03</v>
      </c>
      <c r="H28" t="s">
        <v>61</v>
      </c>
    </row>
    <row r="29" spans="1:8" x14ac:dyDescent="0.2">
      <c r="A29" t="s">
        <v>57</v>
      </c>
      <c r="B29">
        <v>0</v>
      </c>
      <c r="C29">
        <v>0</v>
      </c>
      <c r="D29">
        <v>3</v>
      </c>
      <c r="F29" s="35">
        <v>0.01</v>
      </c>
      <c r="H29" t="s">
        <v>62</v>
      </c>
    </row>
    <row r="30" spans="1:8" x14ac:dyDescent="0.2">
      <c r="A30" t="s">
        <v>57</v>
      </c>
      <c r="B30">
        <v>0</v>
      </c>
      <c r="C30">
        <v>6</v>
      </c>
      <c r="D30">
        <v>5</v>
      </c>
      <c r="F30" s="35">
        <v>0.32</v>
      </c>
      <c r="H30" t="s">
        <v>63</v>
      </c>
    </row>
    <row r="31" spans="1:8" x14ac:dyDescent="0.2">
      <c r="A31" t="s">
        <v>57</v>
      </c>
      <c r="B31">
        <v>0</v>
      </c>
      <c r="C31">
        <v>1</v>
      </c>
      <c r="D31">
        <v>6</v>
      </c>
      <c r="F31" s="35">
        <v>0.08</v>
      </c>
      <c r="H31" t="s">
        <v>64</v>
      </c>
    </row>
    <row r="32" spans="1:8" x14ac:dyDescent="0.2">
      <c r="A32" t="s">
        <v>57</v>
      </c>
      <c r="B32">
        <v>1</v>
      </c>
      <c r="C32">
        <v>12</v>
      </c>
      <c r="D32">
        <v>6</v>
      </c>
      <c r="F32" s="35">
        <v>1.62</v>
      </c>
      <c r="H32" t="s">
        <v>65</v>
      </c>
    </row>
    <row r="33" spans="1:8" x14ac:dyDescent="0.2">
      <c r="A33" t="s">
        <v>57</v>
      </c>
      <c r="F33" s="35">
        <v>1.63</v>
      </c>
      <c r="G33" s="36">
        <v>9.9999999999997868E-3</v>
      </c>
      <c r="H33" t="s">
        <v>635</v>
      </c>
    </row>
    <row r="35" spans="1:8" x14ac:dyDescent="0.2">
      <c r="A35" t="s">
        <v>66</v>
      </c>
      <c r="B35">
        <v>4</v>
      </c>
      <c r="C35">
        <v>10</v>
      </c>
      <c r="D35">
        <v>0</v>
      </c>
      <c r="F35" s="35">
        <v>4.5</v>
      </c>
      <c r="H35" t="s">
        <v>67</v>
      </c>
    </row>
    <row r="36" spans="1:8" x14ac:dyDescent="0.2">
      <c r="A36" t="s">
        <v>66</v>
      </c>
      <c r="F36" s="35">
        <v>4.5</v>
      </c>
      <c r="G36" s="36">
        <f>F36-F35</f>
        <v>0</v>
      </c>
      <c r="H36" t="s">
        <v>635</v>
      </c>
    </row>
    <row r="38" spans="1:8" x14ac:dyDescent="0.2">
      <c r="A38" t="s">
        <v>68</v>
      </c>
      <c r="B38">
        <v>71</v>
      </c>
      <c r="C38">
        <v>0</v>
      </c>
      <c r="D38">
        <v>0</v>
      </c>
      <c r="F38" s="35">
        <v>71</v>
      </c>
      <c r="H38" t="s">
        <v>69</v>
      </c>
    </row>
    <row r="39" spans="1:8" x14ac:dyDescent="0.2">
      <c r="A39" t="s">
        <v>68</v>
      </c>
      <c r="F39" s="35">
        <v>71</v>
      </c>
      <c r="G39" s="36">
        <f>F39-F38</f>
        <v>0</v>
      </c>
      <c r="H39" t="s">
        <v>635</v>
      </c>
    </row>
    <row r="41" spans="1:8" x14ac:dyDescent="0.2">
      <c r="A41" t="s">
        <v>76</v>
      </c>
      <c r="B41">
        <v>0</v>
      </c>
      <c r="C41">
        <v>0</v>
      </c>
      <c r="D41">
        <v>0</v>
      </c>
      <c r="F41" s="35">
        <v>0</v>
      </c>
      <c r="H41" t="s">
        <v>77</v>
      </c>
    </row>
    <row r="42" spans="1:8" x14ac:dyDescent="0.2">
      <c r="A42" t="s">
        <v>76</v>
      </c>
      <c r="B42">
        <v>0</v>
      </c>
      <c r="C42">
        <v>0</v>
      </c>
      <c r="D42">
        <v>0</v>
      </c>
      <c r="F42" s="35">
        <v>0</v>
      </c>
      <c r="H42" t="s">
        <v>78</v>
      </c>
    </row>
    <row r="43" spans="1:8" x14ac:dyDescent="0.2">
      <c r="A43" t="s">
        <v>76</v>
      </c>
      <c r="B43">
        <v>0</v>
      </c>
      <c r="C43">
        <v>0</v>
      </c>
      <c r="D43">
        <v>0</v>
      </c>
      <c r="F43" s="35">
        <v>0</v>
      </c>
      <c r="H43" t="s">
        <v>79</v>
      </c>
    </row>
    <row r="44" spans="1:8" x14ac:dyDescent="0.2">
      <c r="A44" t="s">
        <v>76</v>
      </c>
      <c r="B44">
        <v>0</v>
      </c>
      <c r="C44">
        <v>0</v>
      </c>
      <c r="D44">
        <v>0</v>
      </c>
      <c r="F44" s="35">
        <v>0</v>
      </c>
      <c r="H44" t="s">
        <v>80</v>
      </c>
    </row>
    <row r="45" spans="1:8" x14ac:dyDescent="0.2">
      <c r="A45" t="s">
        <v>76</v>
      </c>
      <c r="B45">
        <v>0</v>
      </c>
      <c r="C45">
        <v>0</v>
      </c>
      <c r="D45">
        <v>0</v>
      </c>
      <c r="F45" s="35">
        <v>0</v>
      </c>
      <c r="H45" t="s">
        <v>81</v>
      </c>
    </row>
    <row r="46" spans="1:8" x14ac:dyDescent="0.2">
      <c r="A46" t="s">
        <v>76</v>
      </c>
      <c r="B46">
        <v>0</v>
      </c>
      <c r="C46">
        <v>0</v>
      </c>
      <c r="D46">
        <v>0</v>
      </c>
      <c r="F46" s="35">
        <v>0</v>
      </c>
      <c r="H46" t="s">
        <v>82</v>
      </c>
    </row>
    <row r="47" spans="1:8" x14ac:dyDescent="0.2">
      <c r="A47" t="s">
        <v>76</v>
      </c>
      <c r="B47">
        <v>0</v>
      </c>
      <c r="C47">
        <v>0</v>
      </c>
      <c r="D47">
        <v>0</v>
      </c>
      <c r="F47" s="35">
        <v>0</v>
      </c>
      <c r="H47" t="s">
        <v>83</v>
      </c>
    </row>
    <row r="48" spans="1:8" x14ac:dyDescent="0.2">
      <c r="A48" t="s">
        <v>76</v>
      </c>
      <c r="B48">
        <v>0</v>
      </c>
      <c r="C48">
        <v>0</v>
      </c>
      <c r="D48">
        <v>0</v>
      </c>
      <c r="F48" s="35">
        <v>0</v>
      </c>
      <c r="H48" t="s">
        <v>84</v>
      </c>
    </row>
    <row r="49" spans="1:8" x14ac:dyDescent="0.2">
      <c r="A49" t="s">
        <v>76</v>
      </c>
      <c r="F49" s="35">
        <v>0</v>
      </c>
      <c r="G49" s="36">
        <v>0</v>
      </c>
      <c r="H49" t="s">
        <v>635</v>
      </c>
    </row>
    <row r="51" spans="1:8" x14ac:dyDescent="0.2">
      <c r="A51" t="s">
        <v>85</v>
      </c>
      <c r="B51">
        <v>0</v>
      </c>
      <c r="C51">
        <v>0</v>
      </c>
      <c r="D51">
        <v>0</v>
      </c>
      <c r="F51" s="35">
        <v>0</v>
      </c>
      <c r="H51" t="s">
        <v>86</v>
      </c>
    </row>
    <row r="52" spans="1:8" x14ac:dyDescent="0.2">
      <c r="A52" t="s">
        <v>85</v>
      </c>
      <c r="B52">
        <v>0</v>
      </c>
      <c r="C52">
        <v>0</v>
      </c>
      <c r="D52">
        <v>0</v>
      </c>
      <c r="F52" s="35">
        <v>0</v>
      </c>
      <c r="H52" t="s">
        <v>84</v>
      </c>
    </row>
    <row r="53" spans="1:8" x14ac:dyDescent="0.2">
      <c r="A53" t="s">
        <v>85</v>
      </c>
      <c r="F53" s="35">
        <v>0</v>
      </c>
      <c r="G53" s="36">
        <v>0</v>
      </c>
      <c r="H53" t="s">
        <v>635</v>
      </c>
    </row>
    <row r="55" spans="1:8" x14ac:dyDescent="0.2">
      <c r="A55" t="s">
        <v>87</v>
      </c>
      <c r="B55">
        <v>0</v>
      </c>
      <c r="C55">
        <v>0</v>
      </c>
      <c r="D55">
        <v>6</v>
      </c>
      <c r="F55" s="35">
        <v>0.03</v>
      </c>
      <c r="H55" t="s">
        <v>88</v>
      </c>
    </row>
    <row r="56" spans="1:8" x14ac:dyDescent="0.2">
      <c r="A56" t="s">
        <v>87</v>
      </c>
      <c r="B56">
        <v>0</v>
      </c>
      <c r="C56">
        <v>0</v>
      </c>
      <c r="D56">
        <v>6</v>
      </c>
      <c r="F56" s="35">
        <v>0.03</v>
      </c>
      <c r="H56" t="s">
        <v>89</v>
      </c>
    </row>
    <row r="57" spans="1:8" x14ac:dyDescent="0.2">
      <c r="A57" t="s">
        <v>87</v>
      </c>
      <c r="B57">
        <v>0</v>
      </c>
      <c r="C57">
        <v>0</v>
      </c>
      <c r="D57">
        <v>6</v>
      </c>
      <c r="F57" s="35">
        <v>0.03</v>
      </c>
      <c r="H57" t="s">
        <v>90</v>
      </c>
    </row>
    <row r="58" spans="1:8" x14ac:dyDescent="0.2">
      <c r="A58" t="s">
        <v>87</v>
      </c>
      <c r="B58">
        <v>0</v>
      </c>
      <c r="C58">
        <v>0</v>
      </c>
      <c r="D58">
        <v>6</v>
      </c>
      <c r="F58" s="35">
        <v>0.03</v>
      </c>
      <c r="H58" t="s">
        <v>91</v>
      </c>
    </row>
    <row r="59" spans="1:8" x14ac:dyDescent="0.2">
      <c r="A59" t="s">
        <v>87</v>
      </c>
      <c r="B59">
        <v>0</v>
      </c>
      <c r="C59">
        <v>0</v>
      </c>
      <c r="D59">
        <v>6</v>
      </c>
      <c r="F59" s="35">
        <v>0.03</v>
      </c>
      <c r="H59" t="s">
        <v>92</v>
      </c>
    </row>
    <row r="60" spans="1:8" x14ac:dyDescent="0.2">
      <c r="A60" t="s">
        <v>87</v>
      </c>
      <c r="B60">
        <v>0</v>
      </c>
      <c r="C60">
        <v>0</v>
      </c>
      <c r="D60">
        <v>6</v>
      </c>
      <c r="F60" s="35">
        <v>0.03</v>
      </c>
      <c r="H60" t="s">
        <v>93</v>
      </c>
    </row>
    <row r="61" spans="1:8" x14ac:dyDescent="0.2">
      <c r="A61" t="s">
        <v>87</v>
      </c>
      <c r="B61">
        <v>0</v>
      </c>
      <c r="C61">
        <v>0</v>
      </c>
      <c r="D61">
        <v>3</v>
      </c>
      <c r="F61" s="35">
        <v>0.01</v>
      </c>
      <c r="H61" t="s">
        <v>94</v>
      </c>
    </row>
    <row r="62" spans="1:8" x14ac:dyDescent="0.2">
      <c r="A62" t="s">
        <v>87</v>
      </c>
      <c r="B62">
        <v>0</v>
      </c>
      <c r="C62">
        <v>0</v>
      </c>
      <c r="D62">
        <v>3</v>
      </c>
      <c r="F62" s="35">
        <v>0.01</v>
      </c>
      <c r="H62" t="s">
        <v>95</v>
      </c>
    </row>
    <row r="63" spans="1:8" x14ac:dyDescent="0.2">
      <c r="A63" t="s">
        <v>87</v>
      </c>
      <c r="B63">
        <v>0</v>
      </c>
      <c r="C63">
        <v>0</v>
      </c>
      <c r="D63">
        <v>3</v>
      </c>
      <c r="F63" s="35">
        <v>0.01</v>
      </c>
      <c r="H63" t="s">
        <v>96</v>
      </c>
    </row>
    <row r="64" spans="1:8" x14ac:dyDescent="0.2">
      <c r="A64" t="s">
        <v>87</v>
      </c>
      <c r="B64">
        <v>0</v>
      </c>
      <c r="C64">
        <v>0</v>
      </c>
      <c r="D64">
        <v>6</v>
      </c>
      <c r="F64" s="35">
        <v>0.03</v>
      </c>
      <c r="H64" t="s">
        <v>97</v>
      </c>
    </row>
    <row r="65" spans="1:8" x14ac:dyDescent="0.2">
      <c r="A65" t="s">
        <v>87</v>
      </c>
      <c r="B65">
        <v>0</v>
      </c>
      <c r="C65">
        <v>0</v>
      </c>
      <c r="D65">
        <v>3</v>
      </c>
      <c r="F65" s="35">
        <v>0.01</v>
      </c>
      <c r="H65" t="s">
        <v>98</v>
      </c>
    </row>
    <row r="66" spans="1:8" x14ac:dyDescent="0.2">
      <c r="A66" t="s">
        <v>87</v>
      </c>
      <c r="B66">
        <v>0</v>
      </c>
      <c r="C66">
        <v>4</v>
      </c>
      <c r="D66">
        <v>6</v>
      </c>
      <c r="F66" s="35">
        <v>0.23</v>
      </c>
      <c r="H66" t="s">
        <v>99</v>
      </c>
    </row>
    <row r="67" spans="1:8" x14ac:dyDescent="0.2">
      <c r="A67" t="s">
        <v>87</v>
      </c>
      <c r="F67" s="35">
        <v>0.25</v>
      </c>
      <c r="G67" s="36">
        <v>1.999999999999999E-2</v>
      </c>
      <c r="H67" t="s">
        <v>635</v>
      </c>
    </row>
    <row r="69" spans="1:8" x14ac:dyDescent="0.2">
      <c r="A69" t="s">
        <v>100</v>
      </c>
      <c r="B69">
        <v>2</v>
      </c>
      <c r="C69">
        <v>12</v>
      </c>
      <c r="D69">
        <v>7</v>
      </c>
      <c r="F69" s="35">
        <v>2.63</v>
      </c>
      <c r="H69" t="s">
        <v>101</v>
      </c>
    </row>
    <row r="70" spans="1:8" x14ac:dyDescent="0.2">
      <c r="A70" t="s">
        <v>100</v>
      </c>
      <c r="B70">
        <v>0</v>
      </c>
      <c r="C70">
        <v>0</v>
      </c>
      <c r="D70">
        <v>0</v>
      </c>
      <c r="F70" s="35">
        <v>0</v>
      </c>
      <c r="H70" t="s">
        <v>102</v>
      </c>
    </row>
    <row r="71" spans="1:8" x14ac:dyDescent="0.2">
      <c r="A71" t="s">
        <v>100</v>
      </c>
      <c r="B71">
        <v>5</v>
      </c>
      <c r="C71">
        <v>3</v>
      </c>
      <c r="D71">
        <v>2</v>
      </c>
      <c r="F71" s="35">
        <v>5.16</v>
      </c>
      <c r="H71" t="s">
        <v>103</v>
      </c>
    </row>
    <row r="72" spans="1:8" x14ac:dyDescent="0.2">
      <c r="A72" t="s">
        <v>100</v>
      </c>
      <c r="B72">
        <v>5</v>
      </c>
      <c r="C72">
        <v>15</v>
      </c>
      <c r="D72">
        <v>6</v>
      </c>
      <c r="F72" s="35">
        <v>5.78</v>
      </c>
      <c r="H72" t="s">
        <v>104</v>
      </c>
    </row>
    <row r="73" spans="1:8" x14ac:dyDescent="0.2">
      <c r="A73" t="s">
        <v>100</v>
      </c>
      <c r="B73">
        <v>0</v>
      </c>
      <c r="C73">
        <v>8</v>
      </c>
      <c r="D73">
        <v>0</v>
      </c>
      <c r="F73" s="35">
        <v>0.4</v>
      </c>
      <c r="H73" t="s">
        <v>105</v>
      </c>
    </row>
    <row r="74" spans="1:8" x14ac:dyDescent="0.2">
      <c r="A74" t="s">
        <v>100</v>
      </c>
      <c r="B74">
        <v>0</v>
      </c>
      <c r="C74">
        <v>3</v>
      </c>
      <c r="D74">
        <v>4</v>
      </c>
      <c r="F74" s="35">
        <v>0.17</v>
      </c>
      <c r="H74" t="s">
        <v>106</v>
      </c>
    </row>
    <row r="75" spans="1:8" x14ac:dyDescent="0.2">
      <c r="A75" t="s">
        <v>100</v>
      </c>
      <c r="B75">
        <v>2</v>
      </c>
      <c r="C75">
        <v>16</v>
      </c>
      <c r="D75">
        <v>0</v>
      </c>
      <c r="F75" s="35">
        <v>2.8</v>
      </c>
      <c r="H75" t="s">
        <v>107</v>
      </c>
    </row>
    <row r="76" spans="1:8" x14ac:dyDescent="0.2">
      <c r="A76" t="s">
        <v>100</v>
      </c>
      <c r="B76">
        <v>1</v>
      </c>
      <c r="C76">
        <v>16</v>
      </c>
      <c r="D76">
        <v>0</v>
      </c>
      <c r="F76" s="35">
        <v>1.8</v>
      </c>
      <c r="H76" t="s">
        <v>108</v>
      </c>
    </row>
    <row r="77" spans="1:8" x14ac:dyDescent="0.2">
      <c r="A77" t="s">
        <v>100</v>
      </c>
      <c r="B77">
        <v>0</v>
      </c>
      <c r="C77">
        <v>6</v>
      </c>
      <c r="D77">
        <v>0</v>
      </c>
      <c r="F77" s="35">
        <v>0.3</v>
      </c>
      <c r="H77" t="s">
        <v>109</v>
      </c>
    </row>
    <row r="78" spans="1:8" x14ac:dyDescent="0.2">
      <c r="A78" t="s">
        <v>100</v>
      </c>
      <c r="B78">
        <v>0</v>
      </c>
      <c r="C78">
        <v>7</v>
      </c>
      <c r="D78">
        <v>0</v>
      </c>
      <c r="F78" s="35">
        <v>0.35</v>
      </c>
      <c r="H78" t="s">
        <v>110</v>
      </c>
    </row>
    <row r="79" spans="1:8" x14ac:dyDescent="0.2">
      <c r="A79" t="s">
        <v>100</v>
      </c>
      <c r="B79">
        <v>0</v>
      </c>
      <c r="C79">
        <v>5</v>
      </c>
      <c r="D79">
        <v>10</v>
      </c>
      <c r="F79" s="35">
        <v>0.28999999999999998</v>
      </c>
      <c r="H79" t="s">
        <v>111</v>
      </c>
    </row>
    <row r="80" spans="1:8" x14ac:dyDescent="0.2">
      <c r="A80" t="s">
        <v>100</v>
      </c>
      <c r="B80">
        <v>0</v>
      </c>
      <c r="C80">
        <v>13</v>
      </c>
      <c r="D80">
        <v>6</v>
      </c>
      <c r="F80" s="35">
        <v>0.68</v>
      </c>
      <c r="H80" t="s">
        <v>112</v>
      </c>
    </row>
    <row r="81" spans="1:8" x14ac:dyDescent="0.2">
      <c r="A81" t="s">
        <v>100</v>
      </c>
      <c r="B81">
        <v>0</v>
      </c>
      <c r="C81">
        <v>4</v>
      </c>
      <c r="D81">
        <v>4</v>
      </c>
      <c r="F81" s="35">
        <v>0.22</v>
      </c>
      <c r="H81" t="s">
        <v>113</v>
      </c>
    </row>
    <row r="82" spans="1:8" x14ac:dyDescent="0.2">
      <c r="A82" t="s">
        <v>100</v>
      </c>
      <c r="B82">
        <v>0</v>
      </c>
      <c r="C82">
        <v>1</v>
      </c>
      <c r="D82">
        <v>0</v>
      </c>
      <c r="F82" s="35">
        <v>0.05</v>
      </c>
      <c r="H82" t="s">
        <v>114</v>
      </c>
    </row>
    <row r="83" spans="1:8" x14ac:dyDescent="0.2">
      <c r="A83" t="s">
        <v>100</v>
      </c>
      <c r="B83">
        <v>0</v>
      </c>
      <c r="C83">
        <v>12</v>
      </c>
      <c r="D83">
        <v>6</v>
      </c>
      <c r="F83" s="35">
        <v>0.62</v>
      </c>
      <c r="H83" t="s">
        <v>115</v>
      </c>
    </row>
    <row r="84" spans="1:8" x14ac:dyDescent="0.2">
      <c r="A84" t="s">
        <v>100</v>
      </c>
      <c r="B84">
        <v>0</v>
      </c>
      <c r="C84">
        <v>0</v>
      </c>
      <c r="D84">
        <v>6</v>
      </c>
      <c r="F84" s="35">
        <v>0.03</v>
      </c>
      <c r="H84" t="s">
        <v>116</v>
      </c>
    </row>
    <row r="85" spans="1:8" x14ac:dyDescent="0.2">
      <c r="A85" t="s">
        <v>100</v>
      </c>
      <c r="B85">
        <v>0</v>
      </c>
      <c r="C85">
        <v>0</v>
      </c>
      <c r="D85">
        <v>6</v>
      </c>
      <c r="F85" s="35">
        <v>0.03</v>
      </c>
      <c r="H85" t="s">
        <v>117</v>
      </c>
    </row>
    <row r="86" spans="1:8" x14ac:dyDescent="0.2">
      <c r="A86" t="s">
        <v>100</v>
      </c>
      <c r="B86">
        <v>0</v>
      </c>
      <c r="C86">
        <v>0</v>
      </c>
      <c r="D86">
        <v>6</v>
      </c>
      <c r="F86" s="35">
        <v>0.03</v>
      </c>
      <c r="H86" t="s">
        <v>118</v>
      </c>
    </row>
    <row r="87" spans="1:8" x14ac:dyDescent="0.2">
      <c r="A87" t="s">
        <v>100</v>
      </c>
      <c r="B87">
        <v>0</v>
      </c>
      <c r="C87">
        <v>0</v>
      </c>
      <c r="D87">
        <v>6</v>
      </c>
      <c r="F87" s="35">
        <v>0.03</v>
      </c>
      <c r="H87" t="s">
        <v>119</v>
      </c>
    </row>
    <row r="88" spans="1:8" x14ac:dyDescent="0.2">
      <c r="A88" t="s">
        <v>100</v>
      </c>
      <c r="B88">
        <v>0</v>
      </c>
      <c r="C88">
        <v>1</v>
      </c>
      <c r="D88">
        <v>0</v>
      </c>
      <c r="F88" s="35">
        <v>0.05</v>
      </c>
      <c r="H88" t="s">
        <v>120</v>
      </c>
    </row>
    <row r="89" spans="1:8" x14ac:dyDescent="0.2">
      <c r="A89" t="s">
        <v>100</v>
      </c>
      <c r="B89">
        <v>0</v>
      </c>
      <c r="C89">
        <v>4</v>
      </c>
      <c r="D89">
        <v>0</v>
      </c>
      <c r="F89" s="35">
        <v>0.2</v>
      </c>
      <c r="H89" t="s">
        <v>121</v>
      </c>
    </row>
    <row r="90" spans="1:8" x14ac:dyDescent="0.2">
      <c r="A90" t="s">
        <v>100</v>
      </c>
      <c r="B90">
        <v>0</v>
      </c>
      <c r="C90">
        <v>2</v>
      </c>
      <c r="D90">
        <v>8</v>
      </c>
      <c r="F90" s="35">
        <v>0.13</v>
      </c>
      <c r="H90" t="s">
        <v>122</v>
      </c>
    </row>
    <row r="91" spans="1:8" x14ac:dyDescent="0.2">
      <c r="A91" t="s">
        <v>100</v>
      </c>
      <c r="B91">
        <v>0</v>
      </c>
      <c r="C91">
        <v>1</v>
      </c>
      <c r="D91">
        <v>9</v>
      </c>
      <c r="F91" s="35">
        <v>0.09</v>
      </c>
      <c r="H91" t="s">
        <v>123</v>
      </c>
    </row>
    <row r="92" spans="1:8" x14ac:dyDescent="0.2">
      <c r="A92" t="s">
        <v>100</v>
      </c>
      <c r="B92">
        <v>0</v>
      </c>
      <c r="C92">
        <v>0</v>
      </c>
      <c r="D92">
        <v>8</v>
      </c>
      <c r="F92" s="35">
        <v>0.03</v>
      </c>
      <c r="H92" t="s">
        <v>124</v>
      </c>
    </row>
    <row r="93" spans="1:8" x14ac:dyDescent="0.2">
      <c r="A93" t="s">
        <v>100</v>
      </c>
      <c r="B93">
        <v>0</v>
      </c>
      <c r="C93">
        <v>0</v>
      </c>
      <c r="D93">
        <v>9</v>
      </c>
      <c r="F93" s="35">
        <v>0.04</v>
      </c>
      <c r="H93" t="s">
        <v>125</v>
      </c>
    </row>
    <row r="94" spans="1:8" x14ac:dyDescent="0.2">
      <c r="A94" t="s">
        <v>100</v>
      </c>
      <c r="B94">
        <v>0</v>
      </c>
      <c r="C94">
        <v>0</v>
      </c>
      <c r="D94">
        <v>10</v>
      </c>
      <c r="F94" s="35">
        <v>0.04</v>
      </c>
      <c r="H94" t="s">
        <v>126</v>
      </c>
    </row>
    <row r="95" spans="1:8" x14ac:dyDescent="0.2">
      <c r="A95" t="s">
        <v>100</v>
      </c>
      <c r="B95">
        <v>0</v>
      </c>
      <c r="C95">
        <v>0</v>
      </c>
      <c r="D95">
        <v>2</v>
      </c>
      <c r="F95" s="35">
        <v>0.01</v>
      </c>
      <c r="H95" t="s">
        <v>127</v>
      </c>
    </row>
    <row r="96" spans="1:8" x14ac:dyDescent="0.2">
      <c r="A96" t="s">
        <v>100</v>
      </c>
      <c r="B96">
        <v>0</v>
      </c>
      <c r="C96">
        <v>10</v>
      </c>
      <c r="D96">
        <v>1</v>
      </c>
      <c r="F96" s="35">
        <v>0.5</v>
      </c>
      <c r="H96" t="s">
        <v>128</v>
      </c>
    </row>
    <row r="97" spans="1:8" x14ac:dyDescent="0.2">
      <c r="A97" t="s">
        <v>100</v>
      </c>
      <c r="B97">
        <v>0</v>
      </c>
      <c r="C97">
        <v>1</v>
      </c>
      <c r="D97">
        <v>2</v>
      </c>
      <c r="F97" s="35">
        <v>0.06</v>
      </c>
      <c r="H97" t="s">
        <v>129</v>
      </c>
    </row>
    <row r="98" spans="1:8" x14ac:dyDescent="0.2">
      <c r="A98" t="s">
        <v>100</v>
      </c>
      <c r="B98">
        <v>0</v>
      </c>
      <c r="C98">
        <v>1</v>
      </c>
      <c r="D98">
        <v>4</v>
      </c>
      <c r="F98" s="35">
        <v>7.0000000000000007E-2</v>
      </c>
      <c r="H98" t="s">
        <v>130</v>
      </c>
    </row>
    <row r="99" spans="1:8" x14ac:dyDescent="0.2">
      <c r="A99" t="s">
        <v>100</v>
      </c>
      <c r="B99">
        <v>0</v>
      </c>
      <c r="C99">
        <v>0</v>
      </c>
      <c r="D99">
        <v>1.5</v>
      </c>
      <c r="F99" s="35">
        <v>0.01</v>
      </c>
      <c r="H99" t="s">
        <v>131</v>
      </c>
    </row>
    <row r="100" spans="1:8" x14ac:dyDescent="0.2">
      <c r="A100" t="s">
        <v>100</v>
      </c>
      <c r="B100">
        <v>0</v>
      </c>
      <c r="C100">
        <v>0</v>
      </c>
      <c r="D100">
        <v>0</v>
      </c>
      <c r="F100" s="35">
        <v>0</v>
      </c>
      <c r="H100" t="s">
        <v>971</v>
      </c>
    </row>
    <row r="101" spans="1:8" x14ac:dyDescent="0.2">
      <c r="A101" t="s">
        <v>100</v>
      </c>
      <c r="B101">
        <v>0</v>
      </c>
      <c r="C101">
        <v>5</v>
      </c>
      <c r="D101">
        <v>3</v>
      </c>
      <c r="F101" s="35">
        <v>0.26</v>
      </c>
      <c r="H101" t="s">
        <v>133</v>
      </c>
    </row>
    <row r="102" spans="1:8" x14ac:dyDescent="0.2">
      <c r="A102" t="s">
        <v>100</v>
      </c>
      <c r="B102">
        <v>0</v>
      </c>
      <c r="C102">
        <v>4</v>
      </c>
      <c r="D102">
        <v>3</v>
      </c>
      <c r="F102" s="35">
        <v>0.21</v>
      </c>
      <c r="H102" t="s">
        <v>970</v>
      </c>
    </row>
    <row r="103" spans="1:8" x14ac:dyDescent="0.2">
      <c r="A103" t="s">
        <v>100</v>
      </c>
      <c r="B103">
        <v>4</v>
      </c>
      <c r="C103">
        <v>13</v>
      </c>
      <c r="D103">
        <v>6</v>
      </c>
      <c r="F103" s="35">
        <v>4.68</v>
      </c>
      <c r="H103" t="s">
        <v>135</v>
      </c>
    </row>
    <row r="104" spans="1:8" x14ac:dyDescent="0.2">
      <c r="A104" t="s">
        <v>100</v>
      </c>
      <c r="B104">
        <v>0</v>
      </c>
      <c r="C104">
        <v>6</v>
      </c>
      <c r="D104">
        <v>10.5</v>
      </c>
      <c r="F104" s="35">
        <v>0.34</v>
      </c>
      <c r="H104" t="s">
        <v>136</v>
      </c>
    </row>
    <row r="105" spans="1:8" x14ac:dyDescent="0.2">
      <c r="A105" t="s">
        <v>100</v>
      </c>
      <c r="B105">
        <v>1</v>
      </c>
      <c r="C105">
        <v>18</v>
      </c>
      <c r="D105">
        <v>0</v>
      </c>
      <c r="F105" s="35">
        <v>1.9</v>
      </c>
      <c r="H105" t="s">
        <v>137</v>
      </c>
    </row>
    <row r="106" spans="1:8" x14ac:dyDescent="0.2">
      <c r="A106" t="s">
        <v>100</v>
      </c>
      <c r="B106">
        <v>1</v>
      </c>
      <c r="C106">
        <v>16</v>
      </c>
      <c r="D106">
        <v>6</v>
      </c>
      <c r="F106" s="35">
        <v>1.82</v>
      </c>
      <c r="H106" t="s">
        <v>138</v>
      </c>
    </row>
    <row r="107" spans="1:8" x14ac:dyDescent="0.2">
      <c r="A107" t="s">
        <v>100</v>
      </c>
      <c r="B107">
        <v>7</v>
      </c>
      <c r="C107">
        <v>6</v>
      </c>
      <c r="D107">
        <v>3</v>
      </c>
      <c r="F107" s="35">
        <v>7.31</v>
      </c>
      <c r="H107" t="s">
        <v>139</v>
      </c>
    </row>
    <row r="108" spans="1:8" x14ac:dyDescent="0.2">
      <c r="A108" t="s">
        <v>100</v>
      </c>
      <c r="B108">
        <v>0</v>
      </c>
      <c r="C108">
        <v>12</v>
      </c>
      <c r="D108">
        <v>10</v>
      </c>
      <c r="F108" s="35">
        <f>B108+C108/12+D108/20</f>
        <v>1.5</v>
      </c>
      <c r="H108" t="s">
        <v>969</v>
      </c>
    </row>
    <row r="109" spans="1:8" x14ac:dyDescent="0.2">
      <c r="A109" t="s">
        <v>100</v>
      </c>
      <c r="B109">
        <v>0</v>
      </c>
      <c r="C109">
        <v>9</v>
      </c>
      <c r="D109">
        <v>0</v>
      </c>
      <c r="F109" s="35">
        <v>0.45</v>
      </c>
      <c r="H109" t="s">
        <v>141</v>
      </c>
    </row>
    <row r="110" spans="1:8" x14ac:dyDescent="0.2">
      <c r="A110" t="s">
        <v>100</v>
      </c>
      <c r="B110">
        <v>0</v>
      </c>
      <c r="C110">
        <v>6</v>
      </c>
      <c r="D110">
        <v>4</v>
      </c>
      <c r="F110" s="35">
        <v>0.32</v>
      </c>
      <c r="H110" t="s">
        <v>142</v>
      </c>
    </row>
    <row r="111" spans="1:8" x14ac:dyDescent="0.2">
      <c r="A111" t="s">
        <v>100</v>
      </c>
      <c r="B111">
        <v>0</v>
      </c>
      <c r="C111">
        <v>1</v>
      </c>
      <c r="D111">
        <v>6</v>
      </c>
      <c r="F111" s="35">
        <v>0.08</v>
      </c>
      <c r="H111" t="s">
        <v>143</v>
      </c>
    </row>
    <row r="112" spans="1:8" x14ac:dyDescent="0.2">
      <c r="A112" t="s">
        <v>100</v>
      </c>
      <c r="B112">
        <v>0</v>
      </c>
      <c r="C112">
        <v>6</v>
      </c>
      <c r="D112">
        <v>8</v>
      </c>
      <c r="F112" s="35">
        <v>0.33</v>
      </c>
      <c r="H112" t="s">
        <v>144</v>
      </c>
    </row>
    <row r="113" spans="1:8" x14ac:dyDescent="0.2">
      <c r="A113" t="s">
        <v>100</v>
      </c>
      <c r="B113">
        <v>0</v>
      </c>
      <c r="C113">
        <v>0</v>
      </c>
      <c r="D113">
        <v>0</v>
      </c>
      <c r="F113" s="35">
        <v>0</v>
      </c>
      <c r="H113" t="s">
        <v>145</v>
      </c>
    </row>
    <row r="114" spans="1:8" x14ac:dyDescent="0.2">
      <c r="A114" t="s">
        <v>100</v>
      </c>
      <c r="B114">
        <v>0</v>
      </c>
      <c r="C114">
        <v>10</v>
      </c>
      <c r="D114">
        <v>6</v>
      </c>
      <c r="F114" s="35">
        <v>0.53</v>
      </c>
      <c r="H114" t="s">
        <v>146</v>
      </c>
    </row>
    <row r="115" spans="1:8" x14ac:dyDescent="0.2">
      <c r="A115" t="s">
        <v>100</v>
      </c>
      <c r="B115">
        <v>0</v>
      </c>
      <c r="C115">
        <v>5</v>
      </c>
      <c r="D115">
        <v>0</v>
      </c>
      <c r="F115" s="35">
        <v>0.25</v>
      </c>
      <c r="H115" t="s">
        <v>147</v>
      </c>
    </row>
    <row r="116" spans="1:8" x14ac:dyDescent="0.2">
      <c r="A116" t="s">
        <v>100</v>
      </c>
      <c r="B116">
        <v>0</v>
      </c>
      <c r="C116">
        <v>2</v>
      </c>
      <c r="D116">
        <v>2</v>
      </c>
      <c r="F116" s="35">
        <v>0.11</v>
      </c>
      <c r="H116" t="s">
        <v>148</v>
      </c>
    </row>
    <row r="117" spans="1:8" x14ac:dyDescent="0.2">
      <c r="A117" t="s">
        <v>100</v>
      </c>
      <c r="B117">
        <v>0</v>
      </c>
      <c r="C117">
        <v>0</v>
      </c>
      <c r="D117">
        <v>0</v>
      </c>
      <c r="F117" s="35">
        <v>0</v>
      </c>
      <c r="H117" t="s">
        <v>149</v>
      </c>
    </row>
    <row r="118" spans="1:8" x14ac:dyDescent="0.2">
      <c r="A118" t="s">
        <v>100</v>
      </c>
      <c r="B118">
        <v>0</v>
      </c>
      <c r="C118">
        <v>0</v>
      </c>
      <c r="D118">
        <v>0</v>
      </c>
      <c r="F118" s="35">
        <v>0</v>
      </c>
      <c r="H118" t="s">
        <v>150</v>
      </c>
    </row>
    <row r="119" spans="1:8" x14ac:dyDescent="0.2">
      <c r="A119" t="s">
        <v>100</v>
      </c>
      <c r="B119">
        <v>0</v>
      </c>
      <c r="C119">
        <v>1</v>
      </c>
      <c r="D119">
        <v>3</v>
      </c>
      <c r="F119" s="35">
        <v>0.06</v>
      </c>
      <c r="H119" t="s">
        <v>151</v>
      </c>
    </row>
    <row r="120" spans="1:8" x14ac:dyDescent="0.2">
      <c r="A120" t="s">
        <v>100</v>
      </c>
      <c r="B120">
        <v>0</v>
      </c>
      <c r="C120">
        <v>3</v>
      </c>
      <c r="D120">
        <v>0</v>
      </c>
      <c r="F120" s="35">
        <v>0.15</v>
      </c>
      <c r="H120" t="s">
        <v>152</v>
      </c>
    </row>
    <row r="121" spans="1:8" x14ac:dyDescent="0.2">
      <c r="A121" t="s">
        <v>100</v>
      </c>
      <c r="B121">
        <v>0</v>
      </c>
      <c r="C121">
        <v>0</v>
      </c>
      <c r="D121">
        <v>0</v>
      </c>
      <c r="F121" s="35">
        <v>0</v>
      </c>
      <c r="H121" t="s">
        <v>153</v>
      </c>
    </row>
    <row r="122" spans="1:8" x14ac:dyDescent="0.2">
      <c r="A122" t="s">
        <v>100</v>
      </c>
      <c r="B122">
        <v>0</v>
      </c>
      <c r="C122">
        <v>1</v>
      </c>
      <c r="D122">
        <v>8</v>
      </c>
      <c r="F122" s="35">
        <v>0.08</v>
      </c>
      <c r="H122" t="s">
        <v>154</v>
      </c>
    </row>
    <row r="123" spans="1:8" x14ac:dyDescent="0.2">
      <c r="A123" t="s">
        <v>100</v>
      </c>
      <c r="B123">
        <v>0</v>
      </c>
      <c r="C123">
        <v>4</v>
      </c>
      <c r="D123">
        <v>0</v>
      </c>
      <c r="F123" s="35">
        <v>0.2</v>
      </c>
      <c r="H123" t="s">
        <v>155</v>
      </c>
    </row>
    <row r="124" spans="1:8" x14ac:dyDescent="0.2">
      <c r="A124" t="s">
        <v>100</v>
      </c>
      <c r="B124">
        <v>0</v>
      </c>
      <c r="C124">
        <v>0</v>
      </c>
      <c r="D124">
        <v>0</v>
      </c>
      <c r="F124" s="35">
        <v>0</v>
      </c>
      <c r="H124" t="s">
        <v>156</v>
      </c>
    </row>
    <row r="125" spans="1:8" x14ac:dyDescent="0.2">
      <c r="A125" t="s">
        <v>100</v>
      </c>
      <c r="B125">
        <v>0</v>
      </c>
      <c r="C125">
        <v>3</v>
      </c>
      <c r="D125">
        <v>4</v>
      </c>
      <c r="F125" s="35">
        <v>0.17</v>
      </c>
      <c r="H125" t="s">
        <v>157</v>
      </c>
    </row>
    <row r="126" spans="1:8" x14ac:dyDescent="0.2">
      <c r="A126" t="s">
        <v>100</v>
      </c>
      <c r="B126">
        <v>0</v>
      </c>
      <c r="C126">
        <v>2</v>
      </c>
      <c r="D126">
        <v>8</v>
      </c>
      <c r="F126" s="35">
        <v>0.13</v>
      </c>
      <c r="H126" t="s">
        <v>158</v>
      </c>
    </row>
    <row r="127" spans="1:8" x14ac:dyDescent="0.2">
      <c r="A127" t="s">
        <v>100</v>
      </c>
      <c r="B127">
        <v>0</v>
      </c>
      <c r="C127">
        <v>1</v>
      </c>
      <c r="D127">
        <v>8</v>
      </c>
      <c r="F127" s="35">
        <v>0.08</v>
      </c>
      <c r="H127" t="s">
        <v>159</v>
      </c>
    </row>
    <row r="128" spans="1:8" x14ac:dyDescent="0.2">
      <c r="A128" t="s">
        <v>100</v>
      </c>
      <c r="B128">
        <v>0</v>
      </c>
      <c r="C128">
        <v>2</v>
      </c>
      <c r="D128">
        <v>0</v>
      </c>
      <c r="F128" s="35">
        <v>0.1</v>
      </c>
      <c r="H128" t="s">
        <v>160</v>
      </c>
    </row>
    <row r="129" spans="1:8" x14ac:dyDescent="0.2">
      <c r="A129" t="s">
        <v>100</v>
      </c>
      <c r="B129">
        <v>0</v>
      </c>
      <c r="C129">
        <v>1</v>
      </c>
      <c r="D129">
        <v>0</v>
      </c>
      <c r="F129" s="35">
        <v>0.05</v>
      </c>
      <c r="H129" t="s">
        <v>161</v>
      </c>
    </row>
    <row r="130" spans="1:8" x14ac:dyDescent="0.2">
      <c r="A130" t="s">
        <v>100</v>
      </c>
      <c r="B130">
        <v>0</v>
      </c>
      <c r="C130">
        <v>1</v>
      </c>
      <c r="D130">
        <v>0</v>
      </c>
      <c r="F130" s="35">
        <v>0.05</v>
      </c>
      <c r="H130" t="s">
        <v>162</v>
      </c>
    </row>
    <row r="131" spans="1:8" x14ac:dyDescent="0.2">
      <c r="A131" t="s">
        <v>100</v>
      </c>
      <c r="B131">
        <v>0</v>
      </c>
      <c r="C131">
        <v>1</v>
      </c>
      <c r="D131">
        <v>0</v>
      </c>
      <c r="F131" s="35">
        <v>0.05</v>
      </c>
      <c r="H131" t="s">
        <v>163</v>
      </c>
    </row>
    <row r="132" spans="1:8" x14ac:dyDescent="0.2">
      <c r="A132" t="s">
        <v>100</v>
      </c>
      <c r="B132">
        <v>0</v>
      </c>
      <c r="C132">
        <v>3</v>
      </c>
      <c r="D132">
        <v>0</v>
      </c>
      <c r="F132" s="35">
        <v>0.15</v>
      </c>
      <c r="H132" t="s">
        <v>164</v>
      </c>
    </row>
    <row r="133" spans="1:8" x14ac:dyDescent="0.2">
      <c r="A133" t="s">
        <v>100</v>
      </c>
      <c r="B133">
        <v>0</v>
      </c>
      <c r="C133">
        <v>2</v>
      </c>
      <c r="D133">
        <v>0</v>
      </c>
      <c r="F133" s="35">
        <v>0.1</v>
      </c>
      <c r="H133" t="s">
        <v>165</v>
      </c>
    </row>
    <row r="134" spans="1:8" x14ac:dyDescent="0.2">
      <c r="A134" t="s">
        <v>100</v>
      </c>
      <c r="B134">
        <v>0</v>
      </c>
      <c r="C134">
        <v>9</v>
      </c>
      <c r="D134">
        <v>0</v>
      </c>
      <c r="F134" s="35">
        <v>0.45</v>
      </c>
      <c r="H134" t="s">
        <v>166</v>
      </c>
    </row>
    <row r="135" spans="1:8" x14ac:dyDescent="0.2">
      <c r="A135" t="s">
        <v>100</v>
      </c>
      <c r="B135">
        <v>0</v>
      </c>
      <c r="C135">
        <v>0</v>
      </c>
      <c r="D135">
        <v>0</v>
      </c>
      <c r="F135" s="35">
        <v>0</v>
      </c>
      <c r="H135" t="s">
        <v>167</v>
      </c>
    </row>
    <row r="136" spans="1:8" x14ac:dyDescent="0.2">
      <c r="A136" t="s">
        <v>100</v>
      </c>
      <c r="B136">
        <v>0</v>
      </c>
      <c r="C136">
        <v>13</v>
      </c>
      <c r="D136">
        <v>0</v>
      </c>
      <c r="F136" s="35">
        <v>0.65</v>
      </c>
      <c r="H136" t="s">
        <v>168</v>
      </c>
    </row>
    <row r="137" spans="1:8" x14ac:dyDescent="0.2">
      <c r="A137" t="s">
        <v>100</v>
      </c>
      <c r="B137">
        <v>0</v>
      </c>
      <c r="C137">
        <v>1</v>
      </c>
      <c r="D137">
        <v>6</v>
      </c>
      <c r="F137" s="35">
        <v>0.08</v>
      </c>
      <c r="H137" t="s">
        <v>169</v>
      </c>
    </row>
    <row r="138" spans="1:8" x14ac:dyDescent="0.2">
      <c r="A138" t="s">
        <v>100</v>
      </c>
      <c r="B138">
        <v>0</v>
      </c>
      <c r="C138">
        <v>4</v>
      </c>
      <c r="D138">
        <v>0</v>
      </c>
      <c r="F138" s="35">
        <v>0.2</v>
      </c>
      <c r="H138" t="s">
        <v>170</v>
      </c>
    </row>
    <row r="139" spans="1:8" x14ac:dyDescent="0.2">
      <c r="A139" t="s">
        <v>100</v>
      </c>
      <c r="B139">
        <v>0</v>
      </c>
      <c r="C139">
        <v>0</v>
      </c>
      <c r="D139">
        <v>0</v>
      </c>
      <c r="F139" s="35">
        <v>0</v>
      </c>
      <c r="H139" t="s">
        <v>171</v>
      </c>
    </row>
    <row r="140" spans="1:8" x14ac:dyDescent="0.2">
      <c r="A140" t="s">
        <v>100</v>
      </c>
      <c r="B140">
        <v>0</v>
      </c>
      <c r="C140">
        <v>5</v>
      </c>
      <c r="D140">
        <v>0</v>
      </c>
      <c r="F140" s="35">
        <v>0.25</v>
      </c>
      <c r="H140" t="s">
        <v>172</v>
      </c>
    </row>
    <row r="141" spans="1:8" x14ac:dyDescent="0.2">
      <c r="A141" t="s">
        <v>100</v>
      </c>
      <c r="B141">
        <v>0</v>
      </c>
      <c r="C141">
        <v>1</v>
      </c>
      <c r="D141">
        <v>0</v>
      </c>
      <c r="F141" s="35">
        <v>0.05</v>
      </c>
      <c r="H141" t="s">
        <v>173</v>
      </c>
    </row>
    <row r="142" spans="1:8" x14ac:dyDescent="0.2">
      <c r="A142" t="s">
        <v>100</v>
      </c>
      <c r="B142">
        <v>0</v>
      </c>
      <c r="C142">
        <v>2</v>
      </c>
      <c r="D142">
        <v>0</v>
      </c>
      <c r="F142" s="35">
        <v>0.1</v>
      </c>
      <c r="H142" t="s">
        <v>174</v>
      </c>
    </row>
    <row r="143" spans="1:8" x14ac:dyDescent="0.2">
      <c r="A143" t="s">
        <v>100</v>
      </c>
      <c r="B143">
        <v>0</v>
      </c>
      <c r="C143">
        <v>2</v>
      </c>
      <c r="D143">
        <v>0</v>
      </c>
      <c r="F143" s="35">
        <v>0.1</v>
      </c>
      <c r="H143" t="s">
        <v>175</v>
      </c>
    </row>
    <row r="144" spans="1:8" x14ac:dyDescent="0.2">
      <c r="A144" t="s">
        <v>100</v>
      </c>
      <c r="B144">
        <v>0</v>
      </c>
      <c r="C144">
        <v>3</v>
      </c>
      <c r="D144">
        <v>0</v>
      </c>
      <c r="F144" s="35">
        <v>0.15</v>
      </c>
      <c r="H144" t="s">
        <v>176</v>
      </c>
    </row>
    <row r="145" spans="1:8" x14ac:dyDescent="0.2">
      <c r="A145" t="s">
        <v>100</v>
      </c>
      <c r="B145">
        <v>0</v>
      </c>
      <c r="C145">
        <v>2</v>
      </c>
      <c r="D145">
        <v>6</v>
      </c>
      <c r="F145" s="35">
        <v>0.12</v>
      </c>
      <c r="H145" t="s">
        <v>177</v>
      </c>
    </row>
    <row r="146" spans="1:8" x14ac:dyDescent="0.2">
      <c r="A146" t="s">
        <v>100</v>
      </c>
      <c r="B146">
        <v>0</v>
      </c>
      <c r="C146">
        <v>2</v>
      </c>
      <c r="D146">
        <v>0</v>
      </c>
      <c r="F146" s="35">
        <v>0.1</v>
      </c>
      <c r="H146" t="s">
        <v>178</v>
      </c>
    </row>
    <row r="147" spans="1:8" x14ac:dyDescent="0.2">
      <c r="A147" t="s">
        <v>100</v>
      </c>
      <c r="B147">
        <v>0</v>
      </c>
      <c r="C147">
        <v>1</v>
      </c>
      <c r="D147">
        <v>8</v>
      </c>
      <c r="F147" s="35">
        <v>0.08</v>
      </c>
      <c r="H147" t="s">
        <v>179</v>
      </c>
    </row>
    <row r="148" spans="1:8" x14ac:dyDescent="0.2">
      <c r="A148" t="s">
        <v>100</v>
      </c>
      <c r="B148">
        <v>0</v>
      </c>
      <c r="C148">
        <v>4</v>
      </c>
      <c r="D148">
        <v>0</v>
      </c>
      <c r="F148" s="35">
        <v>0.2</v>
      </c>
      <c r="H148" t="s">
        <v>180</v>
      </c>
    </row>
    <row r="149" spans="1:8" x14ac:dyDescent="0.2">
      <c r="A149" t="s">
        <v>100</v>
      </c>
      <c r="B149">
        <v>0</v>
      </c>
      <c r="C149">
        <v>4</v>
      </c>
      <c r="D149">
        <v>0</v>
      </c>
      <c r="F149" s="35">
        <v>0.2</v>
      </c>
      <c r="H149" t="s">
        <v>181</v>
      </c>
    </row>
    <row r="150" spans="1:8" x14ac:dyDescent="0.2">
      <c r="A150" t="s">
        <v>100</v>
      </c>
      <c r="B150">
        <v>0</v>
      </c>
      <c r="C150">
        <v>6</v>
      </c>
      <c r="D150">
        <v>8</v>
      </c>
      <c r="F150" s="35">
        <v>0.33</v>
      </c>
      <c r="H150" t="s">
        <v>182</v>
      </c>
    </row>
    <row r="151" spans="1:8" x14ac:dyDescent="0.2">
      <c r="A151" t="s">
        <v>100</v>
      </c>
      <c r="B151">
        <v>0</v>
      </c>
      <c r="C151">
        <v>3</v>
      </c>
      <c r="D151">
        <v>0</v>
      </c>
      <c r="F151" s="35">
        <v>0.15</v>
      </c>
      <c r="H151" t="s">
        <v>183</v>
      </c>
    </row>
    <row r="152" spans="1:8" x14ac:dyDescent="0.2">
      <c r="A152" t="s">
        <v>100</v>
      </c>
      <c r="B152">
        <v>4</v>
      </c>
      <c r="C152">
        <v>11</v>
      </c>
      <c r="D152">
        <v>0</v>
      </c>
      <c r="F152" s="35">
        <v>4.55</v>
      </c>
      <c r="H152" t="s">
        <v>184</v>
      </c>
    </row>
    <row r="153" spans="1:8" x14ac:dyDescent="0.2">
      <c r="A153" t="s">
        <v>100</v>
      </c>
      <c r="B153">
        <v>0</v>
      </c>
      <c r="C153">
        <v>0</v>
      </c>
      <c r="D153">
        <v>0</v>
      </c>
      <c r="F153" s="35">
        <v>0</v>
      </c>
      <c r="H153" t="s">
        <v>185</v>
      </c>
    </row>
    <row r="154" spans="1:8" x14ac:dyDescent="0.2">
      <c r="A154" t="s">
        <v>100</v>
      </c>
      <c r="B154">
        <v>4</v>
      </c>
      <c r="C154">
        <v>16</v>
      </c>
      <c r="D154">
        <v>10.5</v>
      </c>
      <c r="F154" s="35">
        <v>4.84</v>
      </c>
      <c r="H154" t="s">
        <v>186</v>
      </c>
    </row>
    <row r="155" spans="1:8" x14ac:dyDescent="0.2">
      <c r="A155" t="s">
        <v>100</v>
      </c>
      <c r="B155">
        <v>1</v>
      </c>
      <c r="C155">
        <v>5</v>
      </c>
      <c r="D155">
        <v>0</v>
      </c>
      <c r="F155" s="35">
        <v>1.25</v>
      </c>
      <c r="H155" t="s">
        <v>187</v>
      </c>
    </row>
    <row r="156" spans="1:8" x14ac:dyDescent="0.2">
      <c r="A156" t="s">
        <v>100</v>
      </c>
      <c r="B156">
        <v>0</v>
      </c>
      <c r="C156">
        <v>16</v>
      </c>
      <c r="D156">
        <v>8</v>
      </c>
      <c r="F156" s="35">
        <v>0.83</v>
      </c>
      <c r="H156" t="s">
        <v>188</v>
      </c>
    </row>
    <row r="157" spans="1:8" x14ac:dyDescent="0.2">
      <c r="A157" t="s">
        <v>100</v>
      </c>
      <c r="B157">
        <v>0</v>
      </c>
      <c r="C157">
        <v>0</v>
      </c>
      <c r="D157">
        <v>5</v>
      </c>
      <c r="F157" s="35">
        <v>0.02</v>
      </c>
      <c r="H157" t="s">
        <v>189</v>
      </c>
    </row>
    <row r="158" spans="1:8" x14ac:dyDescent="0.2">
      <c r="A158" t="s">
        <v>100</v>
      </c>
      <c r="B158">
        <v>0</v>
      </c>
      <c r="C158">
        <v>3</v>
      </c>
      <c r="D158">
        <v>2</v>
      </c>
      <c r="F158" s="35">
        <v>0.16</v>
      </c>
      <c r="H158" t="s">
        <v>190</v>
      </c>
    </row>
    <row r="159" spans="1:8" x14ac:dyDescent="0.2">
      <c r="A159" t="s">
        <v>100</v>
      </c>
      <c r="B159">
        <v>19</v>
      </c>
      <c r="C159">
        <v>7</v>
      </c>
      <c r="D159">
        <v>7</v>
      </c>
      <c r="F159" s="35">
        <v>19.38</v>
      </c>
      <c r="H159" t="s">
        <v>846</v>
      </c>
    </row>
    <row r="160" spans="1:8" x14ac:dyDescent="0.2">
      <c r="A160" t="s">
        <v>100</v>
      </c>
      <c r="B160">
        <v>77</v>
      </c>
      <c r="C160">
        <v>8</v>
      </c>
      <c r="D160">
        <v>1</v>
      </c>
      <c r="F160" s="35">
        <f>B160+C160/20+D160/240</f>
        <v>77.404166666666669</v>
      </c>
      <c r="H160" t="s">
        <v>847</v>
      </c>
    </row>
    <row r="161" spans="1:8" x14ac:dyDescent="0.2">
      <c r="A161" t="s">
        <v>100</v>
      </c>
      <c r="F161" s="35">
        <v>77.400000000000006</v>
      </c>
      <c r="G161" s="36">
        <f>F161-F160</f>
        <v>-4.1666666666628771E-3</v>
      </c>
      <c r="H161" t="s">
        <v>635</v>
      </c>
    </row>
    <row r="163" spans="1:8" x14ac:dyDescent="0.2">
      <c r="A163" t="s">
        <v>192</v>
      </c>
      <c r="B163">
        <v>22</v>
      </c>
      <c r="C163">
        <v>15</v>
      </c>
      <c r="D163">
        <v>8.5</v>
      </c>
      <c r="F163" s="35">
        <v>22.79</v>
      </c>
      <c r="H163" t="s">
        <v>636</v>
      </c>
    </row>
    <row r="164" spans="1:8" x14ac:dyDescent="0.2">
      <c r="A164" t="s">
        <v>192</v>
      </c>
      <c r="B164">
        <v>0</v>
      </c>
      <c r="C164">
        <v>17</v>
      </c>
      <c r="D164">
        <v>5.75</v>
      </c>
      <c r="F164" s="35">
        <v>0.87</v>
      </c>
      <c r="H164" t="s">
        <v>637</v>
      </c>
    </row>
    <row r="165" spans="1:8" x14ac:dyDescent="0.2">
      <c r="A165" t="s">
        <v>192</v>
      </c>
      <c r="B165">
        <v>1</v>
      </c>
      <c r="C165">
        <v>1</v>
      </c>
      <c r="D165">
        <v>3</v>
      </c>
      <c r="F165" s="35">
        <v>1.06</v>
      </c>
      <c r="H165" t="s">
        <v>638</v>
      </c>
    </row>
    <row r="166" spans="1:8" x14ac:dyDescent="0.2">
      <c r="A166" t="s">
        <v>192</v>
      </c>
      <c r="B166">
        <v>6</v>
      </c>
      <c r="C166">
        <v>13</v>
      </c>
      <c r="D166">
        <v>10</v>
      </c>
      <c r="F166" s="35">
        <v>6.69</v>
      </c>
      <c r="H166" t="s">
        <v>639</v>
      </c>
    </row>
    <row r="167" spans="1:8" x14ac:dyDescent="0.2">
      <c r="A167" t="s">
        <v>192</v>
      </c>
      <c r="B167">
        <v>0</v>
      </c>
      <c r="C167">
        <v>0</v>
      </c>
      <c r="D167">
        <v>8</v>
      </c>
      <c r="F167" s="35">
        <v>0.03</v>
      </c>
      <c r="H167" t="s">
        <v>201</v>
      </c>
    </row>
    <row r="168" spans="1:8" x14ac:dyDescent="0.2">
      <c r="A168" t="s">
        <v>192</v>
      </c>
      <c r="B168">
        <v>0</v>
      </c>
      <c r="C168">
        <v>4</v>
      </c>
      <c r="D168">
        <v>3</v>
      </c>
      <c r="F168" s="35">
        <v>0.21</v>
      </c>
      <c r="H168" t="s">
        <v>640</v>
      </c>
    </row>
    <row r="169" spans="1:8" x14ac:dyDescent="0.2">
      <c r="A169" t="s">
        <v>192</v>
      </c>
      <c r="B169">
        <v>31</v>
      </c>
      <c r="C169">
        <v>13</v>
      </c>
      <c r="D169">
        <v>2.25</v>
      </c>
      <c r="F169" s="35">
        <v>31.66</v>
      </c>
      <c r="H169" t="s">
        <v>205</v>
      </c>
    </row>
    <row r="170" spans="1:8" x14ac:dyDescent="0.2">
      <c r="A170" t="s">
        <v>192</v>
      </c>
      <c r="F170" s="35">
        <f>+F175+F184</f>
        <v>11.514166666666668</v>
      </c>
      <c r="G170" s="36">
        <v>-1.000000000000156E-2</v>
      </c>
      <c r="H170" t="s">
        <v>635</v>
      </c>
    </row>
    <row r="172" spans="1:8" x14ac:dyDescent="0.2">
      <c r="A172" t="s">
        <v>206</v>
      </c>
      <c r="B172">
        <v>0</v>
      </c>
      <c r="C172">
        <v>7</v>
      </c>
      <c r="D172">
        <v>7</v>
      </c>
      <c r="F172" s="35">
        <v>0.38</v>
      </c>
      <c r="H172" t="s">
        <v>641</v>
      </c>
    </row>
    <row r="173" spans="1:8" x14ac:dyDescent="0.2">
      <c r="A173" t="s">
        <v>206</v>
      </c>
      <c r="B173">
        <v>3</v>
      </c>
      <c r="C173">
        <v>3</v>
      </c>
      <c r="D173">
        <v>6</v>
      </c>
      <c r="F173" s="35">
        <v>3.17</v>
      </c>
      <c r="H173" t="s">
        <v>848</v>
      </c>
    </row>
    <row r="174" spans="1:8" x14ac:dyDescent="0.2">
      <c r="A174" t="s">
        <v>206</v>
      </c>
      <c r="B174">
        <v>3</v>
      </c>
      <c r="C174">
        <v>11</v>
      </c>
      <c r="D174">
        <v>1</v>
      </c>
      <c r="F174" s="35">
        <f>B174+C174/20+D174/240</f>
        <v>3.5541666666666667</v>
      </c>
      <c r="H174" t="s">
        <v>849</v>
      </c>
    </row>
    <row r="175" spans="1:8" x14ac:dyDescent="0.2">
      <c r="A175" t="s">
        <v>206</v>
      </c>
      <c r="F175" s="35">
        <v>3.55</v>
      </c>
      <c r="G175" s="36">
        <f>F175-F174</f>
        <v>-4.1666666666668739E-3</v>
      </c>
      <c r="H175" t="s">
        <v>635</v>
      </c>
    </row>
    <row r="177" spans="1:8" x14ac:dyDescent="0.2">
      <c r="A177" t="s">
        <v>210</v>
      </c>
      <c r="B177">
        <v>0</v>
      </c>
      <c r="C177">
        <v>6</v>
      </c>
      <c r="D177">
        <v>3</v>
      </c>
      <c r="F177" s="35">
        <v>0.31</v>
      </c>
      <c r="H177" t="s">
        <v>642</v>
      </c>
    </row>
    <row r="178" spans="1:8" x14ac:dyDescent="0.2">
      <c r="A178" t="s">
        <v>210</v>
      </c>
      <c r="B178">
        <v>0</v>
      </c>
      <c r="C178">
        <v>9</v>
      </c>
      <c r="D178">
        <v>1</v>
      </c>
      <c r="F178" s="35">
        <v>0.45</v>
      </c>
      <c r="H178" t="s">
        <v>643</v>
      </c>
    </row>
    <row r="179" spans="1:8" x14ac:dyDescent="0.2">
      <c r="A179" t="s">
        <v>210</v>
      </c>
      <c r="B179">
        <v>1</v>
      </c>
      <c r="C179">
        <v>12</v>
      </c>
      <c r="D179">
        <v>4</v>
      </c>
      <c r="F179" s="35">
        <v>1.62</v>
      </c>
      <c r="H179" t="s">
        <v>644</v>
      </c>
    </row>
    <row r="180" spans="1:8" x14ac:dyDescent="0.2">
      <c r="A180" t="s">
        <v>210</v>
      </c>
      <c r="B180">
        <v>1</v>
      </c>
      <c r="C180">
        <v>13</v>
      </c>
      <c r="D180">
        <v>8</v>
      </c>
      <c r="F180" s="35">
        <v>1.68</v>
      </c>
      <c r="H180" t="s">
        <v>645</v>
      </c>
    </row>
    <row r="181" spans="1:8" x14ac:dyDescent="0.2">
      <c r="A181" t="s">
        <v>210</v>
      </c>
      <c r="B181">
        <v>0</v>
      </c>
      <c r="C181">
        <v>6</v>
      </c>
      <c r="D181">
        <v>8</v>
      </c>
      <c r="F181">
        <f>B181+C181/20+D181/240</f>
        <v>0.33333333333333331</v>
      </c>
      <c r="H181" t="s">
        <v>851</v>
      </c>
    </row>
    <row r="182" spans="1:8" x14ac:dyDescent="0.2">
      <c r="A182" t="s">
        <v>210</v>
      </c>
      <c r="B182">
        <v>4</v>
      </c>
      <c r="C182">
        <v>8</v>
      </c>
      <c r="D182">
        <v>1.5</v>
      </c>
      <c r="F182" s="35">
        <v>4.41</v>
      </c>
      <c r="H182" t="s">
        <v>852</v>
      </c>
    </row>
    <row r="183" spans="1:8" x14ac:dyDescent="0.2">
      <c r="A183" t="s">
        <v>210</v>
      </c>
      <c r="B183">
        <v>7</v>
      </c>
      <c r="C183">
        <v>19</v>
      </c>
      <c r="D183">
        <v>2.5</v>
      </c>
      <c r="F183" s="35">
        <f>B183+C183/20+D183/240</f>
        <v>7.9604166666666671</v>
      </c>
      <c r="H183" t="s">
        <v>850</v>
      </c>
    </row>
    <row r="184" spans="1:8" x14ac:dyDescent="0.2">
      <c r="A184" t="s">
        <v>210</v>
      </c>
      <c r="F184" s="35">
        <f>F182+F174</f>
        <v>7.9641666666666673</v>
      </c>
      <c r="G184" s="36">
        <f>F184-F183</f>
        <v>3.7500000000001421E-3</v>
      </c>
      <c r="H184" t="s">
        <v>635</v>
      </c>
    </row>
    <row r="187" spans="1:8" x14ac:dyDescent="0.2">
      <c r="A187" t="s">
        <v>217</v>
      </c>
      <c r="B187">
        <v>0</v>
      </c>
      <c r="C187">
        <v>10</v>
      </c>
      <c r="D187">
        <v>0</v>
      </c>
      <c r="F187" s="35">
        <v>0.5</v>
      </c>
      <c r="H187" t="s">
        <v>218</v>
      </c>
    </row>
    <row r="188" spans="1:8" x14ac:dyDescent="0.2">
      <c r="A188" t="s">
        <v>217</v>
      </c>
      <c r="B188">
        <v>0</v>
      </c>
      <c r="C188">
        <v>4</v>
      </c>
      <c r="D188">
        <v>0</v>
      </c>
      <c r="F188" s="35">
        <v>0.2</v>
      </c>
      <c r="H188" t="s">
        <v>219</v>
      </c>
    </row>
    <row r="189" spans="1:8" x14ac:dyDescent="0.2">
      <c r="A189" t="s">
        <v>217</v>
      </c>
      <c r="B189">
        <v>0</v>
      </c>
      <c r="C189">
        <v>4</v>
      </c>
      <c r="D189">
        <v>0</v>
      </c>
      <c r="F189" s="35">
        <v>0.2</v>
      </c>
      <c r="H189" t="s">
        <v>220</v>
      </c>
    </row>
    <row r="190" spans="1:8" x14ac:dyDescent="0.2">
      <c r="A190" t="s">
        <v>217</v>
      </c>
      <c r="B190">
        <v>0</v>
      </c>
      <c r="C190">
        <v>1</v>
      </c>
      <c r="D190">
        <v>6</v>
      </c>
      <c r="F190" s="35">
        <v>0.08</v>
      </c>
      <c r="H190" t="s">
        <v>221</v>
      </c>
    </row>
    <row r="191" spans="1:8" x14ac:dyDescent="0.2">
      <c r="A191" t="s">
        <v>217</v>
      </c>
      <c r="B191">
        <v>0</v>
      </c>
      <c r="C191">
        <v>4</v>
      </c>
      <c r="D191">
        <v>0</v>
      </c>
      <c r="F191" s="35">
        <v>0.2</v>
      </c>
      <c r="H191" t="s">
        <v>222</v>
      </c>
    </row>
    <row r="192" spans="1:8" x14ac:dyDescent="0.2">
      <c r="A192" t="s">
        <v>217</v>
      </c>
      <c r="B192">
        <v>0</v>
      </c>
      <c r="C192">
        <v>3</v>
      </c>
      <c r="D192">
        <v>0</v>
      </c>
      <c r="F192" s="35">
        <v>0.15</v>
      </c>
      <c r="H192" t="s">
        <v>223</v>
      </c>
    </row>
    <row r="193" spans="1:8" x14ac:dyDescent="0.2">
      <c r="A193" t="s">
        <v>217</v>
      </c>
      <c r="B193">
        <v>0</v>
      </c>
      <c r="C193">
        <v>2</v>
      </c>
      <c r="D193">
        <v>6</v>
      </c>
      <c r="F193" s="35">
        <v>0.12</v>
      </c>
      <c r="H193" t="s">
        <v>224</v>
      </c>
    </row>
    <row r="194" spans="1:8" x14ac:dyDescent="0.2">
      <c r="A194" t="s">
        <v>217</v>
      </c>
      <c r="B194">
        <v>0</v>
      </c>
      <c r="C194">
        <v>3</v>
      </c>
      <c r="D194">
        <v>0</v>
      </c>
      <c r="F194" s="35">
        <v>0.15</v>
      </c>
      <c r="H194" t="s">
        <v>225</v>
      </c>
    </row>
    <row r="195" spans="1:8" x14ac:dyDescent="0.2">
      <c r="A195" t="s">
        <v>217</v>
      </c>
      <c r="B195">
        <v>0</v>
      </c>
      <c r="C195">
        <v>3</v>
      </c>
      <c r="D195">
        <v>0</v>
      </c>
      <c r="F195" s="35">
        <v>0.15</v>
      </c>
      <c r="H195" t="s">
        <v>226</v>
      </c>
    </row>
    <row r="196" spans="1:8" x14ac:dyDescent="0.2">
      <c r="A196" t="s">
        <v>217</v>
      </c>
      <c r="B196">
        <v>0</v>
      </c>
      <c r="C196">
        <v>3</v>
      </c>
      <c r="D196">
        <v>0</v>
      </c>
      <c r="F196" s="35">
        <v>0.15</v>
      </c>
      <c r="H196" t="s">
        <v>227</v>
      </c>
    </row>
    <row r="197" spans="1:8" x14ac:dyDescent="0.2">
      <c r="A197" t="s">
        <v>217</v>
      </c>
      <c r="B197">
        <v>1</v>
      </c>
      <c r="C197">
        <v>18</v>
      </c>
      <c r="D197">
        <v>0</v>
      </c>
      <c r="F197" s="35">
        <v>1.9</v>
      </c>
      <c r="H197" t="s">
        <v>228</v>
      </c>
    </row>
    <row r="198" spans="1:8" x14ac:dyDescent="0.2">
      <c r="A198" t="s">
        <v>217</v>
      </c>
      <c r="B198">
        <v>0</v>
      </c>
      <c r="C198">
        <v>6</v>
      </c>
      <c r="D198">
        <v>8</v>
      </c>
      <c r="F198" s="35">
        <v>0.33</v>
      </c>
      <c r="H198" t="s">
        <v>229</v>
      </c>
    </row>
    <row r="199" spans="1:8" x14ac:dyDescent="0.2">
      <c r="A199" t="s">
        <v>217</v>
      </c>
      <c r="B199">
        <v>0</v>
      </c>
      <c r="C199">
        <v>2</v>
      </c>
      <c r="D199">
        <v>0</v>
      </c>
      <c r="F199" s="35">
        <v>0.1</v>
      </c>
      <c r="H199" t="s">
        <v>230</v>
      </c>
    </row>
    <row r="200" spans="1:8" x14ac:dyDescent="0.2">
      <c r="A200" t="s">
        <v>217</v>
      </c>
      <c r="B200">
        <v>0</v>
      </c>
      <c r="C200">
        <v>13</v>
      </c>
      <c r="D200">
        <v>4</v>
      </c>
      <c r="F200" s="35">
        <v>0.67</v>
      </c>
      <c r="H200" t="s">
        <v>231</v>
      </c>
    </row>
    <row r="201" spans="1:8" x14ac:dyDescent="0.2">
      <c r="A201" t="s">
        <v>217</v>
      </c>
      <c r="B201">
        <v>0</v>
      </c>
      <c r="C201">
        <v>2</v>
      </c>
      <c r="D201">
        <v>0</v>
      </c>
      <c r="F201" s="35">
        <v>0.1</v>
      </c>
      <c r="H201" t="s">
        <v>232</v>
      </c>
    </row>
    <row r="202" spans="1:8" x14ac:dyDescent="0.2">
      <c r="A202" t="s">
        <v>217</v>
      </c>
      <c r="B202">
        <v>0</v>
      </c>
      <c r="C202">
        <v>1</v>
      </c>
      <c r="D202">
        <v>0</v>
      </c>
      <c r="F202" s="35">
        <v>0.05</v>
      </c>
      <c r="H202" t="s">
        <v>233</v>
      </c>
    </row>
    <row r="203" spans="1:8" x14ac:dyDescent="0.2">
      <c r="A203" t="s">
        <v>217</v>
      </c>
      <c r="B203">
        <v>9</v>
      </c>
      <c r="C203">
        <v>0</v>
      </c>
      <c r="D203">
        <v>0</v>
      </c>
      <c r="F203" s="35">
        <v>9</v>
      </c>
      <c r="H203" t="s">
        <v>234</v>
      </c>
    </row>
    <row r="204" spans="1:8" x14ac:dyDescent="0.2">
      <c r="A204" t="s">
        <v>217</v>
      </c>
      <c r="B204">
        <v>0</v>
      </c>
      <c r="C204">
        <v>2</v>
      </c>
      <c r="D204">
        <v>0</v>
      </c>
      <c r="F204" s="35">
        <v>0.1</v>
      </c>
      <c r="H204" t="s">
        <v>235</v>
      </c>
    </row>
    <row r="205" spans="1:8" x14ac:dyDescent="0.2">
      <c r="A205" t="s">
        <v>217</v>
      </c>
      <c r="B205">
        <v>0</v>
      </c>
      <c r="C205">
        <v>6</v>
      </c>
      <c r="D205">
        <v>8</v>
      </c>
      <c r="F205" s="35">
        <v>0.33</v>
      </c>
      <c r="H205" t="s">
        <v>236</v>
      </c>
    </row>
    <row r="206" spans="1:8" x14ac:dyDescent="0.2">
      <c r="A206" t="s">
        <v>217</v>
      </c>
      <c r="B206">
        <v>0</v>
      </c>
      <c r="C206">
        <v>4</v>
      </c>
      <c r="D206">
        <v>0</v>
      </c>
      <c r="F206" s="35">
        <v>0.2</v>
      </c>
      <c r="H206" t="s">
        <v>237</v>
      </c>
    </row>
    <row r="207" spans="1:8" x14ac:dyDescent="0.2">
      <c r="A207" t="s">
        <v>217</v>
      </c>
      <c r="B207">
        <v>0</v>
      </c>
      <c r="C207">
        <v>6</v>
      </c>
      <c r="D207">
        <v>8</v>
      </c>
      <c r="F207" s="35">
        <v>0.33</v>
      </c>
      <c r="H207" t="s">
        <v>238</v>
      </c>
    </row>
    <row r="208" spans="1:8" x14ac:dyDescent="0.2">
      <c r="A208" t="s">
        <v>217</v>
      </c>
      <c r="B208">
        <v>0</v>
      </c>
      <c r="C208">
        <v>0</v>
      </c>
      <c r="D208">
        <v>0</v>
      </c>
      <c r="F208" s="35">
        <v>0</v>
      </c>
      <c r="H208" t="s">
        <v>239</v>
      </c>
    </row>
    <row r="209" spans="1:8" x14ac:dyDescent="0.2">
      <c r="A209" t="s">
        <v>217</v>
      </c>
      <c r="B209">
        <v>0</v>
      </c>
      <c r="C209">
        <v>1</v>
      </c>
      <c r="D209">
        <v>0</v>
      </c>
      <c r="F209" s="35">
        <v>0.05</v>
      </c>
      <c r="H209" t="s">
        <v>240</v>
      </c>
    </row>
    <row r="210" spans="1:8" x14ac:dyDescent="0.2">
      <c r="A210" t="s">
        <v>217</v>
      </c>
      <c r="B210">
        <v>0</v>
      </c>
      <c r="C210">
        <v>1</v>
      </c>
      <c r="D210">
        <v>0</v>
      </c>
      <c r="F210" s="35">
        <v>0.05</v>
      </c>
      <c r="H210" t="s">
        <v>241</v>
      </c>
    </row>
    <row r="211" spans="1:8" x14ac:dyDescent="0.2">
      <c r="A211" t="s">
        <v>217</v>
      </c>
      <c r="B211">
        <v>0</v>
      </c>
      <c r="C211">
        <v>2</v>
      </c>
      <c r="D211">
        <v>0</v>
      </c>
      <c r="F211" s="35">
        <v>0.1</v>
      </c>
      <c r="H211" t="s">
        <v>242</v>
      </c>
    </row>
    <row r="212" spans="1:8" x14ac:dyDescent="0.2">
      <c r="A212" t="s">
        <v>217</v>
      </c>
      <c r="B212">
        <v>0</v>
      </c>
      <c r="C212">
        <v>1</v>
      </c>
      <c r="D212">
        <v>0</v>
      </c>
      <c r="F212" s="35">
        <v>0.05</v>
      </c>
      <c r="H212" t="s">
        <v>243</v>
      </c>
    </row>
    <row r="213" spans="1:8" x14ac:dyDescent="0.2">
      <c r="A213" t="s">
        <v>217</v>
      </c>
      <c r="B213">
        <v>0</v>
      </c>
      <c r="C213">
        <v>13</v>
      </c>
      <c r="D213">
        <v>4</v>
      </c>
      <c r="F213" s="35">
        <v>0.67</v>
      </c>
      <c r="H213" t="s">
        <v>244</v>
      </c>
    </row>
    <row r="214" spans="1:8" x14ac:dyDescent="0.2">
      <c r="A214" t="s">
        <v>217</v>
      </c>
      <c r="B214">
        <v>1</v>
      </c>
      <c r="C214">
        <v>6</v>
      </c>
      <c r="D214">
        <v>8</v>
      </c>
      <c r="F214" s="35">
        <v>1.33</v>
      </c>
      <c r="H214" t="s">
        <v>245</v>
      </c>
    </row>
    <row r="215" spans="1:8" x14ac:dyDescent="0.2">
      <c r="A215" t="s">
        <v>217</v>
      </c>
      <c r="B215">
        <v>1</v>
      </c>
      <c r="C215">
        <v>0</v>
      </c>
      <c r="D215">
        <v>0</v>
      </c>
      <c r="F215" s="35">
        <v>1</v>
      </c>
      <c r="H215" t="s">
        <v>246</v>
      </c>
    </row>
    <row r="216" spans="1:8" x14ac:dyDescent="0.2">
      <c r="A216" t="s">
        <v>217</v>
      </c>
      <c r="B216">
        <v>1</v>
      </c>
      <c r="C216">
        <v>0</v>
      </c>
      <c r="D216">
        <v>0</v>
      </c>
      <c r="F216" s="35">
        <v>1</v>
      </c>
      <c r="H216" t="s">
        <v>247</v>
      </c>
    </row>
    <row r="217" spans="1:8" x14ac:dyDescent="0.2">
      <c r="A217" t="s">
        <v>217</v>
      </c>
      <c r="B217">
        <v>5</v>
      </c>
      <c r="C217">
        <v>0</v>
      </c>
      <c r="D217">
        <v>0</v>
      </c>
      <c r="F217" s="35">
        <v>5</v>
      </c>
      <c r="H217" t="s">
        <v>248</v>
      </c>
    </row>
    <row r="218" spans="1:8" x14ac:dyDescent="0.2">
      <c r="A218" t="s">
        <v>217</v>
      </c>
      <c r="B218">
        <v>0</v>
      </c>
      <c r="C218">
        <v>2</v>
      </c>
      <c r="D218">
        <v>0</v>
      </c>
      <c r="F218" s="35">
        <v>0.1</v>
      </c>
      <c r="H218" t="s">
        <v>249</v>
      </c>
    </row>
    <row r="219" spans="1:8" x14ac:dyDescent="0.2">
      <c r="A219" t="s">
        <v>217</v>
      </c>
      <c r="B219">
        <v>0</v>
      </c>
      <c r="C219">
        <v>2</v>
      </c>
      <c r="D219">
        <v>0</v>
      </c>
      <c r="F219" s="35">
        <v>0.1</v>
      </c>
      <c r="H219" t="s">
        <v>250</v>
      </c>
    </row>
    <row r="220" spans="1:8" x14ac:dyDescent="0.2">
      <c r="A220" t="s">
        <v>217</v>
      </c>
      <c r="B220">
        <v>0</v>
      </c>
      <c r="C220">
        <v>2</v>
      </c>
      <c r="D220">
        <v>0</v>
      </c>
      <c r="F220" s="35">
        <v>0.1</v>
      </c>
      <c r="H220" t="s">
        <v>251</v>
      </c>
    </row>
    <row r="221" spans="1:8" x14ac:dyDescent="0.2">
      <c r="A221" t="s">
        <v>217</v>
      </c>
      <c r="B221">
        <v>0</v>
      </c>
      <c r="C221">
        <v>2</v>
      </c>
      <c r="D221">
        <v>0</v>
      </c>
      <c r="F221" s="35">
        <v>0.1</v>
      </c>
      <c r="H221" t="s">
        <v>252</v>
      </c>
    </row>
    <row r="222" spans="1:8" x14ac:dyDescent="0.2">
      <c r="A222" t="s">
        <v>217</v>
      </c>
      <c r="B222">
        <v>0</v>
      </c>
      <c r="C222">
        <v>3</v>
      </c>
      <c r="D222">
        <v>0</v>
      </c>
      <c r="F222" s="35">
        <v>0.15</v>
      </c>
      <c r="H222" t="s">
        <v>253</v>
      </c>
    </row>
    <row r="223" spans="1:8" x14ac:dyDescent="0.2">
      <c r="A223" t="s">
        <v>217</v>
      </c>
      <c r="B223">
        <v>25</v>
      </c>
      <c r="C223">
        <v>3</v>
      </c>
      <c r="D223">
        <v>4</v>
      </c>
      <c r="F223" s="35">
        <v>25.17</v>
      </c>
      <c r="H223" t="s">
        <v>254</v>
      </c>
    </row>
    <row r="224" spans="1:8" x14ac:dyDescent="0.2">
      <c r="A224" t="s">
        <v>217</v>
      </c>
      <c r="F224" s="35">
        <v>24.81</v>
      </c>
      <c r="G224" s="36">
        <v>-0.36000000000000298</v>
      </c>
      <c r="H224" t="s">
        <v>635</v>
      </c>
    </row>
    <row r="226" spans="1:8" x14ac:dyDescent="0.2">
      <c r="A226" t="s">
        <v>255</v>
      </c>
      <c r="B226">
        <v>0</v>
      </c>
      <c r="C226">
        <v>3</v>
      </c>
      <c r="D226">
        <v>0</v>
      </c>
      <c r="F226" s="35">
        <v>0.15</v>
      </c>
      <c r="H226" t="s">
        <v>256</v>
      </c>
    </row>
    <row r="227" spans="1:8" x14ac:dyDescent="0.2">
      <c r="A227" t="s">
        <v>255</v>
      </c>
      <c r="B227">
        <v>2</v>
      </c>
      <c r="C227">
        <v>0</v>
      </c>
      <c r="D227">
        <v>0</v>
      </c>
      <c r="F227" s="35">
        <v>2</v>
      </c>
      <c r="H227" t="s">
        <v>257</v>
      </c>
    </row>
    <row r="228" spans="1:8" x14ac:dyDescent="0.2">
      <c r="A228" t="s">
        <v>255</v>
      </c>
      <c r="B228">
        <v>1</v>
      </c>
      <c r="C228">
        <v>0</v>
      </c>
      <c r="D228">
        <v>0</v>
      </c>
      <c r="F228" s="35">
        <v>1</v>
      </c>
      <c r="H228" t="s">
        <v>258</v>
      </c>
    </row>
    <row r="229" spans="1:8" x14ac:dyDescent="0.2">
      <c r="A229" t="s">
        <v>255</v>
      </c>
      <c r="B229">
        <v>0</v>
      </c>
      <c r="C229">
        <v>2</v>
      </c>
      <c r="D229">
        <v>0</v>
      </c>
      <c r="F229" s="35">
        <v>0.1</v>
      </c>
      <c r="H229" t="s">
        <v>259</v>
      </c>
    </row>
    <row r="230" spans="1:8" x14ac:dyDescent="0.2">
      <c r="A230" t="s">
        <v>255</v>
      </c>
      <c r="B230">
        <v>0</v>
      </c>
      <c r="C230">
        <v>6</v>
      </c>
      <c r="D230">
        <v>8</v>
      </c>
      <c r="F230" s="35">
        <v>0.33</v>
      </c>
      <c r="H230" t="s">
        <v>260</v>
      </c>
    </row>
    <row r="231" spans="1:8" x14ac:dyDescent="0.2">
      <c r="A231" t="s">
        <v>255</v>
      </c>
      <c r="B231">
        <v>0</v>
      </c>
      <c r="C231">
        <v>2</v>
      </c>
      <c r="D231">
        <v>0</v>
      </c>
      <c r="F231" s="35">
        <v>0.1</v>
      </c>
      <c r="H231" t="s">
        <v>261</v>
      </c>
    </row>
    <row r="232" spans="1:8" x14ac:dyDescent="0.2">
      <c r="A232" t="s">
        <v>255</v>
      </c>
      <c r="B232">
        <v>0</v>
      </c>
      <c r="C232">
        <v>2</v>
      </c>
      <c r="D232">
        <v>0</v>
      </c>
      <c r="F232" s="35">
        <v>0.1</v>
      </c>
      <c r="H232" t="s">
        <v>262</v>
      </c>
    </row>
    <row r="233" spans="1:8" x14ac:dyDescent="0.2">
      <c r="A233" t="s">
        <v>255</v>
      </c>
      <c r="B233">
        <v>0</v>
      </c>
      <c r="C233">
        <v>2</v>
      </c>
      <c r="D233">
        <v>0</v>
      </c>
      <c r="F233" s="35">
        <v>0.1</v>
      </c>
      <c r="H233" t="s">
        <v>263</v>
      </c>
    </row>
    <row r="234" spans="1:8" x14ac:dyDescent="0.2">
      <c r="A234" t="s">
        <v>255</v>
      </c>
      <c r="B234">
        <v>0</v>
      </c>
      <c r="C234">
        <v>2</v>
      </c>
      <c r="D234">
        <v>0</v>
      </c>
      <c r="F234" s="35">
        <v>0.1</v>
      </c>
      <c r="H234" t="s">
        <v>264</v>
      </c>
    </row>
    <row r="235" spans="1:8" x14ac:dyDescent="0.2">
      <c r="A235" t="s">
        <v>255</v>
      </c>
      <c r="B235">
        <v>0</v>
      </c>
      <c r="C235">
        <v>2</v>
      </c>
      <c r="D235">
        <v>0</v>
      </c>
      <c r="F235" s="35">
        <v>0.1</v>
      </c>
      <c r="H235" t="s">
        <v>265</v>
      </c>
    </row>
    <row r="236" spans="1:8" x14ac:dyDescent="0.2">
      <c r="A236" t="s">
        <v>255</v>
      </c>
      <c r="B236">
        <v>0</v>
      </c>
      <c r="C236">
        <v>2</v>
      </c>
      <c r="D236">
        <v>0</v>
      </c>
      <c r="F236" s="35">
        <v>0.1</v>
      </c>
      <c r="H236" t="s">
        <v>266</v>
      </c>
    </row>
    <row r="237" spans="1:8" x14ac:dyDescent="0.2">
      <c r="A237" t="s">
        <v>255</v>
      </c>
      <c r="B237">
        <v>0</v>
      </c>
      <c r="C237">
        <v>2</v>
      </c>
      <c r="D237">
        <v>0</v>
      </c>
      <c r="F237" s="35">
        <v>0.1</v>
      </c>
      <c r="H237" t="s">
        <v>267</v>
      </c>
    </row>
    <row r="238" spans="1:8" x14ac:dyDescent="0.2">
      <c r="A238" t="s">
        <v>255</v>
      </c>
      <c r="B238">
        <v>0</v>
      </c>
      <c r="C238">
        <v>6</v>
      </c>
      <c r="D238">
        <v>8</v>
      </c>
      <c r="F238" s="35">
        <v>0.33</v>
      </c>
      <c r="H238" t="s">
        <v>268</v>
      </c>
    </row>
    <row r="239" spans="1:8" x14ac:dyDescent="0.2">
      <c r="A239" t="s">
        <v>255</v>
      </c>
      <c r="B239">
        <v>0</v>
      </c>
      <c r="C239">
        <v>6</v>
      </c>
      <c r="D239">
        <v>8</v>
      </c>
      <c r="F239" s="35">
        <v>0.33</v>
      </c>
      <c r="H239" t="s">
        <v>269</v>
      </c>
    </row>
    <row r="240" spans="1:8" x14ac:dyDescent="0.2">
      <c r="A240" t="s">
        <v>255</v>
      </c>
      <c r="B240">
        <v>0</v>
      </c>
      <c r="C240">
        <v>2</v>
      </c>
      <c r="D240">
        <v>0</v>
      </c>
      <c r="F240" s="35">
        <v>0.1</v>
      </c>
      <c r="H240" t="s">
        <v>270</v>
      </c>
    </row>
    <row r="241" spans="1:8" x14ac:dyDescent="0.2">
      <c r="A241" t="s">
        <v>255</v>
      </c>
      <c r="B241">
        <v>0</v>
      </c>
      <c r="C241">
        <v>2</v>
      </c>
      <c r="D241">
        <v>0</v>
      </c>
      <c r="F241" s="35">
        <v>0.1</v>
      </c>
      <c r="H241" t="s">
        <v>271</v>
      </c>
    </row>
    <row r="242" spans="1:8" x14ac:dyDescent="0.2">
      <c r="A242" t="s">
        <v>255</v>
      </c>
      <c r="B242">
        <v>7</v>
      </c>
      <c r="C242">
        <v>10</v>
      </c>
      <c r="D242">
        <v>9</v>
      </c>
      <c r="F242" s="35">
        <v>7.54</v>
      </c>
      <c r="H242" t="s">
        <v>272</v>
      </c>
    </row>
    <row r="243" spans="1:8" x14ac:dyDescent="0.2">
      <c r="A243" t="s">
        <v>255</v>
      </c>
      <c r="B243">
        <v>1</v>
      </c>
      <c r="C243">
        <v>0</v>
      </c>
      <c r="D243">
        <v>0</v>
      </c>
      <c r="F243" s="35">
        <v>1</v>
      </c>
      <c r="H243" t="s">
        <v>273</v>
      </c>
    </row>
    <row r="244" spans="1:8" x14ac:dyDescent="0.2">
      <c r="A244" t="s">
        <v>255</v>
      </c>
      <c r="B244">
        <v>13</v>
      </c>
      <c r="C244">
        <v>13</v>
      </c>
      <c r="D244">
        <v>9</v>
      </c>
      <c r="F244" s="35">
        <v>13.69</v>
      </c>
      <c r="H244" t="s">
        <v>274</v>
      </c>
    </row>
    <row r="246" spans="1:8" x14ac:dyDescent="0.2">
      <c r="A246" t="s">
        <v>976</v>
      </c>
      <c r="B246">
        <v>38</v>
      </c>
      <c r="C246">
        <v>17</v>
      </c>
      <c r="D246">
        <v>1</v>
      </c>
      <c r="F246" s="35">
        <v>38.85</v>
      </c>
      <c r="H246" t="s">
        <v>275</v>
      </c>
    </row>
    <row r="247" spans="1:8" x14ac:dyDescent="0.2">
      <c r="A247" t="s">
        <v>976</v>
      </c>
      <c r="F247" s="35">
        <f>F244+F224</f>
        <v>38.5</v>
      </c>
      <c r="G247" s="36">
        <f>F247-F246</f>
        <v>-0.35000000000000142</v>
      </c>
      <c r="H247" t="s">
        <v>635</v>
      </c>
    </row>
    <row r="250" spans="1:8" x14ac:dyDescent="0.2">
      <c r="A250" s="65" t="s">
        <v>973</v>
      </c>
      <c r="B250">
        <v>230</v>
      </c>
      <c r="C250">
        <v>3</v>
      </c>
      <c r="D250">
        <v>10.25</v>
      </c>
      <c r="F250" s="35">
        <v>230.19</v>
      </c>
      <c r="H250" t="s">
        <v>277</v>
      </c>
    </row>
    <row r="251" spans="1:8" ht="16" x14ac:dyDescent="0.2">
      <c r="A251" s="75" t="s">
        <v>974</v>
      </c>
      <c r="F251" s="35">
        <f>F244+F224+F184+F175+F170+F161+F67+F53+F49+F39</f>
        <v>210.17833333333334</v>
      </c>
      <c r="G251" s="36">
        <f>F251-F250</f>
        <v>-20.011666666666656</v>
      </c>
    </row>
    <row r="252" spans="1:8" ht="16" x14ac:dyDescent="0.2">
      <c r="A252" s="75" t="s">
        <v>975</v>
      </c>
      <c r="F252" s="35">
        <f>F251+F5</f>
        <v>282.08833333333337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66"/>
  <sheetViews>
    <sheetView zoomScale="125" workbookViewId="0">
      <pane xSplit="1" ySplit="2" topLeftCell="B150" activePane="bottomRight" state="frozen"/>
      <selection pane="topRight" activeCell="B1" sqref="B1"/>
      <selection pane="bottomLeft" activeCell="A3" sqref="A3"/>
      <selection pane="bottomRight" activeCell="F167" sqref="F167"/>
    </sheetView>
  </sheetViews>
  <sheetFormatPr baseColWidth="10" defaultColWidth="8.83203125" defaultRowHeight="15" x14ac:dyDescent="0.2"/>
  <cols>
    <col min="1" max="1" width="33.1640625" bestFit="1" customWidth="1"/>
    <col min="6" max="6" width="8.83203125" style="35"/>
    <col min="7" max="7" width="8.83203125" style="46"/>
    <col min="8" max="8" width="39" customWidth="1"/>
    <col min="9" max="9" width="8.83203125" customWidth="1"/>
    <col min="10" max="10" width="16.6640625" customWidth="1"/>
    <col min="11" max="11" width="21.5" customWidth="1"/>
  </cols>
  <sheetData>
    <row r="1" spans="1:11" ht="16" x14ac:dyDescent="0.2">
      <c r="A1" s="39" t="s">
        <v>853</v>
      </c>
    </row>
    <row r="2" spans="1:11" ht="34" x14ac:dyDescent="0.2">
      <c r="A2" s="40" t="s">
        <v>0</v>
      </c>
      <c r="B2" s="41" t="s">
        <v>840</v>
      </c>
      <c r="C2" s="42" t="s">
        <v>841</v>
      </c>
      <c r="D2" s="42" t="s">
        <v>842</v>
      </c>
      <c r="E2" s="43"/>
      <c r="F2" s="44" t="s">
        <v>837</v>
      </c>
      <c r="G2" s="45" t="s">
        <v>634</v>
      </c>
      <c r="H2" s="40" t="s">
        <v>843</v>
      </c>
      <c r="J2" s="76" t="s">
        <v>977</v>
      </c>
      <c r="K2" s="76" t="s">
        <v>978</v>
      </c>
    </row>
    <row r="3" spans="1:11" x14ac:dyDescent="0.2">
      <c r="A3" t="s">
        <v>278</v>
      </c>
      <c r="B3">
        <v>0</v>
      </c>
      <c r="C3">
        <v>9</v>
      </c>
      <c r="D3">
        <v>10</v>
      </c>
      <c r="F3" s="35">
        <f>B3+C3/20+D3/240</f>
        <v>0.4916666666666667</v>
      </c>
      <c r="H3" t="s">
        <v>856</v>
      </c>
      <c r="J3" s="35">
        <f>F3</f>
        <v>0.4916666666666667</v>
      </c>
      <c r="K3" s="35">
        <f>J3</f>
        <v>0.4916666666666667</v>
      </c>
    </row>
    <row r="4" spans="1:11" x14ac:dyDescent="0.2">
      <c r="A4" t="s">
        <v>278</v>
      </c>
      <c r="B4">
        <v>0</v>
      </c>
      <c r="C4">
        <v>0</v>
      </c>
      <c r="D4">
        <v>8</v>
      </c>
      <c r="F4" s="35">
        <v>0.03</v>
      </c>
      <c r="H4" t="s">
        <v>280</v>
      </c>
      <c r="J4" s="35">
        <f t="shared" ref="J4:J12" si="0">F4</f>
        <v>0.03</v>
      </c>
      <c r="K4" s="35">
        <f t="shared" ref="K4:K12" si="1">J4</f>
        <v>0.03</v>
      </c>
    </row>
    <row r="5" spans="1:11" x14ac:dyDescent="0.2">
      <c r="A5" t="s">
        <v>278</v>
      </c>
      <c r="B5">
        <v>0</v>
      </c>
      <c r="C5">
        <v>1</v>
      </c>
      <c r="D5">
        <v>4</v>
      </c>
      <c r="F5" s="35">
        <v>7.0000000000000007E-2</v>
      </c>
      <c r="H5" t="s">
        <v>281</v>
      </c>
      <c r="J5" s="35">
        <f t="shared" si="0"/>
        <v>7.0000000000000007E-2</v>
      </c>
      <c r="K5" s="35">
        <f t="shared" si="1"/>
        <v>7.0000000000000007E-2</v>
      </c>
    </row>
    <row r="6" spans="1:11" x14ac:dyDescent="0.2">
      <c r="A6" t="s">
        <v>278</v>
      </c>
      <c r="B6">
        <v>0</v>
      </c>
      <c r="C6">
        <v>0</v>
      </c>
      <c r="D6">
        <v>5.5</v>
      </c>
      <c r="F6" s="35">
        <v>0.02</v>
      </c>
      <c r="H6" t="s">
        <v>282</v>
      </c>
      <c r="J6" s="35">
        <f t="shared" si="0"/>
        <v>0.02</v>
      </c>
      <c r="K6" s="35">
        <f t="shared" si="1"/>
        <v>0.02</v>
      </c>
    </row>
    <row r="7" spans="1:11" x14ac:dyDescent="0.2">
      <c r="A7" t="s">
        <v>278</v>
      </c>
      <c r="B7">
        <v>0</v>
      </c>
      <c r="C7">
        <v>3</v>
      </c>
      <c r="D7">
        <v>0</v>
      </c>
      <c r="F7" s="35">
        <v>0.15</v>
      </c>
      <c r="H7" t="s">
        <v>283</v>
      </c>
      <c r="J7" s="35">
        <f t="shared" si="0"/>
        <v>0.15</v>
      </c>
      <c r="K7" s="35">
        <f t="shared" si="1"/>
        <v>0.15</v>
      </c>
    </row>
    <row r="8" spans="1:11" x14ac:dyDescent="0.2">
      <c r="A8" t="s">
        <v>278</v>
      </c>
      <c r="B8">
        <v>0</v>
      </c>
      <c r="C8">
        <v>2</v>
      </c>
      <c r="D8">
        <v>6</v>
      </c>
      <c r="F8" s="35">
        <v>0.12</v>
      </c>
      <c r="H8" t="s">
        <v>284</v>
      </c>
      <c r="J8" s="35">
        <f t="shared" si="0"/>
        <v>0.12</v>
      </c>
      <c r="K8" s="35">
        <f t="shared" si="1"/>
        <v>0.12</v>
      </c>
    </row>
    <row r="9" spans="1:11" x14ac:dyDescent="0.2">
      <c r="A9" t="s">
        <v>278</v>
      </c>
      <c r="B9">
        <v>0</v>
      </c>
      <c r="C9">
        <v>1</v>
      </c>
      <c r="D9">
        <v>4</v>
      </c>
      <c r="F9" s="35">
        <v>7.0000000000000007E-2</v>
      </c>
      <c r="H9" t="s">
        <v>285</v>
      </c>
      <c r="J9" s="35">
        <f t="shared" si="0"/>
        <v>7.0000000000000007E-2</v>
      </c>
      <c r="K9" s="35">
        <f t="shared" si="1"/>
        <v>7.0000000000000007E-2</v>
      </c>
    </row>
    <row r="10" spans="1:11" x14ac:dyDescent="0.2">
      <c r="A10" t="s">
        <v>278</v>
      </c>
      <c r="B10">
        <v>0</v>
      </c>
      <c r="C10">
        <v>0</v>
      </c>
      <c r="D10">
        <v>1.5</v>
      </c>
      <c r="F10" s="35">
        <v>0.01</v>
      </c>
      <c r="H10" t="s">
        <v>286</v>
      </c>
      <c r="J10" s="35">
        <f t="shared" si="0"/>
        <v>0.01</v>
      </c>
      <c r="K10" s="35">
        <f t="shared" si="1"/>
        <v>0.01</v>
      </c>
    </row>
    <row r="11" spans="1:11" x14ac:dyDescent="0.2">
      <c r="A11" t="s">
        <v>278</v>
      </c>
      <c r="B11">
        <v>0</v>
      </c>
      <c r="C11">
        <v>0</v>
      </c>
      <c r="D11">
        <v>4</v>
      </c>
      <c r="F11" s="35">
        <v>0.02</v>
      </c>
      <c r="H11" t="s">
        <v>287</v>
      </c>
      <c r="J11" s="35">
        <f t="shared" si="0"/>
        <v>0.02</v>
      </c>
      <c r="K11" s="35">
        <f t="shared" si="1"/>
        <v>0.02</v>
      </c>
    </row>
    <row r="12" spans="1:11" x14ac:dyDescent="0.2">
      <c r="A12" t="s">
        <v>278</v>
      </c>
      <c r="B12">
        <v>0</v>
      </c>
      <c r="C12">
        <v>3</v>
      </c>
      <c r="D12">
        <v>0</v>
      </c>
      <c r="F12" s="35">
        <v>0.15</v>
      </c>
      <c r="H12" t="s">
        <v>288</v>
      </c>
      <c r="J12" s="35">
        <f t="shared" si="0"/>
        <v>0.15</v>
      </c>
      <c r="K12" s="35">
        <f t="shared" si="1"/>
        <v>0.15</v>
      </c>
    </row>
    <row r="13" spans="1:11" x14ac:dyDescent="0.2">
      <c r="A13" t="s">
        <v>278</v>
      </c>
      <c r="B13">
        <v>0</v>
      </c>
      <c r="C13">
        <v>4</v>
      </c>
      <c r="D13">
        <v>0</v>
      </c>
      <c r="F13" s="35">
        <v>0.2</v>
      </c>
      <c r="H13" t="s">
        <v>290</v>
      </c>
    </row>
    <row r="14" spans="1:11" x14ac:dyDescent="0.2">
      <c r="A14" t="s">
        <v>278</v>
      </c>
      <c r="B14">
        <v>0</v>
      </c>
      <c r="C14">
        <v>0</v>
      </c>
      <c r="D14">
        <v>0</v>
      </c>
      <c r="F14" s="35">
        <v>0</v>
      </c>
      <c r="H14" t="s">
        <v>291</v>
      </c>
    </row>
    <row r="15" spans="1:11" x14ac:dyDescent="0.2">
      <c r="A15" t="s">
        <v>278</v>
      </c>
      <c r="B15">
        <v>0</v>
      </c>
      <c r="C15">
        <v>1</v>
      </c>
      <c r="D15">
        <v>11</v>
      </c>
      <c r="F15" s="35">
        <v>0.1</v>
      </c>
      <c r="H15" t="s">
        <v>292</v>
      </c>
    </row>
    <row r="16" spans="1:11" x14ac:dyDescent="0.2">
      <c r="A16" t="s">
        <v>278</v>
      </c>
      <c r="B16">
        <v>0</v>
      </c>
      <c r="C16">
        <v>4</v>
      </c>
      <c r="D16">
        <v>1</v>
      </c>
      <c r="F16" s="35">
        <v>0.2</v>
      </c>
      <c r="H16" t="s">
        <v>293</v>
      </c>
    </row>
    <row r="17" spans="1:11" x14ac:dyDescent="0.2">
      <c r="A17" t="s">
        <v>278</v>
      </c>
      <c r="B17">
        <v>0</v>
      </c>
      <c r="C17">
        <v>13</v>
      </c>
      <c r="D17">
        <v>10</v>
      </c>
      <c r="F17" s="35">
        <v>0.69</v>
      </c>
      <c r="H17" t="s">
        <v>294</v>
      </c>
    </row>
    <row r="18" spans="1:11" x14ac:dyDescent="0.2">
      <c r="A18" t="s">
        <v>278</v>
      </c>
      <c r="B18">
        <v>0</v>
      </c>
      <c r="C18">
        <v>13</v>
      </c>
      <c r="D18">
        <v>6</v>
      </c>
      <c r="F18" s="35">
        <v>0.68</v>
      </c>
      <c r="H18" t="s">
        <v>295</v>
      </c>
    </row>
    <row r="19" spans="1:11" x14ac:dyDescent="0.2">
      <c r="A19" t="s">
        <v>278</v>
      </c>
      <c r="B19">
        <v>0</v>
      </c>
      <c r="C19">
        <v>9</v>
      </c>
      <c r="D19">
        <v>6</v>
      </c>
      <c r="F19" s="35">
        <v>0.48</v>
      </c>
      <c r="H19" t="s">
        <v>296</v>
      </c>
    </row>
    <row r="20" spans="1:11" x14ac:dyDescent="0.2">
      <c r="A20" t="s">
        <v>278</v>
      </c>
      <c r="B20">
        <v>5</v>
      </c>
      <c r="C20">
        <v>0</v>
      </c>
      <c r="D20">
        <v>8</v>
      </c>
      <c r="F20" s="35">
        <v>5.03</v>
      </c>
      <c r="H20" t="s">
        <v>297</v>
      </c>
    </row>
    <row r="21" spans="1:11" x14ac:dyDescent="0.2">
      <c r="A21" t="s">
        <v>278</v>
      </c>
      <c r="B21">
        <v>0</v>
      </c>
      <c r="C21">
        <v>1</v>
      </c>
      <c r="D21">
        <v>4</v>
      </c>
      <c r="F21" s="35">
        <v>7.0000000000000007E-2</v>
      </c>
      <c r="H21" t="s">
        <v>298</v>
      </c>
    </row>
    <row r="22" spans="1:11" x14ac:dyDescent="0.2">
      <c r="A22" t="s">
        <v>278</v>
      </c>
      <c r="B22">
        <v>0</v>
      </c>
      <c r="C22">
        <v>5</v>
      </c>
      <c r="D22">
        <v>5</v>
      </c>
      <c r="F22" s="35">
        <v>0.27</v>
      </c>
      <c r="H22" t="s">
        <v>646</v>
      </c>
    </row>
    <row r="23" spans="1:11" x14ac:dyDescent="0.2">
      <c r="A23" t="s">
        <v>278</v>
      </c>
      <c r="B23">
        <v>1</v>
      </c>
      <c r="C23">
        <v>4</v>
      </c>
      <c r="D23">
        <v>0</v>
      </c>
      <c r="F23" s="35">
        <v>1.2</v>
      </c>
      <c r="H23" t="s">
        <v>854</v>
      </c>
    </row>
    <row r="24" spans="1:11" x14ac:dyDescent="0.2">
      <c r="A24" t="s">
        <v>278</v>
      </c>
      <c r="B24">
        <v>10</v>
      </c>
      <c r="C24">
        <v>1</v>
      </c>
      <c r="D24">
        <v>5</v>
      </c>
      <c r="F24" s="35">
        <f>B24+C24/20+D24/240</f>
        <v>10.070833333333335</v>
      </c>
      <c r="H24" t="s">
        <v>855</v>
      </c>
    </row>
    <row r="25" spans="1:11" x14ac:dyDescent="0.2">
      <c r="A25" t="s">
        <v>278</v>
      </c>
      <c r="F25" s="35">
        <f>SUM(F3:F23)</f>
        <v>10.051666666666666</v>
      </c>
      <c r="G25" s="46">
        <f>F25-F24</f>
        <v>-1.9166666666668775E-2</v>
      </c>
      <c r="H25" t="s">
        <v>635</v>
      </c>
    </row>
    <row r="27" spans="1:11" x14ac:dyDescent="0.2">
      <c r="A27" t="s">
        <v>301</v>
      </c>
      <c r="B27">
        <v>0</v>
      </c>
      <c r="C27">
        <v>14</v>
      </c>
      <c r="D27">
        <v>0</v>
      </c>
      <c r="F27" s="35">
        <v>0.7</v>
      </c>
      <c r="H27" t="s">
        <v>302</v>
      </c>
      <c r="J27" s="35">
        <f>F27</f>
        <v>0.7</v>
      </c>
      <c r="K27" s="35">
        <f>J27</f>
        <v>0.7</v>
      </c>
    </row>
    <row r="28" spans="1:11" x14ac:dyDescent="0.2">
      <c r="A28" t="s">
        <v>301</v>
      </c>
      <c r="B28">
        <v>0</v>
      </c>
      <c r="C28">
        <v>0</v>
      </c>
      <c r="D28">
        <v>0.5</v>
      </c>
      <c r="F28" s="35">
        <f>B28+C28/20+D28/240</f>
        <v>2.0833333333333333E-3</v>
      </c>
      <c r="H28" t="s">
        <v>303</v>
      </c>
      <c r="J28" s="35">
        <f t="shared" ref="J28:J39" si="2">F28</f>
        <v>2.0833333333333333E-3</v>
      </c>
      <c r="K28" s="35">
        <f t="shared" ref="K28:K39" si="3">J28</f>
        <v>2.0833333333333333E-3</v>
      </c>
    </row>
    <row r="29" spans="1:11" x14ac:dyDescent="0.2">
      <c r="A29" t="s">
        <v>301</v>
      </c>
      <c r="B29">
        <v>0</v>
      </c>
      <c r="C29">
        <v>1</v>
      </c>
      <c r="D29">
        <v>10</v>
      </c>
      <c r="F29" s="35">
        <v>0.09</v>
      </c>
      <c r="H29" t="s">
        <v>304</v>
      </c>
      <c r="J29" s="35">
        <f t="shared" si="2"/>
        <v>0.09</v>
      </c>
      <c r="K29" s="35">
        <f t="shared" si="3"/>
        <v>0.09</v>
      </c>
    </row>
    <row r="30" spans="1:11" x14ac:dyDescent="0.2">
      <c r="A30" t="s">
        <v>301</v>
      </c>
      <c r="B30">
        <v>0</v>
      </c>
      <c r="C30">
        <v>0</v>
      </c>
      <c r="D30">
        <v>6.25</v>
      </c>
      <c r="F30" s="35">
        <v>0.03</v>
      </c>
      <c r="H30" t="s">
        <v>305</v>
      </c>
      <c r="J30" s="35">
        <f t="shared" si="2"/>
        <v>0.03</v>
      </c>
      <c r="K30" s="35">
        <f t="shared" si="3"/>
        <v>0.03</v>
      </c>
    </row>
    <row r="31" spans="1:11" x14ac:dyDescent="0.2">
      <c r="A31" t="s">
        <v>301</v>
      </c>
      <c r="B31">
        <v>0</v>
      </c>
      <c r="C31">
        <v>0</v>
      </c>
      <c r="D31">
        <v>3</v>
      </c>
      <c r="F31" s="35">
        <v>0.01</v>
      </c>
      <c r="H31" t="s">
        <v>306</v>
      </c>
      <c r="J31" s="35">
        <f t="shared" si="2"/>
        <v>0.01</v>
      </c>
      <c r="K31" s="35">
        <f t="shared" si="3"/>
        <v>0.01</v>
      </c>
    </row>
    <row r="32" spans="1:11" x14ac:dyDescent="0.2">
      <c r="A32" t="s">
        <v>301</v>
      </c>
      <c r="B32">
        <v>0</v>
      </c>
      <c r="C32">
        <v>0</v>
      </c>
      <c r="D32">
        <v>5.5</v>
      </c>
      <c r="F32" s="35">
        <v>0.02</v>
      </c>
      <c r="H32" t="s">
        <v>307</v>
      </c>
      <c r="J32" s="35">
        <f t="shared" si="2"/>
        <v>0.02</v>
      </c>
      <c r="K32" s="35">
        <f t="shared" si="3"/>
        <v>0.02</v>
      </c>
    </row>
    <row r="33" spans="1:11" x14ac:dyDescent="0.2">
      <c r="A33" t="s">
        <v>301</v>
      </c>
      <c r="B33">
        <v>0</v>
      </c>
      <c r="C33">
        <v>2</v>
      </c>
      <c r="D33">
        <v>4</v>
      </c>
      <c r="F33" s="35">
        <v>0.12</v>
      </c>
      <c r="H33" t="s">
        <v>308</v>
      </c>
      <c r="J33" s="35">
        <f t="shared" si="2"/>
        <v>0.12</v>
      </c>
      <c r="K33" s="35">
        <f t="shared" si="3"/>
        <v>0.12</v>
      </c>
    </row>
    <row r="34" spans="1:11" x14ac:dyDescent="0.2">
      <c r="A34" t="s">
        <v>301</v>
      </c>
      <c r="B34">
        <v>0</v>
      </c>
      <c r="C34">
        <v>0</v>
      </c>
      <c r="D34">
        <v>11</v>
      </c>
      <c r="F34" s="35">
        <v>0.05</v>
      </c>
      <c r="H34" t="s">
        <v>309</v>
      </c>
      <c r="J34" s="35">
        <f t="shared" si="2"/>
        <v>0.05</v>
      </c>
      <c r="K34" s="35">
        <f t="shared" si="3"/>
        <v>0.05</v>
      </c>
    </row>
    <row r="35" spans="1:11" x14ac:dyDescent="0.2">
      <c r="A35" t="s">
        <v>301</v>
      </c>
      <c r="B35">
        <v>0</v>
      </c>
      <c r="C35">
        <v>0</v>
      </c>
      <c r="D35">
        <v>4</v>
      </c>
      <c r="F35" s="35">
        <v>0.02</v>
      </c>
      <c r="H35" t="s">
        <v>310</v>
      </c>
      <c r="J35" s="35">
        <f t="shared" si="2"/>
        <v>0.02</v>
      </c>
      <c r="K35" s="35">
        <f t="shared" si="3"/>
        <v>0.02</v>
      </c>
    </row>
    <row r="36" spans="1:11" x14ac:dyDescent="0.2">
      <c r="A36" t="s">
        <v>301</v>
      </c>
      <c r="B36">
        <v>0</v>
      </c>
      <c r="C36">
        <v>0</v>
      </c>
      <c r="D36">
        <v>2</v>
      </c>
      <c r="F36" s="35">
        <v>0.01</v>
      </c>
      <c r="H36" t="s">
        <v>311</v>
      </c>
      <c r="J36" s="35">
        <f t="shared" si="2"/>
        <v>0.01</v>
      </c>
      <c r="K36" s="35">
        <f t="shared" si="3"/>
        <v>0.01</v>
      </c>
    </row>
    <row r="37" spans="1:11" x14ac:dyDescent="0.2">
      <c r="A37" t="s">
        <v>301</v>
      </c>
      <c r="B37">
        <v>0</v>
      </c>
      <c r="C37">
        <v>0</v>
      </c>
      <c r="D37">
        <v>2.5</v>
      </c>
      <c r="F37" s="35">
        <v>0.01</v>
      </c>
      <c r="H37" t="s">
        <v>312</v>
      </c>
      <c r="J37" s="35">
        <f t="shared" si="2"/>
        <v>0.01</v>
      </c>
      <c r="K37" s="35">
        <f t="shared" si="3"/>
        <v>0.01</v>
      </c>
    </row>
    <row r="38" spans="1:11" x14ac:dyDescent="0.2">
      <c r="A38" t="s">
        <v>301</v>
      </c>
      <c r="B38">
        <v>0</v>
      </c>
      <c r="C38">
        <v>0</v>
      </c>
      <c r="D38">
        <v>1.25</v>
      </c>
      <c r="F38" s="35">
        <v>0.01</v>
      </c>
      <c r="H38" t="s">
        <v>313</v>
      </c>
      <c r="J38" s="35">
        <f t="shared" si="2"/>
        <v>0.01</v>
      </c>
      <c r="K38" s="35">
        <f t="shared" si="3"/>
        <v>0.01</v>
      </c>
    </row>
    <row r="39" spans="1:11" x14ac:dyDescent="0.2">
      <c r="A39" t="s">
        <v>301</v>
      </c>
      <c r="B39">
        <v>0</v>
      </c>
      <c r="C39">
        <v>0</v>
      </c>
      <c r="D39">
        <v>2</v>
      </c>
      <c r="F39" s="35">
        <v>0.01</v>
      </c>
      <c r="H39" t="s">
        <v>314</v>
      </c>
      <c r="J39" s="35">
        <f t="shared" si="2"/>
        <v>0.01</v>
      </c>
      <c r="K39" s="35">
        <f t="shared" si="3"/>
        <v>0.01</v>
      </c>
    </row>
    <row r="40" spans="1:11" x14ac:dyDescent="0.2">
      <c r="A40" t="s">
        <v>301</v>
      </c>
      <c r="B40">
        <v>0</v>
      </c>
      <c r="C40">
        <v>3</v>
      </c>
      <c r="D40">
        <v>0</v>
      </c>
      <c r="F40" s="35">
        <v>0.15</v>
      </c>
      <c r="H40" t="s">
        <v>315</v>
      </c>
    </row>
    <row r="41" spans="1:11" x14ac:dyDescent="0.2">
      <c r="A41" t="s">
        <v>301</v>
      </c>
      <c r="B41">
        <v>0</v>
      </c>
      <c r="C41">
        <v>3</v>
      </c>
      <c r="D41">
        <v>0</v>
      </c>
      <c r="F41" s="35">
        <v>0.15</v>
      </c>
      <c r="H41" t="s">
        <v>316</v>
      </c>
    </row>
    <row r="42" spans="1:11" x14ac:dyDescent="0.2">
      <c r="A42" t="s">
        <v>301</v>
      </c>
      <c r="B42">
        <v>0</v>
      </c>
      <c r="C42">
        <v>1</v>
      </c>
      <c r="D42">
        <v>6</v>
      </c>
      <c r="F42" s="35">
        <v>0.08</v>
      </c>
      <c r="H42" t="s">
        <v>317</v>
      </c>
    </row>
    <row r="43" spans="1:11" x14ac:dyDescent="0.2">
      <c r="A43" t="s">
        <v>301</v>
      </c>
      <c r="B43">
        <v>1</v>
      </c>
      <c r="C43">
        <v>9</v>
      </c>
      <c r="D43">
        <v>0</v>
      </c>
      <c r="F43" s="35">
        <v>1.45</v>
      </c>
      <c r="H43" t="s">
        <v>318</v>
      </c>
    </row>
    <row r="44" spans="1:11" x14ac:dyDescent="0.2">
      <c r="A44" t="s">
        <v>301</v>
      </c>
      <c r="F44" s="35">
        <f>SUM(F27:F42)</f>
        <v>1.4620833333333332</v>
      </c>
      <c r="G44" s="46">
        <f>F44-F43</f>
        <v>1.2083333333333224E-2</v>
      </c>
      <c r="H44" t="s">
        <v>635</v>
      </c>
    </row>
    <row r="46" spans="1:11" x14ac:dyDescent="0.2">
      <c r="A46" t="s">
        <v>319</v>
      </c>
      <c r="B46">
        <v>0</v>
      </c>
      <c r="C46">
        <v>0</v>
      </c>
      <c r="D46">
        <v>8.5</v>
      </c>
      <c r="F46" s="35">
        <v>0.04</v>
      </c>
      <c r="H46" t="s">
        <v>320</v>
      </c>
      <c r="J46" s="35">
        <f>F46</f>
        <v>0.04</v>
      </c>
      <c r="K46" s="35">
        <f>J46</f>
        <v>0.04</v>
      </c>
    </row>
    <row r="47" spans="1:11" x14ac:dyDescent="0.2">
      <c r="A47" t="s">
        <v>319</v>
      </c>
      <c r="B47">
        <v>0</v>
      </c>
      <c r="C47">
        <v>0</v>
      </c>
      <c r="D47">
        <v>6</v>
      </c>
      <c r="F47" s="35">
        <v>0.03</v>
      </c>
      <c r="H47" t="s">
        <v>321</v>
      </c>
      <c r="J47" s="35">
        <f t="shared" ref="J47:J53" si="4">F47</f>
        <v>0.03</v>
      </c>
      <c r="K47" s="35">
        <f t="shared" ref="K47:K58" si="5">J47</f>
        <v>0.03</v>
      </c>
    </row>
    <row r="48" spans="1:11" x14ac:dyDescent="0.2">
      <c r="A48" t="s">
        <v>319</v>
      </c>
      <c r="B48">
        <v>0</v>
      </c>
      <c r="C48">
        <v>0</v>
      </c>
      <c r="D48">
        <v>10.5</v>
      </c>
      <c r="F48" s="35">
        <v>0.04</v>
      </c>
      <c r="H48" t="s">
        <v>322</v>
      </c>
      <c r="J48" s="35">
        <f t="shared" si="4"/>
        <v>0.04</v>
      </c>
      <c r="K48" s="35">
        <f t="shared" si="5"/>
        <v>0.04</v>
      </c>
    </row>
    <row r="49" spans="1:11" x14ac:dyDescent="0.2">
      <c r="A49" t="s">
        <v>319</v>
      </c>
      <c r="B49">
        <v>0</v>
      </c>
      <c r="C49">
        <v>0</v>
      </c>
      <c r="D49">
        <v>9</v>
      </c>
      <c r="F49" s="35">
        <v>0.04</v>
      </c>
      <c r="H49" t="s">
        <v>323</v>
      </c>
      <c r="J49" s="35">
        <f t="shared" si="4"/>
        <v>0.04</v>
      </c>
      <c r="K49" s="35">
        <f t="shared" si="5"/>
        <v>0.04</v>
      </c>
    </row>
    <row r="50" spans="1:11" x14ac:dyDescent="0.2">
      <c r="A50" t="s">
        <v>319</v>
      </c>
      <c r="B50">
        <v>0</v>
      </c>
      <c r="C50">
        <v>0</v>
      </c>
      <c r="D50">
        <v>4</v>
      </c>
      <c r="F50" s="35">
        <v>0.02</v>
      </c>
      <c r="H50" t="s">
        <v>324</v>
      </c>
      <c r="J50" s="35">
        <f t="shared" si="4"/>
        <v>0.02</v>
      </c>
      <c r="K50" s="35">
        <f t="shared" si="5"/>
        <v>0.02</v>
      </c>
    </row>
    <row r="51" spans="1:11" x14ac:dyDescent="0.2">
      <c r="A51" t="s">
        <v>319</v>
      </c>
      <c r="B51">
        <v>0</v>
      </c>
      <c r="C51">
        <v>11</v>
      </c>
      <c r="D51">
        <v>4</v>
      </c>
      <c r="F51" s="35">
        <v>0.56999999999999995</v>
      </c>
      <c r="H51" t="s">
        <v>325</v>
      </c>
      <c r="J51" s="35">
        <f t="shared" si="4"/>
        <v>0.56999999999999995</v>
      </c>
      <c r="K51" s="35">
        <f t="shared" si="5"/>
        <v>0.56999999999999995</v>
      </c>
    </row>
    <row r="52" spans="1:11" x14ac:dyDescent="0.2">
      <c r="A52" t="s">
        <v>319</v>
      </c>
      <c r="B52">
        <v>0</v>
      </c>
      <c r="C52">
        <v>2</v>
      </c>
      <c r="D52">
        <v>11</v>
      </c>
      <c r="F52" s="35">
        <v>0.15</v>
      </c>
      <c r="H52" t="s">
        <v>326</v>
      </c>
      <c r="J52" s="35">
        <f t="shared" si="4"/>
        <v>0.15</v>
      </c>
      <c r="K52" s="35">
        <f t="shared" si="5"/>
        <v>0.15</v>
      </c>
    </row>
    <row r="53" spans="1:11" x14ac:dyDescent="0.2">
      <c r="A53" t="s">
        <v>319</v>
      </c>
      <c r="B53">
        <v>0</v>
      </c>
      <c r="C53">
        <v>0</v>
      </c>
      <c r="D53">
        <v>3</v>
      </c>
      <c r="F53" s="35">
        <v>0.01</v>
      </c>
      <c r="H53" t="s">
        <v>327</v>
      </c>
      <c r="J53" s="35"/>
      <c r="K53" s="35">
        <f t="shared" si="5"/>
        <v>0</v>
      </c>
    </row>
    <row r="54" spans="1:11" x14ac:dyDescent="0.2">
      <c r="A54" t="s">
        <v>319</v>
      </c>
      <c r="B54">
        <v>0</v>
      </c>
      <c r="C54">
        <v>2</v>
      </c>
      <c r="D54">
        <v>6</v>
      </c>
      <c r="F54" s="35">
        <v>0.12</v>
      </c>
      <c r="H54" t="s">
        <v>328</v>
      </c>
      <c r="J54" s="35">
        <f>F54</f>
        <v>0.12</v>
      </c>
      <c r="K54" s="35">
        <f t="shared" si="5"/>
        <v>0.12</v>
      </c>
    </row>
    <row r="55" spans="1:11" x14ac:dyDescent="0.2">
      <c r="A55" t="s">
        <v>319</v>
      </c>
      <c r="B55">
        <v>0</v>
      </c>
      <c r="C55">
        <v>3</v>
      </c>
      <c r="D55">
        <v>0</v>
      </c>
      <c r="F55" s="35">
        <v>0.15</v>
      </c>
      <c r="H55" t="s">
        <v>329</v>
      </c>
      <c r="J55" s="35">
        <f t="shared" ref="J55:J56" si="6">F55</f>
        <v>0.15</v>
      </c>
      <c r="K55" s="35">
        <f t="shared" si="5"/>
        <v>0.15</v>
      </c>
    </row>
    <row r="56" spans="1:11" x14ac:dyDescent="0.2">
      <c r="A56" t="s">
        <v>319</v>
      </c>
      <c r="B56">
        <v>0</v>
      </c>
      <c r="C56">
        <v>0</v>
      </c>
      <c r="D56">
        <v>6</v>
      </c>
      <c r="F56" s="35">
        <v>0.03</v>
      </c>
      <c r="H56" t="s">
        <v>330</v>
      </c>
      <c r="J56" s="35">
        <f t="shared" si="6"/>
        <v>0.03</v>
      </c>
      <c r="K56" s="35">
        <f t="shared" si="5"/>
        <v>0.03</v>
      </c>
    </row>
    <row r="57" spans="1:11" x14ac:dyDescent="0.2">
      <c r="A57" t="s">
        <v>319</v>
      </c>
      <c r="B57">
        <v>3</v>
      </c>
      <c r="C57">
        <v>13</v>
      </c>
      <c r="D57">
        <v>6</v>
      </c>
      <c r="F57" s="35">
        <v>3.67</v>
      </c>
      <c r="H57" t="s">
        <v>859</v>
      </c>
      <c r="K57" s="35">
        <f t="shared" si="5"/>
        <v>0</v>
      </c>
    </row>
    <row r="58" spans="1:11" x14ac:dyDescent="0.2">
      <c r="A58" t="s">
        <v>319</v>
      </c>
      <c r="B58">
        <v>0</v>
      </c>
      <c r="C58">
        <v>0</v>
      </c>
      <c r="D58">
        <v>8</v>
      </c>
      <c r="F58" s="35">
        <v>0.03</v>
      </c>
      <c r="H58" t="s">
        <v>332</v>
      </c>
      <c r="J58" s="35">
        <f>F58</f>
        <v>0.03</v>
      </c>
      <c r="K58" s="35">
        <f t="shared" si="5"/>
        <v>0.03</v>
      </c>
    </row>
    <row r="59" spans="1:11" x14ac:dyDescent="0.2">
      <c r="A59" t="s">
        <v>319</v>
      </c>
      <c r="B59">
        <v>0</v>
      </c>
      <c r="C59">
        <v>3</v>
      </c>
      <c r="D59">
        <v>0</v>
      </c>
      <c r="F59" s="35">
        <v>0.15</v>
      </c>
      <c r="H59" t="s">
        <v>333</v>
      </c>
    </row>
    <row r="60" spans="1:11" x14ac:dyDescent="0.2">
      <c r="A60" t="s">
        <v>319</v>
      </c>
      <c r="B60">
        <v>0</v>
      </c>
      <c r="C60">
        <v>2</v>
      </c>
      <c r="D60">
        <v>0</v>
      </c>
      <c r="F60" s="35">
        <f>B60+C60/20+D60/240</f>
        <v>0.1</v>
      </c>
      <c r="H60" t="s">
        <v>857</v>
      </c>
    </row>
    <row r="61" spans="1:11" x14ac:dyDescent="0.2">
      <c r="A61" t="s">
        <v>319</v>
      </c>
      <c r="B61">
        <v>5</v>
      </c>
      <c r="C61">
        <v>2</v>
      </c>
      <c r="D61">
        <v>10</v>
      </c>
      <c r="F61" s="35">
        <v>5.14</v>
      </c>
      <c r="H61" t="s">
        <v>858</v>
      </c>
    </row>
    <row r="62" spans="1:11" x14ac:dyDescent="0.2">
      <c r="A62" t="s">
        <v>319</v>
      </c>
      <c r="F62" s="35">
        <f>SUM(F46:F60)</f>
        <v>5.15</v>
      </c>
      <c r="G62" s="46">
        <f>F62-F61</f>
        <v>1.0000000000000675E-2</v>
      </c>
      <c r="H62" t="s">
        <v>635</v>
      </c>
    </row>
    <row r="64" spans="1:11" x14ac:dyDescent="0.2">
      <c r="A64" t="s">
        <v>335</v>
      </c>
      <c r="B64">
        <v>0</v>
      </c>
      <c r="C64">
        <v>4</v>
      </c>
      <c r="D64">
        <v>10</v>
      </c>
      <c r="F64" s="35">
        <v>0.24</v>
      </c>
      <c r="H64" t="s">
        <v>336</v>
      </c>
      <c r="J64" s="35">
        <f>F64</f>
        <v>0.24</v>
      </c>
      <c r="K64" s="35">
        <f>J64</f>
        <v>0.24</v>
      </c>
    </row>
    <row r="65" spans="1:11" x14ac:dyDescent="0.2">
      <c r="A65" t="s">
        <v>335</v>
      </c>
      <c r="B65">
        <v>0</v>
      </c>
      <c r="C65">
        <v>0</v>
      </c>
      <c r="D65">
        <v>3</v>
      </c>
      <c r="F65" s="35">
        <v>0.01</v>
      </c>
      <c r="H65" t="s">
        <v>337</v>
      </c>
      <c r="J65" s="35">
        <f t="shared" ref="J65:J66" si="7">F65</f>
        <v>0.01</v>
      </c>
      <c r="K65" s="35">
        <f t="shared" ref="K65:K66" si="8">J65</f>
        <v>0.01</v>
      </c>
    </row>
    <row r="66" spans="1:11" x14ac:dyDescent="0.2">
      <c r="A66" t="s">
        <v>335</v>
      </c>
      <c r="B66">
        <v>0</v>
      </c>
      <c r="C66">
        <v>0</v>
      </c>
      <c r="D66">
        <v>3.5</v>
      </c>
      <c r="F66" s="35">
        <f>B66+C66/20+D66/240</f>
        <v>1.4583333333333334E-2</v>
      </c>
      <c r="H66" t="s">
        <v>860</v>
      </c>
      <c r="J66" s="35">
        <f t="shared" si="7"/>
        <v>1.4583333333333334E-2</v>
      </c>
      <c r="K66" s="35">
        <f t="shared" si="8"/>
        <v>1.4583333333333334E-2</v>
      </c>
    </row>
    <row r="67" spans="1:11" x14ac:dyDescent="0.2">
      <c r="A67" t="s">
        <v>335</v>
      </c>
      <c r="B67">
        <v>0</v>
      </c>
      <c r="C67">
        <v>5</v>
      </c>
      <c r="D67">
        <v>4.5</v>
      </c>
      <c r="F67" s="35">
        <f>B67+C67/20+D67/240</f>
        <v>0.26874999999999999</v>
      </c>
      <c r="H67" t="s">
        <v>861</v>
      </c>
    </row>
    <row r="68" spans="1:11" x14ac:dyDescent="0.2">
      <c r="A68" t="s">
        <v>335</v>
      </c>
      <c r="F68" s="35">
        <f>SUM(F64:F66)</f>
        <v>0.26458333333333334</v>
      </c>
      <c r="G68" s="46">
        <f>F68-F67</f>
        <v>-4.1666666666666519E-3</v>
      </c>
      <c r="H68" t="s">
        <v>635</v>
      </c>
    </row>
    <row r="70" spans="1:11" x14ac:dyDescent="0.2">
      <c r="A70" t="s">
        <v>339</v>
      </c>
      <c r="B70">
        <v>0</v>
      </c>
      <c r="C70">
        <v>14</v>
      </c>
      <c r="D70">
        <v>8</v>
      </c>
      <c r="F70" s="35">
        <v>0.73</v>
      </c>
      <c r="H70" t="s">
        <v>340</v>
      </c>
      <c r="J70" s="35">
        <f>F70</f>
        <v>0.73</v>
      </c>
      <c r="K70" s="35">
        <f>J70</f>
        <v>0.73</v>
      </c>
    </row>
    <row r="71" spans="1:11" x14ac:dyDescent="0.2">
      <c r="A71" t="s">
        <v>339</v>
      </c>
      <c r="B71">
        <v>0</v>
      </c>
      <c r="C71">
        <v>0</v>
      </c>
      <c r="D71">
        <v>3</v>
      </c>
      <c r="F71" s="35">
        <v>0.01</v>
      </c>
      <c r="H71" t="s">
        <v>341</v>
      </c>
      <c r="J71" s="35">
        <f t="shared" ref="J71:J84" si="9">F71</f>
        <v>0.01</v>
      </c>
      <c r="K71" s="35">
        <f t="shared" ref="K71:K84" si="10">J71</f>
        <v>0.01</v>
      </c>
    </row>
    <row r="72" spans="1:11" x14ac:dyDescent="0.2">
      <c r="A72" t="s">
        <v>339</v>
      </c>
      <c r="B72">
        <v>0</v>
      </c>
      <c r="C72">
        <v>6</v>
      </c>
      <c r="D72">
        <v>8</v>
      </c>
      <c r="F72" s="35">
        <v>0.33</v>
      </c>
      <c r="H72" t="s">
        <v>342</v>
      </c>
      <c r="J72" s="35">
        <f t="shared" si="9"/>
        <v>0.33</v>
      </c>
      <c r="K72" s="35">
        <f t="shared" si="10"/>
        <v>0.33</v>
      </c>
    </row>
    <row r="73" spans="1:11" x14ac:dyDescent="0.2">
      <c r="A73" t="s">
        <v>339</v>
      </c>
      <c r="B73">
        <v>1</v>
      </c>
      <c r="C73">
        <v>0</v>
      </c>
      <c r="D73">
        <v>0</v>
      </c>
      <c r="F73" s="35">
        <v>1</v>
      </c>
      <c r="H73" t="s">
        <v>343</v>
      </c>
      <c r="J73" s="35">
        <f t="shared" si="9"/>
        <v>1</v>
      </c>
      <c r="K73" s="35">
        <f t="shared" si="10"/>
        <v>1</v>
      </c>
    </row>
    <row r="74" spans="1:11" x14ac:dyDescent="0.2">
      <c r="A74" t="s">
        <v>339</v>
      </c>
      <c r="B74">
        <v>0</v>
      </c>
      <c r="C74">
        <v>1</v>
      </c>
      <c r="D74">
        <v>3</v>
      </c>
      <c r="F74" s="35">
        <v>0.06</v>
      </c>
      <c r="H74" t="s">
        <v>344</v>
      </c>
      <c r="J74" s="35">
        <f t="shared" si="9"/>
        <v>0.06</v>
      </c>
      <c r="K74" s="35">
        <f t="shared" si="10"/>
        <v>0.06</v>
      </c>
    </row>
    <row r="75" spans="1:11" x14ac:dyDescent="0.2">
      <c r="A75" t="s">
        <v>339</v>
      </c>
      <c r="B75">
        <v>0</v>
      </c>
      <c r="C75">
        <v>18</v>
      </c>
      <c r="D75">
        <v>1</v>
      </c>
      <c r="F75" s="35">
        <v>0.9</v>
      </c>
      <c r="H75" t="s">
        <v>345</v>
      </c>
      <c r="J75" s="35">
        <f t="shared" si="9"/>
        <v>0.9</v>
      </c>
      <c r="K75" s="35">
        <f t="shared" si="10"/>
        <v>0.9</v>
      </c>
    </row>
    <row r="76" spans="1:11" x14ac:dyDescent="0.2">
      <c r="A76" t="s">
        <v>339</v>
      </c>
      <c r="B76">
        <v>0</v>
      </c>
      <c r="C76">
        <v>6</v>
      </c>
      <c r="D76">
        <v>6</v>
      </c>
      <c r="F76" s="35">
        <v>0.33</v>
      </c>
      <c r="H76" t="s">
        <v>346</v>
      </c>
      <c r="J76" s="35">
        <f t="shared" si="9"/>
        <v>0.33</v>
      </c>
      <c r="K76" s="35">
        <f t="shared" si="10"/>
        <v>0.33</v>
      </c>
    </row>
    <row r="77" spans="1:11" x14ac:dyDescent="0.2">
      <c r="A77" t="s">
        <v>339</v>
      </c>
      <c r="B77">
        <v>0</v>
      </c>
      <c r="C77">
        <v>0</v>
      </c>
      <c r="D77">
        <v>4</v>
      </c>
      <c r="F77" s="35">
        <v>0.02</v>
      </c>
      <c r="H77" t="s">
        <v>347</v>
      </c>
      <c r="J77" s="35">
        <f t="shared" si="9"/>
        <v>0.02</v>
      </c>
      <c r="K77" s="35">
        <f t="shared" si="10"/>
        <v>0.02</v>
      </c>
    </row>
    <row r="78" spans="1:11" x14ac:dyDescent="0.2">
      <c r="A78" t="s">
        <v>339</v>
      </c>
      <c r="B78">
        <v>0</v>
      </c>
      <c r="C78">
        <v>1</v>
      </c>
      <c r="D78">
        <v>11</v>
      </c>
      <c r="F78" s="35">
        <v>0.1</v>
      </c>
      <c r="H78" t="s">
        <v>348</v>
      </c>
      <c r="J78" s="35">
        <f t="shared" si="9"/>
        <v>0.1</v>
      </c>
      <c r="K78" s="35">
        <f t="shared" si="10"/>
        <v>0.1</v>
      </c>
    </row>
    <row r="79" spans="1:11" x14ac:dyDescent="0.2">
      <c r="A79" t="s">
        <v>339</v>
      </c>
      <c r="B79">
        <v>0</v>
      </c>
      <c r="C79">
        <v>4</v>
      </c>
      <c r="D79">
        <v>0</v>
      </c>
      <c r="F79" s="35">
        <v>0.2</v>
      </c>
      <c r="H79" t="s">
        <v>349</v>
      </c>
      <c r="J79" s="35">
        <f t="shared" si="9"/>
        <v>0.2</v>
      </c>
      <c r="K79" s="35">
        <f t="shared" si="10"/>
        <v>0.2</v>
      </c>
    </row>
    <row r="80" spans="1:11" x14ac:dyDescent="0.2">
      <c r="A80" t="s">
        <v>339</v>
      </c>
      <c r="B80">
        <v>0</v>
      </c>
      <c r="C80">
        <v>1</v>
      </c>
      <c r="D80">
        <v>0</v>
      </c>
      <c r="F80" s="35">
        <v>0.05</v>
      </c>
      <c r="H80" t="s">
        <v>350</v>
      </c>
      <c r="J80" s="35">
        <f t="shared" si="9"/>
        <v>0.05</v>
      </c>
      <c r="K80" s="35">
        <f t="shared" si="10"/>
        <v>0.05</v>
      </c>
    </row>
    <row r="81" spans="1:12" x14ac:dyDescent="0.2">
      <c r="A81" t="s">
        <v>339</v>
      </c>
      <c r="B81">
        <v>0</v>
      </c>
      <c r="C81">
        <v>0</v>
      </c>
      <c r="D81">
        <v>3.5</v>
      </c>
      <c r="F81" s="35">
        <v>0.01</v>
      </c>
      <c r="H81" t="s">
        <v>351</v>
      </c>
      <c r="J81" s="35">
        <f t="shared" si="9"/>
        <v>0.01</v>
      </c>
      <c r="K81" s="35">
        <f t="shared" si="10"/>
        <v>0.01</v>
      </c>
    </row>
    <row r="82" spans="1:12" x14ac:dyDescent="0.2">
      <c r="A82" t="s">
        <v>339</v>
      </c>
      <c r="B82">
        <v>0</v>
      </c>
      <c r="C82">
        <v>1</v>
      </c>
      <c r="D82">
        <v>10</v>
      </c>
      <c r="F82" s="35">
        <v>0.09</v>
      </c>
      <c r="H82" t="s">
        <v>352</v>
      </c>
      <c r="J82" s="35">
        <f t="shared" si="9"/>
        <v>0.09</v>
      </c>
      <c r="K82" s="35">
        <f t="shared" si="10"/>
        <v>0.09</v>
      </c>
    </row>
    <row r="83" spans="1:12" x14ac:dyDescent="0.2">
      <c r="A83" t="s">
        <v>339</v>
      </c>
      <c r="B83">
        <v>0</v>
      </c>
      <c r="C83">
        <v>1</v>
      </c>
      <c r="D83">
        <v>6.5</v>
      </c>
      <c r="F83" s="35">
        <v>0.08</v>
      </c>
      <c r="H83" t="s">
        <v>353</v>
      </c>
      <c r="J83" s="35">
        <f t="shared" si="9"/>
        <v>0.08</v>
      </c>
      <c r="K83" s="35">
        <f t="shared" si="10"/>
        <v>0.08</v>
      </c>
    </row>
    <row r="84" spans="1:12" x14ac:dyDescent="0.2">
      <c r="A84" t="s">
        <v>339</v>
      </c>
      <c r="B84">
        <v>0</v>
      </c>
      <c r="C84">
        <v>2</v>
      </c>
      <c r="D84">
        <v>0</v>
      </c>
      <c r="F84" s="35">
        <v>0.1</v>
      </c>
      <c r="H84" t="s">
        <v>354</v>
      </c>
      <c r="J84" s="35">
        <f t="shared" si="9"/>
        <v>0.1</v>
      </c>
      <c r="K84" s="35">
        <f t="shared" si="10"/>
        <v>0.1</v>
      </c>
    </row>
    <row r="85" spans="1:12" x14ac:dyDescent="0.2">
      <c r="A85" t="s">
        <v>339</v>
      </c>
      <c r="B85">
        <v>0</v>
      </c>
      <c r="C85">
        <v>6</v>
      </c>
      <c r="D85">
        <v>9</v>
      </c>
      <c r="F85" s="35">
        <v>0.34</v>
      </c>
      <c r="H85" t="s">
        <v>647</v>
      </c>
    </row>
    <row r="86" spans="1:12" x14ac:dyDescent="0.2">
      <c r="A86" t="s">
        <v>339</v>
      </c>
      <c r="B86">
        <v>4</v>
      </c>
      <c r="C86">
        <v>7</v>
      </c>
      <c r="D86">
        <v>1</v>
      </c>
      <c r="F86" s="35">
        <v>4.3499999999999996</v>
      </c>
      <c r="H86" t="s">
        <v>356</v>
      </c>
    </row>
    <row r="87" spans="1:12" x14ac:dyDescent="0.2">
      <c r="A87" t="s">
        <v>339</v>
      </c>
      <c r="F87" s="35">
        <v>4.3499999999999996</v>
      </c>
      <c r="G87" s="46">
        <v>0</v>
      </c>
      <c r="H87" t="s">
        <v>635</v>
      </c>
    </row>
    <row r="89" spans="1:12" x14ac:dyDescent="0.2">
      <c r="A89" t="s">
        <v>357</v>
      </c>
      <c r="B89">
        <v>1</v>
      </c>
      <c r="C89">
        <v>8</v>
      </c>
      <c r="D89">
        <v>10</v>
      </c>
      <c r="F89" s="35">
        <v>1.44</v>
      </c>
      <c r="H89" t="s">
        <v>862</v>
      </c>
      <c r="J89" s="35">
        <f>F89</f>
        <v>1.44</v>
      </c>
      <c r="L89" t="s">
        <v>979</v>
      </c>
    </row>
    <row r="90" spans="1:12" x14ac:dyDescent="0.2">
      <c r="A90" t="s">
        <v>357</v>
      </c>
      <c r="F90" s="35">
        <v>1.44</v>
      </c>
      <c r="H90" t="s">
        <v>863</v>
      </c>
    </row>
    <row r="91" spans="1:12" x14ac:dyDescent="0.2">
      <c r="A91" t="s">
        <v>357</v>
      </c>
      <c r="F91" s="35">
        <v>1.44</v>
      </c>
      <c r="G91" s="46">
        <v>0</v>
      </c>
      <c r="H91" t="s">
        <v>635</v>
      </c>
    </row>
    <row r="93" spans="1:12" x14ac:dyDescent="0.2">
      <c r="A93" t="s">
        <v>359</v>
      </c>
      <c r="B93">
        <v>0</v>
      </c>
      <c r="C93">
        <v>0</v>
      </c>
      <c r="D93">
        <v>0</v>
      </c>
      <c r="F93" s="35">
        <v>0</v>
      </c>
      <c r="H93" t="s">
        <v>360</v>
      </c>
    </row>
    <row r="94" spans="1:12" x14ac:dyDescent="0.2">
      <c r="A94" t="s">
        <v>359</v>
      </c>
      <c r="B94">
        <v>0</v>
      </c>
      <c r="C94">
        <v>1</v>
      </c>
      <c r="D94">
        <v>1</v>
      </c>
      <c r="F94" s="35">
        <v>0.05</v>
      </c>
      <c r="H94" t="s">
        <v>362</v>
      </c>
    </row>
    <row r="95" spans="1:12" x14ac:dyDescent="0.2">
      <c r="A95" t="s">
        <v>359</v>
      </c>
      <c r="B95">
        <v>0</v>
      </c>
      <c r="C95">
        <v>0</v>
      </c>
      <c r="D95">
        <v>3</v>
      </c>
      <c r="F95" s="35">
        <f>B95+C95/20+D95/240</f>
        <v>1.2500000000000001E-2</v>
      </c>
      <c r="H95" t="s">
        <v>864</v>
      </c>
    </row>
    <row r="96" spans="1:12" x14ac:dyDescent="0.2">
      <c r="A96" t="s">
        <v>359</v>
      </c>
      <c r="B96">
        <v>0</v>
      </c>
      <c r="C96">
        <v>1</v>
      </c>
      <c r="D96">
        <v>4</v>
      </c>
      <c r="F96" s="35">
        <f>B96+C96/20+D96/240</f>
        <v>6.6666666666666666E-2</v>
      </c>
      <c r="H96" t="s">
        <v>865</v>
      </c>
    </row>
    <row r="97" spans="1:8" x14ac:dyDescent="0.2">
      <c r="A97" t="s">
        <v>359</v>
      </c>
      <c r="F97" s="35">
        <f>SUM(F93:F95)</f>
        <v>6.25E-2</v>
      </c>
      <c r="G97" s="46">
        <f>F97-F96</f>
        <v>-4.1666666666666657E-3</v>
      </c>
      <c r="H97" t="s">
        <v>635</v>
      </c>
    </row>
    <row r="99" spans="1:8" x14ac:dyDescent="0.2">
      <c r="A99" t="s">
        <v>364</v>
      </c>
      <c r="B99">
        <v>0</v>
      </c>
      <c r="C99">
        <v>1</v>
      </c>
      <c r="D99">
        <v>0</v>
      </c>
      <c r="F99" s="35">
        <v>0.05</v>
      </c>
      <c r="H99" t="s">
        <v>365</v>
      </c>
    </row>
    <row r="100" spans="1:8" x14ac:dyDescent="0.2">
      <c r="A100" t="s">
        <v>364</v>
      </c>
      <c r="B100">
        <v>0</v>
      </c>
      <c r="C100">
        <v>1</v>
      </c>
      <c r="D100">
        <v>6</v>
      </c>
      <c r="F100" s="35">
        <v>0.08</v>
      </c>
      <c r="H100" t="s">
        <v>366</v>
      </c>
    </row>
    <row r="101" spans="1:8" x14ac:dyDescent="0.2">
      <c r="A101" t="s">
        <v>364</v>
      </c>
      <c r="B101">
        <v>0</v>
      </c>
      <c r="C101">
        <v>2</v>
      </c>
      <c r="D101">
        <v>6</v>
      </c>
      <c r="F101" s="35">
        <v>0.12</v>
      </c>
      <c r="H101" t="s">
        <v>367</v>
      </c>
    </row>
    <row r="102" spans="1:8" x14ac:dyDescent="0.2">
      <c r="A102" t="s">
        <v>364</v>
      </c>
      <c r="B102">
        <v>0</v>
      </c>
      <c r="C102">
        <v>0</v>
      </c>
      <c r="D102">
        <v>4</v>
      </c>
      <c r="F102" s="35">
        <v>0.02</v>
      </c>
      <c r="H102" t="s">
        <v>368</v>
      </c>
    </row>
    <row r="103" spans="1:8" x14ac:dyDescent="0.2">
      <c r="A103" t="s">
        <v>364</v>
      </c>
      <c r="B103">
        <v>0</v>
      </c>
      <c r="C103">
        <v>1</v>
      </c>
      <c r="D103">
        <v>6</v>
      </c>
      <c r="F103" s="35">
        <v>0.08</v>
      </c>
      <c r="H103" t="s">
        <v>369</v>
      </c>
    </row>
    <row r="104" spans="1:8" x14ac:dyDescent="0.2">
      <c r="A104" t="s">
        <v>364</v>
      </c>
      <c r="B104">
        <v>0</v>
      </c>
      <c r="C104">
        <v>0</v>
      </c>
      <c r="D104">
        <v>2</v>
      </c>
      <c r="F104" s="35">
        <v>0.01</v>
      </c>
      <c r="H104" t="s">
        <v>370</v>
      </c>
    </row>
    <row r="105" spans="1:8" x14ac:dyDescent="0.2">
      <c r="A105" t="s">
        <v>364</v>
      </c>
      <c r="B105">
        <v>0</v>
      </c>
      <c r="C105">
        <v>1</v>
      </c>
      <c r="D105">
        <v>0</v>
      </c>
      <c r="F105" s="35">
        <v>0.05</v>
      </c>
      <c r="H105" t="s">
        <v>866</v>
      </c>
    </row>
    <row r="106" spans="1:8" x14ac:dyDescent="0.2">
      <c r="A106" t="s">
        <v>364</v>
      </c>
      <c r="B106">
        <v>0</v>
      </c>
      <c r="C106">
        <v>8</v>
      </c>
      <c r="D106">
        <v>0</v>
      </c>
      <c r="F106" s="35">
        <f>B106+C106/20+D106/240</f>
        <v>0.4</v>
      </c>
      <c r="H106" t="s">
        <v>867</v>
      </c>
    </row>
    <row r="107" spans="1:8" x14ac:dyDescent="0.2">
      <c r="A107" t="s">
        <v>364</v>
      </c>
      <c r="F107" s="35">
        <v>0.41</v>
      </c>
      <c r="G107" s="46">
        <f>F107-F106</f>
        <v>9.9999999999999534E-3</v>
      </c>
      <c r="H107" t="s">
        <v>635</v>
      </c>
    </row>
    <row r="109" spans="1:8" x14ac:dyDescent="0.2">
      <c r="A109" t="s">
        <v>372</v>
      </c>
      <c r="B109">
        <v>0</v>
      </c>
      <c r="C109">
        <v>14</v>
      </c>
      <c r="D109">
        <v>5.5</v>
      </c>
      <c r="F109" s="35">
        <v>0.72</v>
      </c>
      <c r="H109" t="s">
        <v>373</v>
      </c>
    </row>
    <row r="110" spans="1:8" x14ac:dyDescent="0.2">
      <c r="A110" t="s">
        <v>372</v>
      </c>
      <c r="B110">
        <v>0</v>
      </c>
      <c r="C110">
        <v>6</v>
      </c>
      <c r="D110">
        <v>1</v>
      </c>
      <c r="F110" s="35">
        <v>0.3</v>
      </c>
      <c r="H110" t="s">
        <v>374</v>
      </c>
    </row>
    <row r="111" spans="1:8" x14ac:dyDescent="0.2">
      <c r="A111" t="s">
        <v>372</v>
      </c>
      <c r="B111">
        <v>0</v>
      </c>
      <c r="C111">
        <v>9</v>
      </c>
      <c r="D111">
        <v>6</v>
      </c>
      <c r="F111" s="35">
        <v>0.48</v>
      </c>
      <c r="H111" t="s">
        <v>375</v>
      </c>
    </row>
    <row r="112" spans="1:8" x14ac:dyDescent="0.2">
      <c r="A112" t="s">
        <v>372</v>
      </c>
      <c r="B112">
        <v>0</v>
      </c>
      <c r="C112">
        <v>9</v>
      </c>
      <c r="D112">
        <v>6</v>
      </c>
      <c r="F112" s="35">
        <v>0.48</v>
      </c>
      <c r="H112" t="s">
        <v>376</v>
      </c>
    </row>
    <row r="113" spans="1:8" x14ac:dyDescent="0.2">
      <c r="A113" t="s">
        <v>372</v>
      </c>
      <c r="B113">
        <v>0</v>
      </c>
      <c r="C113">
        <v>6</v>
      </c>
      <c r="D113">
        <v>10</v>
      </c>
      <c r="F113" s="35">
        <v>0.34</v>
      </c>
      <c r="H113" t="s">
        <v>377</v>
      </c>
    </row>
    <row r="114" spans="1:8" x14ac:dyDescent="0.2">
      <c r="A114" t="s">
        <v>372</v>
      </c>
      <c r="B114">
        <v>0</v>
      </c>
      <c r="C114">
        <v>4</v>
      </c>
      <c r="D114">
        <v>8</v>
      </c>
      <c r="F114" s="35">
        <v>0.23</v>
      </c>
      <c r="H114" t="s">
        <v>378</v>
      </c>
    </row>
    <row r="115" spans="1:8" x14ac:dyDescent="0.2">
      <c r="A115" t="s">
        <v>372</v>
      </c>
      <c r="B115">
        <v>2</v>
      </c>
      <c r="C115">
        <v>11</v>
      </c>
      <c r="D115">
        <v>0.5</v>
      </c>
      <c r="F115" s="35">
        <v>2.5499999999999998</v>
      </c>
      <c r="H115" t="s">
        <v>379</v>
      </c>
    </row>
    <row r="116" spans="1:8" x14ac:dyDescent="0.2">
      <c r="A116" t="s">
        <v>372</v>
      </c>
      <c r="F116" s="35">
        <v>2.5499999999999998</v>
      </c>
      <c r="G116" s="46">
        <v>0</v>
      </c>
      <c r="H116" t="s">
        <v>635</v>
      </c>
    </row>
    <row r="118" spans="1:8" x14ac:dyDescent="0.2">
      <c r="A118" t="s">
        <v>387</v>
      </c>
      <c r="B118">
        <v>1</v>
      </c>
      <c r="C118">
        <v>2</v>
      </c>
      <c r="D118">
        <v>11</v>
      </c>
      <c r="F118" s="35">
        <f>B118+C118/20+D118/240</f>
        <v>1.1458333333333335</v>
      </c>
      <c r="H118" t="s">
        <v>871</v>
      </c>
    </row>
    <row r="119" spans="1:8" x14ac:dyDescent="0.2">
      <c r="A119" t="s">
        <v>387</v>
      </c>
      <c r="B119">
        <v>1</v>
      </c>
      <c r="C119">
        <v>12</v>
      </c>
      <c r="D119">
        <v>1</v>
      </c>
      <c r="F119" s="35">
        <v>1.6</v>
      </c>
      <c r="H119" t="s">
        <v>389</v>
      </c>
    </row>
    <row r="120" spans="1:8" x14ac:dyDescent="0.2">
      <c r="A120" t="s">
        <v>387</v>
      </c>
      <c r="B120">
        <v>0</v>
      </c>
      <c r="C120">
        <v>3</v>
      </c>
      <c r="D120">
        <v>0</v>
      </c>
      <c r="F120" s="35">
        <v>0.15</v>
      </c>
      <c r="H120" t="s">
        <v>390</v>
      </c>
    </row>
    <row r="121" spans="1:8" x14ac:dyDescent="0.2">
      <c r="A121" t="s">
        <v>387</v>
      </c>
      <c r="B121">
        <v>2</v>
      </c>
      <c r="C121">
        <v>0</v>
      </c>
      <c r="D121">
        <v>0</v>
      </c>
      <c r="F121" s="35">
        <v>2</v>
      </c>
      <c r="H121" t="s">
        <v>870</v>
      </c>
    </row>
    <row r="122" spans="1:8" x14ac:dyDescent="0.2">
      <c r="A122" t="s">
        <v>387</v>
      </c>
      <c r="B122">
        <v>0</v>
      </c>
      <c r="C122">
        <v>3</v>
      </c>
      <c r="D122">
        <v>0</v>
      </c>
      <c r="F122" s="35">
        <f>B122+C122/20+D122/240</f>
        <v>0.15</v>
      </c>
      <c r="H122" t="s">
        <v>868</v>
      </c>
    </row>
    <row r="123" spans="1:8" x14ac:dyDescent="0.2">
      <c r="A123" t="s">
        <v>387</v>
      </c>
      <c r="B123">
        <v>5</v>
      </c>
      <c r="C123">
        <v>1</v>
      </c>
      <c r="D123">
        <v>0</v>
      </c>
      <c r="F123" s="35">
        <v>5.05</v>
      </c>
      <c r="H123" t="s">
        <v>869</v>
      </c>
    </row>
    <row r="124" spans="1:8" x14ac:dyDescent="0.2">
      <c r="A124" t="s">
        <v>387</v>
      </c>
      <c r="F124" s="35">
        <f>SUM(F118:F122)</f>
        <v>5.0458333333333343</v>
      </c>
      <c r="G124" s="46">
        <f>F124-F123</f>
        <v>-4.1666666666655416E-3</v>
      </c>
      <c r="H124" t="s">
        <v>635</v>
      </c>
    </row>
    <row r="126" spans="1:8" x14ac:dyDescent="0.2">
      <c r="A126" t="s">
        <v>393</v>
      </c>
      <c r="B126">
        <v>1</v>
      </c>
      <c r="C126">
        <v>10</v>
      </c>
      <c r="D126">
        <v>5</v>
      </c>
      <c r="F126" s="35">
        <v>1.52</v>
      </c>
      <c r="H126" t="s">
        <v>872</v>
      </c>
    </row>
    <row r="127" spans="1:8" x14ac:dyDescent="0.2">
      <c r="A127" t="s">
        <v>393</v>
      </c>
      <c r="F127" s="35">
        <v>1.52</v>
      </c>
      <c r="H127" t="s">
        <v>873</v>
      </c>
    </row>
    <row r="128" spans="1:8" x14ac:dyDescent="0.2">
      <c r="A128" t="s">
        <v>393</v>
      </c>
      <c r="F128" s="35">
        <v>1.52</v>
      </c>
      <c r="G128" s="46">
        <v>0</v>
      </c>
      <c r="H128" t="s">
        <v>635</v>
      </c>
    </row>
    <row r="130" spans="1:11" x14ac:dyDescent="0.2">
      <c r="A130" t="s">
        <v>395</v>
      </c>
      <c r="B130">
        <v>17</v>
      </c>
      <c r="C130">
        <v>18</v>
      </c>
      <c r="D130">
        <v>2.25</v>
      </c>
      <c r="F130" s="35">
        <v>17.91</v>
      </c>
      <c r="H130" t="s">
        <v>874</v>
      </c>
    </row>
    <row r="131" spans="1:11" x14ac:dyDescent="0.2">
      <c r="A131" t="s">
        <v>395</v>
      </c>
      <c r="F131" s="35">
        <v>17.91</v>
      </c>
      <c r="H131" t="s">
        <v>875</v>
      </c>
    </row>
    <row r="132" spans="1:11" x14ac:dyDescent="0.2">
      <c r="A132" t="s">
        <v>395</v>
      </c>
      <c r="F132" s="35">
        <v>17.91</v>
      </c>
      <c r="G132" s="46">
        <v>0</v>
      </c>
      <c r="H132" t="s">
        <v>635</v>
      </c>
    </row>
    <row r="134" spans="1:11" x14ac:dyDescent="0.2">
      <c r="A134" t="s">
        <v>397</v>
      </c>
      <c r="B134">
        <v>0</v>
      </c>
      <c r="C134">
        <v>10</v>
      </c>
      <c r="D134">
        <v>1.5</v>
      </c>
      <c r="F134" s="35">
        <v>0.51</v>
      </c>
      <c r="H134" t="s">
        <v>398</v>
      </c>
      <c r="J134" s="35">
        <f>F134</f>
        <v>0.51</v>
      </c>
    </row>
    <row r="135" spans="1:11" x14ac:dyDescent="0.2">
      <c r="A135" t="s">
        <v>397</v>
      </c>
      <c r="B135">
        <v>0</v>
      </c>
      <c r="C135">
        <v>3</v>
      </c>
      <c r="D135">
        <v>6</v>
      </c>
      <c r="F135" s="35">
        <v>0.17</v>
      </c>
      <c r="H135" t="s">
        <v>399</v>
      </c>
      <c r="J135" s="35">
        <f t="shared" ref="J135:J145" si="11">F135</f>
        <v>0.17</v>
      </c>
    </row>
    <row r="136" spans="1:11" x14ac:dyDescent="0.2">
      <c r="A136" t="s">
        <v>397</v>
      </c>
      <c r="B136">
        <v>0</v>
      </c>
      <c r="C136">
        <v>2</v>
      </c>
      <c r="D136">
        <v>0</v>
      </c>
      <c r="F136" s="35">
        <v>0.1</v>
      </c>
      <c r="H136" t="s">
        <v>400</v>
      </c>
      <c r="J136" s="35">
        <f t="shared" si="11"/>
        <v>0.1</v>
      </c>
    </row>
    <row r="137" spans="1:11" x14ac:dyDescent="0.2">
      <c r="A137" t="s">
        <v>397</v>
      </c>
      <c r="B137">
        <v>0</v>
      </c>
      <c r="C137">
        <v>1</v>
      </c>
      <c r="D137">
        <v>8</v>
      </c>
      <c r="F137" s="35">
        <v>0.08</v>
      </c>
      <c r="H137" t="s">
        <v>401</v>
      </c>
      <c r="J137" s="35">
        <f t="shared" si="11"/>
        <v>0.08</v>
      </c>
    </row>
    <row r="138" spans="1:11" x14ac:dyDescent="0.2">
      <c r="A138" t="s">
        <v>397</v>
      </c>
      <c r="B138">
        <v>0</v>
      </c>
      <c r="C138">
        <v>8</v>
      </c>
      <c r="D138">
        <v>9</v>
      </c>
      <c r="F138" s="35">
        <v>0.44</v>
      </c>
      <c r="H138" t="s">
        <v>402</v>
      </c>
      <c r="J138" s="35">
        <f t="shared" si="11"/>
        <v>0.44</v>
      </c>
    </row>
    <row r="139" spans="1:11" x14ac:dyDescent="0.2">
      <c r="A139" t="s">
        <v>397</v>
      </c>
      <c r="B139">
        <v>0</v>
      </c>
      <c r="C139">
        <v>1</v>
      </c>
      <c r="D139">
        <v>4</v>
      </c>
      <c r="F139" s="35">
        <v>7.0000000000000007E-2</v>
      </c>
      <c r="H139" t="s">
        <v>403</v>
      </c>
      <c r="J139" s="35">
        <f t="shared" si="11"/>
        <v>7.0000000000000007E-2</v>
      </c>
    </row>
    <row r="140" spans="1:11" x14ac:dyDescent="0.2">
      <c r="A140" t="s">
        <v>397</v>
      </c>
      <c r="B140">
        <v>0</v>
      </c>
      <c r="C140">
        <v>1</v>
      </c>
      <c r="D140">
        <v>11</v>
      </c>
      <c r="F140" s="35">
        <v>0.1</v>
      </c>
      <c r="H140" t="s">
        <v>404</v>
      </c>
      <c r="J140" s="35">
        <f t="shared" si="11"/>
        <v>0.1</v>
      </c>
    </row>
    <row r="141" spans="1:11" x14ac:dyDescent="0.2">
      <c r="A141" t="s">
        <v>397</v>
      </c>
      <c r="B141">
        <v>0</v>
      </c>
      <c r="C141">
        <v>8</v>
      </c>
      <c r="D141">
        <v>0</v>
      </c>
      <c r="F141" s="35">
        <v>0.4</v>
      </c>
      <c r="H141" t="s">
        <v>405</v>
      </c>
      <c r="J141" s="35">
        <f t="shared" si="11"/>
        <v>0.4</v>
      </c>
      <c r="K141" s="35">
        <f>J141</f>
        <v>0.4</v>
      </c>
    </row>
    <row r="142" spans="1:11" x14ac:dyDescent="0.2">
      <c r="A142" t="s">
        <v>397</v>
      </c>
      <c r="B142">
        <v>0</v>
      </c>
      <c r="C142">
        <v>13</v>
      </c>
      <c r="D142">
        <v>0</v>
      </c>
      <c r="F142" s="35">
        <v>0.65</v>
      </c>
      <c r="H142" t="s">
        <v>406</v>
      </c>
      <c r="J142" s="35">
        <f t="shared" si="11"/>
        <v>0.65</v>
      </c>
      <c r="K142" s="35">
        <f>J142</f>
        <v>0.65</v>
      </c>
    </row>
    <row r="143" spans="1:11" x14ac:dyDescent="0.2">
      <c r="A143" t="s">
        <v>397</v>
      </c>
      <c r="B143">
        <v>0</v>
      </c>
      <c r="C143">
        <v>0</v>
      </c>
      <c r="D143">
        <v>8</v>
      </c>
      <c r="F143" s="35">
        <v>0.03</v>
      </c>
      <c r="H143" t="s">
        <v>407</v>
      </c>
      <c r="J143" s="35">
        <f t="shared" si="11"/>
        <v>0.03</v>
      </c>
      <c r="K143" s="35">
        <f>J143</f>
        <v>0.03</v>
      </c>
    </row>
    <row r="144" spans="1:11" x14ac:dyDescent="0.2">
      <c r="A144" t="s">
        <v>397</v>
      </c>
      <c r="B144">
        <v>0</v>
      </c>
      <c r="C144">
        <v>0</v>
      </c>
      <c r="D144">
        <v>3</v>
      </c>
      <c r="F144" s="35">
        <v>0.01</v>
      </c>
      <c r="H144" t="s">
        <v>408</v>
      </c>
      <c r="J144" s="35">
        <f t="shared" si="11"/>
        <v>0.01</v>
      </c>
    </row>
    <row r="145" spans="1:10" x14ac:dyDescent="0.2">
      <c r="A145" t="s">
        <v>397</v>
      </c>
      <c r="B145">
        <v>1</v>
      </c>
      <c r="C145">
        <v>3</v>
      </c>
      <c r="D145">
        <v>8</v>
      </c>
      <c r="F145" s="35">
        <v>1.18</v>
      </c>
      <c r="H145" t="s">
        <v>876</v>
      </c>
      <c r="J145" s="35">
        <f t="shared" si="11"/>
        <v>1.18</v>
      </c>
    </row>
    <row r="146" spans="1:10" x14ac:dyDescent="0.2">
      <c r="A146" t="s">
        <v>397</v>
      </c>
      <c r="B146">
        <v>3</v>
      </c>
      <c r="C146">
        <v>14</v>
      </c>
      <c r="D146">
        <v>9</v>
      </c>
      <c r="F146" s="35">
        <f>B146+C146/20+D146/240</f>
        <v>3.7375000000000003</v>
      </c>
      <c r="H146" t="s">
        <v>877</v>
      </c>
    </row>
    <row r="147" spans="1:10" x14ac:dyDescent="0.2">
      <c r="A147" t="s">
        <v>397</v>
      </c>
      <c r="F147" s="35">
        <v>3.7399999999999989</v>
      </c>
      <c r="G147" s="46">
        <f>F147-F146</f>
        <v>2.4999999999986144E-3</v>
      </c>
      <c r="H147" t="s">
        <v>635</v>
      </c>
    </row>
    <row r="149" spans="1:10" x14ac:dyDescent="0.2">
      <c r="A149" t="s">
        <v>410</v>
      </c>
      <c r="B149">
        <v>54</v>
      </c>
      <c r="C149">
        <v>9</v>
      </c>
      <c r="D149">
        <v>0.75</v>
      </c>
      <c r="F149" s="35">
        <v>54.45</v>
      </c>
      <c r="H149" t="s">
        <v>411</v>
      </c>
    </row>
    <row r="150" spans="1:10" x14ac:dyDescent="0.2">
      <c r="A150" t="s">
        <v>410</v>
      </c>
      <c r="F150" s="35">
        <v>54.45</v>
      </c>
      <c r="G150" s="46">
        <v>0</v>
      </c>
      <c r="H150" t="s">
        <v>635</v>
      </c>
    </row>
    <row r="153" spans="1:10" x14ac:dyDescent="0.2">
      <c r="A153" t="s">
        <v>412</v>
      </c>
      <c r="B153">
        <v>175</v>
      </c>
      <c r="C153">
        <v>14</v>
      </c>
      <c r="D153">
        <v>9.5</v>
      </c>
      <c r="F153" s="35">
        <v>175.74</v>
      </c>
      <c r="H153" t="s">
        <v>413</v>
      </c>
    </row>
    <row r="154" spans="1:10" x14ac:dyDescent="0.2">
      <c r="A154" t="s">
        <v>412</v>
      </c>
      <c r="F154" s="35">
        <v>175.74</v>
      </c>
      <c r="G154" s="46">
        <v>0</v>
      </c>
      <c r="H154" t="s">
        <v>635</v>
      </c>
    </row>
    <row r="157" spans="1:10" x14ac:dyDescent="0.2">
      <c r="A157" t="s">
        <v>414</v>
      </c>
      <c r="B157">
        <v>116</v>
      </c>
      <c r="C157">
        <v>3</v>
      </c>
      <c r="D157">
        <v>2</v>
      </c>
      <c r="F157" s="35">
        <v>116.16</v>
      </c>
      <c r="H157" t="s">
        <v>415</v>
      </c>
    </row>
    <row r="158" spans="1:10" x14ac:dyDescent="0.2">
      <c r="A158" t="s">
        <v>414</v>
      </c>
      <c r="F158" s="35">
        <v>116.16</v>
      </c>
      <c r="G158" s="46">
        <v>0</v>
      </c>
      <c r="H158" t="s">
        <v>635</v>
      </c>
    </row>
    <row r="161" spans="1:8" x14ac:dyDescent="0.2">
      <c r="A161" t="s">
        <v>416</v>
      </c>
      <c r="B161">
        <v>59</v>
      </c>
      <c r="C161">
        <v>11</v>
      </c>
      <c r="D161">
        <v>7.5</v>
      </c>
      <c r="F161" s="35">
        <v>59.58</v>
      </c>
      <c r="H161" t="s">
        <v>417</v>
      </c>
    </row>
    <row r="163" spans="1:8" ht="16" x14ac:dyDescent="0.2">
      <c r="A163" s="10" t="s">
        <v>763</v>
      </c>
      <c r="F163" s="35">
        <f>F149</f>
        <v>54.45</v>
      </c>
    </row>
    <row r="164" spans="1:8" ht="16" x14ac:dyDescent="0.2">
      <c r="A164" s="10" t="s">
        <v>764</v>
      </c>
      <c r="F164" s="35">
        <f>F147+F132+F128+F124+F116+F107+F97+F91+F87+F68+F62+F44+F25</f>
        <v>53.956666666666663</v>
      </c>
      <c r="G164" s="46">
        <f>F164-F163</f>
        <v>-0.4933333333333394</v>
      </c>
    </row>
    <row r="165" spans="1:8" ht="16" x14ac:dyDescent="0.2">
      <c r="A165" s="10" t="s">
        <v>765</v>
      </c>
      <c r="F165" s="35">
        <f>SUM(J3:J147)</f>
        <v>12.888333333333328</v>
      </c>
    </row>
    <row r="166" spans="1:8" ht="16" x14ac:dyDescent="0.2">
      <c r="A166" s="10" t="s">
        <v>766</v>
      </c>
      <c r="F166" s="35">
        <f>SUM(K3:K147)</f>
        <v>8.7883333333333287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6"/>
  <sheetViews>
    <sheetView workbookViewId="0">
      <pane xSplit="1" ySplit="1" topLeftCell="F2" activePane="bottomRight" state="frozen"/>
      <selection pane="topRight" activeCell="B1" sqref="B1"/>
      <selection pane="bottomLeft" activeCell="A2" sqref="A2"/>
      <selection pane="bottomRight" activeCell="A2" sqref="A2:A7"/>
    </sheetView>
  </sheetViews>
  <sheetFormatPr baseColWidth="10" defaultColWidth="8.83203125" defaultRowHeight="15" x14ac:dyDescent="0.2"/>
  <cols>
    <col min="1" max="1" width="11.1640625" bestFit="1" customWidth="1"/>
    <col min="2" max="2" width="12.1640625" bestFit="1" customWidth="1"/>
    <col min="3" max="3" width="19.1640625" bestFit="1" customWidth="1"/>
    <col min="4" max="4" width="20" bestFit="1" customWidth="1"/>
    <col min="5" max="5" width="21.5" bestFit="1" customWidth="1"/>
    <col min="6" max="6" width="15.83203125" bestFit="1" customWidth="1"/>
    <col min="7" max="7" width="19" bestFit="1" customWidth="1"/>
    <col min="8" max="8" width="20" bestFit="1" customWidth="1"/>
    <col min="9" max="9" width="16.83203125" customWidth="1"/>
    <col min="10" max="10" width="16.6640625" customWidth="1"/>
    <col min="11" max="11" width="16.1640625" customWidth="1"/>
    <col min="12" max="12" width="21.5" customWidth="1"/>
    <col min="13" max="13" width="13" customWidth="1"/>
    <col min="15" max="15" width="14.33203125" customWidth="1"/>
    <col min="16" max="16" width="15.33203125" customWidth="1"/>
  </cols>
  <sheetData>
    <row r="1" spans="1:16" s="65" customFormat="1" ht="48" x14ac:dyDescent="0.2">
      <c r="A1" s="30" t="s">
        <v>707</v>
      </c>
      <c r="B1" s="30" t="s">
        <v>948</v>
      </c>
      <c r="C1" s="30" t="s">
        <v>697</v>
      </c>
      <c r="D1" s="30" t="s">
        <v>685</v>
      </c>
      <c r="E1" s="30" t="s">
        <v>949</v>
      </c>
      <c r="F1" s="30" t="s">
        <v>694</v>
      </c>
      <c r="G1" s="63" t="s">
        <v>708</v>
      </c>
      <c r="H1" s="63" t="s">
        <v>709</v>
      </c>
      <c r="I1" s="64" t="s">
        <v>711</v>
      </c>
    </row>
    <row r="2" spans="1:16" x14ac:dyDescent="0.2">
      <c r="A2" t="s">
        <v>194</v>
      </c>
      <c r="B2">
        <v>132.25</v>
      </c>
      <c r="D2">
        <v>0</v>
      </c>
      <c r="F2">
        <v>73.5</v>
      </c>
      <c r="G2" s="35">
        <f>B2-F2</f>
        <v>58.75</v>
      </c>
      <c r="H2" s="35">
        <v>0.31000566893424042</v>
      </c>
      <c r="I2" s="35">
        <f>H2*B2</f>
        <v>40.998249716553296</v>
      </c>
    </row>
    <row r="3" spans="1:16" x14ac:dyDescent="0.2">
      <c r="A3" t="s">
        <v>196</v>
      </c>
      <c r="B3">
        <v>10</v>
      </c>
      <c r="D3">
        <v>0</v>
      </c>
      <c r="F3">
        <v>8</v>
      </c>
      <c r="G3" s="35">
        <f t="shared" ref="G3:G7" si="0">B3-F3</f>
        <v>2</v>
      </c>
      <c r="H3" s="35">
        <v>0.1089371980676329</v>
      </c>
      <c r="I3" s="35">
        <f t="shared" ref="I3:I7" si="1">H3*B3</f>
        <v>1.0893719806763289</v>
      </c>
    </row>
    <row r="4" spans="1:16" x14ac:dyDescent="0.2">
      <c r="A4" t="s">
        <v>198</v>
      </c>
      <c r="B4">
        <v>83.375</v>
      </c>
      <c r="D4">
        <v>0</v>
      </c>
      <c r="F4">
        <v>5.3125</v>
      </c>
      <c r="G4" s="35">
        <f t="shared" si="0"/>
        <v>78.0625</v>
      </c>
      <c r="H4" s="35">
        <v>0.2</v>
      </c>
      <c r="I4" s="35">
        <f t="shared" si="1"/>
        <v>16.675000000000001</v>
      </c>
    </row>
    <row r="5" spans="1:16" x14ac:dyDescent="0.2">
      <c r="A5" t="s">
        <v>200</v>
      </c>
      <c r="B5">
        <v>205.0625</v>
      </c>
      <c r="D5">
        <v>0</v>
      </c>
      <c r="F5">
        <v>58.875</v>
      </c>
      <c r="G5" s="35">
        <f t="shared" si="0"/>
        <v>146.1875</v>
      </c>
      <c r="H5" s="35">
        <v>0.11365888181174801</v>
      </c>
      <c r="I5" s="35">
        <f t="shared" si="1"/>
        <v>23.307174451521576</v>
      </c>
    </row>
    <row r="6" spans="1:16" x14ac:dyDescent="0.2">
      <c r="A6" t="s">
        <v>202</v>
      </c>
      <c r="B6">
        <v>3.8125</v>
      </c>
      <c r="D6">
        <v>0.5</v>
      </c>
      <c r="F6">
        <v>0.25</v>
      </c>
      <c r="G6" s="35">
        <f t="shared" si="0"/>
        <v>3.5625</v>
      </c>
      <c r="H6" s="35">
        <v>0.1333333333333333</v>
      </c>
      <c r="I6" s="35">
        <f t="shared" si="1"/>
        <v>0.50833333333333319</v>
      </c>
    </row>
    <row r="7" spans="1:16" x14ac:dyDescent="0.2">
      <c r="A7" t="s">
        <v>204</v>
      </c>
      <c r="B7">
        <v>11.375</v>
      </c>
      <c r="D7">
        <v>3.25</v>
      </c>
      <c r="F7">
        <v>2.125</v>
      </c>
      <c r="G7" s="35">
        <f t="shared" si="0"/>
        <v>9.25</v>
      </c>
      <c r="H7" s="35">
        <v>9.9999999999999992E-2</v>
      </c>
      <c r="I7" s="35">
        <f t="shared" si="1"/>
        <v>1.1375</v>
      </c>
    </row>
    <row r="10" spans="1:16" ht="48" x14ac:dyDescent="0.2">
      <c r="A10" s="65" t="s">
        <v>950</v>
      </c>
      <c r="B10" s="66" t="s">
        <v>951</v>
      </c>
      <c r="C10" s="67" t="s">
        <v>952</v>
      </c>
      <c r="D10" s="67" t="s">
        <v>953</v>
      </c>
      <c r="E10" s="67" t="s">
        <v>954</v>
      </c>
      <c r="F10" s="65" t="s">
        <v>955</v>
      </c>
      <c r="G10" s="67" t="s">
        <v>956</v>
      </c>
      <c r="H10" s="67" t="s">
        <v>957</v>
      </c>
      <c r="I10" s="67" t="s">
        <v>958</v>
      </c>
      <c r="J10" s="67" t="s">
        <v>959</v>
      </c>
      <c r="K10" s="68" t="s">
        <v>960</v>
      </c>
      <c r="L10" s="67" t="s">
        <v>961</v>
      </c>
      <c r="M10" s="67" t="s">
        <v>962</v>
      </c>
      <c r="N10" s="69" t="s">
        <v>963</v>
      </c>
      <c r="O10" s="69" t="s">
        <v>964</v>
      </c>
      <c r="P10" s="66" t="s">
        <v>965</v>
      </c>
    </row>
    <row r="11" spans="1:16" x14ac:dyDescent="0.2">
      <c r="A11" t="s">
        <v>194</v>
      </c>
      <c r="B11">
        <f>B2</f>
        <v>132.25</v>
      </c>
      <c r="C11">
        <v>47</v>
      </c>
      <c r="D11">
        <v>1</v>
      </c>
      <c r="E11">
        <f>C11+D11/8</f>
        <v>47.125</v>
      </c>
      <c r="I11">
        <f>1+4.5+4+2</f>
        <v>11.5</v>
      </c>
      <c r="J11">
        <v>1</v>
      </c>
      <c r="K11" s="70">
        <f>I11+J11/8</f>
        <v>11.625</v>
      </c>
      <c r="L11">
        <f>B11-E11-K11</f>
        <v>73.5</v>
      </c>
      <c r="N11" s="35">
        <f>H2</f>
        <v>0.31000566893424042</v>
      </c>
      <c r="O11" s="35">
        <f>N11*L11</f>
        <v>22.78541666666667</v>
      </c>
    </row>
    <row r="12" spans="1:16" x14ac:dyDescent="0.2">
      <c r="A12" t="s">
        <v>196</v>
      </c>
      <c r="B12">
        <f t="shared" ref="B12:B16" si="2">B3</f>
        <v>10</v>
      </c>
      <c r="E12">
        <f t="shared" ref="E12:E16" si="3">C12+D12/8</f>
        <v>0</v>
      </c>
      <c r="I12">
        <v>1</v>
      </c>
      <c r="J12">
        <v>3</v>
      </c>
      <c r="K12" s="70">
        <f t="shared" ref="K12:K16" si="4">I12+J12/8</f>
        <v>1.375</v>
      </c>
      <c r="L12">
        <f t="shared" ref="L12:L15" si="5">B12-E12-K12</f>
        <v>8.625</v>
      </c>
      <c r="N12" s="35">
        <f t="shared" ref="N12:N16" si="6">H3</f>
        <v>0.1089371980676329</v>
      </c>
      <c r="O12" s="35">
        <f t="shared" ref="O12:O16" si="7">N12*L12</f>
        <v>0.93958333333333377</v>
      </c>
    </row>
    <row r="13" spans="1:16" x14ac:dyDescent="0.2">
      <c r="A13" t="s">
        <v>198</v>
      </c>
      <c r="B13">
        <f t="shared" si="2"/>
        <v>83.375</v>
      </c>
      <c r="C13">
        <v>20</v>
      </c>
      <c r="E13">
        <f t="shared" si="3"/>
        <v>20</v>
      </c>
      <c r="I13">
        <f>26+6.5+6.5+4+5+4+1+2+2</f>
        <v>57</v>
      </c>
      <c r="J13">
        <f>2.5+1.5+1</f>
        <v>5</v>
      </c>
      <c r="K13" s="70">
        <f t="shared" si="4"/>
        <v>57.625</v>
      </c>
      <c r="L13">
        <f t="shared" si="5"/>
        <v>5.75</v>
      </c>
      <c r="N13" s="35">
        <f t="shared" si="6"/>
        <v>0.2</v>
      </c>
      <c r="O13" s="35">
        <f t="shared" si="7"/>
        <v>1.1500000000000001</v>
      </c>
    </row>
    <row r="14" spans="1:16" x14ac:dyDescent="0.2">
      <c r="A14" t="s">
        <v>200</v>
      </c>
      <c r="B14">
        <f t="shared" si="2"/>
        <v>205.0625</v>
      </c>
      <c r="C14">
        <v>88.5</v>
      </c>
      <c r="D14">
        <v>0.5</v>
      </c>
      <c r="E14">
        <f t="shared" si="3"/>
        <v>88.5625</v>
      </c>
      <c r="I14">
        <f>15.5+5.5+2+4+5+25</f>
        <v>57</v>
      </c>
      <c r="J14">
        <f>2+2.5</f>
        <v>4.5</v>
      </c>
      <c r="K14" s="70">
        <f t="shared" si="4"/>
        <v>57.5625</v>
      </c>
      <c r="L14">
        <f t="shared" si="5"/>
        <v>58.9375</v>
      </c>
      <c r="N14" s="35">
        <f t="shared" si="6"/>
        <v>0.11365888181174801</v>
      </c>
      <c r="O14" s="35">
        <f t="shared" si="7"/>
        <v>6.6987703467798978</v>
      </c>
    </row>
    <row r="15" spans="1:16" x14ac:dyDescent="0.2">
      <c r="A15" t="s">
        <v>202</v>
      </c>
      <c r="B15">
        <f t="shared" si="2"/>
        <v>3.8125</v>
      </c>
      <c r="C15">
        <v>2</v>
      </c>
      <c r="D15">
        <v>3.5</v>
      </c>
      <c r="E15">
        <f t="shared" si="3"/>
        <v>2.4375</v>
      </c>
      <c r="I15">
        <v>1</v>
      </c>
      <c r="J15">
        <v>1</v>
      </c>
      <c r="K15" s="70">
        <f t="shared" si="4"/>
        <v>1.125</v>
      </c>
      <c r="L15">
        <f t="shared" si="5"/>
        <v>0.25</v>
      </c>
      <c r="N15" s="35">
        <f t="shared" si="6"/>
        <v>0.1333333333333333</v>
      </c>
      <c r="O15" s="35">
        <f t="shared" si="7"/>
        <v>3.3333333333333326E-2</v>
      </c>
    </row>
    <row r="16" spans="1:16" x14ac:dyDescent="0.2">
      <c r="A16" t="s">
        <v>204</v>
      </c>
      <c r="B16">
        <f t="shared" si="2"/>
        <v>11.375</v>
      </c>
      <c r="C16">
        <v>5.5</v>
      </c>
      <c r="E16">
        <f t="shared" si="3"/>
        <v>5.5</v>
      </c>
      <c r="I16">
        <f>2+1.5</f>
        <v>3.5</v>
      </c>
      <c r="J16">
        <v>1</v>
      </c>
      <c r="K16" s="70">
        <f t="shared" si="4"/>
        <v>3.625</v>
      </c>
      <c r="L16">
        <f>B16-E16-K16</f>
        <v>2.25</v>
      </c>
      <c r="N16" s="35">
        <f t="shared" si="6"/>
        <v>9.9999999999999992E-2</v>
      </c>
      <c r="O16" s="35">
        <f t="shared" si="7"/>
        <v>0.22499999999999998</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28"/>
  <sheetViews>
    <sheetView zoomScale="85" workbookViewId="0">
      <pane xSplit="1" ySplit="4" topLeftCell="N62" activePane="bottomRight" state="frozen"/>
      <selection pane="topRight" activeCell="B1" sqref="B1"/>
      <selection pane="bottomLeft" activeCell="A5" sqref="A5"/>
      <selection pane="bottomRight" activeCell="T100" sqref="T100"/>
    </sheetView>
  </sheetViews>
  <sheetFormatPr baseColWidth="10" defaultColWidth="8.83203125" defaultRowHeight="15" x14ac:dyDescent="0.2"/>
  <cols>
    <col min="1" max="1" width="44.33203125" bestFit="1" customWidth="1"/>
    <col min="10" max="10" width="20.1640625" customWidth="1"/>
    <col min="14" max="14" width="13.6640625" customWidth="1"/>
    <col min="15" max="15" width="8.83203125" style="35"/>
    <col min="16" max="16" width="16.1640625" customWidth="1"/>
    <col min="17" max="17" width="17.1640625" customWidth="1"/>
    <col min="19" max="19" width="14.1640625" customWidth="1"/>
    <col min="20" max="20" width="16.1640625" customWidth="1"/>
  </cols>
  <sheetData>
    <row r="1" spans="1:21" ht="16" x14ac:dyDescent="0.2">
      <c r="A1" s="10" t="s">
        <v>947</v>
      </c>
      <c r="B1" s="30"/>
      <c r="C1" s="30"/>
      <c r="D1" s="30"/>
      <c r="E1" s="30"/>
      <c r="F1" s="30"/>
      <c r="G1" s="30"/>
      <c r="H1" s="30"/>
      <c r="I1" s="30"/>
    </row>
    <row r="2" spans="1:21" ht="16" x14ac:dyDescent="0.2">
      <c r="A2" s="10"/>
    </row>
    <row r="3" spans="1:21" ht="17" customHeight="1" x14ac:dyDescent="0.2">
      <c r="A3" s="47"/>
      <c r="B3" s="47"/>
      <c r="C3" s="73" t="s">
        <v>648</v>
      </c>
      <c r="D3" s="73"/>
      <c r="E3" s="73"/>
      <c r="F3" s="73"/>
      <c r="G3" s="74" t="s">
        <v>928</v>
      </c>
      <c r="H3" s="73"/>
      <c r="I3" s="73"/>
      <c r="J3" s="73"/>
      <c r="K3" s="47"/>
      <c r="L3" s="47"/>
      <c r="M3" s="47"/>
      <c r="N3" s="47"/>
      <c r="O3" s="58"/>
      <c r="P3" s="58"/>
      <c r="Q3" s="47"/>
      <c r="R3" s="47"/>
      <c r="S3" s="47"/>
      <c r="T3" s="47"/>
    </row>
    <row r="4" spans="1:21" s="53" customFormat="1" ht="51" x14ac:dyDescent="0.2">
      <c r="A4" s="60" t="s">
        <v>785</v>
      </c>
      <c r="B4" s="60" t="s">
        <v>929</v>
      </c>
      <c r="C4" s="60" t="s">
        <v>648</v>
      </c>
      <c r="D4" s="61" t="s">
        <v>930</v>
      </c>
      <c r="E4" s="61" t="s">
        <v>931</v>
      </c>
      <c r="F4" s="61" t="s">
        <v>932</v>
      </c>
      <c r="G4" s="61" t="s">
        <v>933</v>
      </c>
      <c r="H4" s="60" t="s">
        <v>649</v>
      </c>
      <c r="I4" s="60" t="s">
        <v>934</v>
      </c>
      <c r="J4" s="60" t="s">
        <v>935</v>
      </c>
      <c r="K4" s="60" t="s">
        <v>936</v>
      </c>
      <c r="L4" s="60" t="s">
        <v>937</v>
      </c>
      <c r="M4" s="60" t="s">
        <v>938</v>
      </c>
      <c r="N4" s="60" t="s">
        <v>939</v>
      </c>
      <c r="O4" s="62" t="s">
        <v>940</v>
      </c>
      <c r="P4" s="62" t="s">
        <v>941</v>
      </c>
      <c r="Q4" s="60" t="s">
        <v>942</v>
      </c>
      <c r="R4" s="60" t="s">
        <v>943</v>
      </c>
      <c r="S4" s="60" t="s">
        <v>944</v>
      </c>
      <c r="T4" s="59" t="s">
        <v>945</v>
      </c>
      <c r="U4" s="60" t="s">
        <v>946</v>
      </c>
    </row>
    <row r="5" spans="1:21" ht="16" x14ac:dyDescent="0.2">
      <c r="A5" s="47" t="s">
        <v>650</v>
      </c>
      <c r="B5">
        <v>2</v>
      </c>
      <c r="K5">
        <v>2</v>
      </c>
    </row>
    <row r="6" spans="1:21" ht="16" x14ac:dyDescent="0.2">
      <c r="A6" s="47" t="s">
        <v>786</v>
      </c>
    </row>
    <row r="7" spans="1:21" x14ac:dyDescent="0.2">
      <c r="A7" t="s">
        <v>787</v>
      </c>
      <c r="B7">
        <v>3</v>
      </c>
      <c r="C7">
        <f>1+1+1</f>
        <v>3</v>
      </c>
      <c r="H7">
        <v>2</v>
      </c>
      <c r="K7">
        <v>4</v>
      </c>
      <c r="O7" s="35">
        <f>R7/H7</f>
        <v>0.28500000000000003</v>
      </c>
      <c r="R7" s="35">
        <f>Receipts!F73+Receipts!F74</f>
        <v>0.57000000000000006</v>
      </c>
    </row>
    <row r="8" spans="1:21" x14ac:dyDescent="0.2">
      <c r="A8" t="s">
        <v>878</v>
      </c>
    </row>
    <row r="9" spans="1:21" x14ac:dyDescent="0.2">
      <c r="A9" t="s">
        <v>788</v>
      </c>
    </row>
    <row r="10" spans="1:21" x14ac:dyDescent="0.2">
      <c r="A10" t="s">
        <v>789</v>
      </c>
    </row>
    <row r="11" spans="1:21" x14ac:dyDescent="0.2">
      <c r="A11" t="s">
        <v>790</v>
      </c>
    </row>
    <row r="12" spans="1:21" x14ac:dyDescent="0.2">
      <c r="A12" t="s">
        <v>651</v>
      </c>
      <c r="B12">
        <v>48</v>
      </c>
      <c r="C12">
        <f>3+1+1+9</f>
        <v>14</v>
      </c>
      <c r="H12">
        <v>6</v>
      </c>
      <c r="I12">
        <v>2</v>
      </c>
      <c r="K12">
        <v>54</v>
      </c>
      <c r="O12" s="35">
        <f t="shared" ref="O12:O26" si="0">R12/H12</f>
        <v>0.46666666666666662</v>
      </c>
      <c r="R12" s="35">
        <f>Receipts!F75</f>
        <v>2.8</v>
      </c>
    </row>
    <row r="13" spans="1:21" x14ac:dyDescent="0.2">
      <c r="A13" t="s">
        <v>652</v>
      </c>
      <c r="B13">
        <v>1</v>
      </c>
      <c r="K13">
        <v>1</v>
      </c>
    </row>
    <row r="14" spans="1:21" x14ac:dyDescent="0.2">
      <c r="A14" t="s">
        <v>653</v>
      </c>
      <c r="B14">
        <v>27</v>
      </c>
      <c r="C14">
        <f>8+8</f>
        <v>16</v>
      </c>
      <c r="H14">
        <v>6</v>
      </c>
      <c r="I14">
        <v>1</v>
      </c>
      <c r="K14">
        <v>40</v>
      </c>
      <c r="O14" s="35">
        <f t="shared" si="0"/>
        <v>0.3</v>
      </c>
      <c r="R14" s="35">
        <f>Receipts!F76</f>
        <v>1.8</v>
      </c>
    </row>
    <row r="15" spans="1:21" x14ac:dyDescent="0.2">
      <c r="A15" t="s">
        <v>654</v>
      </c>
      <c r="B15">
        <v>12</v>
      </c>
      <c r="C15">
        <v>1</v>
      </c>
      <c r="I15">
        <v>2</v>
      </c>
      <c r="J15">
        <f>3+8</f>
        <v>11</v>
      </c>
      <c r="K15">
        <v>0</v>
      </c>
    </row>
    <row r="16" spans="1:21" x14ac:dyDescent="0.2">
      <c r="A16" t="s">
        <v>655</v>
      </c>
      <c r="B16">
        <v>11</v>
      </c>
      <c r="I16">
        <v>3</v>
      </c>
      <c r="K16">
        <v>8</v>
      </c>
    </row>
    <row r="17" spans="1:21" x14ac:dyDescent="0.2">
      <c r="A17" t="s">
        <v>656</v>
      </c>
      <c r="B17">
        <v>11</v>
      </c>
      <c r="I17">
        <v>4</v>
      </c>
      <c r="K17">
        <v>7</v>
      </c>
    </row>
    <row r="18" spans="1:21" x14ac:dyDescent="0.2">
      <c r="A18" t="s">
        <v>657</v>
      </c>
      <c r="B18">
        <v>19</v>
      </c>
      <c r="C18">
        <f>8</f>
        <v>8</v>
      </c>
      <c r="H18">
        <v>6</v>
      </c>
      <c r="I18">
        <v>1</v>
      </c>
      <c r="J18">
        <f>2</f>
        <v>2</v>
      </c>
      <c r="K18">
        <v>11</v>
      </c>
      <c r="O18" s="35">
        <f t="shared" si="0"/>
        <v>4.9999999999999996E-2</v>
      </c>
      <c r="R18" s="35">
        <f>Receipts!F77</f>
        <v>0.3</v>
      </c>
    </row>
    <row r="19" spans="1:21" x14ac:dyDescent="0.2">
      <c r="A19" t="s">
        <v>658</v>
      </c>
      <c r="B19">
        <v>249</v>
      </c>
      <c r="H19">
        <v>7</v>
      </c>
      <c r="I19">
        <f>18+11</f>
        <v>29</v>
      </c>
      <c r="K19">
        <v>271</v>
      </c>
      <c r="O19" s="35">
        <f t="shared" si="0"/>
        <v>4.9999999999999996E-2</v>
      </c>
      <c r="R19" s="35">
        <f>Receipts!F78</f>
        <v>0.35</v>
      </c>
    </row>
    <row r="20" spans="1:21" x14ac:dyDescent="0.2">
      <c r="A20" t="s">
        <v>659</v>
      </c>
      <c r="B20">
        <v>2</v>
      </c>
      <c r="C20">
        <v>6</v>
      </c>
      <c r="K20">
        <v>8</v>
      </c>
    </row>
    <row r="21" spans="1:21" x14ac:dyDescent="0.2">
      <c r="A21" t="s">
        <v>660</v>
      </c>
      <c r="B21">
        <v>226</v>
      </c>
      <c r="C21">
        <v>50</v>
      </c>
      <c r="H21">
        <v>7</v>
      </c>
      <c r="I21">
        <f>30+1+2</f>
        <v>33</v>
      </c>
      <c r="K21">
        <v>236</v>
      </c>
      <c r="O21" s="35">
        <f t="shared" si="0"/>
        <v>4.1428571428571426E-2</v>
      </c>
      <c r="R21" s="35">
        <f>Receipts!F79</f>
        <v>0.28999999999999998</v>
      </c>
    </row>
    <row r="22" spans="1:21" x14ac:dyDescent="0.2">
      <c r="A22" t="s">
        <v>661</v>
      </c>
      <c r="B22">
        <v>145</v>
      </c>
      <c r="H22">
        <v>26</v>
      </c>
      <c r="I22">
        <v>5</v>
      </c>
      <c r="J22">
        <f>58+6+50</f>
        <v>114</v>
      </c>
      <c r="K22">
        <v>0</v>
      </c>
      <c r="O22" s="35">
        <f t="shared" si="0"/>
        <v>2.6153846153846156E-2</v>
      </c>
      <c r="R22" s="35">
        <f>Receipts!F80</f>
        <v>0.68</v>
      </c>
    </row>
    <row r="23" spans="1:21" x14ac:dyDescent="0.2">
      <c r="A23" t="s">
        <v>662</v>
      </c>
      <c r="C23">
        <v>172</v>
      </c>
      <c r="H23">
        <v>12</v>
      </c>
      <c r="I23">
        <f>16+3</f>
        <v>19</v>
      </c>
      <c r="J23">
        <f>16+3</f>
        <v>19</v>
      </c>
      <c r="K23">
        <v>122</v>
      </c>
      <c r="O23" s="35">
        <f t="shared" si="0"/>
        <v>1.8333333333333333E-2</v>
      </c>
      <c r="R23" s="35">
        <f>Receipts!F81</f>
        <v>0.22</v>
      </c>
    </row>
    <row r="24" spans="1:21" x14ac:dyDescent="0.2">
      <c r="A24" t="s">
        <v>664</v>
      </c>
      <c r="B24">
        <v>1</v>
      </c>
      <c r="C24">
        <v>1</v>
      </c>
      <c r="H24">
        <v>1</v>
      </c>
      <c r="K24">
        <v>1</v>
      </c>
      <c r="O24" s="35">
        <f t="shared" si="0"/>
        <v>0.05</v>
      </c>
      <c r="R24" s="35">
        <f>Receipts!F82</f>
        <v>0.05</v>
      </c>
    </row>
    <row r="25" spans="1:21" x14ac:dyDescent="0.2">
      <c r="A25" t="s">
        <v>663</v>
      </c>
      <c r="B25">
        <v>2</v>
      </c>
      <c r="K25">
        <v>2</v>
      </c>
    </row>
    <row r="26" spans="1:21" x14ac:dyDescent="0.2">
      <c r="A26" t="s">
        <v>665</v>
      </c>
      <c r="B26">
        <v>12</v>
      </c>
      <c r="C26">
        <f>30+1</f>
        <v>31</v>
      </c>
      <c r="H26">
        <v>5</v>
      </c>
      <c r="I26">
        <f>3+2</f>
        <v>5</v>
      </c>
      <c r="K26">
        <v>33</v>
      </c>
      <c r="O26" s="35">
        <f t="shared" si="0"/>
        <v>0.124</v>
      </c>
      <c r="R26" s="35">
        <f>Receipts!F83</f>
        <v>0.62</v>
      </c>
    </row>
    <row r="27" spans="1:21" x14ac:dyDescent="0.2">
      <c r="A27" t="s">
        <v>666</v>
      </c>
      <c r="B27">
        <v>37</v>
      </c>
      <c r="I27">
        <v>6</v>
      </c>
      <c r="J27">
        <f>1+30</f>
        <v>31</v>
      </c>
      <c r="K27">
        <v>0</v>
      </c>
    </row>
    <row r="28" spans="1:21" x14ac:dyDescent="0.2">
      <c r="A28" t="s">
        <v>667</v>
      </c>
      <c r="C28">
        <v>17</v>
      </c>
      <c r="I28">
        <v>3</v>
      </c>
      <c r="J28">
        <v>1</v>
      </c>
      <c r="K28">
        <v>13</v>
      </c>
    </row>
    <row r="29" spans="1:21" x14ac:dyDescent="0.2">
      <c r="A29" t="s">
        <v>672</v>
      </c>
      <c r="B29">
        <v>13</v>
      </c>
      <c r="C29">
        <v>3</v>
      </c>
      <c r="K29">
        <v>16</v>
      </c>
    </row>
    <row r="30" spans="1:21" x14ac:dyDescent="0.2">
      <c r="A30" t="s">
        <v>673</v>
      </c>
      <c r="B30">
        <v>6</v>
      </c>
      <c r="C30">
        <v>1</v>
      </c>
      <c r="I30">
        <v>5</v>
      </c>
      <c r="K30">
        <v>5</v>
      </c>
      <c r="U30" t="s">
        <v>967</v>
      </c>
    </row>
    <row r="31" spans="1:21" s="71" customFormat="1" ht="16" x14ac:dyDescent="0.2">
      <c r="A31" s="49" t="s">
        <v>879</v>
      </c>
      <c r="O31" s="72"/>
      <c r="R31" s="71">
        <f>SUM(R5:R29)</f>
        <v>7.6799999999999988</v>
      </c>
    </row>
    <row r="34" spans="1:21" ht="17" x14ac:dyDescent="0.2">
      <c r="A34" s="48" t="s">
        <v>793</v>
      </c>
    </row>
    <row r="35" spans="1:21" x14ac:dyDescent="0.2">
      <c r="A35" t="s">
        <v>794</v>
      </c>
      <c r="C35">
        <v>528</v>
      </c>
      <c r="J35">
        <f>53+375</f>
        <v>428</v>
      </c>
      <c r="O35" s="35">
        <v>0.02</v>
      </c>
      <c r="T35">
        <f>O35*J35</f>
        <v>8.56</v>
      </c>
    </row>
    <row r="36" spans="1:21" x14ac:dyDescent="0.2">
      <c r="A36" t="s">
        <v>795</v>
      </c>
      <c r="C36">
        <v>122</v>
      </c>
      <c r="J36">
        <v>122</v>
      </c>
      <c r="O36" s="35">
        <v>0.01</v>
      </c>
      <c r="T36">
        <f>O36*J36</f>
        <v>1.22</v>
      </c>
    </row>
    <row r="37" spans="1:21" x14ac:dyDescent="0.2">
      <c r="A37" t="s">
        <v>668</v>
      </c>
      <c r="C37">
        <v>6</v>
      </c>
      <c r="H37">
        <v>6</v>
      </c>
      <c r="O37" s="35">
        <f>10.5/240</f>
        <v>4.3749999999999997E-2</v>
      </c>
      <c r="T37">
        <f>O37*H37</f>
        <v>0.26249999999999996</v>
      </c>
      <c r="U37" t="s">
        <v>966</v>
      </c>
    </row>
    <row r="38" spans="1:21" x14ac:dyDescent="0.2">
      <c r="A38" t="s">
        <v>796</v>
      </c>
    </row>
    <row r="39" spans="1:21" s="71" customFormat="1" ht="16" x14ac:dyDescent="0.2">
      <c r="A39" s="49" t="s">
        <v>880</v>
      </c>
      <c r="O39" s="72"/>
      <c r="T39" s="72">
        <f>SUM(T35:T38)</f>
        <v>10.0425</v>
      </c>
    </row>
    <row r="42" spans="1:21" ht="17" x14ac:dyDescent="0.2">
      <c r="A42" s="48" t="s">
        <v>797</v>
      </c>
    </row>
    <row r="43" spans="1:21" x14ac:dyDescent="0.2">
      <c r="A43" t="s">
        <v>798</v>
      </c>
    </row>
    <row r="44" spans="1:21" x14ac:dyDescent="0.2">
      <c r="A44" t="s">
        <v>881</v>
      </c>
    </row>
    <row r="45" spans="1:21" x14ac:dyDescent="0.2">
      <c r="A45" t="s">
        <v>882</v>
      </c>
    </row>
    <row r="46" spans="1:21" x14ac:dyDescent="0.2">
      <c r="A46" t="s">
        <v>883</v>
      </c>
    </row>
    <row r="47" spans="1:21" x14ac:dyDescent="0.2">
      <c r="A47" s="50" t="s">
        <v>884</v>
      </c>
    </row>
    <row r="48" spans="1:21" x14ac:dyDescent="0.2">
      <c r="A48" t="s">
        <v>885</v>
      </c>
    </row>
    <row r="49" spans="1:15" x14ac:dyDescent="0.2">
      <c r="A49" s="51" t="s">
        <v>886</v>
      </c>
    </row>
    <row r="50" spans="1:15" x14ac:dyDescent="0.2">
      <c r="A50" s="51" t="s">
        <v>887</v>
      </c>
    </row>
    <row r="51" spans="1:15" x14ac:dyDescent="0.2">
      <c r="A51" s="51" t="s">
        <v>888</v>
      </c>
    </row>
    <row r="52" spans="1:15" x14ac:dyDescent="0.2">
      <c r="A52" s="51" t="s">
        <v>889</v>
      </c>
    </row>
    <row r="53" spans="1:15" x14ac:dyDescent="0.2">
      <c r="A53" s="52" t="s">
        <v>890</v>
      </c>
    </row>
    <row r="54" spans="1:15" x14ac:dyDescent="0.2">
      <c r="A54" s="53" t="s">
        <v>675</v>
      </c>
    </row>
    <row r="55" spans="1:15" x14ac:dyDescent="0.2">
      <c r="A55" s="51" t="s">
        <v>886</v>
      </c>
    </row>
    <row r="56" spans="1:15" x14ac:dyDescent="0.2">
      <c r="A56" s="51" t="s">
        <v>887</v>
      </c>
    </row>
    <row r="57" spans="1:15" x14ac:dyDescent="0.2">
      <c r="A57" s="51" t="s">
        <v>888</v>
      </c>
    </row>
    <row r="58" spans="1:15" x14ac:dyDescent="0.2">
      <c r="A58" s="51" t="s">
        <v>889</v>
      </c>
    </row>
    <row r="59" spans="1:15" x14ac:dyDescent="0.2">
      <c r="A59" s="52" t="s">
        <v>814</v>
      </c>
    </row>
    <row r="60" spans="1:15" x14ac:dyDescent="0.2">
      <c r="A60" t="s">
        <v>891</v>
      </c>
    </row>
    <row r="61" spans="1:15" x14ac:dyDescent="0.2">
      <c r="A61" t="s">
        <v>815</v>
      </c>
    </row>
    <row r="62" spans="1:15" x14ac:dyDescent="0.2">
      <c r="A62" t="s">
        <v>816</v>
      </c>
    </row>
    <row r="63" spans="1:15" s="71" customFormat="1" x14ac:dyDescent="0.2">
      <c r="A63" s="71" t="s">
        <v>892</v>
      </c>
      <c r="O63" s="72"/>
    </row>
    <row r="66" spans="1:20" ht="17" x14ac:dyDescent="0.2">
      <c r="A66" s="48" t="s">
        <v>671</v>
      </c>
    </row>
    <row r="67" spans="1:20" ht="16" x14ac:dyDescent="0.2">
      <c r="A67" s="47" t="s">
        <v>817</v>
      </c>
    </row>
    <row r="68" spans="1:20" x14ac:dyDescent="0.2">
      <c r="A68" t="s">
        <v>818</v>
      </c>
    </row>
    <row r="69" spans="1:20" x14ac:dyDescent="0.2">
      <c r="A69" t="s">
        <v>819</v>
      </c>
    </row>
    <row r="70" spans="1:20" x14ac:dyDescent="0.2">
      <c r="A70" t="s">
        <v>820</v>
      </c>
    </row>
    <row r="71" spans="1:20" x14ac:dyDescent="0.2">
      <c r="A71" s="54" t="s">
        <v>893</v>
      </c>
    </row>
    <row r="72" spans="1:20" x14ac:dyDescent="0.2">
      <c r="A72" s="55" t="s">
        <v>894</v>
      </c>
    </row>
    <row r="74" spans="1:20" ht="16" x14ac:dyDescent="0.2">
      <c r="A74" s="10" t="s">
        <v>821</v>
      </c>
    </row>
    <row r="75" spans="1:20" x14ac:dyDescent="0.2">
      <c r="A75" t="s">
        <v>822</v>
      </c>
    </row>
    <row r="76" spans="1:20" x14ac:dyDescent="0.2">
      <c r="A76" t="s">
        <v>823</v>
      </c>
      <c r="F76">
        <v>172</v>
      </c>
      <c r="G76">
        <v>18</v>
      </c>
      <c r="H76">
        <v>154</v>
      </c>
      <c r="O76" s="35">
        <f>R76/H76</f>
        <v>9.74025974025974E-3</v>
      </c>
      <c r="R76" s="35">
        <f>Receipts!F108</f>
        <v>1.5</v>
      </c>
      <c r="T76">
        <f>O76*H76</f>
        <v>1.5</v>
      </c>
    </row>
    <row r="77" spans="1:20" x14ac:dyDescent="0.2">
      <c r="A77" t="s">
        <v>824</v>
      </c>
    </row>
    <row r="78" spans="1:20" s="71" customFormat="1" x14ac:dyDescent="0.2">
      <c r="A78" s="71" t="s">
        <v>635</v>
      </c>
      <c r="O78" s="72"/>
      <c r="R78" s="71">
        <f>SUM(R75:R77)</f>
        <v>1.5</v>
      </c>
      <c r="T78" s="71">
        <f>T76</f>
        <v>1.5</v>
      </c>
    </row>
    <row r="81" spans="1:21" ht="16" x14ac:dyDescent="0.2">
      <c r="A81" s="10" t="s">
        <v>895</v>
      </c>
    </row>
    <row r="82" spans="1:21" x14ac:dyDescent="0.2">
      <c r="A82" t="s">
        <v>896</v>
      </c>
    </row>
    <row r="83" spans="1:21" x14ac:dyDescent="0.2">
      <c r="A83" t="s">
        <v>897</v>
      </c>
    </row>
    <row r="84" spans="1:21" x14ac:dyDescent="0.2">
      <c r="A84" t="s">
        <v>898</v>
      </c>
    </row>
    <row r="85" spans="1:21" ht="16" x14ac:dyDescent="0.2">
      <c r="A85" s="56" t="s">
        <v>892</v>
      </c>
    </row>
    <row r="87" spans="1:21" ht="16" x14ac:dyDescent="0.2">
      <c r="A87" s="10" t="s">
        <v>669</v>
      </c>
    </row>
    <row r="88" spans="1:21" x14ac:dyDescent="0.2">
      <c r="A88" t="s">
        <v>899</v>
      </c>
      <c r="C88">
        <v>41</v>
      </c>
      <c r="J88">
        <v>41</v>
      </c>
      <c r="O88" s="35">
        <f>R88/J88</f>
        <v>5.1219512195121953E-3</v>
      </c>
      <c r="R88" s="35">
        <f>Receipts!F102</f>
        <v>0.21</v>
      </c>
      <c r="T88" s="35">
        <f>O88*C88</f>
        <v>0.21000000000000002</v>
      </c>
      <c r="U88" t="s">
        <v>972</v>
      </c>
    </row>
    <row r="89" spans="1:21" x14ac:dyDescent="0.2">
      <c r="A89" t="s">
        <v>900</v>
      </c>
      <c r="C89">
        <v>162</v>
      </c>
      <c r="H89">
        <v>141</v>
      </c>
      <c r="J89">
        <f>16+3</f>
        <v>19</v>
      </c>
      <c r="O89" s="35">
        <f>R89/H89</f>
        <v>3.3191489361702124E-2</v>
      </c>
      <c r="R89" s="35">
        <f>Receipts!F103</f>
        <v>4.68</v>
      </c>
      <c r="T89" s="35">
        <f>O89*C89</f>
        <v>5.3770212765957437</v>
      </c>
    </row>
    <row r="90" spans="1:21" s="71" customFormat="1" ht="16" x14ac:dyDescent="0.2">
      <c r="A90" s="49" t="s">
        <v>635</v>
      </c>
      <c r="O90" s="72"/>
      <c r="R90" s="72">
        <f>SUM(R88:R89)</f>
        <v>4.8899999999999997</v>
      </c>
      <c r="T90" s="72">
        <f>SUM(T88:T89)</f>
        <v>5.5870212765957437</v>
      </c>
    </row>
    <row r="92" spans="1:21" ht="16" x14ac:dyDescent="0.2">
      <c r="A92" s="10" t="s">
        <v>670</v>
      </c>
    </row>
    <row r="93" spans="1:21" x14ac:dyDescent="0.2">
      <c r="A93" t="s">
        <v>670</v>
      </c>
      <c r="C93">
        <v>22</v>
      </c>
      <c r="H93">
        <v>22</v>
      </c>
      <c r="O93" s="35">
        <f>R93/H93</f>
        <v>1.5454545454545455E-2</v>
      </c>
      <c r="R93" s="35">
        <f>Receipts!F104</f>
        <v>0.34</v>
      </c>
      <c r="T93">
        <f>O93*H93</f>
        <v>0.34</v>
      </c>
      <c r="U93" t="s">
        <v>966</v>
      </c>
    </row>
    <row r="94" spans="1:21" s="71" customFormat="1" ht="16" x14ac:dyDescent="0.2">
      <c r="A94" s="49" t="s">
        <v>635</v>
      </c>
      <c r="O94" s="72"/>
      <c r="R94" s="72">
        <f>SUM(R93)</f>
        <v>0.34</v>
      </c>
      <c r="T94" s="71">
        <f>T93</f>
        <v>0.34</v>
      </c>
    </row>
    <row r="95" spans="1:21" ht="16" x14ac:dyDescent="0.2">
      <c r="A95" s="57"/>
    </row>
    <row r="96" spans="1:21" ht="16" x14ac:dyDescent="0.2">
      <c r="A96" s="56" t="s">
        <v>901</v>
      </c>
    </row>
    <row r="99" spans="1:21" ht="16" x14ac:dyDescent="0.2">
      <c r="A99" s="10" t="s">
        <v>674</v>
      </c>
      <c r="B99">
        <v>60</v>
      </c>
      <c r="C99">
        <v>2</v>
      </c>
      <c r="J99">
        <v>60</v>
      </c>
      <c r="K99">
        <v>2</v>
      </c>
      <c r="U99" t="s">
        <v>968</v>
      </c>
    </row>
    <row r="102" spans="1:21" ht="16" x14ac:dyDescent="0.2">
      <c r="A102" s="57" t="s">
        <v>902</v>
      </c>
    </row>
    <row r="103" spans="1:21" ht="16" x14ac:dyDescent="0.2">
      <c r="A103" s="10" t="s">
        <v>677</v>
      </c>
    </row>
    <row r="104" spans="1:21" x14ac:dyDescent="0.2">
      <c r="A104" t="s">
        <v>903</v>
      </c>
    </row>
    <row r="105" spans="1:21" x14ac:dyDescent="0.2">
      <c r="A105" t="s">
        <v>904</v>
      </c>
    </row>
    <row r="106" spans="1:21" x14ac:dyDescent="0.2">
      <c r="A106" t="s">
        <v>905</v>
      </c>
    </row>
    <row r="107" spans="1:21" x14ac:dyDescent="0.2">
      <c r="A107" t="s">
        <v>906</v>
      </c>
    </row>
    <row r="108" spans="1:21" x14ac:dyDescent="0.2">
      <c r="A108" t="s">
        <v>907</v>
      </c>
    </row>
    <row r="109" spans="1:21" x14ac:dyDescent="0.2">
      <c r="A109" t="s">
        <v>908</v>
      </c>
    </row>
    <row r="110" spans="1:21" x14ac:dyDescent="0.2">
      <c r="A110" t="s">
        <v>909</v>
      </c>
    </row>
    <row r="111" spans="1:21" x14ac:dyDescent="0.2">
      <c r="A111" t="s">
        <v>910</v>
      </c>
    </row>
    <row r="112" spans="1:21" x14ac:dyDescent="0.2">
      <c r="A112" t="s">
        <v>911</v>
      </c>
    </row>
    <row r="113" spans="1:1" x14ac:dyDescent="0.2">
      <c r="A113" t="s">
        <v>912</v>
      </c>
    </row>
    <row r="114" spans="1:1" x14ac:dyDescent="0.2">
      <c r="A114" t="s">
        <v>913</v>
      </c>
    </row>
    <row r="115" spans="1:1" x14ac:dyDescent="0.2">
      <c r="A115" t="s">
        <v>914</v>
      </c>
    </row>
    <row r="116" spans="1:1" x14ac:dyDescent="0.2">
      <c r="A116" t="s">
        <v>915</v>
      </c>
    </row>
    <row r="117" spans="1:1" x14ac:dyDescent="0.2">
      <c r="A117" t="s">
        <v>916</v>
      </c>
    </row>
    <row r="118" spans="1:1" x14ac:dyDescent="0.2">
      <c r="A118" t="s">
        <v>917</v>
      </c>
    </row>
    <row r="119" spans="1:1" x14ac:dyDescent="0.2">
      <c r="A119" t="s">
        <v>918</v>
      </c>
    </row>
    <row r="120" spans="1:1" x14ac:dyDescent="0.2">
      <c r="A120" t="s">
        <v>919</v>
      </c>
    </row>
    <row r="121" spans="1:1" x14ac:dyDescent="0.2">
      <c r="A121" t="s">
        <v>920</v>
      </c>
    </row>
    <row r="122" spans="1:1" x14ac:dyDescent="0.2">
      <c r="A122" t="s">
        <v>921</v>
      </c>
    </row>
    <row r="123" spans="1:1" x14ac:dyDescent="0.2">
      <c r="A123" t="s">
        <v>922</v>
      </c>
    </row>
    <row r="124" spans="1:1" x14ac:dyDescent="0.2">
      <c r="A124" t="s">
        <v>923</v>
      </c>
    </row>
    <row r="125" spans="1:1" x14ac:dyDescent="0.2">
      <c r="A125" t="s">
        <v>924</v>
      </c>
    </row>
    <row r="126" spans="1:1" x14ac:dyDescent="0.2">
      <c r="A126" t="s">
        <v>925</v>
      </c>
    </row>
    <row r="127" spans="1:1" x14ac:dyDescent="0.2">
      <c r="A127" t="s">
        <v>926</v>
      </c>
    </row>
    <row r="128" spans="1:1" x14ac:dyDescent="0.2">
      <c r="A128" t="s">
        <v>927</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99"/>
  <sheetViews>
    <sheetView workbookViewId="0"/>
  </sheetViews>
  <sheetFormatPr baseColWidth="10" defaultColWidth="8.83203125" defaultRowHeight="15" x14ac:dyDescent="0.2"/>
  <sheetData>
    <row r="1" spans="1:38" x14ac:dyDescent="0.2">
      <c r="A1" s="1" t="s">
        <v>0</v>
      </c>
      <c r="B1" s="1" t="s">
        <v>1</v>
      </c>
      <c r="C1" s="1" t="s">
        <v>678</v>
      </c>
      <c r="D1" s="1" t="s">
        <v>679</v>
      </c>
      <c r="E1" s="1" t="s">
        <v>680</v>
      </c>
      <c r="F1" s="1" t="s">
        <v>681</v>
      </c>
      <c r="G1" s="1" t="s">
        <v>682</v>
      </c>
      <c r="H1" s="1" t="s">
        <v>683</v>
      </c>
      <c r="I1" s="1" t="s">
        <v>684</v>
      </c>
      <c r="J1" s="1" t="s">
        <v>685</v>
      </c>
      <c r="K1" s="1" t="s">
        <v>686</v>
      </c>
      <c r="L1" s="1" t="s">
        <v>687</v>
      </c>
      <c r="M1" s="1" t="s">
        <v>688</v>
      </c>
      <c r="N1" s="1" t="s">
        <v>689</v>
      </c>
      <c r="O1" s="1" t="s">
        <v>690</v>
      </c>
      <c r="P1" s="1" t="s">
        <v>691</v>
      </c>
      <c r="Q1" s="1" t="s">
        <v>692</v>
      </c>
      <c r="R1" s="1" t="s">
        <v>693</v>
      </c>
      <c r="S1" s="1" t="s">
        <v>694</v>
      </c>
      <c r="T1" s="1" t="s">
        <v>695</v>
      </c>
      <c r="U1" s="1" t="s">
        <v>696</v>
      </c>
      <c r="V1" s="1" t="s">
        <v>697</v>
      </c>
      <c r="W1" s="1" t="s">
        <v>698</v>
      </c>
      <c r="X1" s="1" t="s">
        <v>7</v>
      </c>
      <c r="Y1" s="1" t="s">
        <v>8</v>
      </c>
      <c r="Z1" s="1" t="s">
        <v>9</v>
      </c>
      <c r="AA1" s="1" t="s">
        <v>10</v>
      </c>
      <c r="AB1" s="1" t="s">
        <v>11</v>
      </c>
      <c r="AC1" s="1" t="s">
        <v>699</v>
      </c>
      <c r="AD1" s="1" t="s">
        <v>700</v>
      </c>
      <c r="AE1" s="1" t="s">
        <v>14</v>
      </c>
      <c r="AF1" s="1" t="s">
        <v>15</v>
      </c>
      <c r="AG1" s="1" t="s">
        <v>16</v>
      </c>
      <c r="AH1" s="1" t="s">
        <v>17</v>
      </c>
      <c r="AI1" s="1" t="s">
        <v>18</v>
      </c>
      <c r="AJ1" s="1" t="s">
        <v>19</v>
      </c>
      <c r="AK1" s="1" t="s">
        <v>20</v>
      </c>
      <c r="AL1" s="1" t="s">
        <v>21</v>
      </c>
    </row>
    <row r="2" spans="1:38" x14ac:dyDescent="0.2">
      <c r="A2" t="s">
        <v>416</v>
      </c>
      <c r="B2" t="s">
        <v>635</v>
      </c>
      <c r="C2">
        <v>0</v>
      </c>
      <c r="D2">
        <v>0</v>
      </c>
      <c r="E2">
        <v>0</v>
      </c>
      <c r="F2">
        <v>0</v>
      </c>
      <c r="G2">
        <v>0</v>
      </c>
      <c r="H2">
        <v>0</v>
      </c>
      <c r="I2">
        <v>0</v>
      </c>
      <c r="J2">
        <v>0</v>
      </c>
      <c r="K2">
        <v>0</v>
      </c>
      <c r="L2">
        <v>0</v>
      </c>
      <c r="M2">
        <v>0</v>
      </c>
      <c r="N2">
        <v>0</v>
      </c>
      <c r="O2">
        <v>0</v>
      </c>
      <c r="P2">
        <v>0</v>
      </c>
      <c r="Q2">
        <v>0</v>
      </c>
      <c r="R2">
        <v>0</v>
      </c>
      <c r="S2">
        <v>0</v>
      </c>
      <c r="T2">
        <v>0</v>
      </c>
      <c r="U2">
        <v>0</v>
      </c>
      <c r="V2">
        <v>0</v>
      </c>
      <c r="W2">
        <v>0</v>
      </c>
    </row>
    <row r="3" spans="1:38" x14ac:dyDescent="0.2">
      <c r="A3" t="s">
        <v>418</v>
      </c>
      <c r="B3" t="s">
        <v>419</v>
      </c>
      <c r="C3">
        <v>0</v>
      </c>
      <c r="D3">
        <v>0</v>
      </c>
      <c r="E3">
        <v>0</v>
      </c>
      <c r="F3">
        <v>0</v>
      </c>
      <c r="G3">
        <v>0</v>
      </c>
      <c r="H3">
        <v>0</v>
      </c>
      <c r="I3">
        <v>0</v>
      </c>
      <c r="J3">
        <v>0</v>
      </c>
      <c r="K3">
        <v>0</v>
      </c>
      <c r="L3">
        <v>0</v>
      </c>
      <c r="M3">
        <v>0</v>
      </c>
      <c r="N3">
        <v>0</v>
      </c>
      <c r="O3">
        <v>0</v>
      </c>
      <c r="P3">
        <v>0</v>
      </c>
      <c r="Q3">
        <v>0</v>
      </c>
      <c r="R3">
        <v>0</v>
      </c>
      <c r="S3">
        <v>0</v>
      </c>
      <c r="T3">
        <v>0</v>
      </c>
      <c r="U3">
        <v>0</v>
      </c>
      <c r="V3">
        <v>0</v>
      </c>
      <c r="W3">
        <v>0</v>
      </c>
      <c r="X3">
        <v>5</v>
      </c>
      <c r="Y3">
        <v>1.5</v>
      </c>
      <c r="Z3">
        <v>5.1875</v>
      </c>
      <c r="AA3">
        <v>5.1875</v>
      </c>
      <c r="AB3">
        <v>0</v>
      </c>
      <c r="AC3">
        <v>5</v>
      </c>
      <c r="AD3">
        <v>1.5</v>
      </c>
    </row>
    <row r="4" spans="1:38" x14ac:dyDescent="0.2">
      <c r="A4" t="s">
        <v>418</v>
      </c>
      <c r="B4" t="s">
        <v>420</v>
      </c>
      <c r="C4">
        <v>0</v>
      </c>
      <c r="D4">
        <v>0</v>
      </c>
      <c r="E4">
        <v>0</v>
      </c>
      <c r="F4">
        <v>0</v>
      </c>
      <c r="G4">
        <v>0</v>
      </c>
      <c r="H4">
        <v>0</v>
      </c>
      <c r="I4">
        <v>0</v>
      </c>
      <c r="J4">
        <v>0</v>
      </c>
      <c r="K4">
        <v>0</v>
      </c>
      <c r="L4">
        <v>0</v>
      </c>
      <c r="M4">
        <v>0</v>
      </c>
      <c r="N4">
        <v>0</v>
      </c>
      <c r="O4">
        <v>0</v>
      </c>
      <c r="P4">
        <v>0</v>
      </c>
      <c r="Q4">
        <v>0</v>
      </c>
      <c r="R4">
        <v>0</v>
      </c>
      <c r="S4">
        <v>0</v>
      </c>
      <c r="T4">
        <v>131.5</v>
      </c>
      <c r="U4">
        <v>0</v>
      </c>
      <c r="V4">
        <v>131.5</v>
      </c>
      <c r="W4">
        <v>0</v>
      </c>
      <c r="X4">
        <v>131.5</v>
      </c>
      <c r="Y4">
        <v>0</v>
      </c>
      <c r="Z4">
        <v>131.5</v>
      </c>
      <c r="AA4">
        <v>131.5</v>
      </c>
      <c r="AB4">
        <v>0</v>
      </c>
      <c r="AC4">
        <v>131.5</v>
      </c>
      <c r="AD4">
        <v>0</v>
      </c>
    </row>
    <row r="5" spans="1:38" x14ac:dyDescent="0.2">
      <c r="A5" t="s">
        <v>418</v>
      </c>
      <c r="B5" t="s">
        <v>421</v>
      </c>
      <c r="C5">
        <v>0</v>
      </c>
      <c r="D5">
        <v>0</v>
      </c>
      <c r="E5">
        <v>0</v>
      </c>
      <c r="F5">
        <v>0</v>
      </c>
      <c r="G5">
        <v>0</v>
      </c>
      <c r="H5">
        <v>0</v>
      </c>
      <c r="I5">
        <v>0</v>
      </c>
      <c r="J5">
        <v>0</v>
      </c>
      <c r="K5">
        <v>0</v>
      </c>
      <c r="L5">
        <v>0</v>
      </c>
      <c r="M5">
        <v>0</v>
      </c>
      <c r="N5">
        <v>0</v>
      </c>
      <c r="O5">
        <v>0</v>
      </c>
      <c r="P5">
        <v>0</v>
      </c>
      <c r="Q5">
        <v>0</v>
      </c>
      <c r="R5">
        <v>0</v>
      </c>
      <c r="S5">
        <v>0</v>
      </c>
      <c r="T5">
        <v>0</v>
      </c>
      <c r="U5">
        <v>0</v>
      </c>
      <c r="V5">
        <v>0</v>
      </c>
      <c r="W5">
        <v>0</v>
      </c>
      <c r="X5">
        <v>0</v>
      </c>
      <c r="Y5">
        <v>6</v>
      </c>
      <c r="Z5">
        <v>0.75</v>
      </c>
      <c r="AA5">
        <v>0.75</v>
      </c>
      <c r="AB5">
        <v>0</v>
      </c>
      <c r="AC5">
        <v>0</v>
      </c>
      <c r="AD5">
        <v>6</v>
      </c>
    </row>
    <row r="6" spans="1:38" x14ac:dyDescent="0.2">
      <c r="A6" t="s">
        <v>418</v>
      </c>
      <c r="B6" t="s">
        <v>422</v>
      </c>
      <c r="C6">
        <v>0</v>
      </c>
      <c r="D6">
        <v>0</v>
      </c>
      <c r="E6">
        <v>0</v>
      </c>
      <c r="F6">
        <v>0</v>
      </c>
      <c r="G6">
        <v>0</v>
      </c>
      <c r="H6">
        <v>0</v>
      </c>
      <c r="I6">
        <v>0</v>
      </c>
      <c r="J6">
        <v>0</v>
      </c>
      <c r="K6">
        <v>0</v>
      </c>
      <c r="L6">
        <v>0</v>
      </c>
      <c r="M6">
        <v>0</v>
      </c>
      <c r="N6">
        <v>0</v>
      </c>
      <c r="O6">
        <v>0</v>
      </c>
      <c r="P6">
        <v>0</v>
      </c>
      <c r="Q6">
        <v>0</v>
      </c>
      <c r="R6">
        <v>0</v>
      </c>
      <c r="S6">
        <v>0</v>
      </c>
      <c r="T6">
        <v>0</v>
      </c>
      <c r="U6">
        <v>0</v>
      </c>
      <c r="V6">
        <v>0</v>
      </c>
      <c r="W6">
        <v>0</v>
      </c>
      <c r="X6">
        <v>1.32</v>
      </c>
      <c r="Y6">
        <v>2</v>
      </c>
      <c r="Z6">
        <v>1.57</v>
      </c>
      <c r="AA6">
        <v>1.57</v>
      </c>
      <c r="AB6">
        <v>0</v>
      </c>
      <c r="AC6">
        <v>1.32</v>
      </c>
      <c r="AD6">
        <v>2</v>
      </c>
    </row>
    <row r="7" spans="1:38" x14ac:dyDescent="0.2">
      <c r="A7" t="s">
        <v>418</v>
      </c>
      <c r="B7" t="s">
        <v>423</v>
      </c>
      <c r="C7">
        <v>0</v>
      </c>
      <c r="D7">
        <v>0</v>
      </c>
      <c r="E7">
        <v>47</v>
      </c>
      <c r="F7">
        <v>1</v>
      </c>
      <c r="G7">
        <v>47.125</v>
      </c>
      <c r="H7">
        <v>0</v>
      </c>
      <c r="I7">
        <v>0</v>
      </c>
      <c r="J7">
        <v>0</v>
      </c>
      <c r="K7">
        <v>0</v>
      </c>
      <c r="L7">
        <v>0</v>
      </c>
      <c r="M7">
        <v>0</v>
      </c>
      <c r="N7">
        <v>0</v>
      </c>
      <c r="O7">
        <v>0</v>
      </c>
      <c r="P7">
        <v>0</v>
      </c>
      <c r="Q7">
        <v>0</v>
      </c>
      <c r="R7">
        <v>0</v>
      </c>
      <c r="S7">
        <v>0</v>
      </c>
      <c r="T7">
        <v>0</v>
      </c>
      <c r="U7">
        <v>0</v>
      </c>
      <c r="V7">
        <v>0</v>
      </c>
      <c r="W7">
        <v>0</v>
      </c>
      <c r="X7">
        <v>47</v>
      </c>
      <c r="Y7">
        <v>1</v>
      </c>
      <c r="Z7">
        <v>47.125</v>
      </c>
      <c r="AA7">
        <v>47.125</v>
      </c>
      <c r="AB7">
        <v>0</v>
      </c>
      <c r="AC7">
        <v>47</v>
      </c>
      <c r="AD7">
        <v>1</v>
      </c>
    </row>
    <row r="8" spans="1:38" x14ac:dyDescent="0.2">
      <c r="A8" t="s">
        <v>418</v>
      </c>
      <c r="B8" t="s">
        <v>424</v>
      </c>
      <c r="C8">
        <v>0</v>
      </c>
      <c r="D8">
        <v>0</v>
      </c>
      <c r="E8">
        <v>0</v>
      </c>
      <c r="F8">
        <v>0</v>
      </c>
      <c r="G8">
        <v>0</v>
      </c>
      <c r="H8">
        <v>0</v>
      </c>
      <c r="I8">
        <v>0</v>
      </c>
      <c r="J8">
        <v>0</v>
      </c>
      <c r="K8">
        <v>0</v>
      </c>
      <c r="L8">
        <v>0</v>
      </c>
      <c r="M8">
        <v>0</v>
      </c>
      <c r="N8">
        <v>0</v>
      </c>
      <c r="O8">
        <v>0</v>
      </c>
      <c r="P8">
        <v>0</v>
      </c>
      <c r="Q8">
        <v>0</v>
      </c>
      <c r="R8">
        <v>0</v>
      </c>
      <c r="S8">
        <v>0</v>
      </c>
      <c r="T8">
        <v>0</v>
      </c>
      <c r="U8">
        <v>0</v>
      </c>
      <c r="V8">
        <v>0</v>
      </c>
      <c r="W8">
        <v>0</v>
      </c>
      <c r="X8">
        <v>0</v>
      </c>
      <c r="Y8">
        <v>5</v>
      </c>
      <c r="Z8">
        <v>0.625</v>
      </c>
      <c r="AA8">
        <v>0.625</v>
      </c>
      <c r="AB8">
        <v>0</v>
      </c>
      <c r="AC8">
        <v>0</v>
      </c>
      <c r="AD8">
        <v>5</v>
      </c>
    </row>
    <row r="9" spans="1:38" x14ac:dyDescent="0.2">
      <c r="A9" t="s">
        <v>418</v>
      </c>
      <c r="B9" t="s">
        <v>289</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8" x14ac:dyDescent="0.2">
      <c r="A10" t="s">
        <v>418</v>
      </c>
      <c r="B10" t="s">
        <v>289</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8" x14ac:dyDescent="0.2">
      <c r="A11" t="s">
        <v>418</v>
      </c>
      <c r="B11" t="s">
        <v>289</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8" x14ac:dyDescent="0.2">
      <c r="A12" t="s">
        <v>418</v>
      </c>
      <c r="B12" t="s">
        <v>701</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38" x14ac:dyDescent="0.2">
      <c r="A13" t="s">
        <v>418</v>
      </c>
      <c r="B13" t="s">
        <v>289</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row>
    <row r="14" spans="1:38" x14ac:dyDescent="0.2">
      <c r="A14" t="s">
        <v>418</v>
      </c>
      <c r="B14" t="s">
        <v>289</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row>
    <row r="15" spans="1:38" x14ac:dyDescent="0.2">
      <c r="A15" t="s">
        <v>418</v>
      </c>
      <c r="B15" t="s">
        <v>289</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row>
    <row r="16" spans="1:38" x14ac:dyDescent="0.2">
      <c r="A16" t="s">
        <v>418</v>
      </c>
      <c r="B16" t="s">
        <v>426</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4.5</v>
      </c>
      <c r="Y16">
        <v>0</v>
      </c>
      <c r="Z16">
        <v>4.5</v>
      </c>
      <c r="AA16">
        <v>4.5</v>
      </c>
      <c r="AB16">
        <v>0</v>
      </c>
      <c r="AC16">
        <v>4.5</v>
      </c>
      <c r="AD16">
        <v>0</v>
      </c>
    </row>
    <row r="17" spans="1:30" x14ac:dyDescent="0.2">
      <c r="A17" t="s">
        <v>418</v>
      </c>
      <c r="B17" t="s">
        <v>289</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418</v>
      </c>
      <c r="B18" t="s">
        <v>289</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418</v>
      </c>
      <c r="B19" t="s">
        <v>289</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row>
    <row r="20" spans="1:30" x14ac:dyDescent="0.2">
      <c r="A20" t="s">
        <v>418</v>
      </c>
      <c r="B20" t="s">
        <v>427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4</v>
      </c>
      <c r="Y20">
        <v>0</v>
      </c>
      <c r="Z20">
        <v>4</v>
      </c>
      <c r="AA20">
        <v>4</v>
      </c>
      <c r="AB20">
        <v>0</v>
      </c>
      <c r="AC20">
        <v>4</v>
      </c>
      <c r="AD20">
        <v>0</v>
      </c>
    </row>
    <row r="21" spans="1:30" x14ac:dyDescent="0.2">
      <c r="A21" t="s">
        <v>418</v>
      </c>
      <c r="B21" t="s">
        <v>428</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2</v>
      </c>
      <c r="Y21">
        <v>1</v>
      </c>
      <c r="Z21">
        <v>2.125</v>
      </c>
      <c r="AA21">
        <v>2.125</v>
      </c>
      <c r="AB21">
        <v>0</v>
      </c>
      <c r="AC21">
        <v>2</v>
      </c>
      <c r="AD21">
        <v>1</v>
      </c>
    </row>
    <row r="22" spans="1:30" x14ac:dyDescent="0.2">
      <c r="A22" t="s">
        <v>418</v>
      </c>
      <c r="B22" t="s">
        <v>429</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0" x14ac:dyDescent="0.2">
      <c r="A23" t="s">
        <v>418</v>
      </c>
      <c r="B23" t="s">
        <v>430</v>
      </c>
      <c r="C23">
        <v>0</v>
      </c>
      <c r="D23">
        <v>0</v>
      </c>
      <c r="E23">
        <v>0</v>
      </c>
      <c r="F23">
        <v>0</v>
      </c>
      <c r="G23">
        <v>0</v>
      </c>
      <c r="H23">
        <v>0</v>
      </c>
      <c r="I23">
        <v>0</v>
      </c>
      <c r="J23">
        <v>0</v>
      </c>
      <c r="K23">
        <v>0</v>
      </c>
      <c r="L23">
        <v>0</v>
      </c>
      <c r="M23">
        <v>0</v>
      </c>
      <c r="N23">
        <v>0</v>
      </c>
      <c r="O23">
        <v>0</v>
      </c>
      <c r="P23">
        <v>0</v>
      </c>
      <c r="Q23">
        <v>73</v>
      </c>
      <c r="R23">
        <v>4</v>
      </c>
      <c r="S23">
        <v>73.5</v>
      </c>
      <c r="T23">
        <v>0</v>
      </c>
      <c r="U23">
        <v>0</v>
      </c>
      <c r="V23">
        <v>0</v>
      </c>
      <c r="W23">
        <v>0</v>
      </c>
      <c r="X23">
        <v>73</v>
      </c>
      <c r="Y23">
        <v>4</v>
      </c>
      <c r="Z23">
        <v>73.5</v>
      </c>
      <c r="AA23">
        <v>73.5</v>
      </c>
      <c r="AB23">
        <v>0</v>
      </c>
      <c r="AC23">
        <v>73</v>
      </c>
      <c r="AD23">
        <v>4</v>
      </c>
    </row>
    <row r="24" spans="1:30" x14ac:dyDescent="0.2">
      <c r="A24" t="s">
        <v>418</v>
      </c>
      <c r="B24" t="s">
        <v>635</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30" x14ac:dyDescent="0.2">
      <c r="A25" t="s">
        <v>431</v>
      </c>
      <c r="B25" t="s">
        <v>432</v>
      </c>
      <c r="C25">
        <v>0</v>
      </c>
      <c r="D25">
        <v>0</v>
      </c>
      <c r="E25">
        <v>0</v>
      </c>
      <c r="F25">
        <v>0</v>
      </c>
      <c r="G25">
        <v>0</v>
      </c>
      <c r="H25">
        <v>0</v>
      </c>
      <c r="I25">
        <v>0</v>
      </c>
      <c r="J25">
        <v>0</v>
      </c>
      <c r="K25">
        <v>0</v>
      </c>
      <c r="L25">
        <v>0</v>
      </c>
      <c r="M25">
        <v>0</v>
      </c>
      <c r="N25">
        <v>0</v>
      </c>
      <c r="O25">
        <v>0</v>
      </c>
      <c r="P25">
        <v>0</v>
      </c>
      <c r="Q25">
        <v>0</v>
      </c>
      <c r="R25">
        <v>0</v>
      </c>
      <c r="S25">
        <v>0</v>
      </c>
      <c r="T25">
        <v>9</v>
      </c>
      <c r="U25">
        <v>3.5</v>
      </c>
      <c r="V25">
        <v>9.4375</v>
      </c>
      <c r="W25">
        <v>0</v>
      </c>
      <c r="X25">
        <v>9</v>
      </c>
      <c r="Y25">
        <v>3.5</v>
      </c>
      <c r="Z25">
        <v>9.4375</v>
      </c>
      <c r="AA25">
        <v>9.4375</v>
      </c>
      <c r="AB25">
        <v>0</v>
      </c>
      <c r="AC25">
        <v>9</v>
      </c>
      <c r="AD25">
        <v>3.5</v>
      </c>
    </row>
    <row r="26" spans="1:30" x14ac:dyDescent="0.2">
      <c r="A26" t="s">
        <v>431</v>
      </c>
      <c r="B26" t="s">
        <v>702</v>
      </c>
      <c r="C26">
        <v>0</v>
      </c>
      <c r="D26">
        <v>0</v>
      </c>
      <c r="E26">
        <v>0</v>
      </c>
      <c r="F26">
        <v>0</v>
      </c>
      <c r="G26">
        <v>0</v>
      </c>
      <c r="H26">
        <v>0</v>
      </c>
      <c r="I26">
        <v>0</v>
      </c>
      <c r="J26">
        <v>0</v>
      </c>
      <c r="K26">
        <v>0</v>
      </c>
      <c r="L26">
        <v>0</v>
      </c>
      <c r="M26">
        <v>0</v>
      </c>
      <c r="N26">
        <v>8</v>
      </c>
      <c r="O26">
        <v>0</v>
      </c>
      <c r="P26">
        <v>8</v>
      </c>
      <c r="Q26">
        <v>8</v>
      </c>
      <c r="R26">
        <v>0</v>
      </c>
      <c r="S26">
        <v>8</v>
      </c>
      <c r="T26">
        <v>0</v>
      </c>
      <c r="U26">
        <v>0</v>
      </c>
      <c r="V26">
        <v>0</v>
      </c>
      <c r="W26">
        <v>0</v>
      </c>
    </row>
    <row r="27" spans="1:30" x14ac:dyDescent="0.2">
      <c r="A27" t="s">
        <v>431</v>
      </c>
      <c r="B27" t="s">
        <v>635</v>
      </c>
      <c r="C27">
        <v>0</v>
      </c>
      <c r="D27">
        <v>0</v>
      </c>
      <c r="E27">
        <v>0</v>
      </c>
      <c r="F27">
        <v>0</v>
      </c>
      <c r="G27">
        <v>0</v>
      </c>
      <c r="H27">
        <v>0</v>
      </c>
      <c r="I27">
        <v>0</v>
      </c>
      <c r="J27">
        <v>0</v>
      </c>
      <c r="K27">
        <v>0</v>
      </c>
      <c r="L27">
        <v>0</v>
      </c>
      <c r="M27">
        <v>0</v>
      </c>
      <c r="N27">
        <v>0</v>
      </c>
      <c r="O27">
        <v>0</v>
      </c>
      <c r="P27">
        <v>0</v>
      </c>
      <c r="Q27">
        <v>0</v>
      </c>
      <c r="R27">
        <v>0</v>
      </c>
      <c r="S27">
        <v>0</v>
      </c>
      <c r="T27">
        <v>0</v>
      </c>
      <c r="U27">
        <v>0</v>
      </c>
      <c r="V27">
        <v>0</v>
      </c>
      <c r="W27">
        <v>0</v>
      </c>
    </row>
    <row r="28" spans="1:30" x14ac:dyDescent="0.2">
      <c r="A28" t="s">
        <v>434</v>
      </c>
      <c r="B28" t="s">
        <v>435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4</v>
      </c>
      <c r="Y28">
        <v>5</v>
      </c>
      <c r="Z28">
        <v>4.625</v>
      </c>
      <c r="AA28">
        <v>4.625</v>
      </c>
      <c r="AB28">
        <v>0</v>
      </c>
      <c r="AC28">
        <v>4</v>
      </c>
      <c r="AD28">
        <v>5</v>
      </c>
    </row>
    <row r="29" spans="1:30" x14ac:dyDescent="0.2">
      <c r="A29" t="s">
        <v>434</v>
      </c>
      <c r="B29" t="s">
        <v>436</v>
      </c>
      <c r="C29">
        <v>0</v>
      </c>
      <c r="D29">
        <v>0</v>
      </c>
      <c r="E29">
        <v>0</v>
      </c>
      <c r="F29">
        <v>0</v>
      </c>
      <c r="G29">
        <v>0</v>
      </c>
      <c r="H29">
        <v>0</v>
      </c>
      <c r="I29">
        <v>0</v>
      </c>
      <c r="J29">
        <v>0</v>
      </c>
      <c r="K29">
        <v>0</v>
      </c>
      <c r="L29">
        <v>0</v>
      </c>
      <c r="M29">
        <v>0</v>
      </c>
      <c r="N29">
        <v>0</v>
      </c>
      <c r="O29">
        <v>0</v>
      </c>
      <c r="P29">
        <v>0</v>
      </c>
      <c r="Q29">
        <v>0</v>
      </c>
      <c r="R29">
        <v>0</v>
      </c>
      <c r="S29">
        <v>0</v>
      </c>
      <c r="T29">
        <v>77</v>
      </c>
      <c r="U29">
        <v>3</v>
      </c>
      <c r="V29">
        <v>77.375</v>
      </c>
      <c r="W29">
        <v>0</v>
      </c>
      <c r="X29">
        <v>77</v>
      </c>
      <c r="Y29">
        <v>3</v>
      </c>
      <c r="Z29">
        <v>77.375</v>
      </c>
      <c r="AA29">
        <v>77.375</v>
      </c>
      <c r="AB29">
        <v>0</v>
      </c>
      <c r="AC29">
        <v>77</v>
      </c>
      <c r="AD29">
        <v>3</v>
      </c>
    </row>
    <row r="30" spans="1:30" x14ac:dyDescent="0.2">
      <c r="A30" t="s">
        <v>434</v>
      </c>
      <c r="B30" t="s">
        <v>703</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30" x14ac:dyDescent="0.2">
      <c r="A31" t="s">
        <v>434</v>
      </c>
      <c r="B31" t="s">
        <v>704</v>
      </c>
      <c r="C31">
        <v>0</v>
      </c>
      <c r="D31">
        <v>0</v>
      </c>
      <c r="E31">
        <v>0</v>
      </c>
      <c r="F31">
        <v>0</v>
      </c>
      <c r="G31">
        <v>0</v>
      </c>
      <c r="H31">
        <v>0</v>
      </c>
      <c r="I31">
        <v>0</v>
      </c>
      <c r="J31">
        <v>0</v>
      </c>
      <c r="K31">
        <v>0</v>
      </c>
      <c r="L31">
        <v>0</v>
      </c>
      <c r="M31">
        <v>0</v>
      </c>
      <c r="N31">
        <v>0</v>
      </c>
      <c r="O31">
        <v>0</v>
      </c>
      <c r="P31">
        <v>0</v>
      </c>
      <c r="Q31">
        <v>0</v>
      </c>
      <c r="R31">
        <v>0</v>
      </c>
      <c r="S31">
        <v>0</v>
      </c>
      <c r="T31">
        <v>0</v>
      </c>
      <c r="U31">
        <v>0</v>
      </c>
      <c r="V31">
        <v>0</v>
      </c>
      <c r="W31">
        <v>0</v>
      </c>
    </row>
    <row r="32" spans="1:30" x14ac:dyDescent="0.2">
      <c r="A32" t="s">
        <v>434</v>
      </c>
      <c r="B32" t="s">
        <v>439</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2</v>
      </c>
      <c r="Y32">
        <v>1</v>
      </c>
      <c r="Z32">
        <v>2.125</v>
      </c>
      <c r="AA32">
        <v>2.125</v>
      </c>
      <c r="AB32">
        <v>0</v>
      </c>
      <c r="AC32">
        <v>2</v>
      </c>
      <c r="AD32">
        <v>1</v>
      </c>
    </row>
    <row r="33" spans="1:32" x14ac:dyDescent="0.2">
      <c r="A33" t="s">
        <v>434</v>
      </c>
      <c r="B33" t="s">
        <v>440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82</v>
      </c>
      <c r="Y33">
        <v>0</v>
      </c>
      <c r="Z33">
        <v>82</v>
      </c>
      <c r="AA33">
        <v>82</v>
      </c>
      <c r="AB33">
        <v>0</v>
      </c>
      <c r="AC33">
        <v>82</v>
      </c>
      <c r="AD33">
        <v>0</v>
      </c>
    </row>
    <row r="34" spans="1:32" x14ac:dyDescent="0.2">
      <c r="A34" t="s">
        <v>434</v>
      </c>
      <c r="B34" t="s">
        <v>441</v>
      </c>
      <c r="C34">
        <v>0</v>
      </c>
      <c r="D34">
        <v>0</v>
      </c>
      <c r="E34">
        <v>20</v>
      </c>
      <c r="F34">
        <v>0</v>
      </c>
      <c r="G34">
        <v>20</v>
      </c>
      <c r="H34">
        <v>0</v>
      </c>
      <c r="I34">
        <v>0</v>
      </c>
      <c r="J34">
        <v>0</v>
      </c>
      <c r="K34">
        <v>0</v>
      </c>
      <c r="L34">
        <v>0</v>
      </c>
      <c r="M34">
        <v>0</v>
      </c>
      <c r="N34">
        <v>0</v>
      </c>
      <c r="O34">
        <v>0</v>
      </c>
      <c r="P34">
        <v>0</v>
      </c>
      <c r="Q34">
        <v>0</v>
      </c>
      <c r="R34">
        <v>0</v>
      </c>
      <c r="S34">
        <v>0</v>
      </c>
      <c r="T34">
        <v>0</v>
      </c>
      <c r="U34">
        <v>0</v>
      </c>
      <c r="V34">
        <v>0</v>
      </c>
      <c r="W34">
        <v>0</v>
      </c>
      <c r="X34">
        <v>20</v>
      </c>
      <c r="Y34">
        <v>0</v>
      </c>
      <c r="Z34">
        <v>20</v>
      </c>
      <c r="AA34">
        <v>20</v>
      </c>
      <c r="AB34">
        <v>0</v>
      </c>
      <c r="AC34">
        <v>20</v>
      </c>
      <c r="AD34">
        <v>0</v>
      </c>
    </row>
    <row r="35" spans="1:32" x14ac:dyDescent="0.2">
      <c r="A35" t="s">
        <v>434</v>
      </c>
      <c r="B35" t="s">
        <v>442</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5</v>
      </c>
      <c r="Z35">
        <v>0.625</v>
      </c>
      <c r="AA35">
        <v>0.375</v>
      </c>
      <c r="AB35">
        <v>0.25</v>
      </c>
      <c r="AC35">
        <v>0</v>
      </c>
      <c r="AD35">
        <v>3</v>
      </c>
      <c r="AE35">
        <v>0</v>
      </c>
      <c r="AF35">
        <v>5</v>
      </c>
    </row>
    <row r="36" spans="1:32" x14ac:dyDescent="0.2">
      <c r="A36" t="s">
        <v>434</v>
      </c>
      <c r="B36" t="s">
        <v>443</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26</v>
      </c>
      <c r="Y36">
        <v>0</v>
      </c>
      <c r="Z36">
        <v>26</v>
      </c>
      <c r="AA36">
        <v>26</v>
      </c>
      <c r="AB36">
        <v>0</v>
      </c>
      <c r="AC36">
        <v>26</v>
      </c>
      <c r="AD36">
        <v>0</v>
      </c>
    </row>
    <row r="37" spans="1:32" x14ac:dyDescent="0.2">
      <c r="A37" t="s">
        <v>434</v>
      </c>
      <c r="B37" t="s">
        <v>444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6.5</v>
      </c>
      <c r="Y37">
        <v>0</v>
      </c>
      <c r="Z37">
        <v>6.5</v>
      </c>
      <c r="AA37">
        <v>6.5</v>
      </c>
      <c r="AB37">
        <v>0</v>
      </c>
      <c r="AC37">
        <v>6.5</v>
      </c>
      <c r="AD37">
        <v>0</v>
      </c>
    </row>
    <row r="38" spans="1:32" x14ac:dyDescent="0.2">
      <c r="A38" t="s">
        <v>434</v>
      </c>
      <c r="B38" t="s">
        <v>445</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6.5</v>
      </c>
      <c r="Y38">
        <v>0</v>
      </c>
      <c r="Z38">
        <v>6.5</v>
      </c>
      <c r="AA38">
        <v>6.5</v>
      </c>
      <c r="AB38">
        <v>0</v>
      </c>
      <c r="AC38">
        <v>6.5</v>
      </c>
      <c r="AD38">
        <v>0</v>
      </c>
    </row>
    <row r="39" spans="1:32" x14ac:dyDescent="0.2">
      <c r="A39" t="s">
        <v>434</v>
      </c>
      <c r="B39" t="s">
        <v>446</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4</v>
      </c>
      <c r="Y39">
        <v>2.5</v>
      </c>
      <c r="Z39">
        <v>4.3125</v>
      </c>
      <c r="AA39">
        <v>4.3125</v>
      </c>
      <c r="AB39">
        <v>0</v>
      </c>
      <c r="AC39">
        <v>4</v>
      </c>
      <c r="AD39">
        <v>2.5</v>
      </c>
    </row>
    <row r="40" spans="1:32" x14ac:dyDescent="0.2">
      <c r="A40" t="s">
        <v>434</v>
      </c>
      <c r="B40" t="s">
        <v>447</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5</v>
      </c>
      <c r="Y40">
        <v>1.5</v>
      </c>
      <c r="Z40">
        <v>5.1875</v>
      </c>
      <c r="AA40">
        <v>5.1875</v>
      </c>
      <c r="AB40">
        <v>0</v>
      </c>
      <c r="AC40">
        <v>5</v>
      </c>
      <c r="AD40">
        <v>1.5</v>
      </c>
    </row>
    <row r="41" spans="1:32" x14ac:dyDescent="0.2">
      <c r="A41" t="s">
        <v>434</v>
      </c>
      <c r="B41" t="s">
        <v>448</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row>
    <row r="42" spans="1:32" x14ac:dyDescent="0.2">
      <c r="A42" t="s">
        <v>434</v>
      </c>
      <c r="B42" t="s">
        <v>289</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2" x14ac:dyDescent="0.2">
      <c r="A43" t="s">
        <v>434</v>
      </c>
      <c r="B43" t="s">
        <v>289</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2" x14ac:dyDescent="0.2">
      <c r="A44" t="s">
        <v>434</v>
      </c>
      <c r="B44" t="s">
        <v>449</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4</v>
      </c>
      <c r="Y44">
        <v>0</v>
      </c>
      <c r="Z44">
        <v>4</v>
      </c>
      <c r="AA44">
        <v>4</v>
      </c>
      <c r="AB44">
        <v>0</v>
      </c>
      <c r="AC44">
        <v>4</v>
      </c>
      <c r="AD44">
        <v>0</v>
      </c>
    </row>
    <row r="45" spans="1:32" x14ac:dyDescent="0.2">
      <c r="A45" t="s">
        <v>434</v>
      </c>
      <c r="B45" t="s">
        <v>289</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row>
    <row r="46" spans="1:32" x14ac:dyDescent="0.2">
      <c r="A46" t="s">
        <v>434</v>
      </c>
      <c r="B46" t="s">
        <v>289</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row>
    <row r="47" spans="1:32" x14ac:dyDescent="0.2">
      <c r="A47" t="s">
        <v>434</v>
      </c>
      <c r="B47" t="s">
        <v>705</v>
      </c>
      <c r="C47">
        <v>0</v>
      </c>
      <c r="D47">
        <v>0</v>
      </c>
      <c r="E47">
        <v>0</v>
      </c>
      <c r="F47">
        <v>0</v>
      </c>
      <c r="G47">
        <v>0</v>
      </c>
      <c r="H47">
        <v>0</v>
      </c>
      <c r="I47">
        <v>0</v>
      </c>
      <c r="J47">
        <v>0</v>
      </c>
      <c r="K47">
        <v>0</v>
      </c>
      <c r="L47">
        <v>0</v>
      </c>
      <c r="M47">
        <v>0</v>
      </c>
      <c r="N47">
        <v>0</v>
      </c>
      <c r="O47">
        <v>0</v>
      </c>
      <c r="P47">
        <v>0</v>
      </c>
      <c r="Q47">
        <v>0</v>
      </c>
      <c r="R47">
        <v>0</v>
      </c>
      <c r="S47">
        <v>0</v>
      </c>
      <c r="T47">
        <v>0</v>
      </c>
      <c r="U47">
        <v>0</v>
      </c>
      <c r="V47">
        <v>0</v>
      </c>
      <c r="W47">
        <v>0</v>
      </c>
    </row>
    <row r="48" spans="1:32" x14ac:dyDescent="0.2">
      <c r="A48" t="s">
        <v>434</v>
      </c>
      <c r="B48" t="s">
        <v>451</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2</v>
      </c>
      <c r="Y48">
        <v>0</v>
      </c>
      <c r="Z48">
        <v>2</v>
      </c>
      <c r="AA48">
        <v>2</v>
      </c>
      <c r="AB48">
        <v>0</v>
      </c>
      <c r="AC48">
        <v>2</v>
      </c>
      <c r="AD48">
        <v>0</v>
      </c>
    </row>
    <row r="49" spans="1:32" x14ac:dyDescent="0.2">
      <c r="A49" t="s">
        <v>434</v>
      </c>
      <c r="B49" t="s">
        <v>452</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2</v>
      </c>
      <c r="Y49">
        <v>1</v>
      </c>
      <c r="Z49">
        <v>2.125</v>
      </c>
      <c r="AA49">
        <v>2.125</v>
      </c>
      <c r="AB49">
        <v>0</v>
      </c>
      <c r="AC49">
        <v>2</v>
      </c>
      <c r="AD49">
        <v>1</v>
      </c>
    </row>
    <row r="50" spans="1:32" x14ac:dyDescent="0.2">
      <c r="A50" t="s">
        <v>434</v>
      </c>
      <c r="B50" t="s">
        <v>453</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row>
    <row r="51" spans="1:32" x14ac:dyDescent="0.2">
      <c r="A51" t="s">
        <v>434</v>
      </c>
      <c r="B51" t="s">
        <v>454</v>
      </c>
      <c r="C51">
        <v>0</v>
      </c>
      <c r="D51">
        <v>0</v>
      </c>
      <c r="E51">
        <v>0</v>
      </c>
      <c r="F51">
        <v>0</v>
      </c>
      <c r="G51">
        <v>0</v>
      </c>
      <c r="H51">
        <v>0</v>
      </c>
      <c r="I51">
        <v>0</v>
      </c>
      <c r="J51">
        <v>0</v>
      </c>
      <c r="K51">
        <v>0</v>
      </c>
      <c r="L51">
        <v>0</v>
      </c>
      <c r="M51">
        <v>0</v>
      </c>
      <c r="N51">
        <v>0</v>
      </c>
      <c r="O51">
        <v>0</v>
      </c>
      <c r="P51">
        <v>0</v>
      </c>
      <c r="Q51">
        <v>5</v>
      </c>
      <c r="R51">
        <v>2.5</v>
      </c>
      <c r="S51">
        <v>5.3125</v>
      </c>
      <c r="T51">
        <v>0</v>
      </c>
      <c r="U51">
        <v>0</v>
      </c>
      <c r="V51">
        <v>0</v>
      </c>
      <c r="W51">
        <v>0</v>
      </c>
      <c r="X51">
        <v>5</v>
      </c>
      <c r="Y51">
        <v>0.5</v>
      </c>
      <c r="Z51">
        <v>5.0625</v>
      </c>
      <c r="AA51">
        <v>5.3125</v>
      </c>
      <c r="AB51">
        <v>-0.25</v>
      </c>
      <c r="AC51">
        <v>5</v>
      </c>
      <c r="AD51">
        <v>2.5</v>
      </c>
      <c r="AE51">
        <v>0</v>
      </c>
      <c r="AF51">
        <v>0.5</v>
      </c>
    </row>
    <row r="52" spans="1:32" x14ac:dyDescent="0.2">
      <c r="A52" t="s">
        <v>434</v>
      </c>
      <c r="B52" t="s">
        <v>635</v>
      </c>
      <c r="C52">
        <v>0</v>
      </c>
      <c r="D52">
        <v>0</v>
      </c>
      <c r="E52">
        <v>0</v>
      </c>
      <c r="F52">
        <v>0</v>
      </c>
      <c r="G52">
        <v>0</v>
      </c>
      <c r="H52">
        <v>0</v>
      </c>
      <c r="I52">
        <v>0</v>
      </c>
      <c r="J52">
        <v>0</v>
      </c>
      <c r="K52">
        <v>0</v>
      </c>
      <c r="L52">
        <v>0</v>
      </c>
      <c r="M52">
        <v>0</v>
      </c>
      <c r="N52">
        <v>0</v>
      </c>
      <c r="O52">
        <v>0</v>
      </c>
      <c r="P52">
        <v>0</v>
      </c>
      <c r="Q52">
        <v>0</v>
      </c>
      <c r="R52">
        <v>0</v>
      </c>
      <c r="S52">
        <v>0</v>
      </c>
      <c r="T52">
        <v>0</v>
      </c>
      <c r="U52">
        <v>0</v>
      </c>
      <c r="V52">
        <v>0</v>
      </c>
      <c r="W52">
        <v>0</v>
      </c>
    </row>
    <row r="53" spans="1:32" x14ac:dyDescent="0.2">
      <c r="A53" t="s">
        <v>455</v>
      </c>
      <c r="B53" t="s">
        <v>456</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5</v>
      </c>
      <c r="Y53">
        <v>5</v>
      </c>
      <c r="Z53">
        <v>5.625</v>
      </c>
      <c r="AA53">
        <v>5</v>
      </c>
      <c r="AB53">
        <v>0.625</v>
      </c>
      <c r="AC53">
        <v>5</v>
      </c>
      <c r="AD53">
        <v>0</v>
      </c>
      <c r="AE53">
        <v>0</v>
      </c>
      <c r="AF53">
        <v>5</v>
      </c>
    </row>
    <row r="54" spans="1:32" x14ac:dyDescent="0.2">
      <c r="A54" t="s">
        <v>455</v>
      </c>
      <c r="B54" t="s">
        <v>457</v>
      </c>
      <c r="C54">
        <v>0</v>
      </c>
      <c r="D54">
        <v>0</v>
      </c>
      <c r="E54">
        <v>0</v>
      </c>
      <c r="F54">
        <v>0</v>
      </c>
      <c r="G54">
        <v>0</v>
      </c>
      <c r="H54">
        <v>0</v>
      </c>
      <c r="I54">
        <v>0</v>
      </c>
      <c r="J54">
        <v>0</v>
      </c>
      <c r="K54">
        <v>0</v>
      </c>
      <c r="L54">
        <v>0</v>
      </c>
      <c r="M54">
        <v>0</v>
      </c>
      <c r="N54">
        <v>0</v>
      </c>
      <c r="O54">
        <v>0</v>
      </c>
      <c r="P54">
        <v>0</v>
      </c>
      <c r="Q54">
        <v>0</v>
      </c>
      <c r="R54">
        <v>0</v>
      </c>
      <c r="S54">
        <v>0</v>
      </c>
      <c r="T54">
        <v>180</v>
      </c>
      <c r="U54">
        <v>0</v>
      </c>
      <c r="V54">
        <v>180</v>
      </c>
      <c r="W54">
        <v>0</v>
      </c>
      <c r="X54">
        <v>180</v>
      </c>
      <c r="Y54">
        <v>5</v>
      </c>
      <c r="Z54">
        <v>180.625</v>
      </c>
      <c r="AA54">
        <v>180</v>
      </c>
      <c r="AB54">
        <v>0.625</v>
      </c>
      <c r="AC54">
        <v>180</v>
      </c>
      <c r="AD54">
        <v>0</v>
      </c>
      <c r="AE54">
        <v>0</v>
      </c>
      <c r="AF54">
        <v>5</v>
      </c>
    </row>
    <row r="55" spans="1:32" x14ac:dyDescent="0.2">
      <c r="A55" t="s">
        <v>455</v>
      </c>
      <c r="B55" t="s">
        <v>458</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25</v>
      </c>
      <c r="Y55">
        <v>0</v>
      </c>
      <c r="Z55">
        <v>25</v>
      </c>
      <c r="AA55">
        <v>25</v>
      </c>
      <c r="AB55">
        <v>0</v>
      </c>
      <c r="AC55">
        <v>25</v>
      </c>
      <c r="AD55">
        <v>0</v>
      </c>
    </row>
    <row r="56" spans="1:32" x14ac:dyDescent="0.2">
      <c r="A56" t="s">
        <v>455</v>
      </c>
      <c r="B56" t="s">
        <v>459</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205</v>
      </c>
      <c r="Y56">
        <v>5</v>
      </c>
      <c r="Z56">
        <v>205.625</v>
      </c>
      <c r="AA56">
        <v>205</v>
      </c>
      <c r="AB56">
        <v>0.625</v>
      </c>
      <c r="AC56">
        <v>205</v>
      </c>
      <c r="AD56">
        <v>0</v>
      </c>
      <c r="AE56">
        <v>0</v>
      </c>
      <c r="AF56">
        <v>5</v>
      </c>
    </row>
    <row r="57" spans="1:32" x14ac:dyDescent="0.2">
      <c r="A57" t="s">
        <v>455</v>
      </c>
      <c r="B57" t="s">
        <v>460</v>
      </c>
      <c r="C57">
        <v>0</v>
      </c>
      <c r="D57">
        <v>0</v>
      </c>
      <c r="E57">
        <v>88.5</v>
      </c>
      <c r="F57">
        <v>0</v>
      </c>
      <c r="G57">
        <v>88.5</v>
      </c>
      <c r="H57">
        <v>0</v>
      </c>
      <c r="I57">
        <v>0</v>
      </c>
      <c r="J57">
        <v>0</v>
      </c>
      <c r="K57">
        <v>0</v>
      </c>
      <c r="L57">
        <v>0</v>
      </c>
      <c r="M57">
        <v>0</v>
      </c>
      <c r="N57">
        <v>0</v>
      </c>
      <c r="O57">
        <v>0</v>
      </c>
      <c r="P57">
        <v>0</v>
      </c>
      <c r="Q57">
        <v>0</v>
      </c>
      <c r="R57">
        <v>0</v>
      </c>
      <c r="S57">
        <v>0</v>
      </c>
      <c r="T57">
        <v>0</v>
      </c>
      <c r="U57">
        <v>0</v>
      </c>
      <c r="V57">
        <v>0</v>
      </c>
      <c r="W57">
        <v>0</v>
      </c>
      <c r="X57">
        <v>88.5</v>
      </c>
      <c r="Y57">
        <v>0</v>
      </c>
      <c r="Z57">
        <v>88.5</v>
      </c>
      <c r="AA57">
        <v>88.5</v>
      </c>
      <c r="AB57">
        <v>0</v>
      </c>
      <c r="AC57">
        <v>88.5</v>
      </c>
      <c r="AD57">
        <v>0</v>
      </c>
    </row>
    <row r="58" spans="1:32" x14ac:dyDescent="0.2">
      <c r="A58" t="s">
        <v>455</v>
      </c>
      <c r="B58" t="s">
        <v>461</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1</v>
      </c>
      <c r="Z58">
        <v>0.125</v>
      </c>
      <c r="AA58">
        <v>0.125</v>
      </c>
      <c r="AB58">
        <v>0</v>
      </c>
      <c r="AC58">
        <v>0</v>
      </c>
      <c r="AD58">
        <v>1</v>
      </c>
    </row>
    <row r="59" spans="1:32" x14ac:dyDescent="0.2">
      <c r="A59" t="s">
        <v>455</v>
      </c>
      <c r="B59" t="s">
        <v>289</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row>
    <row r="60" spans="1:32" x14ac:dyDescent="0.2">
      <c r="A60" t="s">
        <v>455</v>
      </c>
      <c r="B60" t="s">
        <v>289</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row>
    <row r="61" spans="1:32" x14ac:dyDescent="0.2">
      <c r="A61" t="s">
        <v>455</v>
      </c>
      <c r="B61" t="s">
        <v>289</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row>
    <row r="62" spans="1:32" x14ac:dyDescent="0.2">
      <c r="A62" t="s">
        <v>455</v>
      </c>
      <c r="B62" t="s">
        <v>289</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row>
    <row r="63" spans="1:32" x14ac:dyDescent="0.2">
      <c r="A63" t="s">
        <v>455</v>
      </c>
      <c r="B63" t="s">
        <v>462</v>
      </c>
      <c r="C63">
        <v>0</v>
      </c>
      <c r="D63">
        <v>0</v>
      </c>
      <c r="E63">
        <v>0</v>
      </c>
      <c r="F63">
        <v>0</v>
      </c>
      <c r="G63">
        <v>0</v>
      </c>
      <c r="H63">
        <v>0</v>
      </c>
      <c r="I63">
        <v>0</v>
      </c>
      <c r="J63">
        <v>0</v>
      </c>
      <c r="K63">
        <v>0</v>
      </c>
      <c r="L63">
        <v>0</v>
      </c>
      <c r="M63">
        <v>0</v>
      </c>
      <c r="N63">
        <v>15.5</v>
      </c>
      <c r="O63">
        <v>0</v>
      </c>
      <c r="P63">
        <v>15.5</v>
      </c>
      <c r="Q63">
        <v>0</v>
      </c>
      <c r="R63">
        <v>0</v>
      </c>
      <c r="S63">
        <v>0</v>
      </c>
      <c r="T63">
        <v>0</v>
      </c>
      <c r="U63">
        <v>0</v>
      </c>
      <c r="V63">
        <v>0</v>
      </c>
      <c r="W63">
        <v>0</v>
      </c>
      <c r="X63">
        <v>15.5</v>
      </c>
      <c r="Y63">
        <v>0</v>
      </c>
      <c r="Z63">
        <v>15.5</v>
      </c>
      <c r="AA63">
        <v>15.5</v>
      </c>
      <c r="AB63">
        <v>0</v>
      </c>
      <c r="AC63">
        <v>15.5</v>
      </c>
      <c r="AD63">
        <v>0</v>
      </c>
    </row>
    <row r="64" spans="1:32" x14ac:dyDescent="0.2">
      <c r="A64" t="s">
        <v>455</v>
      </c>
      <c r="B64" t="s">
        <v>289</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row>
    <row r="65" spans="1:30" x14ac:dyDescent="0.2">
      <c r="A65" t="s">
        <v>455</v>
      </c>
      <c r="B65" t="s">
        <v>289</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row>
    <row r="66" spans="1:30" x14ac:dyDescent="0.2">
      <c r="A66" t="s">
        <v>455</v>
      </c>
      <c r="B66" t="s">
        <v>289</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row>
    <row r="67" spans="1:30" x14ac:dyDescent="0.2">
      <c r="A67" t="s">
        <v>455</v>
      </c>
      <c r="B67" t="s">
        <v>289</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row>
    <row r="68" spans="1:30" x14ac:dyDescent="0.2">
      <c r="A68" t="s">
        <v>455</v>
      </c>
      <c r="B68" t="s">
        <v>463</v>
      </c>
      <c r="C68">
        <v>0</v>
      </c>
      <c r="D68">
        <v>0</v>
      </c>
      <c r="E68">
        <v>0</v>
      </c>
      <c r="F68">
        <v>0</v>
      </c>
      <c r="G68">
        <v>0</v>
      </c>
      <c r="H68">
        <v>0</v>
      </c>
      <c r="I68">
        <v>0</v>
      </c>
      <c r="J68">
        <v>0</v>
      </c>
      <c r="K68">
        <v>0</v>
      </c>
      <c r="L68">
        <v>0</v>
      </c>
      <c r="M68">
        <v>0</v>
      </c>
      <c r="N68">
        <v>5.5</v>
      </c>
      <c r="O68">
        <v>0</v>
      </c>
      <c r="P68">
        <v>5.5</v>
      </c>
      <c r="Q68">
        <v>0</v>
      </c>
      <c r="R68">
        <v>0</v>
      </c>
      <c r="S68">
        <v>0</v>
      </c>
      <c r="T68">
        <v>0</v>
      </c>
      <c r="U68">
        <v>0</v>
      </c>
      <c r="V68">
        <v>0</v>
      </c>
      <c r="W68">
        <v>0</v>
      </c>
      <c r="X68">
        <v>5.5</v>
      </c>
      <c r="Y68">
        <v>0</v>
      </c>
      <c r="Z68">
        <v>5.5</v>
      </c>
      <c r="AA68">
        <v>5.5</v>
      </c>
      <c r="AB68">
        <v>0</v>
      </c>
      <c r="AC68">
        <v>5.5</v>
      </c>
      <c r="AD68">
        <v>0</v>
      </c>
    </row>
    <row r="69" spans="1:30" x14ac:dyDescent="0.2">
      <c r="A69" t="s">
        <v>455</v>
      </c>
      <c r="B69" t="s">
        <v>289</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row>
    <row r="70" spans="1:30" x14ac:dyDescent="0.2">
      <c r="A70" t="s">
        <v>455</v>
      </c>
      <c r="B70" t="s">
        <v>289</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row>
    <row r="71" spans="1:30" x14ac:dyDescent="0.2">
      <c r="A71" t="s">
        <v>455</v>
      </c>
      <c r="B71" t="s">
        <v>289</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row>
    <row r="72" spans="1:30" x14ac:dyDescent="0.2">
      <c r="A72" t="s">
        <v>455</v>
      </c>
      <c r="B72" t="s">
        <v>289</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x14ac:dyDescent="0.2">
      <c r="A73" t="s">
        <v>455</v>
      </c>
      <c r="B73" t="s">
        <v>464</v>
      </c>
      <c r="C73">
        <v>0</v>
      </c>
      <c r="D73">
        <v>0</v>
      </c>
      <c r="E73">
        <v>0</v>
      </c>
      <c r="F73">
        <v>0</v>
      </c>
      <c r="G73">
        <v>0</v>
      </c>
      <c r="H73">
        <v>0</v>
      </c>
      <c r="I73">
        <v>0</v>
      </c>
      <c r="J73">
        <v>0</v>
      </c>
      <c r="K73">
        <v>0</v>
      </c>
      <c r="L73">
        <v>0</v>
      </c>
      <c r="M73">
        <v>0</v>
      </c>
      <c r="N73">
        <v>2</v>
      </c>
      <c r="O73">
        <v>2</v>
      </c>
      <c r="P73">
        <v>2.25</v>
      </c>
      <c r="Q73">
        <v>0</v>
      </c>
      <c r="R73">
        <v>0</v>
      </c>
      <c r="S73">
        <v>0</v>
      </c>
      <c r="T73">
        <v>0</v>
      </c>
      <c r="U73">
        <v>0</v>
      </c>
      <c r="V73">
        <v>0</v>
      </c>
      <c r="W73">
        <v>0</v>
      </c>
      <c r="X73">
        <v>2</v>
      </c>
      <c r="Y73">
        <v>2</v>
      </c>
      <c r="Z73">
        <v>2.25</v>
      </c>
      <c r="AA73">
        <v>2.25</v>
      </c>
      <c r="AB73">
        <v>0</v>
      </c>
      <c r="AC73">
        <v>2</v>
      </c>
      <c r="AD73">
        <v>2</v>
      </c>
    </row>
    <row r="74" spans="1:30" x14ac:dyDescent="0.2">
      <c r="A74" t="s">
        <v>455</v>
      </c>
      <c r="B74" t="s">
        <v>465</v>
      </c>
      <c r="C74">
        <v>0</v>
      </c>
      <c r="D74">
        <v>0</v>
      </c>
      <c r="E74">
        <v>0</v>
      </c>
      <c r="F74">
        <v>0</v>
      </c>
      <c r="G74">
        <v>0</v>
      </c>
      <c r="H74">
        <v>0</v>
      </c>
      <c r="I74">
        <v>0</v>
      </c>
      <c r="J74">
        <v>0</v>
      </c>
      <c r="K74">
        <v>0</v>
      </c>
      <c r="L74">
        <v>0</v>
      </c>
      <c r="M74">
        <v>0</v>
      </c>
      <c r="N74">
        <v>4</v>
      </c>
      <c r="O74">
        <v>0</v>
      </c>
      <c r="P74">
        <v>4</v>
      </c>
      <c r="Q74">
        <v>0</v>
      </c>
      <c r="R74">
        <v>0</v>
      </c>
      <c r="S74">
        <v>0</v>
      </c>
      <c r="T74">
        <v>0</v>
      </c>
      <c r="U74">
        <v>0</v>
      </c>
      <c r="V74">
        <v>0</v>
      </c>
      <c r="W74">
        <v>0</v>
      </c>
      <c r="X74">
        <v>4</v>
      </c>
      <c r="Y74">
        <v>0</v>
      </c>
      <c r="Z74">
        <v>4</v>
      </c>
      <c r="AA74">
        <v>4</v>
      </c>
      <c r="AB74">
        <v>0</v>
      </c>
      <c r="AC74">
        <v>4</v>
      </c>
      <c r="AD74">
        <v>0</v>
      </c>
    </row>
    <row r="75" spans="1:30" x14ac:dyDescent="0.2">
      <c r="A75" t="s">
        <v>455</v>
      </c>
      <c r="B75" t="s">
        <v>289</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row>
    <row r="76" spans="1:30" x14ac:dyDescent="0.2">
      <c r="A76" t="s">
        <v>455</v>
      </c>
      <c r="B76" t="s">
        <v>289</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row>
    <row r="77" spans="1:30" x14ac:dyDescent="0.2">
      <c r="A77" t="s">
        <v>455</v>
      </c>
      <c r="B77" t="s">
        <v>289</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row>
    <row r="78" spans="1:30" x14ac:dyDescent="0.2">
      <c r="A78" t="s">
        <v>455</v>
      </c>
      <c r="B78" t="s">
        <v>289</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row>
    <row r="79" spans="1:30" x14ac:dyDescent="0.2">
      <c r="A79" t="s">
        <v>455</v>
      </c>
      <c r="B79" t="s">
        <v>466</v>
      </c>
      <c r="C79">
        <v>0</v>
      </c>
      <c r="D79">
        <v>0</v>
      </c>
      <c r="E79">
        <v>0</v>
      </c>
      <c r="F79">
        <v>0</v>
      </c>
      <c r="G79">
        <v>0</v>
      </c>
      <c r="H79">
        <v>0</v>
      </c>
      <c r="I79">
        <v>0</v>
      </c>
      <c r="J79">
        <v>0</v>
      </c>
      <c r="K79">
        <v>0</v>
      </c>
      <c r="L79">
        <v>0</v>
      </c>
      <c r="M79">
        <v>0</v>
      </c>
      <c r="N79">
        <v>5</v>
      </c>
      <c r="O79">
        <v>2.5</v>
      </c>
      <c r="P79">
        <v>5.3125</v>
      </c>
      <c r="Q79">
        <v>0</v>
      </c>
      <c r="R79">
        <v>0</v>
      </c>
      <c r="S79">
        <v>0</v>
      </c>
      <c r="T79">
        <v>0</v>
      </c>
      <c r="U79">
        <v>0</v>
      </c>
      <c r="V79">
        <v>0</v>
      </c>
      <c r="W79">
        <v>0</v>
      </c>
      <c r="X79">
        <v>5</v>
      </c>
      <c r="Y79">
        <v>2.5</v>
      </c>
      <c r="Z79">
        <v>5.3125</v>
      </c>
      <c r="AA79">
        <v>5.3125</v>
      </c>
      <c r="AB79">
        <v>0</v>
      </c>
      <c r="AC79">
        <v>5</v>
      </c>
      <c r="AD79">
        <v>2.5</v>
      </c>
    </row>
    <row r="80" spans="1:30" x14ac:dyDescent="0.2">
      <c r="A80" t="s">
        <v>455</v>
      </c>
      <c r="B80" t="s">
        <v>467</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25</v>
      </c>
      <c r="Y80">
        <v>0</v>
      </c>
      <c r="Z80">
        <v>25</v>
      </c>
      <c r="AA80">
        <v>25</v>
      </c>
      <c r="AB80">
        <v>0</v>
      </c>
      <c r="AC80">
        <v>25</v>
      </c>
      <c r="AD80">
        <v>0</v>
      </c>
    </row>
    <row r="81" spans="1:32" x14ac:dyDescent="0.2">
      <c r="A81" t="s">
        <v>455</v>
      </c>
      <c r="B81" t="s">
        <v>468</v>
      </c>
      <c r="C81">
        <v>0</v>
      </c>
      <c r="D81">
        <v>0</v>
      </c>
      <c r="E81">
        <v>0</v>
      </c>
      <c r="F81">
        <v>0</v>
      </c>
      <c r="G81">
        <v>0</v>
      </c>
      <c r="H81">
        <v>0</v>
      </c>
      <c r="I81">
        <v>0</v>
      </c>
      <c r="J81">
        <v>0</v>
      </c>
      <c r="K81">
        <v>0</v>
      </c>
      <c r="L81">
        <v>0</v>
      </c>
      <c r="M81">
        <v>0</v>
      </c>
      <c r="N81">
        <v>0</v>
      </c>
      <c r="O81">
        <v>0</v>
      </c>
      <c r="P81">
        <v>0</v>
      </c>
      <c r="Q81">
        <v>58.5</v>
      </c>
      <c r="R81">
        <v>3</v>
      </c>
      <c r="S81">
        <v>58.875</v>
      </c>
      <c r="T81">
        <v>0</v>
      </c>
      <c r="U81">
        <v>0</v>
      </c>
      <c r="V81">
        <v>0</v>
      </c>
      <c r="W81">
        <v>0</v>
      </c>
      <c r="X81">
        <v>58.5</v>
      </c>
      <c r="Y81">
        <v>3</v>
      </c>
      <c r="Z81">
        <v>58.875</v>
      </c>
      <c r="AA81">
        <v>58.875</v>
      </c>
      <c r="AB81">
        <v>0</v>
      </c>
      <c r="AC81">
        <v>58.5</v>
      </c>
      <c r="AD81">
        <v>3</v>
      </c>
    </row>
    <row r="82" spans="1:32" x14ac:dyDescent="0.2">
      <c r="A82" t="s">
        <v>455</v>
      </c>
      <c r="B82" t="s">
        <v>635</v>
      </c>
      <c r="C82">
        <v>0</v>
      </c>
      <c r="D82">
        <v>0</v>
      </c>
      <c r="E82">
        <v>0</v>
      </c>
      <c r="F82">
        <v>0</v>
      </c>
      <c r="G82">
        <v>0</v>
      </c>
      <c r="H82">
        <v>0</v>
      </c>
      <c r="I82">
        <v>0</v>
      </c>
      <c r="J82">
        <v>0</v>
      </c>
      <c r="K82">
        <v>0</v>
      </c>
      <c r="L82">
        <v>0</v>
      </c>
      <c r="M82">
        <v>0</v>
      </c>
      <c r="N82">
        <v>0</v>
      </c>
      <c r="O82">
        <v>0</v>
      </c>
      <c r="P82">
        <v>0</v>
      </c>
      <c r="Q82">
        <v>0</v>
      </c>
      <c r="R82">
        <v>0</v>
      </c>
      <c r="S82">
        <v>0</v>
      </c>
      <c r="T82">
        <v>0</v>
      </c>
      <c r="U82">
        <v>0</v>
      </c>
      <c r="V82">
        <v>0</v>
      </c>
      <c r="W82">
        <v>0</v>
      </c>
    </row>
    <row r="83" spans="1:32" x14ac:dyDescent="0.2">
      <c r="A83" t="s">
        <v>469</v>
      </c>
      <c r="B83" t="s">
        <v>470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2.5</v>
      </c>
      <c r="Z83">
        <v>0.3125</v>
      </c>
      <c r="AA83">
        <v>0.3125</v>
      </c>
      <c r="AB83">
        <v>0</v>
      </c>
      <c r="AC83">
        <v>0</v>
      </c>
      <c r="AD83">
        <v>2.5</v>
      </c>
    </row>
    <row r="84" spans="1:32" x14ac:dyDescent="0.2">
      <c r="A84" t="s">
        <v>469</v>
      </c>
      <c r="B84" t="s">
        <v>471</v>
      </c>
      <c r="C84">
        <v>0</v>
      </c>
      <c r="D84">
        <v>0</v>
      </c>
      <c r="E84">
        <v>0</v>
      </c>
      <c r="F84">
        <v>0</v>
      </c>
      <c r="G84">
        <v>0</v>
      </c>
      <c r="H84">
        <v>0</v>
      </c>
      <c r="I84">
        <v>0</v>
      </c>
      <c r="J84">
        <v>0</v>
      </c>
      <c r="K84">
        <v>0</v>
      </c>
      <c r="L84">
        <v>0</v>
      </c>
      <c r="M84">
        <v>0</v>
      </c>
      <c r="N84">
        <v>0</v>
      </c>
      <c r="O84">
        <v>0</v>
      </c>
      <c r="P84">
        <v>0</v>
      </c>
      <c r="Q84">
        <v>0</v>
      </c>
      <c r="R84">
        <v>0</v>
      </c>
      <c r="S84">
        <v>0</v>
      </c>
      <c r="T84">
        <v>3</v>
      </c>
      <c r="U84">
        <v>2.5</v>
      </c>
      <c r="V84">
        <v>3.3125</v>
      </c>
      <c r="W84">
        <v>0</v>
      </c>
      <c r="X84">
        <v>3</v>
      </c>
      <c r="Y84">
        <v>2.5</v>
      </c>
      <c r="Z84">
        <v>3.3125</v>
      </c>
      <c r="AA84">
        <v>3.3125</v>
      </c>
      <c r="AB84">
        <v>0</v>
      </c>
      <c r="AC84">
        <v>3</v>
      </c>
      <c r="AD84">
        <v>2.5</v>
      </c>
    </row>
    <row r="85" spans="1:32" x14ac:dyDescent="0.2">
      <c r="A85" t="s">
        <v>469</v>
      </c>
      <c r="B85" t="s">
        <v>472</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4</v>
      </c>
      <c r="Z85">
        <v>0.5</v>
      </c>
      <c r="AA85">
        <v>0.5</v>
      </c>
      <c r="AB85">
        <v>0</v>
      </c>
      <c r="AC85">
        <v>0</v>
      </c>
      <c r="AD85">
        <v>4</v>
      </c>
    </row>
    <row r="86" spans="1:32" x14ac:dyDescent="0.2">
      <c r="A86" t="s">
        <v>469</v>
      </c>
      <c r="B86" t="s">
        <v>473</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3.5</v>
      </c>
      <c r="Y86">
        <v>2.5</v>
      </c>
      <c r="Z86">
        <v>3.8125</v>
      </c>
      <c r="AA86">
        <v>3.8125</v>
      </c>
      <c r="AB86">
        <v>0</v>
      </c>
      <c r="AC86">
        <v>3.5</v>
      </c>
      <c r="AD86">
        <v>2.5</v>
      </c>
    </row>
    <row r="87" spans="1:32" x14ac:dyDescent="0.2">
      <c r="A87" t="s">
        <v>469</v>
      </c>
      <c r="B87" t="s">
        <v>474</v>
      </c>
      <c r="C87">
        <v>0</v>
      </c>
      <c r="D87">
        <v>0</v>
      </c>
      <c r="E87">
        <v>2</v>
      </c>
      <c r="F87">
        <v>3.5</v>
      </c>
      <c r="G87">
        <v>2.4375</v>
      </c>
      <c r="H87">
        <v>0</v>
      </c>
      <c r="I87">
        <v>0</v>
      </c>
      <c r="J87">
        <v>0</v>
      </c>
      <c r="K87">
        <v>0</v>
      </c>
      <c r="L87">
        <v>0</v>
      </c>
      <c r="M87">
        <v>0</v>
      </c>
      <c r="N87">
        <v>0</v>
      </c>
      <c r="O87">
        <v>0</v>
      </c>
      <c r="P87">
        <v>0</v>
      </c>
      <c r="Q87">
        <v>0</v>
      </c>
      <c r="R87">
        <v>0</v>
      </c>
      <c r="S87">
        <v>0</v>
      </c>
      <c r="T87">
        <v>0</v>
      </c>
      <c r="U87">
        <v>0</v>
      </c>
      <c r="V87">
        <v>0</v>
      </c>
      <c r="W87">
        <v>0</v>
      </c>
      <c r="X87">
        <v>2</v>
      </c>
      <c r="Y87">
        <v>3.5</v>
      </c>
      <c r="Z87">
        <v>2.4375</v>
      </c>
      <c r="AA87">
        <v>2.4375</v>
      </c>
      <c r="AB87">
        <v>0</v>
      </c>
      <c r="AC87">
        <v>2</v>
      </c>
      <c r="AD87">
        <v>3.5</v>
      </c>
    </row>
    <row r="88" spans="1:32" x14ac:dyDescent="0.2">
      <c r="A88" t="s">
        <v>469</v>
      </c>
      <c r="B88" t="s">
        <v>475</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0.5</v>
      </c>
      <c r="Z88">
        <v>6.25E-2</v>
      </c>
      <c r="AA88">
        <v>0.125</v>
      </c>
      <c r="AB88">
        <v>-6.25E-2</v>
      </c>
      <c r="AC88">
        <v>0</v>
      </c>
      <c r="AD88">
        <v>1</v>
      </c>
      <c r="AE88">
        <v>0</v>
      </c>
      <c r="AF88">
        <v>0.5</v>
      </c>
    </row>
    <row r="89" spans="1:32" x14ac:dyDescent="0.2">
      <c r="A89" t="s">
        <v>469</v>
      </c>
      <c r="B89" t="s">
        <v>706</v>
      </c>
      <c r="C89">
        <v>0</v>
      </c>
      <c r="D89">
        <v>0</v>
      </c>
      <c r="E89">
        <v>0</v>
      </c>
      <c r="F89">
        <v>0</v>
      </c>
      <c r="G89">
        <v>0</v>
      </c>
      <c r="H89">
        <v>0</v>
      </c>
      <c r="I89">
        <v>0</v>
      </c>
      <c r="J89">
        <v>0</v>
      </c>
      <c r="K89">
        <v>0</v>
      </c>
      <c r="L89">
        <v>0</v>
      </c>
      <c r="M89">
        <v>0</v>
      </c>
      <c r="N89">
        <v>0</v>
      </c>
      <c r="O89">
        <v>0</v>
      </c>
      <c r="P89">
        <v>0</v>
      </c>
      <c r="Q89">
        <v>0</v>
      </c>
      <c r="R89">
        <v>0</v>
      </c>
      <c r="S89">
        <v>0</v>
      </c>
      <c r="T89">
        <v>0</v>
      </c>
      <c r="U89">
        <v>0</v>
      </c>
      <c r="V89">
        <v>0</v>
      </c>
      <c r="W89">
        <v>0</v>
      </c>
    </row>
    <row r="90" spans="1:32" x14ac:dyDescent="0.2">
      <c r="A90" t="s">
        <v>469</v>
      </c>
      <c r="B90" t="s">
        <v>635</v>
      </c>
      <c r="C90">
        <v>0</v>
      </c>
      <c r="D90">
        <v>0</v>
      </c>
      <c r="E90">
        <v>0</v>
      </c>
      <c r="F90">
        <v>0</v>
      </c>
      <c r="G90">
        <v>0</v>
      </c>
      <c r="H90">
        <v>0</v>
      </c>
      <c r="I90">
        <v>0</v>
      </c>
      <c r="J90">
        <v>0</v>
      </c>
      <c r="K90">
        <v>0</v>
      </c>
      <c r="L90">
        <v>0</v>
      </c>
      <c r="M90">
        <v>0</v>
      </c>
      <c r="N90">
        <v>0</v>
      </c>
      <c r="O90">
        <v>0</v>
      </c>
      <c r="P90">
        <v>0</v>
      </c>
      <c r="Q90">
        <v>0</v>
      </c>
      <c r="R90">
        <v>0</v>
      </c>
      <c r="S90">
        <v>0</v>
      </c>
      <c r="T90">
        <v>0</v>
      </c>
      <c r="U90">
        <v>0</v>
      </c>
      <c r="V90">
        <v>0</v>
      </c>
      <c r="W90">
        <v>0</v>
      </c>
    </row>
    <row r="91" spans="1:32" x14ac:dyDescent="0.2">
      <c r="A91" t="s">
        <v>477</v>
      </c>
      <c r="B91" t="s">
        <v>478</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1</v>
      </c>
      <c r="Z91">
        <v>0.125</v>
      </c>
      <c r="AA91">
        <v>0.125</v>
      </c>
      <c r="AB91">
        <v>0</v>
      </c>
      <c r="AC91">
        <v>0</v>
      </c>
      <c r="AD91">
        <v>1</v>
      </c>
    </row>
    <row r="92" spans="1:32" x14ac:dyDescent="0.2">
      <c r="A92" t="s">
        <v>477</v>
      </c>
      <c r="B92" t="s">
        <v>479</v>
      </c>
      <c r="C92">
        <v>0</v>
      </c>
      <c r="D92">
        <v>0</v>
      </c>
      <c r="E92">
        <v>0</v>
      </c>
      <c r="F92">
        <v>0</v>
      </c>
      <c r="G92">
        <v>0</v>
      </c>
      <c r="H92">
        <v>0</v>
      </c>
      <c r="I92">
        <v>0</v>
      </c>
      <c r="J92">
        <v>0</v>
      </c>
      <c r="K92">
        <v>0</v>
      </c>
      <c r="L92">
        <v>0</v>
      </c>
      <c r="M92">
        <v>0</v>
      </c>
      <c r="N92">
        <v>0</v>
      </c>
      <c r="O92">
        <v>0</v>
      </c>
      <c r="P92">
        <v>0</v>
      </c>
      <c r="Q92">
        <v>0</v>
      </c>
      <c r="R92">
        <v>0</v>
      </c>
      <c r="S92">
        <v>0</v>
      </c>
      <c r="T92">
        <v>8</v>
      </c>
      <c r="U92">
        <v>0</v>
      </c>
      <c r="V92">
        <v>8</v>
      </c>
      <c r="W92">
        <v>0</v>
      </c>
      <c r="X92">
        <v>8</v>
      </c>
      <c r="Y92">
        <v>0</v>
      </c>
      <c r="Z92">
        <v>8</v>
      </c>
      <c r="AA92">
        <v>8</v>
      </c>
      <c r="AB92">
        <v>0</v>
      </c>
      <c r="AC92">
        <v>8</v>
      </c>
      <c r="AD92">
        <v>0</v>
      </c>
    </row>
    <row r="93" spans="1:32" x14ac:dyDescent="0.2">
      <c r="A93" t="s">
        <v>477</v>
      </c>
      <c r="B93" t="s">
        <v>480</v>
      </c>
      <c r="C93">
        <v>0</v>
      </c>
      <c r="D93">
        <v>0</v>
      </c>
      <c r="E93">
        <v>0</v>
      </c>
      <c r="F93">
        <v>0</v>
      </c>
      <c r="G93">
        <v>0</v>
      </c>
      <c r="H93">
        <v>3</v>
      </c>
      <c r="I93">
        <v>2</v>
      </c>
      <c r="J93">
        <v>3.25</v>
      </c>
      <c r="K93">
        <v>0</v>
      </c>
      <c r="L93">
        <v>0</v>
      </c>
      <c r="M93">
        <v>0</v>
      </c>
      <c r="N93">
        <v>0</v>
      </c>
      <c r="O93">
        <v>0</v>
      </c>
      <c r="P93">
        <v>0</v>
      </c>
      <c r="Q93">
        <v>0</v>
      </c>
      <c r="R93">
        <v>0</v>
      </c>
      <c r="S93">
        <v>0</v>
      </c>
      <c r="T93">
        <v>0</v>
      </c>
      <c r="U93">
        <v>0</v>
      </c>
      <c r="V93">
        <v>0</v>
      </c>
      <c r="W93">
        <v>0</v>
      </c>
      <c r="X93">
        <v>3</v>
      </c>
      <c r="Y93">
        <v>2</v>
      </c>
      <c r="Z93">
        <v>3.25</v>
      </c>
      <c r="AA93">
        <v>3.25</v>
      </c>
      <c r="AB93">
        <v>0</v>
      </c>
      <c r="AC93">
        <v>3</v>
      </c>
      <c r="AD93">
        <v>2</v>
      </c>
    </row>
    <row r="94" spans="1:32" x14ac:dyDescent="0.2">
      <c r="A94" t="s">
        <v>477</v>
      </c>
      <c r="B94" t="s">
        <v>481</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11</v>
      </c>
      <c r="Y94">
        <v>2</v>
      </c>
      <c r="Z94">
        <v>11.25</v>
      </c>
      <c r="AA94">
        <v>11.25</v>
      </c>
      <c r="AB94">
        <v>0</v>
      </c>
      <c r="AC94">
        <v>11</v>
      </c>
      <c r="AD94">
        <v>2</v>
      </c>
    </row>
    <row r="95" spans="1:32" x14ac:dyDescent="0.2">
      <c r="A95" t="s">
        <v>477</v>
      </c>
      <c r="B95" t="s">
        <v>482</v>
      </c>
      <c r="C95">
        <v>0</v>
      </c>
      <c r="D95">
        <v>0</v>
      </c>
      <c r="E95">
        <v>5.5</v>
      </c>
      <c r="F95">
        <v>0</v>
      </c>
      <c r="G95">
        <v>5.5</v>
      </c>
      <c r="H95">
        <v>0</v>
      </c>
      <c r="I95">
        <v>0</v>
      </c>
      <c r="J95">
        <v>0</v>
      </c>
      <c r="K95">
        <v>0</v>
      </c>
      <c r="L95">
        <v>0</v>
      </c>
      <c r="M95">
        <v>0</v>
      </c>
      <c r="N95">
        <v>0</v>
      </c>
      <c r="O95">
        <v>0</v>
      </c>
      <c r="P95">
        <v>0</v>
      </c>
      <c r="Q95">
        <v>0</v>
      </c>
      <c r="R95">
        <v>0</v>
      </c>
      <c r="S95">
        <v>0</v>
      </c>
      <c r="T95">
        <v>0</v>
      </c>
      <c r="U95">
        <v>0</v>
      </c>
      <c r="V95">
        <v>0</v>
      </c>
      <c r="W95">
        <v>0</v>
      </c>
      <c r="X95">
        <v>5.5</v>
      </c>
      <c r="Y95">
        <v>0</v>
      </c>
      <c r="Z95">
        <v>5.5</v>
      </c>
      <c r="AA95">
        <v>5.5</v>
      </c>
      <c r="AB95">
        <v>0</v>
      </c>
      <c r="AC95">
        <v>5.5</v>
      </c>
      <c r="AD95">
        <v>0</v>
      </c>
    </row>
    <row r="96" spans="1:32" x14ac:dyDescent="0.2">
      <c r="A96" t="s">
        <v>477</v>
      </c>
      <c r="B96" t="s">
        <v>483</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1</v>
      </c>
      <c r="Z96">
        <v>0.125</v>
      </c>
      <c r="AA96">
        <v>0.125</v>
      </c>
      <c r="AB96">
        <v>0</v>
      </c>
      <c r="AC96">
        <v>0</v>
      </c>
      <c r="AD96">
        <v>1</v>
      </c>
    </row>
    <row r="97" spans="1:30" x14ac:dyDescent="0.2">
      <c r="A97" t="s">
        <v>477</v>
      </c>
      <c r="B97" t="s">
        <v>484</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2</v>
      </c>
      <c r="Y97">
        <v>1</v>
      </c>
      <c r="Z97">
        <v>2.125</v>
      </c>
      <c r="AA97">
        <v>2.125</v>
      </c>
      <c r="AB97">
        <v>0</v>
      </c>
      <c r="AC97">
        <v>2</v>
      </c>
      <c r="AD97">
        <v>1</v>
      </c>
    </row>
    <row r="98" spans="1:30" x14ac:dyDescent="0.2">
      <c r="A98" t="s">
        <v>477</v>
      </c>
      <c r="B98" t="s">
        <v>485</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1.5</v>
      </c>
      <c r="Y98">
        <v>0</v>
      </c>
      <c r="Z98">
        <v>1.5</v>
      </c>
      <c r="AA98">
        <v>1.5</v>
      </c>
      <c r="AB98">
        <v>0</v>
      </c>
      <c r="AC98">
        <v>1.5</v>
      </c>
      <c r="AD98">
        <v>0</v>
      </c>
    </row>
    <row r="99" spans="1:30" x14ac:dyDescent="0.2">
      <c r="A99" t="s">
        <v>477</v>
      </c>
      <c r="B99" t="s">
        <v>486</v>
      </c>
      <c r="C99">
        <v>0</v>
      </c>
      <c r="D99">
        <v>0</v>
      </c>
      <c r="E99">
        <v>0</v>
      </c>
      <c r="F99">
        <v>0</v>
      </c>
      <c r="G99">
        <v>0</v>
      </c>
      <c r="H99">
        <v>0</v>
      </c>
      <c r="I99">
        <v>0</v>
      </c>
      <c r="J99">
        <v>0</v>
      </c>
      <c r="K99">
        <v>0</v>
      </c>
      <c r="L99">
        <v>0</v>
      </c>
      <c r="M99">
        <v>0</v>
      </c>
      <c r="N99">
        <v>0</v>
      </c>
      <c r="O99">
        <v>0</v>
      </c>
      <c r="P99">
        <v>0</v>
      </c>
      <c r="Q99">
        <v>2</v>
      </c>
      <c r="R99">
        <v>1</v>
      </c>
      <c r="S99">
        <v>2.125</v>
      </c>
      <c r="T99">
        <v>0</v>
      </c>
      <c r="U99">
        <v>0</v>
      </c>
      <c r="V99">
        <v>0</v>
      </c>
      <c r="W99">
        <v>0</v>
      </c>
      <c r="X99">
        <v>2</v>
      </c>
      <c r="Y99">
        <v>1</v>
      </c>
      <c r="Z99">
        <v>2.125</v>
      </c>
      <c r="AA99">
        <v>2.125</v>
      </c>
      <c r="AB99">
        <v>0</v>
      </c>
      <c r="AC99">
        <v>2</v>
      </c>
      <c r="AD99">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L8"/>
  <sheetViews>
    <sheetView workbookViewId="0"/>
  </sheetViews>
  <sheetFormatPr baseColWidth="10" defaultColWidth="8.83203125" defaultRowHeight="15" x14ac:dyDescent="0.2"/>
  <sheetData>
    <row r="1" spans="1:38" x14ac:dyDescent="0.2">
      <c r="A1" s="1" t="s">
        <v>0</v>
      </c>
      <c r="B1" s="1" t="s">
        <v>1</v>
      </c>
      <c r="C1" s="1" t="s">
        <v>2</v>
      </c>
      <c r="D1" s="1" t="s">
        <v>3</v>
      </c>
      <c r="E1" s="1" t="s">
        <v>4</v>
      </c>
      <c r="F1" s="1" t="s">
        <v>5</v>
      </c>
      <c r="G1" s="1" t="s">
        <v>6</v>
      </c>
      <c r="H1" s="1" t="s">
        <v>7</v>
      </c>
      <c r="I1" s="1" t="s">
        <v>8</v>
      </c>
      <c r="J1" s="1" t="s">
        <v>9</v>
      </c>
      <c r="K1" s="1" t="s">
        <v>10</v>
      </c>
      <c r="L1" s="1" t="s">
        <v>11</v>
      </c>
      <c r="M1" s="1" t="s">
        <v>714</v>
      </c>
      <c r="N1" s="1" t="s">
        <v>715</v>
      </c>
      <c r="O1" s="1" t="s">
        <v>22</v>
      </c>
      <c r="P1" s="1" t="s">
        <v>23</v>
      </c>
      <c r="Q1" s="1" t="s">
        <v>12</v>
      </c>
      <c r="R1" s="1" t="s">
        <v>13</v>
      </c>
      <c r="S1" s="1" t="s">
        <v>24</v>
      </c>
      <c r="T1" s="1" t="s">
        <v>25</v>
      </c>
      <c r="U1" s="1" t="s">
        <v>14</v>
      </c>
      <c r="V1" s="1" t="s">
        <v>15</v>
      </c>
      <c r="W1" s="1" t="s">
        <v>26</v>
      </c>
      <c r="X1" s="1" t="s">
        <v>27</v>
      </c>
      <c r="Y1" s="1" t="s">
        <v>16</v>
      </c>
      <c r="Z1" s="1" t="s">
        <v>17</v>
      </c>
      <c r="AA1" s="1" t="s">
        <v>28</v>
      </c>
      <c r="AB1" s="1" t="s">
        <v>29</v>
      </c>
      <c r="AC1" s="1" t="s">
        <v>18</v>
      </c>
      <c r="AD1" s="1" t="s">
        <v>19</v>
      </c>
      <c r="AE1" s="1" t="s">
        <v>716</v>
      </c>
      <c r="AF1" s="1" t="s">
        <v>717</v>
      </c>
      <c r="AG1" s="1" t="s">
        <v>718</v>
      </c>
      <c r="AH1" s="1" t="s">
        <v>719</v>
      </c>
      <c r="AI1" s="1" t="s">
        <v>720</v>
      </c>
      <c r="AJ1" s="1" t="s">
        <v>709</v>
      </c>
      <c r="AK1" s="1" t="s">
        <v>710</v>
      </c>
      <c r="AL1" s="1" t="s">
        <v>721</v>
      </c>
    </row>
    <row r="2" spans="1:38" x14ac:dyDescent="0.2">
      <c r="A2" t="s">
        <v>192</v>
      </c>
      <c r="B2" t="s">
        <v>193</v>
      </c>
      <c r="C2">
        <v>22.79</v>
      </c>
      <c r="D2">
        <v>22</v>
      </c>
      <c r="E2">
        <v>15</v>
      </c>
      <c r="F2">
        <v>8.5</v>
      </c>
      <c r="G2" t="s">
        <v>194</v>
      </c>
      <c r="H2">
        <v>73</v>
      </c>
      <c r="I2">
        <v>4</v>
      </c>
      <c r="J2">
        <v>73.5</v>
      </c>
      <c r="K2">
        <v>73.5</v>
      </c>
      <c r="L2">
        <v>0</v>
      </c>
      <c r="M2">
        <v>73.5</v>
      </c>
      <c r="N2">
        <v>0</v>
      </c>
      <c r="O2">
        <v>5</v>
      </c>
      <c r="P2">
        <v>0</v>
      </c>
      <c r="Q2">
        <v>7.5</v>
      </c>
      <c r="R2">
        <v>1</v>
      </c>
      <c r="S2">
        <v>5</v>
      </c>
      <c r="T2">
        <v>4</v>
      </c>
      <c r="U2">
        <v>6.5</v>
      </c>
      <c r="V2">
        <v>0</v>
      </c>
      <c r="W2">
        <v>6</v>
      </c>
      <c r="X2">
        <v>0</v>
      </c>
      <c r="Y2">
        <v>19</v>
      </c>
      <c r="Z2">
        <v>3</v>
      </c>
      <c r="AA2">
        <v>6</v>
      </c>
      <c r="AB2">
        <v>8</v>
      </c>
      <c r="AC2">
        <v>40</v>
      </c>
      <c r="AD2">
        <v>0</v>
      </c>
      <c r="AE2">
        <v>0.25</v>
      </c>
      <c r="AF2">
        <v>0.26666666666666672</v>
      </c>
      <c r="AG2">
        <v>0.3</v>
      </c>
      <c r="AH2">
        <v>0.33333333333333331</v>
      </c>
      <c r="AI2">
        <v>73.5</v>
      </c>
      <c r="AJ2">
        <v>0.31000566893424042</v>
      </c>
      <c r="AK2">
        <v>0.28749999999999998</v>
      </c>
      <c r="AL2" t="s">
        <v>194</v>
      </c>
    </row>
    <row r="3" spans="1:38" x14ac:dyDescent="0.2">
      <c r="A3" t="s">
        <v>192</v>
      </c>
      <c r="B3" t="s">
        <v>195</v>
      </c>
      <c r="C3">
        <v>0.87</v>
      </c>
      <c r="D3">
        <v>0</v>
      </c>
      <c r="E3">
        <v>17</v>
      </c>
      <c r="F3">
        <v>5.75</v>
      </c>
      <c r="G3" t="s">
        <v>196</v>
      </c>
      <c r="H3">
        <v>8</v>
      </c>
      <c r="I3">
        <v>5</v>
      </c>
      <c r="J3">
        <v>8.625</v>
      </c>
      <c r="K3">
        <v>8</v>
      </c>
      <c r="L3">
        <v>0.625</v>
      </c>
      <c r="M3">
        <v>8</v>
      </c>
      <c r="N3">
        <v>0</v>
      </c>
      <c r="O3">
        <v>2</v>
      </c>
      <c r="P3">
        <v>0</v>
      </c>
      <c r="Q3">
        <v>4</v>
      </c>
      <c r="R3">
        <v>0</v>
      </c>
      <c r="S3">
        <v>2</v>
      </c>
      <c r="T3">
        <v>4</v>
      </c>
      <c r="U3">
        <v>4</v>
      </c>
      <c r="V3">
        <v>0</v>
      </c>
      <c r="Y3">
        <v>0</v>
      </c>
      <c r="Z3">
        <v>5</v>
      </c>
      <c r="AE3">
        <v>0.1</v>
      </c>
      <c r="AF3">
        <v>0.1166666666666667</v>
      </c>
      <c r="AI3">
        <v>8</v>
      </c>
      <c r="AJ3">
        <v>0.1083333333333333</v>
      </c>
      <c r="AK3">
        <v>0.1083333333333333</v>
      </c>
      <c r="AL3" t="s">
        <v>196</v>
      </c>
    </row>
    <row r="4" spans="1:38" x14ac:dyDescent="0.2">
      <c r="A4" t="s">
        <v>192</v>
      </c>
      <c r="B4" t="s">
        <v>197</v>
      </c>
      <c r="C4">
        <v>1.06</v>
      </c>
      <c r="D4">
        <v>1</v>
      </c>
      <c r="E4">
        <v>1</v>
      </c>
      <c r="F4">
        <v>3</v>
      </c>
      <c r="G4" t="s">
        <v>198</v>
      </c>
      <c r="H4">
        <v>5</v>
      </c>
      <c r="I4">
        <v>2.5</v>
      </c>
      <c r="J4">
        <v>5.3125</v>
      </c>
      <c r="K4">
        <v>5.3125</v>
      </c>
      <c r="L4">
        <v>0</v>
      </c>
      <c r="M4">
        <v>5</v>
      </c>
      <c r="N4">
        <v>2.5</v>
      </c>
      <c r="O4">
        <v>4</v>
      </c>
      <c r="P4">
        <v>0</v>
      </c>
      <c r="AE4">
        <v>0.2</v>
      </c>
      <c r="AI4">
        <v>5.3125</v>
      </c>
      <c r="AJ4">
        <v>0.2</v>
      </c>
      <c r="AK4">
        <v>0.2</v>
      </c>
      <c r="AL4" t="s">
        <v>198</v>
      </c>
    </row>
    <row r="5" spans="1:38" x14ac:dyDescent="0.2">
      <c r="A5" t="s">
        <v>192</v>
      </c>
      <c r="B5" t="s">
        <v>199</v>
      </c>
      <c r="C5">
        <v>6.69</v>
      </c>
      <c r="D5">
        <v>6</v>
      </c>
      <c r="E5">
        <v>13</v>
      </c>
      <c r="F5">
        <v>10</v>
      </c>
      <c r="G5" t="s">
        <v>200</v>
      </c>
      <c r="H5">
        <v>58.5</v>
      </c>
      <c r="I5">
        <v>3</v>
      </c>
      <c r="J5">
        <v>58.875</v>
      </c>
      <c r="K5">
        <v>58.875</v>
      </c>
      <c r="L5">
        <v>0</v>
      </c>
      <c r="M5">
        <v>58.5</v>
      </c>
      <c r="N5">
        <v>3</v>
      </c>
      <c r="O5">
        <v>2</v>
      </c>
      <c r="P5">
        <v>0</v>
      </c>
      <c r="Q5">
        <v>31</v>
      </c>
      <c r="R5">
        <v>0</v>
      </c>
      <c r="S5">
        <v>2</v>
      </c>
      <c r="T5">
        <v>4</v>
      </c>
      <c r="U5">
        <v>7.5</v>
      </c>
      <c r="V5">
        <v>0</v>
      </c>
      <c r="W5">
        <v>2</v>
      </c>
      <c r="X5">
        <v>8</v>
      </c>
      <c r="Y5">
        <v>20</v>
      </c>
      <c r="Z5">
        <v>3</v>
      </c>
      <c r="AE5">
        <v>0.1</v>
      </c>
      <c r="AF5">
        <v>0.1166666666666667</v>
      </c>
      <c r="AG5">
        <v>0.1333333333333333</v>
      </c>
      <c r="AI5">
        <v>58.875</v>
      </c>
      <c r="AJ5">
        <v>0.11365888181174801</v>
      </c>
      <c r="AK5">
        <v>0.1166666666666667</v>
      </c>
      <c r="AL5" t="s">
        <v>200</v>
      </c>
    </row>
    <row r="6" spans="1:38" x14ac:dyDescent="0.2">
      <c r="A6" t="s">
        <v>192</v>
      </c>
      <c r="B6" t="s">
        <v>201</v>
      </c>
      <c r="C6">
        <v>0.03</v>
      </c>
      <c r="D6">
        <v>0</v>
      </c>
      <c r="E6">
        <v>0</v>
      </c>
      <c r="F6">
        <v>8</v>
      </c>
      <c r="G6" t="s">
        <v>202</v>
      </c>
      <c r="H6">
        <v>0</v>
      </c>
      <c r="I6">
        <v>2</v>
      </c>
      <c r="J6">
        <v>0.25</v>
      </c>
      <c r="K6">
        <v>0.25</v>
      </c>
      <c r="L6">
        <v>0</v>
      </c>
      <c r="M6">
        <v>0</v>
      </c>
      <c r="N6">
        <v>2</v>
      </c>
      <c r="AE6">
        <v>0.12</v>
      </c>
      <c r="AI6">
        <v>0.25</v>
      </c>
      <c r="AJ6">
        <v>0.12</v>
      </c>
      <c r="AK6">
        <v>0.12</v>
      </c>
      <c r="AL6" t="s">
        <v>202</v>
      </c>
    </row>
    <row r="7" spans="1:38" x14ac:dyDescent="0.2">
      <c r="A7" t="s">
        <v>192</v>
      </c>
      <c r="B7" t="s">
        <v>203</v>
      </c>
      <c r="C7">
        <v>0.21</v>
      </c>
      <c r="D7">
        <v>0</v>
      </c>
      <c r="E7">
        <v>4</v>
      </c>
      <c r="F7">
        <v>3</v>
      </c>
      <c r="G7" t="s">
        <v>204</v>
      </c>
      <c r="H7">
        <v>2</v>
      </c>
      <c r="I7">
        <v>1</v>
      </c>
      <c r="J7">
        <v>2.125</v>
      </c>
      <c r="K7">
        <v>2.125</v>
      </c>
      <c r="L7">
        <v>0</v>
      </c>
      <c r="M7">
        <v>2</v>
      </c>
      <c r="N7">
        <v>1</v>
      </c>
      <c r="O7">
        <v>2</v>
      </c>
      <c r="P7">
        <v>0</v>
      </c>
      <c r="AE7">
        <v>0.1</v>
      </c>
      <c r="AI7">
        <v>2.125</v>
      </c>
      <c r="AJ7">
        <v>0.1</v>
      </c>
      <c r="AK7">
        <v>0.1</v>
      </c>
      <c r="AL7" t="s">
        <v>204</v>
      </c>
    </row>
    <row r="8" spans="1:38" x14ac:dyDescent="0.2">
      <c r="A8" t="s">
        <v>192</v>
      </c>
      <c r="B8" t="s">
        <v>205</v>
      </c>
      <c r="C8">
        <v>31.66</v>
      </c>
      <c r="D8">
        <v>31</v>
      </c>
      <c r="E8">
        <v>13</v>
      </c>
      <c r="F8">
        <v>2.25</v>
      </c>
      <c r="H8">
        <v>0</v>
      </c>
      <c r="I8">
        <v>0</v>
      </c>
      <c r="J8">
        <v>0</v>
      </c>
      <c r="K8">
        <v>0</v>
      </c>
      <c r="L8">
        <v>0</v>
      </c>
      <c r="M8">
        <v>0</v>
      </c>
      <c r="N8">
        <v>0</v>
      </c>
      <c r="AE8" t="s">
        <v>722</v>
      </c>
      <c r="AI8">
        <v>0</v>
      </c>
      <c r="AJ8" t="s">
        <v>722</v>
      </c>
      <c r="AK8" t="s">
        <v>722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581"/>
  <sheetViews>
    <sheetView workbookViewId="0"/>
  </sheetViews>
  <sheetFormatPr baseColWidth="10" defaultColWidth="8.83203125" defaultRowHeight="15" x14ac:dyDescent="0.2"/>
  <sheetData>
    <row r="1" spans="1:3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2">
      <c r="A2" t="s">
        <v>38</v>
      </c>
      <c r="B2" t="s">
        <v>39</v>
      </c>
      <c r="C2">
        <v>71.91</v>
      </c>
      <c r="D2">
        <v>71</v>
      </c>
      <c r="E2">
        <v>18</v>
      </c>
      <c r="F2">
        <v>3.5</v>
      </c>
      <c r="H2">
        <v>0</v>
      </c>
      <c r="I2">
        <v>0</v>
      </c>
      <c r="J2">
        <v>0</v>
      </c>
      <c r="K2">
        <v>0</v>
      </c>
      <c r="L2">
        <v>0</v>
      </c>
      <c r="M2">
        <v>0</v>
      </c>
      <c r="N2">
        <v>0</v>
      </c>
    </row>
    <row r="3" spans="1:38" x14ac:dyDescent="0.2">
      <c r="A3" t="s">
        <v>38</v>
      </c>
      <c r="B3" t="s">
        <v>40</v>
      </c>
      <c r="C3">
        <v>0</v>
      </c>
      <c r="D3">
        <v>0</v>
      </c>
      <c r="E3">
        <v>0</v>
      </c>
      <c r="F3">
        <v>0</v>
      </c>
      <c r="H3">
        <v>0</v>
      </c>
      <c r="I3">
        <v>0</v>
      </c>
      <c r="J3">
        <v>0</v>
      </c>
      <c r="K3">
        <v>0</v>
      </c>
      <c r="L3">
        <v>0</v>
      </c>
      <c r="M3">
        <v>0</v>
      </c>
      <c r="N3">
        <v>0</v>
      </c>
    </row>
    <row r="4" spans="1:38" x14ac:dyDescent="0.2">
      <c r="A4" t="s">
        <v>41</v>
      </c>
      <c r="B4" t="s">
        <v>42</v>
      </c>
      <c r="C4">
        <v>14.54</v>
      </c>
      <c r="D4">
        <v>14</v>
      </c>
      <c r="E4">
        <v>10</v>
      </c>
      <c r="F4">
        <v>10.75</v>
      </c>
      <c r="H4">
        <v>0</v>
      </c>
      <c r="I4">
        <v>0</v>
      </c>
      <c r="J4">
        <v>0</v>
      </c>
      <c r="K4">
        <v>0</v>
      </c>
      <c r="L4">
        <v>0</v>
      </c>
      <c r="M4">
        <v>0</v>
      </c>
      <c r="N4">
        <v>0</v>
      </c>
    </row>
    <row r="5" spans="1:38" x14ac:dyDescent="0.2">
      <c r="A5" t="s">
        <v>41</v>
      </c>
      <c r="B5" t="s">
        <v>43</v>
      </c>
      <c r="C5">
        <v>23.04</v>
      </c>
      <c r="D5">
        <v>23</v>
      </c>
      <c r="E5">
        <v>0</v>
      </c>
      <c r="F5">
        <v>8.75</v>
      </c>
      <c r="H5">
        <v>0</v>
      </c>
      <c r="I5">
        <v>0</v>
      </c>
      <c r="J5">
        <v>0</v>
      </c>
      <c r="K5">
        <v>0</v>
      </c>
      <c r="L5">
        <v>0</v>
      </c>
      <c r="M5">
        <v>0</v>
      </c>
      <c r="N5">
        <v>0</v>
      </c>
    </row>
    <row r="6" spans="1:38" x14ac:dyDescent="0.2">
      <c r="A6" t="s">
        <v>41</v>
      </c>
      <c r="B6" t="s">
        <v>44</v>
      </c>
      <c r="C6">
        <v>14.54</v>
      </c>
      <c r="D6">
        <v>14</v>
      </c>
      <c r="E6">
        <v>10</v>
      </c>
      <c r="F6">
        <v>10.5</v>
      </c>
      <c r="H6">
        <v>0</v>
      </c>
      <c r="I6">
        <v>0</v>
      </c>
      <c r="J6">
        <v>0</v>
      </c>
      <c r="K6">
        <v>0</v>
      </c>
      <c r="L6">
        <v>0</v>
      </c>
      <c r="M6">
        <v>0</v>
      </c>
      <c r="N6">
        <v>0</v>
      </c>
    </row>
    <row r="7" spans="1:38" x14ac:dyDescent="0.2">
      <c r="A7" t="s">
        <v>41</v>
      </c>
      <c r="B7" t="s">
        <v>45</v>
      </c>
      <c r="C7">
        <v>23.96</v>
      </c>
      <c r="D7">
        <v>23</v>
      </c>
      <c r="E7">
        <v>19</v>
      </c>
      <c r="F7">
        <v>3.5</v>
      </c>
      <c r="H7">
        <v>0</v>
      </c>
      <c r="I7">
        <v>0</v>
      </c>
      <c r="J7">
        <v>0</v>
      </c>
      <c r="K7">
        <v>0</v>
      </c>
      <c r="L7">
        <v>0</v>
      </c>
      <c r="M7">
        <v>0</v>
      </c>
      <c r="N7">
        <v>0</v>
      </c>
    </row>
    <row r="8" spans="1:38" x14ac:dyDescent="0.2">
      <c r="A8" t="s">
        <v>41</v>
      </c>
      <c r="B8" t="s">
        <v>46</v>
      </c>
      <c r="C8">
        <v>76.09</v>
      </c>
      <c r="D8">
        <v>76</v>
      </c>
      <c r="E8">
        <v>1</v>
      </c>
      <c r="F8">
        <v>9.5</v>
      </c>
      <c r="H8">
        <v>0</v>
      </c>
      <c r="I8">
        <v>0</v>
      </c>
      <c r="J8">
        <v>0</v>
      </c>
      <c r="K8">
        <v>0</v>
      </c>
      <c r="L8">
        <v>0</v>
      </c>
      <c r="M8">
        <v>0</v>
      </c>
      <c r="N8">
        <v>0</v>
      </c>
    </row>
    <row r="9" spans="1:38" x14ac:dyDescent="0.2">
      <c r="A9" t="s">
        <v>47</v>
      </c>
      <c r="B9" t="s">
        <v>48</v>
      </c>
      <c r="C9">
        <v>0.25</v>
      </c>
      <c r="D9">
        <v>0</v>
      </c>
      <c r="E9">
        <v>5</v>
      </c>
      <c r="F9">
        <v>0</v>
      </c>
      <c r="H9">
        <v>0</v>
      </c>
      <c r="I9">
        <v>0</v>
      </c>
      <c r="J9">
        <v>0</v>
      </c>
      <c r="K9">
        <v>0</v>
      </c>
      <c r="L9">
        <v>0</v>
      </c>
      <c r="M9">
        <v>0</v>
      </c>
      <c r="N9">
        <v>0</v>
      </c>
    </row>
    <row r="10" spans="1:38" x14ac:dyDescent="0.2">
      <c r="A10" t="s">
        <v>47</v>
      </c>
      <c r="B10" t="s">
        <v>49</v>
      </c>
      <c r="C10">
        <v>0.25</v>
      </c>
      <c r="D10">
        <v>0</v>
      </c>
      <c r="E10">
        <v>5</v>
      </c>
      <c r="F10">
        <v>0</v>
      </c>
      <c r="H10">
        <v>0</v>
      </c>
      <c r="I10">
        <v>0</v>
      </c>
      <c r="J10">
        <v>0</v>
      </c>
      <c r="K10">
        <v>0</v>
      </c>
      <c r="L10">
        <v>0</v>
      </c>
      <c r="M10">
        <v>0</v>
      </c>
      <c r="N10">
        <v>0</v>
      </c>
    </row>
    <row r="11" spans="1:38" x14ac:dyDescent="0.2">
      <c r="A11" t="s">
        <v>47</v>
      </c>
      <c r="B11" t="s">
        <v>50</v>
      </c>
      <c r="C11">
        <v>0.5</v>
      </c>
      <c r="D11">
        <v>0</v>
      </c>
      <c r="E11">
        <v>10</v>
      </c>
      <c r="F11">
        <v>0</v>
      </c>
      <c r="G11" t="s">
        <v>51</v>
      </c>
      <c r="H11">
        <v>0</v>
      </c>
      <c r="I11">
        <v>0</v>
      </c>
      <c r="J11">
        <v>0</v>
      </c>
      <c r="K11">
        <v>0</v>
      </c>
      <c r="L11">
        <v>0</v>
      </c>
      <c r="M11">
        <v>0</v>
      </c>
      <c r="N11">
        <v>0</v>
      </c>
    </row>
    <row r="12" spans="1:38" x14ac:dyDescent="0.2">
      <c r="A12" t="s">
        <v>47</v>
      </c>
      <c r="B12" t="s">
        <v>52</v>
      </c>
      <c r="C12">
        <v>0.43</v>
      </c>
      <c r="D12">
        <v>0</v>
      </c>
      <c r="E12">
        <v>8</v>
      </c>
      <c r="F12">
        <v>6</v>
      </c>
      <c r="H12">
        <v>0</v>
      </c>
      <c r="I12">
        <v>0</v>
      </c>
      <c r="J12">
        <v>0</v>
      </c>
      <c r="K12">
        <v>0</v>
      </c>
      <c r="L12">
        <v>0</v>
      </c>
      <c r="M12">
        <v>0</v>
      </c>
      <c r="N12">
        <v>0</v>
      </c>
    </row>
    <row r="13" spans="1:38" x14ac:dyDescent="0.2">
      <c r="A13" t="s">
        <v>47</v>
      </c>
      <c r="B13" t="s">
        <v>53</v>
      </c>
      <c r="C13">
        <v>0.9</v>
      </c>
      <c r="D13">
        <v>0</v>
      </c>
      <c r="E13">
        <v>18</v>
      </c>
      <c r="F13">
        <v>0</v>
      </c>
      <c r="H13">
        <v>0</v>
      </c>
      <c r="I13">
        <v>0</v>
      </c>
      <c r="J13">
        <v>0</v>
      </c>
      <c r="K13">
        <v>0</v>
      </c>
      <c r="L13">
        <v>0</v>
      </c>
      <c r="M13">
        <v>0</v>
      </c>
      <c r="N13">
        <v>0</v>
      </c>
    </row>
    <row r="14" spans="1:38" x14ac:dyDescent="0.2">
      <c r="A14" t="s">
        <v>47</v>
      </c>
      <c r="B14" t="s">
        <v>54</v>
      </c>
      <c r="C14">
        <v>0.15</v>
      </c>
      <c r="D14">
        <v>0</v>
      </c>
      <c r="E14">
        <v>3</v>
      </c>
      <c r="F14">
        <v>0</v>
      </c>
      <c r="H14">
        <v>0</v>
      </c>
      <c r="I14">
        <v>0</v>
      </c>
      <c r="J14">
        <v>0</v>
      </c>
      <c r="K14">
        <v>0</v>
      </c>
      <c r="L14">
        <v>0</v>
      </c>
      <c r="M14">
        <v>0</v>
      </c>
      <c r="N14">
        <v>0</v>
      </c>
    </row>
    <row r="15" spans="1:38" x14ac:dyDescent="0.2">
      <c r="A15" t="s">
        <v>47</v>
      </c>
      <c r="B15" t="s">
        <v>55</v>
      </c>
      <c r="C15">
        <v>0.3</v>
      </c>
      <c r="D15">
        <v>0</v>
      </c>
      <c r="E15">
        <v>6</v>
      </c>
      <c r="F15">
        <v>0</v>
      </c>
      <c r="H15">
        <v>0</v>
      </c>
      <c r="I15">
        <v>0</v>
      </c>
      <c r="J15">
        <v>0</v>
      </c>
      <c r="K15">
        <v>0</v>
      </c>
      <c r="L15">
        <v>0</v>
      </c>
      <c r="M15">
        <v>0</v>
      </c>
      <c r="N15">
        <v>0</v>
      </c>
    </row>
    <row r="16" spans="1:38" x14ac:dyDescent="0.2">
      <c r="A16" t="s">
        <v>47</v>
      </c>
      <c r="B16" t="s">
        <v>56</v>
      </c>
      <c r="C16">
        <v>2.88</v>
      </c>
      <c r="D16">
        <v>2</v>
      </c>
      <c r="E16">
        <v>17</v>
      </c>
      <c r="F16">
        <v>6</v>
      </c>
      <c r="H16">
        <v>0</v>
      </c>
      <c r="I16">
        <v>0</v>
      </c>
      <c r="J16">
        <v>0</v>
      </c>
      <c r="K16">
        <v>0</v>
      </c>
      <c r="L16">
        <v>0</v>
      </c>
      <c r="M16">
        <v>0</v>
      </c>
      <c r="N16">
        <v>0</v>
      </c>
    </row>
    <row r="17" spans="1:14" x14ac:dyDescent="0.2">
      <c r="A17" t="s">
        <v>57</v>
      </c>
      <c r="B17" t="s">
        <v>58</v>
      </c>
      <c r="C17">
        <v>1.1299999999999999</v>
      </c>
      <c r="D17">
        <v>1</v>
      </c>
      <c r="E17">
        <v>2</v>
      </c>
      <c r="F17">
        <v>8</v>
      </c>
      <c r="H17">
        <v>0</v>
      </c>
      <c r="I17">
        <v>0</v>
      </c>
      <c r="J17">
        <v>0</v>
      </c>
      <c r="K17">
        <v>0</v>
      </c>
      <c r="L17">
        <v>0</v>
      </c>
      <c r="M17">
        <v>0</v>
      </c>
      <c r="N17">
        <v>0</v>
      </c>
    </row>
    <row r="18" spans="1:14" x14ac:dyDescent="0.2">
      <c r="A18" t="s">
        <v>57</v>
      </c>
      <c r="B18" t="s">
        <v>59</v>
      </c>
      <c r="C18">
        <v>0.03</v>
      </c>
      <c r="D18">
        <v>0</v>
      </c>
      <c r="E18">
        <v>0</v>
      </c>
      <c r="F18">
        <v>8</v>
      </c>
      <c r="H18">
        <v>0</v>
      </c>
      <c r="I18">
        <v>0</v>
      </c>
      <c r="J18">
        <v>0</v>
      </c>
      <c r="K18">
        <v>0</v>
      </c>
      <c r="L18">
        <v>0</v>
      </c>
      <c r="M18">
        <v>0</v>
      </c>
      <c r="N18">
        <v>0</v>
      </c>
    </row>
    <row r="19" spans="1:14" x14ac:dyDescent="0.2">
      <c r="A19" t="s">
        <v>57</v>
      </c>
      <c r="B19" t="s">
        <v>60</v>
      </c>
      <c r="C19">
        <v>0.03</v>
      </c>
      <c r="D19">
        <v>0</v>
      </c>
      <c r="E19">
        <v>0</v>
      </c>
      <c r="F19">
        <v>6</v>
      </c>
      <c r="H19">
        <v>0</v>
      </c>
      <c r="I19">
        <v>0</v>
      </c>
      <c r="J19">
        <v>0</v>
      </c>
      <c r="K19">
        <v>0</v>
      </c>
      <c r="L19">
        <v>0</v>
      </c>
      <c r="M19">
        <v>0</v>
      </c>
      <c r="N19">
        <v>0</v>
      </c>
    </row>
    <row r="20" spans="1:14" x14ac:dyDescent="0.2">
      <c r="A20" t="s">
        <v>57</v>
      </c>
      <c r="B20" t="s">
        <v>61</v>
      </c>
      <c r="C20">
        <v>0.03</v>
      </c>
      <c r="D20">
        <v>0</v>
      </c>
      <c r="E20">
        <v>0</v>
      </c>
      <c r="F20">
        <v>6</v>
      </c>
      <c r="H20">
        <v>0</v>
      </c>
      <c r="I20">
        <v>0</v>
      </c>
      <c r="J20">
        <v>0</v>
      </c>
      <c r="K20">
        <v>0</v>
      </c>
      <c r="L20">
        <v>0</v>
      </c>
      <c r="M20">
        <v>0</v>
      </c>
      <c r="N20">
        <v>0</v>
      </c>
    </row>
    <row r="21" spans="1:14" x14ac:dyDescent="0.2">
      <c r="A21" t="s">
        <v>57</v>
      </c>
      <c r="B21" t="s">
        <v>62</v>
      </c>
      <c r="C21">
        <v>0.01</v>
      </c>
      <c r="D21">
        <v>0</v>
      </c>
      <c r="E21">
        <v>0</v>
      </c>
      <c r="F21">
        <v>3</v>
      </c>
      <c r="H21">
        <v>0</v>
      </c>
      <c r="I21">
        <v>0</v>
      </c>
      <c r="J21">
        <v>0</v>
      </c>
      <c r="K21">
        <v>0</v>
      </c>
      <c r="L21">
        <v>0</v>
      </c>
      <c r="M21">
        <v>0</v>
      </c>
      <c r="N21">
        <v>0</v>
      </c>
    </row>
    <row r="22" spans="1:14" x14ac:dyDescent="0.2">
      <c r="A22" t="s">
        <v>57</v>
      </c>
      <c r="B22" t="s">
        <v>63</v>
      </c>
      <c r="C22">
        <v>0.32</v>
      </c>
      <c r="D22">
        <v>0</v>
      </c>
      <c r="E22">
        <v>6</v>
      </c>
      <c r="F22">
        <v>5</v>
      </c>
      <c r="H22">
        <v>0</v>
      </c>
      <c r="I22">
        <v>0</v>
      </c>
      <c r="J22">
        <v>0</v>
      </c>
      <c r="K22">
        <v>0</v>
      </c>
      <c r="L22">
        <v>0</v>
      </c>
      <c r="M22">
        <v>0</v>
      </c>
      <c r="N22">
        <v>0</v>
      </c>
    </row>
    <row r="23" spans="1:14" x14ac:dyDescent="0.2">
      <c r="A23" t="s">
        <v>57</v>
      </c>
      <c r="B23" t="s">
        <v>64</v>
      </c>
      <c r="C23">
        <v>0.08</v>
      </c>
      <c r="D23">
        <v>0</v>
      </c>
      <c r="E23">
        <v>1</v>
      </c>
      <c r="F23">
        <v>6</v>
      </c>
      <c r="H23">
        <v>0</v>
      </c>
      <c r="I23">
        <v>0</v>
      </c>
      <c r="J23">
        <v>0</v>
      </c>
      <c r="K23">
        <v>0</v>
      </c>
      <c r="L23">
        <v>0</v>
      </c>
      <c r="M23">
        <v>0</v>
      </c>
      <c r="N23">
        <v>0</v>
      </c>
    </row>
    <row r="24" spans="1:14" x14ac:dyDescent="0.2">
      <c r="A24" t="s">
        <v>57</v>
      </c>
      <c r="B24" t="s">
        <v>65</v>
      </c>
      <c r="C24">
        <v>1.62</v>
      </c>
      <c r="D24">
        <v>1</v>
      </c>
      <c r="E24">
        <v>12</v>
      </c>
      <c r="F24">
        <v>6</v>
      </c>
      <c r="H24">
        <v>0</v>
      </c>
      <c r="I24">
        <v>0</v>
      </c>
      <c r="J24">
        <v>0</v>
      </c>
      <c r="K24">
        <v>0</v>
      </c>
      <c r="L24">
        <v>0</v>
      </c>
      <c r="M24">
        <v>0</v>
      </c>
      <c r="N24">
        <v>0</v>
      </c>
    </row>
    <row r="25" spans="1:14" x14ac:dyDescent="0.2">
      <c r="A25" t="s">
        <v>66</v>
      </c>
      <c r="B25" t="s">
        <v>67</v>
      </c>
      <c r="C25">
        <v>4.5</v>
      </c>
      <c r="D25">
        <v>4</v>
      </c>
      <c r="E25">
        <v>10</v>
      </c>
      <c r="F25">
        <v>0</v>
      </c>
      <c r="H25">
        <v>0</v>
      </c>
      <c r="I25">
        <v>0</v>
      </c>
      <c r="J25">
        <v>0</v>
      </c>
      <c r="K25">
        <v>0</v>
      </c>
      <c r="L25">
        <v>0</v>
      </c>
      <c r="M25">
        <v>0</v>
      </c>
      <c r="N25">
        <v>0</v>
      </c>
    </row>
    <row r="26" spans="1:14" x14ac:dyDescent="0.2">
      <c r="A26" t="s">
        <v>68</v>
      </c>
      <c r="B26" t="s">
        <v>69</v>
      </c>
      <c r="C26">
        <v>71</v>
      </c>
      <c r="D26">
        <v>71</v>
      </c>
      <c r="E26">
        <v>0</v>
      </c>
      <c r="F26">
        <v>0</v>
      </c>
      <c r="H26">
        <v>0</v>
      </c>
      <c r="I26">
        <v>0</v>
      </c>
      <c r="J26">
        <v>0</v>
      </c>
      <c r="K26">
        <v>0</v>
      </c>
      <c r="L26">
        <v>0</v>
      </c>
      <c r="M26">
        <v>0</v>
      </c>
      <c r="N26">
        <v>0</v>
      </c>
    </row>
    <row r="27" spans="1:14" x14ac:dyDescent="0.2">
      <c r="A27" t="s">
        <v>70</v>
      </c>
      <c r="B27" t="s">
        <v>71</v>
      </c>
      <c r="C27">
        <v>0.6</v>
      </c>
      <c r="D27">
        <v>0</v>
      </c>
      <c r="E27">
        <v>12</v>
      </c>
      <c r="F27">
        <v>0</v>
      </c>
      <c r="H27">
        <v>0</v>
      </c>
      <c r="I27">
        <v>0</v>
      </c>
      <c r="J27">
        <v>0</v>
      </c>
      <c r="K27">
        <v>0</v>
      </c>
      <c r="L27">
        <v>0</v>
      </c>
      <c r="M27">
        <v>0</v>
      </c>
      <c r="N27">
        <v>0</v>
      </c>
    </row>
    <row r="28" spans="1:14" x14ac:dyDescent="0.2">
      <c r="A28" t="s">
        <v>70</v>
      </c>
      <c r="B28" t="s">
        <v>72</v>
      </c>
      <c r="C28">
        <v>0.5</v>
      </c>
      <c r="D28">
        <v>0</v>
      </c>
      <c r="E28">
        <v>10</v>
      </c>
      <c r="F28">
        <v>0</v>
      </c>
      <c r="H28">
        <v>0</v>
      </c>
      <c r="I28">
        <v>0</v>
      </c>
      <c r="J28">
        <v>0</v>
      </c>
      <c r="K28">
        <v>0</v>
      </c>
      <c r="L28">
        <v>0</v>
      </c>
      <c r="M28">
        <v>0</v>
      </c>
      <c r="N28">
        <v>0</v>
      </c>
    </row>
    <row r="29" spans="1:14" x14ac:dyDescent="0.2">
      <c r="A29" t="s">
        <v>70</v>
      </c>
      <c r="B29" t="s">
        <v>73</v>
      </c>
      <c r="C29">
        <v>0.4</v>
      </c>
      <c r="D29">
        <v>0</v>
      </c>
      <c r="E29">
        <v>8</v>
      </c>
      <c r="F29">
        <v>0</v>
      </c>
      <c r="H29">
        <v>0</v>
      </c>
      <c r="I29">
        <v>0</v>
      </c>
      <c r="J29">
        <v>0</v>
      </c>
      <c r="K29">
        <v>0</v>
      </c>
      <c r="L29">
        <v>0</v>
      </c>
      <c r="M29">
        <v>0</v>
      </c>
      <c r="N29">
        <v>0</v>
      </c>
    </row>
    <row r="30" spans="1:14" x14ac:dyDescent="0.2">
      <c r="A30" t="s">
        <v>70</v>
      </c>
      <c r="B30" t="s">
        <v>74</v>
      </c>
      <c r="C30">
        <v>1</v>
      </c>
      <c r="D30">
        <v>1</v>
      </c>
      <c r="E30">
        <v>0</v>
      </c>
      <c r="F30">
        <v>0</v>
      </c>
      <c r="H30">
        <v>0</v>
      </c>
      <c r="I30">
        <v>0</v>
      </c>
      <c r="J30">
        <v>0</v>
      </c>
      <c r="K30">
        <v>0</v>
      </c>
      <c r="L30">
        <v>0</v>
      </c>
      <c r="M30">
        <v>0</v>
      </c>
      <c r="N30">
        <v>0</v>
      </c>
    </row>
    <row r="31" spans="1:14" x14ac:dyDescent="0.2">
      <c r="A31" t="s">
        <v>70</v>
      </c>
      <c r="B31" t="s">
        <v>75</v>
      </c>
      <c r="C31">
        <v>2.5</v>
      </c>
      <c r="D31">
        <v>2</v>
      </c>
      <c r="E31">
        <v>10</v>
      </c>
      <c r="F31">
        <v>0</v>
      </c>
      <c r="H31">
        <v>0</v>
      </c>
      <c r="I31">
        <v>0</v>
      </c>
      <c r="J31">
        <v>0</v>
      </c>
      <c r="K31">
        <v>0</v>
      </c>
      <c r="L31">
        <v>0</v>
      </c>
      <c r="M31">
        <v>0</v>
      </c>
      <c r="N31">
        <v>0</v>
      </c>
    </row>
    <row r="32" spans="1:14" x14ac:dyDescent="0.2">
      <c r="A32" t="s">
        <v>76</v>
      </c>
      <c r="B32" t="s">
        <v>77</v>
      </c>
      <c r="C32">
        <v>0</v>
      </c>
      <c r="D32">
        <v>0</v>
      </c>
      <c r="E32">
        <v>0</v>
      </c>
      <c r="F32">
        <v>0</v>
      </c>
      <c r="H32">
        <v>0</v>
      </c>
      <c r="I32">
        <v>0</v>
      </c>
      <c r="J32">
        <v>0</v>
      </c>
      <c r="K32">
        <v>0</v>
      </c>
      <c r="L32">
        <v>0</v>
      </c>
      <c r="M32">
        <v>0</v>
      </c>
      <c r="N32">
        <v>0</v>
      </c>
    </row>
    <row r="33" spans="1:14" x14ac:dyDescent="0.2">
      <c r="A33" t="s">
        <v>76</v>
      </c>
      <c r="B33" t="s">
        <v>78</v>
      </c>
      <c r="C33">
        <v>0</v>
      </c>
      <c r="D33">
        <v>0</v>
      </c>
      <c r="E33">
        <v>0</v>
      </c>
      <c r="F33">
        <v>0</v>
      </c>
      <c r="H33">
        <v>0</v>
      </c>
      <c r="I33">
        <v>0</v>
      </c>
      <c r="J33">
        <v>0</v>
      </c>
      <c r="K33">
        <v>0</v>
      </c>
      <c r="L33">
        <v>0</v>
      </c>
      <c r="M33">
        <v>0</v>
      </c>
      <c r="N33">
        <v>0</v>
      </c>
    </row>
    <row r="34" spans="1:14" x14ac:dyDescent="0.2">
      <c r="A34" t="s">
        <v>76</v>
      </c>
      <c r="B34" t="s">
        <v>79</v>
      </c>
      <c r="C34">
        <v>0</v>
      </c>
      <c r="D34">
        <v>0</v>
      </c>
      <c r="E34">
        <v>0</v>
      </c>
      <c r="F34">
        <v>0</v>
      </c>
      <c r="H34">
        <v>0</v>
      </c>
      <c r="I34">
        <v>0</v>
      </c>
      <c r="J34">
        <v>0</v>
      </c>
      <c r="K34">
        <v>0</v>
      </c>
      <c r="L34">
        <v>0</v>
      </c>
      <c r="M34">
        <v>0</v>
      </c>
      <c r="N34">
        <v>0</v>
      </c>
    </row>
    <row r="35" spans="1:14" x14ac:dyDescent="0.2">
      <c r="A35" t="s">
        <v>76</v>
      </c>
      <c r="B35" t="s">
        <v>80</v>
      </c>
      <c r="C35">
        <v>0</v>
      </c>
      <c r="D35">
        <v>0</v>
      </c>
      <c r="E35">
        <v>0</v>
      </c>
      <c r="F35">
        <v>0</v>
      </c>
      <c r="H35">
        <v>0</v>
      </c>
      <c r="I35">
        <v>0</v>
      </c>
      <c r="J35">
        <v>0</v>
      </c>
      <c r="K35">
        <v>0</v>
      </c>
      <c r="L35">
        <v>0</v>
      </c>
      <c r="M35">
        <v>0</v>
      </c>
      <c r="N35">
        <v>0</v>
      </c>
    </row>
    <row r="36" spans="1:14" x14ac:dyDescent="0.2">
      <c r="A36" t="s">
        <v>76</v>
      </c>
      <c r="B36" t="s">
        <v>81</v>
      </c>
      <c r="C36">
        <v>0</v>
      </c>
      <c r="D36">
        <v>0</v>
      </c>
      <c r="E36">
        <v>0</v>
      </c>
      <c r="F36">
        <v>0</v>
      </c>
      <c r="H36">
        <v>0</v>
      </c>
      <c r="I36">
        <v>0</v>
      </c>
      <c r="J36">
        <v>0</v>
      </c>
      <c r="K36">
        <v>0</v>
      </c>
      <c r="L36">
        <v>0</v>
      </c>
      <c r="M36">
        <v>0</v>
      </c>
      <c r="N36">
        <v>0</v>
      </c>
    </row>
    <row r="37" spans="1:14" x14ac:dyDescent="0.2">
      <c r="A37" t="s">
        <v>76</v>
      </c>
      <c r="B37" t="s">
        <v>82</v>
      </c>
      <c r="C37">
        <v>0</v>
      </c>
      <c r="D37">
        <v>0</v>
      </c>
      <c r="E37">
        <v>0</v>
      </c>
      <c r="F37">
        <v>0</v>
      </c>
      <c r="H37">
        <v>0</v>
      </c>
      <c r="I37">
        <v>0</v>
      </c>
      <c r="J37">
        <v>0</v>
      </c>
      <c r="K37">
        <v>0</v>
      </c>
      <c r="L37">
        <v>0</v>
      </c>
      <c r="M37">
        <v>0</v>
      </c>
      <c r="N37">
        <v>0</v>
      </c>
    </row>
    <row r="38" spans="1:14" x14ac:dyDescent="0.2">
      <c r="A38" t="s">
        <v>76</v>
      </c>
      <c r="B38" t="s">
        <v>83</v>
      </c>
      <c r="C38">
        <v>0</v>
      </c>
      <c r="D38">
        <v>0</v>
      </c>
      <c r="E38">
        <v>0</v>
      </c>
      <c r="F38">
        <v>0</v>
      </c>
      <c r="H38">
        <v>0</v>
      </c>
      <c r="I38">
        <v>0</v>
      </c>
      <c r="J38">
        <v>0</v>
      </c>
      <c r="K38">
        <v>0</v>
      </c>
      <c r="L38">
        <v>0</v>
      </c>
      <c r="M38">
        <v>0</v>
      </c>
      <c r="N38">
        <v>0</v>
      </c>
    </row>
    <row r="39" spans="1:14" x14ac:dyDescent="0.2">
      <c r="A39" t="s">
        <v>76</v>
      </c>
      <c r="B39" t="s">
        <v>84</v>
      </c>
      <c r="C39">
        <v>0</v>
      </c>
      <c r="D39">
        <v>0</v>
      </c>
      <c r="E39">
        <v>0</v>
      </c>
      <c r="F39">
        <v>0</v>
      </c>
      <c r="H39">
        <v>0</v>
      </c>
      <c r="I39">
        <v>0</v>
      </c>
      <c r="J39">
        <v>0</v>
      </c>
      <c r="K39">
        <v>0</v>
      </c>
      <c r="L39">
        <v>0</v>
      </c>
      <c r="M39">
        <v>0</v>
      </c>
      <c r="N39">
        <v>0</v>
      </c>
    </row>
    <row r="40" spans="1:14" x14ac:dyDescent="0.2">
      <c r="A40" t="s">
        <v>85</v>
      </c>
      <c r="B40" t="s">
        <v>86</v>
      </c>
      <c r="C40">
        <v>0</v>
      </c>
      <c r="D40">
        <v>0</v>
      </c>
      <c r="E40">
        <v>0</v>
      </c>
      <c r="F40">
        <v>0</v>
      </c>
      <c r="H40">
        <v>0</v>
      </c>
      <c r="I40">
        <v>0</v>
      </c>
      <c r="J40">
        <v>0</v>
      </c>
      <c r="K40">
        <v>0</v>
      </c>
      <c r="L40">
        <v>0</v>
      </c>
      <c r="M40">
        <v>0</v>
      </c>
      <c r="N40">
        <v>0</v>
      </c>
    </row>
    <row r="41" spans="1:14" x14ac:dyDescent="0.2">
      <c r="A41" t="s">
        <v>85</v>
      </c>
      <c r="B41" t="s">
        <v>84</v>
      </c>
      <c r="C41">
        <v>0</v>
      </c>
      <c r="D41">
        <v>0</v>
      </c>
      <c r="E41">
        <v>0</v>
      </c>
      <c r="F41">
        <v>0</v>
      </c>
      <c r="H41">
        <v>0</v>
      </c>
      <c r="I41">
        <v>0</v>
      </c>
      <c r="J41">
        <v>0</v>
      </c>
      <c r="K41">
        <v>0</v>
      </c>
      <c r="L41">
        <v>0</v>
      </c>
      <c r="M41">
        <v>0</v>
      </c>
      <c r="N41">
        <v>0</v>
      </c>
    </row>
    <row r="42" spans="1:14" x14ac:dyDescent="0.2">
      <c r="A42" t="s">
        <v>87</v>
      </c>
      <c r="B42" t="s">
        <v>88</v>
      </c>
      <c r="C42">
        <v>0.03</v>
      </c>
      <c r="D42">
        <v>0</v>
      </c>
      <c r="E42">
        <v>0</v>
      </c>
      <c r="F42">
        <v>6</v>
      </c>
      <c r="H42">
        <v>0</v>
      </c>
      <c r="I42">
        <v>0</v>
      </c>
      <c r="J42">
        <v>0</v>
      </c>
      <c r="K42">
        <v>0</v>
      </c>
      <c r="L42">
        <v>0</v>
      </c>
      <c r="M42">
        <v>0</v>
      </c>
      <c r="N42">
        <v>0</v>
      </c>
    </row>
    <row r="43" spans="1:14" x14ac:dyDescent="0.2">
      <c r="A43" t="s">
        <v>87</v>
      </c>
      <c r="B43" t="s">
        <v>89</v>
      </c>
      <c r="C43">
        <v>0.03</v>
      </c>
      <c r="D43">
        <v>0</v>
      </c>
      <c r="E43">
        <v>0</v>
      </c>
      <c r="F43">
        <v>6</v>
      </c>
      <c r="H43">
        <v>0</v>
      </c>
      <c r="I43">
        <v>0</v>
      </c>
      <c r="J43">
        <v>0</v>
      </c>
      <c r="K43">
        <v>0</v>
      </c>
      <c r="L43">
        <v>0</v>
      </c>
      <c r="M43">
        <v>0</v>
      </c>
      <c r="N43">
        <v>0</v>
      </c>
    </row>
    <row r="44" spans="1:14" x14ac:dyDescent="0.2">
      <c r="A44" t="s">
        <v>87</v>
      </c>
      <c r="B44" t="s">
        <v>90</v>
      </c>
      <c r="C44">
        <v>0.03</v>
      </c>
      <c r="D44">
        <v>0</v>
      </c>
      <c r="E44">
        <v>0</v>
      </c>
      <c r="F44">
        <v>6</v>
      </c>
      <c r="H44">
        <v>0</v>
      </c>
      <c r="I44">
        <v>0</v>
      </c>
      <c r="J44">
        <v>0</v>
      </c>
      <c r="K44">
        <v>0</v>
      </c>
      <c r="L44">
        <v>0</v>
      </c>
      <c r="M44">
        <v>0</v>
      </c>
      <c r="N44">
        <v>0</v>
      </c>
    </row>
    <row r="45" spans="1:14" x14ac:dyDescent="0.2">
      <c r="A45" t="s">
        <v>87</v>
      </c>
      <c r="B45" t="s">
        <v>91</v>
      </c>
      <c r="C45">
        <v>0.03</v>
      </c>
      <c r="D45">
        <v>0</v>
      </c>
      <c r="E45">
        <v>0</v>
      </c>
      <c r="F45">
        <v>6</v>
      </c>
      <c r="H45">
        <v>0</v>
      </c>
      <c r="I45">
        <v>0</v>
      </c>
      <c r="J45">
        <v>0</v>
      </c>
      <c r="K45">
        <v>0</v>
      </c>
      <c r="L45">
        <v>0</v>
      </c>
      <c r="M45">
        <v>0</v>
      </c>
      <c r="N45">
        <v>0</v>
      </c>
    </row>
    <row r="46" spans="1:14" x14ac:dyDescent="0.2">
      <c r="A46" t="s">
        <v>87</v>
      </c>
      <c r="B46" t="s">
        <v>92</v>
      </c>
      <c r="C46">
        <v>0.03</v>
      </c>
      <c r="D46">
        <v>0</v>
      </c>
      <c r="E46">
        <v>0</v>
      </c>
      <c r="F46">
        <v>6</v>
      </c>
      <c r="H46">
        <v>0</v>
      </c>
      <c r="I46">
        <v>0</v>
      </c>
      <c r="J46">
        <v>0</v>
      </c>
      <c r="K46">
        <v>0</v>
      </c>
      <c r="L46">
        <v>0</v>
      </c>
      <c r="M46">
        <v>0</v>
      </c>
      <c r="N46">
        <v>0</v>
      </c>
    </row>
    <row r="47" spans="1:14" x14ac:dyDescent="0.2">
      <c r="A47" t="s">
        <v>87</v>
      </c>
      <c r="B47" t="s">
        <v>93</v>
      </c>
      <c r="C47">
        <v>0.03</v>
      </c>
      <c r="D47">
        <v>0</v>
      </c>
      <c r="E47">
        <v>0</v>
      </c>
      <c r="F47">
        <v>6</v>
      </c>
      <c r="H47">
        <v>0</v>
      </c>
      <c r="I47">
        <v>0</v>
      </c>
      <c r="J47">
        <v>0</v>
      </c>
      <c r="K47">
        <v>0</v>
      </c>
      <c r="L47">
        <v>0</v>
      </c>
      <c r="M47">
        <v>0</v>
      </c>
      <c r="N47">
        <v>0</v>
      </c>
    </row>
    <row r="48" spans="1:14" x14ac:dyDescent="0.2">
      <c r="A48" t="s">
        <v>87</v>
      </c>
      <c r="B48" t="s">
        <v>94</v>
      </c>
      <c r="C48">
        <v>0.01</v>
      </c>
      <c r="D48">
        <v>0</v>
      </c>
      <c r="E48">
        <v>0</v>
      </c>
      <c r="F48">
        <v>3</v>
      </c>
      <c r="H48">
        <v>0</v>
      </c>
      <c r="I48">
        <v>0</v>
      </c>
      <c r="J48">
        <v>0</v>
      </c>
      <c r="K48">
        <v>0</v>
      </c>
      <c r="L48">
        <v>0</v>
      </c>
      <c r="M48">
        <v>0</v>
      </c>
      <c r="N48">
        <v>0</v>
      </c>
    </row>
    <row r="49" spans="1:14" x14ac:dyDescent="0.2">
      <c r="A49" t="s">
        <v>87</v>
      </c>
      <c r="B49" t="s">
        <v>95</v>
      </c>
      <c r="C49">
        <v>0.01</v>
      </c>
      <c r="D49">
        <v>0</v>
      </c>
      <c r="E49">
        <v>0</v>
      </c>
      <c r="F49">
        <v>3</v>
      </c>
      <c r="H49">
        <v>0</v>
      </c>
      <c r="I49">
        <v>0</v>
      </c>
      <c r="J49">
        <v>0</v>
      </c>
      <c r="K49">
        <v>0</v>
      </c>
      <c r="L49">
        <v>0</v>
      </c>
      <c r="M49">
        <v>0</v>
      </c>
      <c r="N49">
        <v>0</v>
      </c>
    </row>
    <row r="50" spans="1:14" x14ac:dyDescent="0.2">
      <c r="A50" t="s">
        <v>87</v>
      </c>
      <c r="B50" t="s">
        <v>96</v>
      </c>
      <c r="C50">
        <v>0.01</v>
      </c>
      <c r="D50">
        <v>0</v>
      </c>
      <c r="E50">
        <v>0</v>
      </c>
      <c r="F50">
        <v>3</v>
      </c>
      <c r="H50">
        <v>0</v>
      </c>
      <c r="I50">
        <v>0</v>
      </c>
      <c r="J50">
        <v>0</v>
      </c>
      <c r="K50">
        <v>0</v>
      </c>
      <c r="L50">
        <v>0</v>
      </c>
      <c r="M50">
        <v>0</v>
      </c>
      <c r="N50">
        <v>0</v>
      </c>
    </row>
    <row r="51" spans="1:14" x14ac:dyDescent="0.2">
      <c r="A51" t="s">
        <v>87</v>
      </c>
      <c r="B51" t="s">
        <v>97</v>
      </c>
      <c r="C51">
        <v>0.03</v>
      </c>
      <c r="D51">
        <v>0</v>
      </c>
      <c r="E51">
        <v>0</v>
      </c>
      <c r="F51">
        <v>6</v>
      </c>
      <c r="H51">
        <v>0</v>
      </c>
      <c r="I51">
        <v>0</v>
      </c>
      <c r="J51">
        <v>0</v>
      </c>
      <c r="K51">
        <v>0</v>
      </c>
      <c r="L51">
        <v>0</v>
      </c>
      <c r="M51">
        <v>0</v>
      </c>
      <c r="N51">
        <v>0</v>
      </c>
    </row>
    <row r="52" spans="1:14" x14ac:dyDescent="0.2">
      <c r="A52" t="s">
        <v>87</v>
      </c>
      <c r="B52" t="s">
        <v>98</v>
      </c>
      <c r="C52">
        <v>0.01</v>
      </c>
      <c r="D52">
        <v>0</v>
      </c>
      <c r="E52">
        <v>0</v>
      </c>
      <c r="F52">
        <v>3</v>
      </c>
      <c r="H52">
        <v>0</v>
      </c>
      <c r="I52">
        <v>0</v>
      </c>
      <c r="J52">
        <v>0</v>
      </c>
      <c r="K52">
        <v>0</v>
      </c>
      <c r="L52">
        <v>0</v>
      </c>
      <c r="M52">
        <v>0</v>
      </c>
      <c r="N52">
        <v>0</v>
      </c>
    </row>
    <row r="53" spans="1:14" x14ac:dyDescent="0.2">
      <c r="A53" t="s">
        <v>87</v>
      </c>
      <c r="B53" t="s">
        <v>99</v>
      </c>
      <c r="C53">
        <v>0.23</v>
      </c>
      <c r="D53">
        <v>0</v>
      </c>
      <c r="E53">
        <v>4</v>
      </c>
      <c r="F53">
        <v>6</v>
      </c>
      <c r="H53">
        <v>0</v>
      </c>
      <c r="I53">
        <v>0</v>
      </c>
      <c r="J53">
        <v>0</v>
      </c>
      <c r="K53">
        <v>0</v>
      </c>
      <c r="L53">
        <v>0</v>
      </c>
      <c r="M53">
        <v>0</v>
      </c>
      <c r="N53">
        <v>0</v>
      </c>
    </row>
    <row r="54" spans="1:14" x14ac:dyDescent="0.2">
      <c r="A54" t="s">
        <v>100</v>
      </c>
      <c r="B54" t="s">
        <v>101</v>
      </c>
      <c r="C54">
        <v>2.63</v>
      </c>
      <c r="D54">
        <v>2</v>
      </c>
      <c r="E54">
        <v>12</v>
      </c>
      <c r="F54">
        <v>7</v>
      </c>
      <c r="H54">
        <v>0</v>
      </c>
      <c r="I54">
        <v>0</v>
      </c>
      <c r="J54">
        <v>0</v>
      </c>
      <c r="K54">
        <v>0</v>
      </c>
      <c r="L54">
        <v>0</v>
      </c>
      <c r="M54">
        <v>0</v>
      </c>
      <c r="N54">
        <v>0</v>
      </c>
    </row>
    <row r="55" spans="1:14" x14ac:dyDescent="0.2">
      <c r="A55" t="s">
        <v>100</v>
      </c>
      <c r="B55" t="s">
        <v>102</v>
      </c>
      <c r="C55">
        <v>0</v>
      </c>
      <c r="D55">
        <v>0</v>
      </c>
      <c r="E55">
        <v>0</v>
      </c>
      <c r="F55">
        <v>0</v>
      </c>
      <c r="H55">
        <v>0</v>
      </c>
      <c r="I55">
        <v>0</v>
      </c>
      <c r="J55">
        <v>0</v>
      </c>
      <c r="K55">
        <v>0</v>
      </c>
      <c r="L55">
        <v>0</v>
      </c>
      <c r="M55">
        <v>0</v>
      </c>
      <c r="N55">
        <v>0</v>
      </c>
    </row>
    <row r="56" spans="1:14" x14ac:dyDescent="0.2">
      <c r="A56" t="s">
        <v>100</v>
      </c>
      <c r="B56" t="s">
        <v>103</v>
      </c>
      <c r="C56">
        <v>5.16</v>
      </c>
      <c r="D56">
        <v>5</v>
      </c>
      <c r="E56">
        <v>3</v>
      </c>
      <c r="F56">
        <v>2</v>
      </c>
      <c r="H56">
        <v>0</v>
      </c>
      <c r="I56">
        <v>0</v>
      </c>
      <c r="J56">
        <v>0</v>
      </c>
      <c r="K56">
        <v>0</v>
      </c>
      <c r="L56">
        <v>0</v>
      </c>
      <c r="M56">
        <v>0</v>
      </c>
      <c r="N56">
        <v>0</v>
      </c>
    </row>
    <row r="57" spans="1:14" x14ac:dyDescent="0.2">
      <c r="A57" t="s">
        <v>100</v>
      </c>
      <c r="B57" t="s">
        <v>104</v>
      </c>
      <c r="C57">
        <v>5.78</v>
      </c>
      <c r="D57">
        <v>5</v>
      </c>
      <c r="E57">
        <v>15</v>
      </c>
      <c r="F57">
        <v>6</v>
      </c>
      <c r="H57">
        <v>0</v>
      </c>
      <c r="I57">
        <v>0</v>
      </c>
      <c r="J57">
        <v>0</v>
      </c>
      <c r="K57">
        <v>0</v>
      </c>
      <c r="L57">
        <v>0</v>
      </c>
      <c r="M57">
        <v>0</v>
      </c>
      <c r="N57">
        <v>0</v>
      </c>
    </row>
    <row r="58" spans="1:14" x14ac:dyDescent="0.2">
      <c r="A58" t="s">
        <v>100</v>
      </c>
      <c r="B58" t="s">
        <v>105</v>
      </c>
      <c r="C58">
        <v>0.4</v>
      </c>
      <c r="D58">
        <v>0</v>
      </c>
      <c r="E58">
        <v>8</v>
      </c>
      <c r="F58">
        <v>0</v>
      </c>
      <c r="H58">
        <v>0</v>
      </c>
      <c r="I58">
        <v>0</v>
      </c>
      <c r="J58">
        <v>0</v>
      </c>
      <c r="K58">
        <v>0</v>
      </c>
      <c r="L58">
        <v>0</v>
      </c>
      <c r="M58">
        <v>0</v>
      </c>
      <c r="N58">
        <v>0</v>
      </c>
    </row>
    <row r="59" spans="1:14" x14ac:dyDescent="0.2">
      <c r="A59" t="s">
        <v>100</v>
      </c>
      <c r="B59" t="s">
        <v>106</v>
      </c>
      <c r="C59">
        <v>0.17</v>
      </c>
      <c r="D59">
        <v>0</v>
      </c>
      <c r="E59">
        <v>3</v>
      </c>
      <c r="F59">
        <v>4</v>
      </c>
      <c r="H59">
        <v>0</v>
      </c>
      <c r="I59">
        <v>0</v>
      </c>
      <c r="J59">
        <v>0</v>
      </c>
      <c r="K59">
        <v>0</v>
      </c>
      <c r="L59">
        <v>0</v>
      </c>
      <c r="M59">
        <v>0</v>
      </c>
      <c r="N59">
        <v>0</v>
      </c>
    </row>
    <row r="60" spans="1:14" x14ac:dyDescent="0.2">
      <c r="A60" t="s">
        <v>100</v>
      </c>
      <c r="B60" t="s">
        <v>107</v>
      </c>
      <c r="C60">
        <v>2.8</v>
      </c>
      <c r="D60">
        <v>2</v>
      </c>
      <c r="E60">
        <v>16</v>
      </c>
      <c r="F60">
        <v>0</v>
      </c>
      <c r="H60">
        <v>0</v>
      </c>
      <c r="I60">
        <v>0</v>
      </c>
      <c r="J60">
        <v>0</v>
      </c>
      <c r="K60">
        <v>0</v>
      </c>
      <c r="L60">
        <v>0</v>
      </c>
      <c r="M60">
        <v>0</v>
      </c>
      <c r="N60">
        <v>0</v>
      </c>
    </row>
    <row r="61" spans="1:14" x14ac:dyDescent="0.2">
      <c r="A61" t="s">
        <v>100</v>
      </c>
      <c r="B61" t="s">
        <v>108</v>
      </c>
      <c r="C61">
        <v>1.8</v>
      </c>
      <c r="D61">
        <v>1</v>
      </c>
      <c r="E61">
        <v>16</v>
      </c>
      <c r="F61">
        <v>0</v>
      </c>
      <c r="H61">
        <v>0</v>
      </c>
      <c r="I61">
        <v>0</v>
      </c>
      <c r="J61">
        <v>0</v>
      </c>
      <c r="K61">
        <v>0</v>
      </c>
      <c r="L61">
        <v>0</v>
      </c>
      <c r="M61">
        <v>0</v>
      </c>
      <c r="N61">
        <v>0</v>
      </c>
    </row>
    <row r="62" spans="1:14" x14ac:dyDescent="0.2">
      <c r="A62" t="s">
        <v>100</v>
      </c>
      <c r="B62" t="s">
        <v>109</v>
      </c>
      <c r="C62">
        <v>0.3</v>
      </c>
      <c r="D62">
        <v>0</v>
      </c>
      <c r="E62">
        <v>6</v>
      </c>
      <c r="F62">
        <v>0</v>
      </c>
      <c r="H62">
        <v>0</v>
      </c>
      <c r="I62">
        <v>0</v>
      </c>
      <c r="J62">
        <v>0</v>
      </c>
      <c r="K62">
        <v>0</v>
      </c>
      <c r="L62">
        <v>0</v>
      </c>
      <c r="M62">
        <v>0</v>
      </c>
      <c r="N62">
        <v>0</v>
      </c>
    </row>
    <row r="63" spans="1:14" x14ac:dyDescent="0.2">
      <c r="A63" t="s">
        <v>100</v>
      </c>
      <c r="B63" t="s">
        <v>110</v>
      </c>
      <c r="C63">
        <v>0.35</v>
      </c>
      <c r="D63">
        <v>0</v>
      </c>
      <c r="E63">
        <v>7</v>
      </c>
      <c r="F63">
        <v>0</v>
      </c>
      <c r="H63">
        <v>0</v>
      </c>
      <c r="I63">
        <v>0</v>
      </c>
      <c r="J63">
        <v>0</v>
      </c>
      <c r="K63">
        <v>0</v>
      </c>
      <c r="L63">
        <v>0</v>
      </c>
      <c r="M63">
        <v>0</v>
      </c>
      <c r="N63">
        <v>0</v>
      </c>
    </row>
    <row r="64" spans="1:14" x14ac:dyDescent="0.2">
      <c r="A64" t="s">
        <v>100</v>
      </c>
      <c r="B64" t="s">
        <v>111</v>
      </c>
      <c r="C64">
        <v>0.28999999999999998</v>
      </c>
      <c r="D64">
        <v>0</v>
      </c>
      <c r="E64">
        <v>5</v>
      </c>
      <c r="F64">
        <v>10</v>
      </c>
      <c r="H64">
        <v>0</v>
      </c>
      <c r="I64">
        <v>0</v>
      </c>
      <c r="J64">
        <v>0</v>
      </c>
      <c r="K64">
        <v>0</v>
      </c>
      <c r="L64">
        <v>0</v>
      </c>
      <c r="M64">
        <v>0</v>
      </c>
      <c r="N64">
        <v>0</v>
      </c>
    </row>
    <row r="65" spans="1:14" x14ac:dyDescent="0.2">
      <c r="A65" t="s">
        <v>100</v>
      </c>
      <c r="B65" t="s">
        <v>112</v>
      </c>
      <c r="C65">
        <v>0.68</v>
      </c>
      <c r="D65">
        <v>0</v>
      </c>
      <c r="E65">
        <v>13</v>
      </c>
      <c r="F65">
        <v>6</v>
      </c>
      <c r="H65">
        <v>0</v>
      </c>
      <c r="I65">
        <v>0</v>
      </c>
      <c r="J65">
        <v>0</v>
      </c>
      <c r="K65">
        <v>0</v>
      </c>
      <c r="L65">
        <v>0</v>
      </c>
      <c r="M65">
        <v>0</v>
      </c>
      <c r="N65">
        <v>0</v>
      </c>
    </row>
    <row r="66" spans="1:14" x14ac:dyDescent="0.2">
      <c r="A66" t="s">
        <v>100</v>
      </c>
      <c r="B66" t="s">
        <v>113</v>
      </c>
      <c r="C66">
        <v>0.22</v>
      </c>
      <c r="D66">
        <v>0</v>
      </c>
      <c r="E66">
        <v>4</v>
      </c>
      <c r="F66">
        <v>4</v>
      </c>
      <c r="H66">
        <v>0</v>
      </c>
      <c r="I66">
        <v>0</v>
      </c>
      <c r="J66">
        <v>0</v>
      </c>
      <c r="K66">
        <v>0</v>
      </c>
      <c r="L66">
        <v>0</v>
      </c>
      <c r="M66">
        <v>0</v>
      </c>
      <c r="N66">
        <v>0</v>
      </c>
    </row>
    <row r="67" spans="1:14" x14ac:dyDescent="0.2">
      <c r="A67" t="s">
        <v>100</v>
      </c>
      <c r="B67" t="s">
        <v>114</v>
      </c>
      <c r="C67">
        <v>0.05</v>
      </c>
      <c r="D67">
        <v>0</v>
      </c>
      <c r="E67">
        <v>1</v>
      </c>
      <c r="F67">
        <v>0</v>
      </c>
      <c r="H67">
        <v>0</v>
      </c>
      <c r="I67">
        <v>0</v>
      </c>
      <c r="J67">
        <v>0</v>
      </c>
      <c r="K67">
        <v>0</v>
      </c>
      <c r="L67">
        <v>0</v>
      </c>
      <c r="M67">
        <v>0</v>
      </c>
      <c r="N67">
        <v>0</v>
      </c>
    </row>
    <row r="68" spans="1:14" x14ac:dyDescent="0.2">
      <c r="A68" t="s">
        <v>100</v>
      </c>
      <c r="B68" t="s">
        <v>115</v>
      </c>
      <c r="C68">
        <v>0.62</v>
      </c>
      <c r="D68">
        <v>0</v>
      </c>
      <c r="E68">
        <v>12</v>
      </c>
      <c r="F68">
        <v>6</v>
      </c>
      <c r="H68">
        <v>0</v>
      </c>
      <c r="I68">
        <v>0</v>
      </c>
      <c r="J68">
        <v>0</v>
      </c>
      <c r="K68">
        <v>0</v>
      </c>
      <c r="L68">
        <v>0</v>
      </c>
      <c r="M68">
        <v>0</v>
      </c>
      <c r="N68">
        <v>0</v>
      </c>
    </row>
    <row r="69" spans="1:14" x14ac:dyDescent="0.2">
      <c r="A69" t="s">
        <v>100</v>
      </c>
      <c r="B69" t="s">
        <v>116</v>
      </c>
      <c r="C69">
        <v>0.03</v>
      </c>
      <c r="D69">
        <v>0</v>
      </c>
      <c r="E69">
        <v>0</v>
      </c>
      <c r="F69">
        <v>6</v>
      </c>
      <c r="H69">
        <v>0</v>
      </c>
      <c r="I69">
        <v>0</v>
      </c>
      <c r="J69">
        <v>0</v>
      </c>
      <c r="K69">
        <v>0</v>
      </c>
      <c r="L69">
        <v>0</v>
      </c>
      <c r="M69">
        <v>0</v>
      </c>
      <c r="N69">
        <v>0</v>
      </c>
    </row>
    <row r="70" spans="1:14" x14ac:dyDescent="0.2">
      <c r="A70" t="s">
        <v>100</v>
      </c>
      <c r="B70" t="s">
        <v>117</v>
      </c>
      <c r="C70">
        <v>0.03</v>
      </c>
      <c r="D70">
        <v>0</v>
      </c>
      <c r="E70">
        <v>0</v>
      </c>
      <c r="F70">
        <v>6</v>
      </c>
      <c r="H70">
        <v>0</v>
      </c>
      <c r="I70">
        <v>0</v>
      </c>
      <c r="J70">
        <v>0</v>
      </c>
      <c r="K70">
        <v>0</v>
      </c>
      <c r="L70">
        <v>0</v>
      </c>
      <c r="M70">
        <v>0</v>
      </c>
      <c r="N70">
        <v>0</v>
      </c>
    </row>
    <row r="71" spans="1:14" x14ac:dyDescent="0.2">
      <c r="A71" t="s">
        <v>100</v>
      </c>
      <c r="B71" t="s">
        <v>118</v>
      </c>
      <c r="C71">
        <v>0.03</v>
      </c>
      <c r="D71">
        <v>0</v>
      </c>
      <c r="E71">
        <v>0</v>
      </c>
      <c r="F71">
        <v>6</v>
      </c>
      <c r="H71">
        <v>0</v>
      </c>
      <c r="I71">
        <v>0</v>
      </c>
      <c r="J71">
        <v>0</v>
      </c>
      <c r="K71">
        <v>0</v>
      </c>
      <c r="L71">
        <v>0</v>
      </c>
      <c r="M71">
        <v>0</v>
      </c>
      <c r="N71">
        <v>0</v>
      </c>
    </row>
    <row r="72" spans="1:14" x14ac:dyDescent="0.2">
      <c r="A72" t="s">
        <v>100</v>
      </c>
      <c r="B72" t="s">
        <v>119</v>
      </c>
      <c r="C72">
        <v>0.03</v>
      </c>
      <c r="D72">
        <v>0</v>
      </c>
      <c r="E72">
        <v>0</v>
      </c>
      <c r="F72">
        <v>6</v>
      </c>
      <c r="H72">
        <v>0</v>
      </c>
      <c r="I72">
        <v>0</v>
      </c>
      <c r="J72">
        <v>0</v>
      </c>
      <c r="K72">
        <v>0</v>
      </c>
      <c r="L72">
        <v>0</v>
      </c>
      <c r="M72">
        <v>0</v>
      </c>
      <c r="N72">
        <v>0</v>
      </c>
    </row>
    <row r="73" spans="1:14" x14ac:dyDescent="0.2">
      <c r="A73" t="s">
        <v>100</v>
      </c>
      <c r="B73" t="s">
        <v>120</v>
      </c>
      <c r="C73">
        <v>0.05</v>
      </c>
      <c r="D73">
        <v>0</v>
      </c>
      <c r="E73">
        <v>1</v>
      </c>
      <c r="F73">
        <v>0</v>
      </c>
      <c r="H73">
        <v>0</v>
      </c>
      <c r="I73">
        <v>0</v>
      </c>
      <c r="J73">
        <v>0</v>
      </c>
      <c r="K73">
        <v>0</v>
      </c>
      <c r="L73">
        <v>0</v>
      </c>
      <c r="M73">
        <v>0</v>
      </c>
      <c r="N73">
        <v>0</v>
      </c>
    </row>
    <row r="74" spans="1:14" x14ac:dyDescent="0.2">
      <c r="A74" t="s">
        <v>100</v>
      </c>
      <c r="B74" t="s">
        <v>121</v>
      </c>
      <c r="C74">
        <v>0.2</v>
      </c>
      <c r="D74">
        <v>0</v>
      </c>
      <c r="E74">
        <v>4</v>
      </c>
      <c r="F74">
        <v>0</v>
      </c>
      <c r="H74">
        <v>0</v>
      </c>
      <c r="I74">
        <v>0</v>
      </c>
      <c r="J74">
        <v>0</v>
      </c>
      <c r="K74">
        <v>0</v>
      </c>
      <c r="L74">
        <v>0</v>
      </c>
      <c r="M74">
        <v>0</v>
      </c>
      <c r="N74">
        <v>0</v>
      </c>
    </row>
    <row r="75" spans="1:14" x14ac:dyDescent="0.2">
      <c r="A75" t="s">
        <v>100</v>
      </c>
      <c r="B75" t="s">
        <v>122</v>
      </c>
      <c r="C75">
        <v>0.13</v>
      </c>
      <c r="D75">
        <v>0</v>
      </c>
      <c r="E75">
        <v>2</v>
      </c>
      <c r="F75">
        <v>8</v>
      </c>
      <c r="H75">
        <v>0</v>
      </c>
      <c r="I75">
        <v>0</v>
      </c>
      <c r="J75">
        <v>0</v>
      </c>
      <c r="K75">
        <v>0</v>
      </c>
      <c r="L75">
        <v>0</v>
      </c>
      <c r="M75">
        <v>0</v>
      </c>
      <c r="N75">
        <v>0</v>
      </c>
    </row>
    <row r="76" spans="1:14" x14ac:dyDescent="0.2">
      <c r="A76" t="s">
        <v>100</v>
      </c>
      <c r="B76" t="s">
        <v>123</v>
      </c>
      <c r="C76">
        <v>0.09</v>
      </c>
      <c r="D76">
        <v>0</v>
      </c>
      <c r="E76">
        <v>1</v>
      </c>
      <c r="F76">
        <v>9</v>
      </c>
      <c r="H76">
        <v>0</v>
      </c>
      <c r="I76">
        <v>0</v>
      </c>
      <c r="J76">
        <v>0</v>
      </c>
      <c r="K76">
        <v>0</v>
      </c>
      <c r="L76">
        <v>0</v>
      </c>
      <c r="M76">
        <v>0</v>
      </c>
      <c r="N76">
        <v>0</v>
      </c>
    </row>
    <row r="77" spans="1:14" x14ac:dyDescent="0.2">
      <c r="A77" t="s">
        <v>100</v>
      </c>
      <c r="B77" t="s">
        <v>124</v>
      </c>
      <c r="C77">
        <v>0.03</v>
      </c>
      <c r="D77">
        <v>0</v>
      </c>
      <c r="E77">
        <v>0</v>
      </c>
      <c r="F77">
        <v>8</v>
      </c>
      <c r="H77">
        <v>0</v>
      </c>
      <c r="I77">
        <v>0</v>
      </c>
      <c r="J77">
        <v>0</v>
      </c>
      <c r="K77">
        <v>0</v>
      </c>
      <c r="L77">
        <v>0</v>
      </c>
      <c r="M77">
        <v>0</v>
      </c>
      <c r="N77">
        <v>0</v>
      </c>
    </row>
    <row r="78" spans="1:14" x14ac:dyDescent="0.2">
      <c r="A78" t="s">
        <v>100</v>
      </c>
      <c r="B78" t="s">
        <v>125</v>
      </c>
      <c r="C78">
        <v>0.04</v>
      </c>
      <c r="D78">
        <v>0</v>
      </c>
      <c r="E78">
        <v>0</v>
      </c>
      <c r="F78">
        <v>9</v>
      </c>
      <c r="H78">
        <v>0</v>
      </c>
      <c r="I78">
        <v>0</v>
      </c>
      <c r="J78">
        <v>0</v>
      </c>
      <c r="K78">
        <v>0</v>
      </c>
      <c r="L78">
        <v>0</v>
      </c>
      <c r="M78">
        <v>0</v>
      </c>
      <c r="N78">
        <v>0</v>
      </c>
    </row>
    <row r="79" spans="1:14" x14ac:dyDescent="0.2">
      <c r="A79" t="s">
        <v>100</v>
      </c>
      <c r="B79" t="s">
        <v>126</v>
      </c>
      <c r="C79">
        <v>0.04</v>
      </c>
      <c r="D79">
        <v>0</v>
      </c>
      <c r="E79">
        <v>0</v>
      </c>
      <c r="F79">
        <v>10</v>
      </c>
      <c r="H79">
        <v>0</v>
      </c>
      <c r="I79">
        <v>0</v>
      </c>
      <c r="J79">
        <v>0</v>
      </c>
      <c r="K79">
        <v>0</v>
      </c>
      <c r="L79">
        <v>0</v>
      </c>
      <c r="M79">
        <v>0</v>
      </c>
      <c r="N79">
        <v>0</v>
      </c>
    </row>
    <row r="80" spans="1:14" x14ac:dyDescent="0.2">
      <c r="A80" t="s">
        <v>100</v>
      </c>
      <c r="B80" t="s">
        <v>127</v>
      </c>
      <c r="C80">
        <v>0.01</v>
      </c>
      <c r="D80">
        <v>0</v>
      </c>
      <c r="E80">
        <v>0</v>
      </c>
      <c r="F80">
        <v>2</v>
      </c>
      <c r="H80">
        <v>0</v>
      </c>
      <c r="I80">
        <v>0</v>
      </c>
      <c r="J80">
        <v>0</v>
      </c>
      <c r="K80">
        <v>0</v>
      </c>
      <c r="L80">
        <v>0</v>
      </c>
      <c r="M80">
        <v>0</v>
      </c>
      <c r="N80">
        <v>0</v>
      </c>
    </row>
    <row r="81" spans="1:14" x14ac:dyDescent="0.2">
      <c r="A81" t="s">
        <v>100</v>
      </c>
      <c r="B81" t="s">
        <v>128</v>
      </c>
      <c r="C81">
        <v>0.5</v>
      </c>
      <c r="D81">
        <v>0</v>
      </c>
      <c r="E81">
        <v>10</v>
      </c>
      <c r="F81">
        <v>1</v>
      </c>
      <c r="H81">
        <v>0</v>
      </c>
      <c r="I81">
        <v>0</v>
      </c>
      <c r="J81">
        <v>0</v>
      </c>
      <c r="K81">
        <v>0</v>
      </c>
      <c r="L81">
        <v>0</v>
      </c>
      <c r="M81">
        <v>0</v>
      </c>
      <c r="N81">
        <v>0</v>
      </c>
    </row>
    <row r="82" spans="1:14" x14ac:dyDescent="0.2">
      <c r="A82" t="s">
        <v>100</v>
      </c>
      <c r="B82" t="s">
        <v>129</v>
      </c>
      <c r="C82">
        <v>0.06</v>
      </c>
      <c r="D82">
        <v>0</v>
      </c>
      <c r="E82">
        <v>1</v>
      </c>
      <c r="F82">
        <v>2</v>
      </c>
      <c r="H82">
        <v>0</v>
      </c>
      <c r="I82">
        <v>0</v>
      </c>
      <c r="J82">
        <v>0</v>
      </c>
      <c r="K82">
        <v>0</v>
      </c>
      <c r="L82">
        <v>0</v>
      </c>
      <c r="M82">
        <v>0</v>
      </c>
      <c r="N82">
        <v>0</v>
      </c>
    </row>
    <row r="83" spans="1:14" x14ac:dyDescent="0.2">
      <c r="A83" t="s">
        <v>100</v>
      </c>
      <c r="B83" t="s">
        <v>130</v>
      </c>
      <c r="C83">
        <v>7.0000000000000007E-2</v>
      </c>
      <c r="D83">
        <v>0</v>
      </c>
      <c r="E83">
        <v>1</v>
      </c>
      <c r="F83">
        <v>4</v>
      </c>
      <c r="H83">
        <v>0</v>
      </c>
      <c r="I83">
        <v>0</v>
      </c>
      <c r="J83">
        <v>0</v>
      </c>
      <c r="K83">
        <v>0</v>
      </c>
      <c r="L83">
        <v>0</v>
      </c>
      <c r="M83">
        <v>0</v>
      </c>
      <c r="N83">
        <v>0</v>
      </c>
    </row>
    <row r="84" spans="1:14" x14ac:dyDescent="0.2">
      <c r="A84" t="s">
        <v>100</v>
      </c>
      <c r="B84" t="s">
        <v>131</v>
      </c>
      <c r="C84">
        <v>0.01</v>
      </c>
      <c r="D84">
        <v>0</v>
      </c>
      <c r="E84">
        <v>0</v>
      </c>
      <c r="F84">
        <v>1.5</v>
      </c>
      <c r="H84">
        <v>0</v>
      </c>
      <c r="I84">
        <v>0</v>
      </c>
      <c r="J84">
        <v>0</v>
      </c>
      <c r="K84">
        <v>0</v>
      </c>
      <c r="L84">
        <v>0</v>
      </c>
      <c r="M84">
        <v>0</v>
      </c>
      <c r="N84">
        <v>0</v>
      </c>
    </row>
    <row r="85" spans="1:14" x14ac:dyDescent="0.2">
      <c r="A85" t="s">
        <v>100</v>
      </c>
      <c r="B85" t="s">
        <v>132</v>
      </c>
      <c r="C85">
        <v>0</v>
      </c>
      <c r="D85">
        <v>0</v>
      </c>
      <c r="E85">
        <v>0</v>
      </c>
      <c r="F85">
        <v>0</v>
      </c>
      <c r="H85">
        <v>0</v>
      </c>
      <c r="I85">
        <v>0</v>
      </c>
      <c r="J85">
        <v>0</v>
      </c>
      <c r="K85">
        <v>0</v>
      </c>
      <c r="L85">
        <v>0</v>
      </c>
      <c r="M85">
        <v>0</v>
      </c>
      <c r="N85">
        <v>0</v>
      </c>
    </row>
    <row r="86" spans="1:14" x14ac:dyDescent="0.2">
      <c r="A86" t="s">
        <v>100</v>
      </c>
      <c r="B86" t="s">
        <v>133</v>
      </c>
      <c r="C86">
        <v>0.26</v>
      </c>
      <c r="D86">
        <v>0</v>
      </c>
      <c r="E86">
        <v>5</v>
      </c>
      <c r="F86">
        <v>3</v>
      </c>
      <c r="H86">
        <v>0</v>
      </c>
      <c r="I86">
        <v>0</v>
      </c>
      <c r="J86">
        <v>0</v>
      </c>
      <c r="K86">
        <v>0</v>
      </c>
      <c r="L86">
        <v>0</v>
      </c>
      <c r="M86">
        <v>0</v>
      </c>
      <c r="N86">
        <v>0</v>
      </c>
    </row>
    <row r="87" spans="1:14" x14ac:dyDescent="0.2">
      <c r="A87" t="s">
        <v>100</v>
      </c>
      <c r="B87" t="s">
        <v>134</v>
      </c>
      <c r="C87">
        <v>0.21</v>
      </c>
      <c r="D87">
        <v>0</v>
      </c>
      <c r="E87">
        <v>4</v>
      </c>
      <c r="F87">
        <v>3</v>
      </c>
      <c r="H87">
        <v>0</v>
      </c>
      <c r="I87">
        <v>0</v>
      </c>
      <c r="J87">
        <v>0</v>
      </c>
      <c r="K87">
        <v>0</v>
      </c>
      <c r="L87">
        <v>0</v>
      </c>
      <c r="M87">
        <v>0</v>
      </c>
      <c r="N87">
        <v>0</v>
      </c>
    </row>
    <row r="88" spans="1:14" x14ac:dyDescent="0.2">
      <c r="A88" t="s">
        <v>100</v>
      </c>
      <c r="B88" t="s">
        <v>135</v>
      </c>
      <c r="C88">
        <v>4.68</v>
      </c>
      <c r="D88">
        <v>4</v>
      </c>
      <c r="E88">
        <v>13</v>
      </c>
      <c r="F88">
        <v>6</v>
      </c>
      <c r="H88">
        <v>0</v>
      </c>
      <c r="I88">
        <v>0</v>
      </c>
      <c r="J88">
        <v>0</v>
      </c>
      <c r="K88">
        <v>0</v>
      </c>
      <c r="L88">
        <v>0</v>
      </c>
      <c r="M88">
        <v>0</v>
      </c>
      <c r="N88">
        <v>0</v>
      </c>
    </row>
    <row r="89" spans="1:14" x14ac:dyDescent="0.2">
      <c r="A89" t="s">
        <v>100</v>
      </c>
      <c r="B89" t="s">
        <v>136</v>
      </c>
      <c r="C89">
        <v>0.34</v>
      </c>
      <c r="D89">
        <v>0</v>
      </c>
      <c r="E89">
        <v>6</v>
      </c>
      <c r="F89">
        <v>10.5</v>
      </c>
      <c r="H89">
        <v>0</v>
      </c>
      <c r="I89">
        <v>0</v>
      </c>
      <c r="J89">
        <v>0</v>
      </c>
      <c r="K89">
        <v>0</v>
      </c>
      <c r="L89">
        <v>0</v>
      </c>
      <c r="M89">
        <v>0</v>
      </c>
      <c r="N89">
        <v>0</v>
      </c>
    </row>
    <row r="90" spans="1:14" x14ac:dyDescent="0.2">
      <c r="A90" t="s">
        <v>100</v>
      </c>
      <c r="B90" t="s">
        <v>137</v>
      </c>
      <c r="C90">
        <v>1.9</v>
      </c>
      <c r="D90">
        <v>1</v>
      </c>
      <c r="E90">
        <v>18</v>
      </c>
      <c r="F90">
        <v>0</v>
      </c>
      <c r="H90">
        <v>0</v>
      </c>
      <c r="I90">
        <v>0</v>
      </c>
      <c r="J90">
        <v>0</v>
      </c>
      <c r="K90">
        <v>0</v>
      </c>
      <c r="L90">
        <v>0</v>
      </c>
      <c r="M90">
        <v>0</v>
      </c>
      <c r="N90">
        <v>0</v>
      </c>
    </row>
    <row r="91" spans="1:14" x14ac:dyDescent="0.2">
      <c r="A91" t="s">
        <v>100</v>
      </c>
      <c r="B91" t="s">
        <v>138</v>
      </c>
      <c r="C91">
        <v>1.82</v>
      </c>
      <c r="D91">
        <v>1</v>
      </c>
      <c r="E91">
        <v>16</v>
      </c>
      <c r="F91">
        <v>6</v>
      </c>
      <c r="H91">
        <v>0</v>
      </c>
      <c r="I91">
        <v>0</v>
      </c>
      <c r="J91">
        <v>0</v>
      </c>
      <c r="K91">
        <v>0</v>
      </c>
      <c r="L91">
        <v>0</v>
      </c>
      <c r="M91">
        <v>0</v>
      </c>
      <c r="N91">
        <v>0</v>
      </c>
    </row>
    <row r="92" spans="1:14" x14ac:dyDescent="0.2">
      <c r="A92" t="s">
        <v>100</v>
      </c>
      <c r="B92" t="s">
        <v>139</v>
      </c>
      <c r="C92">
        <v>7.31</v>
      </c>
      <c r="D92">
        <v>7</v>
      </c>
      <c r="E92">
        <v>6</v>
      </c>
      <c r="F92">
        <v>3</v>
      </c>
      <c r="H92">
        <v>0</v>
      </c>
      <c r="I92">
        <v>0</v>
      </c>
      <c r="J92">
        <v>0</v>
      </c>
      <c r="K92">
        <v>0</v>
      </c>
      <c r="L92">
        <v>0</v>
      </c>
      <c r="M92">
        <v>0</v>
      </c>
      <c r="N92">
        <v>0</v>
      </c>
    </row>
    <row r="93" spans="1:14" x14ac:dyDescent="0.2">
      <c r="A93" t="s">
        <v>100</v>
      </c>
      <c r="B93" t="s">
        <v>140</v>
      </c>
      <c r="C93">
        <v>0.6</v>
      </c>
      <c r="D93">
        <v>0</v>
      </c>
      <c r="E93">
        <v>12</v>
      </c>
      <c r="F93">
        <v>0</v>
      </c>
      <c r="H93">
        <v>0</v>
      </c>
      <c r="I93">
        <v>0</v>
      </c>
      <c r="J93">
        <v>0</v>
      </c>
      <c r="K93">
        <v>0</v>
      </c>
      <c r="L93">
        <v>0</v>
      </c>
      <c r="M93">
        <v>0</v>
      </c>
      <c r="N93">
        <v>0</v>
      </c>
    </row>
    <row r="94" spans="1:14" x14ac:dyDescent="0.2">
      <c r="A94" t="s">
        <v>100</v>
      </c>
      <c r="B94" t="s">
        <v>141</v>
      </c>
      <c r="C94">
        <v>0.45</v>
      </c>
      <c r="D94">
        <v>0</v>
      </c>
      <c r="E94">
        <v>9</v>
      </c>
      <c r="F94">
        <v>0</v>
      </c>
      <c r="H94">
        <v>0</v>
      </c>
      <c r="I94">
        <v>0</v>
      </c>
      <c r="J94">
        <v>0</v>
      </c>
      <c r="K94">
        <v>0</v>
      </c>
      <c r="L94">
        <v>0</v>
      </c>
      <c r="M94">
        <v>0</v>
      </c>
      <c r="N94">
        <v>0</v>
      </c>
    </row>
    <row r="95" spans="1:14" x14ac:dyDescent="0.2">
      <c r="A95" t="s">
        <v>100</v>
      </c>
      <c r="B95" t="s">
        <v>142</v>
      </c>
      <c r="C95">
        <v>0.32</v>
      </c>
      <c r="D95">
        <v>0</v>
      </c>
      <c r="E95">
        <v>6</v>
      </c>
      <c r="F95">
        <v>4</v>
      </c>
      <c r="H95">
        <v>0</v>
      </c>
      <c r="I95">
        <v>0</v>
      </c>
      <c r="J95">
        <v>0</v>
      </c>
      <c r="K95">
        <v>0</v>
      </c>
      <c r="L95">
        <v>0</v>
      </c>
      <c r="M95">
        <v>0</v>
      </c>
      <c r="N95">
        <v>0</v>
      </c>
    </row>
    <row r="96" spans="1:14" x14ac:dyDescent="0.2">
      <c r="A96" t="s">
        <v>100</v>
      </c>
      <c r="B96" t="s">
        <v>143</v>
      </c>
      <c r="C96">
        <v>0.08</v>
      </c>
      <c r="D96">
        <v>0</v>
      </c>
      <c r="E96">
        <v>1</v>
      </c>
      <c r="F96">
        <v>6</v>
      </c>
      <c r="H96">
        <v>0</v>
      </c>
      <c r="I96">
        <v>0</v>
      </c>
      <c r="J96">
        <v>0</v>
      </c>
      <c r="K96">
        <v>0</v>
      </c>
      <c r="L96">
        <v>0</v>
      </c>
      <c r="M96">
        <v>0</v>
      </c>
      <c r="N96">
        <v>0</v>
      </c>
    </row>
    <row r="97" spans="1:14" x14ac:dyDescent="0.2">
      <c r="A97" t="s">
        <v>100</v>
      </c>
      <c r="B97" t="s">
        <v>144</v>
      </c>
      <c r="C97">
        <v>0.33</v>
      </c>
      <c r="D97">
        <v>0</v>
      </c>
      <c r="E97">
        <v>6</v>
      </c>
      <c r="F97">
        <v>8</v>
      </c>
      <c r="H97">
        <v>0</v>
      </c>
      <c r="I97">
        <v>0</v>
      </c>
      <c r="J97">
        <v>0</v>
      </c>
      <c r="K97">
        <v>0</v>
      </c>
      <c r="L97">
        <v>0</v>
      </c>
      <c r="M97">
        <v>0</v>
      </c>
      <c r="N97">
        <v>0</v>
      </c>
    </row>
    <row r="98" spans="1:14" x14ac:dyDescent="0.2">
      <c r="A98" t="s">
        <v>100</v>
      </c>
      <c r="B98" t="s">
        <v>145</v>
      </c>
      <c r="C98">
        <v>0</v>
      </c>
      <c r="D98">
        <v>0</v>
      </c>
      <c r="E98">
        <v>0</v>
      </c>
      <c r="F98">
        <v>0</v>
      </c>
      <c r="H98">
        <v>0</v>
      </c>
      <c r="I98">
        <v>0</v>
      </c>
      <c r="J98">
        <v>0</v>
      </c>
      <c r="K98">
        <v>0</v>
      </c>
      <c r="L98">
        <v>0</v>
      </c>
      <c r="M98">
        <v>0</v>
      </c>
      <c r="N98">
        <v>0</v>
      </c>
    </row>
    <row r="99" spans="1:14" x14ac:dyDescent="0.2">
      <c r="A99" t="s">
        <v>100</v>
      </c>
      <c r="B99" t="s">
        <v>146</v>
      </c>
      <c r="C99">
        <v>0.53</v>
      </c>
      <c r="D99">
        <v>0</v>
      </c>
      <c r="E99">
        <v>10</v>
      </c>
      <c r="F99">
        <v>6</v>
      </c>
      <c r="H99">
        <v>0</v>
      </c>
      <c r="I99">
        <v>0</v>
      </c>
      <c r="J99">
        <v>0</v>
      </c>
      <c r="K99">
        <v>0</v>
      </c>
      <c r="L99">
        <v>0</v>
      </c>
      <c r="M99">
        <v>0</v>
      </c>
      <c r="N99">
        <v>0</v>
      </c>
    </row>
    <row r="100" spans="1:14" x14ac:dyDescent="0.2">
      <c r="A100" t="s">
        <v>100</v>
      </c>
      <c r="B100" t="s">
        <v>147</v>
      </c>
      <c r="C100">
        <v>0.25</v>
      </c>
      <c r="D100">
        <v>0</v>
      </c>
      <c r="E100">
        <v>5</v>
      </c>
      <c r="F100">
        <v>0</v>
      </c>
      <c r="H100">
        <v>0</v>
      </c>
      <c r="I100">
        <v>0</v>
      </c>
      <c r="J100">
        <v>0</v>
      </c>
      <c r="K100">
        <v>0</v>
      </c>
      <c r="L100">
        <v>0</v>
      </c>
      <c r="M100">
        <v>0</v>
      </c>
      <c r="N100">
        <v>0</v>
      </c>
    </row>
    <row r="101" spans="1:14" x14ac:dyDescent="0.2">
      <c r="A101" t="s">
        <v>100</v>
      </c>
      <c r="B101" t="s">
        <v>148</v>
      </c>
      <c r="C101">
        <v>0.11</v>
      </c>
      <c r="D101">
        <v>0</v>
      </c>
      <c r="E101">
        <v>2</v>
      </c>
      <c r="F101">
        <v>2</v>
      </c>
      <c r="H101">
        <v>0</v>
      </c>
      <c r="I101">
        <v>0</v>
      </c>
      <c r="J101">
        <v>0</v>
      </c>
      <c r="K101">
        <v>0</v>
      </c>
      <c r="L101">
        <v>0</v>
      </c>
      <c r="M101">
        <v>0</v>
      </c>
      <c r="N101">
        <v>0</v>
      </c>
    </row>
    <row r="102" spans="1:14" x14ac:dyDescent="0.2">
      <c r="A102" t="s">
        <v>100</v>
      </c>
      <c r="B102" t="s">
        <v>149</v>
      </c>
      <c r="C102">
        <v>0</v>
      </c>
      <c r="D102">
        <v>0</v>
      </c>
      <c r="E102">
        <v>0</v>
      </c>
      <c r="F102">
        <v>0</v>
      </c>
      <c r="H102">
        <v>0</v>
      </c>
      <c r="I102">
        <v>0</v>
      </c>
      <c r="J102">
        <v>0</v>
      </c>
      <c r="K102">
        <v>0</v>
      </c>
      <c r="L102">
        <v>0</v>
      </c>
      <c r="M102">
        <v>0</v>
      </c>
      <c r="N102">
        <v>0</v>
      </c>
    </row>
    <row r="103" spans="1:14" x14ac:dyDescent="0.2">
      <c r="A103" t="s">
        <v>100</v>
      </c>
      <c r="B103" t="s">
        <v>150</v>
      </c>
      <c r="C103">
        <v>0</v>
      </c>
      <c r="D103">
        <v>0</v>
      </c>
      <c r="E103">
        <v>0</v>
      </c>
      <c r="F103">
        <v>0</v>
      </c>
      <c r="H103">
        <v>0</v>
      </c>
      <c r="I103">
        <v>0</v>
      </c>
      <c r="J103">
        <v>0</v>
      </c>
      <c r="K103">
        <v>0</v>
      </c>
      <c r="L103">
        <v>0</v>
      </c>
      <c r="M103">
        <v>0</v>
      </c>
      <c r="N103">
        <v>0</v>
      </c>
    </row>
    <row r="104" spans="1:14" x14ac:dyDescent="0.2">
      <c r="A104" t="s">
        <v>100</v>
      </c>
      <c r="B104" t="s">
        <v>151</v>
      </c>
      <c r="C104">
        <v>0.06</v>
      </c>
      <c r="D104">
        <v>0</v>
      </c>
      <c r="E104">
        <v>1</v>
      </c>
      <c r="F104">
        <v>3</v>
      </c>
      <c r="H104">
        <v>0</v>
      </c>
      <c r="I104">
        <v>0</v>
      </c>
      <c r="J104">
        <v>0</v>
      </c>
      <c r="K104">
        <v>0</v>
      </c>
      <c r="L104">
        <v>0</v>
      </c>
      <c r="M104">
        <v>0</v>
      </c>
      <c r="N104">
        <v>0</v>
      </c>
    </row>
    <row r="105" spans="1:14" x14ac:dyDescent="0.2">
      <c r="A105" t="s">
        <v>100</v>
      </c>
      <c r="B105" t="s">
        <v>152</v>
      </c>
      <c r="C105">
        <v>0.15</v>
      </c>
      <c r="D105">
        <v>0</v>
      </c>
      <c r="E105">
        <v>3</v>
      </c>
      <c r="F105">
        <v>0</v>
      </c>
      <c r="H105">
        <v>0</v>
      </c>
      <c r="I105">
        <v>0</v>
      </c>
      <c r="J105">
        <v>0</v>
      </c>
      <c r="K105">
        <v>0</v>
      </c>
      <c r="L105">
        <v>0</v>
      </c>
      <c r="M105">
        <v>0</v>
      </c>
      <c r="N105">
        <v>0</v>
      </c>
    </row>
    <row r="106" spans="1:14" x14ac:dyDescent="0.2">
      <c r="A106" t="s">
        <v>100</v>
      </c>
      <c r="B106" t="s">
        <v>153</v>
      </c>
      <c r="C106">
        <v>0</v>
      </c>
      <c r="D106">
        <v>0</v>
      </c>
      <c r="E106">
        <v>0</v>
      </c>
      <c r="F106">
        <v>0</v>
      </c>
      <c r="H106">
        <v>0</v>
      </c>
      <c r="I106">
        <v>0</v>
      </c>
      <c r="J106">
        <v>0</v>
      </c>
      <c r="K106">
        <v>0</v>
      </c>
      <c r="L106">
        <v>0</v>
      </c>
      <c r="M106">
        <v>0</v>
      </c>
      <c r="N106">
        <v>0</v>
      </c>
    </row>
    <row r="107" spans="1:14" x14ac:dyDescent="0.2">
      <c r="A107" t="s">
        <v>100</v>
      </c>
      <c r="B107" t="s">
        <v>154</v>
      </c>
      <c r="C107">
        <v>0.08</v>
      </c>
      <c r="D107">
        <v>0</v>
      </c>
      <c r="E107">
        <v>1</v>
      </c>
      <c r="F107">
        <v>8</v>
      </c>
      <c r="H107">
        <v>0</v>
      </c>
      <c r="I107">
        <v>0</v>
      </c>
      <c r="J107">
        <v>0</v>
      </c>
      <c r="K107">
        <v>0</v>
      </c>
      <c r="L107">
        <v>0</v>
      </c>
      <c r="M107">
        <v>0</v>
      </c>
      <c r="N107">
        <v>0</v>
      </c>
    </row>
    <row r="108" spans="1:14" x14ac:dyDescent="0.2">
      <c r="A108" t="s">
        <v>100</v>
      </c>
      <c r="B108" t="s">
        <v>155</v>
      </c>
      <c r="C108">
        <v>0.2</v>
      </c>
      <c r="D108">
        <v>0</v>
      </c>
      <c r="E108">
        <v>4</v>
      </c>
      <c r="F108">
        <v>0</v>
      </c>
      <c r="H108">
        <v>0</v>
      </c>
      <c r="I108">
        <v>0</v>
      </c>
      <c r="J108">
        <v>0</v>
      </c>
      <c r="K108">
        <v>0</v>
      </c>
      <c r="L108">
        <v>0</v>
      </c>
      <c r="M108">
        <v>0</v>
      </c>
      <c r="N108">
        <v>0</v>
      </c>
    </row>
    <row r="109" spans="1:14" x14ac:dyDescent="0.2">
      <c r="A109" t="s">
        <v>100</v>
      </c>
      <c r="B109" t="s">
        <v>156</v>
      </c>
      <c r="C109">
        <v>0</v>
      </c>
      <c r="D109">
        <v>0</v>
      </c>
      <c r="E109">
        <v>0</v>
      </c>
      <c r="F109">
        <v>0</v>
      </c>
      <c r="H109">
        <v>0</v>
      </c>
      <c r="I109">
        <v>0</v>
      </c>
      <c r="J109">
        <v>0</v>
      </c>
      <c r="K109">
        <v>0</v>
      </c>
      <c r="L109">
        <v>0</v>
      </c>
      <c r="M109">
        <v>0</v>
      </c>
      <c r="N109">
        <v>0</v>
      </c>
    </row>
    <row r="110" spans="1:14" x14ac:dyDescent="0.2">
      <c r="A110" t="s">
        <v>100</v>
      </c>
      <c r="B110" t="s">
        <v>157</v>
      </c>
      <c r="C110">
        <v>0.17</v>
      </c>
      <c r="D110">
        <v>0</v>
      </c>
      <c r="E110">
        <v>3</v>
      </c>
      <c r="F110">
        <v>4</v>
      </c>
      <c r="H110">
        <v>0</v>
      </c>
      <c r="I110">
        <v>0</v>
      </c>
      <c r="J110">
        <v>0</v>
      </c>
      <c r="K110">
        <v>0</v>
      </c>
      <c r="L110">
        <v>0</v>
      </c>
      <c r="M110">
        <v>0</v>
      </c>
      <c r="N110">
        <v>0</v>
      </c>
    </row>
    <row r="111" spans="1:14" x14ac:dyDescent="0.2">
      <c r="A111" t="s">
        <v>100</v>
      </c>
      <c r="B111" t="s">
        <v>158</v>
      </c>
      <c r="C111">
        <v>0.13</v>
      </c>
      <c r="D111">
        <v>0</v>
      </c>
      <c r="E111">
        <v>2</v>
      </c>
      <c r="F111">
        <v>8</v>
      </c>
      <c r="H111">
        <v>0</v>
      </c>
      <c r="I111">
        <v>0</v>
      </c>
      <c r="J111">
        <v>0</v>
      </c>
      <c r="K111">
        <v>0</v>
      </c>
      <c r="L111">
        <v>0</v>
      </c>
      <c r="M111">
        <v>0</v>
      </c>
      <c r="N111">
        <v>0</v>
      </c>
    </row>
    <row r="112" spans="1:14" x14ac:dyDescent="0.2">
      <c r="A112" t="s">
        <v>100</v>
      </c>
      <c r="B112" t="s">
        <v>159</v>
      </c>
      <c r="C112">
        <v>0.08</v>
      </c>
      <c r="D112">
        <v>0</v>
      </c>
      <c r="E112">
        <v>1</v>
      </c>
      <c r="F112">
        <v>8</v>
      </c>
      <c r="H112">
        <v>0</v>
      </c>
      <c r="I112">
        <v>0</v>
      </c>
      <c r="J112">
        <v>0</v>
      </c>
      <c r="K112">
        <v>0</v>
      </c>
      <c r="L112">
        <v>0</v>
      </c>
      <c r="M112">
        <v>0</v>
      </c>
      <c r="N112">
        <v>0</v>
      </c>
    </row>
    <row r="113" spans="1:14" x14ac:dyDescent="0.2">
      <c r="A113" t="s">
        <v>100</v>
      </c>
      <c r="B113" t="s">
        <v>160</v>
      </c>
      <c r="C113">
        <v>0.1</v>
      </c>
      <c r="D113">
        <v>0</v>
      </c>
      <c r="E113">
        <v>2</v>
      </c>
      <c r="F113">
        <v>0</v>
      </c>
      <c r="H113">
        <v>0</v>
      </c>
      <c r="I113">
        <v>0</v>
      </c>
      <c r="J113">
        <v>0</v>
      </c>
      <c r="K113">
        <v>0</v>
      </c>
      <c r="L113">
        <v>0</v>
      </c>
      <c r="M113">
        <v>0</v>
      </c>
      <c r="N113">
        <v>0</v>
      </c>
    </row>
    <row r="114" spans="1:14" x14ac:dyDescent="0.2">
      <c r="A114" t="s">
        <v>100</v>
      </c>
      <c r="B114" t="s">
        <v>161</v>
      </c>
      <c r="C114">
        <v>0.05</v>
      </c>
      <c r="D114">
        <v>0</v>
      </c>
      <c r="E114">
        <v>1</v>
      </c>
      <c r="F114">
        <v>0</v>
      </c>
      <c r="H114">
        <v>0</v>
      </c>
      <c r="I114">
        <v>0</v>
      </c>
      <c r="J114">
        <v>0</v>
      </c>
      <c r="K114">
        <v>0</v>
      </c>
      <c r="L114">
        <v>0</v>
      </c>
      <c r="M114">
        <v>0</v>
      </c>
      <c r="N114">
        <v>0</v>
      </c>
    </row>
    <row r="115" spans="1:14" x14ac:dyDescent="0.2">
      <c r="A115" t="s">
        <v>100</v>
      </c>
      <c r="B115" t="s">
        <v>162</v>
      </c>
      <c r="C115">
        <v>0.05</v>
      </c>
      <c r="D115">
        <v>0</v>
      </c>
      <c r="E115">
        <v>1</v>
      </c>
      <c r="F115">
        <v>0</v>
      </c>
      <c r="H115">
        <v>0</v>
      </c>
      <c r="I115">
        <v>0</v>
      </c>
      <c r="J115">
        <v>0</v>
      </c>
      <c r="K115">
        <v>0</v>
      </c>
      <c r="L115">
        <v>0</v>
      </c>
      <c r="M115">
        <v>0</v>
      </c>
      <c r="N115">
        <v>0</v>
      </c>
    </row>
    <row r="116" spans="1:14" x14ac:dyDescent="0.2">
      <c r="A116" t="s">
        <v>100</v>
      </c>
      <c r="B116" t="s">
        <v>163</v>
      </c>
      <c r="C116">
        <v>0.05</v>
      </c>
      <c r="D116">
        <v>0</v>
      </c>
      <c r="E116">
        <v>1</v>
      </c>
      <c r="F116">
        <v>0</v>
      </c>
      <c r="H116">
        <v>0</v>
      </c>
      <c r="I116">
        <v>0</v>
      </c>
      <c r="J116">
        <v>0</v>
      </c>
      <c r="K116">
        <v>0</v>
      </c>
      <c r="L116">
        <v>0</v>
      </c>
      <c r="M116">
        <v>0</v>
      </c>
      <c r="N116">
        <v>0</v>
      </c>
    </row>
    <row r="117" spans="1:14" x14ac:dyDescent="0.2">
      <c r="A117" t="s">
        <v>100</v>
      </c>
      <c r="B117" t="s">
        <v>164</v>
      </c>
      <c r="C117">
        <v>0.15</v>
      </c>
      <c r="D117">
        <v>0</v>
      </c>
      <c r="E117">
        <v>3</v>
      </c>
      <c r="F117">
        <v>0</v>
      </c>
      <c r="H117">
        <v>0</v>
      </c>
      <c r="I117">
        <v>0</v>
      </c>
      <c r="J117">
        <v>0</v>
      </c>
      <c r="K117">
        <v>0</v>
      </c>
      <c r="L117">
        <v>0</v>
      </c>
      <c r="M117">
        <v>0</v>
      </c>
      <c r="N117">
        <v>0</v>
      </c>
    </row>
    <row r="118" spans="1:14" x14ac:dyDescent="0.2">
      <c r="A118" t="s">
        <v>100</v>
      </c>
      <c r="B118" t="s">
        <v>165</v>
      </c>
      <c r="C118">
        <v>0.1</v>
      </c>
      <c r="D118">
        <v>0</v>
      </c>
      <c r="E118">
        <v>2</v>
      </c>
      <c r="F118">
        <v>0</v>
      </c>
      <c r="H118">
        <v>0</v>
      </c>
      <c r="I118">
        <v>0</v>
      </c>
      <c r="J118">
        <v>0</v>
      </c>
      <c r="K118">
        <v>0</v>
      </c>
      <c r="L118">
        <v>0</v>
      </c>
      <c r="M118">
        <v>0</v>
      </c>
      <c r="N118">
        <v>0</v>
      </c>
    </row>
    <row r="119" spans="1:14" x14ac:dyDescent="0.2">
      <c r="A119" t="s">
        <v>100</v>
      </c>
      <c r="B119" t="s">
        <v>166</v>
      </c>
      <c r="C119">
        <v>0.45</v>
      </c>
      <c r="D119">
        <v>0</v>
      </c>
      <c r="E119">
        <v>9</v>
      </c>
      <c r="F119">
        <v>0</v>
      </c>
      <c r="H119">
        <v>0</v>
      </c>
      <c r="I119">
        <v>0</v>
      </c>
      <c r="J119">
        <v>0</v>
      </c>
      <c r="K119">
        <v>0</v>
      </c>
      <c r="L119">
        <v>0</v>
      </c>
      <c r="M119">
        <v>0</v>
      </c>
      <c r="N119">
        <v>0</v>
      </c>
    </row>
    <row r="120" spans="1:14" x14ac:dyDescent="0.2">
      <c r="A120" t="s">
        <v>100</v>
      </c>
      <c r="B120" t="s">
        <v>167</v>
      </c>
      <c r="C120">
        <v>0</v>
      </c>
      <c r="D120">
        <v>0</v>
      </c>
      <c r="E120">
        <v>0</v>
      </c>
      <c r="F120">
        <v>0</v>
      </c>
      <c r="H120">
        <v>0</v>
      </c>
      <c r="I120">
        <v>0</v>
      </c>
      <c r="J120">
        <v>0</v>
      </c>
      <c r="K120">
        <v>0</v>
      </c>
      <c r="L120">
        <v>0</v>
      </c>
      <c r="M120">
        <v>0</v>
      </c>
      <c r="N120">
        <v>0</v>
      </c>
    </row>
    <row r="121" spans="1:14" x14ac:dyDescent="0.2">
      <c r="A121" t="s">
        <v>100</v>
      </c>
      <c r="B121" t="s">
        <v>168</v>
      </c>
      <c r="C121">
        <v>0.65</v>
      </c>
      <c r="D121">
        <v>0</v>
      </c>
      <c r="E121">
        <v>13</v>
      </c>
      <c r="F121">
        <v>0</v>
      </c>
      <c r="H121">
        <v>0</v>
      </c>
      <c r="I121">
        <v>0</v>
      </c>
      <c r="J121">
        <v>0</v>
      </c>
      <c r="K121">
        <v>0</v>
      </c>
      <c r="L121">
        <v>0</v>
      </c>
      <c r="M121">
        <v>0</v>
      </c>
      <c r="N121">
        <v>0</v>
      </c>
    </row>
    <row r="122" spans="1:14" x14ac:dyDescent="0.2">
      <c r="A122" t="s">
        <v>100</v>
      </c>
      <c r="B122" t="s">
        <v>169</v>
      </c>
      <c r="C122">
        <v>0.08</v>
      </c>
      <c r="D122">
        <v>0</v>
      </c>
      <c r="E122">
        <v>1</v>
      </c>
      <c r="F122">
        <v>6</v>
      </c>
      <c r="H122">
        <v>0</v>
      </c>
      <c r="I122">
        <v>0</v>
      </c>
      <c r="J122">
        <v>0</v>
      </c>
      <c r="K122">
        <v>0</v>
      </c>
      <c r="L122">
        <v>0</v>
      </c>
      <c r="M122">
        <v>0</v>
      </c>
      <c r="N122">
        <v>0</v>
      </c>
    </row>
    <row r="123" spans="1:14" x14ac:dyDescent="0.2">
      <c r="A123" t="s">
        <v>100</v>
      </c>
      <c r="B123" t="s">
        <v>170</v>
      </c>
      <c r="C123">
        <v>0.2</v>
      </c>
      <c r="D123">
        <v>0</v>
      </c>
      <c r="E123">
        <v>4</v>
      </c>
      <c r="F123">
        <v>0</v>
      </c>
      <c r="H123">
        <v>0</v>
      </c>
      <c r="I123">
        <v>0</v>
      </c>
      <c r="J123">
        <v>0</v>
      </c>
      <c r="K123">
        <v>0</v>
      </c>
      <c r="L123">
        <v>0</v>
      </c>
      <c r="M123">
        <v>0</v>
      </c>
      <c r="N123">
        <v>0</v>
      </c>
    </row>
    <row r="124" spans="1:14" x14ac:dyDescent="0.2">
      <c r="A124" t="s">
        <v>100</v>
      </c>
      <c r="B124" t="s">
        <v>171</v>
      </c>
      <c r="C124">
        <v>0</v>
      </c>
      <c r="D124">
        <v>0</v>
      </c>
      <c r="E124">
        <v>0</v>
      </c>
      <c r="F124">
        <v>0</v>
      </c>
      <c r="H124">
        <v>0</v>
      </c>
      <c r="I124">
        <v>0</v>
      </c>
      <c r="J124">
        <v>0</v>
      </c>
      <c r="K124">
        <v>0</v>
      </c>
      <c r="L124">
        <v>0</v>
      </c>
      <c r="M124">
        <v>0</v>
      </c>
      <c r="N124">
        <v>0</v>
      </c>
    </row>
    <row r="125" spans="1:14" x14ac:dyDescent="0.2">
      <c r="A125" t="s">
        <v>100</v>
      </c>
      <c r="B125" t="s">
        <v>172</v>
      </c>
      <c r="C125">
        <v>0.25</v>
      </c>
      <c r="D125">
        <v>0</v>
      </c>
      <c r="E125">
        <v>5</v>
      </c>
      <c r="F125">
        <v>0</v>
      </c>
      <c r="H125">
        <v>0</v>
      </c>
      <c r="I125">
        <v>0</v>
      </c>
      <c r="J125">
        <v>0</v>
      </c>
      <c r="K125">
        <v>0</v>
      </c>
      <c r="L125">
        <v>0</v>
      </c>
      <c r="M125">
        <v>0</v>
      </c>
      <c r="N125">
        <v>0</v>
      </c>
    </row>
    <row r="126" spans="1:14" x14ac:dyDescent="0.2">
      <c r="A126" t="s">
        <v>100</v>
      </c>
      <c r="B126" t="s">
        <v>173</v>
      </c>
      <c r="C126">
        <v>0.05</v>
      </c>
      <c r="D126">
        <v>0</v>
      </c>
      <c r="E126">
        <v>1</v>
      </c>
      <c r="F126">
        <v>0</v>
      </c>
      <c r="H126">
        <v>0</v>
      </c>
      <c r="I126">
        <v>0</v>
      </c>
      <c r="J126">
        <v>0</v>
      </c>
      <c r="K126">
        <v>0</v>
      </c>
      <c r="L126">
        <v>0</v>
      </c>
      <c r="M126">
        <v>0</v>
      </c>
      <c r="N126">
        <v>0</v>
      </c>
    </row>
    <row r="127" spans="1:14" x14ac:dyDescent="0.2">
      <c r="A127" t="s">
        <v>100</v>
      </c>
      <c r="B127" t="s">
        <v>174</v>
      </c>
      <c r="C127">
        <v>0.1</v>
      </c>
      <c r="D127">
        <v>0</v>
      </c>
      <c r="E127">
        <v>2</v>
      </c>
      <c r="F127">
        <v>0</v>
      </c>
      <c r="H127">
        <v>0</v>
      </c>
      <c r="I127">
        <v>0</v>
      </c>
      <c r="J127">
        <v>0</v>
      </c>
      <c r="K127">
        <v>0</v>
      </c>
      <c r="L127">
        <v>0</v>
      </c>
      <c r="M127">
        <v>0</v>
      </c>
      <c r="N127">
        <v>0</v>
      </c>
    </row>
    <row r="128" spans="1:14" x14ac:dyDescent="0.2">
      <c r="A128" t="s">
        <v>100</v>
      </c>
      <c r="B128" t="s">
        <v>175</v>
      </c>
      <c r="C128">
        <v>0.1</v>
      </c>
      <c r="D128">
        <v>0</v>
      </c>
      <c r="E128">
        <v>2</v>
      </c>
      <c r="F128">
        <v>0</v>
      </c>
      <c r="H128">
        <v>0</v>
      </c>
      <c r="I128">
        <v>0</v>
      </c>
      <c r="J128">
        <v>0</v>
      </c>
      <c r="K128">
        <v>0</v>
      </c>
      <c r="L128">
        <v>0</v>
      </c>
      <c r="M128">
        <v>0</v>
      </c>
      <c r="N128">
        <v>0</v>
      </c>
    </row>
    <row r="129" spans="1:14" x14ac:dyDescent="0.2">
      <c r="A129" t="s">
        <v>100</v>
      </c>
      <c r="B129" t="s">
        <v>176</v>
      </c>
      <c r="C129">
        <v>0.15</v>
      </c>
      <c r="D129">
        <v>0</v>
      </c>
      <c r="E129">
        <v>3</v>
      </c>
      <c r="F129">
        <v>0</v>
      </c>
      <c r="H129">
        <v>0</v>
      </c>
      <c r="I129">
        <v>0</v>
      </c>
      <c r="J129">
        <v>0</v>
      </c>
      <c r="K129">
        <v>0</v>
      </c>
      <c r="L129">
        <v>0</v>
      </c>
      <c r="M129">
        <v>0</v>
      </c>
      <c r="N129">
        <v>0</v>
      </c>
    </row>
    <row r="130" spans="1:14" x14ac:dyDescent="0.2">
      <c r="A130" t="s">
        <v>100</v>
      </c>
      <c r="B130" t="s">
        <v>177</v>
      </c>
      <c r="C130">
        <v>0.12</v>
      </c>
      <c r="D130">
        <v>0</v>
      </c>
      <c r="E130">
        <v>2</v>
      </c>
      <c r="F130">
        <v>6</v>
      </c>
      <c r="H130">
        <v>0</v>
      </c>
      <c r="I130">
        <v>0</v>
      </c>
      <c r="J130">
        <v>0</v>
      </c>
      <c r="K130">
        <v>0</v>
      </c>
      <c r="L130">
        <v>0</v>
      </c>
      <c r="M130">
        <v>0</v>
      </c>
      <c r="N130">
        <v>0</v>
      </c>
    </row>
    <row r="131" spans="1:14" x14ac:dyDescent="0.2">
      <c r="A131" t="s">
        <v>100</v>
      </c>
      <c r="B131" t="s">
        <v>178</v>
      </c>
      <c r="C131">
        <v>0.1</v>
      </c>
      <c r="D131">
        <v>0</v>
      </c>
      <c r="E131">
        <v>2</v>
      </c>
      <c r="F131">
        <v>0</v>
      </c>
      <c r="H131">
        <v>0</v>
      </c>
      <c r="I131">
        <v>0</v>
      </c>
      <c r="J131">
        <v>0</v>
      </c>
      <c r="K131">
        <v>0</v>
      </c>
      <c r="L131">
        <v>0</v>
      </c>
      <c r="M131">
        <v>0</v>
      </c>
      <c r="N131">
        <v>0</v>
      </c>
    </row>
    <row r="132" spans="1:14" x14ac:dyDescent="0.2">
      <c r="A132" t="s">
        <v>100</v>
      </c>
      <c r="B132" t="s">
        <v>179</v>
      </c>
      <c r="C132">
        <v>0.08</v>
      </c>
      <c r="D132">
        <v>0</v>
      </c>
      <c r="E132">
        <v>1</v>
      </c>
      <c r="F132">
        <v>8</v>
      </c>
      <c r="H132">
        <v>0</v>
      </c>
      <c r="I132">
        <v>0</v>
      </c>
      <c r="J132">
        <v>0</v>
      </c>
      <c r="K132">
        <v>0</v>
      </c>
      <c r="L132">
        <v>0</v>
      </c>
      <c r="M132">
        <v>0</v>
      </c>
      <c r="N132">
        <v>0</v>
      </c>
    </row>
    <row r="133" spans="1:14" x14ac:dyDescent="0.2">
      <c r="A133" t="s">
        <v>100</v>
      </c>
      <c r="B133" t="s">
        <v>180</v>
      </c>
      <c r="C133">
        <v>0.2</v>
      </c>
      <c r="D133">
        <v>0</v>
      </c>
      <c r="E133">
        <v>4</v>
      </c>
      <c r="F133">
        <v>0</v>
      </c>
      <c r="H133">
        <v>0</v>
      </c>
      <c r="I133">
        <v>0</v>
      </c>
      <c r="J133">
        <v>0</v>
      </c>
      <c r="K133">
        <v>0</v>
      </c>
      <c r="L133">
        <v>0</v>
      </c>
      <c r="M133">
        <v>0</v>
      </c>
      <c r="N133">
        <v>0</v>
      </c>
    </row>
    <row r="134" spans="1:14" x14ac:dyDescent="0.2">
      <c r="A134" t="s">
        <v>100</v>
      </c>
      <c r="B134" t="s">
        <v>181</v>
      </c>
      <c r="C134">
        <v>0.2</v>
      </c>
      <c r="D134">
        <v>0</v>
      </c>
      <c r="E134">
        <v>4</v>
      </c>
      <c r="F134">
        <v>0</v>
      </c>
      <c r="H134">
        <v>0</v>
      </c>
      <c r="I134">
        <v>0</v>
      </c>
      <c r="J134">
        <v>0</v>
      </c>
      <c r="K134">
        <v>0</v>
      </c>
      <c r="L134">
        <v>0</v>
      </c>
      <c r="M134">
        <v>0</v>
      </c>
      <c r="N134">
        <v>0</v>
      </c>
    </row>
    <row r="135" spans="1:14" x14ac:dyDescent="0.2">
      <c r="A135" t="s">
        <v>100</v>
      </c>
      <c r="B135" t="s">
        <v>182</v>
      </c>
      <c r="C135">
        <v>0.33</v>
      </c>
      <c r="D135">
        <v>0</v>
      </c>
      <c r="E135">
        <v>6</v>
      </c>
      <c r="F135">
        <v>8</v>
      </c>
      <c r="H135">
        <v>0</v>
      </c>
      <c r="I135">
        <v>0</v>
      </c>
      <c r="J135">
        <v>0</v>
      </c>
      <c r="K135">
        <v>0</v>
      </c>
      <c r="L135">
        <v>0</v>
      </c>
      <c r="M135">
        <v>0</v>
      </c>
      <c r="N135">
        <v>0</v>
      </c>
    </row>
    <row r="136" spans="1:14" x14ac:dyDescent="0.2">
      <c r="A136" t="s">
        <v>100</v>
      </c>
      <c r="B136" t="s">
        <v>183</v>
      </c>
      <c r="C136">
        <v>0.15</v>
      </c>
      <c r="D136">
        <v>0</v>
      </c>
      <c r="E136">
        <v>3</v>
      </c>
      <c r="F136">
        <v>0</v>
      </c>
      <c r="H136">
        <v>0</v>
      </c>
      <c r="I136">
        <v>0</v>
      </c>
      <c r="J136">
        <v>0</v>
      </c>
      <c r="K136">
        <v>0</v>
      </c>
      <c r="L136">
        <v>0</v>
      </c>
      <c r="M136">
        <v>0</v>
      </c>
      <c r="N136">
        <v>0</v>
      </c>
    </row>
    <row r="137" spans="1:14" x14ac:dyDescent="0.2">
      <c r="A137" t="s">
        <v>100</v>
      </c>
      <c r="B137" t="s">
        <v>184</v>
      </c>
      <c r="C137">
        <v>4.55</v>
      </c>
      <c r="D137">
        <v>4</v>
      </c>
      <c r="E137">
        <v>11</v>
      </c>
      <c r="F137">
        <v>0</v>
      </c>
      <c r="H137">
        <v>0</v>
      </c>
      <c r="I137">
        <v>0</v>
      </c>
      <c r="J137">
        <v>0</v>
      </c>
      <c r="K137">
        <v>0</v>
      </c>
      <c r="L137">
        <v>0</v>
      </c>
      <c r="M137">
        <v>0</v>
      </c>
      <c r="N137">
        <v>0</v>
      </c>
    </row>
    <row r="138" spans="1:14" x14ac:dyDescent="0.2">
      <c r="A138" t="s">
        <v>100</v>
      </c>
      <c r="B138" t="s">
        <v>185</v>
      </c>
      <c r="C138">
        <v>0</v>
      </c>
      <c r="D138">
        <v>0</v>
      </c>
      <c r="E138">
        <v>0</v>
      </c>
      <c r="F138">
        <v>0</v>
      </c>
      <c r="H138">
        <v>0</v>
      </c>
      <c r="I138">
        <v>0</v>
      </c>
      <c r="J138">
        <v>0</v>
      </c>
      <c r="K138">
        <v>0</v>
      </c>
      <c r="L138">
        <v>0</v>
      </c>
      <c r="M138">
        <v>0</v>
      </c>
      <c r="N138">
        <v>0</v>
      </c>
    </row>
    <row r="139" spans="1:14" x14ac:dyDescent="0.2">
      <c r="A139" t="s">
        <v>100</v>
      </c>
      <c r="B139" t="s">
        <v>186</v>
      </c>
      <c r="C139">
        <v>4.84</v>
      </c>
      <c r="D139">
        <v>4</v>
      </c>
      <c r="E139">
        <v>16</v>
      </c>
      <c r="F139">
        <v>10.5</v>
      </c>
      <c r="H139">
        <v>0</v>
      </c>
      <c r="I139">
        <v>0</v>
      </c>
      <c r="J139">
        <v>0</v>
      </c>
      <c r="K139">
        <v>0</v>
      </c>
      <c r="L139">
        <v>0</v>
      </c>
      <c r="M139">
        <v>0</v>
      </c>
      <c r="N139">
        <v>0</v>
      </c>
    </row>
    <row r="140" spans="1:14" x14ac:dyDescent="0.2">
      <c r="A140" t="s">
        <v>100</v>
      </c>
      <c r="B140" t="s">
        <v>187</v>
      </c>
      <c r="C140">
        <v>1.25</v>
      </c>
      <c r="D140">
        <v>1</v>
      </c>
      <c r="E140">
        <v>5</v>
      </c>
      <c r="F140">
        <v>0</v>
      </c>
      <c r="H140">
        <v>0</v>
      </c>
      <c r="I140">
        <v>0</v>
      </c>
      <c r="J140">
        <v>0</v>
      </c>
      <c r="K140">
        <v>0</v>
      </c>
      <c r="L140">
        <v>0</v>
      </c>
      <c r="M140">
        <v>0</v>
      </c>
      <c r="N140">
        <v>0</v>
      </c>
    </row>
    <row r="141" spans="1:14" x14ac:dyDescent="0.2">
      <c r="A141" t="s">
        <v>100</v>
      </c>
      <c r="B141" t="s">
        <v>188</v>
      </c>
      <c r="C141">
        <v>0.83</v>
      </c>
      <c r="D141">
        <v>0</v>
      </c>
      <c r="E141">
        <v>16</v>
      </c>
      <c r="F141">
        <v>8</v>
      </c>
      <c r="H141">
        <v>0</v>
      </c>
      <c r="I141">
        <v>0</v>
      </c>
      <c r="J141">
        <v>0</v>
      </c>
      <c r="K141">
        <v>0</v>
      </c>
      <c r="L141">
        <v>0</v>
      </c>
      <c r="M141">
        <v>0</v>
      </c>
      <c r="N141">
        <v>0</v>
      </c>
    </row>
    <row r="142" spans="1:14" x14ac:dyDescent="0.2">
      <c r="A142" t="s">
        <v>100</v>
      </c>
      <c r="B142" t="s">
        <v>189</v>
      </c>
      <c r="C142">
        <v>0.02</v>
      </c>
      <c r="D142">
        <v>0</v>
      </c>
      <c r="E142">
        <v>0</v>
      </c>
      <c r="F142">
        <v>5</v>
      </c>
      <c r="H142">
        <v>0</v>
      </c>
      <c r="I142">
        <v>0</v>
      </c>
      <c r="J142">
        <v>0</v>
      </c>
      <c r="K142">
        <v>0</v>
      </c>
      <c r="L142">
        <v>0</v>
      </c>
      <c r="M142">
        <v>0</v>
      </c>
      <c r="N142">
        <v>0</v>
      </c>
    </row>
    <row r="143" spans="1:14" x14ac:dyDescent="0.2">
      <c r="A143" t="s">
        <v>100</v>
      </c>
      <c r="B143" t="s">
        <v>190</v>
      </c>
      <c r="C143">
        <v>0.16</v>
      </c>
      <c r="D143">
        <v>0</v>
      </c>
      <c r="E143">
        <v>3</v>
      </c>
      <c r="F143">
        <v>2</v>
      </c>
      <c r="H143">
        <v>0</v>
      </c>
      <c r="I143">
        <v>0</v>
      </c>
      <c r="J143">
        <v>0</v>
      </c>
      <c r="K143">
        <v>0</v>
      </c>
      <c r="L143">
        <v>0</v>
      </c>
      <c r="M143">
        <v>0</v>
      </c>
      <c r="N143">
        <v>0</v>
      </c>
    </row>
    <row r="144" spans="1:14" x14ac:dyDescent="0.2">
      <c r="A144" t="s">
        <v>100</v>
      </c>
      <c r="B144" t="s">
        <v>191</v>
      </c>
      <c r="C144">
        <v>19.38</v>
      </c>
      <c r="D144">
        <v>19</v>
      </c>
      <c r="E144">
        <v>7</v>
      </c>
      <c r="F144">
        <v>7</v>
      </c>
      <c r="H144">
        <v>0</v>
      </c>
      <c r="I144">
        <v>0</v>
      </c>
      <c r="J144">
        <v>0</v>
      </c>
      <c r="K144">
        <v>0</v>
      </c>
      <c r="L144">
        <v>0</v>
      </c>
      <c r="M144">
        <v>0</v>
      </c>
      <c r="N144">
        <v>0</v>
      </c>
    </row>
    <row r="145" spans="1:34" x14ac:dyDescent="0.2">
      <c r="A145" t="s">
        <v>192</v>
      </c>
      <c r="B145" t="s">
        <v>193</v>
      </c>
      <c r="C145">
        <v>22.79</v>
      </c>
      <c r="D145">
        <v>22</v>
      </c>
      <c r="E145">
        <v>15</v>
      </c>
      <c r="F145">
        <v>8.5</v>
      </c>
      <c r="G145" t="s">
        <v>194</v>
      </c>
      <c r="H145">
        <v>73</v>
      </c>
      <c r="I145">
        <v>4</v>
      </c>
      <c r="J145">
        <v>73.5</v>
      </c>
      <c r="K145">
        <v>73.5</v>
      </c>
      <c r="L145">
        <v>0</v>
      </c>
      <c r="M145">
        <v>73.5</v>
      </c>
      <c r="N145">
        <v>0</v>
      </c>
      <c r="O145">
        <v>7.5</v>
      </c>
      <c r="P145">
        <v>1</v>
      </c>
      <c r="Q145">
        <v>6.5</v>
      </c>
      <c r="R145">
        <v>0</v>
      </c>
      <c r="S145">
        <v>19</v>
      </c>
      <c r="T145">
        <v>3</v>
      </c>
      <c r="U145">
        <v>40</v>
      </c>
      <c r="V145">
        <v>0</v>
      </c>
      <c r="W145">
        <v>5</v>
      </c>
      <c r="X145">
        <v>0</v>
      </c>
      <c r="Y145">
        <v>5</v>
      </c>
      <c r="Z145">
        <v>4</v>
      </c>
      <c r="AA145">
        <v>6</v>
      </c>
      <c r="AB145">
        <v>0</v>
      </c>
      <c r="AC145">
        <v>6</v>
      </c>
      <c r="AD145">
        <v>8</v>
      </c>
    </row>
    <row r="146" spans="1:34" x14ac:dyDescent="0.2">
      <c r="A146" t="s">
        <v>192</v>
      </c>
      <c r="B146" t="s">
        <v>195</v>
      </c>
      <c r="C146">
        <v>0.87</v>
      </c>
      <c r="D146">
        <v>0</v>
      </c>
      <c r="E146">
        <v>17</v>
      </c>
      <c r="F146">
        <v>5.75</v>
      </c>
      <c r="G146" t="s">
        <v>196</v>
      </c>
      <c r="H146">
        <v>8</v>
      </c>
      <c r="I146">
        <v>5</v>
      </c>
      <c r="J146">
        <v>8.625</v>
      </c>
      <c r="K146">
        <v>8</v>
      </c>
      <c r="L146">
        <v>0.625</v>
      </c>
      <c r="M146">
        <v>8</v>
      </c>
      <c r="N146">
        <v>0</v>
      </c>
      <c r="O146">
        <v>4</v>
      </c>
      <c r="P146">
        <v>0</v>
      </c>
      <c r="Q146">
        <v>4</v>
      </c>
      <c r="R146">
        <v>0</v>
      </c>
      <c r="S146">
        <v>0</v>
      </c>
      <c r="T146">
        <v>5</v>
      </c>
      <c r="W146">
        <v>2</v>
      </c>
      <c r="X146">
        <v>0</v>
      </c>
      <c r="Y146">
        <v>2</v>
      </c>
      <c r="Z146">
        <v>4</v>
      </c>
    </row>
    <row r="147" spans="1:34" x14ac:dyDescent="0.2">
      <c r="A147" t="s">
        <v>192</v>
      </c>
      <c r="B147" t="s">
        <v>197</v>
      </c>
      <c r="C147">
        <v>1.06</v>
      </c>
      <c r="D147">
        <v>1</v>
      </c>
      <c r="E147">
        <v>1</v>
      </c>
      <c r="F147">
        <v>3</v>
      </c>
      <c r="G147" t="s">
        <v>198</v>
      </c>
      <c r="H147">
        <v>5</v>
      </c>
      <c r="I147">
        <v>2.5</v>
      </c>
      <c r="J147">
        <v>5.3125</v>
      </c>
      <c r="K147">
        <v>5.3125</v>
      </c>
      <c r="L147">
        <v>0</v>
      </c>
      <c r="M147">
        <v>5</v>
      </c>
      <c r="N147">
        <v>2.5</v>
      </c>
      <c r="W147">
        <v>4</v>
      </c>
      <c r="X147">
        <v>0</v>
      </c>
    </row>
    <row r="148" spans="1:34" x14ac:dyDescent="0.2">
      <c r="A148" t="s">
        <v>192</v>
      </c>
      <c r="B148" t="s">
        <v>199</v>
      </c>
      <c r="C148">
        <v>6.69</v>
      </c>
      <c r="D148">
        <v>6</v>
      </c>
      <c r="E148">
        <v>13</v>
      </c>
      <c r="F148">
        <v>10</v>
      </c>
      <c r="G148" t="s">
        <v>200</v>
      </c>
      <c r="H148">
        <v>58.5</v>
      </c>
      <c r="I148">
        <v>3</v>
      </c>
      <c r="J148">
        <v>58.875</v>
      </c>
      <c r="K148">
        <v>58.875</v>
      </c>
      <c r="L148">
        <v>0</v>
      </c>
      <c r="M148">
        <v>58.5</v>
      </c>
      <c r="N148">
        <v>3</v>
      </c>
      <c r="O148">
        <v>31</v>
      </c>
      <c r="P148">
        <v>0</v>
      </c>
      <c r="Q148">
        <v>7.5</v>
      </c>
      <c r="R148">
        <v>0</v>
      </c>
      <c r="S148">
        <v>20</v>
      </c>
      <c r="T148">
        <v>3</v>
      </c>
      <c r="W148">
        <v>2</v>
      </c>
      <c r="X148">
        <v>0</v>
      </c>
      <c r="Y148">
        <v>2</v>
      </c>
      <c r="Z148">
        <v>4</v>
      </c>
      <c r="AA148">
        <v>2</v>
      </c>
      <c r="AB148">
        <v>8</v>
      </c>
    </row>
    <row r="149" spans="1:34" x14ac:dyDescent="0.2">
      <c r="A149" t="s">
        <v>192</v>
      </c>
      <c r="B149" t="s">
        <v>201</v>
      </c>
      <c r="C149">
        <v>0.03</v>
      </c>
      <c r="D149">
        <v>0</v>
      </c>
      <c r="E149">
        <v>0</v>
      </c>
      <c r="F149">
        <v>8</v>
      </c>
      <c r="G149" t="s">
        <v>202</v>
      </c>
      <c r="H149">
        <v>0</v>
      </c>
      <c r="I149">
        <v>2</v>
      </c>
      <c r="J149">
        <v>0.25</v>
      </c>
      <c r="K149">
        <v>0.25</v>
      </c>
      <c r="L149">
        <v>0</v>
      </c>
      <c r="M149">
        <v>0</v>
      </c>
      <c r="N149">
        <v>2</v>
      </c>
    </row>
    <row r="150" spans="1:34" x14ac:dyDescent="0.2">
      <c r="A150" t="s">
        <v>192</v>
      </c>
      <c r="B150" t="s">
        <v>203</v>
      </c>
      <c r="C150">
        <v>0.21</v>
      </c>
      <c r="D150">
        <v>0</v>
      </c>
      <c r="E150">
        <v>4</v>
      </c>
      <c r="F150">
        <v>3</v>
      </c>
      <c r="G150" t="s">
        <v>204</v>
      </c>
      <c r="H150">
        <v>2</v>
      </c>
      <c r="I150">
        <v>1</v>
      </c>
      <c r="J150">
        <v>2.125</v>
      </c>
      <c r="K150">
        <v>2.125</v>
      </c>
      <c r="L150">
        <v>0</v>
      </c>
      <c r="M150">
        <v>2</v>
      </c>
      <c r="N150">
        <v>1</v>
      </c>
      <c r="W150">
        <v>2</v>
      </c>
      <c r="X150">
        <v>0</v>
      </c>
    </row>
    <row r="151" spans="1:34" x14ac:dyDescent="0.2">
      <c r="A151" t="s">
        <v>192</v>
      </c>
      <c r="B151" t="s">
        <v>205</v>
      </c>
      <c r="C151">
        <v>31.66</v>
      </c>
      <c r="D151">
        <v>31</v>
      </c>
      <c r="E151">
        <v>13</v>
      </c>
      <c r="F151">
        <v>2.25</v>
      </c>
      <c r="H151">
        <v>0</v>
      </c>
      <c r="I151">
        <v>0</v>
      </c>
      <c r="J151">
        <v>0</v>
      </c>
      <c r="K151">
        <v>0</v>
      </c>
      <c r="L151">
        <v>0</v>
      </c>
      <c r="M151">
        <v>0</v>
      </c>
      <c r="N151">
        <v>0</v>
      </c>
    </row>
    <row r="152" spans="1:34" x14ac:dyDescent="0.2">
      <c r="A152" t="s">
        <v>206</v>
      </c>
      <c r="B152" t="s">
        <v>207</v>
      </c>
      <c r="C152">
        <v>0.38</v>
      </c>
      <c r="D152">
        <v>0</v>
      </c>
      <c r="E152">
        <v>7</v>
      </c>
      <c r="F152">
        <v>7</v>
      </c>
      <c r="G152" t="s">
        <v>194</v>
      </c>
      <c r="H152">
        <v>1</v>
      </c>
      <c r="I152">
        <v>3</v>
      </c>
      <c r="J152">
        <v>1.375</v>
      </c>
      <c r="K152">
        <v>1.375</v>
      </c>
      <c r="L152">
        <v>0</v>
      </c>
      <c r="M152">
        <v>1</v>
      </c>
      <c r="N152">
        <v>3</v>
      </c>
      <c r="O152">
        <v>1</v>
      </c>
      <c r="P152">
        <v>0</v>
      </c>
      <c r="Q152">
        <v>0</v>
      </c>
      <c r="R152">
        <v>3</v>
      </c>
      <c r="AE152">
        <v>0</v>
      </c>
      <c r="AF152">
        <v>9</v>
      </c>
    </row>
    <row r="153" spans="1:34" x14ac:dyDescent="0.2">
      <c r="A153" t="s">
        <v>206</v>
      </c>
      <c r="B153" t="s">
        <v>208</v>
      </c>
      <c r="C153">
        <v>3.17</v>
      </c>
      <c r="D153">
        <v>3</v>
      </c>
      <c r="E153">
        <v>3</v>
      </c>
      <c r="F153">
        <v>6</v>
      </c>
      <c r="G153" t="s">
        <v>209</v>
      </c>
      <c r="H153">
        <v>15</v>
      </c>
      <c r="I153">
        <v>1</v>
      </c>
      <c r="J153">
        <v>15.125</v>
      </c>
      <c r="K153">
        <v>18.125</v>
      </c>
      <c r="L153">
        <v>-3</v>
      </c>
      <c r="M153">
        <v>18</v>
      </c>
      <c r="N153">
        <v>1</v>
      </c>
      <c r="O153">
        <v>7</v>
      </c>
      <c r="P153">
        <v>0</v>
      </c>
      <c r="Q153">
        <v>8</v>
      </c>
      <c r="R153">
        <v>1</v>
      </c>
      <c r="W153">
        <v>3</v>
      </c>
      <c r="X153">
        <v>4</v>
      </c>
      <c r="Y153">
        <v>4</v>
      </c>
      <c r="Z153">
        <v>0</v>
      </c>
    </row>
    <row r="154" spans="1:34" x14ac:dyDescent="0.2">
      <c r="A154" t="s">
        <v>210</v>
      </c>
      <c r="B154" t="s">
        <v>211</v>
      </c>
      <c r="C154">
        <v>0.31</v>
      </c>
      <c r="D154">
        <v>0</v>
      </c>
      <c r="E154">
        <v>6</v>
      </c>
      <c r="F154">
        <v>3</v>
      </c>
      <c r="G154" t="s">
        <v>194</v>
      </c>
      <c r="H154">
        <v>1</v>
      </c>
      <c r="I154">
        <v>8</v>
      </c>
      <c r="J154">
        <v>2</v>
      </c>
      <c r="K154">
        <v>1.125</v>
      </c>
      <c r="L154">
        <v>0.875</v>
      </c>
      <c r="M154">
        <v>1</v>
      </c>
      <c r="N154">
        <v>1</v>
      </c>
      <c r="O154">
        <v>0</v>
      </c>
      <c r="P154">
        <v>1</v>
      </c>
      <c r="Q154">
        <v>0</v>
      </c>
      <c r="R154">
        <v>4</v>
      </c>
      <c r="S154">
        <v>0</v>
      </c>
      <c r="T154">
        <v>3</v>
      </c>
      <c r="AE154">
        <v>0</v>
      </c>
      <c r="AF154">
        <v>8</v>
      </c>
      <c r="AG154">
        <v>0</v>
      </c>
      <c r="AH154">
        <v>9</v>
      </c>
    </row>
    <row r="155" spans="1:34" x14ac:dyDescent="0.2">
      <c r="A155" t="s">
        <v>210</v>
      </c>
      <c r="B155" t="s">
        <v>212</v>
      </c>
      <c r="C155">
        <v>0.45</v>
      </c>
      <c r="D155">
        <v>0</v>
      </c>
      <c r="E155">
        <v>9</v>
      </c>
      <c r="F155">
        <v>1</v>
      </c>
      <c r="G155" t="s">
        <v>209</v>
      </c>
      <c r="H155">
        <v>2</v>
      </c>
      <c r="I155">
        <v>5</v>
      </c>
      <c r="J155">
        <v>2.625</v>
      </c>
      <c r="K155">
        <v>2.625</v>
      </c>
      <c r="L155">
        <v>0</v>
      </c>
      <c r="M155">
        <v>2</v>
      </c>
      <c r="N155">
        <v>5</v>
      </c>
      <c r="O155">
        <v>0</v>
      </c>
      <c r="P155">
        <v>5</v>
      </c>
      <c r="Q155">
        <v>1</v>
      </c>
      <c r="R155">
        <v>0</v>
      </c>
      <c r="S155">
        <v>1</v>
      </c>
      <c r="T155">
        <v>0</v>
      </c>
      <c r="AE155">
        <v>0</v>
      </c>
      <c r="AF155">
        <v>4.5</v>
      </c>
    </row>
    <row r="156" spans="1:34" x14ac:dyDescent="0.2">
      <c r="A156" t="s">
        <v>210</v>
      </c>
      <c r="B156" t="s">
        <v>213</v>
      </c>
      <c r="C156">
        <v>1.62</v>
      </c>
      <c r="D156">
        <v>1</v>
      </c>
      <c r="E156">
        <v>12</v>
      </c>
      <c r="F156">
        <v>4</v>
      </c>
      <c r="H156">
        <v>5</v>
      </c>
      <c r="I156">
        <v>5.5</v>
      </c>
      <c r="J156">
        <v>5.6875</v>
      </c>
      <c r="K156">
        <v>5.6875</v>
      </c>
      <c r="L156">
        <v>0</v>
      </c>
      <c r="M156">
        <v>5</v>
      </c>
      <c r="N156">
        <v>5.5</v>
      </c>
      <c r="O156">
        <v>2</v>
      </c>
      <c r="P156">
        <v>5.5</v>
      </c>
      <c r="Q156">
        <v>3</v>
      </c>
      <c r="R156">
        <v>0</v>
      </c>
      <c r="W156">
        <v>5</v>
      </c>
      <c r="X156">
        <v>4</v>
      </c>
      <c r="Y156">
        <v>6</v>
      </c>
      <c r="Z156">
        <v>0</v>
      </c>
    </row>
    <row r="157" spans="1:34" x14ac:dyDescent="0.2">
      <c r="A157" t="s">
        <v>210</v>
      </c>
      <c r="B157" t="s">
        <v>214</v>
      </c>
      <c r="C157">
        <v>1.68</v>
      </c>
      <c r="D157">
        <v>1</v>
      </c>
      <c r="E157">
        <v>13</v>
      </c>
      <c r="F157">
        <v>8</v>
      </c>
      <c r="H157">
        <v>13.5</v>
      </c>
      <c r="I157">
        <v>0</v>
      </c>
      <c r="J157">
        <v>13.5</v>
      </c>
      <c r="K157">
        <v>13.5</v>
      </c>
      <c r="L157">
        <v>0</v>
      </c>
      <c r="M157">
        <v>13.5</v>
      </c>
      <c r="N157">
        <v>0</v>
      </c>
      <c r="O157">
        <v>5</v>
      </c>
      <c r="P157">
        <v>0</v>
      </c>
      <c r="Q157">
        <v>4</v>
      </c>
      <c r="R157">
        <v>0</v>
      </c>
      <c r="S157">
        <v>4.5</v>
      </c>
      <c r="T157">
        <v>0</v>
      </c>
      <c r="W157">
        <v>2</v>
      </c>
      <c r="X157">
        <v>4</v>
      </c>
      <c r="Y157">
        <v>2</v>
      </c>
      <c r="Z157">
        <v>6</v>
      </c>
      <c r="AA157">
        <v>2</v>
      </c>
      <c r="AB157">
        <v>8</v>
      </c>
    </row>
    <row r="158" spans="1:34" x14ac:dyDescent="0.2">
      <c r="A158" t="s">
        <v>210</v>
      </c>
      <c r="B158" t="s">
        <v>215</v>
      </c>
      <c r="C158">
        <v>4.41</v>
      </c>
      <c r="D158">
        <v>4</v>
      </c>
      <c r="E158">
        <v>8</v>
      </c>
      <c r="F158">
        <v>1.5</v>
      </c>
      <c r="G158" t="s">
        <v>216</v>
      </c>
      <c r="H158">
        <v>1</v>
      </c>
      <c r="I158">
        <v>0</v>
      </c>
      <c r="J158">
        <v>1</v>
      </c>
      <c r="K158">
        <v>1</v>
      </c>
      <c r="L158">
        <v>0</v>
      </c>
      <c r="M158">
        <v>1</v>
      </c>
      <c r="N158">
        <v>0</v>
      </c>
    </row>
    <row r="159" spans="1:34" x14ac:dyDescent="0.2">
      <c r="A159" t="s">
        <v>217</v>
      </c>
      <c r="B159" t="s">
        <v>218</v>
      </c>
      <c r="C159">
        <v>0.5</v>
      </c>
      <c r="D159">
        <v>0</v>
      </c>
      <c r="E159">
        <v>10</v>
      </c>
      <c r="F159">
        <v>0</v>
      </c>
      <c r="H159">
        <v>0</v>
      </c>
      <c r="I159">
        <v>0</v>
      </c>
      <c r="J159">
        <v>0</v>
      </c>
      <c r="K159">
        <v>0</v>
      </c>
      <c r="L159">
        <v>0</v>
      </c>
      <c r="M159">
        <v>0</v>
      </c>
      <c r="N159">
        <v>0</v>
      </c>
    </row>
    <row r="160" spans="1:34" x14ac:dyDescent="0.2">
      <c r="A160" t="s">
        <v>217</v>
      </c>
      <c r="B160" t="s">
        <v>219</v>
      </c>
      <c r="C160">
        <v>0.2</v>
      </c>
      <c r="D160">
        <v>0</v>
      </c>
      <c r="E160">
        <v>4</v>
      </c>
      <c r="F160">
        <v>0</v>
      </c>
      <c r="H160">
        <v>0</v>
      </c>
      <c r="I160">
        <v>0</v>
      </c>
      <c r="J160">
        <v>0</v>
      </c>
      <c r="K160">
        <v>0</v>
      </c>
      <c r="L160">
        <v>0</v>
      </c>
      <c r="M160">
        <v>0</v>
      </c>
      <c r="N160">
        <v>0</v>
      </c>
    </row>
    <row r="161" spans="1:14" x14ac:dyDescent="0.2">
      <c r="A161" t="s">
        <v>217</v>
      </c>
      <c r="B161" t="s">
        <v>220</v>
      </c>
      <c r="C161">
        <v>0.2</v>
      </c>
      <c r="D161">
        <v>0</v>
      </c>
      <c r="E161">
        <v>4</v>
      </c>
      <c r="F161">
        <v>0</v>
      </c>
      <c r="H161">
        <v>0</v>
      </c>
      <c r="I161">
        <v>0</v>
      </c>
      <c r="J161">
        <v>0</v>
      </c>
      <c r="K161">
        <v>0</v>
      </c>
      <c r="L161">
        <v>0</v>
      </c>
      <c r="M161">
        <v>0</v>
      </c>
      <c r="N161">
        <v>0</v>
      </c>
    </row>
    <row r="162" spans="1:14" x14ac:dyDescent="0.2">
      <c r="A162" t="s">
        <v>217</v>
      </c>
      <c r="B162" t="s">
        <v>221</v>
      </c>
      <c r="C162">
        <v>0.08</v>
      </c>
      <c r="D162">
        <v>0</v>
      </c>
      <c r="E162">
        <v>1</v>
      </c>
      <c r="F162">
        <v>6</v>
      </c>
      <c r="H162">
        <v>0</v>
      </c>
      <c r="I162">
        <v>0</v>
      </c>
      <c r="J162">
        <v>0</v>
      </c>
      <c r="K162">
        <v>0</v>
      </c>
      <c r="L162">
        <v>0</v>
      </c>
      <c r="M162">
        <v>0</v>
      </c>
      <c r="N162">
        <v>0</v>
      </c>
    </row>
    <row r="163" spans="1:14" x14ac:dyDescent="0.2">
      <c r="A163" t="s">
        <v>217</v>
      </c>
      <c r="B163" t="s">
        <v>222</v>
      </c>
      <c r="C163">
        <v>0.2</v>
      </c>
      <c r="D163">
        <v>0</v>
      </c>
      <c r="E163">
        <v>4</v>
      </c>
      <c r="F163">
        <v>0</v>
      </c>
      <c r="H163">
        <v>0</v>
      </c>
      <c r="I163">
        <v>0</v>
      </c>
      <c r="J163">
        <v>0</v>
      </c>
      <c r="K163">
        <v>0</v>
      </c>
      <c r="L163">
        <v>0</v>
      </c>
      <c r="M163">
        <v>0</v>
      </c>
      <c r="N163">
        <v>0</v>
      </c>
    </row>
    <row r="164" spans="1:14" x14ac:dyDescent="0.2">
      <c r="A164" t="s">
        <v>217</v>
      </c>
      <c r="B164" t="s">
        <v>223</v>
      </c>
      <c r="C164">
        <v>0.15</v>
      </c>
      <c r="D164">
        <v>0</v>
      </c>
      <c r="E164">
        <v>3</v>
      </c>
      <c r="F164">
        <v>0</v>
      </c>
      <c r="H164">
        <v>0</v>
      </c>
      <c r="I164">
        <v>0</v>
      </c>
      <c r="J164">
        <v>0</v>
      </c>
      <c r="K164">
        <v>0</v>
      </c>
      <c r="L164">
        <v>0</v>
      </c>
      <c r="M164">
        <v>0</v>
      </c>
      <c r="N164">
        <v>0</v>
      </c>
    </row>
    <row r="165" spans="1:14" x14ac:dyDescent="0.2">
      <c r="A165" t="s">
        <v>217</v>
      </c>
      <c r="B165" t="s">
        <v>224</v>
      </c>
      <c r="C165">
        <v>0.12</v>
      </c>
      <c r="D165">
        <v>0</v>
      </c>
      <c r="E165">
        <v>2</v>
      </c>
      <c r="F165">
        <v>6</v>
      </c>
      <c r="H165">
        <v>0</v>
      </c>
      <c r="I165">
        <v>0</v>
      </c>
      <c r="J165">
        <v>0</v>
      </c>
      <c r="K165">
        <v>0</v>
      </c>
      <c r="L165">
        <v>0</v>
      </c>
      <c r="M165">
        <v>0</v>
      </c>
      <c r="N165">
        <v>0</v>
      </c>
    </row>
    <row r="166" spans="1:14" x14ac:dyDescent="0.2">
      <c r="A166" t="s">
        <v>217</v>
      </c>
      <c r="B166" t="s">
        <v>225</v>
      </c>
      <c r="C166">
        <v>0.15</v>
      </c>
      <c r="D166">
        <v>0</v>
      </c>
      <c r="E166">
        <v>3</v>
      </c>
      <c r="F166">
        <v>0</v>
      </c>
      <c r="H166">
        <v>0</v>
      </c>
      <c r="I166">
        <v>0</v>
      </c>
      <c r="J166">
        <v>0</v>
      </c>
      <c r="K166">
        <v>0</v>
      </c>
      <c r="L166">
        <v>0</v>
      </c>
      <c r="M166">
        <v>0</v>
      </c>
      <c r="N166">
        <v>0</v>
      </c>
    </row>
    <row r="167" spans="1:14" x14ac:dyDescent="0.2">
      <c r="A167" t="s">
        <v>217</v>
      </c>
      <c r="B167" t="s">
        <v>226</v>
      </c>
      <c r="C167">
        <v>0.15</v>
      </c>
      <c r="D167">
        <v>0</v>
      </c>
      <c r="E167">
        <v>3</v>
      </c>
      <c r="F167">
        <v>0</v>
      </c>
      <c r="H167">
        <v>0</v>
      </c>
      <c r="I167">
        <v>0</v>
      </c>
      <c r="J167">
        <v>0</v>
      </c>
      <c r="K167">
        <v>0</v>
      </c>
      <c r="L167">
        <v>0</v>
      </c>
      <c r="M167">
        <v>0</v>
      </c>
      <c r="N167">
        <v>0</v>
      </c>
    </row>
    <row r="168" spans="1:14" x14ac:dyDescent="0.2">
      <c r="A168" t="s">
        <v>217</v>
      </c>
      <c r="B168" t="s">
        <v>227</v>
      </c>
      <c r="C168">
        <v>0.15</v>
      </c>
      <c r="D168">
        <v>0</v>
      </c>
      <c r="E168">
        <v>3</v>
      </c>
      <c r="F168">
        <v>0</v>
      </c>
      <c r="H168">
        <v>0</v>
      </c>
      <c r="I168">
        <v>0</v>
      </c>
      <c r="J168">
        <v>0</v>
      </c>
      <c r="K168">
        <v>0</v>
      </c>
      <c r="L168">
        <v>0</v>
      </c>
      <c r="M168">
        <v>0</v>
      </c>
      <c r="N168">
        <v>0</v>
      </c>
    </row>
    <row r="169" spans="1:14" x14ac:dyDescent="0.2">
      <c r="A169" t="s">
        <v>217</v>
      </c>
      <c r="B169" t="s">
        <v>228</v>
      </c>
      <c r="C169">
        <v>1.9</v>
      </c>
      <c r="D169">
        <v>1</v>
      </c>
      <c r="E169">
        <v>18</v>
      </c>
      <c r="F169">
        <v>0</v>
      </c>
      <c r="H169">
        <v>0</v>
      </c>
      <c r="I169">
        <v>0</v>
      </c>
      <c r="J169">
        <v>0</v>
      </c>
      <c r="K169">
        <v>0</v>
      </c>
      <c r="L169">
        <v>0</v>
      </c>
      <c r="M169">
        <v>0</v>
      </c>
      <c r="N169">
        <v>0</v>
      </c>
    </row>
    <row r="170" spans="1:14" x14ac:dyDescent="0.2">
      <c r="A170" t="s">
        <v>217</v>
      </c>
      <c r="B170" t="s">
        <v>229</v>
      </c>
      <c r="C170">
        <v>0.33</v>
      </c>
      <c r="D170">
        <v>0</v>
      </c>
      <c r="E170">
        <v>6</v>
      </c>
      <c r="F170">
        <v>8</v>
      </c>
      <c r="H170">
        <v>0</v>
      </c>
      <c r="I170">
        <v>0</v>
      </c>
      <c r="J170">
        <v>0</v>
      </c>
      <c r="K170">
        <v>0</v>
      </c>
      <c r="L170">
        <v>0</v>
      </c>
      <c r="M170">
        <v>0</v>
      </c>
      <c r="N170">
        <v>0</v>
      </c>
    </row>
    <row r="171" spans="1:14" x14ac:dyDescent="0.2">
      <c r="A171" t="s">
        <v>217</v>
      </c>
      <c r="B171" t="s">
        <v>230</v>
      </c>
      <c r="C171">
        <v>0.1</v>
      </c>
      <c r="D171">
        <v>0</v>
      </c>
      <c r="E171">
        <v>2</v>
      </c>
      <c r="F171">
        <v>0</v>
      </c>
      <c r="H171">
        <v>0</v>
      </c>
      <c r="I171">
        <v>0</v>
      </c>
      <c r="J171">
        <v>0</v>
      </c>
      <c r="K171">
        <v>0</v>
      </c>
      <c r="L171">
        <v>0</v>
      </c>
      <c r="M171">
        <v>0</v>
      </c>
      <c r="N171">
        <v>0</v>
      </c>
    </row>
    <row r="172" spans="1:14" x14ac:dyDescent="0.2">
      <c r="A172" t="s">
        <v>217</v>
      </c>
      <c r="B172" t="s">
        <v>231</v>
      </c>
      <c r="C172">
        <v>0.67</v>
      </c>
      <c r="D172">
        <v>0</v>
      </c>
      <c r="E172">
        <v>13</v>
      </c>
      <c r="F172">
        <v>4</v>
      </c>
      <c r="H172">
        <v>0</v>
      </c>
      <c r="I172">
        <v>0</v>
      </c>
      <c r="J172">
        <v>0</v>
      </c>
      <c r="K172">
        <v>0</v>
      </c>
      <c r="L172">
        <v>0</v>
      </c>
      <c r="M172">
        <v>0</v>
      </c>
      <c r="N172">
        <v>0</v>
      </c>
    </row>
    <row r="173" spans="1:14" x14ac:dyDescent="0.2">
      <c r="A173" t="s">
        <v>217</v>
      </c>
      <c r="B173" t="s">
        <v>232</v>
      </c>
      <c r="C173">
        <v>0.1</v>
      </c>
      <c r="D173">
        <v>0</v>
      </c>
      <c r="E173">
        <v>2</v>
      </c>
      <c r="F173">
        <v>0</v>
      </c>
      <c r="H173">
        <v>0</v>
      </c>
      <c r="I173">
        <v>0</v>
      </c>
      <c r="J173">
        <v>0</v>
      </c>
      <c r="K173">
        <v>0</v>
      </c>
      <c r="L173">
        <v>0</v>
      </c>
      <c r="M173">
        <v>0</v>
      </c>
      <c r="N173">
        <v>0</v>
      </c>
    </row>
    <row r="174" spans="1:14" x14ac:dyDescent="0.2">
      <c r="A174" t="s">
        <v>217</v>
      </c>
      <c r="B174" t="s">
        <v>233</v>
      </c>
      <c r="C174">
        <v>0.05</v>
      </c>
      <c r="D174">
        <v>0</v>
      </c>
      <c r="E174">
        <v>1</v>
      </c>
      <c r="F174">
        <v>0</v>
      </c>
      <c r="H174">
        <v>0</v>
      </c>
      <c r="I174">
        <v>0</v>
      </c>
      <c r="J174">
        <v>0</v>
      </c>
      <c r="K174">
        <v>0</v>
      </c>
      <c r="L174">
        <v>0</v>
      </c>
      <c r="M174">
        <v>0</v>
      </c>
      <c r="N174">
        <v>0</v>
      </c>
    </row>
    <row r="175" spans="1:14" x14ac:dyDescent="0.2">
      <c r="A175" t="s">
        <v>217</v>
      </c>
      <c r="B175" t="s">
        <v>234</v>
      </c>
      <c r="C175">
        <v>9</v>
      </c>
      <c r="D175">
        <v>9</v>
      </c>
      <c r="E175">
        <v>0</v>
      </c>
      <c r="F175">
        <v>0</v>
      </c>
      <c r="H175">
        <v>0</v>
      </c>
      <c r="I175">
        <v>0</v>
      </c>
      <c r="J175">
        <v>0</v>
      </c>
      <c r="K175">
        <v>0</v>
      </c>
      <c r="L175">
        <v>0</v>
      </c>
      <c r="M175">
        <v>0</v>
      </c>
      <c r="N175">
        <v>0</v>
      </c>
    </row>
    <row r="176" spans="1:14" x14ac:dyDescent="0.2">
      <c r="A176" t="s">
        <v>217</v>
      </c>
      <c r="B176" t="s">
        <v>235</v>
      </c>
      <c r="C176">
        <v>0.1</v>
      </c>
      <c r="D176">
        <v>0</v>
      </c>
      <c r="E176">
        <v>2</v>
      </c>
      <c r="F176">
        <v>0</v>
      </c>
      <c r="H176">
        <v>0</v>
      </c>
      <c r="I176">
        <v>0</v>
      </c>
      <c r="J176">
        <v>0</v>
      </c>
      <c r="K176">
        <v>0</v>
      </c>
      <c r="L176">
        <v>0</v>
      </c>
      <c r="M176">
        <v>0</v>
      </c>
      <c r="N176">
        <v>0</v>
      </c>
    </row>
    <row r="177" spans="1:14" x14ac:dyDescent="0.2">
      <c r="A177" t="s">
        <v>217</v>
      </c>
      <c r="B177" t="s">
        <v>236</v>
      </c>
      <c r="C177">
        <v>0.33</v>
      </c>
      <c r="D177">
        <v>0</v>
      </c>
      <c r="E177">
        <v>6</v>
      </c>
      <c r="F177">
        <v>8</v>
      </c>
      <c r="H177">
        <v>0</v>
      </c>
      <c r="I177">
        <v>0</v>
      </c>
      <c r="J177">
        <v>0</v>
      </c>
      <c r="K177">
        <v>0</v>
      </c>
      <c r="L177">
        <v>0</v>
      </c>
      <c r="M177">
        <v>0</v>
      </c>
      <c r="N177">
        <v>0</v>
      </c>
    </row>
    <row r="178" spans="1:14" x14ac:dyDescent="0.2">
      <c r="A178" t="s">
        <v>217</v>
      </c>
      <c r="B178" t="s">
        <v>237</v>
      </c>
      <c r="C178">
        <v>0.2</v>
      </c>
      <c r="D178">
        <v>0</v>
      </c>
      <c r="E178">
        <v>4</v>
      </c>
      <c r="F178">
        <v>0</v>
      </c>
      <c r="H178">
        <v>0</v>
      </c>
      <c r="I178">
        <v>0</v>
      </c>
      <c r="J178">
        <v>0</v>
      </c>
      <c r="K178">
        <v>0</v>
      </c>
      <c r="L178">
        <v>0</v>
      </c>
      <c r="M178">
        <v>0</v>
      </c>
      <c r="N178">
        <v>0</v>
      </c>
    </row>
    <row r="179" spans="1:14" x14ac:dyDescent="0.2">
      <c r="A179" t="s">
        <v>217</v>
      </c>
      <c r="B179" t="s">
        <v>238</v>
      </c>
      <c r="C179">
        <v>0.33</v>
      </c>
      <c r="D179">
        <v>0</v>
      </c>
      <c r="E179">
        <v>6</v>
      </c>
      <c r="F179">
        <v>8</v>
      </c>
      <c r="H179">
        <v>0</v>
      </c>
      <c r="I179">
        <v>0</v>
      </c>
      <c r="J179">
        <v>0</v>
      </c>
      <c r="K179">
        <v>0</v>
      </c>
      <c r="L179">
        <v>0</v>
      </c>
      <c r="M179">
        <v>0</v>
      </c>
      <c r="N179">
        <v>0</v>
      </c>
    </row>
    <row r="180" spans="1:14" x14ac:dyDescent="0.2">
      <c r="A180" t="s">
        <v>217</v>
      </c>
      <c r="B180" t="s">
        <v>239</v>
      </c>
      <c r="C180">
        <v>0</v>
      </c>
      <c r="D180">
        <v>0</v>
      </c>
      <c r="E180">
        <v>0</v>
      </c>
      <c r="F180">
        <v>0</v>
      </c>
      <c r="H180">
        <v>0</v>
      </c>
      <c r="I180">
        <v>0</v>
      </c>
      <c r="J180">
        <v>0</v>
      </c>
      <c r="K180">
        <v>0</v>
      </c>
      <c r="L180">
        <v>0</v>
      </c>
      <c r="M180">
        <v>0</v>
      </c>
      <c r="N180">
        <v>0</v>
      </c>
    </row>
    <row r="181" spans="1:14" x14ac:dyDescent="0.2">
      <c r="A181" t="s">
        <v>217</v>
      </c>
      <c r="B181" t="s">
        <v>240</v>
      </c>
      <c r="C181">
        <v>0.05</v>
      </c>
      <c r="D181">
        <v>0</v>
      </c>
      <c r="E181">
        <v>1</v>
      </c>
      <c r="F181">
        <v>0</v>
      </c>
      <c r="H181">
        <v>0</v>
      </c>
      <c r="I181">
        <v>0</v>
      </c>
      <c r="J181">
        <v>0</v>
      </c>
      <c r="K181">
        <v>0</v>
      </c>
      <c r="L181">
        <v>0</v>
      </c>
      <c r="M181">
        <v>0</v>
      </c>
      <c r="N181">
        <v>0</v>
      </c>
    </row>
    <row r="182" spans="1:14" x14ac:dyDescent="0.2">
      <c r="A182" t="s">
        <v>217</v>
      </c>
      <c r="B182" t="s">
        <v>241</v>
      </c>
      <c r="C182">
        <v>0.05</v>
      </c>
      <c r="D182">
        <v>0</v>
      </c>
      <c r="E182">
        <v>1</v>
      </c>
      <c r="F182">
        <v>0</v>
      </c>
      <c r="H182">
        <v>0</v>
      </c>
      <c r="I182">
        <v>0</v>
      </c>
      <c r="J182">
        <v>0</v>
      </c>
      <c r="K182">
        <v>0</v>
      </c>
      <c r="L182">
        <v>0</v>
      </c>
      <c r="M182">
        <v>0</v>
      </c>
      <c r="N182">
        <v>0</v>
      </c>
    </row>
    <row r="183" spans="1:14" x14ac:dyDescent="0.2">
      <c r="A183" t="s">
        <v>217</v>
      </c>
      <c r="B183" t="s">
        <v>242</v>
      </c>
      <c r="C183">
        <v>0.1</v>
      </c>
      <c r="D183">
        <v>0</v>
      </c>
      <c r="E183">
        <v>2</v>
      </c>
      <c r="F183">
        <v>0</v>
      </c>
      <c r="H183">
        <v>0</v>
      </c>
      <c r="I183">
        <v>0</v>
      </c>
      <c r="J183">
        <v>0</v>
      </c>
      <c r="K183">
        <v>0</v>
      </c>
      <c r="L183">
        <v>0</v>
      </c>
      <c r="M183">
        <v>0</v>
      </c>
      <c r="N183">
        <v>0</v>
      </c>
    </row>
    <row r="184" spans="1:14" x14ac:dyDescent="0.2">
      <c r="A184" t="s">
        <v>217</v>
      </c>
      <c r="B184" t="s">
        <v>243</v>
      </c>
      <c r="C184">
        <v>0.05</v>
      </c>
      <c r="D184">
        <v>0</v>
      </c>
      <c r="E184">
        <v>1</v>
      </c>
      <c r="F184">
        <v>0</v>
      </c>
      <c r="H184">
        <v>0</v>
      </c>
      <c r="I184">
        <v>0</v>
      </c>
      <c r="J184">
        <v>0</v>
      </c>
      <c r="K184">
        <v>0</v>
      </c>
      <c r="L184">
        <v>0</v>
      </c>
      <c r="M184">
        <v>0</v>
      </c>
      <c r="N184">
        <v>0</v>
      </c>
    </row>
    <row r="185" spans="1:14" x14ac:dyDescent="0.2">
      <c r="A185" t="s">
        <v>217</v>
      </c>
      <c r="B185" t="s">
        <v>244</v>
      </c>
      <c r="C185">
        <v>0.67</v>
      </c>
      <c r="D185">
        <v>0</v>
      </c>
      <c r="E185">
        <v>13</v>
      </c>
      <c r="F185">
        <v>4</v>
      </c>
      <c r="H185">
        <v>0</v>
      </c>
      <c r="I185">
        <v>0</v>
      </c>
      <c r="J185">
        <v>0</v>
      </c>
      <c r="K185">
        <v>0</v>
      </c>
      <c r="L185">
        <v>0</v>
      </c>
      <c r="M185">
        <v>0</v>
      </c>
      <c r="N185">
        <v>0</v>
      </c>
    </row>
    <row r="186" spans="1:14" x14ac:dyDescent="0.2">
      <c r="A186" t="s">
        <v>217</v>
      </c>
      <c r="B186" t="s">
        <v>245</v>
      </c>
      <c r="C186">
        <v>1.33</v>
      </c>
      <c r="D186">
        <v>1</v>
      </c>
      <c r="E186">
        <v>6</v>
      </c>
      <c r="F186">
        <v>8</v>
      </c>
      <c r="H186">
        <v>0</v>
      </c>
      <c r="I186">
        <v>0</v>
      </c>
      <c r="J186">
        <v>0</v>
      </c>
      <c r="K186">
        <v>0</v>
      </c>
      <c r="L186">
        <v>0</v>
      </c>
      <c r="M186">
        <v>0</v>
      </c>
      <c r="N186">
        <v>0</v>
      </c>
    </row>
    <row r="187" spans="1:14" x14ac:dyDescent="0.2">
      <c r="A187" t="s">
        <v>217</v>
      </c>
      <c r="B187" t="s">
        <v>246</v>
      </c>
      <c r="C187">
        <v>1</v>
      </c>
      <c r="D187">
        <v>1</v>
      </c>
      <c r="E187">
        <v>0</v>
      </c>
      <c r="F187">
        <v>0</v>
      </c>
      <c r="H187">
        <v>0</v>
      </c>
      <c r="I187">
        <v>0</v>
      </c>
      <c r="J187">
        <v>0</v>
      </c>
      <c r="K187">
        <v>0</v>
      </c>
      <c r="L187">
        <v>0</v>
      </c>
      <c r="M187">
        <v>0</v>
      </c>
      <c r="N187">
        <v>0</v>
      </c>
    </row>
    <row r="188" spans="1:14" x14ac:dyDescent="0.2">
      <c r="A188" t="s">
        <v>217</v>
      </c>
      <c r="B188" t="s">
        <v>247</v>
      </c>
      <c r="C188">
        <v>1</v>
      </c>
      <c r="D188">
        <v>1</v>
      </c>
      <c r="E188">
        <v>0</v>
      </c>
      <c r="F188">
        <v>0</v>
      </c>
      <c r="H188">
        <v>0</v>
      </c>
      <c r="I188">
        <v>0</v>
      </c>
      <c r="J188">
        <v>0</v>
      </c>
      <c r="K188">
        <v>0</v>
      </c>
      <c r="L188">
        <v>0</v>
      </c>
      <c r="M188">
        <v>0</v>
      </c>
      <c r="N188">
        <v>0</v>
      </c>
    </row>
    <row r="189" spans="1:14" x14ac:dyDescent="0.2">
      <c r="A189" t="s">
        <v>217</v>
      </c>
      <c r="B189" t="s">
        <v>248</v>
      </c>
      <c r="C189">
        <v>5</v>
      </c>
      <c r="D189">
        <v>5</v>
      </c>
      <c r="E189">
        <v>0</v>
      </c>
      <c r="F189">
        <v>0</v>
      </c>
      <c r="H189">
        <v>0</v>
      </c>
      <c r="I189">
        <v>0</v>
      </c>
      <c r="J189">
        <v>0</v>
      </c>
      <c r="K189">
        <v>0</v>
      </c>
      <c r="L189">
        <v>0</v>
      </c>
      <c r="M189">
        <v>0</v>
      </c>
      <c r="N189">
        <v>0</v>
      </c>
    </row>
    <row r="190" spans="1:14" x14ac:dyDescent="0.2">
      <c r="A190" t="s">
        <v>217</v>
      </c>
      <c r="B190" t="s">
        <v>249</v>
      </c>
      <c r="C190">
        <v>0.1</v>
      </c>
      <c r="D190">
        <v>0</v>
      </c>
      <c r="E190">
        <v>2</v>
      </c>
      <c r="F190">
        <v>0</v>
      </c>
      <c r="H190">
        <v>0</v>
      </c>
      <c r="I190">
        <v>0</v>
      </c>
      <c r="J190">
        <v>0</v>
      </c>
      <c r="K190">
        <v>0</v>
      </c>
      <c r="L190">
        <v>0</v>
      </c>
      <c r="M190">
        <v>0</v>
      </c>
      <c r="N190">
        <v>0</v>
      </c>
    </row>
    <row r="191" spans="1:14" x14ac:dyDescent="0.2">
      <c r="A191" t="s">
        <v>217</v>
      </c>
      <c r="B191" t="s">
        <v>250</v>
      </c>
      <c r="C191">
        <v>0.1</v>
      </c>
      <c r="D191">
        <v>0</v>
      </c>
      <c r="E191">
        <v>2</v>
      </c>
      <c r="F191">
        <v>0</v>
      </c>
      <c r="H191">
        <v>0</v>
      </c>
      <c r="I191">
        <v>0</v>
      </c>
      <c r="J191">
        <v>0</v>
      </c>
      <c r="K191">
        <v>0</v>
      </c>
      <c r="L191">
        <v>0</v>
      </c>
      <c r="M191">
        <v>0</v>
      </c>
      <c r="N191">
        <v>0</v>
      </c>
    </row>
    <row r="192" spans="1:14" x14ac:dyDescent="0.2">
      <c r="A192" t="s">
        <v>217</v>
      </c>
      <c r="B192" t="s">
        <v>251</v>
      </c>
      <c r="C192">
        <v>0.1</v>
      </c>
      <c r="D192">
        <v>0</v>
      </c>
      <c r="E192">
        <v>2</v>
      </c>
      <c r="F192">
        <v>0</v>
      </c>
      <c r="H192">
        <v>0</v>
      </c>
      <c r="I192">
        <v>0</v>
      </c>
      <c r="J192">
        <v>0</v>
      </c>
      <c r="K192">
        <v>0</v>
      </c>
      <c r="L192">
        <v>0</v>
      </c>
      <c r="M192">
        <v>0</v>
      </c>
      <c r="N192">
        <v>0</v>
      </c>
    </row>
    <row r="193" spans="1:14" x14ac:dyDescent="0.2">
      <c r="A193" t="s">
        <v>217</v>
      </c>
      <c r="B193" t="s">
        <v>252</v>
      </c>
      <c r="C193">
        <v>0.1</v>
      </c>
      <c r="D193">
        <v>0</v>
      </c>
      <c r="E193">
        <v>2</v>
      </c>
      <c r="F193">
        <v>0</v>
      </c>
      <c r="H193">
        <v>0</v>
      </c>
      <c r="I193">
        <v>0</v>
      </c>
      <c r="J193">
        <v>0</v>
      </c>
      <c r="K193">
        <v>0</v>
      </c>
      <c r="L193">
        <v>0</v>
      </c>
      <c r="M193">
        <v>0</v>
      </c>
      <c r="N193">
        <v>0</v>
      </c>
    </row>
    <row r="194" spans="1:14" x14ac:dyDescent="0.2">
      <c r="A194" t="s">
        <v>217</v>
      </c>
      <c r="B194" t="s">
        <v>253</v>
      </c>
      <c r="C194">
        <v>0.15</v>
      </c>
      <c r="D194">
        <v>0</v>
      </c>
      <c r="E194">
        <v>3</v>
      </c>
      <c r="F194">
        <v>0</v>
      </c>
      <c r="H194">
        <v>0</v>
      </c>
      <c r="I194">
        <v>0</v>
      </c>
      <c r="J194">
        <v>0</v>
      </c>
      <c r="K194">
        <v>0</v>
      </c>
      <c r="L194">
        <v>0</v>
      </c>
      <c r="M194">
        <v>0</v>
      </c>
      <c r="N194">
        <v>0</v>
      </c>
    </row>
    <row r="195" spans="1:14" x14ac:dyDescent="0.2">
      <c r="A195" t="s">
        <v>217</v>
      </c>
      <c r="B195" t="s">
        <v>254</v>
      </c>
      <c r="C195">
        <v>25.17</v>
      </c>
      <c r="D195">
        <v>25</v>
      </c>
      <c r="E195">
        <v>3</v>
      </c>
      <c r="F195">
        <v>4</v>
      </c>
      <c r="H195">
        <v>0</v>
      </c>
      <c r="I195">
        <v>0</v>
      </c>
      <c r="J195">
        <v>0</v>
      </c>
      <c r="K195">
        <v>0</v>
      </c>
      <c r="L195">
        <v>0</v>
      </c>
      <c r="M195">
        <v>0</v>
      </c>
      <c r="N195">
        <v>0</v>
      </c>
    </row>
    <row r="196" spans="1:14" x14ac:dyDescent="0.2">
      <c r="A196" t="s">
        <v>255</v>
      </c>
      <c r="B196" t="s">
        <v>256</v>
      </c>
      <c r="C196">
        <v>0.15</v>
      </c>
      <c r="D196">
        <v>0</v>
      </c>
      <c r="E196">
        <v>3</v>
      </c>
      <c r="F196">
        <v>0</v>
      </c>
      <c r="H196">
        <v>0</v>
      </c>
      <c r="I196">
        <v>0</v>
      </c>
      <c r="J196">
        <v>0</v>
      </c>
      <c r="K196">
        <v>0</v>
      </c>
      <c r="L196">
        <v>0</v>
      </c>
      <c r="M196">
        <v>0</v>
      </c>
      <c r="N196">
        <v>0</v>
      </c>
    </row>
    <row r="197" spans="1:14" x14ac:dyDescent="0.2">
      <c r="A197" t="s">
        <v>255</v>
      </c>
      <c r="B197" t="s">
        <v>257</v>
      </c>
      <c r="C197">
        <v>2</v>
      </c>
      <c r="D197">
        <v>2</v>
      </c>
      <c r="E197">
        <v>0</v>
      </c>
      <c r="F197">
        <v>0</v>
      </c>
      <c r="H197">
        <v>0</v>
      </c>
      <c r="I197">
        <v>0</v>
      </c>
      <c r="J197">
        <v>0</v>
      </c>
      <c r="K197">
        <v>0</v>
      </c>
      <c r="L197">
        <v>0</v>
      </c>
      <c r="M197">
        <v>0</v>
      </c>
      <c r="N197">
        <v>0</v>
      </c>
    </row>
    <row r="198" spans="1:14" x14ac:dyDescent="0.2">
      <c r="A198" t="s">
        <v>255</v>
      </c>
      <c r="B198" t="s">
        <v>258</v>
      </c>
      <c r="C198">
        <v>1</v>
      </c>
      <c r="D198">
        <v>1</v>
      </c>
      <c r="E198">
        <v>0</v>
      </c>
      <c r="F198">
        <v>0</v>
      </c>
      <c r="H198">
        <v>0</v>
      </c>
      <c r="I198">
        <v>0</v>
      </c>
      <c r="J198">
        <v>0</v>
      </c>
      <c r="K198">
        <v>0</v>
      </c>
      <c r="L198">
        <v>0</v>
      </c>
      <c r="M198">
        <v>0</v>
      </c>
      <c r="N198">
        <v>0</v>
      </c>
    </row>
    <row r="199" spans="1:14" x14ac:dyDescent="0.2">
      <c r="A199" t="s">
        <v>255</v>
      </c>
      <c r="B199" t="s">
        <v>259</v>
      </c>
      <c r="C199">
        <v>0.1</v>
      </c>
      <c r="D199">
        <v>0</v>
      </c>
      <c r="E199">
        <v>2</v>
      </c>
      <c r="F199">
        <v>0</v>
      </c>
      <c r="H199">
        <v>0</v>
      </c>
      <c r="I199">
        <v>0</v>
      </c>
      <c r="J199">
        <v>0</v>
      </c>
      <c r="K199">
        <v>0</v>
      </c>
      <c r="L199">
        <v>0</v>
      </c>
      <c r="M199">
        <v>0</v>
      </c>
      <c r="N199">
        <v>0</v>
      </c>
    </row>
    <row r="200" spans="1:14" x14ac:dyDescent="0.2">
      <c r="A200" t="s">
        <v>255</v>
      </c>
      <c r="B200" t="s">
        <v>260</v>
      </c>
      <c r="C200">
        <v>0.33</v>
      </c>
      <c r="D200">
        <v>0</v>
      </c>
      <c r="E200">
        <v>6</v>
      </c>
      <c r="F200">
        <v>8</v>
      </c>
      <c r="H200">
        <v>0</v>
      </c>
      <c r="I200">
        <v>0</v>
      </c>
      <c r="J200">
        <v>0</v>
      </c>
      <c r="K200">
        <v>0</v>
      </c>
      <c r="L200">
        <v>0</v>
      </c>
      <c r="M200">
        <v>0</v>
      </c>
      <c r="N200">
        <v>0</v>
      </c>
    </row>
    <row r="201" spans="1:14" x14ac:dyDescent="0.2">
      <c r="A201" t="s">
        <v>255</v>
      </c>
      <c r="B201" t="s">
        <v>261</v>
      </c>
      <c r="C201">
        <v>0.1</v>
      </c>
      <c r="D201">
        <v>0</v>
      </c>
      <c r="E201">
        <v>2</v>
      </c>
      <c r="F201">
        <v>0</v>
      </c>
      <c r="H201">
        <v>0</v>
      </c>
      <c r="I201">
        <v>0</v>
      </c>
      <c r="J201">
        <v>0</v>
      </c>
      <c r="K201">
        <v>0</v>
      </c>
      <c r="L201">
        <v>0</v>
      </c>
      <c r="M201">
        <v>0</v>
      </c>
      <c r="N201">
        <v>0</v>
      </c>
    </row>
    <row r="202" spans="1:14" x14ac:dyDescent="0.2">
      <c r="A202" t="s">
        <v>255</v>
      </c>
      <c r="B202" t="s">
        <v>262</v>
      </c>
      <c r="C202">
        <v>0.1</v>
      </c>
      <c r="D202">
        <v>0</v>
      </c>
      <c r="E202">
        <v>2</v>
      </c>
      <c r="F202">
        <v>0</v>
      </c>
      <c r="H202">
        <v>0</v>
      </c>
      <c r="I202">
        <v>0</v>
      </c>
      <c r="J202">
        <v>0</v>
      </c>
      <c r="K202">
        <v>0</v>
      </c>
      <c r="L202">
        <v>0</v>
      </c>
      <c r="M202">
        <v>0</v>
      </c>
      <c r="N202">
        <v>0</v>
      </c>
    </row>
    <row r="203" spans="1:14" x14ac:dyDescent="0.2">
      <c r="A203" t="s">
        <v>255</v>
      </c>
      <c r="B203" t="s">
        <v>263</v>
      </c>
      <c r="C203">
        <v>0.1</v>
      </c>
      <c r="D203">
        <v>0</v>
      </c>
      <c r="E203">
        <v>2</v>
      </c>
      <c r="F203">
        <v>0</v>
      </c>
      <c r="H203">
        <v>0</v>
      </c>
      <c r="I203">
        <v>0</v>
      </c>
      <c r="J203">
        <v>0</v>
      </c>
      <c r="K203">
        <v>0</v>
      </c>
      <c r="L203">
        <v>0</v>
      </c>
      <c r="M203">
        <v>0</v>
      </c>
      <c r="N203">
        <v>0</v>
      </c>
    </row>
    <row r="204" spans="1:14" x14ac:dyDescent="0.2">
      <c r="A204" t="s">
        <v>255</v>
      </c>
      <c r="B204" t="s">
        <v>264</v>
      </c>
      <c r="C204">
        <v>0.1</v>
      </c>
      <c r="D204">
        <v>0</v>
      </c>
      <c r="E204">
        <v>2</v>
      </c>
      <c r="F204">
        <v>0</v>
      </c>
      <c r="H204">
        <v>0</v>
      </c>
      <c r="I204">
        <v>0</v>
      </c>
      <c r="J204">
        <v>0</v>
      </c>
      <c r="K204">
        <v>0</v>
      </c>
      <c r="L204">
        <v>0</v>
      </c>
      <c r="M204">
        <v>0</v>
      </c>
      <c r="N204">
        <v>0</v>
      </c>
    </row>
    <row r="205" spans="1:14" x14ac:dyDescent="0.2">
      <c r="A205" t="s">
        <v>255</v>
      </c>
      <c r="B205" t="s">
        <v>265</v>
      </c>
      <c r="C205">
        <v>0.1</v>
      </c>
      <c r="D205">
        <v>0</v>
      </c>
      <c r="E205">
        <v>2</v>
      </c>
      <c r="F205">
        <v>0</v>
      </c>
      <c r="H205">
        <v>0</v>
      </c>
      <c r="I205">
        <v>0</v>
      </c>
      <c r="J205">
        <v>0</v>
      </c>
      <c r="K205">
        <v>0</v>
      </c>
      <c r="L205">
        <v>0</v>
      </c>
      <c r="M205">
        <v>0</v>
      </c>
      <c r="N205">
        <v>0</v>
      </c>
    </row>
    <row r="206" spans="1:14" x14ac:dyDescent="0.2">
      <c r="A206" t="s">
        <v>255</v>
      </c>
      <c r="B206" t="s">
        <v>266</v>
      </c>
      <c r="C206">
        <v>0.1</v>
      </c>
      <c r="D206">
        <v>0</v>
      </c>
      <c r="E206">
        <v>2</v>
      </c>
      <c r="F206">
        <v>0</v>
      </c>
      <c r="H206">
        <v>0</v>
      </c>
      <c r="I206">
        <v>0</v>
      </c>
      <c r="J206">
        <v>0</v>
      </c>
      <c r="K206">
        <v>0</v>
      </c>
      <c r="L206">
        <v>0</v>
      </c>
      <c r="M206">
        <v>0</v>
      </c>
      <c r="N206">
        <v>0</v>
      </c>
    </row>
    <row r="207" spans="1:14" x14ac:dyDescent="0.2">
      <c r="A207" t="s">
        <v>255</v>
      </c>
      <c r="B207" t="s">
        <v>267</v>
      </c>
      <c r="C207">
        <v>0.1</v>
      </c>
      <c r="D207">
        <v>0</v>
      </c>
      <c r="E207">
        <v>2</v>
      </c>
      <c r="F207">
        <v>0</v>
      </c>
      <c r="H207">
        <v>0</v>
      </c>
      <c r="I207">
        <v>0</v>
      </c>
      <c r="J207">
        <v>0</v>
      </c>
      <c r="K207">
        <v>0</v>
      </c>
      <c r="L207">
        <v>0</v>
      </c>
      <c r="M207">
        <v>0</v>
      </c>
      <c r="N207">
        <v>0</v>
      </c>
    </row>
    <row r="208" spans="1:14" x14ac:dyDescent="0.2">
      <c r="A208" t="s">
        <v>255</v>
      </c>
      <c r="B208" t="s">
        <v>268</v>
      </c>
      <c r="C208">
        <v>0.33</v>
      </c>
      <c r="D208">
        <v>0</v>
      </c>
      <c r="E208">
        <v>6</v>
      </c>
      <c r="F208">
        <v>8</v>
      </c>
      <c r="H208">
        <v>0</v>
      </c>
      <c r="I208">
        <v>0</v>
      </c>
      <c r="J208">
        <v>0</v>
      </c>
      <c r="K208">
        <v>0</v>
      </c>
      <c r="L208">
        <v>0</v>
      </c>
      <c r="M208">
        <v>0</v>
      </c>
      <c r="N208">
        <v>0</v>
      </c>
    </row>
    <row r="209" spans="1:14" x14ac:dyDescent="0.2">
      <c r="A209" t="s">
        <v>255</v>
      </c>
      <c r="B209" t="s">
        <v>269</v>
      </c>
      <c r="C209">
        <v>0.33</v>
      </c>
      <c r="D209">
        <v>0</v>
      </c>
      <c r="E209">
        <v>6</v>
      </c>
      <c r="F209">
        <v>8</v>
      </c>
      <c r="H209">
        <v>0</v>
      </c>
      <c r="I209">
        <v>0</v>
      </c>
      <c r="J209">
        <v>0</v>
      </c>
      <c r="K209">
        <v>0</v>
      </c>
      <c r="L209">
        <v>0</v>
      </c>
      <c r="M209">
        <v>0</v>
      </c>
      <c r="N209">
        <v>0</v>
      </c>
    </row>
    <row r="210" spans="1:14" x14ac:dyDescent="0.2">
      <c r="A210" t="s">
        <v>255</v>
      </c>
      <c r="B210" t="s">
        <v>270</v>
      </c>
      <c r="C210">
        <v>0.1</v>
      </c>
      <c r="D210">
        <v>0</v>
      </c>
      <c r="E210">
        <v>2</v>
      </c>
      <c r="F210">
        <v>0</v>
      </c>
      <c r="H210">
        <v>0</v>
      </c>
      <c r="I210">
        <v>0</v>
      </c>
      <c r="J210">
        <v>0</v>
      </c>
      <c r="K210">
        <v>0</v>
      </c>
      <c r="L210">
        <v>0</v>
      </c>
      <c r="M210">
        <v>0</v>
      </c>
      <c r="N210">
        <v>0</v>
      </c>
    </row>
    <row r="211" spans="1:14" x14ac:dyDescent="0.2">
      <c r="A211" t="s">
        <v>255</v>
      </c>
      <c r="B211" t="s">
        <v>271</v>
      </c>
      <c r="C211">
        <v>0.1</v>
      </c>
      <c r="D211">
        <v>0</v>
      </c>
      <c r="E211">
        <v>2</v>
      </c>
      <c r="F211">
        <v>0</v>
      </c>
      <c r="H211">
        <v>0</v>
      </c>
      <c r="I211">
        <v>0</v>
      </c>
      <c r="J211">
        <v>0</v>
      </c>
      <c r="K211">
        <v>0</v>
      </c>
      <c r="L211">
        <v>0</v>
      </c>
      <c r="M211">
        <v>0</v>
      </c>
      <c r="N211">
        <v>0</v>
      </c>
    </row>
    <row r="212" spans="1:14" x14ac:dyDescent="0.2">
      <c r="A212" t="s">
        <v>255</v>
      </c>
      <c r="B212" t="s">
        <v>272</v>
      </c>
      <c r="C212">
        <v>7.54</v>
      </c>
      <c r="D212">
        <v>7</v>
      </c>
      <c r="E212">
        <v>10</v>
      </c>
      <c r="F212">
        <v>9</v>
      </c>
      <c r="H212">
        <v>0</v>
      </c>
      <c r="I212">
        <v>0</v>
      </c>
      <c r="J212">
        <v>0</v>
      </c>
      <c r="K212">
        <v>0</v>
      </c>
      <c r="L212">
        <v>0</v>
      </c>
      <c r="M212">
        <v>0</v>
      </c>
      <c r="N212">
        <v>0</v>
      </c>
    </row>
    <row r="213" spans="1:14" x14ac:dyDescent="0.2">
      <c r="A213" t="s">
        <v>255</v>
      </c>
      <c r="B213" t="s">
        <v>273</v>
      </c>
      <c r="C213">
        <v>1</v>
      </c>
      <c r="D213">
        <v>1</v>
      </c>
      <c r="E213">
        <v>0</v>
      </c>
      <c r="F213">
        <v>0</v>
      </c>
      <c r="H213">
        <v>0</v>
      </c>
      <c r="I213">
        <v>0</v>
      </c>
      <c r="J213">
        <v>0</v>
      </c>
      <c r="K213">
        <v>0</v>
      </c>
      <c r="L213">
        <v>0</v>
      </c>
      <c r="M213">
        <v>0</v>
      </c>
      <c r="N213">
        <v>0</v>
      </c>
    </row>
    <row r="214" spans="1:14" x14ac:dyDescent="0.2">
      <c r="A214" t="s">
        <v>255</v>
      </c>
      <c r="B214" t="s">
        <v>274</v>
      </c>
      <c r="C214">
        <v>13.69</v>
      </c>
      <c r="D214">
        <v>13</v>
      </c>
      <c r="E214">
        <v>13</v>
      </c>
      <c r="F214">
        <v>9</v>
      </c>
      <c r="H214">
        <v>0</v>
      </c>
      <c r="I214">
        <v>0</v>
      </c>
      <c r="J214">
        <v>0</v>
      </c>
      <c r="K214">
        <v>0</v>
      </c>
      <c r="L214">
        <v>0</v>
      </c>
      <c r="M214">
        <v>0</v>
      </c>
      <c r="N214">
        <v>0</v>
      </c>
    </row>
    <row r="215" spans="1:14" x14ac:dyDescent="0.2">
      <c r="A215" t="s">
        <v>255</v>
      </c>
      <c r="B215" t="s">
        <v>275</v>
      </c>
      <c r="C215">
        <v>38.85</v>
      </c>
      <c r="D215">
        <v>38</v>
      </c>
      <c r="E215">
        <v>17</v>
      </c>
      <c r="F215">
        <v>1</v>
      </c>
      <c r="H215">
        <v>0</v>
      </c>
      <c r="I215">
        <v>0</v>
      </c>
      <c r="J215">
        <v>0</v>
      </c>
      <c r="K215">
        <v>0</v>
      </c>
      <c r="L215">
        <v>0</v>
      </c>
      <c r="M215">
        <v>0</v>
      </c>
      <c r="N215">
        <v>0</v>
      </c>
    </row>
    <row r="216" spans="1:14" x14ac:dyDescent="0.2">
      <c r="A216" t="s">
        <v>276</v>
      </c>
      <c r="B216" t="s">
        <v>277</v>
      </c>
      <c r="C216">
        <v>230.19</v>
      </c>
      <c r="D216">
        <v>230</v>
      </c>
      <c r="E216">
        <v>3</v>
      </c>
      <c r="F216">
        <v>10.25</v>
      </c>
      <c r="H216">
        <v>0</v>
      </c>
      <c r="I216">
        <v>0</v>
      </c>
      <c r="J216">
        <v>0</v>
      </c>
      <c r="K216">
        <v>0</v>
      </c>
      <c r="L216">
        <v>0</v>
      </c>
      <c r="M216">
        <v>0</v>
      </c>
      <c r="N216">
        <v>0</v>
      </c>
    </row>
    <row r="217" spans="1:14" x14ac:dyDescent="0.2">
      <c r="A217" t="s">
        <v>278</v>
      </c>
      <c r="B217" t="s">
        <v>279</v>
      </c>
      <c r="C217">
        <v>0.45</v>
      </c>
      <c r="D217">
        <v>0</v>
      </c>
      <c r="E217">
        <v>9</v>
      </c>
      <c r="F217">
        <v>0</v>
      </c>
      <c r="H217">
        <v>0</v>
      </c>
      <c r="I217">
        <v>0</v>
      </c>
      <c r="J217">
        <v>0</v>
      </c>
      <c r="K217">
        <v>0</v>
      </c>
      <c r="L217">
        <v>0</v>
      </c>
      <c r="M217">
        <v>0</v>
      </c>
      <c r="N217">
        <v>0</v>
      </c>
    </row>
    <row r="218" spans="1:14" x14ac:dyDescent="0.2">
      <c r="A218" t="s">
        <v>278</v>
      </c>
      <c r="B218" t="s">
        <v>280</v>
      </c>
      <c r="C218">
        <v>0.03</v>
      </c>
      <c r="D218">
        <v>0</v>
      </c>
      <c r="E218">
        <v>0</v>
      </c>
      <c r="F218">
        <v>8</v>
      </c>
      <c r="H218">
        <v>0</v>
      </c>
      <c r="I218">
        <v>0</v>
      </c>
      <c r="J218">
        <v>0</v>
      </c>
      <c r="K218">
        <v>0</v>
      </c>
      <c r="L218">
        <v>0</v>
      </c>
      <c r="M218">
        <v>0</v>
      </c>
      <c r="N218">
        <v>0</v>
      </c>
    </row>
    <row r="219" spans="1:14" x14ac:dyDescent="0.2">
      <c r="A219" t="s">
        <v>278</v>
      </c>
      <c r="B219" t="s">
        <v>281</v>
      </c>
      <c r="C219">
        <v>7.0000000000000007E-2</v>
      </c>
      <c r="D219">
        <v>0</v>
      </c>
      <c r="E219">
        <v>1</v>
      </c>
      <c r="F219">
        <v>4</v>
      </c>
      <c r="H219">
        <v>0</v>
      </c>
      <c r="I219">
        <v>0</v>
      </c>
      <c r="J219">
        <v>0</v>
      </c>
      <c r="K219">
        <v>0</v>
      </c>
      <c r="L219">
        <v>0</v>
      </c>
      <c r="M219">
        <v>0</v>
      </c>
      <c r="N219">
        <v>0</v>
      </c>
    </row>
    <row r="220" spans="1:14" x14ac:dyDescent="0.2">
      <c r="A220" t="s">
        <v>278</v>
      </c>
      <c r="B220" t="s">
        <v>282</v>
      </c>
      <c r="C220">
        <v>0.02</v>
      </c>
      <c r="D220">
        <v>0</v>
      </c>
      <c r="E220">
        <v>0</v>
      </c>
      <c r="F220">
        <v>5.5</v>
      </c>
      <c r="H220">
        <v>0</v>
      </c>
      <c r="I220">
        <v>0</v>
      </c>
      <c r="J220">
        <v>0</v>
      </c>
      <c r="K220">
        <v>0</v>
      </c>
      <c r="L220">
        <v>0</v>
      </c>
      <c r="M220">
        <v>0</v>
      </c>
      <c r="N220">
        <v>0</v>
      </c>
    </row>
    <row r="221" spans="1:14" x14ac:dyDescent="0.2">
      <c r="A221" t="s">
        <v>278</v>
      </c>
      <c r="B221" t="s">
        <v>283</v>
      </c>
      <c r="C221">
        <v>0.15</v>
      </c>
      <c r="D221">
        <v>0</v>
      </c>
      <c r="E221">
        <v>3</v>
      </c>
      <c r="F221">
        <v>0</v>
      </c>
      <c r="H221">
        <v>0</v>
      </c>
      <c r="I221">
        <v>0</v>
      </c>
      <c r="J221">
        <v>0</v>
      </c>
      <c r="K221">
        <v>0</v>
      </c>
      <c r="L221">
        <v>0</v>
      </c>
      <c r="M221">
        <v>0</v>
      </c>
      <c r="N221">
        <v>0</v>
      </c>
    </row>
    <row r="222" spans="1:14" x14ac:dyDescent="0.2">
      <c r="A222" t="s">
        <v>278</v>
      </c>
      <c r="B222" t="s">
        <v>284</v>
      </c>
      <c r="C222">
        <v>0.12</v>
      </c>
      <c r="D222">
        <v>0</v>
      </c>
      <c r="E222">
        <v>2</v>
      </c>
      <c r="F222">
        <v>6</v>
      </c>
      <c r="H222">
        <v>0</v>
      </c>
      <c r="I222">
        <v>0</v>
      </c>
      <c r="J222">
        <v>0</v>
      </c>
      <c r="K222">
        <v>0</v>
      </c>
      <c r="L222">
        <v>0</v>
      </c>
      <c r="M222">
        <v>0</v>
      </c>
      <c r="N222">
        <v>0</v>
      </c>
    </row>
    <row r="223" spans="1:14" x14ac:dyDescent="0.2">
      <c r="A223" t="s">
        <v>278</v>
      </c>
      <c r="B223" t="s">
        <v>285</v>
      </c>
      <c r="C223">
        <v>7.0000000000000007E-2</v>
      </c>
      <c r="D223">
        <v>0</v>
      </c>
      <c r="E223">
        <v>1</v>
      </c>
      <c r="F223">
        <v>4</v>
      </c>
      <c r="H223">
        <v>0</v>
      </c>
      <c r="I223">
        <v>0</v>
      </c>
      <c r="J223">
        <v>0</v>
      </c>
      <c r="K223">
        <v>0</v>
      </c>
      <c r="L223">
        <v>0</v>
      </c>
      <c r="M223">
        <v>0</v>
      </c>
      <c r="N223">
        <v>0</v>
      </c>
    </row>
    <row r="224" spans="1:14" x14ac:dyDescent="0.2">
      <c r="A224" t="s">
        <v>278</v>
      </c>
      <c r="B224" t="s">
        <v>286</v>
      </c>
      <c r="C224">
        <v>0.01</v>
      </c>
      <c r="D224">
        <v>0</v>
      </c>
      <c r="E224">
        <v>0</v>
      </c>
      <c r="F224">
        <v>1.5</v>
      </c>
      <c r="H224">
        <v>0</v>
      </c>
      <c r="I224">
        <v>0</v>
      </c>
      <c r="J224">
        <v>0</v>
      </c>
      <c r="K224">
        <v>0</v>
      </c>
      <c r="L224">
        <v>0</v>
      </c>
      <c r="M224">
        <v>0</v>
      </c>
      <c r="N224">
        <v>0</v>
      </c>
    </row>
    <row r="225" spans="1:14" x14ac:dyDescent="0.2">
      <c r="A225" t="s">
        <v>278</v>
      </c>
      <c r="B225" t="s">
        <v>287</v>
      </c>
      <c r="C225">
        <v>0.02</v>
      </c>
      <c r="D225">
        <v>0</v>
      </c>
      <c r="E225">
        <v>0</v>
      </c>
      <c r="F225">
        <v>4</v>
      </c>
      <c r="H225">
        <v>0</v>
      </c>
      <c r="I225">
        <v>0</v>
      </c>
      <c r="J225">
        <v>0</v>
      </c>
      <c r="K225">
        <v>0</v>
      </c>
      <c r="L225">
        <v>0</v>
      </c>
      <c r="M225">
        <v>0</v>
      </c>
      <c r="N225">
        <v>0</v>
      </c>
    </row>
    <row r="226" spans="1:14" x14ac:dyDescent="0.2">
      <c r="A226" t="s">
        <v>278</v>
      </c>
      <c r="B226" t="s">
        <v>288</v>
      </c>
      <c r="C226">
        <v>0.15</v>
      </c>
      <c r="D226">
        <v>0</v>
      </c>
      <c r="E226">
        <v>3</v>
      </c>
      <c r="F226">
        <v>0</v>
      </c>
      <c r="H226">
        <v>0</v>
      </c>
      <c r="I226">
        <v>0</v>
      </c>
      <c r="J226">
        <v>0</v>
      </c>
      <c r="K226">
        <v>0</v>
      </c>
      <c r="L226">
        <v>0</v>
      </c>
      <c r="M226">
        <v>0</v>
      </c>
      <c r="N226">
        <v>0</v>
      </c>
    </row>
    <row r="227" spans="1:14" x14ac:dyDescent="0.2">
      <c r="A227" t="s">
        <v>278</v>
      </c>
      <c r="B227" t="s">
        <v>289</v>
      </c>
      <c r="C227">
        <v>0</v>
      </c>
      <c r="D227">
        <v>0</v>
      </c>
      <c r="E227">
        <v>0</v>
      </c>
      <c r="F227">
        <v>0</v>
      </c>
      <c r="H227">
        <v>0</v>
      </c>
      <c r="I227">
        <v>0</v>
      </c>
      <c r="J227">
        <v>0</v>
      </c>
      <c r="K227">
        <v>0</v>
      </c>
      <c r="L227">
        <v>0</v>
      </c>
      <c r="M227">
        <v>0</v>
      </c>
      <c r="N227">
        <v>0</v>
      </c>
    </row>
    <row r="228" spans="1:14" x14ac:dyDescent="0.2">
      <c r="A228" t="s">
        <v>278</v>
      </c>
      <c r="B228" t="s">
        <v>290</v>
      </c>
      <c r="C228">
        <v>0.2</v>
      </c>
      <c r="D228">
        <v>0</v>
      </c>
      <c r="E228">
        <v>4</v>
      </c>
      <c r="F228">
        <v>0</v>
      </c>
      <c r="H228">
        <v>0</v>
      </c>
      <c r="I228">
        <v>0</v>
      </c>
      <c r="J228">
        <v>0</v>
      </c>
      <c r="K228">
        <v>0</v>
      </c>
      <c r="L228">
        <v>0</v>
      </c>
      <c r="M228">
        <v>0</v>
      </c>
      <c r="N228">
        <v>0</v>
      </c>
    </row>
    <row r="229" spans="1:14" x14ac:dyDescent="0.2">
      <c r="A229" t="s">
        <v>278</v>
      </c>
      <c r="B229" t="s">
        <v>291</v>
      </c>
      <c r="C229">
        <v>0</v>
      </c>
      <c r="D229">
        <v>0</v>
      </c>
      <c r="E229">
        <v>0</v>
      </c>
      <c r="F229">
        <v>0</v>
      </c>
      <c r="H229">
        <v>0</v>
      </c>
      <c r="I229">
        <v>0</v>
      </c>
      <c r="J229">
        <v>0</v>
      </c>
      <c r="K229">
        <v>0</v>
      </c>
      <c r="L229">
        <v>0</v>
      </c>
      <c r="M229">
        <v>0</v>
      </c>
      <c r="N229">
        <v>0</v>
      </c>
    </row>
    <row r="230" spans="1:14" x14ac:dyDescent="0.2">
      <c r="A230" t="s">
        <v>278</v>
      </c>
      <c r="B230" t="s">
        <v>292</v>
      </c>
      <c r="C230">
        <v>0.1</v>
      </c>
      <c r="D230">
        <v>0</v>
      </c>
      <c r="E230">
        <v>1</v>
      </c>
      <c r="F230">
        <v>11</v>
      </c>
      <c r="H230">
        <v>0</v>
      </c>
      <c r="I230">
        <v>0</v>
      </c>
      <c r="J230">
        <v>0</v>
      </c>
      <c r="K230">
        <v>0</v>
      </c>
      <c r="L230">
        <v>0</v>
      </c>
      <c r="M230">
        <v>0</v>
      </c>
      <c r="N230">
        <v>0</v>
      </c>
    </row>
    <row r="231" spans="1:14" x14ac:dyDescent="0.2">
      <c r="A231" t="s">
        <v>278</v>
      </c>
      <c r="B231" t="s">
        <v>289</v>
      </c>
      <c r="C231">
        <v>0</v>
      </c>
      <c r="D231">
        <v>0</v>
      </c>
      <c r="E231">
        <v>0</v>
      </c>
      <c r="F231">
        <v>0</v>
      </c>
      <c r="H231">
        <v>0</v>
      </c>
      <c r="I231">
        <v>0</v>
      </c>
      <c r="J231">
        <v>0</v>
      </c>
      <c r="K231">
        <v>0</v>
      </c>
      <c r="L231">
        <v>0</v>
      </c>
      <c r="M231">
        <v>0</v>
      </c>
      <c r="N231">
        <v>0</v>
      </c>
    </row>
    <row r="232" spans="1:14" x14ac:dyDescent="0.2">
      <c r="A232" t="s">
        <v>278</v>
      </c>
      <c r="B232" t="s">
        <v>293</v>
      </c>
      <c r="C232">
        <v>0.2</v>
      </c>
      <c r="D232">
        <v>0</v>
      </c>
      <c r="E232">
        <v>4</v>
      </c>
      <c r="F232">
        <v>1</v>
      </c>
      <c r="H232">
        <v>0</v>
      </c>
      <c r="I232">
        <v>0</v>
      </c>
      <c r="J232">
        <v>0</v>
      </c>
      <c r="K232">
        <v>0</v>
      </c>
      <c r="L232">
        <v>0</v>
      </c>
      <c r="M232">
        <v>0</v>
      </c>
      <c r="N232">
        <v>0</v>
      </c>
    </row>
    <row r="233" spans="1:14" x14ac:dyDescent="0.2">
      <c r="A233" t="s">
        <v>278</v>
      </c>
      <c r="B233" t="s">
        <v>289</v>
      </c>
      <c r="C233">
        <v>0</v>
      </c>
      <c r="D233">
        <v>0</v>
      </c>
      <c r="E233">
        <v>0</v>
      </c>
      <c r="F233">
        <v>0</v>
      </c>
      <c r="H233">
        <v>0</v>
      </c>
      <c r="I233">
        <v>0</v>
      </c>
      <c r="J233">
        <v>0</v>
      </c>
      <c r="K233">
        <v>0</v>
      </c>
      <c r="L233">
        <v>0</v>
      </c>
      <c r="M233">
        <v>0</v>
      </c>
      <c r="N233">
        <v>0</v>
      </c>
    </row>
    <row r="234" spans="1:14" x14ac:dyDescent="0.2">
      <c r="A234" t="s">
        <v>278</v>
      </c>
      <c r="B234" t="s">
        <v>294</v>
      </c>
      <c r="C234">
        <v>0.69</v>
      </c>
      <c r="D234">
        <v>0</v>
      </c>
      <c r="E234">
        <v>13</v>
      </c>
      <c r="F234">
        <v>10</v>
      </c>
      <c r="G234" t="s">
        <v>198</v>
      </c>
      <c r="H234">
        <v>0</v>
      </c>
      <c r="I234">
        <v>0</v>
      </c>
      <c r="J234">
        <v>0</v>
      </c>
      <c r="K234">
        <v>0</v>
      </c>
      <c r="L234">
        <v>0</v>
      </c>
      <c r="M234">
        <v>0</v>
      </c>
      <c r="N234">
        <v>0</v>
      </c>
    </row>
    <row r="235" spans="1:14" x14ac:dyDescent="0.2">
      <c r="A235" t="s">
        <v>278</v>
      </c>
      <c r="B235" t="s">
        <v>289</v>
      </c>
      <c r="C235">
        <v>0</v>
      </c>
      <c r="D235">
        <v>0</v>
      </c>
      <c r="E235">
        <v>0</v>
      </c>
      <c r="F235">
        <v>0</v>
      </c>
      <c r="H235">
        <v>0</v>
      </c>
      <c r="I235">
        <v>0</v>
      </c>
      <c r="J235">
        <v>0</v>
      </c>
      <c r="K235">
        <v>0</v>
      </c>
      <c r="L235">
        <v>0</v>
      </c>
      <c r="M235">
        <v>0</v>
      </c>
      <c r="N235">
        <v>0</v>
      </c>
    </row>
    <row r="236" spans="1:14" x14ac:dyDescent="0.2">
      <c r="A236" t="s">
        <v>278</v>
      </c>
      <c r="B236" t="s">
        <v>295</v>
      </c>
      <c r="C236">
        <v>0.68</v>
      </c>
      <c r="D236">
        <v>0</v>
      </c>
      <c r="E236">
        <v>13</v>
      </c>
      <c r="F236">
        <v>6</v>
      </c>
      <c r="H236">
        <v>0</v>
      </c>
      <c r="I236">
        <v>0</v>
      </c>
      <c r="J236">
        <v>0</v>
      </c>
      <c r="K236">
        <v>0</v>
      </c>
      <c r="L236">
        <v>0</v>
      </c>
      <c r="M236">
        <v>0</v>
      </c>
      <c r="N236">
        <v>0</v>
      </c>
    </row>
    <row r="237" spans="1:14" x14ac:dyDescent="0.2">
      <c r="A237" t="s">
        <v>278</v>
      </c>
      <c r="B237" t="s">
        <v>289</v>
      </c>
      <c r="C237">
        <v>0</v>
      </c>
      <c r="D237">
        <v>0</v>
      </c>
      <c r="E237">
        <v>0</v>
      </c>
      <c r="F237">
        <v>0</v>
      </c>
      <c r="H237">
        <v>0</v>
      </c>
      <c r="I237">
        <v>0</v>
      </c>
      <c r="J237">
        <v>0</v>
      </c>
      <c r="K237">
        <v>0</v>
      </c>
      <c r="L237">
        <v>0</v>
      </c>
      <c r="M237">
        <v>0</v>
      </c>
      <c r="N237">
        <v>0</v>
      </c>
    </row>
    <row r="238" spans="1:14" x14ac:dyDescent="0.2">
      <c r="A238" t="s">
        <v>278</v>
      </c>
      <c r="B238" t="s">
        <v>296</v>
      </c>
      <c r="C238">
        <v>0.48</v>
      </c>
      <c r="D238">
        <v>0</v>
      </c>
      <c r="E238">
        <v>9</v>
      </c>
      <c r="F238">
        <v>6</v>
      </c>
      <c r="H238">
        <v>0</v>
      </c>
      <c r="I238">
        <v>0</v>
      </c>
      <c r="J238">
        <v>0</v>
      </c>
      <c r="K238">
        <v>0</v>
      </c>
      <c r="L238">
        <v>0</v>
      </c>
      <c r="M238">
        <v>0</v>
      </c>
      <c r="N238">
        <v>0</v>
      </c>
    </row>
    <row r="239" spans="1:14" x14ac:dyDescent="0.2">
      <c r="A239" t="s">
        <v>278</v>
      </c>
      <c r="B239" t="s">
        <v>297</v>
      </c>
      <c r="C239">
        <v>5.03</v>
      </c>
      <c r="D239">
        <v>5</v>
      </c>
      <c r="E239">
        <v>0</v>
      </c>
      <c r="F239">
        <v>8</v>
      </c>
      <c r="H239">
        <v>0</v>
      </c>
      <c r="I239">
        <v>0</v>
      </c>
      <c r="J239">
        <v>0</v>
      </c>
      <c r="K239">
        <v>0</v>
      </c>
      <c r="L239">
        <v>0</v>
      </c>
      <c r="M239">
        <v>0</v>
      </c>
      <c r="N239">
        <v>0</v>
      </c>
    </row>
    <row r="240" spans="1:14" x14ac:dyDescent="0.2">
      <c r="A240" t="s">
        <v>278</v>
      </c>
      <c r="B240" t="s">
        <v>298</v>
      </c>
      <c r="C240">
        <v>7.0000000000000007E-2</v>
      </c>
      <c r="D240">
        <v>0</v>
      </c>
      <c r="E240">
        <v>1</v>
      </c>
      <c r="F240">
        <v>4</v>
      </c>
      <c r="G240" t="s">
        <v>202</v>
      </c>
      <c r="H240">
        <v>0</v>
      </c>
      <c r="I240">
        <v>4</v>
      </c>
      <c r="J240">
        <v>0.5</v>
      </c>
      <c r="K240">
        <v>0.5</v>
      </c>
      <c r="L240">
        <v>0</v>
      </c>
      <c r="M240">
        <v>0</v>
      </c>
      <c r="N240">
        <v>4</v>
      </c>
    </row>
    <row r="241" spans="1:24" x14ac:dyDescent="0.2">
      <c r="A241" t="s">
        <v>278</v>
      </c>
      <c r="B241" t="s">
        <v>299</v>
      </c>
      <c r="C241">
        <v>0.27</v>
      </c>
      <c r="D241">
        <v>0</v>
      </c>
      <c r="E241">
        <v>5</v>
      </c>
      <c r="F241">
        <v>5</v>
      </c>
      <c r="G241" t="s">
        <v>204</v>
      </c>
      <c r="H241">
        <v>3</v>
      </c>
      <c r="I241">
        <v>2</v>
      </c>
      <c r="J241">
        <v>3.25</v>
      </c>
      <c r="K241">
        <v>3.25</v>
      </c>
      <c r="L241">
        <v>0</v>
      </c>
      <c r="M241">
        <v>3</v>
      </c>
      <c r="N241">
        <v>2</v>
      </c>
      <c r="W241">
        <v>1</v>
      </c>
      <c r="X241">
        <v>8</v>
      </c>
    </row>
    <row r="242" spans="1:24" x14ac:dyDescent="0.2">
      <c r="A242" t="s">
        <v>278</v>
      </c>
      <c r="B242" t="s">
        <v>289</v>
      </c>
      <c r="C242">
        <v>0</v>
      </c>
      <c r="D242">
        <v>0</v>
      </c>
      <c r="E242">
        <v>0</v>
      </c>
      <c r="F242">
        <v>0</v>
      </c>
      <c r="H242">
        <v>0</v>
      </c>
      <c r="I242">
        <v>0</v>
      </c>
      <c r="J242">
        <v>0</v>
      </c>
      <c r="K242">
        <v>0</v>
      </c>
      <c r="L242">
        <v>0</v>
      </c>
      <c r="M242">
        <v>0</v>
      </c>
      <c r="N242">
        <v>0</v>
      </c>
    </row>
    <row r="243" spans="1:24" x14ac:dyDescent="0.2">
      <c r="A243" t="s">
        <v>278</v>
      </c>
      <c r="B243" t="s">
        <v>300</v>
      </c>
      <c r="C243">
        <v>1.2</v>
      </c>
      <c r="D243">
        <v>1</v>
      </c>
      <c r="E243">
        <v>4</v>
      </c>
      <c r="F243">
        <v>0</v>
      </c>
      <c r="H243">
        <v>0</v>
      </c>
      <c r="I243">
        <v>0</v>
      </c>
      <c r="J243">
        <v>0</v>
      </c>
      <c r="K243">
        <v>0</v>
      </c>
      <c r="L243">
        <v>0</v>
      </c>
      <c r="M243">
        <v>0</v>
      </c>
      <c r="N243">
        <v>0</v>
      </c>
    </row>
    <row r="244" spans="1:24" x14ac:dyDescent="0.2">
      <c r="A244" t="s">
        <v>301</v>
      </c>
      <c r="B244" t="s">
        <v>302</v>
      </c>
      <c r="C244">
        <v>0.7</v>
      </c>
      <c r="D244">
        <v>0</v>
      </c>
      <c r="E244">
        <v>14</v>
      </c>
      <c r="F244">
        <v>0</v>
      </c>
      <c r="H244">
        <v>0</v>
      </c>
      <c r="I244">
        <v>0</v>
      </c>
      <c r="J244">
        <v>0</v>
      </c>
      <c r="K244">
        <v>0</v>
      </c>
      <c r="L244">
        <v>0</v>
      </c>
      <c r="M244">
        <v>0</v>
      </c>
      <c r="N244">
        <v>0</v>
      </c>
    </row>
    <row r="245" spans="1:24" x14ac:dyDescent="0.2">
      <c r="A245" t="s">
        <v>301</v>
      </c>
      <c r="B245" t="s">
        <v>303</v>
      </c>
      <c r="C245">
        <v>0.02</v>
      </c>
      <c r="D245">
        <v>0</v>
      </c>
      <c r="E245">
        <v>0</v>
      </c>
      <c r="F245">
        <v>5</v>
      </c>
      <c r="H245">
        <v>0</v>
      </c>
      <c r="I245">
        <v>0</v>
      </c>
      <c r="J245">
        <v>0</v>
      </c>
      <c r="K245">
        <v>0</v>
      </c>
      <c r="L245">
        <v>0</v>
      </c>
      <c r="M245">
        <v>0</v>
      </c>
      <c r="N245">
        <v>0</v>
      </c>
    </row>
    <row r="246" spans="1:24" x14ac:dyDescent="0.2">
      <c r="A246" t="s">
        <v>301</v>
      </c>
      <c r="B246" t="s">
        <v>304</v>
      </c>
      <c r="C246">
        <v>0.09</v>
      </c>
      <c r="D246">
        <v>0</v>
      </c>
      <c r="E246">
        <v>1</v>
      </c>
      <c r="F246">
        <v>10</v>
      </c>
      <c r="H246">
        <v>0</v>
      </c>
      <c r="I246">
        <v>0</v>
      </c>
      <c r="J246">
        <v>0</v>
      </c>
      <c r="K246">
        <v>0</v>
      </c>
      <c r="L246">
        <v>0</v>
      </c>
      <c r="M246">
        <v>0</v>
      </c>
      <c r="N246">
        <v>0</v>
      </c>
    </row>
    <row r="247" spans="1:24" x14ac:dyDescent="0.2">
      <c r="A247" t="s">
        <v>301</v>
      </c>
      <c r="B247" t="s">
        <v>305</v>
      </c>
      <c r="C247">
        <v>0.03</v>
      </c>
      <c r="D247">
        <v>0</v>
      </c>
      <c r="E247">
        <v>0</v>
      </c>
      <c r="F247">
        <v>6.25</v>
      </c>
      <c r="H247">
        <v>0</v>
      </c>
      <c r="I247">
        <v>0</v>
      </c>
      <c r="J247">
        <v>0</v>
      </c>
      <c r="K247">
        <v>0</v>
      </c>
      <c r="L247">
        <v>0</v>
      </c>
      <c r="M247">
        <v>0</v>
      </c>
      <c r="N247">
        <v>0</v>
      </c>
    </row>
    <row r="248" spans="1:24" x14ac:dyDescent="0.2">
      <c r="A248" t="s">
        <v>301</v>
      </c>
      <c r="B248" t="s">
        <v>306</v>
      </c>
      <c r="C248">
        <v>0.01</v>
      </c>
      <c r="D248">
        <v>0</v>
      </c>
      <c r="E248">
        <v>0</v>
      </c>
      <c r="F248">
        <v>3</v>
      </c>
      <c r="H248">
        <v>0</v>
      </c>
      <c r="I248">
        <v>0</v>
      </c>
      <c r="J248">
        <v>0</v>
      </c>
      <c r="K248">
        <v>0</v>
      </c>
      <c r="L248">
        <v>0</v>
      </c>
      <c r="M248">
        <v>0</v>
      </c>
      <c r="N248">
        <v>0</v>
      </c>
    </row>
    <row r="249" spans="1:24" x14ac:dyDescent="0.2">
      <c r="A249" t="s">
        <v>301</v>
      </c>
      <c r="B249" t="s">
        <v>307</v>
      </c>
      <c r="C249">
        <v>0.02</v>
      </c>
      <c r="D249">
        <v>0</v>
      </c>
      <c r="E249">
        <v>0</v>
      </c>
      <c r="F249">
        <v>5.5</v>
      </c>
      <c r="H249">
        <v>0</v>
      </c>
      <c r="I249">
        <v>0</v>
      </c>
      <c r="J249">
        <v>0</v>
      </c>
      <c r="K249">
        <v>0</v>
      </c>
      <c r="L249">
        <v>0</v>
      </c>
      <c r="M249">
        <v>0</v>
      </c>
      <c r="N249">
        <v>0</v>
      </c>
    </row>
    <row r="250" spans="1:24" x14ac:dyDescent="0.2">
      <c r="A250" t="s">
        <v>301</v>
      </c>
      <c r="B250" t="s">
        <v>308</v>
      </c>
      <c r="C250">
        <v>0.12</v>
      </c>
      <c r="D250">
        <v>0</v>
      </c>
      <c r="E250">
        <v>2</v>
      </c>
      <c r="F250">
        <v>4</v>
      </c>
      <c r="H250">
        <v>0</v>
      </c>
      <c r="I250">
        <v>0</v>
      </c>
      <c r="J250">
        <v>0</v>
      </c>
      <c r="K250">
        <v>0</v>
      </c>
      <c r="L250">
        <v>0</v>
      </c>
      <c r="M250">
        <v>0</v>
      </c>
      <c r="N250">
        <v>0</v>
      </c>
    </row>
    <row r="251" spans="1:24" x14ac:dyDescent="0.2">
      <c r="A251" t="s">
        <v>301</v>
      </c>
      <c r="B251" t="s">
        <v>309</v>
      </c>
      <c r="C251">
        <v>0.05</v>
      </c>
      <c r="D251">
        <v>0</v>
      </c>
      <c r="E251">
        <v>0</v>
      </c>
      <c r="F251">
        <v>11</v>
      </c>
      <c r="H251">
        <v>0</v>
      </c>
      <c r="I251">
        <v>0</v>
      </c>
      <c r="J251">
        <v>0</v>
      </c>
      <c r="K251">
        <v>0</v>
      </c>
      <c r="L251">
        <v>0</v>
      </c>
      <c r="M251">
        <v>0</v>
      </c>
      <c r="N251">
        <v>0</v>
      </c>
    </row>
    <row r="252" spans="1:24" x14ac:dyDescent="0.2">
      <c r="A252" t="s">
        <v>301</v>
      </c>
      <c r="B252" t="s">
        <v>310</v>
      </c>
      <c r="C252">
        <v>0.02</v>
      </c>
      <c r="D252">
        <v>0</v>
      </c>
      <c r="E252">
        <v>0</v>
      </c>
      <c r="F252">
        <v>4</v>
      </c>
      <c r="H252">
        <v>0</v>
      </c>
      <c r="I252">
        <v>0</v>
      </c>
      <c r="J252">
        <v>0</v>
      </c>
      <c r="K252">
        <v>0</v>
      </c>
      <c r="L252">
        <v>0</v>
      </c>
      <c r="M252">
        <v>0</v>
      </c>
      <c r="N252">
        <v>0</v>
      </c>
    </row>
    <row r="253" spans="1:24" x14ac:dyDescent="0.2">
      <c r="A253" t="s">
        <v>301</v>
      </c>
      <c r="B253" t="s">
        <v>311</v>
      </c>
      <c r="C253">
        <v>0.01</v>
      </c>
      <c r="D253">
        <v>0</v>
      </c>
      <c r="E253">
        <v>0</v>
      </c>
      <c r="F253">
        <v>2</v>
      </c>
      <c r="H253">
        <v>0</v>
      </c>
      <c r="I253">
        <v>0</v>
      </c>
      <c r="J253">
        <v>0</v>
      </c>
      <c r="K253">
        <v>0</v>
      </c>
      <c r="L253">
        <v>0</v>
      </c>
      <c r="M253">
        <v>0</v>
      </c>
      <c r="N253">
        <v>0</v>
      </c>
    </row>
    <row r="254" spans="1:24" x14ac:dyDescent="0.2">
      <c r="A254" t="s">
        <v>301</v>
      </c>
      <c r="B254" t="s">
        <v>312</v>
      </c>
      <c r="C254">
        <v>0.01</v>
      </c>
      <c r="D254">
        <v>0</v>
      </c>
      <c r="E254">
        <v>0</v>
      </c>
      <c r="F254">
        <v>2.5</v>
      </c>
      <c r="H254">
        <v>0</v>
      </c>
      <c r="I254">
        <v>0</v>
      </c>
      <c r="J254">
        <v>0</v>
      </c>
      <c r="K254">
        <v>0</v>
      </c>
      <c r="L254">
        <v>0</v>
      </c>
      <c r="M254">
        <v>0</v>
      </c>
      <c r="N254">
        <v>0</v>
      </c>
    </row>
    <row r="255" spans="1:24" x14ac:dyDescent="0.2">
      <c r="A255" t="s">
        <v>301</v>
      </c>
      <c r="B255" t="s">
        <v>313</v>
      </c>
      <c r="C255">
        <v>0.01</v>
      </c>
      <c r="D255">
        <v>0</v>
      </c>
      <c r="E255">
        <v>0</v>
      </c>
      <c r="F255">
        <v>1.25</v>
      </c>
      <c r="H255">
        <v>0</v>
      </c>
      <c r="I255">
        <v>0</v>
      </c>
      <c r="J255">
        <v>0</v>
      </c>
      <c r="K255">
        <v>0</v>
      </c>
      <c r="L255">
        <v>0</v>
      </c>
      <c r="M255">
        <v>0</v>
      </c>
      <c r="N255">
        <v>0</v>
      </c>
    </row>
    <row r="256" spans="1:24" x14ac:dyDescent="0.2">
      <c r="A256" t="s">
        <v>301</v>
      </c>
      <c r="B256" t="s">
        <v>314</v>
      </c>
      <c r="C256">
        <v>0.01</v>
      </c>
      <c r="D256">
        <v>0</v>
      </c>
      <c r="E256">
        <v>0</v>
      </c>
      <c r="F256">
        <v>2</v>
      </c>
      <c r="H256">
        <v>0</v>
      </c>
      <c r="I256">
        <v>0</v>
      </c>
      <c r="J256">
        <v>0</v>
      </c>
      <c r="K256">
        <v>0</v>
      </c>
      <c r="L256">
        <v>0</v>
      </c>
      <c r="M256">
        <v>0</v>
      </c>
      <c r="N256">
        <v>0</v>
      </c>
    </row>
    <row r="257" spans="1:14" x14ac:dyDescent="0.2">
      <c r="A257" t="s">
        <v>301</v>
      </c>
      <c r="B257" t="s">
        <v>315</v>
      </c>
      <c r="C257">
        <v>0.15</v>
      </c>
      <c r="D257">
        <v>0</v>
      </c>
      <c r="E257">
        <v>3</v>
      </c>
      <c r="F257">
        <v>0</v>
      </c>
      <c r="H257">
        <v>0</v>
      </c>
      <c r="I257">
        <v>0</v>
      </c>
      <c r="J257">
        <v>0</v>
      </c>
      <c r="K257">
        <v>0</v>
      </c>
      <c r="L257">
        <v>0</v>
      </c>
      <c r="M257">
        <v>0</v>
      </c>
      <c r="N257">
        <v>0</v>
      </c>
    </row>
    <row r="258" spans="1:14" x14ac:dyDescent="0.2">
      <c r="A258" t="s">
        <v>301</v>
      </c>
      <c r="B258" t="s">
        <v>316</v>
      </c>
      <c r="C258">
        <v>0.15</v>
      </c>
      <c r="D258">
        <v>0</v>
      </c>
      <c r="E258">
        <v>3</v>
      </c>
      <c r="F258">
        <v>0</v>
      </c>
      <c r="H258">
        <v>0</v>
      </c>
      <c r="I258">
        <v>0</v>
      </c>
      <c r="J258">
        <v>0</v>
      </c>
      <c r="K258">
        <v>0</v>
      </c>
      <c r="L258">
        <v>0</v>
      </c>
      <c r="M258">
        <v>0</v>
      </c>
      <c r="N258">
        <v>0</v>
      </c>
    </row>
    <row r="259" spans="1:14" x14ac:dyDescent="0.2">
      <c r="A259" t="s">
        <v>301</v>
      </c>
      <c r="B259" t="s">
        <v>317</v>
      </c>
      <c r="C259">
        <v>0.08</v>
      </c>
      <c r="D259">
        <v>0</v>
      </c>
      <c r="E259">
        <v>1</v>
      </c>
      <c r="F259">
        <v>6</v>
      </c>
      <c r="H259">
        <v>0</v>
      </c>
      <c r="I259">
        <v>0</v>
      </c>
      <c r="J259">
        <v>0</v>
      </c>
      <c r="K259">
        <v>0</v>
      </c>
      <c r="L259">
        <v>0</v>
      </c>
      <c r="M259">
        <v>0</v>
      </c>
      <c r="N259">
        <v>0</v>
      </c>
    </row>
    <row r="260" spans="1:14" x14ac:dyDescent="0.2">
      <c r="A260" t="s">
        <v>301</v>
      </c>
      <c r="B260" t="s">
        <v>318</v>
      </c>
      <c r="C260">
        <v>1.45</v>
      </c>
      <c r="D260">
        <v>1</v>
      </c>
      <c r="E260">
        <v>9</v>
      </c>
      <c r="F260">
        <v>0</v>
      </c>
      <c r="H260">
        <v>0</v>
      </c>
      <c r="I260">
        <v>0</v>
      </c>
      <c r="J260">
        <v>0</v>
      </c>
      <c r="K260">
        <v>0</v>
      </c>
      <c r="L260">
        <v>0</v>
      </c>
      <c r="M260">
        <v>0</v>
      </c>
      <c r="N260">
        <v>0</v>
      </c>
    </row>
    <row r="261" spans="1:14" x14ac:dyDescent="0.2">
      <c r="A261" t="s">
        <v>319</v>
      </c>
      <c r="B261" t="s">
        <v>320</v>
      </c>
      <c r="C261">
        <v>0.04</v>
      </c>
      <c r="D261">
        <v>0</v>
      </c>
      <c r="E261">
        <v>0</v>
      </c>
      <c r="F261">
        <v>8.5</v>
      </c>
      <c r="H261">
        <v>0</v>
      </c>
      <c r="I261">
        <v>0</v>
      </c>
      <c r="J261">
        <v>0</v>
      </c>
      <c r="K261">
        <v>0</v>
      </c>
      <c r="L261">
        <v>0</v>
      </c>
      <c r="M261">
        <v>0</v>
      </c>
      <c r="N261">
        <v>0</v>
      </c>
    </row>
    <row r="262" spans="1:14" x14ac:dyDescent="0.2">
      <c r="A262" t="s">
        <v>319</v>
      </c>
      <c r="B262" t="s">
        <v>321</v>
      </c>
      <c r="C262">
        <v>0.03</v>
      </c>
      <c r="D262">
        <v>0</v>
      </c>
      <c r="E262">
        <v>0</v>
      </c>
      <c r="F262">
        <v>6</v>
      </c>
      <c r="H262">
        <v>0</v>
      </c>
      <c r="I262">
        <v>0</v>
      </c>
      <c r="J262">
        <v>0</v>
      </c>
      <c r="K262">
        <v>0</v>
      </c>
      <c r="L262">
        <v>0</v>
      </c>
      <c r="M262">
        <v>0</v>
      </c>
      <c r="N262">
        <v>0</v>
      </c>
    </row>
    <row r="263" spans="1:14" x14ac:dyDescent="0.2">
      <c r="A263" t="s">
        <v>319</v>
      </c>
      <c r="B263" t="s">
        <v>322</v>
      </c>
      <c r="C263">
        <v>0.04</v>
      </c>
      <c r="D263">
        <v>0</v>
      </c>
      <c r="E263">
        <v>0</v>
      </c>
      <c r="F263">
        <v>10.5</v>
      </c>
      <c r="H263">
        <v>0</v>
      </c>
      <c r="I263">
        <v>7</v>
      </c>
      <c r="J263">
        <v>0.875</v>
      </c>
      <c r="K263">
        <v>0.875</v>
      </c>
      <c r="L263">
        <v>0</v>
      </c>
      <c r="M263">
        <v>0</v>
      </c>
      <c r="N263">
        <v>7</v>
      </c>
    </row>
    <row r="264" spans="1:14" x14ac:dyDescent="0.2">
      <c r="A264" t="s">
        <v>319</v>
      </c>
      <c r="B264" t="s">
        <v>323</v>
      </c>
      <c r="C264">
        <v>0.04</v>
      </c>
      <c r="D264">
        <v>0</v>
      </c>
      <c r="E264">
        <v>0</v>
      </c>
      <c r="F264">
        <v>9</v>
      </c>
      <c r="H264">
        <v>0</v>
      </c>
      <c r="I264">
        <v>0</v>
      </c>
      <c r="J264">
        <v>0</v>
      </c>
      <c r="K264">
        <v>0</v>
      </c>
      <c r="L264">
        <v>0</v>
      </c>
      <c r="M264">
        <v>0</v>
      </c>
      <c r="N264">
        <v>0</v>
      </c>
    </row>
    <row r="265" spans="1:14" x14ac:dyDescent="0.2">
      <c r="A265" t="s">
        <v>319</v>
      </c>
      <c r="B265" t="s">
        <v>324</v>
      </c>
      <c r="C265">
        <v>0.02</v>
      </c>
      <c r="D265">
        <v>0</v>
      </c>
      <c r="E265">
        <v>0</v>
      </c>
      <c r="F265">
        <v>4</v>
      </c>
      <c r="H265">
        <v>0</v>
      </c>
      <c r="I265">
        <v>0</v>
      </c>
      <c r="J265">
        <v>0</v>
      </c>
      <c r="K265">
        <v>0</v>
      </c>
      <c r="L265">
        <v>0</v>
      </c>
      <c r="M265">
        <v>0</v>
      </c>
      <c r="N265">
        <v>0</v>
      </c>
    </row>
    <row r="266" spans="1:14" x14ac:dyDescent="0.2">
      <c r="A266" t="s">
        <v>319</v>
      </c>
      <c r="B266" t="s">
        <v>325</v>
      </c>
      <c r="C266">
        <v>0.56999999999999995</v>
      </c>
      <c r="D266">
        <v>0</v>
      </c>
      <c r="E266">
        <v>11</v>
      </c>
      <c r="F266">
        <v>4</v>
      </c>
      <c r="H266">
        <v>0</v>
      </c>
      <c r="I266">
        <v>0</v>
      </c>
      <c r="J266">
        <v>0</v>
      </c>
      <c r="K266">
        <v>0</v>
      </c>
      <c r="L266">
        <v>0</v>
      </c>
      <c r="M266">
        <v>0</v>
      </c>
      <c r="N266">
        <v>0</v>
      </c>
    </row>
    <row r="267" spans="1:14" x14ac:dyDescent="0.2">
      <c r="A267" t="s">
        <v>319</v>
      </c>
      <c r="B267" t="s">
        <v>326</v>
      </c>
      <c r="C267">
        <v>0.15</v>
      </c>
      <c r="D267">
        <v>0</v>
      </c>
      <c r="E267">
        <v>2</v>
      </c>
      <c r="F267">
        <v>11</v>
      </c>
      <c r="H267">
        <v>0</v>
      </c>
      <c r="I267">
        <v>0</v>
      </c>
      <c r="J267">
        <v>0</v>
      </c>
      <c r="K267">
        <v>0</v>
      </c>
      <c r="L267">
        <v>0</v>
      </c>
      <c r="M267">
        <v>0</v>
      </c>
      <c r="N267">
        <v>0</v>
      </c>
    </row>
    <row r="268" spans="1:14" x14ac:dyDescent="0.2">
      <c r="A268" t="s">
        <v>319</v>
      </c>
      <c r="B268" t="s">
        <v>289</v>
      </c>
      <c r="C268">
        <v>0</v>
      </c>
      <c r="D268">
        <v>0</v>
      </c>
      <c r="E268">
        <v>0</v>
      </c>
      <c r="F268">
        <v>0</v>
      </c>
      <c r="H268">
        <v>0</v>
      </c>
      <c r="I268">
        <v>0</v>
      </c>
      <c r="J268">
        <v>0</v>
      </c>
      <c r="K268">
        <v>0</v>
      </c>
      <c r="L268">
        <v>0</v>
      </c>
      <c r="M268">
        <v>0</v>
      </c>
      <c r="N268">
        <v>0</v>
      </c>
    </row>
    <row r="269" spans="1:14" x14ac:dyDescent="0.2">
      <c r="A269" t="s">
        <v>319</v>
      </c>
      <c r="B269" t="s">
        <v>327</v>
      </c>
      <c r="C269">
        <v>0.01</v>
      </c>
      <c r="D269">
        <v>0</v>
      </c>
      <c r="E269">
        <v>0</v>
      </c>
      <c r="F269">
        <v>3</v>
      </c>
      <c r="H269">
        <v>0</v>
      </c>
      <c r="I269">
        <v>0</v>
      </c>
      <c r="J269">
        <v>0</v>
      </c>
      <c r="K269">
        <v>0</v>
      </c>
      <c r="L269">
        <v>0</v>
      </c>
      <c r="M269">
        <v>0</v>
      </c>
      <c r="N269">
        <v>0</v>
      </c>
    </row>
    <row r="270" spans="1:14" x14ac:dyDescent="0.2">
      <c r="A270" t="s">
        <v>319</v>
      </c>
      <c r="B270" t="s">
        <v>328</v>
      </c>
      <c r="C270">
        <v>0.12</v>
      </c>
      <c r="D270">
        <v>0</v>
      </c>
      <c r="E270">
        <v>2</v>
      </c>
      <c r="F270">
        <v>6</v>
      </c>
      <c r="H270">
        <v>0</v>
      </c>
      <c r="I270">
        <v>0</v>
      </c>
      <c r="J270">
        <v>0</v>
      </c>
      <c r="K270">
        <v>0</v>
      </c>
      <c r="L270">
        <v>0</v>
      </c>
      <c r="M270">
        <v>0</v>
      </c>
      <c r="N270">
        <v>0</v>
      </c>
    </row>
    <row r="271" spans="1:14" x14ac:dyDescent="0.2">
      <c r="A271" t="s">
        <v>319</v>
      </c>
      <c r="B271" t="s">
        <v>329</v>
      </c>
      <c r="C271">
        <v>0.15</v>
      </c>
      <c r="D271">
        <v>0</v>
      </c>
      <c r="E271">
        <v>3</v>
      </c>
      <c r="F271">
        <v>0</v>
      </c>
      <c r="H271">
        <v>0</v>
      </c>
      <c r="I271">
        <v>0</v>
      </c>
      <c r="J271">
        <v>0</v>
      </c>
      <c r="K271">
        <v>0</v>
      </c>
      <c r="L271">
        <v>0</v>
      </c>
      <c r="M271">
        <v>0</v>
      </c>
      <c r="N271">
        <v>0</v>
      </c>
    </row>
    <row r="272" spans="1:14" x14ac:dyDescent="0.2">
      <c r="A272" t="s">
        <v>319</v>
      </c>
      <c r="B272" t="s">
        <v>330</v>
      </c>
      <c r="C272">
        <v>0.03</v>
      </c>
      <c r="D272">
        <v>0</v>
      </c>
      <c r="E272">
        <v>0</v>
      </c>
      <c r="F272">
        <v>6</v>
      </c>
      <c r="H272">
        <v>0</v>
      </c>
      <c r="I272">
        <v>0</v>
      </c>
      <c r="J272">
        <v>0</v>
      </c>
      <c r="K272">
        <v>0</v>
      </c>
      <c r="L272">
        <v>0</v>
      </c>
      <c r="M272">
        <v>0</v>
      </c>
      <c r="N272">
        <v>0</v>
      </c>
    </row>
    <row r="273" spans="1:14" x14ac:dyDescent="0.2">
      <c r="A273" t="s">
        <v>319</v>
      </c>
      <c r="B273" t="s">
        <v>331</v>
      </c>
      <c r="C273">
        <v>3.67</v>
      </c>
      <c r="D273">
        <v>3</v>
      </c>
      <c r="E273">
        <v>13</v>
      </c>
      <c r="F273">
        <v>6</v>
      </c>
      <c r="H273">
        <v>0</v>
      </c>
      <c r="I273">
        <v>0</v>
      </c>
      <c r="J273">
        <v>0</v>
      </c>
      <c r="K273">
        <v>0</v>
      </c>
      <c r="L273">
        <v>0</v>
      </c>
      <c r="M273">
        <v>0</v>
      </c>
      <c r="N273">
        <v>0</v>
      </c>
    </row>
    <row r="274" spans="1:14" x14ac:dyDescent="0.2">
      <c r="A274" t="s">
        <v>319</v>
      </c>
      <c r="B274" t="s">
        <v>332</v>
      </c>
      <c r="C274">
        <v>0.03</v>
      </c>
      <c r="D274">
        <v>0</v>
      </c>
      <c r="E274">
        <v>0</v>
      </c>
      <c r="F274">
        <v>8</v>
      </c>
      <c r="H274">
        <v>0</v>
      </c>
      <c r="I274">
        <v>0</v>
      </c>
      <c r="J274">
        <v>0</v>
      </c>
      <c r="K274">
        <v>0</v>
      </c>
      <c r="L274">
        <v>0</v>
      </c>
      <c r="M274">
        <v>0</v>
      </c>
      <c r="N274">
        <v>0</v>
      </c>
    </row>
    <row r="275" spans="1:14" x14ac:dyDescent="0.2">
      <c r="A275" t="s">
        <v>319</v>
      </c>
      <c r="B275" t="s">
        <v>333</v>
      </c>
      <c r="C275">
        <v>0.15</v>
      </c>
      <c r="D275">
        <v>0</v>
      </c>
      <c r="E275">
        <v>3</v>
      </c>
      <c r="F275">
        <v>0</v>
      </c>
      <c r="H275">
        <v>0</v>
      </c>
      <c r="I275">
        <v>0</v>
      </c>
      <c r="J275">
        <v>0</v>
      </c>
      <c r="K275">
        <v>0</v>
      </c>
      <c r="L275">
        <v>0</v>
      </c>
      <c r="M275">
        <v>0</v>
      </c>
      <c r="N275">
        <v>0</v>
      </c>
    </row>
    <row r="276" spans="1:14" x14ac:dyDescent="0.2">
      <c r="A276" t="s">
        <v>319</v>
      </c>
      <c r="B276" t="s">
        <v>334</v>
      </c>
      <c r="C276">
        <v>5.14</v>
      </c>
      <c r="D276">
        <v>5</v>
      </c>
      <c r="E276">
        <v>2</v>
      </c>
      <c r="F276">
        <v>10</v>
      </c>
      <c r="H276">
        <v>0</v>
      </c>
      <c r="I276">
        <v>0</v>
      </c>
      <c r="J276">
        <v>0</v>
      </c>
      <c r="K276">
        <v>0</v>
      </c>
      <c r="L276">
        <v>0</v>
      </c>
      <c r="M276">
        <v>0</v>
      </c>
      <c r="N276">
        <v>0</v>
      </c>
    </row>
    <row r="277" spans="1:14" x14ac:dyDescent="0.2">
      <c r="A277" t="s">
        <v>335</v>
      </c>
      <c r="B277" t="s">
        <v>336</v>
      </c>
      <c r="C277">
        <v>0.24</v>
      </c>
      <c r="D277">
        <v>0</v>
      </c>
      <c r="E277">
        <v>4</v>
      </c>
      <c r="F277">
        <v>10</v>
      </c>
      <c r="H277">
        <v>0</v>
      </c>
      <c r="I277">
        <v>0</v>
      </c>
      <c r="J277">
        <v>0</v>
      </c>
      <c r="K277">
        <v>0</v>
      </c>
      <c r="L277">
        <v>0</v>
      </c>
      <c r="M277">
        <v>0</v>
      </c>
      <c r="N277">
        <v>0</v>
      </c>
    </row>
    <row r="278" spans="1:14" x14ac:dyDescent="0.2">
      <c r="A278" t="s">
        <v>335</v>
      </c>
      <c r="B278" t="s">
        <v>337</v>
      </c>
      <c r="C278">
        <v>0.01</v>
      </c>
      <c r="D278">
        <v>0</v>
      </c>
      <c r="E278">
        <v>0</v>
      </c>
      <c r="F278">
        <v>3</v>
      </c>
      <c r="H278">
        <v>0</v>
      </c>
      <c r="I278">
        <v>0</v>
      </c>
      <c r="J278">
        <v>0</v>
      </c>
      <c r="K278">
        <v>0</v>
      </c>
      <c r="L278">
        <v>0</v>
      </c>
      <c r="M278">
        <v>0</v>
      </c>
      <c r="N278">
        <v>0</v>
      </c>
    </row>
    <row r="279" spans="1:14" x14ac:dyDescent="0.2">
      <c r="A279" t="s">
        <v>335</v>
      </c>
      <c r="B279" t="s">
        <v>338</v>
      </c>
      <c r="C279">
        <v>0.26</v>
      </c>
      <c r="D279">
        <v>0</v>
      </c>
      <c r="E279">
        <v>5</v>
      </c>
      <c r="F279">
        <v>3.5</v>
      </c>
      <c r="H279">
        <v>0</v>
      </c>
      <c r="I279">
        <v>0</v>
      </c>
      <c r="J279">
        <v>0</v>
      </c>
      <c r="K279">
        <v>0</v>
      </c>
      <c r="L279">
        <v>0</v>
      </c>
      <c r="M279">
        <v>0</v>
      </c>
      <c r="N279">
        <v>0</v>
      </c>
    </row>
    <row r="280" spans="1:14" x14ac:dyDescent="0.2">
      <c r="A280" t="s">
        <v>339</v>
      </c>
      <c r="B280" t="s">
        <v>340</v>
      </c>
      <c r="C280">
        <v>0.73</v>
      </c>
      <c r="D280">
        <v>0</v>
      </c>
      <c r="E280">
        <v>14</v>
      </c>
      <c r="F280">
        <v>8</v>
      </c>
      <c r="H280">
        <v>0</v>
      </c>
      <c r="I280">
        <v>0</v>
      </c>
      <c r="J280">
        <v>0</v>
      </c>
      <c r="K280">
        <v>0</v>
      </c>
      <c r="L280">
        <v>0</v>
      </c>
      <c r="M280">
        <v>0</v>
      </c>
      <c r="N280">
        <v>0</v>
      </c>
    </row>
    <row r="281" spans="1:14" x14ac:dyDescent="0.2">
      <c r="A281" t="s">
        <v>339</v>
      </c>
      <c r="B281" t="s">
        <v>341</v>
      </c>
      <c r="C281">
        <v>0.01</v>
      </c>
      <c r="D281">
        <v>0</v>
      </c>
      <c r="E281">
        <v>0</v>
      </c>
      <c r="F281">
        <v>3</v>
      </c>
      <c r="H281">
        <v>0</v>
      </c>
      <c r="I281">
        <v>0</v>
      </c>
      <c r="J281">
        <v>0</v>
      </c>
      <c r="K281">
        <v>0</v>
      </c>
      <c r="L281">
        <v>0</v>
      </c>
      <c r="M281">
        <v>0</v>
      </c>
      <c r="N281">
        <v>0</v>
      </c>
    </row>
    <row r="282" spans="1:14" x14ac:dyDescent="0.2">
      <c r="A282" t="s">
        <v>339</v>
      </c>
      <c r="B282" t="s">
        <v>342</v>
      </c>
      <c r="C282">
        <v>0.33</v>
      </c>
      <c r="D282">
        <v>0</v>
      </c>
      <c r="E282">
        <v>6</v>
      </c>
      <c r="F282">
        <v>8</v>
      </c>
      <c r="H282">
        <v>0</v>
      </c>
      <c r="I282">
        <v>0</v>
      </c>
      <c r="J282">
        <v>0</v>
      </c>
      <c r="K282">
        <v>0</v>
      </c>
      <c r="L282">
        <v>0</v>
      </c>
      <c r="M282">
        <v>0</v>
      </c>
      <c r="N282">
        <v>0</v>
      </c>
    </row>
    <row r="283" spans="1:14" x14ac:dyDescent="0.2">
      <c r="A283" t="s">
        <v>339</v>
      </c>
      <c r="B283" t="s">
        <v>343</v>
      </c>
      <c r="C283">
        <v>1</v>
      </c>
      <c r="D283">
        <v>1</v>
      </c>
      <c r="E283">
        <v>0</v>
      </c>
      <c r="F283">
        <v>0</v>
      </c>
      <c r="H283">
        <v>0</v>
      </c>
      <c r="I283">
        <v>0</v>
      </c>
      <c r="J283">
        <v>0</v>
      </c>
      <c r="K283">
        <v>0</v>
      </c>
      <c r="L283">
        <v>0</v>
      </c>
      <c r="M283">
        <v>0</v>
      </c>
      <c r="N283">
        <v>0</v>
      </c>
    </row>
    <row r="284" spans="1:14" x14ac:dyDescent="0.2">
      <c r="A284" t="s">
        <v>339</v>
      </c>
      <c r="B284" t="s">
        <v>344</v>
      </c>
      <c r="C284">
        <v>0.06</v>
      </c>
      <c r="D284">
        <v>0</v>
      </c>
      <c r="E284">
        <v>1</v>
      </c>
      <c r="F284">
        <v>3</v>
      </c>
      <c r="H284">
        <v>0</v>
      </c>
      <c r="I284">
        <v>0</v>
      </c>
      <c r="J284">
        <v>0</v>
      </c>
      <c r="K284">
        <v>0</v>
      </c>
      <c r="L284">
        <v>0</v>
      </c>
      <c r="M284">
        <v>0</v>
      </c>
      <c r="N284">
        <v>0</v>
      </c>
    </row>
    <row r="285" spans="1:14" x14ac:dyDescent="0.2">
      <c r="A285" t="s">
        <v>339</v>
      </c>
      <c r="B285" t="s">
        <v>345</v>
      </c>
      <c r="C285">
        <v>0.9</v>
      </c>
      <c r="D285">
        <v>0</v>
      </c>
      <c r="E285">
        <v>18</v>
      </c>
      <c r="F285">
        <v>1</v>
      </c>
      <c r="H285">
        <v>0</v>
      </c>
      <c r="I285">
        <v>0</v>
      </c>
      <c r="J285">
        <v>0</v>
      </c>
      <c r="K285">
        <v>0</v>
      </c>
      <c r="L285">
        <v>0</v>
      </c>
      <c r="M285">
        <v>0</v>
      </c>
      <c r="N285">
        <v>0</v>
      </c>
    </row>
    <row r="286" spans="1:14" x14ac:dyDescent="0.2">
      <c r="A286" t="s">
        <v>339</v>
      </c>
      <c r="B286" t="s">
        <v>346</v>
      </c>
      <c r="C286">
        <v>0.33</v>
      </c>
      <c r="D286">
        <v>0</v>
      </c>
      <c r="E286">
        <v>6</v>
      </c>
      <c r="F286">
        <v>6</v>
      </c>
      <c r="H286">
        <v>13</v>
      </c>
      <c r="I286">
        <v>0</v>
      </c>
      <c r="J286">
        <v>13</v>
      </c>
      <c r="K286">
        <v>13</v>
      </c>
      <c r="L286">
        <v>0</v>
      </c>
      <c r="M286">
        <v>13</v>
      </c>
      <c r="N286">
        <v>0</v>
      </c>
    </row>
    <row r="287" spans="1:14" x14ac:dyDescent="0.2">
      <c r="A287" t="s">
        <v>339</v>
      </c>
      <c r="B287" t="s">
        <v>347</v>
      </c>
      <c r="C287">
        <v>0.02</v>
      </c>
      <c r="D287">
        <v>0</v>
      </c>
      <c r="E287">
        <v>0</v>
      </c>
      <c r="F287">
        <v>4</v>
      </c>
      <c r="H287">
        <v>0</v>
      </c>
      <c r="I287">
        <v>0</v>
      </c>
      <c r="J287">
        <v>0</v>
      </c>
      <c r="K287">
        <v>0</v>
      </c>
      <c r="L287">
        <v>0</v>
      </c>
      <c r="M287">
        <v>0</v>
      </c>
      <c r="N287">
        <v>0</v>
      </c>
    </row>
    <row r="288" spans="1:14" x14ac:dyDescent="0.2">
      <c r="A288" t="s">
        <v>339</v>
      </c>
      <c r="B288" t="s">
        <v>348</v>
      </c>
      <c r="C288">
        <v>0.1</v>
      </c>
      <c r="D288">
        <v>0</v>
      </c>
      <c r="E288">
        <v>1</v>
      </c>
      <c r="F288">
        <v>11</v>
      </c>
      <c r="H288">
        <v>0</v>
      </c>
      <c r="I288">
        <v>0</v>
      </c>
      <c r="J288">
        <v>0</v>
      </c>
      <c r="K288">
        <v>0</v>
      </c>
      <c r="L288">
        <v>0</v>
      </c>
      <c r="M288">
        <v>0</v>
      </c>
      <c r="N288">
        <v>0</v>
      </c>
    </row>
    <row r="289" spans="1:14" x14ac:dyDescent="0.2">
      <c r="A289" t="s">
        <v>339</v>
      </c>
      <c r="B289" t="s">
        <v>349</v>
      </c>
      <c r="C289">
        <v>0.2</v>
      </c>
      <c r="D289">
        <v>0</v>
      </c>
      <c r="E289">
        <v>4</v>
      </c>
      <c r="F289">
        <v>0</v>
      </c>
      <c r="H289">
        <v>0</v>
      </c>
      <c r="I289">
        <v>0</v>
      </c>
      <c r="J289">
        <v>0</v>
      </c>
      <c r="K289">
        <v>0</v>
      </c>
      <c r="L289">
        <v>0</v>
      </c>
      <c r="M289">
        <v>0</v>
      </c>
      <c r="N289">
        <v>0</v>
      </c>
    </row>
    <row r="290" spans="1:14" x14ac:dyDescent="0.2">
      <c r="A290" t="s">
        <v>339</v>
      </c>
      <c r="B290" t="s">
        <v>350</v>
      </c>
      <c r="C290">
        <v>0.05</v>
      </c>
      <c r="D290">
        <v>0</v>
      </c>
      <c r="E290">
        <v>1</v>
      </c>
      <c r="F290">
        <v>0</v>
      </c>
      <c r="H290">
        <v>2</v>
      </c>
      <c r="I290">
        <v>0</v>
      </c>
      <c r="J290">
        <v>2</v>
      </c>
      <c r="K290">
        <v>2</v>
      </c>
      <c r="L290">
        <v>0</v>
      </c>
      <c r="M290">
        <v>2</v>
      </c>
      <c r="N290">
        <v>0</v>
      </c>
    </row>
    <row r="291" spans="1:14" x14ac:dyDescent="0.2">
      <c r="A291" t="s">
        <v>339</v>
      </c>
      <c r="B291" t="s">
        <v>351</v>
      </c>
      <c r="C291">
        <v>0.01</v>
      </c>
      <c r="D291">
        <v>0</v>
      </c>
      <c r="E291">
        <v>0</v>
      </c>
      <c r="F291">
        <v>3.5</v>
      </c>
      <c r="H291">
        <v>0</v>
      </c>
      <c r="I291">
        <v>0</v>
      </c>
      <c r="J291">
        <v>0</v>
      </c>
      <c r="K291">
        <v>0</v>
      </c>
      <c r="L291">
        <v>0</v>
      </c>
      <c r="M291">
        <v>0</v>
      </c>
      <c r="N291">
        <v>0</v>
      </c>
    </row>
    <row r="292" spans="1:14" x14ac:dyDescent="0.2">
      <c r="A292" t="s">
        <v>339</v>
      </c>
      <c r="B292" t="s">
        <v>352</v>
      </c>
      <c r="C292">
        <v>0.09</v>
      </c>
      <c r="D292">
        <v>0</v>
      </c>
      <c r="E292">
        <v>1</v>
      </c>
      <c r="F292">
        <v>10</v>
      </c>
      <c r="H292">
        <v>0</v>
      </c>
      <c r="I292">
        <v>0</v>
      </c>
      <c r="J292">
        <v>0</v>
      </c>
      <c r="K292">
        <v>0</v>
      </c>
      <c r="L292">
        <v>0</v>
      </c>
      <c r="M292">
        <v>0</v>
      </c>
      <c r="N292">
        <v>0</v>
      </c>
    </row>
    <row r="293" spans="1:14" x14ac:dyDescent="0.2">
      <c r="A293" t="s">
        <v>339</v>
      </c>
      <c r="B293" t="s">
        <v>353</v>
      </c>
      <c r="C293">
        <v>0.08</v>
      </c>
      <c r="D293">
        <v>0</v>
      </c>
      <c r="E293">
        <v>1</v>
      </c>
      <c r="F293">
        <v>6.5</v>
      </c>
      <c r="H293">
        <v>0</v>
      </c>
      <c r="I293">
        <v>0</v>
      </c>
      <c r="J293">
        <v>0</v>
      </c>
      <c r="K293">
        <v>0</v>
      </c>
      <c r="L293">
        <v>0</v>
      </c>
      <c r="M293">
        <v>0</v>
      </c>
      <c r="N293">
        <v>0</v>
      </c>
    </row>
    <row r="294" spans="1:14" x14ac:dyDescent="0.2">
      <c r="A294" t="s">
        <v>339</v>
      </c>
      <c r="B294" t="s">
        <v>354</v>
      </c>
      <c r="C294">
        <v>0.1</v>
      </c>
      <c r="D294">
        <v>0</v>
      </c>
      <c r="E294">
        <v>2</v>
      </c>
      <c r="F294">
        <v>0</v>
      </c>
      <c r="H294">
        <v>0</v>
      </c>
      <c r="I294">
        <v>0</v>
      </c>
      <c r="J294">
        <v>0</v>
      </c>
      <c r="K294">
        <v>0</v>
      </c>
      <c r="L294">
        <v>0</v>
      </c>
      <c r="M294">
        <v>0</v>
      </c>
      <c r="N294">
        <v>0</v>
      </c>
    </row>
    <row r="295" spans="1:14" x14ac:dyDescent="0.2">
      <c r="A295" t="s">
        <v>339</v>
      </c>
      <c r="B295" t="s">
        <v>355</v>
      </c>
      <c r="C295">
        <v>0.34</v>
      </c>
      <c r="D295">
        <v>0</v>
      </c>
      <c r="E295">
        <v>6</v>
      </c>
      <c r="F295">
        <v>9</v>
      </c>
      <c r="H295">
        <v>54</v>
      </c>
      <c r="I295">
        <v>0</v>
      </c>
      <c r="J295">
        <v>54</v>
      </c>
      <c r="K295">
        <v>54</v>
      </c>
      <c r="L295">
        <v>0</v>
      </c>
      <c r="M295">
        <v>54</v>
      </c>
      <c r="N295">
        <v>0</v>
      </c>
    </row>
    <row r="296" spans="1:14" x14ac:dyDescent="0.2">
      <c r="A296" t="s">
        <v>339</v>
      </c>
      <c r="B296" t="s">
        <v>356</v>
      </c>
      <c r="C296">
        <v>4.3499999999999996</v>
      </c>
      <c r="D296">
        <v>4</v>
      </c>
      <c r="E296">
        <v>7</v>
      </c>
      <c r="F296">
        <v>1</v>
      </c>
      <c r="H296">
        <v>0</v>
      </c>
      <c r="I296">
        <v>0</v>
      </c>
      <c r="J296">
        <v>0</v>
      </c>
      <c r="K296">
        <v>0</v>
      </c>
      <c r="L296">
        <v>0</v>
      </c>
      <c r="M296">
        <v>0</v>
      </c>
      <c r="N296">
        <v>0</v>
      </c>
    </row>
    <row r="297" spans="1:14" x14ac:dyDescent="0.2">
      <c r="A297" t="s">
        <v>357</v>
      </c>
      <c r="B297" t="s">
        <v>358</v>
      </c>
      <c r="C297">
        <v>1.44</v>
      </c>
      <c r="D297">
        <v>1</v>
      </c>
      <c r="E297">
        <v>8</v>
      </c>
      <c r="F297">
        <v>10</v>
      </c>
      <c r="H297">
        <v>0</v>
      </c>
      <c r="I297">
        <v>0</v>
      </c>
      <c r="J297">
        <v>0</v>
      </c>
      <c r="K297">
        <v>0</v>
      </c>
      <c r="L297">
        <v>0</v>
      </c>
      <c r="M297">
        <v>0</v>
      </c>
      <c r="N297">
        <v>0</v>
      </c>
    </row>
    <row r="298" spans="1:14" x14ac:dyDescent="0.2">
      <c r="A298" t="s">
        <v>359</v>
      </c>
      <c r="B298" t="s">
        <v>360</v>
      </c>
      <c r="C298">
        <v>0</v>
      </c>
      <c r="D298">
        <v>0</v>
      </c>
      <c r="E298">
        <v>0</v>
      </c>
      <c r="F298">
        <v>0</v>
      </c>
      <c r="G298" t="s">
        <v>361</v>
      </c>
      <c r="H298">
        <v>0</v>
      </c>
      <c r="I298">
        <v>0</v>
      </c>
      <c r="J298">
        <v>0</v>
      </c>
      <c r="K298">
        <v>0</v>
      </c>
      <c r="L298">
        <v>0</v>
      </c>
      <c r="M298">
        <v>0</v>
      </c>
      <c r="N298">
        <v>0</v>
      </c>
    </row>
    <row r="299" spans="1:14" x14ac:dyDescent="0.2">
      <c r="A299" t="s">
        <v>359</v>
      </c>
      <c r="B299" t="s">
        <v>289</v>
      </c>
      <c r="C299">
        <v>0</v>
      </c>
      <c r="D299">
        <v>0</v>
      </c>
      <c r="E299">
        <v>0</v>
      </c>
      <c r="F299">
        <v>0</v>
      </c>
      <c r="H299">
        <v>0</v>
      </c>
      <c r="I299">
        <v>0</v>
      </c>
      <c r="J299">
        <v>0</v>
      </c>
      <c r="K299">
        <v>0</v>
      </c>
      <c r="L299">
        <v>0</v>
      </c>
      <c r="M299">
        <v>0</v>
      </c>
      <c r="N299">
        <v>0</v>
      </c>
    </row>
    <row r="300" spans="1:14" x14ac:dyDescent="0.2">
      <c r="A300" t="s">
        <v>359</v>
      </c>
      <c r="B300" t="s">
        <v>362</v>
      </c>
      <c r="C300">
        <v>0.05</v>
      </c>
      <c r="D300">
        <v>0</v>
      </c>
      <c r="E300">
        <v>1</v>
      </c>
      <c r="F300">
        <v>1</v>
      </c>
      <c r="H300">
        <v>0</v>
      </c>
      <c r="I300">
        <v>0</v>
      </c>
      <c r="J300">
        <v>0</v>
      </c>
      <c r="K300">
        <v>0</v>
      </c>
      <c r="L300">
        <v>0</v>
      </c>
      <c r="M300">
        <v>0</v>
      </c>
      <c r="N300">
        <v>0</v>
      </c>
    </row>
    <row r="301" spans="1:14" x14ac:dyDescent="0.2">
      <c r="A301" t="s">
        <v>359</v>
      </c>
      <c r="B301" t="s">
        <v>363</v>
      </c>
      <c r="C301">
        <v>0.06</v>
      </c>
      <c r="D301">
        <v>0</v>
      </c>
      <c r="E301">
        <v>1</v>
      </c>
      <c r="F301">
        <v>3</v>
      </c>
      <c r="H301">
        <v>0</v>
      </c>
      <c r="I301">
        <v>0</v>
      </c>
      <c r="J301">
        <v>0</v>
      </c>
      <c r="K301">
        <v>0</v>
      </c>
      <c r="L301">
        <v>0</v>
      </c>
      <c r="M301">
        <v>0</v>
      </c>
      <c r="N301">
        <v>0</v>
      </c>
    </row>
    <row r="302" spans="1:14" x14ac:dyDescent="0.2">
      <c r="A302" t="s">
        <v>364</v>
      </c>
      <c r="B302" t="s">
        <v>365</v>
      </c>
      <c r="C302">
        <v>0.05</v>
      </c>
      <c r="D302">
        <v>0</v>
      </c>
      <c r="E302">
        <v>1</v>
      </c>
      <c r="F302">
        <v>0</v>
      </c>
      <c r="H302">
        <v>0</v>
      </c>
      <c r="I302">
        <v>0</v>
      </c>
      <c r="J302">
        <v>0</v>
      </c>
      <c r="K302">
        <v>0</v>
      </c>
      <c r="L302">
        <v>0</v>
      </c>
      <c r="M302">
        <v>0</v>
      </c>
      <c r="N302">
        <v>0</v>
      </c>
    </row>
    <row r="303" spans="1:14" x14ac:dyDescent="0.2">
      <c r="A303" t="s">
        <v>364</v>
      </c>
      <c r="B303" t="s">
        <v>366</v>
      </c>
      <c r="C303">
        <v>0.08</v>
      </c>
      <c r="D303">
        <v>0</v>
      </c>
      <c r="E303">
        <v>1</v>
      </c>
      <c r="F303">
        <v>6</v>
      </c>
      <c r="H303">
        <v>0</v>
      </c>
      <c r="I303">
        <v>0</v>
      </c>
      <c r="J303">
        <v>0</v>
      </c>
      <c r="K303">
        <v>0</v>
      </c>
      <c r="L303">
        <v>0</v>
      </c>
      <c r="M303">
        <v>0</v>
      </c>
      <c r="N303">
        <v>0</v>
      </c>
    </row>
    <row r="304" spans="1:14" x14ac:dyDescent="0.2">
      <c r="A304" t="s">
        <v>364</v>
      </c>
      <c r="B304" t="s">
        <v>367</v>
      </c>
      <c r="C304">
        <v>0.12</v>
      </c>
      <c r="D304">
        <v>0</v>
      </c>
      <c r="E304">
        <v>2</v>
      </c>
      <c r="F304">
        <v>6</v>
      </c>
      <c r="H304">
        <v>0</v>
      </c>
      <c r="I304">
        <v>0</v>
      </c>
      <c r="J304">
        <v>0</v>
      </c>
      <c r="K304">
        <v>0</v>
      </c>
      <c r="L304">
        <v>0</v>
      </c>
      <c r="M304">
        <v>0</v>
      </c>
      <c r="N304">
        <v>0</v>
      </c>
    </row>
    <row r="305" spans="1:14" x14ac:dyDescent="0.2">
      <c r="A305" t="s">
        <v>364</v>
      </c>
      <c r="B305" t="s">
        <v>368</v>
      </c>
      <c r="C305">
        <v>0.02</v>
      </c>
      <c r="D305">
        <v>0</v>
      </c>
      <c r="E305">
        <v>0</v>
      </c>
      <c r="F305">
        <v>4</v>
      </c>
      <c r="H305">
        <v>0</v>
      </c>
      <c r="I305">
        <v>0</v>
      </c>
      <c r="J305">
        <v>0</v>
      </c>
      <c r="K305">
        <v>0</v>
      </c>
      <c r="L305">
        <v>0</v>
      </c>
      <c r="M305">
        <v>0</v>
      </c>
      <c r="N305">
        <v>0</v>
      </c>
    </row>
    <row r="306" spans="1:14" x14ac:dyDescent="0.2">
      <c r="A306" t="s">
        <v>364</v>
      </c>
      <c r="B306" t="s">
        <v>369</v>
      </c>
      <c r="C306">
        <v>0.08</v>
      </c>
      <c r="D306">
        <v>0</v>
      </c>
      <c r="E306">
        <v>1</v>
      </c>
      <c r="F306">
        <v>6</v>
      </c>
      <c r="H306">
        <v>0</v>
      </c>
      <c r="I306">
        <v>0</v>
      </c>
      <c r="J306">
        <v>0</v>
      </c>
      <c r="K306">
        <v>0</v>
      </c>
      <c r="L306">
        <v>0</v>
      </c>
      <c r="M306">
        <v>0</v>
      </c>
      <c r="N306">
        <v>0</v>
      </c>
    </row>
    <row r="307" spans="1:14" x14ac:dyDescent="0.2">
      <c r="A307" t="s">
        <v>364</v>
      </c>
      <c r="B307" t="s">
        <v>370</v>
      </c>
      <c r="C307">
        <v>0.01</v>
      </c>
      <c r="D307">
        <v>0</v>
      </c>
      <c r="E307">
        <v>0</v>
      </c>
      <c r="F307">
        <v>2</v>
      </c>
      <c r="H307">
        <v>0</v>
      </c>
      <c r="I307">
        <v>0</v>
      </c>
      <c r="J307">
        <v>0</v>
      </c>
      <c r="K307">
        <v>0</v>
      </c>
      <c r="L307">
        <v>0</v>
      </c>
      <c r="M307">
        <v>0</v>
      </c>
      <c r="N307">
        <v>0</v>
      </c>
    </row>
    <row r="308" spans="1:14" x14ac:dyDescent="0.2">
      <c r="A308" t="s">
        <v>364</v>
      </c>
      <c r="B308" t="s">
        <v>371</v>
      </c>
      <c r="C308">
        <v>0.05</v>
      </c>
      <c r="D308">
        <v>0</v>
      </c>
      <c r="E308">
        <v>1</v>
      </c>
      <c r="F308">
        <v>0</v>
      </c>
      <c r="H308">
        <v>0</v>
      </c>
      <c r="I308">
        <v>0</v>
      </c>
      <c r="J308">
        <v>0</v>
      </c>
      <c r="K308">
        <v>0</v>
      </c>
      <c r="L308">
        <v>0</v>
      </c>
      <c r="M308">
        <v>0</v>
      </c>
      <c r="N308">
        <v>0</v>
      </c>
    </row>
    <row r="309" spans="1:14" x14ac:dyDescent="0.2">
      <c r="A309" t="s">
        <v>372</v>
      </c>
      <c r="B309" t="s">
        <v>373</v>
      </c>
      <c r="C309">
        <v>0.72</v>
      </c>
      <c r="D309">
        <v>0</v>
      </c>
      <c r="E309">
        <v>14</v>
      </c>
      <c r="F309">
        <v>5.5</v>
      </c>
      <c r="H309">
        <v>0</v>
      </c>
      <c r="I309">
        <v>0</v>
      </c>
      <c r="J309">
        <v>0</v>
      </c>
      <c r="K309">
        <v>0</v>
      </c>
      <c r="L309">
        <v>0</v>
      </c>
      <c r="M309">
        <v>0</v>
      </c>
      <c r="N309">
        <v>0</v>
      </c>
    </row>
    <row r="310" spans="1:14" x14ac:dyDescent="0.2">
      <c r="A310" t="s">
        <v>372</v>
      </c>
      <c r="B310" t="s">
        <v>374</v>
      </c>
      <c r="C310">
        <v>0.3</v>
      </c>
      <c r="D310">
        <v>0</v>
      </c>
      <c r="E310">
        <v>6</v>
      </c>
      <c r="F310">
        <v>1</v>
      </c>
      <c r="H310">
        <v>0</v>
      </c>
      <c r="I310">
        <v>0</v>
      </c>
      <c r="J310">
        <v>0</v>
      </c>
      <c r="K310">
        <v>0</v>
      </c>
      <c r="L310">
        <v>0</v>
      </c>
      <c r="M310">
        <v>0</v>
      </c>
      <c r="N310">
        <v>0</v>
      </c>
    </row>
    <row r="311" spans="1:14" x14ac:dyDescent="0.2">
      <c r="A311" t="s">
        <v>372</v>
      </c>
      <c r="B311" t="s">
        <v>289</v>
      </c>
      <c r="C311">
        <v>0</v>
      </c>
      <c r="D311">
        <v>0</v>
      </c>
      <c r="E311">
        <v>0</v>
      </c>
      <c r="F311">
        <v>0</v>
      </c>
      <c r="H311">
        <v>0</v>
      </c>
      <c r="I311">
        <v>0</v>
      </c>
      <c r="J311">
        <v>0</v>
      </c>
      <c r="K311">
        <v>0</v>
      </c>
      <c r="L311">
        <v>0</v>
      </c>
      <c r="M311">
        <v>0</v>
      </c>
      <c r="N311">
        <v>0</v>
      </c>
    </row>
    <row r="312" spans="1:14" x14ac:dyDescent="0.2">
      <c r="A312" t="s">
        <v>372</v>
      </c>
      <c r="B312" t="s">
        <v>375</v>
      </c>
      <c r="C312">
        <v>0.48</v>
      </c>
      <c r="D312">
        <v>0</v>
      </c>
      <c r="E312">
        <v>9</v>
      </c>
      <c r="F312">
        <v>6</v>
      </c>
      <c r="H312">
        <v>0</v>
      </c>
      <c r="I312">
        <v>0</v>
      </c>
      <c r="J312">
        <v>0</v>
      </c>
      <c r="K312">
        <v>0</v>
      </c>
      <c r="L312">
        <v>0</v>
      </c>
      <c r="M312">
        <v>0</v>
      </c>
      <c r="N312">
        <v>0</v>
      </c>
    </row>
    <row r="313" spans="1:14" x14ac:dyDescent="0.2">
      <c r="A313" t="s">
        <v>372</v>
      </c>
      <c r="B313" t="s">
        <v>289</v>
      </c>
      <c r="C313">
        <v>0</v>
      </c>
      <c r="D313">
        <v>0</v>
      </c>
      <c r="E313">
        <v>0</v>
      </c>
      <c r="F313">
        <v>0</v>
      </c>
      <c r="H313">
        <v>0</v>
      </c>
      <c r="I313">
        <v>0</v>
      </c>
      <c r="J313">
        <v>0</v>
      </c>
      <c r="K313">
        <v>0</v>
      </c>
      <c r="L313">
        <v>0</v>
      </c>
      <c r="M313">
        <v>0</v>
      </c>
      <c r="N313">
        <v>0</v>
      </c>
    </row>
    <row r="314" spans="1:14" x14ac:dyDescent="0.2">
      <c r="A314" t="s">
        <v>372</v>
      </c>
      <c r="B314" t="s">
        <v>376</v>
      </c>
      <c r="C314">
        <v>0.48</v>
      </c>
      <c r="D314">
        <v>0</v>
      </c>
      <c r="E314">
        <v>9</v>
      </c>
      <c r="F314">
        <v>6</v>
      </c>
      <c r="H314">
        <v>0</v>
      </c>
      <c r="I314">
        <v>0</v>
      </c>
      <c r="J314">
        <v>0</v>
      </c>
      <c r="K314">
        <v>0</v>
      </c>
      <c r="L314">
        <v>0</v>
      </c>
      <c r="M314">
        <v>0</v>
      </c>
      <c r="N314">
        <v>0</v>
      </c>
    </row>
    <row r="315" spans="1:14" x14ac:dyDescent="0.2">
      <c r="A315" t="s">
        <v>372</v>
      </c>
      <c r="B315" t="s">
        <v>377</v>
      </c>
      <c r="C315">
        <v>0.34</v>
      </c>
      <c r="D315">
        <v>0</v>
      </c>
      <c r="E315">
        <v>6</v>
      </c>
      <c r="F315">
        <v>10</v>
      </c>
      <c r="H315">
        <v>0</v>
      </c>
      <c r="I315">
        <v>0</v>
      </c>
      <c r="J315">
        <v>0</v>
      </c>
      <c r="K315">
        <v>0</v>
      </c>
      <c r="L315">
        <v>0</v>
      </c>
      <c r="M315">
        <v>0</v>
      </c>
      <c r="N315">
        <v>0</v>
      </c>
    </row>
    <row r="316" spans="1:14" x14ac:dyDescent="0.2">
      <c r="A316" t="s">
        <v>372</v>
      </c>
      <c r="B316" t="s">
        <v>289</v>
      </c>
      <c r="C316">
        <v>0</v>
      </c>
      <c r="D316">
        <v>0</v>
      </c>
      <c r="E316">
        <v>0</v>
      </c>
      <c r="F316">
        <v>0</v>
      </c>
      <c r="H316">
        <v>0</v>
      </c>
      <c r="I316">
        <v>0</v>
      </c>
      <c r="J316">
        <v>0</v>
      </c>
      <c r="K316">
        <v>0</v>
      </c>
      <c r="L316">
        <v>0</v>
      </c>
      <c r="M316">
        <v>0</v>
      </c>
      <c r="N316">
        <v>0</v>
      </c>
    </row>
    <row r="317" spans="1:14" x14ac:dyDescent="0.2">
      <c r="A317" t="s">
        <v>372</v>
      </c>
      <c r="B317" t="s">
        <v>378</v>
      </c>
      <c r="C317">
        <v>0.23</v>
      </c>
      <c r="D317">
        <v>0</v>
      </c>
      <c r="E317">
        <v>4</v>
      </c>
      <c r="F317">
        <v>8</v>
      </c>
      <c r="G317" t="s">
        <v>204</v>
      </c>
      <c r="H317">
        <v>0</v>
      </c>
      <c r="I317">
        <v>0</v>
      </c>
      <c r="J317">
        <v>0</v>
      </c>
      <c r="K317">
        <v>0</v>
      </c>
      <c r="L317">
        <v>0</v>
      </c>
      <c r="M317">
        <v>0</v>
      </c>
      <c r="N317">
        <v>0</v>
      </c>
    </row>
    <row r="318" spans="1:14" x14ac:dyDescent="0.2">
      <c r="A318" t="s">
        <v>372</v>
      </c>
      <c r="B318" t="s">
        <v>379</v>
      </c>
      <c r="C318">
        <v>2.5499999999999998</v>
      </c>
      <c r="D318">
        <v>2</v>
      </c>
      <c r="E318">
        <v>11</v>
      </c>
      <c r="F318">
        <v>0.5</v>
      </c>
      <c r="H318">
        <v>0</v>
      </c>
      <c r="I318">
        <v>0</v>
      </c>
      <c r="J318">
        <v>0</v>
      </c>
      <c r="K318">
        <v>0</v>
      </c>
      <c r="L318">
        <v>0</v>
      </c>
      <c r="M318">
        <v>0</v>
      </c>
      <c r="N318">
        <v>0</v>
      </c>
    </row>
    <row r="319" spans="1:14" x14ac:dyDescent="0.2">
      <c r="A319" t="s">
        <v>380</v>
      </c>
      <c r="B319" t="s">
        <v>381</v>
      </c>
      <c r="C319">
        <v>0.02</v>
      </c>
      <c r="D319">
        <v>0</v>
      </c>
      <c r="E319">
        <v>0</v>
      </c>
      <c r="F319">
        <v>5</v>
      </c>
      <c r="H319">
        <v>0</v>
      </c>
      <c r="I319">
        <v>0</v>
      </c>
      <c r="J319">
        <v>0</v>
      </c>
      <c r="K319">
        <v>0</v>
      </c>
      <c r="L319">
        <v>0</v>
      </c>
      <c r="M319">
        <v>0</v>
      </c>
      <c r="N319">
        <v>0</v>
      </c>
    </row>
    <row r="320" spans="1:14" x14ac:dyDescent="0.2">
      <c r="A320" t="s">
        <v>380</v>
      </c>
      <c r="B320" t="s">
        <v>382</v>
      </c>
      <c r="C320">
        <v>0.02</v>
      </c>
      <c r="D320">
        <v>0</v>
      </c>
      <c r="E320">
        <v>0</v>
      </c>
      <c r="F320">
        <v>5</v>
      </c>
      <c r="H320">
        <v>0</v>
      </c>
      <c r="I320">
        <v>0</v>
      </c>
      <c r="J320">
        <v>0</v>
      </c>
      <c r="K320">
        <v>0</v>
      </c>
      <c r="L320">
        <v>0</v>
      </c>
      <c r="M320">
        <v>0</v>
      </c>
      <c r="N320">
        <v>0</v>
      </c>
    </row>
    <row r="321" spans="1:14" x14ac:dyDescent="0.2">
      <c r="A321" t="s">
        <v>380</v>
      </c>
      <c r="B321" t="s">
        <v>383</v>
      </c>
      <c r="C321">
        <v>0.12</v>
      </c>
      <c r="D321">
        <v>0</v>
      </c>
      <c r="E321">
        <v>2</v>
      </c>
      <c r="F321">
        <v>6</v>
      </c>
      <c r="H321">
        <v>0</v>
      </c>
      <c r="I321">
        <v>0</v>
      </c>
      <c r="J321">
        <v>0</v>
      </c>
      <c r="K321">
        <v>0</v>
      </c>
      <c r="L321">
        <v>0</v>
      </c>
      <c r="M321">
        <v>0</v>
      </c>
      <c r="N321">
        <v>0</v>
      </c>
    </row>
    <row r="322" spans="1:14" x14ac:dyDescent="0.2">
      <c r="A322" t="s">
        <v>380</v>
      </c>
      <c r="B322" t="s">
        <v>384</v>
      </c>
      <c r="C322">
        <v>0.12</v>
      </c>
      <c r="D322">
        <v>0</v>
      </c>
      <c r="E322">
        <v>2</v>
      </c>
      <c r="F322">
        <v>6</v>
      </c>
      <c r="H322">
        <v>0</v>
      </c>
      <c r="I322">
        <v>0</v>
      </c>
      <c r="J322">
        <v>0</v>
      </c>
      <c r="K322">
        <v>0</v>
      </c>
      <c r="L322">
        <v>0</v>
      </c>
      <c r="M322">
        <v>0</v>
      </c>
      <c r="N322">
        <v>0</v>
      </c>
    </row>
    <row r="323" spans="1:14" x14ac:dyDescent="0.2">
      <c r="A323" t="s">
        <v>380</v>
      </c>
      <c r="B323" t="s">
        <v>385</v>
      </c>
      <c r="C323">
        <v>0.04</v>
      </c>
      <c r="D323">
        <v>0</v>
      </c>
      <c r="E323">
        <v>0</v>
      </c>
      <c r="F323">
        <v>8.5</v>
      </c>
      <c r="H323">
        <v>0</v>
      </c>
      <c r="I323">
        <v>0</v>
      </c>
      <c r="J323">
        <v>0</v>
      </c>
      <c r="K323">
        <v>0</v>
      </c>
      <c r="L323">
        <v>0</v>
      </c>
      <c r="M323">
        <v>0</v>
      </c>
      <c r="N323">
        <v>0</v>
      </c>
    </row>
    <row r="324" spans="1:14" x14ac:dyDescent="0.2">
      <c r="A324" t="s">
        <v>380</v>
      </c>
      <c r="B324" t="s">
        <v>386</v>
      </c>
      <c r="C324">
        <v>0.17</v>
      </c>
      <c r="D324">
        <v>0</v>
      </c>
      <c r="E324">
        <v>3</v>
      </c>
      <c r="F324">
        <v>4</v>
      </c>
      <c r="H324">
        <v>0</v>
      </c>
      <c r="I324">
        <v>0</v>
      </c>
      <c r="J324">
        <v>0</v>
      </c>
      <c r="K324">
        <v>0</v>
      </c>
      <c r="L324">
        <v>0</v>
      </c>
      <c r="M324">
        <v>0</v>
      </c>
      <c r="N324">
        <v>0</v>
      </c>
    </row>
    <row r="325" spans="1:14" x14ac:dyDescent="0.2">
      <c r="A325" t="s">
        <v>387</v>
      </c>
      <c r="B325" t="s">
        <v>388</v>
      </c>
      <c r="C325">
        <v>1.1000000000000001</v>
      </c>
      <c r="D325">
        <v>1</v>
      </c>
      <c r="E325">
        <v>2</v>
      </c>
      <c r="F325">
        <v>0</v>
      </c>
      <c r="H325">
        <v>0</v>
      </c>
      <c r="I325">
        <v>0</v>
      </c>
      <c r="J325">
        <v>0</v>
      </c>
      <c r="K325">
        <v>0</v>
      </c>
      <c r="L325">
        <v>0</v>
      </c>
      <c r="M325">
        <v>0</v>
      </c>
      <c r="N325">
        <v>0</v>
      </c>
    </row>
    <row r="326" spans="1:14" x14ac:dyDescent="0.2">
      <c r="A326" t="s">
        <v>387</v>
      </c>
      <c r="B326" t="s">
        <v>389</v>
      </c>
      <c r="C326">
        <v>1.6</v>
      </c>
      <c r="D326">
        <v>1</v>
      </c>
      <c r="E326">
        <v>12</v>
      </c>
      <c r="F326">
        <v>1</v>
      </c>
      <c r="H326">
        <v>0</v>
      </c>
      <c r="I326">
        <v>0</v>
      </c>
      <c r="J326">
        <v>0</v>
      </c>
      <c r="K326">
        <v>0</v>
      </c>
      <c r="L326">
        <v>0</v>
      </c>
      <c r="M326">
        <v>0</v>
      </c>
      <c r="N326">
        <v>0</v>
      </c>
    </row>
    <row r="327" spans="1:14" x14ac:dyDescent="0.2">
      <c r="A327" t="s">
        <v>387</v>
      </c>
      <c r="B327" t="s">
        <v>390</v>
      </c>
      <c r="C327">
        <v>0.15</v>
      </c>
      <c r="D327">
        <v>0</v>
      </c>
      <c r="E327">
        <v>3</v>
      </c>
      <c r="F327">
        <v>0</v>
      </c>
      <c r="H327">
        <v>0</v>
      </c>
      <c r="I327">
        <v>0</v>
      </c>
      <c r="J327">
        <v>0</v>
      </c>
      <c r="K327">
        <v>0</v>
      </c>
      <c r="L327">
        <v>0</v>
      </c>
      <c r="M327">
        <v>0</v>
      </c>
      <c r="N327">
        <v>0</v>
      </c>
    </row>
    <row r="328" spans="1:14" x14ac:dyDescent="0.2">
      <c r="A328" t="s">
        <v>387</v>
      </c>
      <c r="B328" t="s">
        <v>391</v>
      </c>
      <c r="C328">
        <v>2</v>
      </c>
      <c r="D328">
        <v>2</v>
      </c>
      <c r="E328">
        <v>0</v>
      </c>
      <c r="F328">
        <v>0</v>
      </c>
      <c r="H328">
        <v>0</v>
      </c>
      <c r="I328">
        <v>0</v>
      </c>
      <c r="J328">
        <v>0</v>
      </c>
      <c r="K328">
        <v>0</v>
      </c>
      <c r="L328">
        <v>0</v>
      </c>
      <c r="M328">
        <v>0</v>
      </c>
      <c r="N328">
        <v>0</v>
      </c>
    </row>
    <row r="329" spans="1:14" x14ac:dyDescent="0.2">
      <c r="A329" t="s">
        <v>387</v>
      </c>
      <c r="B329" t="s">
        <v>392</v>
      </c>
      <c r="C329">
        <v>5.05</v>
      </c>
      <c r="D329">
        <v>5</v>
      </c>
      <c r="E329">
        <v>1</v>
      </c>
      <c r="F329">
        <v>0</v>
      </c>
      <c r="H329">
        <v>0</v>
      </c>
      <c r="I329">
        <v>0</v>
      </c>
      <c r="J329">
        <v>0</v>
      </c>
      <c r="K329">
        <v>0</v>
      </c>
      <c r="L329">
        <v>0</v>
      </c>
      <c r="M329">
        <v>0</v>
      </c>
      <c r="N329">
        <v>0</v>
      </c>
    </row>
    <row r="330" spans="1:14" x14ac:dyDescent="0.2">
      <c r="A330" t="s">
        <v>393</v>
      </c>
      <c r="B330" t="s">
        <v>394</v>
      </c>
      <c r="C330">
        <v>1.52</v>
      </c>
      <c r="D330">
        <v>1</v>
      </c>
      <c r="E330">
        <v>10</v>
      </c>
      <c r="F330">
        <v>5</v>
      </c>
      <c r="H330">
        <v>0</v>
      </c>
      <c r="I330">
        <v>0</v>
      </c>
      <c r="J330">
        <v>0</v>
      </c>
      <c r="K330">
        <v>0</v>
      </c>
      <c r="L330">
        <v>0</v>
      </c>
      <c r="M330">
        <v>0</v>
      </c>
      <c r="N330">
        <v>0</v>
      </c>
    </row>
    <row r="331" spans="1:14" x14ac:dyDescent="0.2">
      <c r="A331" t="s">
        <v>395</v>
      </c>
      <c r="B331" t="s">
        <v>396</v>
      </c>
      <c r="C331">
        <v>17.91</v>
      </c>
      <c r="D331">
        <v>17</v>
      </c>
      <c r="E331">
        <v>18</v>
      </c>
      <c r="F331">
        <v>2.25</v>
      </c>
      <c r="H331">
        <v>0</v>
      </c>
      <c r="I331">
        <v>0</v>
      </c>
      <c r="J331">
        <v>0</v>
      </c>
      <c r="K331">
        <v>0</v>
      </c>
      <c r="L331">
        <v>0</v>
      </c>
      <c r="M331">
        <v>0</v>
      </c>
      <c r="N331">
        <v>0</v>
      </c>
    </row>
    <row r="332" spans="1:14" x14ac:dyDescent="0.2">
      <c r="A332" t="s">
        <v>397</v>
      </c>
      <c r="B332" t="s">
        <v>398</v>
      </c>
      <c r="C332">
        <v>0.51</v>
      </c>
      <c r="D332">
        <v>0</v>
      </c>
      <c r="E332">
        <v>10</v>
      </c>
      <c r="F332">
        <v>1.5</v>
      </c>
      <c r="H332">
        <v>0</v>
      </c>
      <c r="I332">
        <v>0</v>
      </c>
      <c r="J332">
        <v>0</v>
      </c>
      <c r="K332">
        <v>0</v>
      </c>
      <c r="L332">
        <v>0</v>
      </c>
      <c r="M332">
        <v>0</v>
      </c>
      <c r="N332">
        <v>0</v>
      </c>
    </row>
    <row r="333" spans="1:14" x14ac:dyDescent="0.2">
      <c r="A333" t="s">
        <v>397</v>
      </c>
      <c r="B333" t="s">
        <v>289</v>
      </c>
      <c r="C333">
        <v>0</v>
      </c>
      <c r="D333">
        <v>0</v>
      </c>
      <c r="E333">
        <v>0</v>
      </c>
      <c r="F333">
        <v>0</v>
      </c>
      <c r="H333">
        <v>0</v>
      </c>
      <c r="I333">
        <v>0</v>
      </c>
      <c r="J333">
        <v>0</v>
      </c>
      <c r="K333">
        <v>0</v>
      </c>
      <c r="L333">
        <v>0</v>
      </c>
      <c r="M333">
        <v>0</v>
      </c>
      <c r="N333">
        <v>0</v>
      </c>
    </row>
    <row r="334" spans="1:14" x14ac:dyDescent="0.2">
      <c r="A334" t="s">
        <v>397</v>
      </c>
      <c r="B334" t="s">
        <v>399</v>
      </c>
      <c r="C334">
        <v>0.17</v>
      </c>
      <c r="D334">
        <v>0</v>
      </c>
      <c r="E334">
        <v>3</v>
      </c>
      <c r="F334">
        <v>6</v>
      </c>
      <c r="H334">
        <v>0</v>
      </c>
      <c r="I334">
        <v>0</v>
      </c>
      <c r="J334">
        <v>0</v>
      </c>
      <c r="K334">
        <v>0</v>
      </c>
      <c r="L334">
        <v>0</v>
      </c>
      <c r="M334">
        <v>0</v>
      </c>
      <c r="N334">
        <v>0</v>
      </c>
    </row>
    <row r="335" spans="1:14" x14ac:dyDescent="0.2">
      <c r="A335" t="s">
        <v>397</v>
      </c>
      <c r="B335" t="s">
        <v>400</v>
      </c>
      <c r="C335">
        <v>0.1</v>
      </c>
      <c r="D335">
        <v>0</v>
      </c>
      <c r="E335">
        <v>2</v>
      </c>
      <c r="F335">
        <v>0</v>
      </c>
      <c r="H335">
        <v>0</v>
      </c>
      <c r="I335">
        <v>0</v>
      </c>
      <c r="J335">
        <v>0</v>
      </c>
      <c r="K335">
        <v>0</v>
      </c>
      <c r="L335">
        <v>0</v>
      </c>
      <c r="M335">
        <v>0</v>
      </c>
      <c r="N335">
        <v>0</v>
      </c>
    </row>
    <row r="336" spans="1:14" x14ac:dyDescent="0.2">
      <c r="A336" t="s">
        <v>397</v>
      </c>
      <c r="B336" t="s">
        <v>401</v>
      </c>
      <c r="C336">
        <v>0.08</v>
      </c>
      <c r="D336">
        <v>0</v>
      </c>
      <c r="E336">
        <v>1</v>
      </c>
      <c r="F336">
        <v>8</v>
      </c>
      <c r="H336">
        <v>0</v>
      </c>
      <c r="I336">
        <v>0</v>
      </c>
      <c r="J336">
        <v>0</v>
      </c>
      <c r="K336">
        <v>0</v>
      </c>
      <c r="L336">
        <v>0</v>
      </c>
      <c r="M336">
        <v>0</v>
      </c>
      <c r="N336">
        <v>0</v>
      </c>
    </row>
    <row r="337" spans="1:14" x14ac:dyDescent="0.2">
      <c r="A337" t="s">
        <v>397</v>
      </c>
      <c r="B337" t="s">
        <v>402</v>
      </c>
      <c r="C337">
        <v>0.44</v>
      </c>
      <c r="D337">
        <v>0</v>
      </c>
      <c r="E337">
        <v>8</v>
      </c>
      <c r="F337">
        <v>9</v>
      </c>
      <c r="H337">
        <v>0</v>
      </c>
      <c r="I337">
        <v>0</v>
      </c>
      <c r="J337">
        <v>0</v>
      </c>
      <c r="K337">
        <v>0</v>
      </c>
      <c r="L337">
        <v>0</v>
      </c>
      <c r="M337">
        <v>0</v>
      </c>
      <c r="N337">
        <v>0</v>
      </c>
    </row>
    <row r="338" spans="1:14" x14ac:dyDescent="0.2">
      <c r="A338" t="s">
        <v>397</v>
      </c>
      <c r="B338" t="s">
        <v>289</v>
      </c>
      <c r="C338">
        <v>0</v>
      </c>
      <c r="D338">
        <v>0</v>
      </c>
      <c r="E338">
        <v>0</v>
      </c>
      <c r="F338">
        <v>0</v>
      </c>
      <c r="H338">
        <v>0</v>
      </c>
      <c r="I338">
        <v>0</v>
      </c>
      <c r="J338">
        <v>0</v>
      </c>
      <c r="K338">
        <v>0</v>
      </c>
      <c r="L338">
        <v>0</v>
      </c>
      <c r="M338">
        <v>0</v>
      </c>
      <c r="N338">
        <v>0</v>
      </c>
    </row>
    <row r="339" spans="1:14" x14ac:dyDescent="0.2">
      <c r="A339" t="s">
        <v>397</v>
      </c>
      <c r="B339" t="s">
        <v>403</v>
      </c>
      <c r="C339">
        <v>7.0000000000000007E-2</v>
      </c>
      <c r="D339">
        <v>0</v>
      </c>
      <c r="E339">
        <v>1</v>
      </c>
      <c r="F339">
        <v>4</v>
      </c>
      <c r="H339">
        <v>0</v>
      </c>
      <c r="I339">
        <v>0</v>
      </c>
      <c r="J339">
        <v>0</v>
      </c>
      <c r="K339">
        <v>0</v>
      </c>
      <c r="L339">
        <v>0</v>
      </c>
      <c r="M339">
        <v>0</v>
      </c>
      <c r="N339">
        <v>0</v>
      </c>
    </row>
    <row r="340" spans="1:14" x14ac:dyDescent="0.2">
      <c r="A340" t="s">
        <v>397</v>
      </c>
      <c r="B340" t="s">
        <v>404</v>
      </c>
      <c r="C340">
        <v>0.1</v>
      </c>
      <c r="D340">
        <v>0</v>
      </c>
      <c r="E340">
        <v>1</v>
      </c>
      <c r="F340">
        <v>11</v>
      </c>
      <c r="H340">
        <v>0</v>
      </c>
      <c r="I340">
        <v>0</v>
      </c>
      <c r="J340">
        <v>0</v>
      </c>
      <c r="K340">
        <v>0</v>
      </c>
      <c r="L340">
        <v>0</v>
      </c>
      <c r="M340">
        <v>0</v>
      </c>
      <c r="N340">
        <v>0</v>
      </c>
    </row>
    <row r="341" spans="1:14" x14ac:dyDescent="0.2">
      <c r="A341" t="s">
        <v>397</v>
      </c>
      <c r="B341" t="s">
        <v>405</v>
      </c>
      <c r="C341">
        <v>0.4</v>
      </c>
      <c r="D341">
        <v>0</v>
      </c>
      <c r="E341">
        <v>8</v>
      </c>
      <c r="F341">
        <v>0</v>
      </c>
      <c r="H341">
        <v>0</v>
      </c>
      <c r="I341">
        <v>0</v>
      </c>
      <c r="J341">
        <v>0</v>
      </c>
      <c r="K341">
        <v>0</v>
      </c>
      <c r="L341">
        <v>0</v>
      </c>
      <c r="M341">
        <v>0</v>
      </c>
      <c r="N341">
        <v>0</v>
      </c>
    </row>
    <row r="342" spans="1:14" x14ac:dyDescent="0.2">
      <c r="A342" t="s">
        <v>397</v>
      </c>
      <c r="B342" t="s">
        <v>406</v>
      </c>
      <c r="C342">
        <v>0.65</v>
      </c>
      <c r="D342">
        <v>0</v>
      </c>
      <c r="E342">
        <v>13</v>
      </c>
      <c r="F342">
        <v>0</v>
      </c>
      <c r="H342">
        <v>0</v>
      </c>
      <c r="I342">
        <v>0</v>
      </c>
      <c r="J342">
        <v>0</v>
      </c>
      <c r="K342">
        <v>0</v>
      </c>
      <c r="L342">
        <v>0</v>
      </c>
      <c r="M342">
        <v>0</v>
      </c>
      <c r="N342">
        <v>0</v>
      </c>
    </row>
    <row r="343" spans="1:14" x14ac:dyDescent="0.2">
      <c r="A343" t="s">
        <v>397</v>
      </c>
      <c r="B343" t="s">
        <v>407</v>
      </c>
      <c r="C343">
        <v>0.03</v>
      </c>
      <c r="D343">
        <v>0</v>
      </c>
      <c r="E343">
        <v>0</v>
      </c>
      <c r="F343">
        <v>8</v>
      </c>
      <c r="H343">
        <v>0</v>
      </c>
      <c r="I343">
        <v>0</v>
      </c>
      <c r="J343">
        <v>0</v>
      </c>
      <c r="K343">
        <v>0</v>
      </c>
      <c r="L343">
        <v>0</v>
      </c>
      <c r="M343">
        <v>0</v>
      </c>
      <c r="N343">
        <v>0</v>
      </c>
    </row>
    <row r="344" spans="1:14" x14ac:dyDescent="0.2">
      <c r="A344" t="s">
        <v>397</v>
      </c>
      <c r="B344" t="s">
        <v>408</v>
      </c>
      <c r="C344">
        <v>0.01</v>
      </c>
      <c r="D344">
        <v>0</v>
      </c>
      <c r="E344">
        <v>0</v>
      </c>
      <c r="F344">
        <v>3</v>
      </c>
      <c r="H344">
        <v>0</v>
      </c>
      <c r="I344">
        <v>0</v>
      </c>
      <c r="J344">
        <v>0</v>
      </c>
      <c r="K344">
        <v>0</v>
      </c>
      <c r="L344">
        <v>0</v>
      </c>
      <c r="M344">
        <v>0</v>
      </c>
      <c r="N344">
        <v>0</v>
      </c>
    </row>
    <row r="345" spans="1:14" x14ac:dyDescent="0.2">
      <c r="A345" t="s">
        <v>397</v>
      </c>
      <c r="B345" t="s">
        <v>409</v>
      </c>
      <c r="C345">
        <v>1.18</v>
      </c>
      <c r="D345">
        <v>1</v>
      </c>
      <c r="E345">
        <v>3</v>
      </c>
      <c r="F345">
        <v>8</v>
      </c>
      <c r="H345">
        <v>0</v>
      </c>
      <c r="I345">
        <v>0</v>
      </c>
      <c r="J345">
        <v>0</v>
      </c>
      <c r="K345">
        <v>0</v>
      </c>
      <c r="L345">
        <v>0</v>
      </c>
      <c r="M345">
        <v>0</v>
      </c>
      <c r="N345">
        <v>0</v>
      </c>
    </row>
    <row r="346" spans="1:14" x14ac:dyDescent="0.2">
      <c r="A346" t="s">
        <v>410</v>
      </c>
      <c r="B346" t="s">
        <v>411</v>
      </c>
      <c r="C346">
        <v>54.45</v>
      </c>
      <c r="D346">
        <v>54</v>
      </c>
      <c r="E346">
        <v>9</v>
      </c>
      <c r="F346">
        <v>0.75</v>
      </c>
      <c r="H346">
        <v>0</v>
      </c>
      <c r="I346">
        <v>0</v>
      </c>
      <c r="J346">
        <v>0</v>
      </c>
      <c r="K346">
        <v>0</v>
      </c>
      <c r="L346">
        <v>0</v>
      </c>
      <c r="M346">
        <v>0</v>
      </c>
      <c r="N346">
        <v>0</v>
      </c>
    </row>
    <row r="347" spans="1:14" x14ac:dyDescent="0.2">
      <c r="A347" t="s">
        <v>412</v>
      </c>
      <c r="B347" t="s">
        <v>413</v>
      </c>
      <c r="C347">
        <v>175.74</v>
      </c>
      <c r="D347">
        <v>175</v>
      </c>
      <c r="E347">
        <v>14</v>
      </c>
      <c r="F347">
        <v>9.5</v>
      </c>
      <c r="H347">
        <v>0</v>
      </c>
      <c r="I347">
        <v>0</v>
      </c>
      <c r="J347">
        <v>0</v>
      </c>
      <c r="K347">
        <v>0</v>
      </c>
      <c r="L347">
        <v>0</v>
      </c>
      <c r="M347">
        <v>0</v>
      </c>
      <c r="N347">
        <v>0</v>
      </c>
    </row>
    <row r="348" spans="1:14" x14ac:dyDescent="0.2">
      <c r="A348" t="s">
        <v>414</v>
      </c>
      <c r="B348" t="s">
        <v>415</v>
      </c>
      <c r="C348">
        <v>116.16</v>
      </c>
      <c r="D348">
        <v>116</v>
      </c>
      <c r="E348">
        <v>3</v>
      </c>
      <c r="F348">
        <v>2</v>
      </c>
      <c r="H348">
        <v>0</v>
      </c>
      <c r="I348">
        <v>0</v>
      </c>
      <c r="J348">
        <v>0</v>
      </c>
      <c r="K348">
        <v>0</v>
      </c>
      <c r="L348">
        <v>0</v>
      </c>
      <c r="M348">
        <v>0</v>
      </c>
      <c r="N348">
        <v>0</v>
      </c>
    </row>
    <row r="349" spans="1:14" x14ac:dyDescent="0.2">
      <c r="A349" t="s">
        <v>416</v>
      </c>
      <c r="B349" t="s">
        <v>417</v>
      </c>
      <c r="C349">
        <v>59.58</v>
      </c>
      <c r="D349">
        <v>59</v>
      </c>
      <c r="E349">
        <v>11</v>
      </c>
      <c r="F349">
        <v>7.5</v>
      </c>
      <c r="H349">
        <v>0</v>
      </c>
      <c r="I349">
        <v>0</v>
      </c>
      <c r="J349">
        <v>0</v>
      </c>
      <c r="K349">
        <v>0</v>
      </c>
      <c r="L349">
        <v>0</v>
      </c>
      <c r="M349">
        <v>0</v>
      </c>
      <c r="N349">
        <v>0</v>
      </c>
    </row>
    <row r="350" spans="1:14" x14ac:dyDescent="0.2">
      <c r="A350" t="s">
        <v>418</v>
      </c>
      <c r="B350" t="s">
        <v>419</v>
      </c>
      <c r="C350">
        <v>0</v>
      </c>
      <c r="D350">
        <v>0</v>
      </c>
      <c r="E350">
        <v>0</v>
      </c>
      <c r="F350">
        <v>0</v>
      </c>
      <c r="H350">
        <v>5</v>
      </c>
      <c r="I350">
        <v>1.5</v>
      </c>
      <c r="J350">
        <v>5.1875</v>
      </c>
      <c r="K350">
        <v>5.1875</v>
      </c>
      <c r="L350">
        <v>0</v>
      </c>
      <c r="M350">
        <v>5</v>
      </c>
      <c r="N350">
        <v>1.5</v>
      </c>
    </row>
    <row r="351" spans="1:14" x14ac:dyDescent="0.2">
      <c r="A351" t="s">
        <v>418</v>
      </c>
      <c r="B351" t="s">
        <v>420</v>
      </c>
      <c r="C351">
        <v>0</v>
      </c>
      <c r="D351">
        <v>0</v>
      </c>
      <c r="E351">
        <v>0</v>
      </c>
      <c r="F351">
        <v>0</v>
      </c>
      <c r="G351" t="s">
        <v>194</v>
      </c>
      <c r="H351">
        <v>131.5</v>
      </c>
      <c r="I351">
        <v>0</v>
      </c>
      <c r="J351">
        <v>131.5</v>
      </c>
      <c r="K351">
        <v>131.5</v>
      </c>
      <c r="L351">
        <v>0</v>
      </c>
      <c r="M351">
        <v>131.5</v>
      </c>
      <c r="N351">
        <v>0</v>
      </c>
    </row>
    <row r="352" spans="1:14" x14ac:dyDescent="0.2">
      <c r="A352" t="s">
        <v>418</v>
      </c>
      <c r="B352" t="s">
        <v>421</v>
      </c>
      <c r="C352">
        <v>0</v>
      </c>
      <c r="D352">
        <v>0</v>
      </c>
      <c r="E352">
        <v>0</v>
      </c>
      <c r="F352">
        <v>0</v>
      </c>
      <c r="H352">
        <v>0</v>
      </c>
      <c r="I352">
        <v>6</v>
      </c>
      <c r="J352">
        <v>0.75</v>
      </c>
      <c r="K352">
        <v>0.75</v>
      </c>
      <c r="L352">
        <v>0</v>
      </c>
      <c r="M352">
        <v>0</v>
      </c>
      <c r="N352">
        <v>6</v>
      </c>
    </row>
    <row r="353" spans="1:18" x14ac:dyDescent="0.2">
      <c r="A353" t="s">
        <v>418</v>
      </c>
      <c r="B353" t="s">
        <v>422</v>
      </c>
      <c r="C353">
        <v>0</v>
      </c>
      <c r="D353">
        <v>0</v>
      </c>
      <c r="E353">
        <v>0</v>
      </c>
      <c r="F353">
        <v>0</v>
      </c>
      <c r="H353">
        <v>1.32</v>
      </c>
      <c r="I353">
        <v>2</v>
      </c>
      <c r="J353">
        <v>1.57</v>
      </c>
      <c r="K353">
        <v>1.57</v>
      </c>
      <c r="L353">
        <v>0</v>
      </c>
      <c r="M353">
        <v>1.32</v>
      </c>
      <c r="N353">
        <v>2</v>
      </c>
    </row>
    <row r="354" spans="1:18" x14ac:dyDescent="0.2">
      <c r="A354" t="s">
        <v>418</v>
      </c>
      <c r="B354" t="s">
        <v>423</v>
      </c>
      <c r="C354">
        <v>0</v>
      </c>
      <c r="D354">
        <v>0</v>
      </c>
      <c r="E354">
        <v>0</v>
      </c>
      <c r="F354">
        <v>0</v>
      </c>
      <c r="H354">
        <v>47</v>
      </c>
      <c r="I354">
        <v>1</v>
      </c>
      <c r="J354">
        <v>47.125</v>
      </c>
      <c r="K354">
        <v>47.125</v>
      </c>
      <c r="L354">
        <v>0</v>
      </c>
      <c r="M354">
        <v>47</v>
      </c>
      <c r="N354">
        <v>1</v>
      </c>
    </row>
    <row r="355" spans="1:18" x14ac:dyDescent="0.2">
      <c r="A355" t="s">
        <v>418</v>
      </c>
      <c r="B355" t="s">
        <v>424</v>
      </c>
      <c r="C355">
        <v>0</v>
      </c>
      <c r="D355">
        <v>0</v>
      </c>
      <c r="E355">
        <v>0</v>
      </c>
      <c r="F355">
        <v>0</v>
      </c>
      <c r="H355">
        <v>0</v>
      </c>
      <c r="I355">
        <v>5</v>
      </c>
      <c r="J355">
        <v>0.625</v>
      </c>
      <c r="K355">
        <v>0.625</v>
      </c>
      <c r="L355">
        <v>0</v>
      </c>
      <c r="M355">
        <v>0</v>
      </c>
      <c r="N355">
        <v>5</v>
      </c>
    </row>
    <row r="356" spans="1:18" x14ac:dyDescent="0.2">
      <c r="A356" t="s">
        <v>418</v>
      </c>
      <c r="B356" t="s">
        <v>289</v>
      </c>
      <c r="C356">
        <v>0</v>
      </c>
      <c r="D356">
        <v>0</v>
      </c>
      <c r="E356">
        <v>0</v>
      </c>
      <c r="F356">
        <v>0</v>
      </c>
      <c r="H356">
        <v>0</v>
      </c>
      <c r="I356">
        <v>0</v>
      </c>
      <c r="J356">
        <v>0</v>
      </c>
      <c r="K356">
        <v>0</v>
      </c>
      <c r="L356">
        <v>0</v>
      </c>
      <c r="M356">
        <v>0</v>
      </c>
      <c r="N356">
        <v>0</v>
      </c>
    </row>
    <row r="357" spans="1:18" x14ac:dyDescent="0.2">
      <c r="A357" t="s">
        <v>418</v>
      </c>
      <c r="B357" t="s">
        <v>425</v>
      </c>
      <c r="C357">
        <v>0</v>
      </c>
      <c r="D357">
        <v>0</v>
      </c>
      <c r="E357">
        <v>0</v>
      </c>
      <c r="F357">
        <v>0</v>
      </c>
      <c r="H357">
        <v>1</v>
      </c>
      <c r="I357">
        <v>0</v>
      </c>
      <c r="J357">
        <v>1</v>
      </c>
      <c r="K357">
        <v>1</v>
      </c>
      <c r="L357">
        <v>0</v>
      </c>
      <c r="M357">
        <v>1</v>
      </c>
      <c r="N357">
        <v>0</v>
      </c>
    </row>
    <row r="358" spans="1:18" x14ac:dyDescent="0.2">
      <c r="A358" t="s">
        <v>418</v>
      </c>
      <c r="B358" t="s">
        <v>289</v>
      </c>
      <c r="C358">
        <v>0</v>
      </c>
      <c r="D358">
        <v>0</v>
      </c>
      <c r="E358">
        <v>0</v>
      </c>
      <c r="F358">
        <v>0</v>
      </c>
      <c r="H358">
        <v>0</v>
      </c>
      <c r="I358">
        <v>0</v>
      </c>
      <c r="J358">
        <v>0</v>
      </c>
      <c r="K358">
        <v>0</v>
      </c>
      <c r="L358">
        <v>0</v>
      </c>
      <c r="M358">
        <v>0</v>
      </c>
      <c r="N358">
        <v>0</v>
      </c>
    </row>
    <row r="359" spans="1:18" x14ac:dyDescent="0.2">
      <c r="A359" t="s">
        <v>418</v>
      </c>
      <c r="B359" t="s">
        <v>426</v>
      </c>
      <c r="C359">
        <v>0</v>
      </c>
      <c r="D359">
        <v>0</v>
      </c>
      <c r="E359">
        <v>0</v>
      </c>
      <c r="F359">
        <v>0</v>
      </c>
      <c r="H359">
        <v>4.5</v>
      </c>
      <c r="I359">
        <v>0</v>
      </c>
      <c r="J359">
        <v>4.5</v>
      </c>
      <c r="K359">
        <v>4.5</v>
      </c>
      <c r="L359">
        <v>0</v>
      </c>
      <c r="M359">
        <v>4.5</v>
      </c>
      <c r="N359">
        <v>0</v>
      </c>
    </row>
    <row r="360" spans="1:18" x14ac:dyDescent="0.2">
      <c r="A360" t="s">
        <v>418</v>
      </c>
      <c r="B360" t="s">
        <v>289</v>
      </c>
      <c r="C360">
        <v>0</v>
      </c>
      <c r="D360">
        <v>0</v>
      </c>
      <c r="E360">
        <v>0</v>
      </c>
      <c r="F360">
        <v>0</v>
      </c>
      <c r="H360">
        <v>0</v>
      </c>
      <c r="I360">
        <v>0</v>
      </c>
      <c r="J360">
        <v>0</v>
      </c>
      <c r="K360">
        <v>0</v>
      </c>
      <c r="L360">
        <v>0</v>
      </c>
      <c r="M360">
        <v>0</v>
      </c>
      <c r="N360">
        <v>0</v>
      </c>
    </row>
    <row r="361" spans="1:18" x14ac:dyDescent="0.2">
      <c r="A361" t="s">
        <v>418</v>
      </c>
      <c r="B361" t="s">
        <v>427</v>
      </c>
      <c r="C361">
        <v>0</v>
      </c>
      <c r="D361">
        <v>0</v>
      </c>
      <c r="E361">
        <v>0</v>
      </c>
      <c r="F361">
        <v>0</v>
      </c>
      <c r="H361">
        <v>4</v>
      </c>
      <c r="I361">
        <v>0</v>
      </c>
      <c r="J361">
        <v>4</v>
      </c>
      <c r="K361">
        <v>4</v>
      </c>
      <c r="L361">
        <v>0</v>
      </c>
      <c r="M361">
        <v>4</v>
      </c>
      <c r="N361">
        <v>0</v>
      </c>
    </row>
    <row r="362" spans="1:18" x14ac:dyDescent="0.2">
      <c r="A362" t="s">
        <v>418</v>
      </c>
      <c r="B362" t="s">
        <v>428</v>
      </c>
      <c r="C362">
        <v>0</v>
      </c>
      <c r="D362">
        <v>0</v>
      </c>
      <c r="E362">
        <v>0</v>
      </c>
      <c r="F362">
        <v>0</v>
      </c>
      <c r="G362" t="s">
        <v>198</v>
      </c>
      <c r="H362">
        <v>2</v>
      </c>
      <c r="I362">
        <v>1</v>
      </c>
      <c r="J362">
        <v>2.125</v>
      </c>
      <c r="K362">
        <v>2.125</v>
      </c>
      <c r="L362">
        <v>0</v>
      </c>
      <c r="M362">
        <v>2</v>
      </c>
      <c r="N362">
        <v>1</v>
      </c>
    </row>
    <row r="363" spans="1:18" x14ac:dyDescent="0.2">
      <c r="A363" t="s">
        <v>418</v>
      </c>
      <c r="B363" t="s">
        <v>429</v>
      </c>
      <c r="C363">
        <v>0</v>
      </c>
      <c r="D363">
        <v>0</v>
      </c>
      <c r="E363">
        <v>0</v>
      </c>
      <c r="F363">
        <v>0</v>
      </c>
      <c r="H363">
        <v>0</v>
      </c>
      <c r="I363">
        <v>0</v>
      </c>
      <c r="J363">
        <v>0</v>
      </c>
      <c r="K363">
        <v>0</v>
      </c>
      <c r="L363">
        <v>0</v>
      </c>
      <c r="M363">
        <v>0</v>
      </c>
      <c r="N363">
        <v>0</v>
      </c>
    </row>
    <row r="364" spans="1:18" x14ac:dyDescent="0.2">
      <c r="A364" t="s">
        <v>418</v>
      </c>
      <c r="B364" t="s">
        <v>430</v>
      </c>
      <c r="C364">
        <v>0</v>
      </c>
      <c r="D364">
        <v>0</v>
      </c>
      <c r="E364">
        <v>0</v>
      </c>
      <c r="F364">
        <v>0</v>
      </c>
      <c r="H364">
        <v>73</v>
      </c>
      <c r="I364">
        <v>4</v>
      </c>
      <c r="J364">
        <v>73.5</v>
      </c>
      <c r="K364">
        <v>73.5</v>
      </c>
      <c r="L364">
        <v>0</v>
      </c>
      <c r="M364">
        <v>73</v>
      </c>
      <c r="N364">
        <v>4</v>
      </c>
    </row>
    <row r="365" spans="1:18" x14ac:dyDescent="0.2">
      <c r="A365" t="s">
        <v>431</v>
      </c>
      <c r="B365" t="s">
        <v>432</v>
      </c>
      <c r="C365">
        <v>0</v>
      </c>
      <c r="D365">
        <v>0</v>
      </c>
      <c r="E365">
        <v>0</v>
      </c>
      <c r="F365">
        <v>0</v>
      </c>
      <c r="G365" t="s">
        <v>196</v>
      </c>
      <c r="H365">
        <v>9</v>
      </c>
      <c r="I365">
        <v>3.5</v>
      </c>
      <c r="J365">
        <v>9.4375</v>
      </c>
      <c r="K365">
        <v>9.4375</v>
      </c>
      <c r="L365">
        <v>0</v>
      </c>
      <c r="M365">
        <v>9</v>
      </c>
      <c r="N365">
        <v>3.5</v>
      </c>
    </row>
    <row r="366" spans="1:18" x14ac:dyDescent="0.2">
      <c r="A366" t="s">
        <v>431</v>
      </c>
      <c r="B366" t="s">
        <v>433</v>
      </c>
      <c r="C366">
        <v>0</v>
      </c>
      <c r="D366">
        <v>0</v>
      </c>
      <c r="E366">
        <v>0</v>
      </c>
      <c r="F366">
        <v>0</v>
      </c>
      <c r="G366" t="s">
        <v>198</v>
      </c>
      <c r="H366">
        <v>8</v>
      </c>
      <c r="I366">
        <v>5</v>
      </c>
      <c r="J366">
        <v>8.625</v>
      </c>
      <c r="K366">
        <v>1.375</v>
      </c>
      <c r="L366">
        <v>7.25</v>
      </c>
      <c r="M366">
        <v>1</v>
      </c>
      <c r="N366">
        <v>3</v>
      </c>
      <c r="O366">
        <v>8</v>
      </c>
      <c r="P366">
        <v>0</v>
      </c>
      <c r="Q366">
        <v>0</v>
      </c>
      <c r="R366">
        <v>5</v>
      </c>
    </row>
    <row r="367" spans="1:18" x14ac:dyDescent="0.2">
      <c r="A367" t="s">
        <v>434</v>
      </c>
      <c r="B367" t="s">
        <v>435</v>
      </c>
      <c r="C367">
        <v>0</v>
      </c>
      <c r="D367">
        <v>0</v>
      </c>
      <c r="E367">
        <v>0</v>
      </c>
      <c r="F367">
        <v>0</v>
      </c>
      <c r="H367">
        <v>4</v>
      </c>
      <c r="I367">
        <v>5</v>
      </c>
      <c r="J367">
        <v>4.625</v>
      </c>
      <c r="K367">
        <v>4.625</v>
      </c>
      <c r="L367">
        <v>0</v>
      </c>
      <c r="M367">
        <v>4</v>
      </c>
      <c r="N367">
        <v>5</v>
      </c>
    </row>
    <row r="368" spans="1:18" x14ac:dyDescent="0.2">
      <c r="A368" t="s">
        <v>434</v>
      </c>
      <c r="B368" t="s">
        <v>436</v>
      </c>
      <c r="C368">
        <v>0</v>
      </c>
      <c r="D368">
        <v>0</v>
      </c>
      <c r="E368">
        <v>0</v>
      </c>
      <c r="F368">
        <v>0</v>
      </c>
      <c r="G368" t="s">
        <v>198</v>
      </c>
      <c r="H368">
        <v>77</v>
      </c>
      <c r="I368">
        <v>3</v>
      </c>
      <c r="J368">
        <v>77.375</v>
      </c>
      <c r="K368">
        <v>77.375</v>
      </c>
      <c r="L368">
        <v>0</v>
      </c>
      <c r="M368">
        <v>77</v>
      </c>
      <c r="N368">
        <v>3</v>
      </c>
    </row>
    <row r="369" spans="1:16" x14ac:dyDescent="0.2">
      <c r="A369" t="s">
        <v>434</v>
      </c>
      <c r="B369" t="s">
        <v>437</v>
      </c>
      <c r="C369">
        <v>0</v>
      </c>
      <c r="D369">
        <v>0</v>
      </c>
      <c r="E369">
        <v>0</v>
      </c>
      <c r="F369">
        <v>0</v>
      </c>
      <c r="G369" t="s">
        <v>196</v>
      </c>
      <c r="H369">
        <v>1</v>
      </c>
      <c r="I369">
        <v>3</v>
      </c>
      <c r="J369">
        <v>1.375</v>
      </c>
      <c r="K369">
        <v>1.375</v>
      </c>
      <c r="L369">
        <v>0</v>
      </c>
      <c r="M369">
        <v>1</v>
      </c>
      <c r="N369">
        <v>3</v>
      </c>
    </row>
    <row r="370" spans="1:16" x14ac:dyDescent="0.2">
      <c r="A370" t="s">
        <v>434</v>
      </c>
      <c r="B370" t="s">
        <v>438</v>
      </c>
      <c r="C370">
        <v>0</v>
      </c>
      <c r="D370">
        <v>0</v>
      </c>
      <c r="E370">
        <v>0</v>
      </c>
      <c r="F370">
        <v>0</v>
      </c>
      <c r="G370" t="s">
        <v>202</v>
      </c>
      <c r="H370">
        <v>1</v>
      </c>
      <c r="I370">
        <v>1</v>
      </c>
      <c r="J370">
        <v>1.125</v>
      </c>
      <c r="K370">
        <v>1.125</v>
      </c>
      <c r="L370">
        <v>0</v>
      </c>
      <c r="M370">
        <v>1</v>
      </c>
      <c r="N370">
        <v>1</v>
      </c>
    </row>
    <row r="371" spans="1:16" x14ac:dyDescent="0.2">
      <c r="A371" t="s">
        <v>434</v>
      </c>
      <c r="B371" t="s">
        <v>439</v>
      </c>
      <c r="C371">
        <v>0</v>
      </c>
      <c r="D371">
        <v>0</v>
      </c>
      <c r="E371">
        <v>0</v>
      </c>
      <c r="F371">
        <v>0</v>
      </c>
      <c r="G371" t="s">
        <v>204</v>
      </c>
      <c r="H371">
        <v>2</v>
      </c>
      <c r="I371">
        <v>1</v>
      </c>
      <c r="J371">
        <v>2.125</v>
      </c>
      <c r="K371">
        <v>2.125</v>
      </c>
      <c r="L371">
        <v>0</v>
      </c>
      <c r="M371">
        <v>2</v>
      </c>
      <c r="N371">
        <v>1</v>
      </c>
    </row>
    <row r="372" spans="1:16" x14ac:dyDescent="0.2">
      <c r="A372" t="s">
        <v>434</v>
      </c>
      <c r="B372" t="s">
        <v>440</v>
      </c>
      <c r="C372">
        <v>0</v>
      </c>
      <c r="D372">
        <v>0</v>
      </c>
      <c r="E372">
        <v>0</v>
      </c>
      <c r="F372">
        <v>0</v>
      </c>
      <c r="H372">
        <v>82</v>
      </c>
      <c r="I372">
        <v>0</v>
      </c>
      <c r="J372">
        <v>82</v>
      </c>
      <c r="K372">
        <v>82</v>
      </c>
      <c r="L372">
        <v>0</v>
      </c>
      <c r="M372">
        <v>82</v>
      </c>
      <c r="N372">
        <v>0</v>
      </c>
    </row>
    <row r="373" spans="1:16" x14ac:dyDescent="0.2">
      <c r="A373" t="s">
        <v>434</v>
      </c>
      <c r="B373" t="s">
        <v>441</v>
      </c>
      <c r="C373">
        <v>0</v>
      </c>
      <c r="D373">
        <v>0</v>
      </c>
      <c r="E373">
        <v>0</v>
      </c>
      <c r="F373">
        <v>0</v>
      </c>
      <c r="H373">
        <v>20</v>
      </c>
      <c r="I373">
        <v>0</v>
      </c>
      <c r="J373">
        <v>20</v>
      </c>
      <c r="K373">
        <v>20</v>
      </c>
      <c r="L373">
        <v>0</v>
      </c>
      <c r="M373">
        <v>20</v>
      </c>
      <c r="N373">
        <v>0</v>
      </c>
    </row>
    <row r="374" spans="1:16" x14ac:dyDescent="0.2">
      <c r="A374" t="s">
        <v>434</v>
      </c>
      <c r="B374" t="s">
        <v>442</v>
      </c>
      <c r="C374">
        <v>0</v>
      </c>
      <c r="D374">
        <v>0</v>
      </c>
      <c r="E374">
        <v>0</v>
      </c>
      <c r="F374">
        <v>0</v>
      </c>
      <c r="H374">
        <v>0</v>
      </c>
      <c r="I374">
        <v>5</v>
      </c>
      <c r="J374">
        <v>0.625</v>
      </c>
      <c r="K374">
        <v>0.375</v>
      </c>
      <c r="L374">
        <v>0.25</v>
      </c>
      <c r="M374">
        <v>0</v>
      </c>
      <c r="N374">
        <v>3</v>
      </c>
      <c r="O374">
        <v>0</v>
      </c>
      <c r="P374">
        <v>5</v>
      </c>
    </row>
    <row r="375" spans="1:16" x14ac:dyDescent="0.2">
      <c r="A375" t="s">
        <v>434</v>
      </c>
      <c r="B375" t="s">
        <v>443</v>
      </c>
      <c r="C375">
        <v>0</v>
      </c>
      <c r="D375">
        <v>0</v>
      </c>
      <c r="E375">
        <v>0</v>
      </c>
      <c r="F375">
        <v>0</v>
      </c>
      <c r="H375">
        <v>26</v>
      </c>
      <c r="I375">
        <v>0</v>
      </c>
      <c r="J375">
        <v>26</v>
      </c>
      <c r="K375">
        <v>26</v>
      </c>
      <c r="L375">
        <v>0</v>
      </c>
      <c r="M375">
        <v>26</v>
      </c>
      <c r="N375">
        <v>0</v>
      </c>
    </row>
    <row r="376" spans="1:16" x14ac:dyDescent="0.2">
      <c r="A376" t="s">
        <v>434</v>
      </c>
      <c r="B376" t="s">
        <v>444</v>
      </c>
      <c r="C376">
        <v>0</v>
      </c>
      <c r="D376">
        <v>0</v>
      </c>
      <c r="E376">
        <v>0</v>
      </c>
      <c r="F376">
        <v>0</v>
      </c>
      <c r="H376">
        <v>6.5</v>
      </c>
      <c r="I376">
        <v>0</v>
      </c>
      <c r="J376">
        <v>6.5</v>
      </c>
      <c r="K376">
        <v>6.5</v>
      </c>
      <c r="L376">
        <v>0</v>
      </c>
      <c r="M376">
        <v>6.5</v>
      </c>
      <c r="N376">
        <v>0</v>
      </c>
    </row>
    <row r="377" spans="1:16" x14ac:dyDescent="0.2">
      <c r="A377" t="s">
        <v>434</v>
      </c>
      <c r="B377" t="s">
        <v>445</v>
      </c>
      <c r="C377">
        <v>0</v>
      </c>
      <c r="D377">
        <v>0</v>
      </c>
      <c r="E377">
        <v>0</v>
      </c>
      <c r="F377">
        <v>0</v>
      </c>
      <c r="H377">
        <v>6.5</v>
      </c>
      <c r="I377">
        <v>0</v>
      </c>
      <c r="J377">
        <v>6.5</v>
      </c>
      <c r="K377">
        <v>6.5</v>
      </c>
      <c r="L377">
        <v>0</v>
      </c>
      <c r="M377">
        <v>6.5</v>
      </c>
      <c r="N377">
        <v>0</v>
      </c>
    </row>
    <row r="378" spans="1:16" x14ac:dyDescent="0.2">
      <c r="A378" t="s">
        <v>434</v>
      </c>
      <c r="B378" t="s">
        <v>446</v>
      </c>
      <c r="C378">
        <v>0</v>
      </c>
      <c r="D378">
        <v>0</v>
      </c>
      <c r="E378">
        <v>0</v>
      </c>
      <c r="F378">
        <v>0</v>
      </c>
      <c r="H378">
        <v>4</v>
      </c>
      <c r="I378">
        <v>2.5</v>
      </c>
      <c r="J378">
        <v>4.3125</v>
      </c>
      <c r="K378">
        <v>4.3125</v>
      </c>
      <c r="L378">
        <v>0</v>
      </c>
      <c r="M378">
        <v>4</v>
      </c>
      <c r="N378">
        <v>2.5</v>
      </c>
    </row>
    <row r="379" spans="1:16" x14ac:dyDescent="0.2">
      <c r="A379" t="s">
        <v>434</v>
      </c>
      <c r="B379" t="s">
        <v>447</v>
      </c>
      <c r="C379">
        <v>0</v>
      </c>
      <c r="D379">
        <v>0</v>
      </c>
      <c r="E379">
        <v>0</v>
      </c>
      <c r="F379">
        <v>0</v>
      </c>
      <c r="H379">
        <v>5</v>
      </c>
      <c r="I379">
        <v>1.5</v>
      </c>
      <c r="J379">
        <v>5.1875</v>
      </c>
      <c r="K379">
        <v>5.1875</v>
      </c>
      <c r="L379">
        <v>0</v>
      </c>
      <c r="M379">
        <v>5</v>
      </c>
      <c r="N379">
        <v>1.5</v>
      </c>
    </row>
    <row r="380" spans="1:16" x14ac:dyDescent="0.2">
      <c r="A380" t="s">
        <v>434</v>
      </c>
      <c r="B380" t="s">
        <v>448</v>
      </c>
      <c r="C380">
        <v>0</v>
      </c>
      <c r="D380">
        <v>0</v>
      </c>
      <c r="E380">
        <v>0</v>
      </c>
      <c r="F380">
        <v>0</v>
      </c>
      <c r="H380">
        <v>0</v>
      </c>
      <c r="I380">
        <v>0</v>
      </c>
      <c r="J380">
        <v>0</v>
      </c>
      <c r="K380">
        <v>0</v>
      </c>
      <c r="L380">
        <v>0</v>
      </c>
      <c r="M380">
        <v>0</v>
      </c>
      <c r="N380">
        <v>0</v>
      </c>
    </row>
    <row r="381" spans="1:16" x14ac:dyDescent="0.2">
      <c r="A381" t="s">
        <v>434</v>
      </c>
      <c r="B381" t="s">
        <v>289</v>
      </c>
      <c r="C381">
        <v>0</v>
      </c>
      <c r="D381">
        <v>0</v>
      </c>
      <c r="E381">
        <v>0</v>
      </c>
      <c r="F381">
        <v>0</v>
      </c>
      <c r="H381">
        <v>0</v>
      </c>
      <c r="I381">
        <v>0</v>
      </c>
      <c r="J381">
        <v>0</v>
      </c>
      <c r="K381">
        <v>0</v>
      </c>
      <c r="L381">
        <v>0</v>
      </c>
      <c r="M381">
        <v>0</v>
      </c>
      <c r="N381">
        <v>0</v>
      </c>
    </row>
    <row r="382" spans="1:16" x14ac:dyDescent="0.2">
      <c r="A382" t="s">
        <v>434</v>
      </c>
      <c r="B382" t="s">
        <v>449</v>
      </c>
      <c r="C382">
        <v>0</v>
      </c>
      <c r="D382">
        <v>0</v>
      </c>
      <c r="E382">
        <v>0</v>
      </c>
      <c r="F382">
        <v>0</v>
      </c>
      <c r="H382">
        <v>4</v>
      </c>
      <c r="I382">
        <v>0</v>
      </c>
      <c r="J382">
        <v>4</v>
      </c>
      <c r="K382">
        <v>4</v>
      </c>
      <c r="L382">
        <v>0</v>
      </c>
      <c r="M382">
        <v>4</v>
      </c>
      <c r="N382">
        <v>0</v>
      </c>
    </row>
    <row r="383" spans="1:16" x14ac:dyDescent="0.2">
      <c r="A383" t="s">
        <v>434</v>
      </c>
      <c r="B383" t="s">
        <v>289</v>
      </c>
      <c r="C383">
        <v>0</v>
      </c>
      <c r="D383">
        <v>0</v>
      </c>
      <c r="E383">
        <v>0</v>
      </c>
      <c r="F383">
        <v>0</v>
      </c>
      <c r="H383">
        <v>0</v>
      </c>
      <c r="I383">
        <v>0</v>
      </c>
      <c r="J383">
        <v>0</v>
      </c>
      <c r="K383">
        <v>0</v>
      </c>
      <c r="L383">
        <v>0</v>
      </c>
      <c r="M383">
        <v>0</v>
      </c>
      <c r="N383">
        <v>0</v>
      </c>
    </row>
    <row r="384" spans="1:16" x14ac:dyDescent="0.2">
      <c r="A384" t="s">
        <v>434</v>
      </c>
      <c r="B384" t="s">
        <v>450</v>
      </c>
      <c r="C384">
        <v>0</v>
      </c>
      <c r="D384">
        <v>0</v>
      </c>
      <c r="E384">
        <v>0</v>
      </c>
      <c r="F384">
        <v>0</v>
      </c>
      <c r="H384">
        <v>1</v>
      </c>
      <c r="I384">
        <v>0</v>
      </c>
      <c r="J384">
        <v>1</v>
      </c>
      <c r="K384">
        <v>1</v>
      </c>
      <c r="L384">
        <v>0</v>
      </c>
      <c r="M384">
        <v>1</v>
      </c>
      <c r="N384">
        <v>0</v>
      </c>
    </row>
    <row r="385" spans="1:16" x14ac:dyDescent="0.2">
      <c r="A385" t="s">
        <v>434</v>
      </c>
      <c r="B385" t="s">
        <v>451</v>
      </c>
      <c r="C385">
        <v>0</v>
      </c>
      <c r="D385">
        <v>0</v>
      </c>
      <c r="E385">
        <v>0</v>
      </c>
      <c r="F385">
        <v>0</v>
      </c>
      <c r="H385">
        <v>2</v>
      </c>
      <c r="I385">
        <v>0</v>
      </c>
      <c r="J385">
        <v>2</v>
      </c>
      <c r="K385">
        <v>2</v>
      </c>
      <c r="L385">
        <v>0</v>
      </c>
      <c r="M385">
        <v>2</v>
      </c>
      <c r="N385">
        <v>0</v>
      </c>
    </row>
    <row r="386" spans="1:16" x14ac:dyDescent="0.2">
      <c r="A386" t="s">
        <v>434</v>
      </c>
      <c r="B386" t="s">
        <v>452</v>
      </c>
      <c r="C386">
        <v>0</v>
      </c>
      <c r="D386">
        <v>0</v>
      </c>
      <c r="E386">
        <v>0</v>
      </c>
      <c r="F386">
        <v>0</v>
      </c>
      <c r="G386" t="s">
        <v>194</v>
      </c>
      <c r="H386">
        <v>2</v>
      </c>
      <c r="I386">
        <v>1</v>
      </c>
      <c r="J386">
        <v>2.125</v>
      </c>
      <c r="K386">
        <v>2.125</v>
      </c>
      <c r="L386">
        <v>0</v>
      </c>
      <c r="M386">
        <v>2</v>
      </c>
      <c r="N386">
        <v>1</v>
      </c>
    </row>
    <row r="387" spans="1:16" x14ac:dyDescent="0.2">
      <c r="A387" t="s">
        <v>434</v>
      </c>
      <c r="B387" t="s">
        <v>453</v>
      </c>
      <c r="C387">
        <v>0</v>
      </c>
      <c r="D387">
        <v>0</v>
      </c>
      <c r="E387">
        <v>0</v>
      </c>
      <c r="F387">
        <v>0</v>
      </c>
      <c r="H387">
        <v>0</v>
      </c>
      <c r="I387">
        <v>0</v>
      </c>
      <c r="J387">
        <v>0</v>
      </c>
      <c r="K387">
        <v>0</v>
      </c>
      <c r="L387">
        <v>0</v>
      </c>
      <c r="M387">
        <v>0</v>
      </c>
      <c r="N387">
        <v>0</v>
      </c>
    </row>
    <row r="388" spans="1:16" x14ac:dyDescent="0.2">
      <c r="A388" t="s">
        <v>434</v>
      </c>
      <c r="B388" t="s">
        <v>454</v>
      </c>
      <c r="C388">
        <v>0</v>
      </c>
      <c r="D388">
        <v>0</v>
      </c>
      <c r="E388">
        <v>0</v>
      </c>
      <c r="F388">
        <v>0</v>
      </c>
      <c r="H388">
        <v>5</v>
      </c>
      <c r="I388">
        <v>0.5</v>
      </c>
      <c r="J388">
        <v>5.0625</v>
      </c>
      <c r="K388">
        <v>5.3125</v>
      </c>
      <c r="L388">
        <v>-0.25</v>
      </c>
      <c r="M388">
        <v>5</v>
      </c>
      <c r="N388">
        <v>2.5</v>
      </c>
      <c r="O388">
        <v>0</v>
      </c>
      <c r="P388">
        <v>0.5</v>
      </c>
    </row>
    <row r="389" spans="1:16" x14ac:dyDescent="0.2">
      <c r="A389" t="s">
        <v>455</v>
      </c>
      <c r="B389" t="s">
        <v>456</v>
      </c>
      <c r="C389">
        <v>0</v>
      </c>
      <c r="D389">
        <v>0</v>
      </c>
      <c r="E389">
        <v>0</v>
      </c>
      <c r="F389">
        <v>0</v>
      </c>
      <c r="H389">
        <v>5</v>
      </c>
      <c r="I389">
        <v>5</v>
      </c>
      <c r="J389">
        <v>5.625</v>
      </c>
      <c r="K389">
        <v>5</v>
      </c>
      <c r="L389">
        <v>0.625</v>
      </c>
      <c r="M389">
        <v>5</v>
      </c>
      <c r="N389">
        <v>0</v>
      </c>
      <c r="O389">
        <v>0</v>
      </c>
      <c r="P389">
        <v>5</v>
      </c>
    </row>
    <row r="390" spans="1:16" x14ac:dyDescent="0.2">
      <c r="A390" t="s">
        <v>455</v>
      </c>
      <c r="B390" t="s">
        <v>457</v>
      </c>
      <c r="C390">
        <v>0</v>
      </c>
      <c r="D390">
        <v>0</v>
      </c>
      <c r="E390">
        <v>0</v>
      </c>
      <c r="F390">
        <v>0</v>
      </c>
      <c r="G390" t="s">
        <v>200</v>
      </c>
      <c r="H390">
        <v>180</v>
      </c>
      <c r="I390">
        <v>5</v>
      </c>
      <c r="J390">
        <v>180.625</v>
      </c>
      <c r="K390">
        <v>180</v>
      </c>
      <c r="L390">
        <v>0.625</v>
      </c>
      <c r="M390">
        <v>180</v>
      </c>
      <c r="N390">
        <v>0</v>
      </c>
      <c r="O390">
        <v>0</v>
      </c>
      <c r="P390">
        <v>5</v>
      </c>
    </row>
    <row r="391" spans="1:16" x14ac:dyDescent="0.2">
      <c r="A391" t="s">
        <v>455</v>
      </c>
      <c r="B391" t="s">
        <v>458</v>
      </c>
      <c r="C391">
        <v>0</v>
      </c>
      <c r="D391">
        <v>0</v>
      </c>
      <c r="E391">
        <v>0</v>
      </c>
      <c r="F391">
        <v>0</v>
      </c>
      <c r="H391">
        <v>25</v>
      </c>
      <c r="I391">
        <v>0</v>
      </c>
      <c r="J391">
        <v>25</v>
      </c>
      <c r="K391">
        <v>25</v>
      </c>
      <c r="L391">
        <v>0</v>
      </c>
      <c r="M391">
        <v>25</v>
      </c>
      <c r="N391">
        <v>0</v>
      </c>
    </row>
    <row r="392" spans="1:16" x14ac:dyDescent="0.2">
      <c r="A392" t="s">
        <v>455</v>
      </c>
      <c r="B392" t="s">
        <v>459</v>
      </c>
      <c r="C392">
        <v>0</v>
      </c>
      <c r="D392">
        <v>0</v>
      </c>
      <c r="E392">
        <v>0</v>
      </c>
      <c r="F392">
        <v>0</v>
      </c>
      <c r="H392">
        <v>205</v>
      </c>
      <c r="I392">
        <v>5</v>
      </c>
      <c r="J392">
        <v>205.625</v>
      </c>
      <c r="K392">
        <v>205</v>
      </c>
      <c r="L392">
        <v>0.625</v>
      </c>
      <c r="M392">
        <v>205</v>
      </c>
      <c r="N392">
        <v>0</v>
      </c>
      <c r="O392">
        <v>0</v>
      </c>
      <c r="P392">
        <v>5</v>
      </c>
    </row>
    <row r="393" spans="1:16" x14ac:dyDescent="0.2">
      <c r="A393" t="s">
        <v>455</v>
      </c>
      <c r="B393" t="s">
        <v>460</v>
      </c>
      <c r="C393">
        <v>0</v>
      </c>
      <c r="D393">
        <v>0</v>
      </c>
      <c r="E393">
        <v>0</v>
      </c>
      <c r="F393">
        <v>0</v>
      </c>
      <c r="H393">
        <v>88.5</v>
      </c>
      <c r="I393">
        <v>0</v>
      </c>
      <c r="J393">
        <v>88.5</v>
      </c>
      <c r="K393">
        <v>88.5</v>
      </c>
      <c r="L393">
        <v>0</v>
      </c>
      <c r="M393">
        <v>88.5</v>
      </c>
      <c r="N393">
        <v>0</v>
      </c>
    </row>
    <row r="394" spans="1:16" x14ac:dyDescent="0.2">
      <c r="A394" t="s">
        <v>455</v>
      </c>
      <c r="B394" t="s">
        <v>461</v>
      </c>
      <c r="C394">
        <v>0</v>
      </c>
      <c r="D394">
        <v>0</v>
      </c>
      <c r="E394">
        <v>0</v>
      </c>
      <c r="F394">
        <v>0</v>
      </c>
      <c r="H394">
        <v>0</v>
      </c>
      <c r="I394">
        <v>1</v>
      </c>
      <c r="J394">
        <v>0.125</v>
      </c>
      <c r="K394">
        <v>0.125</v>
      </c>
      <c r="L394">
        <v>0</v>
      </c>
      <c r="M394">
        <v>0</v>
      </c>
      <c r="N394">
        <v>1</v>
      </c>
    </row>
    <row r="395" spans="1:16" x14ac:dyDescent="0.2">
      <c r="A395" t="s">
        <v>455</v>
      </c>
      <c r="B395" t="s">
        <v>289</v>
      </c>
      <c r="C395">
        <v>0</v>
      </c>
      <c r="D395">
        <v>0</v>
      </c>
      <c r="E395">
        <v>0</v>
      </c>
      <c r="F395">
        <v>0</v>
      </c>
      <c r="H395">
        <v>0</v>
      </c>
      <c r="I395">
        <v>0</v>
      </c>
      <c r="J395">
        <v>0</v>
      </c>
      <c r="K395">
        <v>0</v>
      </c>
      <c r="L395">
        <v>0</v>
      </c>
      <c r="M395">
        <v>0</v>
      </c>
      <c r="N395">
        <v>0</v>
      </c>
    </row>
    <row r="396" spans="1:16" x14ac:dyDescent="0.2">
      <c r="A396" t="s">
        <v>455</v>
      </c>
      <c r="B396" t="s">
        <v>462</v>
      </c>
      <c r="C396">
        <v>0</v>
      </c>
      <c r="D396">
        <v>0</v>
      </c>
      <c r="E396">
        <v>0</v>
      </c>
      <c r="F396">
        <v>0</v>
      </c>
      <c r="H396">
        <v>15.5</v>
      </c>
      <c r="I396">
        <v>0</v>
      </c>
      <c r="J396">
        <v>15.5</v>
      </c>
      <c r="K396">
        <v>15.5</v>
      </c>
      <c r="L396">
        <v>0</v>
      </c>
      <c r="M396">
        <v>15.5</v>
      </c>
      <c r="N396">
        <v>0</v>
      </c>
    </row>
    <row r="397" spans="1:16" x14ac:dyDescent="0.2">
      <c r="A397" t="s">
        <v>455</v>
      </c>
      <c r="B397" t="s">
        <v>289</v>
      </c>
      <c r="C397">
        <v>0</v>
      </c>
      <c r="D397">
        <v>0</v>
      </c>
      <c r="E397">
        <v>0</v>
      </c>
      <c r="F397">
        <v>0</v>
      </c>
      <c r="H397">
        <v>0</v>
      </c>
      <c r="I397">
        <v>0</v>
      </c>
      <c r="J397">
        <v>0</v>
      </c>
      <c r="K397">
        <v>0</v>
      </c>
      <c r="L397">
        <v>0</v>
      </c>
      <c r="M397">
        <v>0</v>
      </c>
      <c r="N397">
        <v>0</v>
      </c>
    </row>
    <row r="398" spans="1:16" x14ac:dyDescent="0.2">
      <c r="A398" t="s">
        <v>455</v>
      </c>
      <c r="B398" t="s">
        <v>463</v>
      </c>
      <c r="C398">
        <v>0</v>
      </c>
      <c r="D398">
        <v>0</v>
      </c>
      <c r="E398">
        <v>0</v>
      </c>
      <c r="F398">
        <v>0</v>
      </c>
      <c r="H398">
        <v>5.5</v>
      </c>
      <c r="I398">
        <v>0</v>
      </c>
      <c r="J398">
        <v>5.5</v>
      </c>
      <c r="K398">
        <v>5.5</v>
      </c>
      <c r="L398">
        <v>0</v>
      </c>
      <c r="M398">
        <v>5.5</v>
      </c>
      <c r="N398">
        <v>0</v>
      </c>
    </row>
    <row r="399" spans="1:16" x14ac:dyDescent="0.2">
      <c r="A399" t="s">
        <v>455</v>
      </c>
      <c r="B399" t="s">
        <v>289</v>
      </c>
      <c r="C399">
        <v>0</v>
      </c>
      <c r="D399">
        <v>0</v>
      </c>
      <c r="E399">
        <v>0</v>
      </c>
      <c r="F399">
        <v>0</v>
      </c>
      <c r="H399">
        <v>0</v>
      </c>
      <c r="I399">
        <v>0</v>
      </c>
      <c r="J399">
        <v>0</v>
      </c>
      <c r="K399">
        <v>0</v>
      </c>
      <c r="L399">
        <v>0</v>
      </c>
      <c r="M399">
        <v>0</v>
      </c>
      <c r="N399">
        <v>0</v>
      </c>
    </row>
    <row r="400" spans="1:16" x14ac:dyDescent="0.2">
      <c r="A400" t="s">
        <v>455</v>
      </c>
      <c r="B400" t="s">
        <v>464</v>
      </c>
      <c r="C400">
        <v>0</v>
      </c>
      <c r="D400">
        <v>0</v>
      </c>
      <c r="E400">
        <v>0</v>
      </c>
      <c r="F400">
        <v>0</v>
      </c>
      <c r="H400">
        <v>2</v>
      </c>
      <c r="I400">
        <v>2</v>
      </c>
      <c r="J400">
        <v>2.25</v>
      </c>
      <c r="K400">
        <v>2.25</v>
      </c>
      <c r="L400">
        <v>0</v>
      </c>
      <c r="M400">
        <v>2</v>
      </c>
      <c r="N400">
        <v>2</v>
      </c>
    </row>
    <row r="401" spans="1:16" x14ac:dyDescent="0.2">
      <c r="A401" t="s">
        <v>455</v>
      </c>
      <c r="B401" t="s">
        <v>465</v>
      </c>
      <c r="C401">
        <v>0</v>
      </c>
      <c r="D401">
        <v>0</v>
      </c>
      <c r="E401">
        <v>0</v>
      </c>
      <c r="F401">
        <v>0</v>
      </c>
      <c r="H401">
        <v>4</v>
      </c>
      <c r="I401">
        <v>0</v>
      </c>
      <c r="J401">
        <v>4</v>
      </c>
      <c r="K401">
        <v>4</v>
      </c>
      <c r="L401">
        <v>0</v>
      </c>
      <c r="M401">
        <v>4</v>
      </c>
      <c r="N401">
        <v>0</v>
      </c>
    </row>
    <row r="402" spans="1:16" x14ac:dyDescent="0.2">
      <c r="A402" t="s">
        <v>455</v>
      </c>
      <c r="B402" t="s">
        <v>289</v>
      </c>
      <c r="C402">
        <v>0</v>
      </c>
      <c r="D402">
        <v>0</v>
      </c>
      <c r="E402">
        <v>0</v>
      </c>
      <c r="F402">
        <v>0</v>
      </c>
      <c r="H402">
        <v>0</v>
      </c>
      <c r="I402">
        <v>0</v>
      </c>
      <c r="J402">
        <v>0</v>
      </c>
      <c r="K402">
        <v>0</v>
      </c>
      <c r="L402">
        <v>0</v>
      </c>
      <c r="M402">
        <v>0</v>
      </c>
      <c r="N402">
        <v>0</v>
      </c>
    </row>
    <row r="403" spans="1:16" x14ac:dyDescent="0.2">
      <c r="A403" t="s">
        <v>455</v>
      </c>
      <c r="B403" t="s">
        <v>466</v>
      </c>
      <c r="C403">
        <v>0</v>
      </c>
      <c r="D403">
        <v>0</v>
      </c>
      <c r="E403">
        <v>0</v>
      </c>
      <c r="F403">
        <v>0</v>
      </c>
      <c r="H403">
        <v>5</v>
      </c>
      <c r="I403">
        <v>2.5</v>
      </c>
      <c r="J403">
        <v>5.3125</v>
      </c>
      <c r="K403">
        <v>5.3125</v>
      </c>
      <c r="L403">
        <v>0</v>
      </c>
      <c r="M403">
        <v>5</v>
      </c>
      <c r="N403">
        <v>2.5</v>
      </c>
    </row>
    <row r="404" spans="1:16" x14ac:dyDescent="0.2">
      <c r="A404" t="s">
        <v>455</v>
      </c>
      <c r="B404" t="s">
        <v>467</v>
      </c>
      <c r="C404">
        <v>0</v>
      </c>
      <c r="D404">
        <v>0</v>
      </c>
      <c r="E404">
        <v>0</v>
      </c>
      <c r="F404">
        <v>0</v>
      </c>
      <c r="H404">
        <v>25</v>
      </c>
      <c r="I404">
        <v>0</v>
      </c>
      <c r="J404">
        <v>25</v>
      </c>
      <c r="K404">
        <v>25</v>
      </c>
      <c r="L404">
        <v>0</v>
      </c>
      <c r="M404">
        <v>25</v>
      </c>
      <c r="N404">
        <v>0</v>
      </c>
    </row>
    <row r="405" spans="1:16" x14ac:dyDescent="0.2">
      <c r="A405" t="s">
        <v>455</v>
      </c>
      <c r="B405" t="s">
        <v>468</v>
      </c>
      <c r="C405">
        <v>0</v>
      </c>
      <c r="D405">
        <v>0</v>
      </c>
      <c r="E405">
        <v>0</v>
      </c>
      <c r="F405">
        <v>0</v>
      </c>
      <c r="H405">
        <v>58.5</v>
      </c>
      <c r="I405">
        <v>3</v>
      </c>
      <c r="J405">
        <v>58.875</v>
      </c>
      <c r="K405">
        <v>58.875</v>
      </c>
      <c r="L405">
        <v>0</v>
      </c>
      <c r="M405">
        <v>58.5</v>
      </c>
      <c r="N405">
        <v>3</v>
      </c>
    </row>
    <row r="406" spans="1:16" x14ac:dyDescent="0.2">
      <c r="A406" t="s">
        <v>469</v>
      </c>
      <c r="B406" t="s">
        <v>470</v>
      </c>
      <c r="C406">
        <v>0</v>
      </c>
      <c r="D406">
        <v>0</v>
      </c>
      <c r="E406">
        <v>0</v>
      </c>
      <c r="F406">
        <v>0</v>
      </c>
      <c r="H406">
        <v>0</v>
      </c>
      <c r="I406">
        <v>2.5</v>
      </c>
      <c r="J406">
        <v>0.3125</v>
      </c>
      <c r="K406">
        <v>0.3125</v>
      </c>
      <c r="L406">
        <v>0</v>
      </c>
      <c r="M406">
        <v>0</v>
      </c>
      <c r="N406">
        <v>2.5</v>
      </c>
    </row>
    <row r="407" spans="1:16" x14ac:dyDescent="0.2">
      <c r="A407" t="s">
        <v>469</v>
      </c>
      <c r="B407" t="s">
        <v>471</v>
      </c>
      <c r="C407">
        <v>0</v>
      </c>
      <c r="D407">
        <v>0</v>
      </c>
      <c r="E407">
        <v>0</v>
      </c>
      <c r="F407">
        <v>0</v>
      </c>
      <c r="G407" t="s">
        <v>202</v>
      </c>
      <c r="H407">
        <v>3</v>
      </c>
      <c r="I407">
        <v>2.5</v>
      </c>
      <c r="J407">
        <v>3.3125</v>
      </c>
      <c r="K407">
        <v>3.3125</v>
      </c>
      <c r="L407">
        <v>0</v>
      </c>
      <c r="M407">
        <v>3</v>
      </c>
      <c r="N407">
        <v>2.5</v>
      </c>
    </row>
    <row r="408" spans="1:16" x14ac:dyDescent="0.2">
      <c r="A408" t="s">
        <v>469</v>
      </c>
      <c r="B408" t="s">
        <v>472</v>
      </c>
      <c r="C408">
        <v>0</v>
      </c>
      <c r="D408">
        <v>0</v>
      </c>
      <c r="E408">
        <v>0</v>
      </c>
      <c r="F408">
        <v>0</v>
      </c>
      <c r="H408">
        <v>0</v>
      </c>
      <c r="I408">
        <v>4</v>
      </c>
      <c r="J408">
        <v>0.5</v>
      </c>
      <c r="K408">
        <v>0.5</v>
      </c>
      <c r="L408">
        <v>0</v>
      </c>
      <c r="M408">
        <v>0</v>
      </c>
      <c r="N408">
        <v>4</v>
      </c>
    </row>
    <row r="409" spans="1:16" x14ac:dyDescent="0.2">
      <c r="A409" t="s">
        <v>469</v>
      </c>
      <c r="B409" t="s">
        <v>473</v>
      </c>
      <c r="C409">
        <v>0</v>
      </c>
      <c r="D409">
        <v>0</v>
      </c>
      <c r="E409">
        <v>0</v>
      </c>
      <c r="F409">
        <v>0</v>
      </c>
      <c r="H409">
        <v>3.5</v>
      </c>
      <c r="I409">
        <v>2.5</v>
      </c>
      <c r="J409">
        <v>3.8125</v>
      </c>
      <c r="K409">
        <v>3.8125</v>
      </c>
      <c r="L409">
        <v>0</v>
      </c>
      <c r="M409">
        <v>3.5</v>
      </c>
      <c r="N409">
        <v>2.5</v>
      </c>
    </row>
    <row r="410" spans="1:16" x14ac:dyDescent="0.2">
      <c r="A410" t="s">
        <v>469</v>
      </c>
      <c r="B410" t="s">
        <v>474</v>
      </c>
      <c r="C410">
        <v>0</v>
      </c>
      <c r="D410">
        <v>0</v>
      </c>
      <c r="E410">
        <v>0</v>
      </c>
      <c r="F410">
        <v>0</v>
      </c>
      <c r="H410">
        <v>2</v>
      </c>
      <c r="I410">
        <v>3.5</v>
      </c>
      <c r="J410">
        <v>2.4375</v>
      </c>
      <c r="K410">
        <v>2.4375</v>
      </c>
      <c r="L410">
        <v>0</v>
      </c>
      <c r="M410">
        <v>2</v>
      </c>
      <c r="N410">
        <v>3.5</v>
      </c>
    </row>
    <row r="411" spans="1:16" x14ac:dyDescent="0.2">
      <c r="A411" t="s">
        <v>469</v>
      </c>
      <c r="B411" t="s">
        <v>475</v>
      </c>
      <c r="C411">
        <v>0</v>
      </c>
      <c r="D411">
        <v>0</v>
      </c>
      <c r="E411">
        <v>0</v>
      </c>
      <c r="F411">
        <v>0</v>
      </c>
      <c r="H411">
        <v>0</v>
      </c>
      <c r="I411">
        <v>0.5</v>
      </c>
      <c r="J411">
        <v>6.25E-2</v>
      </c>
      <c r="K411">
        <v>0.125</v>
      </c>
      <c r="L411">
        <v>-6.25E-2</v>
      </c>
      <c r="M411">
        <v>0</v>
      </c>
      <c r="N411">
        <v>1</v>
      </c>
      <c r="O411">
        <v>0</v>
      </c>
      <c r="P411">
        <v>0.5</v>
      </c>
    </row>
    <row r="412" spans="1:16" x14ac:dyDescent="0.2">
      <c r="A412" t="s">
        <v>469</v>
      </c>
      <c r="B412" t="s">
        <v>476</v>
      </c>
      <c r="C412">
        <v>0</v>
      </c>
      <c r="D412">
        <v>0</v>
      </c>
      <c r="E412">
        <v>0</v>
      </c>
      <c r="F412">
        <v>0</v>
      </c>
      <c r="G412" t="s">
        <v>198</v>
      </c>
      <c r="H412">
        <v>1</v>
      </c>
      <c r="I412">
        <v>2</v>
      </c>
      <c r="J412">
        <v>1.25</v>
      </c>
      <c r="K412">
        <v>1.125</v>
      </c>
      <c r="L412">
        <v>0.125</v>
      </c>
      <c r="M412">
        <v>1</v>
      </c>
      <c r="N412">
        <v>1</v>
      </c>
      <c r="O412">
        <v>0</v>
      </c>
      <c r="P412">
        <v>2</v>
      </c>
    </row>
    <row r="413" spans="1:16" x14ac:dyDescent="0.2">
      <c r="A413" t="s">
        <v>477</v>
      </c>
      <c r="B413" t="s">
        <v>478</v>
      </c>
      <c r="C413">
        <v>0</v>
      </c>
      <c r="D413">
        <v>0</v>
      </c>
      <c r="E413">
        <v>0</v>
      </c>
      <c r="F413">
        <v>0</v>
      </c>
      <c r="H413">
        <v>0</v>
      </c>
      <c r="I413">
        <v>1</v>
      </c>
      <c r="J413">
        <v>0.125</v>
      </c>
      <c r="K413">
        <v>0.125</v>
      </c>
      <c r="L413">
        <v>0</v>
      </c>
      <c r="M413">
        <v>0</v>
      </c>
      <c r="N413">
        <v>1</v>
      </c>
    </row>
    <row r="414" spans="1:16" x14ac:dyDescent="0.2">
      <c r="A414" t="s">
        <v>477</v>
      </c>
      <c r="B414" t="s">
        <v>479</v>
      </c>
      <c r="C414">
        <v>0</v>
      </c>
      <c r="D414">
        <v>0</v>
      </c>
      <c r="E414">
        <v>0</v>
      </c>
      <c r="F414">
        <v>0</v>
      </c>
      <c r="G414" t="s">
        <v>204</v>
      </c>
      <c r="H414">
        <v>8</v>
      </c>
      <c r="I414">
        <v>0</v>
      </c>
      <c r="J414">
        <v>8</v>
      </c>
      <c r="K414">
        <v>8</v>
      </c>
      <c r="L414">
        <v>0</v>
      </c>
      <c r="M414">
        <v>8</v>
      </c>
      <c r="N414">
        <v>0</v>
      </c>
    </row>
    <row r="415" spans="1:16" x14ac:dyDescent="0.2">
      <c r="A415" t="s">
        <v>477</v>
      </c>
      <c r="B415" t="s">
        <v>480</v>
      </c>
      <c r="C415">
        <v>0</v>
      </c>
      <c r="D415">
        <v>0</v>
      </c>
      <c r="E415">
        <v>0</v>
      </c>
      <c r="F415">
        <v>0</v>
      </c>
      <c r="H415">
        <v>3</v>
      </c>
      <c r="I415">
        <v>2</v>
      </c>
      <c r="J415">
        <v>3.25</v>
      </c>
      <c r="K415">
        <v>3.25</v>
      </c>
      <c r="L415">
        <v>0</v>
      </c>
      <c r="M415">
        <v>3</v>
      </c>
      <c r="N415">
        <v>2</v>
      </c>
    </row>
    <row r="416" spans="1:16" x14ac:dyDescent="0.2">
      <c r="A416" t="s">
        <v>477</v>
      </c>
      <c r="B416" t="s">
        <v>481</v>
      </c>
      <c r="C416">
        <v>0</v>
      </c>
      <c r="D416">
        <v>0</v>
      </c>
      <c r="E416">
        <v>0</v>
      </c>
      <c r="F416">
        <v>0</v>
      </c>
      <c r="H416">
        <v>11</v>
      </c>
      <c r="I416">
        <v>2</v>
      </c>
      <c r="J416">
        <v>11.25</v>
      </c>
      <c r="K416">
        <v>11.25</v>
      </c>
      <c r="L416">
        <v>0</v>
      </c>
      <c r="M416">
        <v>11</v>
      </c>
      <c r="N416">
        <v>2</v>
      </c>
    </row>
    <row r="417" spans="1:14" x14ac:dyDescent="0.2">
      <c r="A417" t="s">
        <v>477</v>
      </c>
      <c r="B417" t="s">
        <v>482</v>
      </c>
      <c r="C417">
        <v>0</v>
      </c>
      <c r="D417">
        <v>0</v>
      </c>
      <c r="E417">
        <v>0</v>
      </c>
      <c r="F417">
        <v>0</v>
      </c>
      <c r="H417">
        <v>5.5</v>
      </c>
      <c r="I417">
        <v>0</v>
      </c>
      <c r="J417">
        <v>5.5</v>
      </c>
      <c r="K417">
        <v>5.5</v>
      </c>
      <c r="L417">
        <v>0</v>
      </c>
      <c r="M417">
        <v>5.5</v>
      </c>
      <c r="N417">
        <v>0</v>
      </c>
    </row>
    <row r="418" spans="1:14" x14ac:dyDescent="0.2">
      <c r="A418" t="s">
        <v>477</v>
      </c>
      <c r="B418" t="s">
        <v>483</v>
      </c>
      <c r="C418">
        <v>0</v>
      </c>
      <c r="D418">
        <v>0</v>
      </c>
      <c r="E418">
        <v>0</v>
      </c>
      <c r="F418">
        <v>0</v>
      </c>
      <c r="H418">
        <v>0</v>
      </c>
      <c r="I418">
        <v>1</v>
      </c>
      <c r="J418">
        <v>0.125</v>
      </c>
      <c r="K418">
        <v>0.125</v>
      </c>
      <c r="L418">
        <v>0</v>
      </c>
      <c r="M418">
        <v>0</v>
      </c>
      <c r="N418">
        <v>1</v>
      </c>
    </row>
    <row r="419" spans="1:14" x14ac:dyDescent="0.2">
      <c r="A419" t="s">
        <v>477</v>
      </c>
      <c r="B419" t="s">
        <v>484</v>
      </c>
      <c r="C419">
        <v>0</v>
      </c>
      <c r="D419">
        <v>0</v>
      </c>
      <c r="E419">
        <v>0</v>
      </c>
      <c r="F419">
        <v>0</v>
      </c>
      <c r="G419" t="s">
        <v>198</v>
      </c>
      <c r="H419">
        <v>2</v>
      </c>
      <c r="I419">
        <v>1</v>
      </c>
      <c r="J419">
        <v>2.125</v>
      </c>
      <c r="K419">
        <v>2.125</v>
      </c>
      <c r="L419">
        <v>0</v>
      </c>
      <c r="M419">
        <v>2</v>
      </c>
      <c r="N419">
        <v>1</v>
      </c>
    </row>
    <row r="420" spans="1:14" x14ac:dyDescent="0.2">
      <c r="A420" t="s">
        <v>477</v>
      </c>
      <c r="B420" t="s">
        <v>485</v>
      </c>
      <c r="C420">
        <v>0</v>
      </c>
      <c r="D420">
        <v>0</v>
      </c>
      <c r="E420">
        <v>0</v>
      </c>
      <c r="F420">
        <v>0</v>
      </c>
      <c r="H420">
        <v>1.5</v>
      </c>
      <c r="I420">
        <v>0</v>
      </c>
      <c r="J420">
        <v>1.5</v>
      </c>
      <c r="K420">
        <v>1.5</v>
      </c>
      <c r="L420">
        <v>0</v>
      </c>
      <c r="M420">
        <v>1.5</v>
      </c>
      <c r="N420">
        <v>0</v>
      </c>
    </row>
    <row r="421" spans="1:14" x14ac:dyDescent="0.2">
      <c r="A421" t="s">
        <v>477</v>
      </c>
      <c r="B421" t="s">
        <v>486</v>
      </c>
      <c r="C421">
        <v>0</v>
      </c>
      <c r="D421">
        <v>0</v>
      </c>
      <c r="E421">
        <v>0</v>
      </c>
      <c r="F421">
        <v>0</v>
      </c>
      <c r="H421">
        <v>2</v>
      </c>
      <c r="I421">
        <v>1</v>
      </c>
      <c r="J421">
        <v>2.125</v>
      </c>
      <c r="K421">
        <v>2.125</v>
      </c>
      <c r="L421">
        <v>0</v>
      </c>
      <c r="M421">
        <v>2</v>
      </c>
      <c r="N421">
        <v>1</v>
      </c>
    </row>
    <row r="422" spans="1:14" x14ac:dyDescent="0.2">
      <c r="A422" t="s">
        <v>487</v>
      </c>
      <c r="B422" t="s">
        <v>488</v>
      </c>
      <c r="C422">
        <v>0</v>
      </c>
      <c r="D422">
        <v>0</v>
      </c>
      <c r="E422">
        <v>0</v>
      </c>
      <c r="F422">
        <v>0</v>
      </c>
      <c r="G422" t="s">
        <v>194</v>
      </c>
      <c r="H422">
        <v>1</v>
      </c>
      <c r="I422">
        <v>3</v>
      </c>
      <c r="J422">
        <v>1.375</v>
      </c>
      <c r="K422">
        <v>1.375</v>
      </c>
      <c r="L422">
        <v>0</v>
      </c>
      <c r="M422">
        <v>1</v>
      </c>
      <c r="N422">
        <v>3</v>
      </c>
    </row>
    <row r="423" spans="1:14" x14ac:dyDescent="0.2">
      <c r="A423" t="s">
        <v>487</v>
      </c>
      <c r="B423" t="s">
        <v>489</v>
      </c>
      <c r="C423">
        <v>0</v>
      </c>
      <c r="D423">
        <v>0</v>
      </c>
      <c r="E423">
        <v>0</v>
      </c>
      <c r="F423">
        <v>0</v>
      </c>
      <c r="H423">
        <v>0</v>
      </c>
      <c r="I423">
        <v>0</v>
      </c>
      <c r="J423">
        <v>0</v>
      </c>
      <c r="K423">
        <v>0</v>
      </c>
      <c r="L423">
        <v>0</v>
      </c>
      <c r="M423">
        <v>0</v>
      </c>
      <c r="N423">
        <v>0</v>
      </c>
    </row>
    <row r="424" spans="1:14" x14ac:dyDescent="0.2">
      <c r="A424" t="s">
        <v>487</v>
      </c>
      <c r="B424" t="s">
        <v>490</v>
      </c>
      <c r="C424">
        <v>0</v>
      </c>
      <c r="D424">
        <v>0</v>
      </c>
      <c r="E424">
        <v>0</v>
      </c>
      <c r="F424">
        <v>0</v>
      </c>
      <c r="G424" t="s">
        <v>209</v>
      </c>
      <c r="H424">
        <v>18</v>
      </c>
      <c r="I424">
        <v>1</v>
      </c>
      <c r="J424">
        <v>18.125</v>
      </c>
      <c r="K424">
        <v>18.125</v>
      </c>
      <c r="L424">
        <v>0</v>
      </c>
      <c r="M424">
        <v>18</v>
      </c>
      <c r="N424">
        <v>1</v>
      </c>
    </row>
    <row r="425" spans="1:14" x14ac:dyDescent="0.2">
      <c r="A425" t="s">
        <v>487</v>
      </c>
      <c r="B425" t="s">
        <v>489</v>
      </c>
      <c r="C425">
        <v>0</v>
      </c>
      <c r="D425">
        <v>0</v>
      </c>
      <c r="E425">
        <v>0</v>
      </c>
      <c r="F425">
        <v>0</v>
      </c>
      <c r="H425">
        <v>0</v>
      </c>
      <c r="I425">
        <v>0</v>
      </c>
      <c r="J425">
        <v>0</v>
      </c>
      <c r="K425">
        <v>0</v>
      </c>
      <c r="L425">
        <v>0</v>
      </c>
      <c r="M425">
        <v>0</v>
      </c>
      <c r="N425">
        <v>0</v>
      </c>
    </row>
    <row r="426" spans="1:14" x14ac:dyDescent="0.2">
      <c r="A426" t="s">
        <v>487</v>
      </c>
      <c r="B426" t="s">
        <v>210</v>
      </c>
      <c r="C426">
        <v>0</v>
      </c>
      <c r="D426">
        <v>0</v>
      </c>
      <c r="E426">
        <v>0</v>
      </c>
      <c r="F426">
        <v>0</v>
      </c>
      <c r="H426">
        <v>0</v>
      </c>
      <c r="I426">
        <v>0</v>
      </c>
      <c r="J426">
        <v>0</v>
      </c>
      <c r="K426">
        <v>0</v>
      </c>
      <c r="L426">
        <v>0</v>
      </c>
      <c r="M426">
        <v>0</v>
      </c>
      <c r="N426">
        <v>0</v>
      </c>
    </row>
    <row r="427" spans="1:14" x14ac:dyDescent="0.2">
      <c r="A427" t="s">
        <v>487</v>
      </c>
      <c r="B427" t="s">
        <v>491</v>
      </c>
      <c r="C427">
        <v>0</v>
      </c>
      <c r="D427">
        <v>0</v>
      </c>
      <c r="E427">
        <v>0</v>
      </c>
      <c r="F427">
        <v>0</v>
      </c>
      <c r="G427" t="s">
        <v>194</v>
      </c>
      <c r="H427">
        <v>1</v>
      </c>
      <c r="I427">
        <v>1</v>
      </c>
      <c r="J427">
        <v>1.125</v>
      </c>
      <c r="K427">
        <v>1.125</v>
      </c>
      <c r="L427">
        <v>0</v>
      </c>
      <c r="M427">
        <v>1</v>
      </c>
      <c r="N427">
        <v>1</v>
      </c>
    </row>
    <row r="428" spans="1:14" x14ac:dyDescent="0.2">
      <c r="A428" t="s">
        <v>487</v>
      </c>
      <c r="B428" t="s">
        <v>489</v>
      </c>
      <c r="C428">
        <v>0</v>
      </c>
      <c r="D428">
        <v>0</v>
      </c>
      <c r="E428">
        <v>0</v>
      </c>
      <c r="F428">
        <v>0</v>
      </c>
      <c r="H428">
        <v>0</v>
      </c>
      <c r="I428">
        <v>0</v>
      </c>
      <c r="J428">
        <v>0</v>
      </c>
      <c r="K428">
        <v>0</v>
      </c>
      <c r="L428">
        <v>0</v>
      </c>
      <c r="M428">
        <v>0</v>
      </c>
      <c r="N428">
        <v>0</v>
      </c>
    </row>
    <row r="429" spans="1:14" x14ac:dyDescent="0.2">
      <c r="A429" t="s">
        <v>487</v>
      </c>
      <c r="B429" t="s">
        <v>492</v>
      </c>
      <c r="C429">
        <v>0</v>
      </c>
      <c r="D429">
        <v>0</v>
      </c>
      <c r="E429">
        <v>0</v>
      </c>
      <c r="F429">
        <v>0</v>
      </c>
      <c r="G429" t="s">
        <v>209</v>
      </c>
      <c r="H429">
        <v>2.5</v>
      </c>
      <c r="I429">
        <v>1</v>
      </c>
      <c r="J429">
        <v>2.625</v>
      </c>
      <c r="K429">
        <v>2.625</v>
      </c>
      <c r="L429">
        <v>0</v>
      </c>
      <c r="M429">
        <v>2.5</v>
      </c>
      <c r="N429">
        <v>1</v>
      </c>
    </row>
    <row r="430" spans="1:14" x14ac:dyDescent="0.2">
      <c r="A430" t="s">
        <v>487</v>
      </c>
      <c r="B430" t="s">
        <v>489</v>
      </c>
      <c r="C430">
        <v>0</v>
      </c>
      <c r="D430">
        <v>0</v>
      </c>
      <c r="E430">
        <v>0</v>
      </c>
      <c r="F430">
        <v>0</v>
      </c>
      <c r="H430">
        <v>0</v>
      </c>
      <c r="I430">
        <v>0</v>
      </c>
      <c r="J430">
        <v>0</v>
      </c>
      <c r="K430">
        <v>0</v>
      </c>
      <c r="L430">
        <v>0</v>
      </c>
      <c r="M430">
        <v>0</v>
      </c>
      <c r="N430">
        <v>0</v>
      </c>
    </row>
    <row r="431" spans="1:14" x14ac:dyDescent="0.2">
      <c r="A431" t="s">
        <v>487</v>
      </c>
      <c r="B431" t="s">
        <v>493</v>
      </c>
      <c r="C431">
        <v>0</v>
      </c>
      <c r="D431">
        <v>0</v>
      </c>
      <c r="E431">
        <v>0</v>
      </c>
      <c r="F431">
        <v>0</v>
      </c>
      <c r="H431">
        <v>5.5</v>
      </c>
      <c r="I431">
        <v>1.5</v>
      </c>
      <c r="J431">
        <v>5.6875</v>
      </c>
      <c r="K431">
        <v>5.6875</v>
      </c>
      <c r="L431">
        <v>0</v>
      </c>
      <c r="M431">
        <v>5.5</v>
      </c>
      <c r="N431">
        <v>1.5</v>
      </c>
    </row>
    <row r="432" spans="1:14" x14ac:dyDescent="0.2">
      <c r="A432" t="s">
        <v>487</v>
      </c>
      <c r="B432" t="s">
        <v>489</v>
      </c>
      <c r="C432">
        <v>0</v>
      </c>
      <c r="D432">
        <v>0</v>
      </c>
      <c r="E432">
        <v>0</v>
      </c>
      <c r="F432">
        <v>0</v>
      </c>
      <c r="H432">
        <v>0</v>
      </c>
      <c r="I432">
        <v>0</v>
      </c>
      <c r="J432">
        <v>0</v>
      </c>
      <c r="K432">
        <v>0</v>
      </c>
      <c r="L432">
        <v>0</v>
      </c>
      <c r="M432">
        <v>0</v>
      </c>
      <c r="N432">
        <v>0</v>
      </c>
    </row>
    <row r="433" spans="1:14" x14ac:dyDescent="0.2">
      <c r="A433" t="s">
        <v>487</v>
      </c>
      <c r="B433" t="s">
        <v>494</v>
      </c>
      <c r="C433">
        <v>0</v>
      </c>
      <c r="D433">
        <v>0</v>
      </c>
      <c r="E433">
        <v>0</v>
      </c>
      <c r="F433">
        <v>0</v>
      </c>
      <c r="H433">
        <v>13.5</v>
      </c>
      <c r="I433">
        <v>0</v>
      </c>
      <c r="J433">
        <v>13.5</v>
      </c>
      <c r="K433">
        <v>13.5</v>
      </c>
      <c r="L433">
        <v>0</v>
      </c>
      <c r="M433">
        <v>13.5</v>
      </c>
      <c r="N433">
        <v>0</v>
      </c>
    </row>
    <row r="434" spans="1:14" x14ac:dyDescent="0.2">
      <c r="A434" t="s">
        <v>487</v>
      </c>
      <c r="B434" t="s">
        <v>489</v>
      </c>
      <c r="C434">
        <v>0</v>
      </c>
      <c r="D434">
        <v>0</v>
      </c>
      <c r="E434">
        <v>0</v>
      </c>
      <c r="F434">
        <v>0</v>
      </c>
      <c r="H434">
        <v>0</v>
      </c>
      <c r="I434">
        <v>0</v>
      </c>
      <c r="J434">
        <v>0</v>
      </c>
      <c r="K434">
        <v>0</v>
      </c>
      <c r="L434">
        <v>0</v>
      </c>
      <c r="M434">
        <v>0</v>
      </c>
      <c r="N434">
        <v>0</v>
      </c>
    </row>
    <row r="435" spans="1:14" x14ac:dyDescent="0.2">
      <c r="A435" t="s">
        <v>487</v>
      </c>
      <c r="B435" t="s">
        <v>495</v>
      </c>
      <c r="C435">
        <v>0</v>
      </c>
      <c r="D435">
        <v>0</v>
      </c>
      <c r="E435">
        <v>0</v>
      </c>
      <c r="F435">
        <v>0</v>
      </c>
      <c r="G435" t="s">
        <v>216</v>
      </c>
      <c r="H435">
        <v>1</v>
      </c>
      <c r="I435">
        <v>0</v>
      </c>
      <c r="J435">
        <v>1</v>
      </c>
      <c r="K435">
        <v>1</v>
      </c>
      <c r="L435">
        <v>0</v>
      </c>
      <c r="M435">
        <v>1</v>
      </c>
      <c r="N435">
        <v>0</v>
      </c>
    </row>
    <row r="436" spans="1:14" x14ac:dyDescent="0.2">
      <c r="A436" t="s">
        <v>487</v>
      </c>
      <c r="B436" t="s">
        <v>489</v>
      </c>
      <c r="C436">
        <v>0</v>
      </c>
      <c r="D436">
        <v>0</v>
      </c>
      <c r="E436">
        <v>0</v>
      </c>
      <c r="F436">
        <v>0</v>
      </c>
      <c r="H436">
        <v>0</v>
      </c>
      <c r="I436">
        <v>0</v>
      </c>
      <c r="J436">
        <v>0</v>
      </c>
      <c r="K436">
        <v>0</v>
      </c>
      <c r="L436">
        <v>0</v>
      </c>
      <c r="M436">
        <v>0</v>
      </c>
      <c r="N436">
        <v>0</v>
      </c>
    </row>
    <row r="437" spans="1:14" x14ac:dyDescent="0.2">
      <c r="A437" t="s">
        <v>496</v>
      </c>
      <c r="B437" t="s">
        <v>497</v>
      </c>
      <c r="C437">
        <v>0</v>
      </c>
      <c r="D437">
        <v>0</v>
      </c>
      <c r="E437">
        <v>0</v>
      </c>
      <c r="F437">
        <v>0</v>
      </c>
      <c r="H437">
        <v>0</v>
      </c>
      <c r="I437">
        <v>0</v>
      </c>
      <c r="J437">
        <v>0</v>
      </c>
      <c r="K437">
        <v>0</v>
      </c>
      <c r="L437">
        <v>0</v>
      </c>
      <c r="M437">
        <v>0</v>
      </c>
      <c r="N437">
        <v>0</v>
      </c>
    </row>
    <row r="438" spans="1:14" x14ac:dyDescent="0.2">
      <c r="A438" t="s">
        <v>496</v>
      </c>
      <c r="B438" t="s">
        <v>498</v>
      </c>
      <c r="C438">
        <v>0</v>
      </c>
      <c r="D438">
        <v>0</v>
      </c>
      <c r="E438">
        <v>0</v>
      </c>
      <c r="F438">
        <v>0</v>
      </c>
      <c r="H438">
        <v>0</v>
      </c>
      <c r="I438">
        <v>0</v>
      </c>
      <c r="J438">
        <v>0</v>
      </c>
      <c r="K438">
        <v>0</v>
      </c>
      <c r="L438">
        <v>0</v>
      </c>
      <c r="M438">
        <v>0</v>
      </c>
      <c r="N438">
        <v>0</v>
      </c>
    </row>
    <row r="439" spans="1:14" x14ac:dyDescent="0.2">
      <c r="A439" t="s">
        <v>496</v>
      </c>
      <c r="B439" t="s">
        <v>499</v>
      </c>
      <c r="C439">
        <v>0</v>
      </c>
      <c r="D439">
        <v>0</v>
      </c>
      <c r="E439">
        <v>0</v>
      </c>
      <c r="F439">
        <v>0</v>
      </c>
      <c r="H439">
        <v>0</v>
      </c>
      <c r="I439">
        <v>0</v>
      </c>
      <c r="J439">
        <v>0</v>
      </c>
      <c r="K439">
        <v>0</v>
      </c>
      <c r="L439">
        <v>0</v>
      </c>
      <c r="M439">
        <v>0</v>
      </c>
      <c r="N439">
        <v>0</v>
      </c>
    </row>
    <row r="440" spans="1:14" x14ac:dyDescent="0.2">
      <c r="A440" t="s">
        <v>496</v>
      </c>
      <c r="B440" t="s">
        <v>500</v>
      </c>
      <c r="C440">
        <v>0</v>
      </c>
      <c r="D440">
        <v>0</v>
      </c>
      <c r="E440">
        <v>0</v>
      </c>
      <c r="F440">
        <v>0</v>
      </c>
      <c r="H440">
        <v>0</v>
      </c>
      <c r="I440">
        <v>0</v>
      </c>
      <c r="J440">
        <v>0</v>
      </c>
      <c r="K440">
        <v>0</v>
      </c>
      <c r="L440">
        <v>0</v>
      </c>
      <c r="M440">
        <v>0</v>
      </c>
      <c r="N440">
        <v>0</v>
      </c>
    </row>
    <row r="441" spans="1:14" x14ac:dyDescent="0.2">
      <c r="A441" t="s">
        <v>496</v>
      </c>
      <c r="B441" t="s">
        <v>501</v>
      </c>
      <c r="C441">
        <v>0</v>
      </c>
      <c r="D441">
        <v>0</v>
      </c>
      <c r="E441">
        <v>0</v>
      </c>
      <c r="F441">
        <v>0</v>
      </c>
      <c r="H441">
        <v>0</v>
      </c>
      <c r="I441">
        <v>0</v>
      </c>
      <c r="J441">
        <v>0</v>
      </c>
      <c r="K441">
        <v>0</v>
      </c>
      <c r="L441">
        <v>0</v>
      </c>
      <c r="M441">
        <v>0</v>
      </c>
      <c r="N441">
        <v>0</v>
      </c>
    </row>
    <row r="442" spans="1:14" x14ac:dyDescent="0.2">
      <c r="A442" t="s">
        <v>496</v>
      </c>
      <c r="B442" t="s">
        <v>502</v>
      </c>
      <c r="C442">
        <v>0</v>
      </c>
      <c r="D442">
        <v>0</v>
      </c>
      <c r="E442">
        <v>0</v>
      </c>
      <c r="F442">
        <v>0</v>
      </c>
      <c r="H442">
        <v>0</v>
      </c>
      <c r="I442">
        <v>0</v>
      </c>
      <c r="J442">
        <v>0</v>
      </c>
      <c r="K442">
        <v>0</v>
      </c>
      <c r="L442">
        <v>0</v>
      </c>
      <c r="M442">
        <v>0</v>
      </c>
      <c r="N442">
        <v>0</v>
      </c>
    </row>
    <row r="443" spans="1:14" x14ac:dyDescent="0.2">
      <c r="A443" t="s">
        <v>496</v>
      </c>
      <c r="B443" t="s">
        <v>503</v>
      </c>
      <c r="C443">
        <v>0</v>
      </c>
      <c r="D443">
        <v>0</v>
      </c>
      <c r="E443">
        <v>0</v>
      </c>
      <c r="F443">
        <v>0</v>
      </c>
      <c r="H443">
        <v>0</v>
      </c>
      <c r="I443">
        <v>0</v>
      </c>
      <c r="J443">
        <v>0</v>
      </c>
      <c r="K443">
        <v>0</v>
      </c>
      <c r="L443">
        <v>0</v>
      </c>
      <c r="M443">
        <v>0</v>
      </c>
      <c r="N443">
        <v>0</v>
      </c>
    </row>
    <row r="444" spans="1:14" x14ac:dyDescent="0.2">
      <c r="A444" t="s">
        <v>496</v>
      </c>
      <c r="B444" t="s">
        <v>504</v>
      </c>
      <c r="C444">
        <v>0</v>
      </c>
      <c r="D444">
        <v>0</v>
      </c>
      <c r="E444">
        <v>0</v>
      </c>
      <c r="F444">
        <v>0</v>
      </c>
      <c r="H444">
        <v>0</v>
      </c>
      <c r="I444">
        <v>0</v>
      </c>
      <c r="J444">
        <v>0</v>
      </c>
      <c r="K444">
        <v>0</v>
      </c>
      <c r="L444">
        <v>0</v>
      </c>
      <c r="M444">
        <v>0</v>
      </c>
      <c r="N444">
        <v>0</v>
      </c>
    </row>
    <row r="445" spans="1:14" x14ac:dyDescent="0.2">
      <c r="A445" t="s">
        <v>496</v>
      </c>
      <c r="B445" t="s">
        <v>505</v>
      </c>
      <c r="C445">
        <v>0</v>
      </c>
      <c r="D445">
        <v>0</v>
      </c>
      <c r="E445">
        <v>0</v>
      </c>
      <c r="F445">
        <v>0</v>
      </c>
      <c r="H445">
        <v>0</v>
      </c>
      <c r="I445">
        <v>0</v>
      </c>
      <c r="J445">
        <v>0</v>
      </c>
      <c r="K445">
        <v>0</v>
      </c>
      <c r="L445">
        <v>0</v>
      </c>
      <c r="M445">
        <v>0</v>
      </c>
      <c r="N445">
        <v>0</v>
      </c>
    </row>
    <row r="446" spans="1:14" x14ac:dyDescent="0.2">
      <c r="A446" t="s">
        <v>496</v>
      </c>
      <c r="B446" t="s">
        <v>506</v>
      </c>
      <c r="C446">
        <v>0</v>
      </c>
      <c r="D446">
        <v>0</v>
      </c>
      <c r="E446">
        <v>0</v>
      </c>
      <c r="F446">
        <v>0</v>
      </c>
      <c r="H446">
        <v>0</v>
      </c>
      <c r="I446">
        <v>0</v>
      </c>
      <c r="J446">
        <v>0</v>
      </c>
      <c r="K446">
        <v>0</v>
      </c>
      <c r="L446">
        <v>0</v>
      </c>
      <c r="M446">
        <v>0</v>
      </c>
      <c r="N446">
        <v>0</v>
      </c>
    </row>
    <row r="447" spans="1:14" x14ac:dyDescent="0.2">
      <c r="A447" t="s">
        <v>496</v>
      </c>
      <c r="B447" t="s">
        <v>507</v>
      </c>
      <c r="C447">
        <v>0</v>
      </c>
      <c r="D447">
        <v>0</v>
      </c>
      <c r="E447">
        <v>0</v>
      </c>
      <c r="F447">
        <v>0</v>
      </c>
      <c r="H447">
        <v>0</v>
      </c>
      <c r="I447">
        <v>0</v>
      </c>
      <c r="J447">
        <v>0</v>
      </c>
      <c r="K447">
        <v>0</v>
      </c>
      <c r="L447">
        <v>0</v>
      </c>
      <c r="M447">
        <v>0</v>
      </c>
      <c r="N447">
        <v>0</v>
      </c>
    </row>
    <row r="448" spans="1:14" x14ac:dyDescent="0.2">
      <c r="A448" t="s">
        <v>496</v>
      </c>
      <c r="B448" t="s">
        <v>508</v>
      </c>
      <c r="C448">
        <v>0</v>
      </c>
      <c r="D448">
        <v>0</v>
      </c>
      <c r="E448">
        <v>0</v>
      </c>
      <c r="F448">
        <v>0</v>
      </c>
      <c r="H448">
        <v>0</v>
      </c>
      <c r="I448">
        <v>0</v>
      </c>
      <c r="J448">
        <v>0</v>
      </c>
      <c r="K448">
        <v>0</v>
      </c>
      <c r="L448">
        <v>0</v>
      </c>
      <c r="M448">
        <v>0</v>
      </c>
      <c r="N448">
        <v>0</v>
      </c>
    </row>
    <row r="449" spans="1:14" x14ac:dyDescent="0.2">
      <c r="A449" t="s">
        <v>496</v>
      </c>
      <c r="B449" t="s">
        <v>509</v>
      </c>
      <c r="C449">
        <v>0</v>
      </c>
      <c r="D449">
        <v>0</v>
      </c>
      <c r="E449">
        <v>0</v>
      </c>
      <c r="F449">
        <v>0</v>
      </c>
      <c r="H449">
        <v>0</v>
      </c>
      <c r="I449">
        <v>0</v>
      </c>
      <c r="J449">
        <v>0</v>
      </c>
      <c r="K449">
        <v>0</v>
      </c>
      <c r="L449">
        <v>0</v>
      </c>
      <c r="M449">
        <v>0</v>
      </c>
      <c r="N449">
        <v>0</v>
      </c>
    </row>
    <row r="450" spans="1:14" x14ac:dyDescent="0.2">
      <c r="A450" t="s">
        <v>496</v>
      </c>
      <c r="B450" t="s">
        <v>510</v>
      </c>
      <c r="C450">
        <v>0</v>
      </c>
      <c r="D450">
        <v>0</v>
      </c>
      <c r="E450">
        <v>0</v>
      </c>
      <c r="F450">
        <v>0</v>
      </c>
      <c r="H450">
        <v>0</v>
      </c>
      <c r="I450">
        <v>0</v>
      </c>
      <c r="J450">
        <v>0</v>
      </c>
      <c r="K450">
        <v>0</v>
      </c>
      <c r="L450">
        <v>0</v>
      </c>
      <c r="M450">
        <v>0</v>
      </c>
      <c r="N450">
        <v>0</v>
      </c>
    </row>
    <row r="451" spans="1:14" x14ac:dyDescent="0.2">
      <c r="A451" t="s">
        <v>496</v>
      </c>
      <c r="B451" t="s">
        <v>511</v>
      </c>
      <c r="C451">
        <v>0</v>
      </c>
      <c r="D451">
        <v>0</v>
      </c>
      <c r="E451">
        <v>0</v>
      </c>
      <c r="F451">
        <v>0</v>
      </c>
      <c r="H451">
        <v>0</v>
      </c>
      <c r="I451">
        <v>0</v>
      </c>
      <c r="J451">
        <v>0</v>
      </c>
      <c r="K451">
        <v>0</v>
      </c>
      <c r="L451">
        <v>0</v>
      </c>
      <c r="M451">
        <v>0</v>
      </c>
      <c r="N451">
        <v>0</v>
      </c>
    </row>
    <row r="452" spans="1:14" x14ac:dyDescent="0.2">
      <c r="A452" t="s">
        <v>496</v>
      </c>
      <c r="B452" t="s">
        <v>512</v>
      </c>
      <c r="C452">
        <v>0</v>
      </c>
      <c r="D452">
        <v>0</v>
      </c>
      <c r="E452">
        <v>0</v>
      </c>
      <c r="F452">
        <v>0</v>
      </c>
      <c r="H452">
        <v>0</v>
      </c>
      <c r="I452">
        <v>0</v>
      </c>
      <c r="J452">
        <v>0</v>
      </c>
      <c r="K452">
        <v>0</v>
      </c>
      <c r="L452">
        <v>0</v>
      </c>
      <c r="M452">
        <v>0</v>
      </c>
      <c r="N452">
        <v>0</v>
      </c>
    </row>
    <row r="453" spans="1:14" x14ac:dyDescent="0.2">
      <c r="A453" t="s">
        <v>496</v>
      </c>
      <c r="B453" t="s">
        <v>513</v>
      </c>
      <c r="C453">
        <v>0</v>
      </c>
      <c r="D453">
        <v>0</v>
      </c>
      <c r="E453">
        <v>0</v>
      </c>
      <c r="F453">
        <v>0</v>
      </c>
      <c r="H453">
        <v>0</v>
      </c>
      <c r="I453">
        <v>0</v>
      </c>
      <c r="J453">
        <v>0</v>
      </c>
      <c r="K453">
        <v>0</v>
      </c>
      <c r="L453">
        <v>0</v>
      </c>
      <c r="M453">
        <v>0</v>
      </c>
      <c r="N453">
        <v>0</v>
      </c>
    </row>
    <row r="454" spans="1:14" x14ac:dyDescent="0.2">
      <c r="A454" t="s">
        <v>496</v>
      </c>
      <c r="B454" t="s">
        <v>514</v>
      </c>
      <c r="C454">
        <v>0</v>
      </c>
      <c r="D454">
        <v>0</v>
      </c>
      <c r="E454">
        <v>0</v>
      </c>
      <c r="F454">
        <v>0</v>
      </c>
      <c r="H454">
        <v>0</v>
      </c>
      <c r="I454">
        <v>0</v>
      </c>
      <c r="J454">
        <v>0</v>
      </c>
      <c r="K454">
        <v>0</v>
      </c>
      <c r="L454">
        <v>0</v>
      </c>
      <c r="M454">
        <v>0</v>
      </c>
      <c r="N454">
        <v>0</v>
      </c>
    </row>
    <row r="455" spans="1:14" x14ac:dyDescent="0.2">
      <c r="A455" t="s">
        <v>496</v>
      </c>
      <c r="B455" t="s">
        <v>515</v>
      </c>
      <c r="C455">
        <v>0</v>
      </c>
      <c r="D455">
        <v>0</v>
      </c>
      <c r="E455">
        <v>0</v>
      </c>
      <c r="F455">
        <v>0</v>
      </c>
      <c r="H455">
        <v>0</v>
      </c>
      <c r="I455">
        <v>0</v>
      </c>
      <c r="J455">
        <v>0</v>
      </c>
      <c r="K455">
        <v>0</v>
      </c>
      <c r="L455">
        <v>0</v>
      </c>
      <c r="M455">
        <v>0</v>
      </c>
      <c r="N455">
        <v>0</v>
      </c>
    </row>
    <row r="456" spans="1:14" x14ac:dyDescent="0.2">
      <c r="A456" t="s">
        <v>496</v>
      </c>
      <c r="B456" t="s">
        <v>516</v>
      </c>
      <c r="C456">
        <v>0</v>
      </c>
      <c r="D456">
        <v>0</v>
      </c>
      <c r="E456">
        <v>0</v>
      </c>
      <c r="F456">
        <v>0</v>
      </c>
      <c r="H456">
        <v>0</v>
      </c>
      <c r="I456">
        <v>0</v>
      </c>
      <c r="J456">
        <v>0</v>
      </c>
      <c r="K456">
        <v>0</v>
      </c>
      <c r="L456">
        <v>0</v>
      </c>
      <c r="M456">
        <v>0</v>
      </c>
      <c r="N456">
        <v>0</v>
      </c>
    </row>
    <row r="457" spans="1:14" x14ac:dyDescent="0.2">
      <c r="A457" t="s">
        <v>496</v>
      </c>
      <c r="B457" t="s">
        <v>517</v>
      </c>
      <c r="C457">
        <v>0</v>
      </c>
      <c r="D457">
        <v>0</v>
      </c>
      <c r="E457">
        <v>0</v>
      </c>
      <c r="F457">
        <v>0</v>
      </c>
      <c r="H457">
        <v>0</v>
      </c>
      <c r="I457">
        <v>0</v>
      </c>
      <c r="J457">
        <v>0</v>
      </c>
      <c r="K457">
        <v>0</v>
      </c>
      <c r="L457">
        <v>0</v>
      </c>
      <c r="M457">
        <v>0</v>
      </c>
      <c r="N457">
        <v>0</v>
      </c>
    </row>
    <row r="458" spans="1:14" x14ac:dyDescent="0.2">
      <c r="A458" t="s">
        <v>496</v>
      </c>
      <c r="B458" t="s">
        <v>518</v>
      </c>
      <c r="C458">
        <v>0</v>
      </c>
      <c r="D458">
        <v>0</v>
      </c>
      <c r="E458">
        <v>0</v>
      </c>
      <c r="F458">
        <v>0</v>
      </c>
      <c r="H458">
        <v>0</v>
      </c>
      <c r="I458">
        <v>0</v>
      </c>
      <c r="J458">
        <v>0</v>
      </c>
      <c r="K458">
        <v>0</v>
      </c>
      <c r="L458">
        <v>0</v>
      </c>
      <c r="M458">
        <v>0</v>
      </c>
      <c r="N458">
        <v>0</v>
      </c>
    </row>
    <row r="459" spans="1:14" x14ac:dyDescent="0.2">
      <c r="A459" t="s">
        <v>496</v>
      </c>
      <c r="B459" t="s">
        <v>519</v>
      </c>
      <c r="C459">
        <v>0</v>
      </c>
      <c r="D459">
        <v>0</v>
      </c>
      <c r="E459">
        <v>0</v>
      </c>
      <c r="F459">
        <v>0</v>
      </c>
      <c r="H459">
        <v>0</v>
      </c>
      <c r="I459">
        <v>0</v>
      </c>
      <c r="J459">
        <v>0</v>
      </c>
      <c r="K459">
        <v>0</v>
      </c>
      <c r="L459">
        <v>0</v>
      </c>
      <c r="M459">
        <v>0</v>
      </c>
      <c r="N459">
        <v>0</v>
      </c>
    </row>
    <row r="460" spans="1:14" x14ac:dyDescent="0.2">
      <c r="A460" t="s">
        <v>496</v>
      </c>
      <c r="B460" t="s">
        <v>520</v>
      </c>
      <c r="C460">
        <v>0</v>
      </c>
      <c r="D460">
        <v>0</v>
      </c>
      <c r="E460">
        <v>0</v>
      </c>
      <c r="F460">
        <v>0</v>
      </c>
      <c r="H460">
        <v>0</v>
      </c>
      <c r="I460">
        <v>0</v>
      </c>
      <c r="J460">
        <v>0</v>
      </c>
      <c r="K460">
        <v>0</v>
      </c>
      <c r="L460">
        <v>0</v>
      </c>
      <c r="M460">
        <v>0</v>
      </c>
      <c r="N460">
        <v>0</v>
      </c>
    </row>
    <row r="461" spans="1:14" x14ac:dyDescent="0.2">
      <c r="A461" t="s">
        <v>496</v>
      </c>
      <c r="B461" t="s">
        <v>521</v>
      </c>
      <c r="C461">
        <v>0</v>
      </c>
      <c r="D461">
        <v>0</v>
      </c>
      <c r="E461">
        <v>0</v>
      </c>
      <c r="F461">
        <v>0</v>
      </c>
      <c r="H461">
        <v>0</v>
      </c>
      <c r="I461">
        <v>0</v>
      </c>
      <c r="J461">
        <v>0</v>
      </c>
      <c r="K461">
        <v>0</v>
      </c>
      <c r="L461">
        <v>0</v>
      </c>
      <c r="M461">
        <v>0</v>
      </c>
      <c r="N461">
        <v>0</v>
      </c>
    </row>
    <row r="462" spans="1:14" x14ac:dyDescent="0.2">
      <c r="A462" t="s">
        <v>496</v>
      </c>
      <c r="B462" t="s">
        <v>522</v>
      </c>
      <c r="C462">
        <v>0</v>
      </c>
      <c r="D462">
        <v>0</v>
      </c>
      <c r="E462">
        <v>0</v>
      </c>
      <c r="F462">
        <v>0</v>
      </c>
      <c r="H462">
        <v>0</v>
      </c>
      <c r="I462">
        <v>0</v>
      </c>
      <c r="J462">
        <v>0</v>
      </c>
      <c r="K462">
        <v>0</v>
      </c>
      <c r="L462">
        <v>0</v>
      </c>
      <c r="M462">
        <v>0</v>
      </c>
      <c r="N462">
        <v>0</v>
      </c>
    </row>
    <row r="463" spans="1:14" x14ac:dyDescent="0.2">
      <c r="A463" t="s">
        <v>496</v>
      </c>
      <c r="B463" t="s">
        <v>523</v>
      </c>
      <c r="C463">
        <v>0</v>
      </c>
      <c r="D463">
        <v>0</v>
      </c>
      <c r="E463">
        <v>0</v>
      </c>
      <c r="F463">
        <v>0</v>
      </c>
      <c r="H463">
        <v>0</v>
      </c>
      <c r="I463">
        <v>0</v>
      </c>
      <c r="J463">
        <v>0</v>
      </c>
      <c r="K463">
        <v>0</v>
      </c>
      <c r="L463">
        <v>0</v>
      </c>
      <c r="M463">
        <v>0</v>
      </c>
      <c r="N463">
        <v>0</v>
      </c>
    </row>
    <row r="464" spans="1:14" x14ac:dyDescent="0.2">
      <c r="A464" t="s">
        <v>496</v>
      </c>
      <c r="B464" t="s">
        <v>524</v>
      </c>
      <c r="C464">
        <v>0</v>
      </c>
      <c r="D464">
        <v>0</v>
      </c>
      <c r="E464">
        <v>0</v>
      </c>
      <c r="F464">
        <v>0</v>
      </c>
      <c r="H464">
        <v>0</v>
      </c>
      <c r="I464">
        <v>0</v>
      </c>
      <c r="J464">
        <v>0</v>
      </c>
      <c r="K464">
        <v>0</v>
      </c>
      <c r="L464">
        <v>0</v>
      </c>
      <c r="M464">
        <v>0</v>
      </c>
      <c r="N464">
        <v>0</v>
      </c>
    </row>
    <row r="465" spans="1:14" x14ac:dyDescent="0.2">
      <c r="A465" t="s">
        <v>496</v>
      </c>
      <c r="B465" t="s">
        <v>525</v>
      </c>
      <c r="C465">
        <v>0</v>
      </c>
      <c r="D465">
        <v>0</v>
      </c>
      <c r="E465">
        <v>0</v>
      </c>
      <c r="F465">
        <v>0</v>
      </c>
      <c r="H465">
        <v>0</v>
      </c>
      <c r="I465">
        <v>0</v>
      </c>
      <c r="J465">
        <v>0</v>
      </c>
      <c r="K465">
        <v>0</v>
      </c>
      <c r="L465">
        <v>0</v>
      </c>
      <c r="M465">
        <v>0</v>
      </c>
      <c r="N465">
        <v>0</v>
      </c>
    </row>
    <row r="466" spans="1:14" x14ac:dyDescent="0.2">
      <c r="A466" t="s">
        <v>496</v>
      </c>
      <c r="B466" t="s">
        <v>526</v>
      </c>
      <c r="C466">
        <v>0</v>
      </c>
      <c r="D466">
        <v>0</v>
      </c>
      <c r="E466">
        <v>0</v>
      </c>
      <c r="F466">
        <v>0</v>
      </c>
      <c r="H466">
        <v>0</v>
      </c>
      <c r="I466">
        <v>0</v>
      </c>
      <c r="J466">
        <v>0</v>
      </c>
      <c r="K466">
        <v>0</v>
      </c>
      <c r="L466">
        <v>0</v>
      </c>
      <c r="M466">
        <v>0</v>
      </c>
      <c r="N466">
        <v>0</v>
      </c>
    </row>
    <row r="467" spans="1:14" x14ac:dyDescent="0.2">
      <c r="A467" t="s">
        <v>496</v>
      </c>
      <c r="B467" t="s">
        <v>527</v>
      </c>
      <c r="C467">
        <v>0</v>
      </c>
      <c r="D467">
        <v>0</v>
      </c>
      <c r="E467">
        <v>0</v>
      </c>
      <c r="F467">
        <v>0</v>
      </c>
      <c r="H467">
        <v>0</v>
      </c>
      <c r="I467">
        <v>0</v>
      </c>
      <c r="J467">
        <v>0</v>
      </c>
      <c r="K467">
        <v>0</v>
      </c>
      <c r="L467">
        <v>0</v>
      </c>
      <c r="M467">
        <v>0</v>
      </c>
      <c r="N467">
        <v>0</v>
      </c>
    </row>
    <row r="468" spans="1:14" x14ac:dyDescent="0.2">
      <c r="A468" t="s">
        <v>496</v>
      </c>
      <c r="B468" t="s">
        <v>528</v>
      </c>
      <c r="C468">
        <v>0</v>
      </c>
      <c r="D468">
        <v>0</v>
      </c>
      <c r="E468">
        <v>0</v>
      </c>
      <c r="F468">
        <v>0</v>
      </c>
      <c r="H468">
        <v>0</v>
      </c>
      <c r="I468">
        <v>0</v>
      </c>
      <c r="J468">
        <v>0</v>
      </c>
      <c r="K468">
        <v>0</v>
      </c>
      <c r="L468">
        <v>0</v>
      </c>
      <c r="M468">
        <v>0</v>
      </c>
      <c r="N468">
        <v>0</v>
      </c>
    </row>
    <row r="469" spans="1:14" x14ac:dyDescent="0.2">
      <c r="A469" t="s">
        <v>496</v>
      </c>
      <c r="B469" t="s">
        <v>529</v>
      </c>
      <c r="C469">
        <v>0</v>
      </c>
      <c r="D469">
        <v>0</v>
      </c>
      <c r="E469">
        <v>0</v>
      </c>
      <c r="F469">
        <v>0</v>
      </c>
      <c r="H469">
        <v>0</v>
      </c>
      <c r="I469">
        <v>0</v>
      </c>
      <c r="J469">
        <v>0</v>
      </c>
      <c r="K469">
        <v>0</v>
      </c>
      <c r="L469">
        <v>0</v>
      </c>
      <c r="M469">
        <v>0</v>
      </c>
      <c r="N469">
        <v>0</v>
      </c>
    </row>
    <row r="470" spans="1:14" x14ac:dyDescent="0.2">
      <c r="A470" t="s">
        <v>496</v>
      </c>
      <c r="B470" t="s">
        <v>530</v>
      </c>
      <c r="C470">
        <v>0</v>
      </c>
      <c r="D470">
        <v>0</v>
      </c>
      <c r="E470">
        <v>0</v>
      </c>
      <c r="F470">
        <v>0</v>
      </c>
      <c r="H470">
        <v>0</v>
      </c>
      <c r="I470">
        <v>0</v>
      </c>
      <c r="J470">
        <v>0</v>
      </c>
      <c r="K470">
        <v>0</v>
      </c>
      <c r="L470">
        <v>0</v>
      </c>
      <c r="M470">
        <v>0</v>
      </c>
      <c r="N470">
        <v>0</v>
      </c>
    </row>
    <row r="471" spans="1:14" x14ac:dyDescent="0.2">
      <c r="A471" t="s">
        <v>496</v>
      </c>
      <c r="B471" t="s">
        <v>531</v>
      </c>
      <c r="C471">
        <v>0</v>
      </c>
      <c r="D471">
        <v>0</v>
      </c>
      <c r="E471">
        <v>0</v>
      </c>
      <c r="F471">
        <v>0</v>
      </c>
      <c r="H471">
        <v>0</v>
      </c>
      <c r="I471">
        <v>0</v>
      </c>
      <c r="J471">
        <v>0</v>
      </c>
      <c r="K471">
        <v>0</v>
      </c>
      <c r="L471">
        <v>0</v>
      </c>
      <c r="M471">
        <v>0</v>
      </c>
      <c r="N471">
        <v>0</v>
      </c>
    </row>
    <row r="472" spans="1:14" x14ac:dyDescent="0.2">
      <c r="A472" t="s">
        <v>496</v>
      </c>
      <c r="B472" t="s">
        <v>532</v>
      </c>
      <c r="C472">
        <v>0</v>
      </c>
      <c r="D472">
        <v>0</v>
      </c>
      <c r="E472">
        <v>0</v>
      </c>
      <c r="F472">
        <v>0</v>
      </c>
      <c r="H472">
        <v>0</v>
      </c>
      <c r="I472">
        <v>0</v>
      </c>
      <c r="J472">
        <v>0</v>
      </c>
      <c r="K472">
        <v>0</v>
      </c>
      <c r="L472">
        <v>0</v>
      </c>
      <c r="M472">
        <v>0</v>
      </c>
      <c r="N472">
        <v>0</v>
      </c>
    </row>
    <row r="473" spans="1:14" x14ac:dyDescent="0.2">
      <c r="A473" t="s">
        <v>496</v>
      </c>
      <c r="B473" t="s">
        <v>533</v>
      </c>
      <c r="C473">
        <v>0</v>
      </c>
      <c r="D473">
        <v>0</v>
      </c>
      <c r="E473">
        <v>0</v>
      </c>
      <c r="F473">
        <v>0</v>
      </c>
      <c r="H473">
        <v>0</v>
      </c>
      <c r="I473">
        <v>0</v>
      </c>
      <c r="J473">
        <v>0</v>
      </c>
      <c r="K473">
        <v>0</v>
      </c>
      <c r="L473">
        <v>0</v>
      </c>
      <c r="M473">
        <v>0</v>
      </c>
      <c r="N473">
        <v>0</v>
      </c>
    </row>
    <row r="474" spans="1:14" x14ac:dyDescent="0.2">
      <c r="A474" t="s">
        <v>496</v>
      </c>
      <c r="B474" t="s">
        <v>534</v>
      </c>
      <c r="C474">
        <v>0</v>
      </c>
      <c r="D474">
        <v>0</v>
      </c>
      <c r="E474">
        <v>0</v>
      </c>
      <c r="F474">
        <v>0</v>
      </c>
      <c r="H474">
        <v>0</v>
      </c>
      <c r="I474">
        <v>0</v>
      </c>
      <c r="J474">
        <v>0</v>
      </c>
      <c r="K474">
        <v>0</v>
      </c>
      <c r="L474">
        <v>0</v>
      </c>
      <c r="M474">
        <v>0</v>
      </c>
      <c r="N474">
        <v>0</v>
      </c>
    </row>
    <row r="475" spans="1:14" x14ac:dyDescent="0.2">
      <c r="A475" t="s">
        <v>496</v>
      </c>
      <c r="B475" t="s">
        <v>535</v>
      </c>
      <c r="C475">
        <v>0</v>
      </c>
      <c r="D475">
        <v>0</v>
      </c>
      <c r="E475">
        <v>0</v>
      </c>
      <c r="F475">
        <v>0</v>
      </c>
      <c r="H475">
        <v>0</v>
      </c>
      <c r="I475">
        <v>0</v>
      </c>
      <c r="J475">
        <v>0</v>
      </c>
      <c r="K475">
        <v>0</v>
      </c>
      <c r="L475">
        <v>0</v>
      </c>
      <c r="M475">
        <v>0</v>
      </c>
      <c r="N475">
        <v>0</v>
      </c>
    </row>
    <row r="476" spans="1:14" x14ac:dyDescent="0.2">
      <c r="A476" t="s">
        <v>496</v>
      </c>
      <c r="B476" t="s">
        <v>536</v>
      </c>
      <c r="C476">
        <v>0</v>
      </c>
      <c r="D476">
        <v>0</v>
      </c>
      <c r="E476">
        <v>0</v>
      </c>
      <c r="F476">
        <v>0</v>
      </c>
      <c r="H476">
        <v>0</v>
      </c>
      <c r="I476">
        <v>0</v>
      </c>
      <c r="J476">
        <v>0</v>
      </c>
      <c r="K476">
        <v>0</v>
      </c>
      <c r="L476">
        <v>0</v>
      </c>
      <c r="M476">
        <v>0</v>
      </c>
      <c r="N476">
        <v>0</v>
      </c>
    </row>
    <row r="477" spans="1:14" x14ac:dyDescent="0.2">
      <c r="A477" t="s">
        <v>496</v>
      </c>
      <c r="B477" t="s">
        <v>537</v>
      </c>
      <c r="C477">
        <v>0</v>
      </c>
      <c r="D477">
        <v>0</v>
      </c>
      <c r="E477">
        <v>0</v>
      </c>
      <c r="F477">
        <v>0</v>
      </c>
      <c r="H477">
        <v>0</v>
      </c>
      <c r="I477">
        <v>0</v>
      </c>
      <c r="J477">
        <v>0</v>
      </c>
      <c r="K477">
        <v>0</v>
      </c>
      <c r="L477">
        <v>0</v>
      </c>
      <c r="M477">
        <v>0</v>
      </c>
      <c r="N477">
        <v>0</v>
      </c>
    </row>
    <row r="478" spans="1:14" x14ac:dyDescent="0.2">
      <c r="A478" t="s">
        <v>496</v>
      </c>
      <c r="B478" t="s">
        <v>538</v>
      </c>
      <c r="C478">
        <v>0</v>
      </c>
      <c r="D478">
        <v>0</v>
      </c>
      <c r="E478">
        <v>0</v>
      </c>
      <c r="F478">
        <v>0</v>
      </c>
      <c r="H478">
        <v>0</v>
      </c>
      <c r="I478">
        <v>0</v>
      </c>
      <c r="J478">
        <v>0</v>
      </c>
      <c r="K478">
        <v>0</v>
      </c>
      <c r="L478">
        <v>0</v>
      </c>
      <c r="M478">
        <v>0</v>
      </c>
      <c r="N478">
        <v>0</v>
      </c>
    </row>
    <row r="479" spans="1:14" x14ac:dyDescent="0.2">
      <c r="A479" t="s">
        <v>496</v>
      </c>
      <c r="B479" t="s">
        <v>539</v>
      </c>
      <c r="C479">
        <v>0</v>
      </c>
      <c r="D479">
        <v>0</v>
      </c>
      <c r="E479">
        <v>0</v>
      </c>
      <c r="F479">
        <v>0</v>
      </c>
      <c r="H479">
        <v>0</v>
      </c>
      <c r="I479">
        <v>0</v>
      </c>
      <c r="J479">
        <v>0</v>
      </c>
      <c r="K479">
        <v>0</v>
      </c>
      <c r="L479">
        <v>0</v>
      </c>
      <c r="M479">
        <v>0</v>
      </c>
      <c r="N479">
        <v>0</v>
      </c>
    </row>
    <row r="480" spans="1:14" x14ac:dyDescent="0.2">
      <c r="A480" t="s">
        <v>496</v>
      </c>
      <c r="B480" t="s">
        <v>540</v>
      </c>
      <c r="C480">
        <v>0</v>
      </c>
      <c r="D480">
        <v>0</v>
      </c>
      <c r="E480">
        <v>0</v>
      </c>
      <c r="F480">
        <v>0</v>
      </c>
      <c r="H480">
        <v>0</v>
      </c>
      <c r="I480">
        <v>0</v>
      </c>
      <c r="J480">
        <v>0</v>
      </c>
      <c r="K480">
        <v>0</v>
      </c>
      <c r="L480">
        <v>0</v>
      </c>
      <c r="M480">
        <v>0</v>
      </c>
      <c r="N480">
        <v>0</v>
      </c>
    </row>
    <row r="481" spans="1:14" x14ac:dyDescent="0.2">
      <c r="A481" t="s">
        <v>496</v>
      </c>
      <c r="B481" t="s">
        <v>541</v>
      </c>
      <c r="C481">
        <v>0</v>
      </c>
      <c r="D481">
        <v>0</v>
      </c>
      <c r="E481">
        <v>0</v>
      </c>
      <c r="F481">
        <v>0</v>
      </c>
      <c r="H481">
        <v>0</v>
      </c>
      <c r="I481">
        <v>0</v>
      </c>
      <c r="J481">
        <v>0</v>
      </c>
      <c r="K481">
        <v>0</v>
      </c>
      <c r="L481">
        <v>0</v>
      </c>
      <c r="M481">
        <v>0</v>
      </c>
      <c r="N481">
        <v>0</v>
      </c>
    </row>
    <row r="482" spans="1:14" x14ac:dyDescent="0.2">
      <c r="A482" t="s">
        <v>496</v>
      </c>
      <c r="B482" t="s">
        <v>542</v>
      </c>
      <c r="C482">
        <v>0</v>
      </c>
      <c r="D482">
        <v>0</v>
      </c>
      <c r="E482">
        <v>0</v>
      </c>
      <c r="F482">
        <v>0</v>
      </c>
      <c r="H482">
        <v>0</v>
      </c>
      <c r="I482">
        <v>0</v>
      </c>
      <c r="J482">
        <v>0</v>
      </c>
      <c r="K482">
        <v>0</v>
      </c>
      <c r="L482">
        <v>0</v>
      </c>
      <c r="M482">
        <v>0</v>
      </c>
      <c r="N482">
        <v>0</v>
      </c>
    </row>
    <row r="483" spans="1:14" x14ac:dyDescent="0.2">
      <c r="A483" t="s">
        <v>496</v>
      </c>
      <c r="B483" t="s">
        <v>543</v>
      </c>
      <c r="C483">
        <v>0</v>
      </c>
      <c r="D483">
        <v>0</v>
      </c>
      <c r="E483">
        <v>0</v>
      </c>
      <c r="F483">
        <v>0</v>
      </c>
      <c r="H483">
        <v>0</v>
      </c>
      <c r="I483">
        <v>0</v>
      </c>
      <c r="J483">
        <v>0</v>
      </c>
      <c r="K483">
        <v>0</v>
      </c>
      <c r="L483">
        <v>0</v>
      </c>
      <c r="M483">
        <v>0</v>
      </c>
      <c r="N483">
        <v>0</v>
      </c>
    </row>
    <row r="484" spans="1:14" x14ac:dyDescent="0.2">
      <c r="A484" t="s">
        <v>496</v>
      </c>
      <c r="B484" t="s">
        <v>544</v>
      </c>
      <c r="C484">
        <v>0</v>
      </c>
      <c r="D484">
        <v>0</v>
      </c>
      <c r="E484">
        <v>0</v>
      </c>
      <c r="F484">
        <v>0</v>
      </c>
      <c r="H484">
        <v>0</v>
      </c>
      <c r="I484">
        <v>0</v>
      </c>
      <c r="J484">
        <v>0</v>
      </c>
      <c r="K484">
        <v>0</v>
      </c>
      <c r="L484">
        <v>0</v>
      </c>
      <c r="M484">
        <v>0</v>
      </c>
      <c r="N484">
        <v>0</v>
      </c>
    </row>
    <row r="485" spans="1:14" x14ac:dyDescent="0.2">
      <c r="A485" t="s">
        <v>496</v>
      </c>
      <c r="B485" t="s">
        <v>545</v>
      </c>
      <c r="C485">
        <v>0</v>
      </c>
      <c r="D485">
        <v>0</v>
      </c>
      <c r="E485">
        <v>0</v>
      </c>
      <c r="F485">
        <v>0</v>
      </c>
      <c r="H485">
        <v>0</v>
      </c>
      <c r="I485">
        <v>0</v>
      </c>
      <c r="J485">
        <v>0</v>
      </c>
      <c r="K485">
        <v>0</v>
      </c>
      <c r="L485">
        <v>0</v>
      </c>
      <c r="M485">
        <v>0</v>
      </c>
      <c r="N485">
        <v>0</v>
      </c>
    </row>
    <row r="486" spans="1:14" x14ac:dyDescent="0.2">
      <c r="A486" t="s">
        <v>496</v>
      </c>
      <c r="B486" t="s">
        <v>546</v>
      </c>
      <c r="C486">
        <v>0</v>
      </c>
      <c r="D486">
        <v>0</v>
      </c>
      <c r="E486">
        <v>0</v>
      </c>
      <c r="F486">
        <v>0</v>
      </c>
      <c r="H486">
        <v>0</v>
      </c>
      <c r="I486">
        <v>0</v>
      </c>
      <c r="J486">
        <v>0</v>
      </c>
      <c r="K486">
        <v>0</v>
      </c>
      <c r="L486">
        <v>0</v>
      </c>
      <c r="M486">
        <v>0</v>
      </c>
      <c r="N486">
        <v>0</v>
      </c>
    </row>
    <row r="487" spans="1:14" x14ac:dyDescent="0.2">
      <c r="A487" t="s">
        <v>496</v>
      </c>
      <c r="B487" t="s">
        <v>547</v>
      </c>
      <c r="C487">
        <v>0</v>
      </c>
      <c r="D487">
        <v>0</v>
      </c>
      <c r="E487">
        <v>0</v>
      </c>
      <c r="F487">
        <v>0</v>
      </c>
      <c r="H487">
        <v>0</v>
      </c>
      <c r="I487">
        <v>0</v>
      </c>
      <c r="J487">
        <v>0</v>
      </c>
      <c r="K487">
        <v>0</v>
      </c>
      <c r="L487">
        <v>0</v>
      </c>
      <c r="M487">
        <v>0</v>
      </c>
      <c r="N487">
        <v>0</v>
      </c>
    </row>
    <row r="488" spans="1:14" x14ac:dyDescent="0.2">
      <c r="A488" t="s">
        <v>496</v>
      </c>
      <c r="B488" t="s">
        <v>548</v>
      </c>
      <c r="C488">
        <v>0</v>
      </c>
      <c r="D488">
        <v>0</v>
      </c>
      <c r="E488">
        <v>0</v>
      </c>
      <c r="F488">
        <v>0</v>
      </c>
      <c r="H488">
        <v>0</v>
      </c>
      <c r="I488">
        <v>0</v>
      </c>
      <c r="J488">
        <v>0</v>
      </c>
      <c r="K488">
        <v>0</v>
      </c>
      <c r="L488">
        <v>0</v>
      </c>
      <c r="M488">
        <v>0</v>
      </c>
      <c r="N488">
        <v>0</v>
      </c>
    </row>
    <row r="489" spans="1:14" x14ac:dyDescent="0.2">
      <c r="A489" t="s">
        <v>496</v>
      </c>
      <c r="B489" t="s">
        <v>549</v>
      </c>
      <c r="C489">
        <v>0</v>
      </c>
      <c r="D489">
        <v>0</v>
      </c>
      <c r="E489">
        <v>0</v>
      </c>
      <c r="F489">
        <v>0</v>
      </c>
      <c r="H489">
        <v>0</v>
      </c>
      <c r="I489">
        <v>0</v>
      </c>
      <c r="J489">
        <v>0</v>
      </c>
      <c r="K489">
        <v>0</v>
      </c>
      <c r="L489">
        <v>0</v>
      </c>
      <c r="M489">
        <v>0</v>
      </c>
      <c r="N489">
        <v>0</v>
      </c>
    </row>
    <row r="490" spans="1:14" x14ac:dyDescent="0.2">
      <c r="A490" t="s">
        <v>496</v>
      </c>
      <c r="B490" t="s">
        <v>550</v>
      </c>
      <c r="C490">
        <v>0</v>
      </c>
      <c r="D490">
        <v>0</v>
      </c>
      <c r="E490">
        <v>0</v>
      </c>
      <c r="F490">
        <v>0</v>
      </c>
      <c r="H490">
        <v>0</v>
      </c>
      <c r="I490">
        <v>0</v>
      </c>
      <c r="J490">
        <v>0</v>
      </c>
      <c r="K490">
        <v>0</v>
      </c>
      <c r="L490">
        <v>0</v>
      </c>
      <c r="M490">
        <v>0</v>
      </c>
      <c r="N490">
        <v>0</v>
      </c>
    </row>
    <row r="491" spans="1:14" x14ac:dyDescent="0.2">
      <c r="A491" t="s">
        <v>496</v>
      </c>
      <c r="B491" t="s">
        <v>551</v>
      </c>
      <c r="C491">
        <v>0</v>
      </c>
      <c r="D491">
        <v>0</v>
      </c>
      <c r="E491">
        <v>0</v>
      </c>
      <c r="F491">
        <v>0</v>
      </c>
      <c r="H491">
        <v>0</v>
      </c>
      <c r="I491">
        <v>0</v>
      </c>
      <c r="J491">
        <v>0</v>
      </c>
      <c r="K491">
        <v>0</v>
      </c>
      <c r="L491">
        <v>0</v>
      </c>
      <c r="M491">
        <v>0</v>
      </c>
      <c r="N491">
        <v>0</v>
      </c>
    </row>
    <row r="492" spans="1:14" x14ac:dyDescent="0.2">
      <c r="A492" t="s">
        <v>496</v>
      </c>
      <c r="B492" t="s">
        <v>552</v>
      </c>
      <c r="C492">
        <v>0</v>
      </c>
      <c r="D492">
        <v>0</v>
      </c>
      <c r="E492">
        <v>0</v>
      </c>
      <c r="F492">
        <v>0</v>
      </c>
      <c r="H492">
        <v>0</v>
      </c>
      <c r="I492">
        <v>0</v>
      </c>
      <c r="J492">
        <v>0</v>
      </c>
      <c r="K492">
        <v>0</v>
      </c>
      <c r="L492">
        <v>0</v>
      </c>
      <c r="M492">
        <v>0</v>
      </c>
      <c r="N492">
        <v>0</v>
      </c>
    </row>
    <row r="493" spans="1:14" x14ac:dyDescent="0.2">
      <c r="A493" t="s">
        <v>496</v>
      </c>
      <c r="B493" t="s">
        <v>553</v>
      </c>
      <c r="C493">
        <v>0</v>
      </c>
      <c r="D493">
        <v>0</v>
      </c>
      <c r="E493">
        <v>0</v>
      </c>
      <c r="F493">
        <v>0</v>
      </c>
      <c r="H493">
        <v>0</v>
      </c>
      <c r="I493">
        <v>0</v>
      </c>
      <c r="J493">
        <v>0</v>
      </c>
      <c r="K493">
        <v>0</v>
      </c>
      <c r="L493">
        <v>0</v>
      </c>
      <c r="M493">
        <v>0</v>
      </c>
      <c r="N493">
        <v>0</v>
      </c>
    </row>
    <row r="494" spans="1:14" x14ac:dyDescent="0.2">
      <c r="A494" t="s">
        <v>496</v>
      </c>
      <c r="B494" t="s">
        <v>554</v>
      </c>
      <c r="C494">
        <v>0</v>
      </c>
      <c r="D494">
        <v>0</v>
      </c>
      <c r="E494">
        <v>0</v>
      </c>
      <c r="F494">
        <v>0</v>
      </c>
      <c r="H494">
        <v>0</v>
      </c>
      <c r="I494">
        <v>0</v>
      </c>
      <c r="J494">
        <v>0</v>
      </c>
      <c r="K494">
        <v>0</v>
      </c>
      <c r="L494">
        <v>0</v>
      </c>
      <c r="M494">
        <v>0</v>
      </c>
      <c r="N494">
        <v>0</v>
      </c>
    </row>
    <row r="495" spans="1:14" x14ac:dyDescent="0.2">
      <c r="A495" t="s">
        <v>496</v>
      </c>
      <c r="B495" t="s">
        <v>555</v>
      </c>
      <c r="C495">
        <v>0</v>
      </c>
      <c r="D495">
        <v>0</v>
      </c>
      <c r="E495">
        <v>0</v>
      </c>
      <c r="F495">
        <v>0</v>
      </c>
      <c r="H495">
        <v>0</v>
      </c>
      <c r="I495">
        <v>0</v>
      </c>
      <c r="J495">
        <v>0</v>
      </c>
      <c r="K495">
        <v>0</v>
      </c>
      <c r="L495">
        <v>0</v>
      </c>
      <c r="M495">
        <v>0</v>
      </c>
      <c r="N495">
        <v>0</v>
      </c>
    </row>
    <row r="496" spans="1:14" x14ac:dyDescent="0.2">
      <c r="A496" t="s">
        <v>496</v>
      </c>
      <c r="B496" t="s">
        <v>556</v>
      </c>
      <c r="C496">
        <v>0</v>
      </c>
      <c r="D496">
        <v>0</v>
      </c>
      <c r="E496">
        <v>0</v>
      </c>
      <c r="F496">
        <v>0</v>
      </c>
      <c r="H496">
        <v>0</v>
      </c>
      <c r="I496">
        <v>0</v>
      </c>
      <c r="J496">
        <v>0</v>
      </c>
      <c r="K496">
        <v>0</v>
      </c>
      <c r="L496">
        <v>0</v>
      </c>
      <c r="M496">
        <v>0</v>
      </c>
      <c r="N496">
        <v>0</v>
      </c>
    </row>
    <row r="497" spans="1:14" x14ac:dyDescent="0.2">
      <c r="A497" t="s">
        <v>496</v>
      </c>
      <c r="B497" t="s">
        <v>557</v>
      </c>
      <c r="C497">
        <v>0</v>
      </c>
      <c r="D497">
        <v>0</v>
      </c>
      <c r="E497">
        <v>0</v>
      </c>
      <c r="F497">
        <v>0</v>
      </c>
      <c r="H497">
        <v>0</v>
      </c>
      <c r="I497">
        <v>0</v>
      </c>
      <c r="J497">
        <v>0</v>
      </c>
      <c r="K497">
        <v>0</v>
      </c>
      <c r="L497">
        <v>0</v>
      </c>
      <c r="M497">
        <v>0</v>
      </c>
      <c r="N497">
        <v>0</v>
      </c>
    </row>
    <row r="498" spans="1:14" x14ac:dyDescent="0.2">
      <c r="A498" t="s">
        <v>496</v>
      </c>
      <c r="B498" t="s">
        <v>558</v>
      </c>
      <c r="C498">
        <v>0</v>
      </c>
      <c r="D498">
        <v>0</v>
      </c>
      <c r="E498">
        <v>0</v>
      </c>
      <c r="F498">
        <v>0</v>
      </c>
      <c r="H498">
        <v>0</v>
      </c>
      <c r="I498">
        <v>0</v>
      </c>
      <c r="J498">
        <v>0</v>
      </c>
      <c r="K498">
        <v>0</v>
      </c>
      <c r="L498">
        <v>0</v>
      </c>
      <c r="M498">
        <v>0</v>
      </c>
      <c r="N498">
        <v>0</v>
      </c>
    </row>
    <row r="499" spans="1:14" x14ac:dyDescent="0.2">
      <c r="A499" t="s">
        <v>496</v>
      </c>
      <c r="B499" t="s">
        <v>559</v>
      </c>
      <c r="C499">
        <v>0</v>
      </c>
      <c r="D499">
        <v>0</v>
      </c>
      <c r="E499">
        <v>0</v>
      </c>
      <c r="F499">
        <v>0</v>
      </c>
      <c r="H499">
        <v>0</v>
      </c>
      <c r="I499">
        <v>0</v>
      </c>
      <c r="J499">
        <v>0</v>
      </c>
      <c r="K499">
        <v>0</v>
      </c>
      <c r="L499">
        <v>0</v>
      </c>
      <c r="M499">
        <v>0</v>
      </c>
      <c r="N499">
        <v>0</v>
      </c>
    </row>
    <row r="500" spans="1:14" x14ac:dyDescent="0.2">
      <c r="A500" t="s">
        <v>496</v>
      </c>
      <c r="B500" t="s">
        <v>560</v>
      </c>
      <c r="C500">
        <v>0</v>
      </c>
      <c r="D500">
        <v>0</v>
      </c>
      <c r="E500">
        <v>0</v>
      </c>
      <c r="F500">
        <v>0</v>
      </c>
      <c r="H500">
        <v>0</v>
      </c>
      <c r="I500">
        <v>0</v>
      </c>
      <c r="J500">
        <v>0</v>
      </c>
      <c r="K500">
        <v>0</v>
      </c>
      <c r="L500">
        <v>0</v>
      </c>
      <c r="M500">
        <v>0</v>
      </c>
      <c r="N500">
        <v>0</v>
      </c>
    </row>
    <row r="501" spans="1:14" x14ac:dyDescent="0.2">
      <c r="A501" t="s">
        <v>496</v>
      </c>
      <c r="B501" t="s">
        <v>561</v>
      </c>
      <c r="C501">
        <v>0</v>
      </c>
      <c r="D501">
        <v>0</v>
      </c>
      <c r="E501">
        <v>0</v>
      </c>
      <c r="F501">
        <v>0</v>
      </c>
      <c r="H501">
        <v>0</v>
      </c>
      <c r="I501">
        <v>0</v>
      </c>
      <c r="J501">
        <v>0</v>
      </c>
      <c r="K501">
        <v>0</v>
      </c>
      <c r="L501">
        <v>0</v>
      </c>
      <c r="M501">
        <v>0</v>
      </c>
      <c r="N501">
        <v>0</v>
      </c>
    </row>
    <row r="502" spans="1:14" x14ac:dyDescent="0.2">
      <c r="A502" t="s">
        <v>496</v>
      </c>
      <c r="B502" t="s">
        <v>498</v>
      </c>
      <c r="C502">
        <v>0</v>
      </c>
      <c r="D502">
        <v>0</v>
      </c>
      <c r="E502">
        <v>0</v>
      </c>
      <c r="F502">
        <v>0</v>
      </c>
      <c r="H502">
        <v>0</v>
      </c>
      <c r="I502">
        <v>0</v>
      </c>
      <c r="J502">
        <v>0</v>
      </c>
      <c r="K502">
        <v>0</v>
      </c>
      <c r="L502">
        <v>0</v>
      </c>
      <c r="M502">
        <v>0</v>
      </c>
      <c r="N502">
        <v>0</v>
      </c>
    </row>
    <row r="503" spans="1:14" x14ac:dyDescent="0.2">
      <c r="A503" t="s">
        <v>496</v>
      </c>
      <c r="B503" t="s">
        <v>562</v>
      </c>
      <c r="C503">
        <v>0</v>
      </c>
      <c r="D503">
        <v>0</v>
      </c>
      <c r="E503">
        <v>0</v>
      </c>
      <c r="F503">
        <v>0</v>
      </c>
      <c r="H503">
        <v>0</v>
      </c>
      <c r="I503">
        <v>0</v>
      </c>
      <c r="J503">
        <v>0</v>
      </c>
      <c r="K503">
        <v>0</v>
      </c>
      <c r="L503">
        <v>0</v>
      </c>
      <c r="M503">
        <v>0</v>
      </c>
      <c r="N503">
        <v>0</v>
      </c>
    </row>
    <row r="504" spans="1:14" x14ac:dyDescent="0.2">
      <c r="A504" t="s">
        <v>496</v>
      </c>
      <c r="B504" t="s">
        <v>563</v>
      </c>
      <c r="C504">
        <v>0</v>
      </c>
      <c r="D504">
        <v>0</v>
      </c>
      <c r="E504">
        <v>0</v>
      </c>
      <c r="F504">
        <v>0</v>
      </c>
      <c r="H504">
        <v>0</v>
      </c>
      <c r="I504">
        <v>0</v>
      </c>
      <c r="J504">
        <v>0</v>
      </c>
      <c r="K504">
        <v>0</v>
      </c>
      <c r="L504">
        <v>0</v>
      </c>
      <c r="M504">
        <v>0</v>
      </c>
      <c r="N504">
        <v>0</v>
      </c>
    </row>
    <row r="505" spans="1:14" x14ac:dyDescent="0.2">
      <c r="A505" t="s">
        <v>496</v>
      </c>
      <c r="B505" t="s">
        <v>564</v>
      </c>
      <c r="C505">
        <v>0</v>
      </c>
      <c r="D505">
        <v>0</v>
      </c>
      <c r="E505">
        <v>0</v>
      </c>
      <c r="F505">
        <v>0</v>
      </c>
      <c r="H505">
        <v>0</v>
      </c>
      <c r="I505">
        <v>0</v>
      </c>
      <c r="J505">
        <v>0</v>
      </c>
      <c r="K505">
        <v>0</v>
      </c>
      <c r="L505">
        <v>0</v>
      </c>
      <c r="M505">
        <v>0</v>
      </c>
      <c r="N505">
        <v>0</v>
      </c>
    </row>
    <row r="506" spans="1:14" x14ac:dyDescent="0.2">
      <c r="A506" t="s">
        <v>496</v>
      </c>
      <c r="B506" t="s">
        <v>513</v>
      </c>
      <c r="C506">
        <v>0</v>
      </c>
      <c r="D506">
        <v>0</v>
      </c>
      <c r="E506">
        <v>0</v>
      </c>
      <c r="F506">
        <v>0</v>
      </c>
      <c r="H506">
        <v>0</v>
      </c>
      <c r="I506">
        <v>0</v>
      </c>
      <c r="J506">
        <v>0</v>
      </c>
      <c r="K506">
        <v>0</v>
      </c>
      <c r="L506">
        <v>0</v>
      </c>
      <c r="M506">
        <v>0</v>
      </c>
      <c r="N506">
        <v>0</v>
      </c>
    </row>
    <row r="507" spans="1:14" x14ac:dyDescent="0.2">
      <c r="A507" t="s">
        <v>496</v>
      </c>
      <c r="B507" t="s">
        <v>565</v>
      </c>
      <c r="C507">
        <v>0</v>
      </c>
      <c r="D507">
        <v>0</v>
      </c>
      <c r="E507">
        <v>0</v>
      </c>
      <c r="F507">
        <v>0</v>
      </c>
      <c r="H507">
        <v>0</v>
      </c>
      <c r="I507">
        <v>0</v>
      </c>
      <c r="J507">
        <v>0</v>
      </c>
      <c r="K507">
        <v>0</v>
      </c>
      <c r="L507">
        <v>0</v>
      </c>
      <c r="M507">
        <v>0</v>
      </c>
      <c r="N507">
        <v>0</v>
      </c>
    </row>
    <row r="508" spans="1:14" x14ac:dyDescent="0.2">
      <c r="A508" t="s">
        <v>496</v>
      </c>
      <c r="B508" t="s">
        <v>566</v>
      </c>
      <c r="C508">
        <v>0</v>
      </c>
      <c r="D508">
        <v>0</v>
      </c>
      <c r="E508">
        <v>0</v>
      </c>
      <c r="F508">
        <v>0</v>
      </c>
      <c r="H508">
        <v>0</v>
      </c>
      <c r="I508">
        <v>0</v>
      </c>
      <c r="J508">
        <v>0</v>
      </c>
      <c r="K508">
        <v>0</v>
      </c>
      <c r="L508">
        <v>0</v>
      </c>
      <c r="M508">
        <v>0</v>
      </c>
      <c r="N508">
        <v>0</v>
      </c>
    </row>
    <row r="509" spans="1:14" x14ac:dyDescent="0.2">
      <c r="A509" t="s">
        <v>496</v>
      </c>
      <c r="B509" t="s">
        <v>567</v>
      </c>
      <c r="C509">
        <v>0</v>
      </c>
      <c r="D509">
        <v>0</v>
      </c>
      <c r="E509">
        <v>0</v>
      </c>
      <c r="F509">
        <v>0</v>
      </c>
      <c r="H509">
        <v>0</v>
      </c>
      <c r="I509">
        <v>0</v>
      </c>
      <c r="J509">
        <v>0</v>
      </c>
      <c r="K509">
        <v>0</v>
      </c>
      <c r="L509">
        <v>0</v>
      </c>
      <c r="M509">
        <v>0</v>
      </c>
      <c r="N509">
        <v>0</v>
      </c>
    </row>
    <row r="510" spans="1:14" x14ac:dyDescent="0.2">
      <c r="A510" t="s">
        <v>496</v>
      </c>
      <c r="B510" t="s">
        <v>568</v>
      </c>
      <c r="C510">
        <v>0</v>
      </c>
      <c r="D510">
        <v>0</v>
      </c>
      <c r="E510">
        <v>0</v>
      </c>
      <c r="F510">
        <v>0</v>
      </c>
      <c r="H510">
        <v>0</v>
      </c>
      <c r="I510">
        <v>0</v>
      </c>
      <c r="J510">
        <v>0</v>
      </c>
      <c r="K510">
        <v>0</v>
      </c>
      <c r="L510">
        <v>0</v>
      </c>
      <c r="M510">
        <v>0</v>
      </c>
      <c r="N510">
        <v>0</v>
      </c>
    </row>
    <row r="511" spans="1:14" x14ac:dyDescent="0.2">
      <c r="A511" t="s">
        <v>496</v>
      </c>
      <c r="B511" t="s">
        <v>569</v>
      </c>
      <c r="C511">
        <v>0</v>
      </c>
      <c r="D511">
        <v>0</v>
      </c>
      <c r="E511">
        <v>0</v>
      </c>
      <c r="F511">
        <v>0</v>
      </c>
      <c r="H511">
        <v>0</v>
      </c>
      <c r="I511">
        <v>0</v>
      </c>
      <c r="J511">
        <v>0</v>
      </c>
      <c r="K511">
        <v>0</v>
      </c>
      <c r="L511">
        <v>0</v>
      </c>
      <c r="M511">
        <v>0</v>
      </c>
      <c r="N511">
        <v>0</v>
      </c>
    </row>
    <row r="512" spans="1:14" x14ac:dyDescent="0.2">
      <c r="A512" t="s">
        <v>496</v>
      </c>
      <c r="B512" t="s">
        <v>570</v>
      </c>
      <c r="C512">
        <v>0</v>
      </c>
      <c r="D512">
        <v>0</v>
      </c>
      <c r="E512">
        <v>0</v>
      </c>
      <c r="F512">
        <v>0</v>
      </c>
      <c r="H512">
        <v>0</v>
      </c>
      <c r="I512">
        <v>0</v>
      </c>
      <c r="J512">
        <v>0</v>
      </c>
      <c r="K512">
        <v>0</v>
      </c>
      <c r="L512">
        <v>0</v>
      </c>
      <c r="M512">
        <v>0</v>
      </c>
      <c r="N512">
        <v>0</v>
      </c>
    </row>
    <row r="513" spans="1:14" x14ac:dyDescent="0.2">
      <c r="A513" t="s">
        <v>496</v>
      </c>
      <c r="B513" t="s">
        <v>571</v>
      </c>
      <c r="C513">
        <v>0</v>
      </c>
      <c r="D513">
        <v>0</v>
      </c>
      <c r="E513">
        <v>0</v>
      </c>
      <c r="F513">
        <v>0</v>
      </c>
      <c r="H513">
        <v>0</v>
      </c>
      <c r="I513">
        <v>0</v>
      </c>
      <c r="J513">
        <v>0</v>
      </c>
      <c r="K513">
        <v>0</v>
      </c>
      <c r="L513">
        <v>0</v>
      </c>
      <c r="M513">
        <v>0</v>
      </c>
      <c r="N513">
        <v>0</v>
      </c>
    </row>
    <row r="514" spans="1:14" x14ac:dyDescent="0.2">
      <c r="A514" t="s">
        <v>496</v>
      </c>
      <c r="B514" t="s">
        <v>572</v>
      </c>
      <c r="C514">
        <v>0</v>
      </c>
      <c r="D514">
        <v>0</v>
      </c>
      <c r="E514">
        <v>0</v>
      </c>
      <c r="F514">
        <v>0</v>
      </c>
      <c r="H514">
        <v>0</v>
      </c>
      <c r="I514">
        <v>0</v>
      </c>
      <c r="J514">
        <v>0</v>
      </c>
      <c r="K514">
        <v>0</v>
      </c>
      <c r="L514">
        <v>0</v>
      </c>
      <c r="M514">
        <v>0</v>
      </c>
      <c r="N514">
        <v>0</v>
      </c>
    </row>
    <row r="515" spans="1:14" x14ac:dyDescent="0.2">
      <c r="A515" t="s">
        <v>496</v>
      </c>
      <c r="B515" t="s">
        <v>573</v>
      </c>
      <c r="C515">
        <v>0</v>
      </c>
      <c r="D515">
        <v>0</v>
      </c>
      <c r="E515">
        <v>0</v>
      </c>
      <c r="F515">
        <v>0</v>
      </c>
      <c r="H515">
        <v>0</v>
      </c>
      <c r="I515">
        <v>0</v>
      </c>
      <c r="J515">
        <v>0</v>
      </c>
      <c r="K515">
        <v>0</v>
      </c>
      <c r="L515">
        <v>0</v>
      </c>
      <c r="M515">
        <v>0</v>
      </c>
      <c r="N515">
        <v>0</v>
      </c>
    </row>
    <row r="516" spans="1:14" x14ac:dyDescent="0.2">
      <c r="A516" t="s">
        <v>496</v>
      </c>
      <c r="B516" t="s">
        <v>574</v>
      </c>
      <c r="C516">
        <v>0</v>
      </c>
      <c r="D516">
        <v>0</v>
      </c>
      <c r="E516">
        <v>0</v>
      </c>
      <c r="F516">
        <v>0</v>
      </c>
      <c r="H516">
        <v>0</v>
      </c>
      <c r="I516">
        <v>0</v>
      </c>
      <c r="J516">
        <v>0</v>
      </c>
      <c r="K516">
        <v>0</v>
      </c>
      <c r="L516">
        <v>0</v>
      </c>
      <c r="M516">
        <v>0</v>
      </c>
      <c r="N516">
        <v>0</v>
      </c>
    </row>
    <row r="517" spans="1:14" x14ac:dyDescent="0.2">
      <c r="A517" t="s">
        <v>496</v>
      </c>
      <c r="B517" t="s">
        <v>575</v>
      </c>
      <c r="C517">
        <v>0</v>
      </c>
      <c r="D517">
        <v>0</v>
      </c>
      <c r="E517">
        <v>0</v>
      </c>
      <c r="F517">
        <v>0</v>
      </c>
      <c r="H517">
        <v>0</v>
      </c>
      <c r="I517">
        <v>0</v>
      </c>
      <c r="J517">
        <v>0</v>
      </c>
      <c r="K517">
        <v>0</v>
      </c>
      <c r="L517">
        <v>0</v>
      </c>
      <c r="M517">
        <v>0</v>
      </c>
      <c r="N517">
        <v>0</v>
      </c>
    </row>
    <row r="518" spans="1:14" x14ac:dyDescent="0.2">
      <c r="A518" t="s">
        <v>496</v>
      </c>
      <c r="B518" t="s">
        <v>576</v>
      </c>
      <c r="C518">
        <v>0</v>
      </c>
      <c r="D518">
        <v>0</v>
      </c>
      <c r="E518">
        <v>0</v>
      </c>
      <c r="F518">
        <v>0</v>
      </c>
      <c r="H518">
        <v>0</v>
      </c>
      <c r="I518">
        <v>0</v>
      </c>
      <c r="J518">
        <v>0</v>
      </c>
      <c r="K518">
        <v>0</v>
      </c>
      <c r="L518">
        <v>0</v>
      </c>
      <c r="M518">
        <v>0</v>
      </c>
      <c r="N518">
        <v>0</v>
      </c>
    </row>
    <row r="519" spans="1:14" x14ac:dyDescent="0.2">
      <c r="A519" t="s">
        <v>496</v>
      </c>
      <c r="B519" t="s">
        <v>577</v>
      </c>
      <c r="C519">
        <v>0</v>
      </c>
      <c r="D519">
        <v>0</v>
      </c>
      <c r="E519">
        <v>0</v>
      </c>
      <c r="F519">
        <v>0</v>
      </c>
      <c r="H519">
        <v>0</v>
      </c>
      <c r="I519">
        <v>0</v>
      </c>
      <c r="J519">
        <v>0</v>
      </c>
      <c r="K519">
        <v>0</v>
      </c>
      <c r="L519">
        <v>0</v>
      </c>
      <c r="M519">
        <v>0</v>
      </c>
      <c r="N519">
        <v>0</v>
      </c>
    </row>
    <row r="520" spans="1:14" x14ac:dyDescent="0.2">
      <c r="A520" t="s">
        <v>496</v>
      </c>
      <c r="B520" t="s">
        <v>578</v>
      </c>
      <c r="C520">
        <v>0</v>
      </c>
      <c r="D520">
        <v>0</v>
      </c>
      <c r="E520">
        <v>0</v>
      </c>
      <c r="F520">
        <v>0</v>
      </c>
      <c r="H520">
        <v>0</v>
      </c>
      <c r="I520">
        <v>0</v>
      </c>
      <c r="J520">
        <v>0</v>
      </c>
      <c r="K520">
        <v>0</v>
      </c>
      <c r="L520">
        <v>0</v>
      </c>
      <c r="M520">
        <v>0</v>
      </c>
      <c r="N520">
        <v>0</v>
      </c>
    </row>
    <row r="521" spans="1:14" x14ac:dyDescent="0.2">
      <c r="A521" t="s">
        <v>496</v>
      </c>
      <c r="B521" t="s">
        <v>579</v>
      </c>
      <c r="C521">
        <v>0</v>
      </c>
      <c r="D521">
        <v>0</v>
      </c>
      <c r="E521">
        <v>0</v>
      </c>
      <c r="F521">
        <v>0</v>
      </c>
      <c r="H521">
        <v>0</v>
      </c>
      <c r="I521">
        <v>0</v>
      </c>
      <c r="J521">
        <v>0</v>
      </c>
      <c r="K521">
        <v>0</v>
      </c>
      <c r="L521">
        <v>0</v>
      </c>
      <c r="M521">
        <v>0</v>
      </c>
      <c r="N521">
        <v>0</v>
      </c>
    </row>
    <row r="522" spans="1:14" x14ac:dyDescent="0.2">
      <c r="A522" t="s">
        <v>496</v>
      </c>
      <c r="B522" t="s">
        <v>580</v>
      </c>
      <c r="C522">
        <v>0</v>
      </c>
      <c r="D522">
        <v>0</v>
      </c>
      <c r="E522">
        <v>0</v>
      </c>
      <c r="F522">
        <v>0</v>
      </c>
      <c r="H522">
        <v>0</v>
      </c>
      <c r="I522">
        <v>0</v>
      </c>
      <c r="J522">
        <v>0</v>
      </c>
      <c r="K522">
        <v>0</v>
      </c>
      <c r="L522">
        <v>0</v>
      </c>
      <c r="M522">
        <v>0</v>
      </c>
      <c r="N522">
        <v>0</v>
      </c>
    </row>
    <row r="523" spans="1:14" x14ac:dyDescent="0.2">
      <c r="A523" t="s">
        <v>496</v>
      </c>
      <c r="B523" t="s">
        <v>581</v>
      </c>
      <c r="C523">
        <v>0</v>
      </c>
      <c r="D523">
        <v>0</v>
      </c>
      <c r="E523">
        <v>0</v>
      </c>
      <c r="F523">
        <v>0</v>
      </c>
      <c r="H523">
        <v>0</v>
      </c>
      <c r="I523">
        <v>0</v>
      </c>
      <c r="J523">
        <v>0</v>
      </c>
      <c r="K523">
        <v>0</v>
      </c>
      <c r="L523">
        <v>0</v>
      </c>
      <c r="M523">
        <v>0</v>
      </c>
      <c r="N523">
        <v>0</v>
      </c>
    </row>
    <row r="524" spans="1:14" x14ac:dyDescent="0.2">
      <c r="A524" t="s">
        <v>496</v>
      </c>
      <c r="B524" t="s">
        <v>489</v>
      </c>
      <c r="C524">
        <v>0</v>
      </c>
      <c r="D524">
        <v>0</v>
      </c>
      <c r="E524">
        <v>0</v>
      </c>
      <c r="F524">
        <v>0</v>
      </c>
      <c r="H524">
        <v>0</v>
      </c>
      <c r="I524">
        <v>0</v>
      </c>
      <c r="J524">
        <v>0</v>
      </c>
      <c r="K524">
        <v>0</v>
      </c>
      <c r="L524">
        <v>0</v>
      </c>
      <c r="M524">
        <v>0</v>
      </c>
      <c r="N524">
        <v>0</v>
      </c>
    </row>
    <row r="525" spans="1:14" x14ac:dyDescent="0.2">
      <c r="A525" t="s">
        <v>496</v>
      </c>
      <c r="B525" t="s">
        <v>582</v>
      </c>
      <c r="C525">
        <v>0.01</v>
      </c>
      <c r="D525">
        <v>0</v>
      </c>
      <c r="E525">
        <v>0</v>
      </c>
      <c r="F525">
        <v>1.25</v>
      </c>
      <c r="H525">
        <v>0</v>
      </c>
      <c r="I525">
        <v>0</v>
      </c>
      <c r="J525">
        <v>0</v>
      </c>
      <c r="K525">
        <v>0</v>
      </c>
      <c r="L525">
        <v>0</v>
      </c>
      <c r="M525">
        <v>0</v>
      </c>
      <c r="N525">
        <v>0</v>
      </c>
    </row>
    <row r="526" spans="1:14" x14ac:dyDescent="0.2">
      <c r="A526" t="s">
        <v>496</v>
      </c>
      <c r="B526" t="s">
        <v>583</v>
      </c>
      <c r="C526">
        <v>0</v>
      </c>
      <c r="D526">
        <v>0</v>
      </c>
      <c r="E526">
        <v>0</v>
      </c>
      <c r="F526">
        <v>0</v>
      </c>
      <c r="H526">
        <v>0</v>
      </c>
      <c r="I526">
        <v>0</v>
      </c>
      <c r="J526">
        <v>0</v>
      </c>
      <c r="K526">
        <v>0</v>
      </c>
      <c r="L526">
        <v>0</v>
      </c>
      <c r="M526">
        <v>0</v>
      </c>
      <c r="N526">
        <v>0</v>
      </c>
    </row>
    <row r="527" spans="1:14" x14ac:dyDescent="0.2">
      <c r="A527" t="s">
        <v>496</v>
      </c>
      <c r="B527" t="s">
        <v>584</v>
      </c>
      <c r="C527">
        <v>0</v>
      </c>
      <c r="D527">
        <v>0</v>
      </c>
      <c r="E527">
        <v>0</v>
      </c>
      <c r="F527">
        <v>0</v>
      </c>
      <c r="H527">
        <v>0</v>
      </c>
      <c r="I527">
        <v>0</v>
      </c>
      <c r="J527">
        <v>0</v>
      </c>
      <c r="K527">
        <v>0</v>
      </c>
      <c r="L527">
        <v>0</v>
      </c>
      <c r="M527">
        <v>0</v>
      </c>
      <c r="N527">
        <v>0</v>
      </c>
    </row>
    <row r="528" spans="1:14" x14ac:dyDescent="0.2">
      <c r="A528" t="s">
        <v>496</v>
      </c>
      <c r="B528" t="s">
        <v>585</v>
      </c>
      <c r="C528">
        <v>0</v>
      </c>
      <c r="D528">
        <v>0</v>
      </c>
      <c r="E528">
        <v>0</v>
      </c>
      <c r="F528">
        <v>0</v>
      </c>
      <c r="H528">
        <v>0</v>
      </c>
      <c r="I528">
        <v>0</v>
      </c>
      <c r="J528">
        <v>0</v>
      </c>
      <c r="K528">
        <v>0</v>
      </c>
      <c r="L528">
        <v>0</v>
      </c>
      <c r="M528">
        <v>0</v>
      </c>
      <c r="N528">
        <v>0</v>
      </c>
    </row>
    <row r="529" spans="1:14" x14ac:dyDescent="0.2">
      <c r="A529" t="s">
        <v>496</v>
      </c>
      <c r="B529" t="s">
        <v>586</v>
      </c>
      <c r="C529">
        <v>0.16</v>
      </c>
      <c r="D529">
        <v>0</v>
      </c>
      <c r="E529">
        <v>3</v>
      </c>
      <c r="F529">
        <v>3</v>
      </c>
      <c r="H529">
        <v>0</v>
      </c>
      <c r="I529">
        <v>0</v>
      </c>
      <c r="J529">
        <v>0</v>
      </c>
      <c r="K529">
        <v>0</v>
      </c>
      <c r="L529">
        <v>0</v>
      </c>
      <c r="M529">
        <v>0</v>
      </c>
      <c r="N529">
        <v>0</v>
      </c>
    </row>
    <row r="530" spans="1:14" x14ac:dyDescent="0.2">
      <c r="A530" t="s">
        <v>496</v>
      </c>
      <c r="B530" t="s">
        <v>557</v>
      </c>
      <c r="C530">
        <v>0</v>
      </c>
      <c r="D530">
        <v>0</v>
      </c>
      <c r="E530">
        <v>0</v>
      </c>
      <c r="F530">
        <v>0</v>
      </c>
      <c r="H530">
        <v>0</v>
      </c>
      <c r="I530">
        <v>0</v>
      </c>
      <c r="J530">
        <v>0</v>
      </c>
      <c r="K530">
        <v>0</v>
      </c>
      <c r="L530">
        <v>0</v>
      </c>
      <c r="M530">
        <v>0</v>
      </c>
      <c r="N530">
        <v>0</v>
      </c>
    </row>
    <row r="531" spans="1:14" x14ac:dyDescent="0.2">
      <c r="A531" t="s">
        <v>496</v>
      </c>
      <c r="B531" t="s">
        <v>558</v>
      </c>
      <c r="C531">
        <v>0</v>
      </c>
      <c r="D531">
        <v>0</v>
      </c>
      <c r="E531">
        <v>0</v>
      </c>
      <c r="F531">
        <v>0</v>
      </c>
      <c r="H531">
        <v>0</v>
      </c>
      <c r="I531">
        <v>0</v>
      </c>
      <c r="J531">
        <v>0</v>
      </c>
      <c r="K531">
        <v>0</v>
      </c>
      <c r="L531">
        <v>0</v>
      </c>
      <c r="M531">
        <v>0</v>
      </c>
      <c r="N531">
        <v>0</v>
      </c>
    </row>
    <row r="532" spans="1:14" x14ac:dyDescent="0.2">
      <c r="A532" t="s">
        <v>496</v>
      </c>
      <c r="B532" t="s">
        <v>587</v>
      </c>
      <c r="C532">
        <v>0</v>
      </c>
      <c r="D532">
        <v>0</v>
      </c>
      <c r="E532">
        <v>0</v>
      </c>
      <c r="F532">
        <v>0</v>
      </c>
      <c r="H532">
        <v>0</v>
      </c>
      <c r="I532">
        <v>0</v>
      </c>
      <c r="J532">
        <v>0</v>
      </c>
      <c r="K532">
        <v>0</v>
      </c>
      <c r="L532">
        <v>0</v>
      </c>
      <c r="M532">
        <v>0</v>
      </c>
      <c r="N532">
        <v>0</v>
      </c>
    </row>
    <row r="533" spans="1:14" x14ac:dyDescent="0.2">
      <c r="A533" t="s">
        <v>496</v>
      </c>
      <c r="B533" t="s">
        <v>588</v>
      </c>
      <c r="C533">
        <v>0</v>
      </c>
      <c r="D533">
        <v>0</v>
      </c>
      <c r="E533">
        <v>0</v>
      </c>
      <c r="F533">
        <v>0</v>
      </c>
      <c r="H533">
        <v>0</v>
      </c>
      <c r="I533">
        <v>0</v>
      </c>
      <c r="J533">
        <v>0</v>
      </c>
      <c r="K533">
        <v>0</v>
      </c>
      <c r="L533">
        <v>0</v>
      </c>
      <c r="M533">
        <v>0</v>
      </c>
      <c r="N533">
        <v>0</v>
      </c>
    </row>
    <row r="534" spans="1:14" x14ac:dyDescent="0.2">
      <c r="A534" t="s">
        <v>496</v>
      </c>
      <c r="B534" t="s">
        <v>589</v>
      </c>
      <c r="C534">
        <v>0</v>
      </c>
      <c r="D534">
        <v>0</v>
      </c>
      <c r="E534">
        <v>0</v>
      </c>
      <c r="F534">
        <v>0</v>
      </c>
      <c r="H534">
        <v>0</v>
      </c>
      <c r="I534">
        <v>0</v>
      </c>
      <c r="J534">
        <v>0</v>
      </c>
      <c r="K534">
        <v>0</v>
      </c>
      <c r="L534">
        <v>0</v>
      </c>
      <c r="M534">
        <v>0</v>
      </c>
      <c r="N534">
        <v>0</v>
      </c>
    </row>
    <row r="535" spans="1:14" x14ac:dyDescent="0.2">
      <c r="A535" t="s">
        <v>496</v>
      </c>
      <c r="B535" t="s">
        <v>590</v>
      </c>
      <c r="C535">
        <v>0</v>
      </c>
      <c r="D535">
        <v>0</v>
      </c>
      <c r="E535">
        <v>0</v>
      </c>
      <c r="F535">
        <v>0</v>
      </c>
      <c r="H535">
        <v>0</v>
      </c>
      <c r="I535">
        <v>0</v>
      </c>
      <c r="J535">
        <v>0</v>
      </c>
      <c r="K535">
        <v>0</v>
      </c>
      <c r="L535">
        <v>0</v>
      </c>
      <c r="M535">
        <v>0</v>
      </c>
      <c r="N535">
        <v>0</v>
      </c>
    </row>
    <row r="536" spans="1:14" x14ac:dyDescent="0.2">
      <c r="A536" t="s">
        <v>496</v>
      </c>
      <c r="B536" t="s">
        <v>489</v>
      </c>
      <c r="C536">
        <v>0</v>
      </c>
      <c r="D536">
        <v>0</v>
      </c>
      <c r="E536">
        <v>0</v>
      </c>
      <c r="F536">
        <v>0</v>
      </c>
      <c r="H536">
        <v>0</v>
      </c>
      <c r="I536">
        <v>0</v>
      </c>
      <c r="J536">
        <v>0</v>
      </c>
      <c r="K536">
        <v>0</v>
      </c>
      <c r="L536">
        <v>0</v>
      </c>
      <c r="M536">
        <v>0</v>
      </c>
      <c r="N536">
        <v>0</v>
      </c>
    </row>
    <row r="537" spans="1:14" x14ac:dyDescent="0.2">
      <c r="A537" t="s">
        <v>496</v>
      </c>
      <c r="B537" t="s">
        <v>591</v>
      </c>
      <c r="C537">
        <v>0</v>
      </c>
      <c r="D537">
        <v>0</v>
      </c>
      <c r="E537">
        <v>0</v>
      </c>
      <c r="F537">
        <v>0</v>
      </c>
      <c r="H537">
        <v>0</v>
      </c>
      <c r="I537">
        <v>0</v>
      </c>
      <c r="J537">
        <v>0</v>
      </c>
      <c r="K537">
        <v>0</v>
      </c>
      <c r="L537">
        <v>0</v>
      </c>
      <c r="M537">
        <v>0</v>
      </c>
      <c r="N537">
        <v>0</v>
      </c>
    </row>
    <row r="538" spans="1:14" x14ac:dyDescent="0.2">
      <c r="A538" t="s">
        <v>496</v>
      </c>
      <c r="B538" t="s">
        <v>592</v>
      </c>
      <c r="C538">
        <v>0</v>
      </c>
      <c r="D538">
        <v>0</v>
      </c>
      <c r="E538">
        <v>0</v>
      </c>
      <c r="F538">
        <v>0</v>
      </c>
      <c r="H538">
        <v>0</v>
      </c>
      <c r="I538">
        <v>0</v>
      </c>
      <c r="J538">
        <v>0</v>
      </c>
      <c r="K538">
        <v>0</v>
      </c>
      <c r="L538">
        <v>0</v>
      </c>
      <c r="M538">
        <v>0</v>
      </c>
      <c r="N538">
        <v>0</v>
      </c>
    </row>
    <row r="539" spans="1:14" x14ac:dyDescent="0.2">
      <c r="A539" t="s">
        <v>496</v>
      </c>
      <c r="B539" t="s">
        <v>593</v>
      </c>
      <c r="C539">
        <v>0</v>
      </c>
      <c r="D539">
        <v>0</v>
      </c>
      <c r="E539">
        <v>0</v>
      </c>
      <c r="F539">
        <v>0</v>
      </c>
      <c r="H539">
        <v>0</v>
      </c>
      <c r="I539">
        <v>0</v>
      </c>
      <c r="J539">
        <v>0</v>
      </c>
      <c r="K539">
        <v>0</v>
      </c>
      <c r="L539">
        <v>0</v>
      </c>
      <c r="M539">
        <v>0</v>
      </c>
      <c r="N539">
        <v>0</v>
      </c>
    </row>
    <row r="540" spans="1:14" x14ac:dyDescent="0.2">
      <c r="A540" t="s">
        <v>496</v>
      </c>
      <c r="B540" t="s">
        <v>594</v>
      </c>
      <c r="C540">
        <v>0</v>
      </c>
      <c r="D540">
        <v>0</v>
      </c>
      <c r="E540">
        <v>0</v>
      </c>
      <c r="F540">
        <v>0</v>
      </c>
      <c r="H540">
        <v>0</v>
      </c>
      <c r="I540">
        <v>0</v>
      </c>
      <c r="J540">
        <v>0</v>
      </c>
      <c r="K540">
        <v>0</v>
      </c>
      <c r="L540">
        <v>0</v>
      </c>
      <c r="M540">
        <v>0</v>
      </c>
      <c r="N540">
        <v>0</v>
      </c>
    </row>
    <row r="541" spans="1:14" x14ac:dyDescent="0.2">
      <c r="A541" t="s">
        <v>496</v>
      </c>
      <c r="B541" t="s">
        <v>595</v>
      </c>
      <c r="C541">
        <v>0</v>
      </c>
      <c r="D541">
        <v>0</v>
      </c>
      <c r="E541">
        <v>0</v>
      </c>
      <c r="F541">
        <v>0</v>
      </c>
      <c r="H541">
        <v>0</v>
      </c>
      <c r="I541">
        <v>0</v>
      </c>
      <c r="J541">
        <v>0</v>
      </c>
      <c r="K541">
        <v>0</v>
      </c>
      <c r="L541">
        <v>0</v>
      </c>
      <c r="M541">
        <v>0</v>
      </c>
      <c r="N541">
        <v>0</v>
      </c>
    </row>
    <row r="542" spans="1:14" x14ac:dyDescent="0.2">
      <c r="A542" t="s">
        <v>496</v>
      </c>
      <c r="B542" t="s">
        <v>596</v>
      </c>
      <c r="C542">
        <v>0</v>
      </c>
      <c r="D542">
        <v>0</v>
      </c>
      <c r="E542">
        <v>0</v>
      </c>
      <c r="F542">
        <v>0</v>
      </c>
      <c r="H542">
        <v>0</v>
      </c>
      <c r="I542">
        <v>0</v>
      </c>
      <c r="J542">
        <v>0</v>
      </c>
      <c r="K542">
        <v>0</v>
      </c>
      <c r="L542">
        <v>0</v>
      </c>
      <c r="M542">
        <v>0</v>
      </c>
      <c r="N542">
        <v>0</v>
      </c>
    </row>
    <row r="543" spans="1:14" x14ac:dyDescent="0.2">
      <c r="A543" t="s">
        <v>496</v>
      </c>
      <c r="B543" t="s">
        <v>597</v>
      </c>
      <c r="C543">
        <v>0</v>
      </c>
      <c r="D543">
        <v>0</v>
      </c>
      <c r="E543">
        <v>0</v>
      </c>
      <c r="F543">
        <v>0</v>
      </c>
      <c r="H543">
        <v>0</v>
      </c>
      <c r="I543">
        <v>0</v>
      </c>
      <c r="J543">
        <v>0</v>
      </c>
      <c r="K543">
        <v>0</v>
      </c>
      <c r="L543">
        <v>0</v>
      </c>
      <c r="M543">
        <v>0</v>
      </c>
      <c r="N543">
        <v>0</v>
      </c>
    </row>
    <row r="544" spans="1:14" x14ac:dyDescent="0.2">
      <c r="A544" t="s">
        <v>496</v>
      </c>
      <c r="B544" t="s">
        <v>598</v>
      </c>
      <c r="C544">
        <v>0</v>
      </c>
      <c r="D544">
        <v>0</v>
      </c>
      <c r="E544">
        <v>0</v>
      </c>
      <c r="F544">
        <v>0</v>
      </c>
      <c r="H544">
        <v>0</v>
      </c>
      <c r="I544">
        <v>0</v>
      </c>
      <c r="J544">
        <v>0</v>
      </c>
      <c r="K544">
        <v>0</v>
      </c>
      <c r="L544">
        <v>0</v>
      </c>
      <c r="M544">
        <v>0</v>
      </c>
      <c r="N544">
        <v>0</v>
      </c>
    </row>
    <row r="545" spans="1:14" x14ac:dyDescent="0.2">
      <c r="A545" t="s">
        <v>496</v>
      </c>
      <c r="B545" t="s">
        <v>599</v>
      </c>
      <c r="C545">
        <v>0</v>
      </c>
      <c r="D545">
        <v>0</v>
      </c>
      <c r="E545">
        <v>0</v>
      </c>
      <c r="F545">
        <v>0</v>
      </c>
      <c r="H545">
        <v>0</v>
      </c>
      <c r="I545">
        <v>0</v>
      </c>
      <c r="J545">
        <v>0</v>
      </c>
      <c r="K545">
        <v>0</v>
      </c>
      <c r="L545">
        <v>0</v>
      </c>
      <c r="M545">
        <v>0</v>
      </c>
      <c r="N545">
        <v>0</v>
      </c>
    </row>
    <row r="546" spans="1:14" x14ac:dyDescent="0.2">
      <c r="A546" t="s">
        <v>496</v>
      </c>
      <c r="B546" t="s">
        <v>600</v>
      </c>
      <c r="C546">
        <v>0</v>
      </c>
      <c r="D546">
        <v>0</v>
      </c>
      <c r="E546">
        <v>0</v>
      </c>
      <c r="F546">
        <v>0</v>
      </c>
      <c r="H546">
        <v>0</v>
      </c>
      <c r="I546">
        <v>0</v>
      </c>
      <c r="J546">
        <v>0</v>
      </c>
      <c r="K546">
        <v>0</v>
      </c>
      <c r="L546">
        <v>0</v>
      </c>
      <c r="M546">
        <v>0</v>
      </c>
      <c r="N546">
        <v>0</v>
      </c>
    </row>
    <row r="547" spans="1:14" x14ac:dyDescent="0.2">
      <c r="A547" t="s">
        <v>496</v>
      </c>
      <c r="B547" t="s">
        <v>601</v>
      </c>
      <c r="C547">
        <v>0</v>
      </c>
      <c r="D547">
        <v>0</v>
      </c>
      <c r="E547">
        <v>0</v>
      </c>
      <c r="F547">
        <v>0</v>
      </c>
      <c r="H547">
        <v>0</v>
      </c>
      <c r="I547">
        <v>0</v>
      </c>
      <c r="J547">
        <v>0</v>
      </c>
      <c r="K547">
        <v>0</v>
      </c>
      <c r="L547">
        <v>0</v>
      </c>
      <c r="M547">
        <v>0</v>
      </c>
      <c r="N547">
        <v>0</v>
      </c>
    </row>
    <row r="548" spans="1:14" x14ac:dyDescent="0.2">
      <c r="A548" t="s">
        <v>496</v>
      </c>
      <c r="B548" t="s">
        <v>602</v>
      </c>
      <c r="C548">
        <v>0</v>
      </c>
      <c r="D548">
        <v>0</v>
      </c>
      <c r="E548">
        <v>0</v>
      </c>
      <c r="F548">
        <v>0</v>
      </c>
      <c r="H548">
        <v>0</v>
      </c>
      <c r="I548">
        <v>0</v>
      </c>
      <c r="J548">
        <v>0</v>
      </c>
      <c r="K548">
        <v>0</v>
      </c>
      <c r="L548">
        <v>0</v>
      </c>
      <c r="M548">
        <v>0</v>
      </c>
      <c r="N548">
        <v>0</v>
      </c>
    </row>
    <row r="549" spans="1:14" x14ac:dyDescent="0.2">
      <c r="A549" t="s">
        <v>496</v>
      </c>
      <c r="B549" t="s">
        <v>603</v>
      </c>
      <c r="C549">
        <v>0</v>
      </c>
      <c r="D549">
        <v>0</v>
      </c>
      <c r="E549">
        <v>0</v>
      </c>
      <c r="F549">
        <v>0</v>
      </c>
      <c r="H549">
        <v>0</v>
      </c>
      <c r="I549">
        <v>0</v>
      </c>
      <c r="J549">
        <v>0</v>
      </c>
      <c r="K549">
        <v>0</v>
      </c>
      <c r="L549">
        <v>0</v>
      </c>
      <c r="M549">
        <v>0</v>
      </c>
      <c r="N549">
        <v>0</v>
      </c>
    </row>
    <row r="550" spans="1:14" x14ac:dyDescent="0.2">
      <c r="A550" t="s">
        <v>496</v>
      </c>
      <c r="B550" t="s">
        <v>604</v>
      </c>
      <c r="C550">
        <v>0</v>
      </c>
      <c r="D550">
        <v>0</v>
      </c>
      <c r="E550">
        <v>0</v>
      </c>
      <c r="F550">
        <v>0</v>
      </c>
      <c r="H550">
        <v>0</v>
      </c>
      <c r="I550">
        <v>0</v>
      </c>
      <c r="J550">
        <v>0</v>
      </c>
      <c r="K550">
        <v>0</v>
      </c>
      <c r="L550">
        <v>0</v>
      </c>
      <c r="M550">
        <v>0</v>
      </c>
      <c r="N550">
        <v>0</v>
      </c>
    </row>
    <row r="551" spans="1:14" x14ac:dyDescent="0.2">
      <c r="A551" t="s">
        <v>496</v>
      </c>
      <c r="B551" t="s">
        <v>605</v>
      </c>
      <c r="C551">
        <v>0</v>
      </c>
      <c r="D551">
        <v>0</v>
      </c>
      <c r="E551">
        <v>0</v>
      </c>
      <c r="F551">
        <v>0</v>
      </c>
      <c r="H551">
        <v>0</v>
      </c>
      <c r="I551">
        <v>0</v>
      </c>
      <c r="J551">
        <v>0</v>
      </c>
      <c r="K551">
        <v>0</v>
      </c>
      <c r="L551">
        <v>0</v>
      </c>
      <c r="M551">
        <v>0</v>
      </c>
      <c r="N551">
        <v>0</v>
      </c>
    </row>
    <row r="552" spans="1:14" x14ac:dyDescent="0.2">
      <c r="A552" t="s">
        <v>496</v>
      </c>
      <c r="B552" t="s">
        <v>606</v>
      </c>
      <c r="C552">
        <v>0</v>
      </c>
      <c r="D552">
        <v>0</v>
      </c>
      <c r="E552">
        <v>0</v>
      </c>
      <c r="F552">
        <v>0</v>
      </c>
      <c r="H552">
        <v>0</v>
      </c>
      <c r="I552">
        <v>0</v>
      </c>
      <c r="J552">
        <v>0</v>
      </c>
      <c r="K552">
        <v>0</v>
      </c>
      <c r="L552">
        <v>0</v>
      </c>
      <c r="M552">
        <v>0</v>
      </c>
      <c r="N552">
        <v>0</v>
      </c>
    </row>
    <row r="553" spans="1:14" x14ac:dyDescent="0.2">
      <c r="A553" t="s">
        <v>496</v>
      </c>
      <c r="B553" t="s">
        <v>607</v>
      </c>
      <c r="C553">
        <v>0</v>
      </c>
      <c r="D553">
        <v>0</v>
      </c>
      <c r="E553">
        <v>0</v>
      </c>
      <c r="F553">
        <v>0</v>
      </c>
      <c r="H553">
        <v>0</v>
      </c>
      <c r="I553">
        <v>0</v>
      </c>
      <c r="J553">
        <v>0</v>
      </c>
      <c r="K553">
        <v>0</v>
      </c>
      <c r="L553">
        <v>0</v>
      </c>
      <c r="M553">
        <v>0</v>
      </c>
      <c r="N553">
        <v>0</v>
      </c>
    </row>
    <row r="554" spans="1:14" x14ac:dyDescent="0.2">
      <c r="A554" t="s">
        <v>496</v>
      </c>
      <c r="B554" t="s">
        <v>608</v>
      </c>
      <c r="C554">
        <v>0</v>
      </c>
      <c r="D554">
        <v>0</v>
      </c>
      <c r="E554">
        <v>0</v>
      </c>
      <c r="F554">
        <v>0</v>
      </c>
      <c r="H554">
        <v>0</v>
      </c>
      <c r="I554">
        <v>0</v>
      </c>
      <c r="J554">
        <v>0</v>
      </c>
      <c r="K554">
        <v>0</v>
      </c>
      <c r="L554">
        <v>0</v>
      </c>
      <c r="M554">
        <v>0</v>
      </c>
      <c r="N554">
        <v>0</v>
      </c>
    </row>
    <row r="555" spans="1:14" x14ac:dyDescent="0.2">
      <c r="A555" t="s">
        <v>496</v>
      </c>
      <c r="B555" t="s">
        <v>609</v>
      </c>
      <c r="C555">
        <v>0</v>
      </c>
      <c r="D555">
        <v>0</v>
      </c>
      <c r="E555">
        <v>0</v>
      </c>
      <c r="F555">
        <v>0</v>
      </c>
      <c r="H555">
        <v>0</v>
      </c>
      <c r="I555">
        <v>0</v>
      </c>
      <c r="J555">
        <v>0</v>
      </c>
      <c r="K555">
        <v>0</v>
      </c>
      <c r="L555">
        <v>0</v>
      </c>
      <c r="M555">
        <v>0</v>
      </c>
      <c r="N555">
        <v>0</v>
      </c>
    </row>
    <row r="556" spans="1:14" x14ac:dyDescent="0.2">
      <c r="A556" t="s">
        <v>496</v>
      </c>
      <c r="B556" t="s">
        <v>610</v>
      </c>
      <c r="C556">
        <v>0</v>
      </c>
      <c r="D556">
        <v>0</v>
      </c>
      <c r="E556">
        <v>0</v>
      </c>
      <c r="F556">
        <v>0</v>
      </c>
      <c r="H556">
        <v>0</v>
      </c>
      <c r="I556">
        <v>0</v>
      </c>
      <c r="J556">
        <v>0</v>
      </c>
      <c r="K556">
        <v>0</v>
      </c>
      <c r="L556">
        <v>0</v>
      </c>
      <c r="M556">
        <v>0</v>
      </c>
      <c r="N556">
        <v>0</v>
      </c>
    </row>
    <row r="557" spans="1:14" x14ac:dyDescent="0.2">
      <c r="A557" t="s">
        <v>496</v>
      </c>
      <c r="B557" t="s">
        <v>611</v>
      </c>
      <c r="C557">
        <v>0</v>
      </c>
      <c r="D557">
        <v>0</v>
      </c>
      <c r="E557">
        <v>0</v>
      </c>
      <c r="F557">
        <v>0</v>
      </c>
      <c r="H557">
        <v>0</v>
      </c>
      <c r="I557">
        <v>0</v>
      </c>
      <c r="J557">
        <v>0</v>
      </c>
      <c r="K557">
        <v>0</v>
      </c>
      <c r="L557">
        <v>0</v>
      </c>
      <c r="M557">
        <v>0</v>
      </c>
      <c r="N557">
        <v>0</v>
      </c>
    </row>
    <row r="558" spans="1:14" x14ac:dyDescent="0.2">
      <c r="A558" t="s">
        <v>496</v>
      </c>
      <c r="B558" t="s">
        <v>612</v>
      </c>
      <c r="C558">
        <v>0</v>
      </c>
      <c r="D558">
        <v>0</v>
      </c>
      <c r="E558">
        <v>0</v>
      </c>
      <c r="F558">
        <v>0</v>
      </c>
      <c r="H558">
        <v>0</v>
      </c>
      <c r="I558">
        <v>0</v>
      </c>
      <c r="J558">
        <v>0</v>
      </c>
      <c r="K558">
        <v>0</v>
      </c>
      <c r="L558">
        <v>0</v>
      </c>
      <c r="M558">
        <v>0</v>
      </c>
      <c r="N558">
        <v>0</v>
      </c>
    </row>
    <row r="559" spans="1:14" x14ac:dyDescent="0.2">
      <c r="A559" t="s">
        <v>496</v>
      </c>
      <c r="B559" t="s">
        <v>613</v>
      </c>
      <c r="C559">
        <v>0</v>
      </c>
      <c r="D559">
        <v>0</v>
      </c>
      <c r="E559">
        <v>0</v>
      </c>
      <c r="F559">
        <v>0</v>
      </c>
      <c r="H559">
        <v>0</v>
      </c>
      <c r="I559">
        <v>0</v>
      </c>
      <c r="J559">
        <v>0</v>
      </c>
      <c r="K559">
        <v>0</v>
      </c>
      <c r="L559">
        <v>0</v>
      </c>
      <c r="M559">
        <v>0</v>
      </c>
      <c r="N559">
        <v>0</v>
      </c>
    </row>
    <row r="560" spans="1:14" x14ac:dyDescent="0.2">
      <c r="A560" t="s">
        <v>496</v>
      </c>
      <c r="B560" t="s">
        <v>614</v>
      </c>
      <c r="C560">
        <v>0</v>
      </c>
      <c r="D560">
        <v>0</v>
      </c>
      <c r="E560">
        <v>0</v>
      </c>
      <c r="F560">
        <v>0</v>
      </c>
      <c r="H560">
        <v>0</v>
      </c>
      <c r="I560">
        <v>0</v>
      </c>
      <c r="J560">
        <v>0</v>
      </c>
      <c r="K560">
        <v>0</v>
      </c>
      <c r="L560">
        <v>0</v>
      </c>
      <c r="M560">
        <v>0</v>
      </c>
      <c r="N560">
        <v>0</v>
      </c>
    </row>
    <row r="561" spans="1:14" x14ac:dyDescent="0.2">
      <c r="A561" t="s">
        <v>496</v>
      </c>
      <c r="B561" t="s">
        <v>615</v>
      </c>
      <c r="C561">
        <v>0</v>
      </c>
      <c r="D561">
        <v>0</v>
      </c>
      <c r="E561">
        <v>0</v>
      </c>
      <c r="F561">
        <v>0</v>
      </c>
      <c r="H561">
        <v>0</v>
      </c>
      <c r="I561">
        <v>0</v>
      </c>
      <c r="J561">
        <v>0</v>
      </c>
      <c r="K561">
        <v>0</v>
      </c>
      <c r="L561">
        <v>0</v>
      </c>
      <c r="M561">
        <v>0</v>
      </c>
      <c r="N561">
        <v>0</v>
      </c>
    </row>
    <row r="562" spans="1:14" x14ac:dyDescent="0.2">
      <c r="A562" t="s">
        <v>496</v>
      </c>
      <c r="B562" t="s">
        <v>616</v>
      </c>
      <c r="C562">
        <v>0</v>
      </c>
      <c r="D562">
        <v>0</v>
      </c>
      <c r="E562">
        <v>0</v>
      </c>
      <c r="F562">
        <v>0</v>
      </c>
      <c r="H562">
        <v>0</v>
      </c>
      <c r="I562">
        <v>0</v>
      </c>
      <c r="J562">
        <v>0</v>
      </c>
      <c r="K562">
        <v>0</v>
      </c>
      <c r="L562">
        <v>0</v>
      </c>
      <c r="M562">
        <v>0</v>
      </c>
      <c r="N562">
        <v>0</v>
      </c>
    </row>
    <row r="563" spans="1:14" x14ac:dyDescent="0.2">
      <c r="A563" t="s">
        <v>496</v>
      </c>
      <c r="B563" t="s">
        <v>617</v>
      </c>
      <c r="C563">
        <v>0</v>
      </c>
      <c r="D563">
        <v>0</v>
      </c>
      <c r="E563">
        <v>0</v>
      </c>
      <c r="F563">
        <v>0</v>
      </c>
      <c r="H563">
        <v>0</v>
      </c>
      <c r="I563">
        <v>0</v>
      </c>
      <c r="J563">
        <v>0</v>
      </c>
      <c r="K563">
        <v>0</v>
      </c>
      <c r="L563">
        <v>0</v>
      </c>
      <c r="M563">
        <v>0</v>
      </c>
      <c r="N563">
        <v>0</v>
      </c>
    </row>
    <row r="564" spans="1:14" x14ac:dyDescent="0.2">
      <c r="A564" t="s">
        <v>496</v>
      </c>
      <c r="B564" t="s">
        <v>618</v>
      </c>
      <c r="C564">
        <v>0</v>
      </c>
      <c r="D564">
        <v>0</v>
      </c>
      <c r="E564">
        <v>0</v>
      </c>
      <c r="F564">
        <v>0</v>
      </c>
      <c r="H564">
        <v>0</v>
      </c>
      <c r="I564">
        <v>0</v>
      </c>
      <c r="J564">
        <v>0</v>
      </c>
      <c r="K564">
        <v>0</v>
      </c>
      <c r="L564">
        <v>0</v>
      </c>
      <c r="M564">
        <v>0</v>
      </c>
      <c r="N564">
        <v>0</v>
      </c>
    </row>
    <row r="565" spans="1:14" x14ac:dyDescent="0.2">
      <c r="A565" t="s">
        <v>496</v>
      </c>
      <c r="B565" t="s">
        <v>619</v>
      </c>
      <c r="C565">
        <v>0</v>
      </c>
      <c r="D565">
        <v>0</v>
      </c>
      <c r="E565">
        <v>0</v>
      </c>
      <c r="F565">
        <v>0</v>
      </c>
      <c r="H565">
        <v>0</v>
      </c>
      <c r="I565">
        <v>0</v>
      </c>
      <c r="J565">
        <v>0</v>
      </c>
      <c r="K565">
        <v>0</v>
      </c>
      <c r="L565">
        <v>0</v>
      </c>
      <c r="M565">
        <v>0</v>
      </c>
      <c r="N565">
        <v>0</v>
      </c>
    </row>
    <row r="566" spans="1:14" x14ac:dyDescent="0.2">
      <c r="A566" t="s">
        <v>496</v>
      </c>
      <c r="B566" t="s">
        <v>620</v>
      </c>
      <c r="C566">
        <v>0</v>
      </c>
      <c r="D566">
        <v>0</v>
      </c>
      <c r="E566">
        <v>0</v>
      </c>
      <c r="F566">
        <v>0</v>
      </c>
      <c r="H566">
        <v>0</v>
      </c>
      <c r="I566">
        <v>0</v>
      </c>
      <c r="J566">
        <v>0</v>
      </c>
      <c r="K566">
        <v>0</v>
      </c>
      <c r="L566">
        <v>0</v>
      </c>
      <c r="M566">
        <v>0</v>
      </c>
      <c r="N566">
        <v>0</v>
      </c>
    </row>
    <row r="567" spans="1:14" x14ac:dyDescent="0.2">
      <c r="A567" t="s">
        <v>496</v>
      </c>
      <c r="B567" t="s">
        <v>621</v>
      </c>
      <c r="C567">
        <v>0</v>
      </c>
      <c r="D567">
        <v>0</v>
      </c>
      <c r="E567">
        <v>0</v>
      </c>
      <c r="F567">
        <v>0</v>
      </c>
      <c r="H567">
        <v>0</v>
      </c>
      <c r="I567">
        <v>0</v>
      </c>
      <c r="J567">
        <v>0</v>
      </c>
      <c r="K567">
        <v>0</v>
      </c>
      <c r="L567">
        <v>0</v>
      </c>
      <c r="M567">
        <v>0</v>
      </c>
      <c r="N567">
        <v>0</v>
      </c>
    </row>
    <row r="568" spans="1:14" x14ac:dyDescent="0.2">
      <c r="A568" t="s">
        <v>496</v>
      </c>
      <c r="B568" t="s">
        <v>489</v>
      </c>
      <c r="C568">
        <v>0</v>
      </c>
      <c r="D568">
        <v>0</v>
      </c>
      <c r="E568">
        <v>0</v>
      </c>
      <c r="F568">
        <v>0</v>
      </c>
      <c r="H568">
        <v>0</v>
      </c>
      <c r="I568">
        <v>0</v>
      </c>
      <c r="J568">
        <v>0</v>
      </c>
      <c r="K568">
        <v>0</v>
      </c>
      <c r="L568">
        <v>0</v>
      </c>
      <c r="M568">
        <v>0</v>
      </c>
      <c r="N568">
        <v>0</v>
      </c>
    </row>
    <row r="569" spans="1:14" x14ac:dyDescent="0.2">
      <c r="A569" t="s">
        <v>496</v>
      </c>
      <c r="B569" t="s">
        <v>622</v>
      </c>
      <c r="C569">
        <v>0</v>
      </c>
      <c r="D569">
        <v>0</v>
      </c>
      <c r="E569">
        <v>0</v>
      </c>
      <c r="F569">
        <v>0</v>
      </c>
      <c r="H569">
        <v>0</v>
      </c>
      <c r="I569">
        <v>0</v>
      </c>
      <c r="J569">
        <v>0</v>
      </c>
      <c r="K569">
        <v>0</v>
      </c>
      <c r="L569">
        <v>0</v>
      </c>
      <c r="M569">
        <v>0</v>
      </c>
      <c r="N569">
        <v>0</v>
      </c>
    </row>
    <row r="570" spans="1:14" x14ac:dyDescent="0.2">
      <c r="A570" t="s">
        <v>496</v>
      </c>
      <c r="B570" t="s">
        <v>623</v>
      </c>
      <c r="C570">
        <v>0</v>
      </c>
      <c r="D570">
        <v>0</v>
      </c>
      <c r="E570">
        <v>0</v>
      </c>
      <c r="F570">
        <v>0</v>
      </c>
      <c r="H570">
        <v>0</v>
      </c>
      <c r="I570">
        <v>0</v>
      </c>
      <c r="J570">
        <v>0</v>
      </c>
      <c r="K570">
        <v>0</v>
      </c>
      <c r="L570">
        <v>0</v>
      </c>
      <c r="M570">
        <v>0</v>
      </c>
      <c r="N570">
        <v>0</v>
      </c>
    </row>
    <row r="571" spans="1:14" x14ac:dyDescent="0.2">
      <c r="A571" t="s">
        <v>496</v>
      </c>
      <c r="B571" t="s">
        <v>624</v>
      </c>
      <c r="C571">
        <v>0</v>
      </c>
      <c r="D571">
        <v>0</v>
      </c>
      <c r="E571">
        <v>0</v>
      </c>
      <c r="F571">
        <v>0</v>
      </c>
      <c r="H571">
        <v>0</v>
      </c>
      <c r="I571">
        <v>0</v>
      </c>
      <c r="J571">
        <v>0</v>
      </c>
      <c r="K571">
        <v>0</v>
      </c>
      <c r="L571">
        <v>0</v>
      </c>
      <c r="M571">
        <v>0</v>
      </c>
      <c r="N571">
        <v>0</v>
      </c>
    </row>
    <row r="572" spans="1:14" x14ac:dyDescent="0.2">
      <c r="A572" t="s">
        <v>496</v>
      </c>
      <c r="B572" t="s">
        <v>625</v>
      </c>
      <c r="C572">
        <v>0</v>
      </c>
      <c r="D572">
        <v>0</v>
      </c>
      <c r="E572">
        <v>0</v>
      </c>
      <c r="F572">
        <v>0</v>
      </c>
      <c r="H572">
        <v>0</v>
      </c>
      <c r="I572">
        <v>0</v>
      </c>
      <c r="J572">
        <v>0</v>
      </c>
      <c r="K572">
        <v>0</v>
      </c>
      <c r="L572">
        <v>0</v>
      </c>
      <c r="M572">
        <v>0</v>
      </c>
      <c r="N572">
        <v>0</v>
      </c>
    </row>
    <row r="573" spans="1:14" x14ac:dyDescent="0.2">
      <c r="A573" t="s">
        <v>496</v>
      </c>
      <c r="B573" t="s">
        <v>626</v>
      </c>
      <c r="C573">
        <v>0</v>
      </c>
      <c r="D573">
        <v>0</v>
      </c>
      <c r="E573">
        <v>0</v>
      </c>
      <c r="F573">
        <v>0</v>
      </c>
      <c r="H573">
        <v>0</v>
      </c>
      <c r="I573">
        <v>0</v>
      </c>
      <c r="J573">
        <v>0</v>
      </c>
      <c r="K573">
        <v>0</v>
      </c>
      <c r="L573">
        <v>0</v>
      </c>
      <c r="M573">
        <v>0</v>
      </c>
      <c r="N573">
        <v>0</v>
      </c>
    </row>
    <row r="574" spans="1:14" x14ac:dyDescent="0.2">
      <c r="A574" t="s">
        <v>496</v>
      </c>
      <c r="B574" t="s">
        <v>627</v>
      </c>
      <c r="C574">
        <v>0</v>
      </c>
      <c r="D574">
        <v>0</v>
      </c>
      <c r="E574">
        <v>0</v>
      </c>
      <c r="F574">
        <v>0</v>
      </c>
      <c r="H574">
        <v>0</v>
      </c>
      <c r="I574">
        <v>0</v>
      </c>
      <c r="J574">
        <v>0</v>
      </c>
      <c r="K574">
        <v>0</v>
      </c>
      <c r="L574">
        <v>0</v>
      </c>
      <c r="M574">
        <v>0</v>
      </c>
      <c r="N574">
        <v>0</v>
      </c>
    </row>
    <row r="575" spans="1:14" x14ac:dyDescent="0.2">
      <c r="A575" t="s">
        <v>496</v>
      </c>
      <c r="B575" t="s">
        <v>628</v>
      </c>
      <c r="C575">
        <v>0</v>
      </c>
      <c r="D575">
        <v>0</v>
      </c>
      <c r="E575">
        <v>0</v>
      </c>
      <c r="F575">
        <v>0</v>
      </c>
      <c r="H575">
        <v>0</v>
      </c>
      <c r="I575">
        <v>0</v>
      </c>
      <c r="J575">
        <v>0</v>
      </c>
      <c r="K575">
        <v>0</v>
      </c>
      <c r="L575">
        <v>0</v>
      </c>
      <c r="M575">
        <v>0</v>
      </c>
      <c r="N575">
        <v>0</v>
      </c>
    </row>
    <row r="576" spans="1:14" x14ac:dyDescent="0.2">
      <c r="A576" t="s">
        <v>496</v>
      </c>
      <c r="B576" t="s">
        <v>629</v>
      </c>
      <c r="C576">
        <v>0</v>
      </c>
      <c r="D576">
        <v>0</v>
      </c>
      <c r="E576">
        <v>0</v>
      </c>
      <c r="F576">
        <v>0</v>
      </c>
      <c r="H576">
        <v>0</v>
      </c>
      <c r="I576">
        <v>0</v>
      </c>
      <c r="J576">
        <v>0</v>
      </c>
      <c r="K576">
        <v>0</v>
      </c>
      <c r="L576">
        <v>0</v>
      </c>
      <c r="M576">
        <v>0</v>
      </c>
      <c r="N576">
        <v>0</v>
      </c>
    </row>
    <row r="577" spans="1:14" x14ac:dyDescent="0.2">
      <c r="A577" t="s">
        <v>496</v>
      </c>
      <c r="B577" t="s">
        <v>502</v>
      </c>
      <c r="C577">
        <v>0</v>
      </c>
      <c r="D577">
        <v>0</v>
      </c>
      <c r="E577">
        <v>0</v>
      </c>
      <c r="F577">
        <v>0</v>
      </c>
      <c r="H577">
        <v>0</v>
      </c>
      <c r="I577">
        <v>0</v>
      </c>
      <c r="J577">
        <v>0</v>
      </c>
      <c r="K577">
        <v>0</v>
      </c>
      <c r="L577">
        <v>0</v>
      </c>
      <c r="M577">
        <v>0</v>
      </c>
      <c r="N577">
        <v>0</v>
      </c>
    </row>
    <row r="578" spans="1:14" x14ac:dyDescent="0.2">
      <c r="A578" t="s">
        <v>496</v>
      </c>
      <c r="B578" t="s">
        <v>630</v>
      </c>
      <c r="C578">
        <v>0</v>
      </c>
      <c r="D578">
        <v>0</v>
      </c>
      <c r="E578">
        <v>0</v>
      </c>
      <c r="F578">
        <v>0</v>
      </c>
      <c r="H578">
        <v>0</v>
      </c>
      <c r="I578">
        <v>0</v>
      </c>
      <c r="J578">
        <v>0</v>
      </c>
      <c r="K578">
        <v>0</v>
      </c>
      <c r="L578">
        <v>0</v>
      </c>
      <c r="M578">
        <v>0</v>
      </c>
      <c r="N578">
        <v>0</v>
      </c>
    </row>
    <row r="579" spans="1:14" x14ac:dyDescent="0.2">
      <c r="A579" t="s">
        <v>496</v>
      </c>
      <c r="B579" t="s">
        <v>631</v>
      </c>
      <c r="C579">
        <v>0</v>
      </c>
      <c r="D579">
        <v>0</v>
      </c>
      <c r="E579">
        <v>0</v>
      </c>
      <c r="F579">
        <v>0</v>
      </c>
      <c r="H579">
        <v>0</v>
      </c>
      <c r="I579">
        <v>0</v>
      </c>
      <c r="J579">
        <v>0</v>
      </c>
      <c r="K579">
        <v>0</v>
      </c>
      <c r="L579">
        <v>0</v>
      </c>
      <c r="M579">
        <v>0</v>
      </c>
      <c r="N579">
        <v>0</v>
      </c>
    </row>
    <row r="580" spans="1:14" x14ac:dyDescent="0.2">
      <c r="A580" t="s">
        <v>496</v>
      </c>
      <c r="B580" t="s">
        <v>632</v>
      </c>
      <c r="C580">
        <v>0</v>
      </c>
      <c r="D580">
        <v>0</v>
      </c>
      <c r="E580">
        <v>0</v>
      </c>
      <c r="F580">
        <v>0</v>
      </c>
      <c r="H580">
        <v>0</v>
      </c>
      <c r="I580">
        <v>0</v>
      </c>
      <c r="J580">
        <v>0</v>
      </c>
      <c r="K580">
        <v>0</v>
      </c>
      <c r="L580">
        <v>0</v>
      </c>
      <c r="M580">
        <v>0</v>
      </c>
      <c r="N580">
        <v>0</v>
      </c>
    </row>
    <row r="581" spans="1:14" x14ac:dyDescent="0.2">
      <c r="A581" t="s">
        <v>496</v>
      </c>
      <c r="B581" t="s">
        <v>633</v>
      </c>
      <c r="C581">
        <v>0</v>
      </c>
      <c r="D581">
        <v>0</v>
      </c>
      <c r="E581">
        <v>0</v>
      </c>
      <c r="F581">
        <v>0</v>
      </c>
      <c r="H581">
        <v>0</v>
      </c>
      <c r="I581">
        <v>0</v>
      </c>
      <c r="J581">
        <v>0</v>
      </c>
      <c r="K581">
        <v>0</v>
      </c>
      <c r="L581">
        <v>0</v>
      </c>
      <c r="M581">
        <v>0</v>
      </c>
      <c r="N58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Receipts</vt:lpstr>
      <vt:lpstr>Expenses</vt:lpstr>
      <vt:lpstr>Issues of the Grange</vt:lpstr>
      <vt:lpstr>Issues of the Mills</vt:lpstr>
      <vt:lpstr>Stock</vt:lpstr>
      <vt:lpstr>Issues of the Grange raw</vt:lpstr>
      <vt:lpstr>Sale of Corn Prices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2024-04-19T11:10:09Z</dcterms:created>
  <dcterms:modified xsi:type="dcterms:W3CDTF">2025-09-22T19:23:41Z</dcterms:modified>
</cp:coreProperties>
</file>
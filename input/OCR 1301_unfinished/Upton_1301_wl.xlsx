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F6E3D0EB-4959-B844-8CAA-2C84D690CA81}" xr6:coauthVersionLast="47" xr6:coauthVersionMax="47" xr10:uidLastSave="{00000000-0000-0000-0000-000000000000}"/>
  <bookViews>
    <workbookView xWindow="8460" yWindow="500" windowWidth="20120" windowHeight="16600" firstSheet="4" activeTab="4" xr2:uid="{23B83A58-82C6-F74F-B690-D0207AADBAFA}"/>
  </bookViews>
  <sheets>
    <sheet name="Upton Overview" sheetId="5" r:id="rId1"/>
    <sheet name="Upton Receipts" sheetId="1" r:id="rId2"/>
    <sheet name="Upton Expenses" sheetId="2" r:id="rId3"/>
    <sheet name="Issues of the Grange" sheetId="4" r:id="rId4"/>
    <sheet name="Stock" sheetId="6" r:id="rId5"/>
    <sheet name="Assumption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6" l="1"/>
  <c r="R70" i="6"/>
  <c r="R63" i="6"/>
  <c r="R30" i="6"/>
  <c r="G54" i="5"/>
  <c r="G47" i="5"/>
  <c r="G48" i="5"/>
  <c r="G49" i="5"/>
  <c r="G50" i="5"/>
  <c r="G51" i="5"/>
  <c r="G46" i="5"/>
  <c r="G53" i="5"/>
  <c r="H47" i="5"/>
  <c r="H48" i="5"/>
  <c r="H49" i="5"/>
  <c r="H50" i="5"/>
  <c r="H51" i="5"/>
  <c r="H46" i="5"/>
  <c r="B15" i="2"/>
  <c r="B69" i="2" s="1"/>
  <c r="B26" i="2"/>
  <c r="B33" i="2"/>
  <c r="C45" i="2"/>
  <c r="D45" i="2"/>
  <c r="B45" i="2"/>
  <c r="C15" i="2"/>
  <c r="D15" i="2"/>
  <c r="B47" i="5" l="1"/>
  <c r="C47" i="5"/>
  <c r="B48" i="5"/>
  <c r="C48" i="5"/>
  <c r="B49" i="5"/>
  <c r="C49" i="5"/>
  <c r="B50" i="5"/>
  <c r="C50" i="5"/>
  <c r="B51" i="5"/>
  <c r="C51" i="5"/>
  <c r="C46" i="5"/>
  <c r="B46" i="5"/>
  <c r="C148" i="5"/>
  <c r="B148" i="5"/>
  <c r="C147" i="5"/>
  <c r="B147" i="5"/>
  <c r="C146" i="5"/>
  <c r="B146" i="5"/>
  <c r="G141" i="5"/>
  <c r="F141" i="5"/>
  <c r="C140" i="5"/>
  <c r="B140" i="5"/>
  <c r="C139" i="5"/>
  <c r="B139" i="5"/>
  <c r="C134" i="5"/>
  <c r="B134" i="5"/>
  <c r="C133" i="5"/>
  <c r="B133" i="5"/>
  <c r="C132" i="5"/>
  <c r="B132" i="5"/>
  <c r="C131" i="5"/>
  <c r="B131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2" i="5"/>
  <c r="B102" i="5"/>
  <c r="C101" i="5"/>
  <c r="B101" i="5"/>
  <c r="C100" i="5"/>
  <c r="B100" i="5"/>
  <c r="C99" i="5"/>
  <c r="B99" i="5"/>
  <c r="C98" i="5"/>
  <c r="B98" i="5"/>
  <c r="F92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C68" i="5"/>
  <c r="B68" i="5"/>
  <c r="P19" i="6"/>
  <c r="Q19" i="6" s="1"/>
  <c r="G83" i="5" s="1"/>
  <c r="P20" i="6"/>
  <c r="R20" i="6" s="1"/>
  <c r="F84" i="5" s="1"/>
  <c r="Q20" i="6"/>
  <c r="G84" i="5" s="1"/>
  <c r="P21" i="6"/>
  <c r="Q21" i="6" s="1"/>
  <c r="G85" i="5" s="1"/>
  <c r="P22" i="6"/>
  <c r="Q22" i="6" s="1"/>
  <c r="G86" i="5" s="1"/>
  <c r="R22" i="6"/>
  <c r="F86" i="5" s="1"/>
  <c r="P23" i="6"/>
  <c r="Q23" i="6" s="1"/>
  <c r="G87" i="5" s="1"/>
  <c r="P24" i="6"/>
  <c r="R24" i="6" s="1"/>
  <c r="F88" i="5" s="1"/>
  <c r="P25" i="6"/>
  <c r="R25" i="6" s="1"/>
  <c r="F89" i="5" s="1"/>
  <c r="P26" i="6"/>
  <c r="R26" i="6" s="1"/>
  <c r="F90" i="5" s="1"/>
  <c r="P27" i="6"/>
  <c r="Q27" i="6" s="1"/>
  <c r="G91" i="5" s="1"/>
  <c r="P28" i="6"/>
  <c r="R28" i="6" s="1"/>
  <c r="Q28" i="6"/>
  <c r="G92" i="5" s="1"/>
  <c r="P29" i="6"/>
  <c r="Q29" i="6" s="1"/>
  <c r="G93" i="5" s="1"/>
  <c r="P31" i="6"/>
  <c r="R31" i="6" s="1"/>
  <c r="P32" i="6"/>
  <c r="Q32" i="6" s="1"/>
  <c r="P33" i="6"/>
  <c r="R33" i="6" s="1"/>
  <c r="Q33" i="6"/>
  <c r="Q34" i="6"/>
  <c r="G98" i="5" s="1"/>
  <c r="P35" i="6"/>
  <c r="R35" i="6" s="1"/>
  <c r="F99" i="5" s="1"/>
  <c r="P36" i="6"/>
  <c r="Q36" i="6" s="1"/>
  <c r="G100" i="5" s="1"/>
  <c r="P37" i="6"/>
  <c r="F101" i="5" s="1"/>
  <c r="P38" i="6"/>
  <c r="R38" i="6" s="1"/>
  <c r="F102" i="5" s="1"/>
  <c r="Q38" i="6"/>
  <c r="G102" i="5" s="1"/>
  <c r="P39" i="6"/>
  <c r="R39" i="6" s="1"/>
  <c r="P40" i="6"/>
  <c r="Q40" i="6" s="1"/>
  <c r="P41" i="6"/>
  <c r="R41" i="6" s="1"/>
  <c r="Q41" i="6"/>
  <c r="P42" i="6"/>
  <c r="Q42" i="6"/>
  <c r="R42" i="6"/>
  <c r="P43" i="6"/>
  <c r="Q43" i="6" s="1"/>
  <c r="G107" i="5" s="1"/>
  <c r="P44" i="6"/>
  <c r="Q44" i="6" s="1"/>
  <c r="G108" i="5" s="1"/>
  <c r="P45" i="6"/>
  <c r="R45" i="6" s="1"/>
  <c r="F109" i="5" s="1"/>
  <c r="P46" i="6"/>
  <c r="R46" i="6" s="1"/>
  <c r="F110" i="5" s="1"/>
  <c r="Q46" i="6"/>
  <c r="G110" i="5" s="1"/>
  <c r="P47" i="6"/>
  <c r="R47" i="6" s="1"/>
  <c r="F111" i="5" s="1"/>
  <c r="P48" i="6"/>
  <c r="Q48" i="6" s="1"/>
  <c r="G112" i="5" s="1"/>
  <c r="P49" i="6"/>
  <c r="R49" i="6" s="1"/>
  <c r="F113" i="5" s="1"/>
  <c r="Q49" i="6"/>
  <c r="G113" i="5" s="1"/>
  <c r="P50" i="6"/>
  <c r="R50" i="6" s="1"/>
  <c r="F114" i="5" s="1"/>
  <c r="P51" i="6"/>
  <c r="Q51" i="6" s="1"/>
  <c r="G115" i="5" s="1"/>
  <c r="R51" i="6"/>
  <c r="F115" i="5" s="1"/>
  <c r="P52" i="6"/>
  <c r="Q52" i="6" s="1"/>
  <c r="G116" i="5" s="1"/>
  <c r="P53" i="6"/>
  <c r="R53" i="6" s="1"/>
  <c r="F117" i="5" s="1"/>
  <c r="P55" i="6"/>
  <c r="Q55" i="6"/>
  <c r="G119" i="5" s="1"/>
  <c r="R55" i="6"/>
  <c r="F119" i="5" s="1"/>
  <c r="P56" i="6"/>
  <c r="Q56" i="6" s="1"/>
  <c r="G120" i="5" s="1"/>
  <c r="P57" i="6"/>
  <c r="R57" i="6" s="1"/>
  <c r="F121" i="5" s="1"/>
  <c r="P58" i="6"/>
  <c r="R58" i="6" s="1"/>
  <c r="F122" i="5" s="1"/>
  <c r="P59" i="6"/>
  <c r="Q59" i="6" s="1"/>
  <c r="G123" i="5" s="1"/>
  <c r="R59" i="6"/>
  <c r="F123" i="5" s="1"/>
  <c r="P60" i="6"/>
  <c r="Q60" i="6" s="1"/>
  <c r="G124" i="5" s="1"/>
  <c r="P61" i="6"/>
  <c r="R61" i="6" s="1"/>
  <c r="F125" i="5" s="1"/>
  <c r="Q61" i="6"/>
  <c r="G125" i="5" s="1"/>
  <c r="P62" i="6"/>
  <c r="Q62" i="6" s="1"/>
  <c r="G126" i="5" s="1"/>
  <c r="P63" i="6"/>
  <c r="Q63" i="6" s="1"/>
  <c r="P64" i="6"/>
  <c r="Q64" i="6" s="1"/>
  <c r="P65" i="6"/>
  <c r="R65" i="6" s="1"/>
  <c r="Q65" i="6"/>
  <c r="P67" i="6"/>
  <c r="Q67" i="6" s="1"/>
  <c r="G132" i="5" s="1"/>
  <c r="P68" i="6"/>
  <c r="Q68" i="6" s="1"/>
  <c r="G133" i="5" s="1"/>
  <c r="P69" i="6"/>
  <c r="R69" i="6" s="1"/>
  <c r="F134" i="5" s="1"/>
  <c r="P70" i="6"/>
  <c r="Q70" i="6" s="1"/>
  <c r="P71" i="6"/>
  <c r="Q71" i="6" s="1"/>
  <c r="P72" i="6"/>
  <c r="Q72" i="6" s="1"/>
  <c r="P73" i="6"/>
  <c r="R73" i="6" s="1"/>
  <c r="F139" i="5" s="1"/>
  <c r="P74" i="6"/>
  <c r="Q74" i="6"/>
  <c r="G140" i="5" s="1"/>
  <c r="R74" i="6"/>
  <c r="F140" i="5" s="1"/>
  <c r="P75" i="6"/>
  <c r="R75" i="6" s="1"/>
  <c r="P76" i="6"/>
  <c r="Q76" i="6" s="1"/>
  <c r="P77" i="6"/>
  <c r="R77" i="6" s="1"/>
  <c r="P78" i="6"/>
  <c r="Q78" i="6"/>
  <c r="R78" i="6"/>
  <c r="P79" i="6"/>
  <c r="R79" i="6" s="1"/>
  <c r="P80" i="6"/>
  <c r="Q80" i="6" s="1"/>
  <c r="P81" i="6"/>
  <c r="R81" i="6" s="1"/>
  <c r="P82" i="6"/>
  <c r="Q82" i="6" s="1"/>
  <c r="R82" i="6"/>
  <c r="P83" i="6"/>
  <c r="R83" i="6" s="1"/>
  <c r="Q83" i="6"/>
  <c r="P84" i="6"/>
  <c r="Q84" i="6" s="1"/>
  <c r="G147" i="5" s="1"/>
  <c r="P85" i="6"/>
  <c r="R85" i="6" s="1"/>
  <c r="F148" i="5" s="1"/>
  <c r="Q85" i="6"/>
  <c r="G148" i="5" s="1"/>
  <c r="P86" i="6"/>
  <c r="R86" i="6" s="1"/>
  <c r="Q86" i="6"/>
  <c r="P87" i="6"/>
  <c r="R87" i="6" s="1"/>
  <c r="Q87" i="6"/>
  <c r="P88" i="6"/>
  <c r="Q88" i="6" s="1"/>
  <c r="G146" i="5" s="1"/>
  <c r="P89" i="6"/>
  <c r="R89" i="6" s="1"/>
  <c r="P90" i="6"/>
  <c r="R90" i="6" s="1"/>
  <c r="P91" i="6"/>
  <c r="Q91" i="6" s="1"/>
  <c r="R91" i="6"/>
  <c r="P92" i="6"/>
  <c r="Q92" i="6" s="1"/>
  <c r="P93" i="6"/>
  <c r="R93" i="6" s="1"/>
  <c r="P94" i="6"/>
  <c r="Q94" i="6" s="1"/>
  <c r="R94" i="6"/>
  <c r="P95" i="6"/>
  <c r="Q95" i="6"/>
  <c r="R95" i="6"/>
  <c r="P96" i="6"/>
  <c r="Q96" i="6" s="1"/>
  <c r="K18" i="6"/>
  <c r="P18" i="6" s="1"/>
  <c r="Q18" i="6" s="1"/>
  <c r="G82" i="5" s="1"/>
  <c r="O37" i="6"/>
  <c r="H37" i="6" s="1"/>
  <c r="N19" i="4"/>
  <c r="N20" i="4"/>
  <c r="I23" i="4"/>
  <c r="K7" i="4"/>
  <c r="K6" i="4"/>
  <c r="K5" i="4"/>
  <c r="D44" i="2"/>
  <c r="C25" i="2"/>
  <c r="D25" i="2"/>
  <c r="C14" i="2"/>
  <c r="D14" i="2"/>
  <c r="C39" i="1"/>
  <c r="D39" i="1"/>
  <c r="C14" i="1"/>
  <c r="D14" i="1"/>
  <c r="C63" i="2"/>
  <c r="D63" i="2"/>
  <c r="B63" i="2"/>
  <c r="F61" i="2"/>
  <c r="D53" i="2"/>
  <c r="C33" i="2"/>
  <c r="D33" i="2"/>
  <c r="C26" i="2"/>
  <c r="D26" i="2"/>
  <c r="C48" i="1"/>
  <c r="D48" i="1"/>
  <c r="B48" i="1"/>
  <c r="C22" i="1"/>
  <c r="P4" i="6"/>
  <c r="R4" i="6" s="1"/>
  <c r="F68" i="5" s="1"/>
  <c r="P6" i="6"/>
  <c r="R6" i="6" s="1"/>
  <c r="F70" i="5" s="1"/>
  <c r="P7" i="6"/>
  <c r="R7" i="6" s="1"/>
  <c r="P8" i="6"/>
  <c r="Q8" i="6" s="1"/>
  <c r="P9" i="6"/>
  <c r="R9" i="6" s="1"/>
  <c r="F73" i="5" s="1"/>
  <c r="P10" i="6"/>
  <c r="R10" i="6" s="1"/>
  <c r="F74" i="5" s="1"/>
  <c r="P11" i="6"/>
  <c r="P12" i="6"/>
  <c r="Q12" i="6" s="1"/>
  <c r="G76" i="5" s="1"/>
  <c r="P13" i="6"/>
  <c r="P14" i="6"/>
  <c r="R14" i="6" s="1"/>
  <c r="F78" i="5" s="1"/>
  <c r="P15" i="6"/>
  <c r="P16" i="6"/>
  <c r="Q16" i="6" s="1"/>
  <c r="G80" i="5" s="1"/>
  <c r="P17" i="6"/>
  <c r="R17" i="6" s="1"/>
  <c r="F81" i="5" s="1"/>
  <c r="F6" i="7"/>
  <c r="F5" i="7"/>
  <c r="E7" i="7"/>
  <c r="E6" i="7"/>
  <c r="E5" i="7"/>
  <c r="E4" i="7"/>
  <c r="D7" i="7"/>
  <c r="D6" i="7"/>
  <c r="D4" i="7"/>
  <c r="C7" i="7"/>
  <c r="F4" i="7" s="1"/>
  <c r="C38" i="5"/>
  <c r="D38" i="5"/>
  <c r="E38" i="5"/>
  <c r="B38" i="5"/>
  <c r="R15" i="6"/>
  <c r="F79" i="5" s="1"/>
  <c r="J44" i="6"/>
  <c r="J45" i="6"/>
  <c r="J46" i="6"/>
  <c r="J47" i="6"/>
  <c r="J48" i="6"/>
  <c r="J26" i="6"/>
  <c r="J13" i="6"/>
  <c r="J5" i="6"/>
  <c r="J6" i="6"/>
  <c r="J7" i="6"/>
  <c r="J8" i="6"/>
  <c r="J9" i="6"/>
  <c r="J10" i="6"/>
  <c r="J11" i="6"/>
  <c r="J12" i="6"/>
  <c r="J14" i="6"/>
  <c r="J15" i="6"/>
  <c r="J16" i="6"/>
  <c r="J17" i="6"/>
  <c r="J18" i="6"/>
  <c r="J19" i="6"/>
  <c r="J20" i="6"/>
  <c r="J21" i="6"/>
  <c r="J22" i="6"/>
  <c r="J23" i="6"/>
  <c r="J24" i="6"/>
  <c r="J25" i="6"/>
  <c r="J27" i="6"/>
  <c r="J28" i="6"/>
  <c r="J29" i="6"/>
  <c r="J36" i="6"/>
  <c r="J38" i="6"/>
  <c r="J39" i="6"/>
  <c r="J43" i="6"/>
  <c r="J49" i="6"/>
  <c r="J50" i="6"/>
  <c r="J51" i="6"/>
  <c r="J52" i="6"/>
  <c r="J53" i="6"/>
  <c r="J55" i="6"/>
  <c r="J56" i="6"/>
  <c r="J57" i="6"/>
  <c r="J58" i="6"/>
  <c r="J60" i="6"/>
  <c r="J61" i="6"/>
  <c r="J62" i="6"/>
  <c r="J63" i="6"/>
  <c r="J66" i="6"/>
  <c r="J67" i="6"/>
  <c r="J68" i="6"/>
  <c r="J69" i="6"/>
  <c r="J73" i="6"/>
  <c r="J74" i="6"/>
  <c r="J75" i="6"/>
  <c r="J76" i="6"/>
  <c r="J78" i="6"/>
  <c r="J79" i="6"/>
  <c r="J80" i="6"/>
  <c r="J81" i="6"/>
  <c r="J82" i="6"/>
  <c r="J83" i="6"/>
  <c r="J84" i="6"/>
  <c r="J85" i="6"/>
  <c r="J86" i="6"/>
  <c r="J87" i="6"/>
  <c r="J91" i="6"/>
  <c r="J92" i="6"/>
  <c r="J4" i="6"/>
  <c r="I22" i="4"/>
  <c r="E19" i="4"/>
  <c r="E20" i="4"/>
  <c r="E21" i="4"/>
  <c r="E22" i="4"/>
  <c r="E23" i="4"/>
  <c r="F10" i="4"/>
  <c r="B23" i="4" s="1"/>
  <c r="J23" i="4" s="1"/>
  <c r="F9" i="4"/>
  <c r="B22" i="4" s="1"/>
  <c r="F8" i="4"/>
  <c r="B21" i="4" s="1"/>
  <c r="F7" i="4"/>
  <c r="B20" i="4" s="1"/>
  <c r="F6" i="4"/>
  <c r="B19" i="4" s="1"/>
  <c r="I6" i="4"/>
  <c r="L6" i="4" s="1"/>
  <c r="I7" i="4"/>
  <c r="L7" i="4" s="1"/>
  <c r="O7" i="4" s="1"/>
  <c r="I8" i="4"/>
  <c r="L8" i="4" s="1"/>
  <c r="I9" i="4"/>
  <c r="L9" i="4" s="1"/>
  <c r="O9" i="4" s="1"/>
  <c r="I10" i="4"/>
  <c r="L10" i="4" s="1"/>
  <c r="I21" i="4"/>
  <c r="I19" i="4"/>
  <c r="I5" i="4"/>
  <c r="L5" i="4" s="1"/>
  <c r="O5" i="4" s="1"/>
  <c r="F5" i="4"/>
  <c r="F68" i="2"/>
  <c r="G36" i="5" s="1"/>
  <c r="F67" i="2"/>
  <c r="G41" i="5" s="1"/>
  <c r="F65" i="2"/>
  <c r="G30" i="5" s="1"/>
  <c r="F62" i="2"/>
  <c r="F60" i="2"/>
  <c r="F59" i="2"/>
  <c r="F58" i="2"/>
  <c r="F57" i="2"/>
  <c r="F56" i="2"/>
  <c r="F52" i="2"/>
  <c r="F51" i="2"/>
  <c r="F50" i="2"/>
  <c r="F49" i="2"/>
  <c r="F48" i="2"/>
  <c r="C53" i="2"/>
  <c r="B53" i="2"/>
  <c r="F43" i="2"/>
  <c r="F42" i="2"/>
  <c r="F41" i="2"/>
  <c r="F40" i="2"/>
  <c r="F39" i="2"/>
  <c r="F38" i="2"/>
  <c r="F37" i="2"/>
  <c r="F36" i="2"/>
  <c r="C44" i="2"/>
  <c r="B44" i="2"/>
  <c r="F31" i="2"/>
  <c r="F30" i="2"/>
  <c r="F29" i="2"/>
  <c r="C32" i="2"/>
  <c r="D32" i="2"/>
  <c r="B32" i="2"/>
  <c r="F19" i="2"/>
  <c r="F20" i="2"/>
  <c r="F21" i="2"/>
  <c r="F22" i="2"/>
  <c r="F23" i="2"/>
  <c r="F24" i="2"/>
  <c r="F18" i="2"/>
  <c r="B25" i="2"/>
  <c r="B14" i="2"/>
  <c r="F12" i="2"/>
  <c r="F11" i="2"/>
  <c r="F10" i="2"/>
  <c r="F9" i="2"/>
  <c r="F8" i="2"/>
  <c r="F7" i="2"/>
  <c r="F6" i="2"/>
  <c r="F5" i="2"/>
  <c r="F4" i="2"/>
  <c r="F13" i="2"/>
  <c r="F55" i="1"/>
  <c r="G15" i="5" s="1"/>
  <c r="F51" i="1"/>
  <c r="G13" i="5" s="1"/>
  <c r="F43" i="1"/>
  <c r="F44" i="1"/>
  <c r="F45" i="1"/>
  <c r="K8" i="4" s="1"/>
  <c r="F46" i="1"/>
  <c r="N23" i="4" s="1"/>
  <c r="F47" i="1"/>
  <c r="F42" i="1"/>
  <c r="N18" i="4" s="1"/>
  <c r="F33" i="1"/>
  <c r="K5" i="6" s="1"/>
  <c r="P5" i="6" s="1"/>
  <c r="R5" i="6" s="1"/>
  <c r="F69" i="5" s="1"/>
  <c r="F34" i="1"/>
  <c r="F35" i="1"/>
  <c r="K54" i="6" s="1"/>
  <c r="F36" i="1"/>
  <c r="M54" i="6" s="1"/>
  <c r="F37" i="1"/>
  <c r="K66" i="6" s="1"/>
  <c r="P66" i="6" s="1"/>
  <c r="Q66" i="6" s="1"/>
  <c r="G131" i="5" s="1"/>
  <c r="F38" i="1"/>
  <c r="F32" i="1"/>
  <c r="B39" i="1"/>
  <c r="F29" i="1"/>
  <c r="F26" i="1"/>
  <c r="F25" i="1"/>
  <c r="C27" i="1"/>
  <c r="D27" i="1"/>
  <c r="B27" i="1"/>
  <c r="F18" i="1"/>
  <c r="F19" i="1"/>
  <c r="F20" i="1"/>
  <c r="F21" i="1"/>
  <c r="F17" i="1"/>
  <c r="D22" i="1"/>
  <c r="B22" i="1"/>
  <c r="D131" i="5" l="1"/>
  <c r="D139" i="5"/>
  <c r="Q75" i="6"/>
  <c r="R71" i="6"/>
  <c r="R67" i="6"/>
  <c r="F132" i="5" s="1"/>
  <c r="Q53" i="6"/>
  <c r="G117" i="5" s="1"/>
  <c r="R43" i="6"/>
  <c r="F107" i="5" s="1"/>
  <c r="Q31" i="6"/>
  <c r="Q26" i="6"/>
  <c r="G90" i="5" s="1"/>
  <c r="Q93" i="6"/>
  <c r="R62" i="6"/>
  <c r="F126" i="5" s="1"/>
  <c r="Q58" i="6"/>
  <c r="G122" i="5" s="1"/>
  <c r="Q47" i="6"/>
  <c r="G111" i="5" s="1"/>
  <c r="R34" i="6"/>
  <c r="F98" i="5" s="1"/>
  <c r="R21" i="6"/>
  <c r="F85" i="5" s="1"/>
  <c r="R29" i="6"/>
  <c r="F93" i="5" s="1"/>
  <c r="Q25" i="6"/>
  <c r="G89" i="5" s="1"/>
  <c r="Q73" i="6"/>
  <c r="G139" i="5" s="1"/>
  <c r="Q69" i="6"/>
  <c r="G134" i="5" s="1"/>
  <c r="G135" i="5" s="1"/>
  <c r="Q45" i="6"/>
  <c r="G109" i="5" s="1"/>
  <c r="Q89" i="6"/>
  <c r="Q81" i="6"/>
  <c r="Q35" i="6"/>
  <c r="G99" i="5" s="1"/>
  <c r="D133" i="5"/>
  <c r="D98" i="5"/>
  <c r="D102" i="5"/>
  <c r="D140" i="5"/>
  <c r="D92" i="5"/>
  <c r="D88" i="5"/>
  <c r="D84" i="5"/>
  <c r="D80" i="5"/>
  <c r="D76" i="5"/>
  <c r="D72" i="5"/>
  <c r="D91" i="5"/>
  <c r="D87" i="5"/>
  <c r="D83" i="5"/>
  <c r="D79" i="5"/>
  <c r="D75" i="5"/>
  <c r="D71" i="5"/>
  <c r="D109" i="5"/>
  <c r="D113" i="5"/>
  <c r="D117" i="5"/>
  <c r="D121" i="5"/>
  <c r="D125" i="5"/>
  <c r="D90" i="5"/>
  <c r="D86" i="5"/>
  <c r="D82" i="5"/>
  <c r="D78" i="5"/>
  <c r="D74" i="5"/>
  <c r="D70" i="5"/>
  <c r="D146" i="5"/>
  <c r="P54" i="6"/>
  <c r="F72" i="5"/>
  <c r="F71" i="5"/>
  <c r="N24" i="4"/>
  <c r="B54" i="5" s="1"/>
  <c r="O8" i="4"/>
  <c r="C69" i="2"/>
  <c r="N21" i="4"/>
  <c r="Q90" i="6"/>
  <c r="Q79" i="6"/>
  <c r="Q57" i="6"/>
  <c r="G121" i="5" s="1"/>
  <c r="Q50" i="6"/>
  <c r="G114" i="5" s="1"/>
  <c r="Q24" i="6"/>
  <c r="G88" i="5" s="1"/>
  <c r="D93" i="5"/>
  <c r="D89" i="5"/>
  <c r="D85" i="5"/>
  <c r="D81" i="5"/>
  <c r="D77" i="5"/>
  <c r="D73" i="5"/>
  <c r="D69" i="5"/>
  <c r="D99" i="5"/>
  <c r="D110" i="5"/>
  <c r="D114" i="5"/>
  <c r="D118" i="5"/>
  <c r="D122" i="5"/>
  <c r="D126" i="5"/>
  <c r="D134" i="5"/>
  <c r="B141" i="5"/>
  <c r="G33" i="5"/>
  <c r="F12" i="4"/>
  <c r="D100" i="5"/>
  <c r="D107" i="5"/>
  <c r="D111" i="5"/>
  <c r="D115" i="5"/>
  <c r="D119" i="5"/>
  <c r="D123" i="5"/>
  <c r="B52" i="5"/>
  <c r="O6" i="4"/>
  <c r="C52" i="5"/>
  <c r="K10" i="4"/>
  <c r="D101" i="5"/>
  <c r="D108" i="5"/>
  <c r="D116" i="5"/>
  <c r="D124" i="5"/>
  <c r="D132" i="5"/>
  <c r="C37" i="6"/>
  <c r="Q77" i="6"/>
  <c r="D147" i="5"/>
  <c r="D112" i="5"/>
  <c r="D120" i="5"/>
  <c r="D69" i="2"/>
  <c r="D68" i="5"/>
  <c r="D148" i="5"/>
  <c r="C141" i="5"/>
  <c r="R66" i="6"/>
  <c r="R18" i="6"/>
  <c r="F82" i="5" s="1"/>
  <c r="R96" i="6"/>
  <c r="R92" i="6"/>
  <c r="R88" i="6"/>
  <c r="F146" i="5" s="1"/>
  <c r="R84" i="6"/>
  <c r="F147" i="5" s="1"/>
  <c r="R80" i="6"/>
  <c r="R76" i="6"/>
  <c r="R72" i="6"/>
  <c r="R68" i="6"/>
  <c r="F133" i="5" s="1"/>
  <c r="R64" i="6"/>
  <c r="R60" i="6"/>
  <c r="F124" i="5" s="1"/>
  <c r="R56" i="6"/>
  <c r="F120" i="5" s="1"/>
  <c r="R52" i="6"/>
  <c r="F116" i="5" s="1"/>
  <c r="R48" i="6"/>
  <c r="F112" i="5" s="1"/>
  <c r="R44" i="6"/>
  <c r="F108" i="5" s="1"/>
  <c r="R40" i="6"/>
  <c r="R36" i="6"/>
  <c r="F100" i="5" s="1"/>
  <c r="R32" i="6"/>
  <c r="R27" i="6"/>
  <c r="F91" i="5" s="1"/>
  <c r="R23" i="6"/>
  <c r="F87" i="5" s="1"/>
  <c r="R19" i="6"/>
  <c r="F83" i="5" s="1"/>
  <c r="G149" i="5"/>
  <c r="B18" i="4"/>
  <c r="F13" i="4"/>
  <c r="J19" i="4"/>
  <c r="O10" i="4"/>
  <c r="D53" i="1"/>
  <c r="D54" i="1" s="1"/>
  <c r="C53" i="1"/>
  <c r="C54" i="1" s="1"/>
  <c r="B66" i="2"/>
  <c r="D66" i="2"/>
  <c r="C66" i="2"/>
  <c r="F45" i="2"/>
  <c r="F15" i="2"/>
  <c r="F39" i="1"/>
  <c r="F22" i="1"/>
  <c r="F27" i="1"/>
  <c r="F48" i="1"/>
  <c r="Q11" i="6"/>
  <c r="G75" i="5" s="1"/>
  <c r="P7" i="4"/>
  <c r="J9" i="4"/>
  <c r="J6" i="4"/>
  <c r="J10" i="4"/>
  <c r="L20" i="4"/>
  <c r="F53" i="2"/>
  <c r="F33" i="2"/>
  <c r="G38" i="5"/>
  <c r="H42" i="5"/>
  <c r="R13" i="6"/>
  <c r="F77" i="5" s="1"/>
  <c r="Q13" i="6"/>
  <c r="G77" i="5" s="1"/>
  <c r="Q15" i="6"/>
  <c r="G79" i="5" s="1"/>
  <c r="Q7" i="6"/>
  <c r="R16" i="6"/>
  <c r="F80" i="5" s="1"/>
  <c r="R12" i="6"/>
  <c r="F76" i="5" s="1"/>
  <c r="R8" i="6"/>
  <c r="J88" i="6"/>
  <c r="Q14" i="6"/>
  <c r="G78" i="5" s="1"/>
  <c r="Q10" i="6"/>
  <c r="G74" i="5" s="1"/>
  <c r="Q6" i="6"/>
  <c r="G70" i="5" s="1"/>
  <c r="Q17" i="6"/>
  <c r="G81" i="5" s="1"/>
  <c r="Q9" i="6"/>
  <c r="G73" i="5" s="1"/>
  <c r="Q5" i="6"/>
  <c r="G69" i="5" s="1"/>
  <c r="Q4" i="6"/>
  <c r="G68" i="5" s="1"/>
  <c r="F14" i="2"/>
  <c r="F26" i="2"/>
  <c r="F44" i="2"/>
  <c r="G25" i="5" s="1"/>
  <c r="F63" i="2"/>
  <c r="G27" i="5" s="1"/>
  <c r="F32" i="2"/>
  <c r="G24" i="5" s="1"/>
  <c r="F25" i="2"/>
  <c r="G21" i="5" s="1"/>
  <c r="J54" i="6"/>
  <c r="J59" i="6"/>
  <c r="J70" i="6"/>
  <c r="J34" i="6"/>
  <c r="I20" i="4"/>
  <c r="J20" i="4" s="1"/>
  <c r="B24" i="4"/>
  <c r="J22" i="4"/>
  <c r="P5" i="4"/>
  <c r="J7" i="4"/>
  <c r="J8" i="4"/>
  <c r="I18" i="4"/>
  <c r="E18" i="4"/>
  <c r="E24" i="4" s="1"/>
  <c r="J21" i="4"/>
  <c r="J5" i="4"/>
  <c r="G104" i="5" l="1"/>
  <c r="F131" i="5"/>
  <c r="G136" i="5"/>
  <c r="G150" i="5"/>
  <c r="G22" i="1"/>
  <c r="G7" i="5"/>
  <c r="G14" i="2"/>
  <c r="G19" i="5"/>
  <c r="G29" i="5" s="1"/>
  <c r="D141" i="5"/>
  <c r="G48" i="1"/>
  <c r="G11" i="5"/>
  <c r="G27" i="1"/>
  <c r="G8" i="5"/>
  <c r="Q37" i="6"/>
  <c r="G101" i="5" s="1"/>
  <c r="G103" i="5" s="1"/>
  <c r="J35" i="6"/>
  <c r="G72" i="5"/>
  <c r="G71" i="5"/>
  <c r="G53" i="2"/>
  <c r="G26" i="5"/>
  <c r="G39" i="1"/>
  <c r="G10" i="5"/>
  <c r="Q54" i="6"/>
  <c r="G118" i="5" s="1"/>
  <c r="G127" i="5" s="1"/>
  <c r="R54" i="6"/>
  <c r="F118" i="5" s="1"/>
  <c r="G128" i="5" s="1"/>
  <c r="P10" i="4"/>
  <c r="L23" i="4"/>
  <c r="M23" i="4" s="1"/>
  <c r="F69" i="2"/>
  <c r="G31" i="5" s="1"/>
  <c r="R11" i="6"/>
  <c r="F75" i="5" s="1"/>
  <c r="G95" i="5" s="1"/>
  <c r="M20" i="4"/>
  <c r="P6" i="4"/>
  <c r="L19" i="4"/>
  <c r="M19" i="4" s="1"/>
  <c r="L18" i="4"/>
  <c r="P8" i="4"/>
  <c r="L21" i="4"/>
  <c r="M21" i="4" s="1"/>
  <c r="P9" i="4"/>
  <c r="L22" i="4"/>
  <c r="M22" i="4" s="1"/>
  <c r="G32" i="2"/>
  <c r="G63" i="2"/>
  <c r="F66" i="2"/>
  <c r="G66" i="2" s="1"/>
  <c r="G25" i="2"/>
  <c r="G44" i="2"/>
  <c r="J18" i="4"/>
  <c r="J24" i="4" s="1"/>
  <c r="B154" i="5" l="1"/>
  <c r="B155" i="5"/>
  <c r="G94" i="5"/>
  <c r="B156" i="5"/>
  <c r="P12" i="4"/>
  <c r="M18" i="4"/>
  <c r="H30" i="5"/>
  <c r="M24" i="4" l="1"/>
  <c r="F13" i="1"/>
  <c r="B14" i="1"/>
  <c r="B53" i="1" s="1"/>
  <c r="B54" i="1" s="1"/>
  <c r="F12" i="1"/>
  <c r="F11" i="1"/>
  <c r="F10" i="1"/>
  <c r="F9" i="1"/>
  <c r="F6" i="1"/>
  <c r="F5" i="1"/>
  <c r="G5" i="5" s="1"/>
  <c r="G52" i="5" l="1"/>
  <c r="F14" i="1"/>
  <c r="B159" i="5" l="1"/>
  <c r="G14" i="1"/>
  <c r="G6" i="5"/>
  <c r="G14" i="5" s="1"/>
  <c r="H15" i="5" s="1"/>
  <c r="F53" i="1"/>
  <c r="G55" i="1" s="1"/>
  <c r="F54" i="1"/>
  <c r="B157" i="5" l="1"/>
  <c r="B16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6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<sst xmlns="http://schemas.openxmlformats.org/spreadsheetml/2006/main" count="466" uniqueCount="285">
  <si>
    <t>UPTON OVERVIEW</t>
  </si>
  <si>
    <t>£</t>
  </si>
  <si>
    <t xml:space="preserve">s </t>
  </si>
  <si>
    <t>d</t>
  </si>
  <si>
    <t>Total in £</t>
  </si>
  <si>
    <t>Error</t>
  </si>
  <si>
    <t>CASH ACCOUNT</t>
  </si>
  <si>
    <t>RECEIPTS</t>
  </si>
  <si>
    <t>Arrears</t>
  </si>
  <si>
    <t>Rents of assize</t>
  </si>
  <si>
    <t>Quittances</t>
  </si>
  <si>
    <t>Defaults of rent</t>
  </si>
  <si>
    <t>Annual reconizances</t>
  </si>
  <si>
    <t>Issues of the Manor</t>
  </si>
  <si>
    <t>Sale of corn</t>
  </si>
  <si>
    <t>Entry and marriage fines</t>
  </si>
  <si>
    <t>Pleas &amp; Perquisites</t>
  </si>
  <si>
    <t>Sum of the above (incl. arrears)</t>
  </si>
  <si>
    <t>Total recorded in the accounts excl. arrears? (p.10)</t>
  </si>
  <si>
    <t>Total recorded in the accounts incl. arrears? (p.10)</t>
  </si>
  <si>
    <t>n/a</t>
  </si>
  <si>
    <t>EXPENSES</t>
  </si>
  <si>
    <t>Cost of ploughs</t>
  </si>
  <si>
    <t>Purchase of corn</t>
  </si>
  <si>
    <t>Cost of carts and wagons</t>
  </si>
  <si>
    <t>Cost of dairy</t>
  </si>
  <si>
    <t>Purchase of stock</t>
  </si>
  <si>
    <t>Sheepcote</t>
  </si>
  <si>
    <t>Cost of buildings</t>
  </si>
  <si>
    <t>Threshing</t>
  </si>
  <si>
    <t>Expenses of the harvest</t>
  </si>
  <si>
    <t>Stewards expenses</t>
  </si>
  <si>
    <t>Sum of the above</t>
  </si>
  <si>
    <t>Total of all expenses</t>
  </si>
  <si>
    <t>Capital Expenses</t>
  </si>
  <si>
    <t>Owed by the reeve</t>
  </si>
  <si>
    <t>From accounts</t>
  </si>
  <si>
    <t>Cash deliveries</t>
  </si>
  <si>
    <t>Cash delivers (Hindon Borough)</t>
  </si>
  <si>
    <t>Total of all allowances and cash deliveries in accounts</t>
  </si>
  <si>
    <t>Net amount owed</t>
  </si>
  <si>
    <t>Net amount owed in accounts</t>
  </si>
  <si>
    <t xml:space="preserve">GRANGE ACCOUNT </t>
  </si>
  <si>
    <t>Total Production</t>
  </si>
  <si>
    <t>Grange</t>
  </si>
  <si>
    <t>qrs</t>
  </si>
  <si>
    <t>bus</t>
  </si>
  <si>
    <t>Value of total gross production in £</t>
  </si>
  <si>
    <t>Value of total net production in £</t>
  </si>
  <si>
    <t>Wheat</t>
  </si>
  <si>
    <t>Curall</t>
  </si>
  <si>
    <t>Barley</t>
  </si>
  <si>
    <t>Oats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</si>
  <si>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</si>
  <si>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</si>
  <si>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</si>
  <si>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</si>
  <si>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</si>
  <si>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</si>
  <si>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</si>
  <si>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</si>
  <si>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</si>
  <si>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</si>
  <si>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</si>
  <si>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</si>
  <si>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</si>
  <si>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</si>
  <si>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Inherited stock</t>
  </si>
  <si>
    <t>End-period  stock</t>
  </si>
  <si>
    <t>Stockbuilding</t>
  </si>
  <si>
    <t>Sales in (£)</t>
  </si>
  <si>
    <t>Value of production (£) at sales prices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</si>
  <si>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</si>
  <si>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</si>
  <si>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</si>
  <si>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</si>
  <si>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</si>
  <si>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</si>
  <si>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</si>
  <si>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</si>
  <si>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</si>
  <si>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</si>
  <si>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</si>
  <si>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</si>
  <si>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</si>
  <si>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</si>
  <si>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</si>
  <si>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</si>
  <si>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</si>
  <si>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</si>
  <si>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</si>
  <si>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</si>
  <si>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</si>
  <si>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</si>
  <si>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</si>
  <si>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</si>
  <si>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</si>
  <si>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</si>
  <si>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</si>
  <si>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</si>
  <si>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</si>
  <si>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</si>
  <si>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</si>
  <si>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</si>
  <si>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</si>
  <si>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</si>
  <si>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</si>
  <si>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</si>
  <si>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</si>
  <si>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</si>
  <si>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</si>
  <si>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</si>
  <si>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</si>
  <si>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</si>
  <si>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</si>
  <si>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</si>
  <si>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</si>
  <si>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</si>
  <si>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</si>
  <si>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</si>
  <si>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</si>
  <si>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</si>
  <si>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</si>
  <si>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</si>
  <si>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</si>
  <si>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</si>
  <si>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nothing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</si>
  <si>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</si>
  <si>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</si>
  <si>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</si>
  <si>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</si>
  <si>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</si>
  <si>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</si>
  <si>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</si>
  <si>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</si>
  <si>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</si>
  <si>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</si>
  <si>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</si>
  <si>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</si>
  <si>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</si>
  <si>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</si>
  <si>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</si>
  <si>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</si>
  <si>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</si>
  <si>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</si>
  <si>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</si>
  <si>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</si>
  <si>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UPTON RECEIPTS</t>
  </si>
  <si>
    <t>Notes</t>
  </si>
  <si>
    <t>arrears from previous year</t>
  </si>
  <si>
    <t>of which delivered to treasurer of Wolvesey</t>
  </si>
  <si>
    <t>Feast of St. Andrew</t>
  </si>
  <si>
    <t>Palm Sunday</t>
  </si>
  <si>
    <t>Lammas</t>
  </si>
  <si>
    <t>Michaelmas</t>
  </si>
  <si>
    <t>Total recorded in accounts</t>
  </si>
  <si>
    <t>in quittance of 1 reeve for the year</t>
  </si>
  <si>
    <t>3 ploughmen for the year</t>
  </si>
  <si>
    <t>1 shepherd for the year</t>
  </si>
  <si>
    <t>2 workers for the year</t>
  </si>
  <si>
    <t>1 acre of land which John held dawn into demense</t>
  </si>
  <si>
    <t>Total of rents remaining</t>
  </si>
  <si>
    <t>Issues of the manor</t>
  </si>
  <si>
    <t>from 29 wethers sold</t>
  </si>
  <si>
    <t>from 3 feeble and sick oxen sold</t>
  </si>
  <si>
    <t>from hides of 7 oxen in murrain</t>
  </si>
  <si>
    <t>from skins of 13 wethers in murrain before shearing</t>
  </si>
  <si>
    <t>from skins of 10 wethers after shearing</t>
  </si>
  <si>
    <t>from 44 hens sold</t>
  </si>
  <si>
    <t>from 11qrs 1 bus of wheat sold</t>
  </si>
  <si>
    <t>from 6 qrs of curall sold</t>
  </si>
  <si>
    <t>from 10 qrs wrs 3 bus of barley sold</t>
  </si>
  <si>
    <t>from 14 qrs 2 bus of oats sold</t>
  </si>
  <si>
    <t>from 4 qrs and 7 bus of vetches sold</t>
  </si>
  <si>
    <t>Pleas and perquisites</t>
  </si>
  <si>
    <t>from the amercements of the court this year</t>
  </si>
  <si>
    <t>Total of all receipts (sum of above excl. arrears)</t>
  </si>
  <si>
    <t>Total of all receipts (sum of above incl. arrears)</t>
  </si>
  <si>
    <t>Total of all receipts in account</t>
  </si>
  <si>
    <t>UPTON EXPENSES</t>
  </si>
  <si>
    <t>Cost of Ploughs</t>
  </si>
  <si>
    <t>iron and steel bought for 2 ploughs</t>
  </si>
  <si>
    <t>1 ploughshare</t>
  </si>
  <si>
    <t>2 plough feet bought</t>
  </si>
  <si>
    <t>1 pair of wheels bought</t>
  </si>
  <si>
    <t>2 yokes</t>
  </si>
  <si>
    <t>stipend of smith for ironwork of 2 ploughs</t>
  </si>
  <si>
    <t>stipend of 1 oxherd</t>
  </si>
  <si>
    <t>making 2 ploughs from lords timber</t>
  </si>
  <si>
    <t>in 7 oxen bought due to others dying</t>
  </si>
  <si>
    <t>Total capital expenses</t>
  </si>
  <si>
    <t>Cost of Carts</t>
  </si>
  <si>
    <t>4 tacks bought</t>
  </si>
  <si>
    <t>in 1 saddle pad</t>
  </si>
  <si>
    <t>in grease</t>
  </si>
  <si>
    <t>in shoeing 2 plough-horses</t>
  </si>
  <si>
    <t>in fitting cart with axels</t>
  </si>
  <si>
    <t>stipend of 1 carter</t>
  </si>
  <si>
    <t>washing and shearing sheep</t>
  </si>
  <si>
    <t>grease bought</t>
  </si>
  <si>
    <t>Cost of Buildings</t>
  </si>
  <si>
    <t>roofing and mending hall and byre</t>
  </si>
  <si>
    <t>stipend of 1 man repairing wall around garden</t>
  </si>
  <si>
    <t>mending garden gate</t>
  </si>
  <si>
    <t>nails for same</t>
  </si>
  <si>
    <t>1 lock bought</t>
  </si>
  <si>
    <t>stipend of 1 man re-roofing hay-barn and cart-house</t>
  </si>
  <si>
    <t>2 casks bought for cider</t>
  </si>
  <si>
    <t>threshing 7.5 qrs of wheat</t>
  </si>
  <si>
    <t>winnowing the same</t>
  </si>
  <si>
    <t>in threshing 10.5 qrs of barley</t>
  </si>
  <si>
    <t>in winnowing the same</t>
  </si>
  <si>
    <t>Expenses of the Harvest</t>
  </si>
  <si>
    <t>weeding corn over and above labour service</t>
  </si>
  <si>
    <t>mowing and tossing meadow</t>
  </si>
  <si>
    <t>cheese bought for the mowing and tossing</t>
  </si>
  <si>
    <t>provision of household at harvest-time</t>
  </si>
  <si>
    <t>stipend of reep-reeve who is overseer of harvest</t>
  </si>
  <si>
    <t>stipend of 1 stacker at harvest time</t>
  </si>
  <si>
    <t>Total of all Expenses</t>
  </si>
  <si>
    <t>Total of all Expenses (calculated)</t>
  </si>
  <si>
    <t>And thus he owes</t>
  </si>
  <si>
    <t>Delivered to Sir Geoffrey, treasurer of Wolvesey</t>
  </si>
  <si>
    <t>The issue of the grange account gives the total "yield" at the top of each heading in curly brackets, measurements used: fold, qrs, bus</t>
  </si>
  <si>
    <t>In "Issues of the grange" (p.12-13)</t>
  </si>
  <si>
    <t>In "Sale of Corn" (p.7)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</si>
  <si>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</si>
  <si>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</si>
  <si>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</si>
  <si>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</si>
  <si>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</si>
  <si>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</si>
  <si>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</si>
  <si>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</si>
  <si>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</si>
  <si>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</si>
  <si>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Unit price</t>
  </si>
  <si>
    <t>Value</t>
  </si>
  <si>
    <t>£ per qr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</si>
  <si>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</si>
  <si>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</si>
  <si>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</si>
  <si>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</si>
  <si>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</si>
  <si>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</si>
  <si>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</si>
  <si>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</si>
  <si>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</si>
  <si>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</si>
  <si>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</si>
  <si>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EAST KNOYLE STOCK ACCOUNT</t>
  </si>
  <si>
    <t>added</t>
  </si>
  <si>
    <t>strays</t>
  </si>
  <si>
    <t>herbage</t>
  </si>
  <si>
    <t>sold</t>
  </si>
  <si>
    <t>in murrain</t>
  </si>
  <si>
    <t>accounted for elsewhere</t>
  </si>
  <si>
    <t>cross-check</t>
  </si>
  <si>
    <t>price 1</t>
  </si>
  <si>
    <t>units 1</t>
  </si>
  <si>
    <t>price 2</t>
  </si>
  <si>
    <t>units 2</t>
  </si>
  <si>
    <t>Weight (weys)</t>
  </si>
  <si>
    <t>Unit price (£)</t>
  </si>
  <si>
    <t>Details</t>
  </si>
  <si>
    <t>286 Given to the Reeve of East Knoyle, one given to shepherd</t>
  </si>
  <si>
    <t>given to East Knoyle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</si>
  <si>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</si>
  <si>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</si>
  <si>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</si>
  <si>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</si>
  <si>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</si>
  <si>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</si>
  <si>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</si>
  <si>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</si>
  <si>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ASSUMPTIONS</t>
  </si>
  <si>
    <t>Weights</t>
  </si>
  <si>
    <t>Value (in lbs)</t>
  </si>
  <si>
    <t>Value (in cloves)</t>
  </si>
  <si>
    <t>Value (in weys)</t>
  </si>
  <si>
    <t>Value (in stone)</t>
  </si>
  <si>
    <t>Lbs</t>
  </si>
  <si>
    <t>Cloves</t>
  </si>
  <si>
    <t>Wey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</si>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</sst>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7" tint="0.7999816888943144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7" borderId="0" xfId="0" applyFont="1" applyFill="1" applyAlignment="1">
      <alignment horizontal="righ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5" fillId="8" borderId="0" xfId="0" applyNumberFormat="1" applyFont="1" applyFill="1"/>
    <xf numFmtId="2" fontId="4" fillId="0" borderId="0" xfId="0" applyNumberFormat="1" applyFont="1" applyAlignment="1">
      <alignment horizontal="right"/>
    </xf>
    <xf numFmtId="2" fontId="4" fillId="7" borderId="0" xfId="0" applyNumberFormat="1" applyFont="1" applyFill="1" applyAlignment="1">
      <alignment horizontal="right"/>
    </xf>
    <xf numFmtId="4" fontId="5" fillId="0" borderId="0" xfId="0" applyNumberFormat="1" applyFont="1" applyAlignment="1">
      <alignment horizontal="right" wrapText="1"/>
    </xf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9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9" borderId="11" xfId="0" applyNumberFormat="1" applyFont="1" applyFill="1" applyBorder="1"/>
    <xf numFmtId="10" fontId="16" fillId="0" borderId="12" xfId="0" applyNumberFormat="1" applyFont="1" applyBorder="1"/>
    <xf numFmtId="0" fontId="1" fillId="0" borderId="12" xfId="0" applyFont="1" applyBorder="1"/>
    <xf numFmtId="0" fontId="16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9" fontId="5" fillId="0" borderId="0" xfId="0" applyNumberFormat="1" applyFont="1"/>
    <xf numFmtId="2" fontId="2" fillId="0" borderId="0" xfId="0" applyNumberFormat="1" applyFont="1"/>
    <xf numFmtId="0" fontId="1" fillId="6" borderId="0" xfId="0" applyFont="1" applyFill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2"/>
  <sheetViews>
    <sheetView topLeftCell="A129" zoomScale="86" zoomScaleNormal="86" workbookViewId="0">
      <selection activeCell="B157" sqref="B157"/>
    </sheetView>
  </sheetViews>
  <sheetFormatPr defaultColWidth="11" defaultRowHeight="15.95"/>
  <cols>
    <col min="1" max="1" width="80" bestFit="1" customWidth="1"/>
    <col min="7" max="7" width="30.875" style="26" bestFit="1" customWidth="1"/>
    <col min="8" max="8" width="29.375" bestFit="1" customWidth="1"/>
  </cols>
  <sheetData>
    <row r="1" spans="1:9" ht="18.95">
      <c r="A1" s="39" t="s">
        <v>0</v>
      </c>
      <c r="B1" s="40" t="s">
        <v>1</v>
      </c>
      <c r="C1" s="41" t="s">
        <v>2</v>
      </c>
      <c r="D1" s="41" t="s">
        <v>3</v>
      </c>
      <c r="E1" s="42"/>
      <c r="F1" s="42"/>
      <c r="G1" s="63" t="s">
        <v>4</v>
      </c>
      <c r="H1" s="43" t="s">
        <v>5</v>
      </c>
    </row>
    <row r="2" spans="1:9">
      <c r="A2" s="10"/>
      <c r="B2" s="10"/>
      <c r="C2" s="10"/>
      <c r="D2" s="10"/>
      <c r="E2" s="10"/>
      <c r="F2" s="10"/>
      <c r="G2" s="50"/>
      <c r="H2" s="2"/>
    </row>
    <row r="3" spans="1:9">
      <c r="A3" s="9" t="s">
        <v>6</v>
      </c>
      <c r="B3" s="10"/>
      <c r="C3" s="10"/>
      <c r="D3" s="10"/>
      <c r="E3" s="10"/>
      <c r="F3" s="10"/>
      <c r="G3" s="50"/>
      <c r="H3" s="2"/>
    </row>
    <row r="4" spans="1:9">
      <c r="A4" s="44" t="s">
        <v>7</v>
      </c>
      <c r="B4" s="45"/>
      <c r="C4" s="45"/>
      <c r="D4" s="45"/>
      <c r="E4" s="45"/>
      <c r="F4" s="45"/>
      <c r="G4" s="51"/>
      <c r="H4" s="2"/>
    </row>
    <row r="5" spans="1:9">
      <c r="A5" s="10" t="s">
        <v>8</v>
      </c>
      <c r="B5" s="10"/>
      <c r="C5" s="10"/>
      <c r="D5" s="10"/>
      <c r="E5" s="10"/>
      <c r="F5" s="10"/>
      <c r="G5" s="50">
        <f>'Upton Receipts'!F5</f>
        <v>5.9614583333333337</v>
      </c>
      <c r="H5" s="2"/>
    </row>
    <row r="6" spans="1:9">
      <c r="A6" s="10" t="s">
        <v>9</v>
      </c>
      <c r="B6" s="10"/>
      <c r="C6" s="10"/>
      <c r="D6" s="10"/>
      <c r="E6" s="10"/>
      <c r="F6" s="10"/>
      <c r="G6" s="50">
        <f>'Upton Receipts'!F14</f>
        <v>1.1614583333333335</v>
      </c>
      <c r="H6" s="2"/>
    </row>
    <row r="7" spans="1:9">
      <c r="A7" s="10" t="s">
        <v>10</v>
      </c>
      <c r="B7" s="10"/>
      <c r="C7" s="10"/>
      <c r="D7" s="10"/>
      <c r="E7" s="10"/>
      <c r="F7" s="10"/>
      <c r="G7" s="50">
        <f>'Upton Receipts'!F22</f>
        <v>0.7</v>
      </c>
      <c r="H7" s="2"/>
    </row>
    <row r="8" spans="1:9">
      <c r="A8" s="10" t="s">
        <v>11</v>
      </c>
      <c r="B8" s="10"/>
      <c r="C8" s="10"/>
      <c r="D8" s="10"/>
      <c r="E8" s="10"/>
      <c r="F8" s="10"/>
      <c r="G8" s="50">
        <f>'Upton Receipts'!F27</f>
        <v>9.3749999999999997E-3</v>
      </c>
      <c r="H8" s="2"/>
    </row>
    <row r="9" spans="1:9">
      <c r="A9" s="10" t="s">
        <v>12</v>
      </c>
      <c r="B9" s="10"/>
      <c r="C9" s="10"/>
      <c r="D9" s="10"/>
      <c r="E9" s="10"/>
      <c r="F9" s="10"/>
      <c r="G9" s="50"/>
      <c r="H9" s="2"/>
    </row>
    <row r="10" spans="1:9">
      <c r="A10" s="10" t="s">
        <v>13</v>
      </c>
      <c r="B10" s="10"/>
      <c r="C10" s="10"/>
      <c r="D10" s="10"/>
      <c r="E10" s="10"/>
      <c r="F10" s="10"/>
      <c r="G10" s="50">
        <f>'Upton Receipts'!F39</f>
        <v>3.78125</v>
      </c>
      <c r="H10" s="2"/>
    </row>
    <row r="11" spans="1:9">
      <c r="A11" s="10" t="s">
        <v>14</v>
      </c>
      <c r="B11" s="10"/>
      <c r="C11" s="10"/>
      <c r="D11" s="10"/>
      <c r="E11" s="10"/>
      <c r="F11" s="10"/>
      <c r="G11" s="50">
        <f>'Upton Receipts'!F48</f>
        <v>7.0166666666666666</v>
      </c>
      <c r="H11" s="2"/>
    </row>
    <row r="12" spans="1:9">
      <c r="A12" s="10" t="s">
        <v>15</v>
      </c>
      <c r="B12" s="10"/>
      <c r="C12" s="10"/>
      <c r="D12" s="10"/>
      <c r="E12" s="10"/>
      <c r="F12" s="10"/>
      <c r="G12" s="50"/>
      <c r="H12" s="2"/>
    </row>
    <row r="13" spans="1:9">
      <c r="A13" s="10" t="s">
        <v>16</v>
      </c>
      <c r="B13" s="10"/>
      <c r="C13" s="10"/>
      <c r="D13" s="10"/>
      <c r="E13" s="10"/>
      <c r="F13" s="10"/>
      <c r="G13" s="50">
        <f>'Upton Receipts'!F51</f>
        <v>0.81666666666666676</v>
      </c>
      <c r="H13" s="2"/>
    </row>
    <row r="14" spans="1:9">
      <c r="A14" s="47" t="s">
        <v>17</v>
      </c>
      <c r="B14" s="47"/>
      <c r="C14" s="47"/>
      <c r="D14" s="47"/>
      <c r="E14" s="47"/>
      <c r="F14" s="47"/>
      <c r="G14" s="64">
        <f>SUM(G5:G13)</f>
        <v>19.446874999999999</v>
      </c>
      <c r="H14" s="2"/>
    </row>
    <row r="15" spans="1:9">
      <c r="A15" s="47" t="s">
        <v>18</v>
      </c>
      <c r="B15" s="47"/>
      <c r="C15" s="47"/>
      <c r="D15" s="47"/>
      <c r="E15" s="47"/>
      <c r="F15" s="47"/>
      <c r="G15" s="64">
        <f>'Upton Receipts'!F55</f>
        <v>12.066666666666668</v>
      </c>
      <c r="H15" s="49">
        <f>G14-G15</f>
        <v>7.3802083333333304</v>
      </c>
      <c r="I15" s="18"/>
    </row>
    <row r="16" spans="1:9">
      <c r="A16" s="47" t="s">
        <v>19</v>
      </c>
      <c r="B16" s="47"/>
      <c r="C16" s="47"/>
      <c r="D16" s="47"/>
      <c r="E16" s="47"/>
      <c r="F16" s="47"/>
      <c r="G16" s="64" t="s">
        <v>20</v>
      </c>
      <c r="H16" s="49"/>
    </row>
    <row r="17" spans="1:8">
      <c r="A17" s="10"/>
      <c r="B17" s="10"/>
      <c r="C17" s="10"/>
      <c r="D17" s="10"/>
      <c r="E17" s="10"/>
      <c r="F17" s="10"/>
      <c r="G17" s="50"/>
      <c r="H17" s="2"/>
    </row>
    <row r="18" spans="1:8">
      <c r="A18" s="44" t="s">
        <v>21</v>
      </c>
      <c r="B18" s="45"/>
      <c r="C18" s="45"/>
      <c r="D18" s="45"/>
      <c r="E18" s="45"/>
      <c r="F18" s="45"/>
      <c r="G18" s="51"/>
      <c r="H18" s="2"/>
    </row>
    <row r="19" spans="1:8">
      <c r="A19" s="10" t="s">
        <v>22</v>
      </c>
      <c r="B19" s="10"/>
      <c r="C19" s="10"/>
      <c r="D19" s="10"/>
      <c r="E19" s="10"/>
      <c r="F19" s="10"/>
      <c r="G19" s="50">
        <f>'Upton Expenses'!F14</f>
        <v>3.4343750000000002</v>
      </c>
      <c r="H19" s="2"/>
    </row>
    <row r="20" spans="1:8">
      <c r="A20" s="10" t="s">
        <v>23</v>
      </c>
      <c r="B20" s="10"/>
      <c r="C20" s="10"/>
      <c r="D20" s="10"/>
      <c r="E20" s="10"/>
      <c r="F20" s="10"/>
      <c r="G20" s="50"/>
      <c r="H20" s="2"/>
    </row>
    <row r="21" spans="1:8">
      <c r="A21" s="10" t="s">
        <v>24</v>
      </c>
      <c r="B21" s="10"/>
      <c r="C21" s="10"/>
      <c r="D21" s="10"/>
      <c r="E21" s="10"/>
      <c r="F21" s="10"/>
      <c r="G21" s="50">
        <f>'Upton Expenses'!F25</f>
        <v>0.38124999999999998</v>
      </c>
      <c r="H21" s="2"/>
    </row>
    <row r="22" spans="1:8">
      <c r="A22" s="10" t="s">
        <v>25</v>
      </c>
      <c r="B22" s="10"/>
      <c r="C22" s="10"/>
      <c r="D22" s="10"/>
      <c r="E22" s="10"/>
      <c r="F22" s="10"/>
      <c r="G22" s="50"/>
      <c r="H22" s="2"/>
    </row>
    <row r="23" spans="1:8">
      <c r="A23" s="10" t="s">
        <v>26</v>
      </c>
      <c r="B23" s="10"/>
      <c r="C23" s="10"/>
      <c r="D23" s="10"/>
      <c r="E23" s="10"/>
      <c r="F23" s="10"/>
      <c r="G23" s="50"/>
      <c r="H23" s="2"/>
    </row>
    <row r="24" spans="1:8">
      <c r="A24" s="10" t="s">
        <v>27</v>
      </c>
      <c r="B24" s="10"/>
      <c r="C24" s="10"/>
      <c r="D24" s="10"/>
      <c r="E24" s="10"/>
      <c r="F24" s="10"/>
      <c r="G24" s="50">
        <f>'Upton Expenses'!F32</f>
        <v>0.22500000000000001</v>
      </c>
      <c r="H24" s="2"/>
    </row>
    <row r="25" spans="1:8">
      <c r="A25" s="10" t="s">
        <v>28</v>
      </c>
      <c r="B25" s="10"/>
      <c r="C25" s="10"/>
      <c r="D25" s="10"/>
      <c r="E25" s="10"/>
      <c r="F25" s="10"/>
      <c r="G25" s="50">
        <f>'Upton Expenses'!F44</f>
        <v>0.56458333333333333</v>
      </c>
      <c r="H25" s="2"/>
    </row>
    <row r="26" spans="1:8">
      <c r="A26" s="10" t="s">
        <v>29</v>
      </c>
      <c r="B26" s="10"/>
      <c r="C26" s="10"/>
      <c r="D26" s="10"/>
      <c r="E26" s="10"/>
      <c r="F26" s="10"/>
      <c r="G26" s="50">
        <f>'Upton Expenses'!F53</f>
        <v>0.14270833333333333</v>
      </c>
      <c r="H26" s="2"/>
    </row>
    <row r="27" spans="1:8">
      <c r="A27" s="10" t="s">
        <v>30</v>
      </c>
      <c r="B27" s="10"/>
      <c r="C27" s="10"/>
      <c r="D27" s="10"/>
      <c r="E27" s="10"/>
      <c r="F27" s="10"/>
      <c r="G27" s="50">
        <f>'Upton Expenses'!F63</f>
        <v>0.40833333333333333</v>
      </c>
      <c r="H27" s="2"/>
    </row>
    <row r="28" spans="1:8">
      <c r="A28" s="10" t="s">
        <v>31</v>
      </c>
      <c r="B28" s="10"/>
      <c r="C28" s="10"/>
      <c r="D28" s="10"/>
      <c r="E28" s="10"/>
      <c r="F28" s="10"/>
      <c r="G28" s="50"/>
      <c r="H28" s="2"/>
    </row>
    <row r="29" spans="1:8">
      <c r="A29" s="47" t="s">
        <v>32</v>
      </c>
      <c r="B29" s="45"/>
      <c r="C29" s="45"/>
      <c r="D29" s="45"/>
      <c r="E29" s="45"/>
      <c r="F29" s="45"/>
      <c r="G29" s="51">
        <f>SUM(G19:G28)</f>
        <v>5.15625</v>
      </c>
      <c r="H29" s="2"/>
    </row>
    <row r="30" spans="1:8">
      <c r="A30" s="47" t="s">
        <v>33</v>
      </c>
      <c r="B30" s="45"/>
      <c r="C30" s="45"/>
      <c r="D30" s="45"/>
      <c r="E30" s="45"/>
      <c r="F30" s="45"/>
      <c r="G30" s="51">
        <f>'Upton Expenses'!F65</f>
        <v>5.1541666666666668</v>
      </c>
      <c r="H30" s="49">
        <f>G29-G30</f>
        <v>2.0833333333332149E-3</v>
      </c>
    </row>
    <row r="31" spans="1:8">
      <c r="A31" s="47" t="s">
        <v>34</v>
      </c>
      <c r="B31" s="45"/>
      <c r="C31" s="45"/>
      <c r="D31" s="45"/>
      <c r="E31" s="45"/>
      <c r="F31" s="45"/>
      <c r="G31" s="51">
        <f>'Upton Expenses'!F69</f>
        <v>1.4354166666666668</v>
      </c>
      <c r="H31" s="2"/>
    </row>
    <row r="32" spans="1:8">
      <c r="A32" s="10"/>
      <c r="B32" s="10"/>
      <c r="C32" s="10"/>
      <c r="D32" s="10"/>
      <c r="E32" s="10"/>
      <c r="F32" s="10"/>
      <c r="G32" s="50"/>
      <c r="H32" s="2"/>
    </row>
    <row r="33" spans="1:8">
      <c r="A33" s="10" t="s">
        <v>35</v>
      </c>
      <c r="B33" s="10"/>
      <c r="C33" s="10"/>
      <c r="D33" s="10"/>
      <c r="E33" s="10"/>
      <c r="F33" s="10"/>
      <c r="G33" s="50">
        <f>'Upton Expenses'!F67</f>
        <v>6.9125000000000005</v>
      </c>
      <c r="H33" s="2"/>
    </row>
    <row r="34" spans="1:8">
      <c r="A34" s="10" t="s">
        <v>36</v>
      </c>
      <c r="B34" s="10"/>
      <c r="C34" s="10"/>
      <c r="D34" s="10"/>
      <c r="E34" s="10"/>
      <c r="F34" s="10"/>
      <c r="G34" s="50"/>
      <c r="H34" s="49"/>
    </row>
    <row r="35" spans="1:8">
      <c r="A35" s="10"/>
      <c r="B35" s="10"/>
      <c r="C35" s="10"/>
      <c r="D35" s="10"/>
      <c r="E35" s="10"/>
      <c r="F35" s="10"/>
      <c r="G35" s="50"/>
      <c r="H35" s="2"/>
    </row>
    <row r="36" spans="1:8">
      <c r="A36" s="10" t="s">
        <v>37</v>
      </c>
      <c r="B36" s="10"/>
      <c r="C36" s="10"/>
      <c r="D36" s="10"/>
      <c r="E36" s="10"/>
      <c r="F36" s="10"/>
      <c r="G36" s="26">
        <f>'Upton Expenses'!F68</f>
        <v>0</v>
      </c>
      <c r="H36" s="2"/>
    </row>
    <row r="37" spans="1:8">
      <c r="A37" s="10" t="s">
        <v>38</v>
      </c>
      <c r="B37" s="10"/>
      <c r="C37" s="10"/>
      <c r="D37" s="10"/>
      <c r="E37" s="10"/>
      <c r="F37" s="10"/>
      <c r="H37" s="2"/>
    </row>
    <row r="38" spans="1:8">
      <c r="A38" s="47" t="s">
        <v>32</v>
      </c>
      <c r="B38" s="45">
        <f>SUM(B36:B37)</f>
        <v>0</v>
      </c>
      <c r="C38" s="45">
        <f t="shared" ref="C38:G38" si="0">SUM(C36:C37)</f>
        <v>0</v>
      </c>
      <c r="D38" s="45">
        <f t="shared" si="0"/>
        <v>0</v>
      </c>
      <c r="E38" s="45">
        <f t="shared" si="0"/>
        <v>0</v>
      </c>
      <c r="F38" s="45"/>
      <c r="G38" s="51">
        <f t="shared" si="0"/>
        <v>0</v>
      </c>
      <c r="H38" s="2"/>
    </row>
    <row r="39" spans="1:8">
      <c r="A39" s="47" t="s">
        <v>39</v>
      </c>
      <c r="B39" s="45" t="s">
        <v>20</v>
      </c>
      <c r="C39" s="45"/>
      <c r="D39" s="45"/>
      <c r="E39" s="45"/>
      <c r="F39" s="45"/>
      <c r="G39" s="65"/>
      <c r="H39" s="2"/>
    </row>
    <row r="40" spans="1:8">
      <c r="A40" s="10"/>
      <c r="B40" s="10"/>
      <c r="C40" s="10"/>
      <c r="D40" s="10"/>
      <c r="E40" s="10"/>
      <c r="F40" s="10"/>
      <c r="G40" s="50"/>
      <c r="H40" s="2"/>
    </row>
    <row r="41" spans="1:8">
      <c r="A41" s="10" t="s">
        <v>40</v>
      </c>
      <c r="B41" s="10"/>
      <c r="C41" s="10"/>
      <c r="D41" s="10"/>
      <c r="E41" s="10"/>
      <c r="F41" s="10"/>
      <c r="G41" s="26">
        <f>'Upton Expenses'!F67</f>
        <v>6.9125000000000005</v>
      </c>
      <c r="H41" s="2"/>
    </row>
    <row r="42" spans="1:8">
      <c r="A42" s="10" t="s">
        <v>41</v>
      </c>
      <c r="B42" s="10"/>
      <c r="C42" s="10"/>
      <c r="D42" s="10"/>
      <c r="E42" s="10"/>
      <c r="F42" s="10"/>
      <c r="H42" s="49">
        <f>G41-G42</f>
        <v>6.9125000000000005</v>
      </c>
    </row>
    <row r="43" spans="1:8">
      <c r="A43" s="10"/>
      <c r="B43" s="10"/>
      <c r="C43" s="10"/>
      <c r="D43" s="10"/>
      <c r="E43" s="10"/>
      <c r="F43" s="10"/>
      <c r="G43" s="50"/>
      <c r="H43" s="2"/>
    </row>
    <row r="44" spans="1:8">
      <c r="A44" s="44" t="s">
        <v>42</v>
      </c>
      <c r="B44" s="95" t="s">
        <v>43</v>
      </c>
      <c r="C44" s="95"/>
      <c r="D44" s="45"/>
      <c r="E44" s="45"/>
      <c r="F44" s="45"/>
      <c r="G44" s="51"/>
      <c r="H44" s="90"/>
    </row>
    <row r="45" spans="1:8">
      <c r="A45" s="9" t="s">
        <v>44</v>
      </c>
      <c r="B45" s="13" t="s">
        <v>45</v>
      </c>
      <c r="C45" s="15" t="s">
        <v>46</v>
      </c>
      <c r="D45" s="10"/>
      <c r="E45" s="10"/>
      <c r="F45" s="10"/>
      <c r="G45" s="89" t="s">
        <v>47</v>
      </c>
      <c r="H45" s="89" t="s">
        <v>48</v>
      </c>
    </row>
    <row r="46" spans="1:8">
      <c r="A46" t="s">
        <v>49</v>
      </c>
      <c r="B46" s="10">
        <f>'Issues of the Grange'!B5</f>
        <v>23</v>
      </c>
      <c r="C46" s="10">
        <f>'Issues of the Grange'!C5</f>
        <v>1</v>
      </c>
      <c r="D46" s="10"/>
      <c r="E46" s="10"/>
      <c r="F46" s="10"/>
      <c r="G46" s="50">
        <f>'Issues of the Grange'!P5</f>
        <v>5.6599953183520606</v>
      </c>
      <c r="H46" s="26">
        <f>'Issues of the Grange'!M18</f>
        <v>2.6311329588014982</v>
      </c>
    </row>
    <row r="47" spans="1:8">
      <c r="A47" t="s">
        <v>50</v>
      </c>
      <c r="B47" s="10">
        <f>'Issues of the Grange'!B6</f>
        <v>6</v>
      </c>
      <c r="C47" s="10">
        <f>'Issues of the Grange'!C6</f>
        <v>0</v>
      </c>
      <c r="D47" s="10"/>
      <c r="E47" s="10"/>
      <c r="F47" s="10"/>
      <c r="G47" s="50">
        <f>'Issues of the Grange'!P6</f>
        <v>0.6</v>
      </c>
      <c r="H47" s="26">
        <f>'Issues of the Grange'!M19</f>
        <v>0.6</v>
      </c>
    </row>
    <row r="48" spans="1:8">
      <c r="A48" t="s">
        <v>51</v>
      </c>
      <c r="B48" s="10">
        <f>'Issues of the Grange'!B7</f>
        <v>34.5</v>
      </c>
      <c r="C48" s="10">
        <f>'Issues of the Grange'!C7</f>
        <v>0</v>
      </c>
      <c r="D48" s="10"/>
      <c r="E48" s="10"/>
      <c r="F48" s="10"/>
      <c r="G48" s="50">
        <f>'Issues of the Grange'!P7</f>
        <v>5.1750000000000007</v>
      </c>
      <c r="H48" s="26">
        <f>'Issues of the Grange'!M20</f>
        <v>1.5750000000000002</v>
      </c>
    </row>
    <row r="49" spans="1:8">
      <c r="A49" t="s">
        <v>52</v>
      </c>
      <c r="B49" s="10">
        <f>'Issues of the Grange'!B8</f>
        <v>32</v>
      </c>
      <c r="C49" s="10">
        <f>'Issues of the Grange'!C8</f>
        <v>6</v>
      </c>
      <c r="D49" s="10"/>
      <c r="E49" s="10"/>
      <c r="F49" s="10"/>
      <c r="G49" s="50">
        <f>'Issues of the Grange'!P8</f>
        <v>3.8208333333333329</v>
      </c>
      <c r="H49" s="26">
        <f>'Issues of the Grange'!M21</f>
        <v>1.6624999999999999</v>
      </c>
    </row>
    <row r="50" spans="1:8">
      <c r="A50" t="s">
        <v>53</v>
      </c>
      <c r="B50" s="10">
        <f>'Issues of the Grange'!B9</f>
        <v>0</v>
      </c>
      <c r="C50" s="10">
        <f>'Issues of the Grange'!C9</f>
        <v>0</v>
      </c>
      <c r="D50" s="10"/>
      <c r="E50" s="10"/>
      <c r="F50" s="10"/>
      <c r="G50" s="50">
        <f>'Issues of the Grange'!P9</f>
        <v>0</v>
      </c>
      <c r="H50" s="26">
        <f>'Issues of the Grange'!M22</f>
        <v>0</v>
      </c>
    </row>
    <row r="51" spans="1:8">
      <c r="A51" t="s">
        <v>54</v>
      </c>
      <c r="B51" s="10">
        <f>'Issues of the Grange'!B10</f>
        <v>7</v>
      </c>
      <c r="C51" s="10">
        <f>'Issues of the Grange'!C10</f>
        <v>6</v>
      </c>
      <c r="D51" s="10"/>
      <c r="E51" s="10"/>
      <c r="F51" s="10"/>
      <c r="G51" s="50">
        <f>'Issues of the Grange'!P10</f>
        <v>0.75512820512820511</v>
      </c>
      <c r="H51" s="26">
        <f>'Issues of the Grange'!M23</f>
        <v>0.47499999999999998</v>
      </c>
    </row>
    <row r="52" spans="1:8">
      <c r="A52" s="47" t="s">
        <v>55</v>
      </c>
      <c r="B52" s="45">
        <f>SUM(B46:B51)</f>
        <v>102.5</v>
      </c>
      <c r="C52" s="45">
        <f>SUM(C46:C51)</f>
        <v>13</v>
      </c>
      <c r="D52" s="45"/>
      <c r="E52" s="45"/>
      <c r="F52" s="45"/>
      <c r="G52" s="51">
        <f>SUM(G46:G51)</f>
        <v>16.0109568568136</v>
      </c>
      <c r="H52" s="90"/>
    </row>
    <row r="53" spans="1:8">
      <c r="A53" s="47" t="s">
        <v>56</v>
      </c>
      <c r="B53" s="45"/>
      <c r="C53" s="45"/>
      <c r="D53" s="45"/>
      <c r="E53" s="45"/>
      <c r="F53" s="45"/>
      <c r="G53" s="51">
        <f>SUM(H46:H51)</f>
        <v>6.9436329588014978</v>
      </c>
      <c r="H53" s="90"/>
    </row>
    <row r="54" spans="1:8">
      <c r="A54" s="47" t="s">
        <v>57</v>
      </c>
      <c r="B54" s="51">
        <f>'Issues of the Grange'!N24</f>
        <v>7.0166666666666666</v>
      </c>
      <c r="C54" s="45"/>
      <c r="D54" s="45"/>
      <c r="E54" s="45"/>
      <c r="F54" s="45"/>
      <c r="G54" s="51">
        <f>'Issues of the Grange'!N24</f>
        <v>7.0166666666666666</v>
      </c>
      <c r="H54" s="90"/>
    </row>
    <row r="55" spans="1:8">
      <c r="A55" s="10"/>
      <c r="B55" s="10"/>
      <c r="C55" s="10"/>
      <c r="D55" s="10"/>
      <c r="E55" s="10"/>
      <c r="F55" s="10"/>
      <c r="G55" s="50"/>
      <c r="H55" s="2"/>
    </row>
    <row r="56" spans="1:8">
      <c r="A56" s="44" t="s">
        <v>58</v>
      </c>
      <c r="B56" s="45" t="s">
        <v>20</v>
      </c>
      <c r="C56" s="45"/>
      <c r="D56" s="45"/>
      <c r="E56" s="45"/>
      <c r="F56" s="45"/>
      <c r="G56" s="51"/>
      <c r="H56" s="2"/>
    </row>
    <row r="57" spans="1:8">
      <c r="A57" s="9" t="s">
        <v>59</v>
      </c>
      <c r="B57" s="13" t="s">
        <v>45</v>
      </c>
      <c r="C57" s="15" t="s">
        <v>46</v>
      </c>
      <c r="D57" s="10"/>
      <c r="E57" s="10"/>
      <c r="F57" s="10"/>
      <c r="G57" s="66" t="s">
        <v>1</v>
      </c>
      <c r="H57" s="2"/>
    </row>
    <row r="58" spans="1:8">
      <c r="A58" s="10" t="s">
        <v>49</v>
      </c>
      <c r="B58" s="10"/>
      <c r="C58" s="10"/>
      <c r="D58" s="10"/>
      <c r="E58" s="10"/>
      <c r="F58" s="10"/>
      <c r="G58" s="50"/>
      <c r="H58" s="2"/>
    </row>
    <row r="59" spans="1:8">
      <c r="A59" s="10" t="s">
        <v>60</v>
      </c>
      <c r="B59" s="10"/>
      <c r="C59" s="10"/>
      <c r="D59" s="10"/>
      <c r="E59" s="10"/>
      <c r="F59" s="10"/>
      <c r="G59" s="50"/>
      <c r="H59" s="2"/>
    </row>
    <row r="60" spans="1:8">
      <c r="A60" s="10" t="s">
        <v>61</v>
      </c>
      <c r="B60" s="10"/>
      <c r="C60" s="10"/>
      <c r="D60" s="10"/>
      <c r="E60" s="10"/>
      <c r="F60" s="10"/>
      <c r="G60" s="50"/>
      <c r="H60" s="2"/>
    </row>
    <row r="61" spans="1:8">
      <c r="A61" s="10" t="s">
        <v>62</v>
      </c>
      <c r="B61" s="10"/>
      <c r="C61" s="10"/>
      <c r="D61" s="10"/>
      <c r="E61" s="10"/>
      <c r="F61" s="10"/>
      <c r="G61" s="50"/>
      <c r="H61" s="2"/>
    </row>
    <row r="62" spans="1:8">
      <c r="A62" s="10" t="s">
        <v>63</v>
      </c>
      <c r="B62" s="10"/>
      <c r="C62" s="10"/>
      <c r="D62" s="10"/>
      <c r="E62" s="10"/>
      <c r="F62" s="10"/>
      <c r="G62" s="50"/>
      <c r="H62" s="2"/>
    </row>
    <row r="63" spans="1:8">
      <c r="A63" s="47" t="s">
        <v>64</v>
      </c>
      <c r="B63" s="45"/>
      <c r="C63" s="45"/>
      <c r="D63" s="45"/>
      <c r="E63" s="45"/>
      <c r="F63" s="45"/>
      <c r="G63" s="51"/>
      <c r="H63" s="2"/>
    </row>
    <row r="64" spans="1:8">
      <c r="A64" s="47" t="s">
        <v>57</v>
      </c>
      <c r="B64" s="45"/>
      <c r="C64" s="45"/>
      <c r="D64" s="45"/>
      <c r="E64" s="45"/>
      <c r="F64" s="45"/>
      <c r="G64" s="51" t="s">
        <v>20</v>
      </c>
      <c r="H64" s="2"/>
    </row>
    <row r="65" spans="1:8">
      <c r="A65" s="10"/>
      <c r="B65" s="10"/>
      <c r="C65" s="10"/>
      <c r="D65" s="10"/>
      <c r="E65" s="10"/>
      <c r="F65" s="10"/>
      <c r="G65" s="50"/>
      <c r="H65" s="2"/>
    </row>
    <row r="66" spans="1:8">
      <c r="A66" s="44" t="s">
        <v>65</v>
      </c>
      <c r="B66" s="45"/>
      <c r="C66" s="45"/>
      <c r="D66" s="45"/>
      <c r="E66" s="45"/>
      <c r="F66" s="45"/>
      <c r="G66" s="51"/>
      <c r="H66" s="2"/>
    </row>
    <row r="67" spans="1:8" ht="33.950000000000003">
      <c r="A67" s="9" t="s">
        <v>66</v>
      </c>
      <c r="B67" s="55" t="s">
        <v>67</v>
      </c>
      <c r="C67" s="55" t="s">
        <v>68</v>
      </c>
      <c r="D67" s="15" t="s">
        <v>69</v>
      </c>
      <c r="E67" s="10"/>
      <c r="F67" s="62" t="s">
        <v>70</v>
      </c>
      <c r="G67" s="62" t="s">
        <v>71</v>
      </c>
      <c r="H67" s="2"/>
    </row>
    <row r="68" spans="1:8" ht="17.100000000000001">
      <c r="A68" s="52" t="s">
        <v>72</v>
      </c>
      <c r="B68" s="10">
        <f>IFERROR(INDEX(Stock!$A$3:$S$91,MATCH('Upton Overview'!$A68,Stock!$A$3:$A$91,0),MATCH('Upton Overview'!B$67,Stock!$A$3:$S$3,0)),0)</f>
        <v>0</v>
      </c>
      <c r="C68" s="10">
        <f>IFERROR(INDEX(Stock!$A$3:$S$91,MATCH('Upton Overview'!$A68,Stock!$A$3:$A$91,0),MATCH('Upton Overview'!C$67,Stock!$A$3:$S$3,0)),0)</f>
        <v>0</v>
      </c>
      <c r="D68" s="10">
        <f>C68-B68</f>
        <v>0</v>
      </c>
      <c r="E68" s="50"/>
      <c r="F68" s="10" t="str">
        <f>IFERROR(INDEX(Stock!$A$3:$S$91,MATCH('Upton Overview'!$A68,Stock!$A$3:$A$91,0),MATCH('Upton Overview'!F$67,Stock!$A$3:$S$3,0)),0)</f>
        <v/>
      </c>
      <c r="G68" s="10" t="str">
        <f>IFERROR(INDEX(Stock!$A$3:$S$91,MATCH('Upton Overview'!$A68,Stock!$A$3:$A$91,0),MATCH('Upton Overview'!G$67,Stock!$A$3:$S$3,0)),0)</f>
        <v/>
      </c>
      <c r="H68" s="2"/>
    </row>
    <row r="69" spans="1:8" ht="17.100000000000001">
      <c r="A69" s="52" t="s">
        <v>73</v>
      </c>
      <c r="B69" s="10">
        <f>IFERROR(INDEX(Stock!$A$3:$S$91,MATCH('Upton Overview'!$A69,Stock!$A$3:$A$91,0),MATCH('Upton Overview'!B$67,Stock!$A$3:$S$3,0)),0)</f>
        <v>16</v>
      </c>
      <c r="C69" s="10">
        <f>IFERROR(INDEX(Stock!$A$3:$S$91,MATCH('Upton Overview'!$A69,Stock!$A$3:$A$91,0),MATCH('Upton Overview'!C$67,Stock!$A$3:$S$3,0)),0)</f>
        <v>13</v>
      </c>
      <c r="D69" s="10">
        <f t="shared" ref="D69:D93" si="1">C69-B69</f>
        <v>-3</v>
      </c>
      <c r="E69" s="50"/>
      <c r="F69" s="10">
        <f>IFERROR(INDEX(Stock!$A$3:$S$91,MATCH('Upton Overview'!$A69,Stock!$A$3:$A$91,0),MATCH('Upton Overview'!F$67,Stock!$A$3:$S$3,0)),0)</f>
        <v>0.74166666666666659</v>
      </c>
      <c r="G69" s="10">
        <f>IFERROR(INDEX(Stock!$A$3:$S$91,MATCH('Upton Overview'!$A69,Stock!$A$3:$A$91,0),MATCH('Upton Overview'!G$67,Stock!$A$3:$S$3,0)),0)</f>
        <v>1.7305555555555554</v>
      </c>
      <c r="H69" s="2"/>
    </row>
    <row r="70" spans="1:8">
      <c r="A70" s="10" t="s">
        <v>74</v>
      </c>
      <c r="B70" s="10">
        <f>IFERROR(INDEX(Stock!$A$3:$S$91,MATCH('Upton Overview'!$A70,Stock!$A$3:$A$91,0),MATCH('Upton Overview'!B$67,Stock!$A$3:$S$3,0)),0)</f>
        <v>2</v>
      </c>
      <c r="C70" s="10">
        <f>IFERROR(INDEX(Stock!$A$3:$S$91,MATCH('Upton Overview'!$A70,Stock!$A$3:$A$91,0),MATCH('Upton Overview'!C$67,Stock!$A$3:$S$3,0)),0)</f>
        <v>2</v>
      </c>
      <c r="D70" s="10">
        <f t="shared" si="1"/>
        <v>0</v>
      </c>
      <c r="E70" s="50"/>
      <c r="F70" s="10" t="str">
        <f>IFERROR(INDEX(Stock!$A$3:$S$91,MATCH('Upton Overview'!$A70,Stock!$A$3:$A$91,0),MATCH('Upton Overview'!F$67,Stock!$A$3:$S$3,0)),0)</f>
        <v/>
      </c>
      <c r="G70" s="10" t="str">
        <f>IFERROR(INDEX(Stock!$A$3:$S$91,MATCH('Upton Overview'!$A70,Stock!$A$3:$A$91,0),MATCH('Upton Overview'!G$67,Stock!$A$3:$S$3,0)),0)</f>
        <v/>
      </c>
      <c r="H70" s="2"/>
    </row>
    <row r="71" spans="1:8">
      <c r="A71" s="10" t="s">
        <v>75</v>
      </c>
      <c r="B71" s="10">
        <f>IFERROR(INDEX(Stock!$A$3:$S$91,MATCH('Upton Overview'!$A71,Stock!$A$3:$A$91,0),MATCH('Upton Overview'!B$67,Stock!$A$3:$S$3,0)),0)</f>
        <v>0</v>
      </c>
      <c r="C71" s="10">
        <f>IFERROR(INDEX(Stock!$A$3:$S$91,MATCH('Upton Overview'!$A71,Stock!$A$3:$A$91,0),MATCH('Upton Overview'!C$67,Stock!$A$3:$S$3,0)),0)</f>
        <v>0</v>
      </c>
      <c r="D71" s="10">
        <f t="shared" si="1"/>
        <v>0</v>
      </c>
      <c r="E71" s="50"/>
      <c r="F71" s="10" t="str">
        <f>IFERROR(INDEX(Stock!$A$3:$S$91,MATCH('Upton Overview'!$A71,Stock!$A$3:$A$91,0),MATCH('Upton Overview'!F$67,Stock!$A$3:$S$3,0)),0)</f>
        <v/>
      </c>
      <c r="G71" s="10" t="str">
        <f>IFERROR(INDEX(Stock!$A$3:$S$91,MATCH('Upton Overview'!$A71,Stock!$A$3:$A$91,0),MATCH('Upton Overview'!G$67,Stock!$A$3:$S$3,0)),0)</f>
        <v/>
      </c>
      <c r="H71" s="2"/>
    </row>
    <row r="72" spans="1:8">
      <c r="A72" s="10" t="s">
        <v>75</v>
      </c>
      <c r="B72" s="10">
        <f>IFERROR(INDEX(Stock!$A$3:$S$91,MATCH('Upton Overview'!$A72,Stock!$A$3:$A$91,0),MATCH('Upton Overview'!B$67,Stock!$A$3:$S$3,0)),0)</f>
        <v>0</v>
      </c>
      <c r="C72" s="10">
        <f>IFERROR(INDEX(Stock!$A$3:$S$91,MATCH('Upton Overview'!$A72,Stock!$A$3:$A$91,0),MATCH('Upton Overview'!C$67,Stock!$A$3:$S$3,0)),0)</f>
        <v>0</v>
      </c>
      <c r="D72" s="10">
        <f t="shared" si="1"/>
        <v>0</v>
      </c>
      <c r="E72" s="50"/>
      <c r="F72" s="10" t="str">
        <f>IFERROR(INDEX(Stock!$A$3:$S$91,MATCH('Upton Overview'!$A72,Stock!$A$3:$A$91,0),MATCH('Upton Overview'!F$67,Stock!$A$3:$S$3,0)),0)</f>
        <v/>
      </c>
      <c r="G72" s="10" t="str">
        <f>IFERROR(INDEX(Stock!$A$3:$S$91,MATCH('Upton Overview'!$A72,Stock!$A$3:$A$91,0),MATCH('Upton Overview'!G$67,Stock!$A$3:$S$3,0)),0)</f>
        <v/>
      </c>
      <c r="H72" s="2"/>
    </row>
    <row r="73" spans="1:8">
      <c r="A73" s="10" t="s">
        <v>76</v>
      </c>
      <c r="B73" s="10">
        <f>IFERROR(INDEX(Stock!$A$3:$S$91,MATCH('Upton Overview'!$A73,Stock!$A$3:$A$91,0),MATCH('Upton Overview'!B$67,Stock!$A$3:$S$3,0)),0)</f>
        <v>0</v>
      </c>
      <c r="C73" s="10">
        <f>IFERROR(INDEX(Stock!$A$3:$S$91,MATCH('Upton Overview'!$A73,Stock!$A$3:$A$91,0),MATCH('Upton Overview'!C$67,Stock!$A$3:$S$3,0)),0)</f>
        <v>0</v>
      </c>
      <c r="D73" s="10">
        <f t="shared" si="1"/>
        <v>0</v>
      </c>
      <c r="E73" s="50"/>
      <c r="F73" s="10" t="str">
        <f>IFERROR(INDEX(Stock!$A$3:$S$91,MATCH('Upton Overview'!$A73,Stock!$A$3:$A$91,0),MATCH('Upton Overview'!F$67,Stock!$A$3:$S$3,0)),0)</f>
        <v/>
      </c>
      <c r="G73" s="10" t="str">
        <f>IFERROR(INDEX(Stock!$A$3:$S$91,MATCH('Upton Overview'!$A73,Stock!$A$3:$A$91,0),MATCH('Upton Overview'!G$67,Stock!$A$3:$S$3,0)),0)</f>
        <v/>
      </c>
      <c r="H73" s="2"/>
    </row>
    <row r="74" spans="1:8">
      <c r="A74" s="10" t="s">
        <v>77</v>
      </c>
      <c r="B74" s="10">
        <f>IFERROR(INDEX(Stock!$A$3:$S$91,MATCH('Upton Overview'!$A74,Stock!$A$3:$A$91,0),MATCH('Upton Overview'!B$67,Stock!$A$3:$S$3,0)),0)</f>
        <v>0</v>
      </c>
      <c r="C74" s="10">
        <f>IFERROR(INDEX(Stock!$A$3:$S$91,MATCH('Upton Overview'!$A74,Stock!$A$3:$A$91,0),MATCH('Upton Overview'!C$67,Stock!$A$3:$S$3,0)),0)</f>
        <v>0</v>
      </c>
      <c r="D74" s="10">
        <f t="shared" si="1"/>
        <v>0</v>
      </c>
      <c r="E74" s="50"/>
      <c r="F74" s="10" t="str">
        <f>IFERROR(INDEX(Stock!$A$3:$S$91,MATCH('Upton Overview'!$A74,Stock!$A$3:$A$91,0),MATCH('Upton Overview'!F$67,Stock!$A$3:$S$3,0)),0)</f>
        <v/>
      </c>
      <c r="G74" s="10" t="str">
        <f>IFERROR(INDEX(Stock!$A$3:$S$91,MATCH('Upton Overview'!$A74,Stock!$A$3:$A$91,0),MATCH('Upton Overview'!G$67,Stock!$A$3:$S$3,0)),0)</f>
        <v/>
      </c>
      <c r="H74" s="2"/>
    </row>
    <row r="75" spans="1:8">
      <c r="A75" s="10" t="s">
        <v>78</v>
      </c>
      <c r="B75" s="10">
        <f>IFERROR(INDEX(Stock!$A$3:$S$91,MATCH('Upton Overview'!$A75,Stock!$A$3:$A$91,0),MATCH('Upton Overview'!B$67,Stock!$A$3:$S$3,0)),0)</f>
        <v>0</v>
      </c>
      <c r="C75" s="10">
        <f>IFERROR(INDEX(Stock!$A$3:$S$91,MATCH('Upton Overview'!$A75,Stock!$A$3:$A$91,0),MATCH('Upton Overview'!C$67,Stock!$A$3:$S$3,0)),0)</f>
        <v>0</v>
      </c>
      <c r="D75" s="10">
        <f t="shared" si="1"/>
        <v>0</v>
      </c>
      <c r="E75" s="50"/>
      <c r="F75" s="10" t="str">
        <f>IFERROR(INDEX(Stock!$A$3:$S$91,MATCH('Upton Overview'!$A75,Stock!$A$3:$A$91,0),MATCH('Upton Overview'!F$67,Stock!$A$3:$S$3,0)),0)</f>
        <v/>
      </c>
      <c r="G75" s="10" t="str">
        <f>IFERROR(INDEX(Stock!$A$3:$S$91,MATCH('Upton Overview'!$A75,Stock!$A$3:$A$91,0),MATCH('Upton Overview'!G$67,Stock!$A$3:$S$3,0)),0)</f>
        <v/>
      </c>
      <c r="H75" s="2"/>
    </row>
    <row r="76" spans="1:8">
      <c r="A76" s="10" t="s">
        <v>79</v>
      </c>
      <c r="B76" s="10">
        <f>IFERROR(INDEX(Stock!$A$3:$S$91,MATCH('Upton Overview'!$A76,Stock!$A$3:$A$91,0),MATCH('Upton Overview'!B$67,Stock!$A$3:$S$3,0)),0)</f>
        <v>0</v>
      </c>
      <c r="C76" s="10">
        <f>IFERROR(INDEX(Stock!$A$3:$S$91,MATCH('Upton Overview'!$A76,Stock!$A$3:$A$91,0),MATCH('Upton Overview'!C$67,Stock!$A$3:$S$3,0)),0)</f>
        <v>0</v>
      </c>
      <c r="D76" s="10">
        <f t="shared" si="1"/>
        <v>0</v>
      </c>
      <c r="E76" s="50"/>
      <c r="F76" s="10" t="str">
        <f>IFERROR(INDEX(Stock!$A$3:$S$91,MATCH('Upton Overview'!$A76,Stock!$A$3:$A$91,0),MATCH('Upton Overview'!F$67,Stock!$A$3:$S$3,0)),0)</f>
        <v/>
      </c>
      <c r="G76" s="10" t="str">
        <f>IFERROR(INDEX(Stock!$A$3:$S$91,MATCH('Upton Overview'!$A76,Stock!$A$3:$A$91,0),MATCH('Upton Overview'!G$67,Stock!$A$3:$S$3,0)),0)</f>
        <v/>
      </c>
      <c r="H76" s="2"/>
    </row>
    <row r="77" spans="1:8">
      <c r="A77" s="10" t="s">
        <v>80</v>
      </c>
      <c r="B77" s="10">
        <f>IFERROR(INDEX(Stock!$A$3:$S$91,MATCH('Upton Overview'!$A77,Stock!$A$3:$A$91,0),MATCH('Upton Overview'!B$67,Stock!$A$3:$S$3,0)),0)</f>
        <v>0</v>
      </c>
      <c r="C77" s="10">
        <f>IFERROR(INDEX(Stock!$A$3:$S$91,MATCH('Upton Overview'!$A77,Stock!$A$3:$A$91,0),MATCH('Upton Overview'!C$67,Stock!$A$3:$S$3,0)),0)</f>
        <v>0</v>
      </c>
      <c r="D77" s="10">
        <f t="shared" si="1"/>
        <v>0</v>
      </c>
      <c r="E77" s="50"/>
      <c r="F77" s="10" t="str">
        <f>IFERROR(INDEX(Stock!$A$3:$S$91,MATCH('Upton Overview'!$A77,Stock!$A$3:$A$91,0),MATCH('Upton Overview'!F$67,Stock!$A$3:$S$3,0)),0)</f>
        <v/>
      </c>
      <c r="G77" s="10" t="str">
        <f>IFERROR(INDEX(Stock!$A$3:$S$91,MATCH('Upton Overview'!$A77,Stock!$A$3:$A$91,0),MATCH('Upton Overview'!G$67,Stock!$A$3:$S$3,0)),0)</f>
        <v/>
      </c>
      <c r="H77" s="2"/>
    </row>
    <row r="78" spans="1:8">
      <c r="A78" s="10" t="s">
        <v>81</v>
      </c>
      <c r="B78" s="10">
        <f>IFERROR(INDEX(Stock!$A$3:$S$91,MATCH('Upton Overview'!$A78,Stock!$A$3:$A$91,0),MATCH('Upton Overview'!B$67,Stock!$A$3:$S$3,0)),0)</f>
        <v>0</v>
      </c>
      <c r="C78" s="10">
        <f>IFERROR(INDEX(Stock!$A$3:$S$91,MATCH('Upton Overview'!$A78,Stock!$A$3:$A$91,0),MATCH('Upton Overview'!C$67,Stock!$A$3:$S$3,0)),0)</f>
        <v>0</v>
      </c>
      <c r="D78" s="10">
        <f t="shared" si="1"/>
        <v>0</v>
      </c>
      <c r="E78" s="50"/>
      <c r="F78" s="10" t="str">
        <f>IFERROR(INDEX(Stock!$A$3:$S$91,MATCH('Upton Overview'!$A78,Stock!$A$3:$A$91,0),MATCH('Upton Overview'!F$67,Stock!$A$3:$S$3,0)),0)</f>
        <v/>
      </c>
      <c r="G78" s="10" t="str">
        <f>IFERROR(INDEX(Stock!$A$3:$S$91,MATCH('Upton Overview'!$A78,Stock!$A$3:$A$91,0),MATCH('Upton Overview'!G$67,Stock!$A$3:$S$3,0)),0)</f>
        <v/>
      </c>
      <c r="H78" s="2"/>
    </row>
    <row r="79" spans="1:8">
      <c r="A79" s="10" t="s">
        <v>82</v>
      </c>
      <c r="B79" s="10">
        <f>IFERROR(INDEX(Stock!$A$3:$S$91,MATCH('Upton Overview'!$A79,Stock!$A$3:$A$91,0),MATCH('Upton Overview'!B$67,Stock!$A$3:$S$3,0)),0)</f>
        <v>0</v>
      </c>
      <c r="C79" s="10">
        <f>IFERROR(INDEX(Stock!$A$3:$S$91,MATCH('Upton Overview'!$A79,Stock!$A$3:$A$91,0),MATCH('Upton Overview'!C$67,Stock!$A$3:$S$3,0)),0)</f>
        <v>0</v>
      </c>
      <c r="D79" s="10">
        <f t="shared" si="1"/>
        <v>0</v>
      </c>
      <c r="E79" s="50"/>
      <c r="F79" s="10" t="str">
        <f>IFERROR(INDEX(Stock!$A$3:$S$91,MATCH('Upton Overview'!$A79,Stock!$A$3:$A$91,0),MATCH('Upton Overview'!F$67,Stock!$A$3:$S$3,0)),0)</f>
        <v/>
      </c>
      <c r="G79" s="10" t="str">
        <f>IFERROR(INDEX(Stock!$A$3:$S$91,MATCH('Upton Overview'!$A79,Stock!$A$3:$A$91,0),MATCH('Upton Overview'!G$67,Stock!$A$3:$S$3,0)),0)</f>
        <v/>
      </c>
      <c r="H79" s="2"/>
    </row>
    <row r="80" spans="1:8">
      <c r="A80" s="10" t="s">
        <v>83</v>
      </c>
      <c r="B80" s="10">
        <f>IFERROR(INDEX(Stock!$A$3:$S$91,MATCH('Upton Overview'!$A80,Stock!$A$3:$A$91,0),MATCH('Upton Overview'!B$67,Stock!$A$3:$S$3,0)),0)</f>
        <v>0</v>
      </c>
      <c r="C80" s="10">
        <f>IFERROR(INDEX(Stock!$A$3:$S$91,MATCH('Upton Overview'!$A80,Stock!$A$3:$A$91,0),MATCH('Upton Overview'!C$67,Stock!$A$3:$S$3,0)),0)</f>
        <v>0</v>
      </c>
      <c r="D80" s="10">
        <f t="shared" si="1"/>
        <v>0</v>
      </c>
      <c r="E80" s="50"/>
      <c r="F80" s="10" t="str">
        <f>IFERROR(INDEX(Stock!$A$3:$S$91,MATCH('Upton Overview'!$A80,Stock!$A$3:$A$91,0),MATCH('Upton Overview'!F$67,Stock!$A$3:$S$3,0)),0)</f>
        <v/>
      </c>
      <c r="G80" s="10" t="str">
        <f>IFERROR(INDEX(Stock!$A$3:$S$91,MATCH('Upton Overview'!$A80,Stock!$A$3:$A$91,0),MATCH('Upton Overview'!G$67,Stock!$A$3:$S$3,0)),0)</f>
        <v/>
      </c>
      <c r="H80" s="2"/>
    </row>
    <row r="81" spans="1:8">
      <c r="A81" s="10" t="s">
        <v>84</v>
      </c>
      <c r="B81" s="10">
        <f>IFERROR(INDEX(Stock!$A$3:$S$91,MATCH('Upton Overview'!$A81,Stock!$A$3:$A$91,0),MATCH('Upton Overview'!B$67,Stock!$A$3:$S$3,0)),0)</f>
        <v>0</v>
      </c>
      <c r="C81" s="10">
        <f>IFERROR(INDEX(Stock!$A$3:$S$91,MATCH('Upton Overview'!$A81,Stock!$A$3:$A$91,0),MATCH('Upton Overview'!C$67,Stock!$A$3:$S$3,0)),0)</f>
        <v>0</v>
      </c>
      <c r="D81" s="10">
        <f t="shared" si="1"/>
        <v>0</v>
      </c>
      <c r="E81" s="50"/>
      <c r="F81" s="10" t="str">
        <f>IFERROR(INDEX(Stock!$A$3:$S$91,MATCH('Upton Overview'!$A81,Stock!$A$3:$A$91,0),MATCH('Upton Overview'!F$67,Stock!$A$3:$S$3,0)),0)</f>
        <v/>
      </c>
      <c r="G81" s="10" t="str">
        <f>IFERROR(INDEX(Stock!$A$3:$S$91,MATCH('Upton Overview'!$A81,Stock!$A$3:$A$91,0),MATCH('Upton Overview'!G$67,Stock!$A$3:$S$3,0)),0)</f>
        <v/>
      </c>
      <c r="H81" s="2"/>
    </row>
    <row r="82" spans="1:8">
      <c r="A82" s="10" t="s">
        <v>85</v>
      </c>
      <c r="B82" s="10">
        <f>IFERROR(INDEX(Stock!$A$3:$S$91,MATCH('Upton Overview'!$A82,Stock!$A$3:$A$91,0),MATCH('Upton Overview'!B$67,Stock!$A$3:$S$3,0)),0)</f>
        <v>313</v>
      </c>
      <c r="C82" s="10">
        <f>IFERROR(INDEX(Stock!$A$3:$S$91,MATCH('Upton Overview'!$A82,Stock!$A$3:$A$91,0),MATCH('Upton Overview'!C$67,Stock!$A$3:$S$3,0)),0)</f>
        <v>261</v>
      </c>
      <c r="D82" s="10">
        <f t="shared" si="1"/>
        <v>-52</v>
      </c>
      <c r="E82" s="50"/>
      <c r="F82" s="10">
        <f>IFERROR(INDEX(Stock!$A$3:$S$91,MATCH('Upton Overview'!$A82,Stock!$A$3:$A$91,0),MATCH('Upton Overview'!F$67,Stock!$A$3:$S$3,0)),0)</f>
        <v>1.7437499999999999</v>
      </c>
      <c r="G82" s="10">
        <f>IFERROR(INDEX(Stock!$A$3:$S$91,MATCH('Upton Overview'!$A82,Stock!$A$3:$A$91,0),MATCH('Upton Overview'!G$67,Stock!$A$3:$S$3,0)),0)</f>
        <v>0</v>
      </c>
      <c r="H82" s="2"/>
    </row>
    <row r="83" spans="1:8">
      <c r="A83" s="10" t="s">
        <v>86</v>
      </c>
      <c r="B83" s="10">
        <f>IFERROR(INDEX(Stock!$A$3:$S$91,MATCH('Upton Overview'!$A83,Stock!$A$3:$A$91,0),MATCH('Upton Overview'!B$67,Stock!$A$3:$S$3,0)),0)</f>
        <v>0</v>
      </c>
      <c r="C83" s="10">
        <f>IFERROR(INDEX(Stock!$A$3:$S$91,MATCH('Upton Overview'!$A83,Stock!$A$3:$A$91,0),MATCH('Upton Overview'!C$67,Stock!$A$3:$S$3,0)),0)</f>
        <v>0</v>
      </c>
      <c r="D83" s="10">
        <f t="shared" si="1"/>
        <v>0</v>
      </c>
      <c r="E83" s="50"/>
      <c r="F83" s="10" t="str">
        <f>IFERROR(INDEX(Stock!$A$3:$S$91,MATCH('Upton Overview'!$A83,Stock!$A$3:$A$91,0),MATCH('Upton Overview'!F$67,Stock!$A$3:$S$3,0)),0)</f>
        <v/>
      </c>
      <c r="G83" s="10" t="str">
        <f>IFERROR(INDEX(Stock!$A$3:$S$91,MATCH('Upton Overview'!$A83,Stock!$A$3:$A$91,0),MATCH('Upton Overview'!G$67,Stock!$A$3:$S$3,0)),0)</f>
        <v/>
      </c>
      <c r="H83" s="2"/>
    </row>
    <row r="84" spans="1:8">
      <c r="A84" s="10" t="s">
        <v>87</v>
      </c>
      <c r="B84" s="10">
        <f>IFERROR(INDEX(Stock!$A$3:$S$91,MATCH('Upton Overview'!$A84,Stock!$A$3:$A$91,0),MATCH('Upton Overview'!B$67,Stock!$A$3:$S$3,0)),0)</f>
        <v>0</v>
      </c>
      <c r="C84" s="10">
        <f>IFERROR(INDEX(Stock!$A$3:$S$91,MATCH('Upton Overview'!$A84,Stock!$A$3:$A$91,0),MATCH('Upton Overview'!C$67,Stock!$A$3:$S$3,0)),0)</f>
        <v>0</v>
      </c>
      <c r="D84" s="10">
        <f t="shared" si="1"/>
        <v>0</v>
      </c>
      <c r="E84" s="50"/>
      <c r="F84" s="10" t="str">
        <f>IFERROR(INDEX(Stock!$A$3:$S$91,MATCH('Upton Overview'!$A84,Stock!$A$3:$A$91,0),MATCH('Upton Overview'!F$67,Stock!$A$3:$S$3,0)),0)</f>
        <v/>
      </c>
      <c r="G84" s="10" t="str">
        <f>IFERROR(INDEX(Stock!$A$3:$S$91,MATCH('Upton Overview'!$A84,Stock!$A$3:$A$91,0),MATCH('Upton Overview'!G$67,Stock!$A$3:$S$3,0)),0)</f>
        <v/>
      </c>
      <c r="H84" s="2"/>
    </row>
    <row r="85" spans="1:8">
      <c r="A85" s="10" t="s">
        <v>88</v>
      </c>
      <c r="B85" s="10">
        <f>IFERROR(INDEX(Stock!$A$3:$S$91,MATCH('Upton Overview'!$A85,Stock!$A$3:$A$91,0),MATCH('Upton Overview'!B$67,Stock!$A$3:$S$3,0)),0)</f>
        <v>0</v>
      </c>
      <c r="C85" s="10">
        <f>IFERROR(INDEX(Stock!$A$3:$S$91,MATCH('Upton Overview'!$A85,Stock!$A$3:$A$91,0),MATCH('Upton Overview'!C$67,Stock!$A$3:$S$3,0)),0)</f>
        <v>0</v>
      </c>
      <c r="D85" s="10">
        <f t="shared" si="1"/>
        <v>0</v>
      </c>
      <c r="E85" s="50"/>
      <c r="F85" s="10" t="str">
        <f>IFERROR(INDEX(Stock!$A$3:$S$91,MATCH('Upton Overview'!$A85,Stock!$A$3:$A$91,0),MATCH('Upton Overview'!F$67,Stock!$A$3:$S$3,0)),0)</f>
        <v/>
      </c>
      <c r="G85" s="10" t="str">
        <f>IFERROR(INDEX(Stock!$A$3:$S$91,MATCH('Upton Overview'!$A85,Stock!$A$3:$A$91,0),MATCH('Upton Overview'!G$67,Stock!$A$3:$S$3,0)),0)</f>
        <v/>
      </c>
      <c r="H85" s="2"/>
    </row>
    <row r="86" spans="1:8">
      <c r="A86" s="10" t="s">
        <v>89</v>
      </c>
      <c r="B86" s="10">
        <f>IFERROR(INDEX(Stock!$A$3:$S$91,MATCH('Upton Overview'!$A86,Stock!$A$3:$A$91,0),MATCH('Upton Overview'!B$67,Stock!$A$3:$S$3,0)),0)</f>
        <v>0</v>
      </c>
      <c r="C86" s="10">
        <f>IFERROR(INDEX(Stock!$A$3:$S$91,MATCH('Upton Overview'!$A86,Stock!$A$3:$A$91,0),MATCH('Upton Overview'!C$67,Stock!$A$3:$S$3,0)),0)</f>
        <v>0</v>
      </c>
      <c r="D86" s="10">
        <f t="shared" si="1"/>
        <v>0</v>
      </c>
      <c r="E86" s="50"/>
      <c r="F86" s="10" t="str">
        <f>IFERROR(INDEX(Stock!$A$3:$S$91,MATCH('Upton Overview'!$A86,Stock!$A$3:$A$91,0),MATCH('Upton Overview'!F$67,Stock!$A$3:$S$3,0)),0)</f>
        <v/>
      </c>
      <c r="G86" s="10" t="str">
        <f>IFERROR(INDEX(Stock!$A$3:$S$91,MATCH('Upton Overview'!$A86,Stock!$A$3:$A$91,0),MATCH('Upton Overview'!G$67,Stock!$A$3:$S$3,0)),0)</f>
        <v/>
      </c>
      <c r="H86" s="2"/>
    </row>
    <row r="87" spans="1:8">
      <c r="A87" s="10" t="s">
        <v>90</v>
      </c>
      <c r="B87" s="10">
        <f>IFERROR(INDEX(Stock!$A$3:$S$91,MATCH('Upton Overview'!$A87,Stock!$A$3:$A$91,0),MATCH('Upton Overview'!B$67,Stock!$A$3:$S$3,0)),0)</f>
        <v>0</v>
      </c>
      <c r="C87" s="10">
        <f>IFERROR(INDEX(Stock!$A$3:$S$91,MATCH('Upton Overview'!$A87,Stock!$A$3:$A$91,0),MATCH('Upton Overview'!C$67,Stock!$A$3:$S$3,0)),0)</f>
        <v>0</v>
      </c>
      <c r="D87" s="10">
        <f t="shared" si="1"/>
        <v>0</v>
      </c>
      <c r="E87" s="50"/>
      <c r="F87" s="10" t="str">
        <f>IFERROR(INDEX(Stock!$A$3:$S$91,MATCH('Upton Overview'!$A87,Stock!$A$3:$A$91,0),MATCH('Upton Overview'!F$67,Stock!$A$3:$S$3,0)),0)</f>
        <v/>
      </c>
      <c r="G87" s="10" t="str">
        <f>IFERROR(INDEX(Stock!$A$3:$S$91,MATCH('Upton Overview'!$A87,Stock!$A$3:$A$91,0),MATCH('Upton Overview'!G$67,Stock!$A$3:$S$3,0)),0)</f>
        <v/>
      </c>
      <c r="H87" s="2"/>
    </row>
    <row r="88" spans="1:8">
      <c r="A88" s="10" t="s">
        <v>91</v>
      </c>
      <c r="B88" s="10">
        <f>IFERROR(INDEX(Stock!$A$3:$S$91,MATCH('Upton Overview'!$A88,Stock!$A$3:$A$91,0),MATCH('Upton Overview'!B$67,Stock!$A$3:$S$3,0)),0)</f>
        <v>0</v>
      </c>
      <c r="C88" s="10">
        <f>IFERROR(INDEX(Stock!$A$3:$S$91,MATCH('Upton Overview'!$A88,Stock!$A$3:$A$91,0),MATCH('Upton Overview'!C$67,Stock!$A$3:$S$3,0)),0)</f>
        <v>0</v>
      </c>
      <c r="D88" s="10">
        <f t="shared" si="1"/>
        <v>0</v>
      </c>
      <c r="E88" s="50"/>
      <c r="F88" s="10" t="str">
        <f>IFERROR(INDEX(Stock!$A$3:$S$91,MATCH('Upton Overview'!$A88,Stock!$A$3:$A$91,0),MATCH('Upton Overview'!F$67,Stock!$A$3:$S$3,0)),0)</f>
        <v/>
      </c>
      <c r="G88" s="10" t="str">
        <f>IFERROR(INDEX(Stock!$A$3:$S$91,MATCH('Upton Overview'!$A88,Stock!$A$3:$A$91,0),MATCH('Upton Overview'!G$67,Stock!$A$3:$S$3,0)),0)</f>
        <v/>
      </c>
      <c r="H88" s="2"/>
    </row>
    <row r="89" spans="1:8">
      <c r="A89" s="10" t="s">
        <v>92</v>
      </c>
      <c r="B89" s="10">
        <f>IFERROR(INDEX(Stock!$A$3:$S$91,MATCH('Upton Overview'!$A89,Stock!$A$3:$A$91,0),MATCH('Upton Overview'!B$67,Stock!$A$3:$S$3,0)),0)</f>
        <v>0</v>
      </c>
      <c r="C89" s="10">
        <f>IFERROR(INDEX(Stock!$A$3:$S$91,MATCH('Upton Overview'!$A89,Stock!$A$3:$A$91,0),MATCH('Upton Overview'!C$67,Stock!$A$3:$S$3,0)),0)</f>
        <v>0</v>
      </c>
      <c r="D89" s="10">
        <f t="shared" si="1"/>
        <v>0</v>
      </c>
      <c r="E89" s="50"/>
      <c r="F89" s="10" t="str">
        <f>IFERROR(INDEX(Stock!$A$3:$S$91,MATCH('Upton Overview'!$A89,Stock!$A$3:$A$91,0),MATCH('Upton Overview'!F$67,Stock!$A$3:$S$3,0)),0)</f>
        <v/>
      </c>
      <c r="G89" s="10" t="str">
        <f>IFERROR(INDEX(Stock!$A$3:$S$91,MATCH('Upton Overview'!$A89,Stock!$A$3:$A$91,0),MATCH('Upton Overview'!G$67,Stock!$A$3:$S$3,0)),0)</f>
        <v/>
      </c>
      <c r="H89" s="2"/>
    </row>
    <row r="90" spans="1:8">
      <c r="A90" s="10" t="s">
        <v>93</v>
      </c>
      <c r="B90" s="10">
        <f>IFERROR(INDEX(Stock!$A$3:$S$91,MATCH('Upton Overview'!$A90,Stock!$A$3:$A$91,0),MATCH('Upton Overview'!B$67,Stock!$A$3:$S$3,0)),0)</f>
        <v>0</v>
      </c>
      <c r="C90" s="10">
        <f>IFERROR(INDEX(Stock!$A$3:$S$91,MATCH('Upton Overview'!$A90,Stock!$A$3:$A$91,0),MATCH('Upton Overview'!C$67,Stock!$A$3:$S$3,0)),0)</f>
        <v>0</v>
      </c>
      <c r="D90" s="10">
        <f t="shared" si="1"/>
        <v>0</v>
      </c>
      <c r="E90" s="50"/>
      <c r="F90" s="10" t="str">
        <f>IFERROR(INDEX(Stock!$A$3:$S$91,MATCH('Upton Overview'!$A90,Stock!$A$3:$A$91,0),MATCH('Upton Overview'!F$67,Stock!$A$3:$S$3,0)),0)</f>
        <v/>
      </c>
      <c r="G90" s="10" t="str">
        <f>IFERROR(INDEX(Stock!$A$3:$S$91,MATCH('Upton Overview'!$A90,Stock!$A$3:$A$91,0),MATCH('Upton Overview'!G$67,Stock!$A$3:$S$3,0)),0)</f>
        <v/>
      </c>
      <c r="H90" s="2"/>
    </row>
    <row r="91" spans="1:8">
      <c r="A91" s="10" t="s">
        <v>94</v>
      </c>
      <c r="B91" s="10">
        <f>IFERROR(INDEX(Stock!$A$3:$S$91,MATCH('Upton Overview'!$A91,Stock!$A$3:$A$91,0),MATCH('Upton Overview'!B$67,Stock!$A$3:$S$3,0)),0)</f>
        <v>0</v>
      </c>
      <c r="C91" s="10">
        <f>IFERROR(INDEX(Stock!$A$3:$S$91,MATCH('Upton Overview'!$A91,Stock!$A$3:$A$91,0),MATCH('Upton Overview'!C$67,Stock!$A$3:$S$3,0)),0)</f>
        <v>0</v>
      </c>
      <c r="D91" s="10">
        <f t="shared" si="1"/>
        <v>0</v>
      </c>
      <c r="E91" s="50"/>
      <c r="F91" s="10" t="str">
        <f>IFERROR(INDEX(Stock!$A$3:$S$91,MATCH('Upton Overview'!$A91,Stock!$A$3:$A$91,0),MATCH('Upton Overview'!F$67,Stock!$A$3:$S$3,0)),0)</f>
        <v/>
      </c>
      <c r="G91" s="10" t="str">
        <f>IFERROR(INDEX(Stock!$A$3:$S$91,MATCH('Upton Overview'!$A91,Stock!$A$3:$A$91,0),MATCH('Upton Overview'!G$67,Stock!$A$3:$S$3,0)),0)</f>
        <v/>
      </c>
      <c r="H91" s="2"/>
    </row>
    <row r="92" spans="1:8">
      <c r="A92" s="10" t="s">
        <v>95</v>
      </c>
      <c r="B92" s="10">
        <f>IFERROR(INDEX(Stock!$A$3:$S$91,MATCH('Upton Overview'!$A92,Stock!$A$3:$A$91,0),MATCH('Upton Overview'!B$67,Stock!$A$3:$S$3,0)),0)</f>
        <v>0</v>
      </c>
      <c r="C92" s="10">
        <f>IFERROR(INDEX(Stock!$A$3:$S$91,MATCH('Upton Overview'!$A92,Stock!$A$3:$A$91,0),MATCH('Upton Overview'!C$67,Stock!$A$3:$S$3,0)),0)</f>
        <v>0</v>
      </c>
      <c r="D92" s="10">
        <f t="shared" si="1"/>
        <v>0</v>
      </c>
      <c r="E92" s="50"/>
      <c r="F92" s="10" t="str">
        <f>IFERROR(INDEX(Stock!$A$3:$S$91,MATCH('Upton Overview'!$A92,Stock!$A$3:$A$91,0),MATCH('Upton Overview'!F$67,Stock!$A$3:$S$3,0)),0)</f>
        <v/>
      </c>
      <c r="G92" s="10" t="str">
        <f>IFERROR(INDEX(Stock!$A$3:$S$91,MATCH('Upton Overview'!$A92,Stock!$A$3:$A$91,0),MATCH('Upton Overview'!G$67,Stock!$A$3:$S$3,0)),0)</f>
        <v/>
      </c>
      <c r="H92" s="2"/>
    </row>
    <row r="93" spans="1:8">
      <c r="A93" s="10" t="s">
        <v>96</v>
      </c>
      <c r="B93" s="10">
        <f>IFERROR(INDEX(Stock!$A$3:$S$91,MATCH('Upton Overview'!$A93,Stock!$A$3:$A$91,0),MATCH('Upton Overview'!B$67,Stock!$A$3:$S$3,0)),0)</f>
        <v>0</v>
      </c>
      <c r="C93" s="10">
        <f>IFERROR(INDEX(Stock!$A$3:$S$91,MATCH('Upton Overview'!$A93,Stock!$A$3:$A$91,0),MATCH('Upton Overview'!C$67,Stock!$A$3:$S$3,0)),0)</f>
        <v>0</v>
      </c>
      <c r="D93" s="10">
        <f t="shared" si="1"/>
        <v>0</v>
      </c>
      <c r="E93" s="50"/>
      <c r="F93" s="10" t="str">
        <f>IFERROR(INDEX(Stock!$A$3:$S$91,MATCH('Upton Overview'!$A93,Stock!$A$3:$A$91,0),MATCH('Upton Overview'!F$67,Stock!$A$3:$S$3,0)),0)</f>
        <v/>
      </c>
      <c r="G93" s="10" t="str">
        <f>IFERROR(INDEX(Stock!$A$3:$S$91,MATCH('Upton Overview'!$A93,Stock!$A$3:$A$91,0),MATCH('Upton Overview'!G$67,Stock!$A$3:$S$3,0)),0)</f>
        <v/>
      </c>
      <c r="H93" s="2"/>
    </row>
    <row r="94" spans="1:8">
      <c r="A94" s="47" t="s">
        <v>97</v>
      </c>
      <c r="B94" s="45"/>
      <c r="C94" s="45"/>
      <c r="D94" s="45"/>
      <c r="E94" s="45"/>
      <c r="F94" s="45"/>
      <c r="G94" s="51">
        <f>SUM(G68:G93)</f>
        <v>1.7305555555555554</v>
      </c>
      <c r="H94" s="2"/>
    </row>
    <row r="95" spans="1:8">
      <c r="A95" s="47" t="s">
        <v>57</v>
      </c>
      <c r="B95" s="45"/>
      <c r="C95" s="45"/>
      <c r="D95" s="45"/>
      <c r="E95" s="45"/>
      <c r="F95" s="45"/>
      <c r="G95" s="51">
        <f>SUM(F68:F93)</f>
        <v>2.4854166666666666</v>
      </c>
      <c r="H95" s="2"/>
    </row>
    <row r="96" spans="1:8">
      <c r="A96" s="10"/>
      <c r="B96" s="10"/>
      <c r="C96" s="10"/>
      <c r="D96" s="10"/>
      <c r="E96" s="10"/>
      <c r="F96" s="10"/>
      <c r="G96" s="50"/>
      <c r="H96" s="2"/>
    </row>
    <row r="97" spans="1:8">
      <c r="A97" s="44" t="s">
        <v>98</v>
      </c>
      <c r="B97" s="45"/>
      <c r="C97" s="45"/>
      <c r="D97" s="45"/>
      <c r="E97" s="45"/>
      <c r="F97" s="45"/>
      <c r="G97" s="51"/>
      <c r="H97" s="2"/>
    </row>
    <row r="98" spans="1:8" ht="17.100000000000001">
      <c r="A98" s="52" t="s">
        <v>99</v>
      </c>
      <c r="B98" s="10">
        <f>IFERROR(INDEX(Stock!$A$3:$S$91,MATCH('Upton Overview'!$A98,Stock!$A$3:$A$91,0),MATCH('Upton Overview'!B$67,Stock!$A$3:$S$3,0)),0)</f>
        <v>0</v>
      </c>
      <c r="C98" s="10">
        <f>IFERROR(INDEX(Stock!$A$3:$S$91,MATCH('Upton Overview'!$A98,Stock!$A$3:$A$91,0),MATCH('Upton Overview'!C$67,Stock!$A$3:$S$3,0)),0)</f>
        <v>0</v>
      </c>
      <c r="D98" s="10">
        <f t="shared" ref="D98:D102" si="2">C98-B98</f>
        <v>0</v>
      </c>
      <c r="F98" s="10">
        <f>IFERROR(INDEX(Stock!$A$3:$S$91,MATCH('Upton Overview'!$A98,Stock!$A$3:$A$91,0),MATCH('Upton Overview'!F$67,Stock!$A$3:$S$3,0)),0)</f>
        <v>0</v>
      </c>
      <c r="G98" s="10">
        <f>IFERROR(INDEX(Stock!$A$3:$S$91,MATCH('Upton Overview'!$A98,Stock!$A$3:$A$91,0),MATCH('Upton Overview'!G$67,Stock!$A$3:$S$3,0)),0)</f>
        <v>5.74</v>
      </c>
      <c r="H98" s="2"/>
    </row>
    <row r="99" spans="1:8">
      <c r="A99" s="10" t="s">
        <v>100</v>
      </c>
      <c r="B99" s="10">
        <f>IFERROR(INDEX(Stock!$A$3:$S$91,MATCH('Upton Overview'!$A99,Stock!$A$3:$A$91,0),MATCH('Upton Overview'!B$67,Stock!$A$3:$S$3,0)),0)</f>
        <v>0</v>
      </c>
      <c r="C99" s="10">
        <f>IFERROR(INDEX(Stock!$A$3:$S$91,MATCH('Upton Overview'!$A99,Stock!$A$3:$A$91,0),MATCH('Upton Overview'!C$67,Stock!$A$3:$S$3,0)),0)</f>
        <v>0</v>
      </c>
      <c r="D99" s="10">
        <f t="shared" si="2"/>
        <v>0</v>
      </c>
      <c r="F99" s="10" t="str">
        <f>IFERROR(INDEX(Stock!$A$3:$S$91,MATCH('Upton Overview'!$A99,Stock!$A$3:$A$91,0),MATCH('Upton Overview'!F$67,Stock!$A$3:$S$3,0)),0)</f>
        <v/>
      </c>
      <c r="G99" s="10" t="str">
        <f>IFERROR(INDEX(Stock!$A$3:$S$91,MATCH('Upton Overview'!$A99,Stock!$A$3:$A$91,0),MATCH('Upton Overview'!G$67,Stock!$A$3:$S$3,0)),0)</f>
        <v/>
      </c>
      <c r="H99" s="2"/>
    </row>
    <row r="100" spans="1:8">
      <c r="A100" s="10" t="s">
        <v>101</v>
      </c>
      <c r="B100" s="10">
        <f>IFERROR(INDEX(Stock!$A$3:$S$91,MATCH('Upton Overview'!$A100,Stock!$A$3:$A$91,0),MATCH('Upton Overview'!B$67,Stock!$A$3:$S$3,0)),0)</f>
        <v>0</v>
      </c>
      <c r="C100" s="10">
        <f>IFERROR(INDEX(Stock!$A$3:$S$91,MATCH('Upton Overview'!$A100,Stock!$A$3:$A$91,0),MATCH('Upton Overview'!C$67,Stock!$A$3:$S$3,0)),0)</f>
        <v>0</v>
      </c>
      <c r="D100" s="10">
        <f t="shared" si="2"/>
        <v>0</v>
      </c>
      <c r="F100" s="10" t="str">
        <f>IFERROR(INDEX(Stock!$A$3:$S$91,MATCH('Upton Overview'!$A100,Stock!$A$3:$A$91,0),MATCH('Upton Overview'!F$67,Stock!$A$3:$S$3,0)),0)</f>
        <v/>
      </c>
      <c r="G100" s="10" t="str">
        <f>IFERROR(INDEX(Stock!$A$3:$S$91,MATCH('Upton Overview'!$A100,Stock!$A$3:$A$91,0),MATCH('Upton Overview'!G$67,Stock!$A$3:$S$3,0)),0)</f>
        <v/>
      </c>
      <c r="H100" s="2"/>
    </row>
    <row r="101" spans="1:8">
      <c r="A101" s="10" t="s">
        <v>102</v>
      </c>
      <c r="B101" s="10">
        <f>IFERROR(INDEX(Stock!$A$3:$S$91,MATCH('Upton Overview'!$A101,Stock!$A$3:$A$91,0),MATCH('Upton Overview'!B$67,Stock!$A$3:$S$3,0)),0)</f>
        <v>0</v>
      </c>
      <c r="C101" s="10">
        <f>IFERROR(INDEX(Stock!$A$3:$S$91,MATCH('Upton Overview'!$A101,Stock!$A$3:$A$91,0),MATCH('Upton Overview'!C$67,Stock!$A$3:$S$3,0)),0)</f>
        <v>0</v>
      </c>
      <c r="D101" s="10">
        <f t="shared" si="2"/>
        <v>0</v>
      </c>
      <c r="F101" s="10">
        <f>IFERROR(INDEX(Stock!$A$3:$S$91,MATCH('Upton Overview'!$A101,Stock!$A$3:$A$91,0),MATCH('Upton Overview'!F$67,Stock!$A$3:$S$3,0)),0)</f>
        <v>0</v>
      </c>
      <c r="G101" s="10" t="str">
        <f>IFERROR(INDEX(Stock!$A$3:$S$91,MATCH('Upton Overview'!$A101,Stock!$A$3:$A$91,0),MATCH('Upton Overview'!G$67,Stock!$A$3:$S$3,0)),0)</f>
        <v/>
      </c>
      <c r="H101" s="2"/>
    </row>
    <row r="102" spans="1:8">
      <c r="A102" s="10" t="s">
        <v>103</v>
      </c>
      <c r="B102" s="10">
        <f>IFERROR(INDEX(Stock!$A$3:$S$91,MATCH('Upton Overview'!$A102,Stock!$A$3:$A$91,0),MATCH('Upton Overview'!B$67,Stock!$A$3:$S$3,0)),0)</f>
        <v>0</v>
      </c>
      <c r="C102" s="10">
        <f>IFERROR(INDEX(Stock!$A$3:$S$91,MATCH('Upton Overview'!$A102,Stock!$A$3:$A$91,0),MATCH('Upton Overview'!C$67,Stock!$A$3:$S$3,0)),0)</f>
        <v>0</v>
      </c>
      <c r="D102" s="10">
        <f t="shared" si="2"/>
        <v>0</v>
      </c>
      <c r="F102" s="10" t="str">
        <f>IFERROR(INDEX(Stock!$A$3:$S$91,MATCH('Upton Overview'!$A102,Stock!$A$3:$A$91,0),MATCH('Upton Overview'!F$67,Stock!$A$3:$S$3,0)),0)</f>
        <v/>
      </c>
      <c r="G102" s="10" t="str">
        <f>IFERROR(INDEX(Stock!$A$3:$S$91,MATCH('Upton Overview'!$A102,Stock!$A$3:$A$91,0),MATCH('Upton Overview'!G$67,Stock!$A$3:$S$3,0)),0)</f>
        <v/>
      </c>
      <c r="H102" s="2"/>
    </row>
    <row r="103" spans="1:8">
      <c r="A103" s="47" t="s">
        <v>64</v>
      </c>
      <c r="B103" s="45"/>
      <c r="C103" s="45"/>
      <c r="D103" s="45"/>
      <c r="E103" s="45"/>
      <c r="F103" s="45"/>
      <c r="G103" s="51">
        <f>SUM(G98:G102)</f>
        <v>5.74</v>
      </c>
      <c r="H103" s="2"/>
    </row>
    <row r="104" spans="1:8">
      <c r="A104" s="47" t="s">
        <v>57</v>
      </c>
      <c r="B104" s="45"/>
      <c r="C104" s="45"/>
      <c r="D104" s="45"/>
      <c r="E104" s="45"/>
      <c r="F104" s="45"/>
      <c r="G104" s="51">
        <f>SUM(F98:F102)</f>
        <v>0</v>
      </c>
      <c r="H104" s="2"/>
    </row>
    <row r="105" spans="1:8">
      <c r="A105" s="9"/>
      <c r="B105" s="10"/>
      <c r="C105" s="10"/>
      <c r="D105" s="10"/>
      <c r="E105" s="10"/>
      <c r="F105" s="10"/>
      <c r="G105" s="50"/>
      <c r="H105" s="2"/>
    </row>
    <row r="106" spans="1:8">
      <c r="A106" s="44" t="s">
        <v>104</v>
      </c>
      <c r="B106" s="53"/>
      <c r="C106" s="45"/>
      <c r="D106" s="45"/>
      <c r="E106" s="45"/>
      <c r="F106" s="45"/>
      <c r="G106" s="67" t="s">
        <v>1</v>
      </c>
      <c r="H106" s="2"/>
    </row>
    <row r="107" spans="1:8">
      <c r="A107" s="10" t="s">
        <v>105</v>
      </c>
      <c r="B107" s="10">
        <f>IFERROR(INDEX(Stock!$A$3:$S$91,MATCH('Upton Overview'!$A107,Stock!$A$3:$A$91,0),MATCH('Upton Overview'!B$67,Stock!$A$3:$S$3,0)),0)</f>
        <v>0</v>
      </c>
      <c r="C107" s="10">
        <f>IFERROR(INDEX(Stock!$A$3:$S$91,MATCH('Upton Overview'!$A107,Stock!$A$3:$A$91,0),MATCH('Upton Overview'!C$67,Stock!$A$3:$S$3,0)),0)</f>
        <v>0</v>
      </c>
      <c r="D107" s="10">
        <f t="shared" ref="D107:D126" si="3">C107-B107</f>
        <v>0</v>
      </c>
      <c r="E107" s="10"/>
      <c r="F107" s="10" t="str">
        <f>IFERROR(INDEX(Stock!$A$3:$S$91,MATCH('Upton Overview'!$A107,Stock!$A$3:$A$91,0),MATCH('Upton Overview'!F$67,Stock!$A$3:$S$3,0)),0)</f>
        <v/>
      </c>
      <c r="G107" s="10" t="str">
        <f>IFERROR(INDEX(Stock!$A$3:$S$91,MATCH('Upton Overview'!$A107,Stock!$A$3:$A$91,0),MATCH('Upton Overview'!G$67,Stock!$A$3:$S$3,0)),0)</f>
        <v/>
      </c>
      <c r="H107" s="2"/>
    </row>
    <row r="108" spans="1:8">
      <c r="A108" s="10" t="s">
        <v>106</v>
      </c>
      <c r="B108" s="10">
        <f>IFERROR(INDEX(Stock!$A$3:$S$91,MATCH('Upton Overview'!$A108,Stock!$A$3:$A$91,0),MATCH('Upton Overview'!B$67,Stock!$A$3:$S$3,0)),0)</f>
        <v>0</v>
      </c>
      <c r="C108" s="10">
        <f>IFERROR(INDEX(Stock!$A$3:$S$91,MATCH('Upton Overview'!$A108,Stock!$A$3:$A$91,0),MATCH('Upton Overview'!C$67,Stock!$A$3:$S$3,0)),0)</f>
        <v>0</v>
      </c>
      <c r="D108" s="10">
        <f t="shared" si="3"/>
        <v>0</v>
      </c>
      <c r="E108" s="10"/>
      <c r="F108" s="10" t="str">
        <f>IFERROR(INDEX(Stock!$A$3:$S$91,MATCH('Upton Overview'!$A108,Stock!$A$3:$A$91,0),MATCH('Upton Overview'!F$67,Stock!$A$3:$S$3,0)),0)</f>
        <v/>
      </c>
      <c r="G108" s="10" t="str">
        <f>IFERROR(INDEX(Stock!$A$3:$S$91,MATCH('Upton Overview'!$A108,Stock!$A$3:$A$91,0),MATCH('Upton Overview'!G$67,Stock!$A$3:$S$3,0)),0)</f>
        <v/>
      </c>
      <c r="H108" s="2"/>
    </row>
    <row r="109" spans="1:8">
      <c r="A109" s="10" t="s">
        <v>107</v>
      </c>
      <c r="B109" s="10">
        <f>IFERROR(INDEX(Stock!$A$3:$S$91,MATCH('Upton Overview'!$A109,Stock!$A$3:$A$91,0),MATCH('Upton Overview'!B$67,Stock!$A$3:$S$3,0)),0)</f>
        <v>0</v>
      </c>
      <c r="C109" s="10">
        <f>IFERROR(INDEX(Stock!$A$3:$S$91,MATCH('Upton Overview'!$A109,Stock!$A$3:$A$91,0),MATCH('Upton Overview'!C$67,Stock!$A$3:$S$3,0)),0)</f>
        <v>0</v>
      </c>
      <c r="D109" s="10">
        <f t="shared" si="3"/>
        <v>0</v>
      </c>
      <c r="E109" s="10"/>
      <c r="F109" s="10" t="str">
        <f>IFERROR(INDEX(Stock!$A$3:$S$91,MATCH('Upton Overview'!$A109,Stock!$A$3:$A$91,0),MATCH('Upton Overview'!F$67,Stock!$A$3:$S$3,0)),0)</f>
        <v/>
      </c>
      <c r="G109" s="10" t="str">
        <f>IFERROR(INDEX(Stock!$A$3:$S$91,MATCH('Upton Overview'!$A109,Stock!$A$3:$A$91,0),MATCH('Upton Overview'!G$67,Stock!$A$3:$S$3,0)),0)</f>
        <v/>
      </c>
      <c r="H109" s="2"/>
    </row>
    <row r="110" spans="1:8">
      <c r="A110" s="10" t="s">
        <v>108</v>
      </c>
      <c r="B110" s="10">
        <f>IFERROR(INDEX(Stock!$A$3:$S$91,MATCH('Upton Overview'!$A110,Stock!$A$3:$A$91,0),MATCH('Upton Overview'!B$67,Stock!$A$3:$S$3,0)),0)</f>
        <v>0</v>
      </c>
      <c r="C110" s="10">
        <f>IFERROR(INDEX(Stock!$A$3:$S$91,MATCH('Upton Overview'!$A110,Stock!$A$3:$A$91,0),MATCH('Upton Overview'!C$67,Stock!$A$3:$S$3,0)),0)</f>
        <v>0</v>
      </c>
      <c r="D110" s="10">
        <f t="shared" si="3"/>
        <v>0</v>
      </c>
      <c r="E110" s="10"/>
      <c r="F110" s="10" t="str">
        <f>IFERROR(INDEX(Stock!$A$3:$S$91,MATCH('Upton Overview'!$A110,Stock!$A$3:$A$91,0),MATCH('Upton Overview'!F$67,Stock!$A$3:$S$3,0)),0)</f>
        <v/>
      </c>
      <c r="G110" s="10" t="str">
        <f>IFERROR(INDEX(Stock!$A$3:$S$91,MATCH('Upton Overview'!$A110,Stock!$A$3:$A$91,0),MATCH('Upton Overview'!G$67,Stock!$A$3:$S$3,0)),0)</f>
        <v/>
      </c>
      <c r="H110" s="2"/>
    </row>
    <row r="111" spans="1:8">
      <c r="A111" s="10" t="s">
        <v>109</v>
      </c>
      <c r="B111" s="10">
        <f>IFERROR(INDEX(Stock!$A$3:$S$91,MATCH('Upton Overview'!$A111,Stock!$A$3:$A$91,0),MATCH('Upton Overview'!B$67,Stock!$A$3:$S$3,0)),0)</f>
        <v>0</v>
      </c>
      <c r="C111" s="10">
        <f>IFERROR(INDEX(Stock!$A$3:$S$91,MATCH('Upton Overview'!$A111,Stock!$A$3:$A$91,0),MATCH('Upton Overview'!C$67,Stock!$A$3:$S$3,0)),0)</f>
        <v>0</v>
      </c>
      <c r="D111" s="10">
        <f t="shared" si="3"/>
        <v>0</v>
      </c>
      <c r="E111" s="10"/>
      <c r="F111" s="10" t="str">
        <f>IFERROR(INDEX(Stock!$A$3:$S$91,MATCH('Upton Overview'!$A111,Stock!$A$3:$A$91,0),MATCH('Upton Overview'!F$67,Stock!$A$3:$S$3,0)),0)</f>
        <v/>
      </c>
      <c r="G111" s="10" t="str">
        <f>IFERROR(INDEX(Stock!$A$3:$S$91,MATCH('Upton Overview'!$A111,Stock!$A$3:$A$91,0),MATCH('Upton Overview'!G$67,Stock!$A$3:$S$3,0)),0)</f>
        <v/>
      </c>
      <c r="H111" s="2"/>
    </row>
    <row r="112" spans="1:8">
      <c r="A112" s="10" t="s">
        <v>110</v>
      </c>
      <c r="B112" s="10">
        <f>IFERROR(INDEX(Stock!$A$3:$S$91,MATCH('Upton Overview'!$A112,Stock!$A$3:$A$91,0),MATCH('Upton Overview'!B$67,Stock!$A$3:$S$3,0)),0)</f>
        <v>0</v>
      </c>
      <c r="C112" s="10">
        <f>IFERROR(INDEX(Stock!$A$3:$S$91,MATCH('Upton Overview'!$A112,Stock!$A$3:$A$91,0),MATCH('Upton Overview'!C$67,Stock!$A$3:$S$3,0)),0)</f>
        <v>0</v>
      </c>
      <c r="D112" s="10">
        <f t="shared" si="3"/>
        <v>0</v>
      </c>
      <c r="E112" s="10"/>
      <c r="F112" s="10" t="str">
        <f>IFERROR(INDEX(Stock!$A$3:$S$91,MATCH('Upton Overview'!$A112,Stock!$A$3:$A$91,0),MATCH('Upton Overview'!F$67,Stock!$A$3:$S$3,0)),0)</f>
        <v/>
      </c>
      <c r="G112" s="10" t="str">
        <f>IFERROR(INDEX(Stock!$A$3:$S$91,MATCH('Upton Overview'!$A112,Stock!$A$3:$A$91,0),MATCH('Upton Overview'!G$67,Stock!$A$3:$S$3,0)),0)</f>
        <v/>
      </c>
      <c r="H112" s="2"/>
    </row>
    <row r="113" spans="1:8">
      <c r="A113" s="59" t="s">
        <v>111</v>
      </c>
      <c r="B113" s="10">
        <f>IFERROR(INDEX(Stock!$A$3:$S$91,MATCH('Upton Overview'!$A113,Stock!$A$3:$A$91,0),MATCH('Upton Overview'!B$67,Stock!$A$3:$S$3,0)),0)</f>
        <v>0</v>
      </c>
      <c r="C113" s="10">
        <f>IFERROR(INDEX(Stock!$A$3:$S$91,MATCH('Upton Overview'!$A113,Stock!$A$3:$A$91,0),MATCH('Upton Overview'!C$67,Stock!$A$3:$S$3,0)),0)</f>
        <v>0</v>
      </c>
      <c r="D113" s="10">
        <f t="shared" si="3"/>
        <v>0</v>
      </c>
      <c r="E113" s="10"/>
      <c r="F113" s="10" t="str">
        <f>IFERROR(INDEX(Stock!$A$3:$S$91,MATCH('Upton Overview'!$A113,Stock!$A$3:$A$91,0),MATCH('Upton Overview'!F$67,Stock!$A$3:$S$3,0)),0)</f>
        <v/>
      </c>
      <c r="G113" s="10" t="str">
        <f>IFERROR(INDEX(Stock!$A$3:$S$91,MATCH('Upton Overview'!$A113,Stock!$A$3:$A$91,0),MATCH('Upton Overview'!G$67,Stock!$A$3:$S$3,0)),0)</f>
        <v/>
      </c>
      <c r="H113" s="2"/>
    </row>
    <row r="114" spans="1:8">
      <c r="A114" s="60" t="s">
        <v>112</v>
      </c>
      <c r="B114" s="10">
        <f>IFERROR(INDEX(Stock!$A$3:$S$91,MATCH('Upton Overview'!$A114,Stock!$A$3:$A$91,0),MATCH('Upton Overview'!B$67,Stock!$A$3:$S$3,0)),0)</f>
        <v>0</v>
      </c>
      <c r="C114" s="10">
        <f>IFERROR(INDEX(Stock!$A$3:$S$91,MATCH('Upton Overview'!$A114,Stock!$A$3:$A$91,0),MATCH('Upton Overview'!C$67,Stock!$A$3:$S$3,0)),0)</f>
        <v>0</v>
      </c>
      <c r="D114" s="10">
        <f t="shared" si="3"/>
        <v>0</v>
      </c>
      <c r="E114" s="10"/>
      <c r="F114" s="10" t="str">
        <f>IFERROR(INDEX(Stock!$A$3:$S$91,MATCH('Upton Overview'!$A114,Stock!$A$3:$A$91,0),MATCH('Upton Overview'!F$67,Stock!$A$3:$S$3,0)),0)</f>
        <v/>
      </c>
      <c r="G114" s="10" t="str">
        <f>IFERROR(INDEX(Stock!$A$3:$S$91,MATCH('Upton Overview'!$A114,Stock!$A$3:$A$91,0),MATCH('Upton Overview'!G$67,Stock!$A$3:$S$3,0)),0)</f>
        <v/>
      </c>
      <c r="H114" s="2"/>
    </row>
    <row r="115" spans="1:8">
      <c r="A115" s="60" t="s">
        <v>113</v>
      </c>
      <c r="B115" s="10">
        <f>IFERROR(INDEX(Stock!$A$3:$S$91,MATCH('Upton Overview'!$A115,Stock!$A$3:$A$91,0),MATCH('Upton Overview'!B$67,Stock!$A$3:$S$3,0)),0)</f>
        <v>0</v>
      </c>
      <c r="C115" s="10">
        <f>IFERROR(INDEX(Stock!$A$3:$S$91,MATCH('Upton Overview'!$A115,Stock!$A$3:$A$91,0),MATCH('Upton Overview'!C$67,Stock!$A$3:$S$3,0)),0)</f>
        <v>0</v>
      </c>
      <c r="D115" s="10">
        <f t="shared" si="3"/>
        <v>0</v>
      </c>
      <c r="E115" s="10"/>
      <c r="F115" s="10" t="str">
        <f>IFERROR(INDEX(Stock!$A$3:$S$91,MATCH('Upton Overview'!$A115,Stock!$A$3:$A$91,0),MATCH('Upton Overview'!F$67,Stock!$A$3:$S$3,0)),0)</f>
        <v/>
      </c>
      <c r="G115" s="10" t="str">
        <f>IFERROR(INDEX(Stock!$A$3:$S$91,MATCH('Upton Overview'!$A115,Stock!$A$3:$A$91,0),MATCH('Upton Overview'!G$67,Stock!$A$3:$S$3,0)),0)</f>
        <v/>
      </c>
      <c r="H115" s="2"/>
    </row>
    <row r="116" spans="1:8">
      <c r="A116" s="60" t="s">
        <v>114</v>
      </c>
      <c r="B116" s="10">
        <f>IFERROR(INDEX(Stock!$A$3:$S$91,MATCH('Upton Overview'!$A116,Stock!$A$3:$A$91,0),MATCH('Upton Overview'!B$67,Stock!$A$3:$S$3,0)),0)</f>
        <v>0</v>
      </c>
      <c r="C116" s="10">
        <f>IFERROR(INDEX(Stock!$A$3:$S$91,MATCH('Upton Overview'!$A116,Stock!$A$3:$A$91,0),MATCH('Upton Overview'!C$67,Stock!$A$3:$S$3,0)),0)</f>
        <v>0</v>
      </c>
      <c r="D116" s="10">
        <f t="shared" si="3"/>
        <v>0</v>
      </c>
      <c r="E116" s="10"/>
      <c r="F116" s="10" t="str">
        <f>IFERROR(INDEX(Stock!$A$3:$S$91,MATCH('Upton Overview'!$A116,Stock!$A$3:$A$91,0),MATCH('Upton Overview'!F$67,Stock!$A$3:$S$3,0)),0)</f>
        <v/>
      </c>
      <c r="G116" s="10" t="str">
        <f>IFERROR(INDEX(Stock!$A$3:$S$91,MATCH('Upton Overview'!$A116,Stock!$A$3:$A$91,0),MATCH('Upton Overview'!G$67,Stock!$A$3:$S$3,0)),0)</f>
        <v/>
      </c>
      <c r="H116" s="2"/>
    </row>
    <row r="117" spans="1:8">
      <c r="A117" s="60" t="s">
        <v>115</v>
      </c>
      <c r="B117" s="10">
        <f>IFERROR(INDEX(Stock!$A$3:$S$91,MATCH('Upton Overview'!$A117,Stock!$A$3:$A$91,0),MATCH('Upton Overview'!B$67,Stock!$A$3:$S$3,0)),0)</f>
        <v>0</v>
      </c>
      <c r="C117" s="10">
        <f>IFERROR(INDEX(Stock!$A$3:$S$91,MATCH('Upton Overview'!$A117,Stock!$A$3:$A$91,0),MATCH('Upton Overview'!C$67,Stock!$A$3:$S$3,0)),0)</f>
        <v>0</v>
      </c>
      <c r="D117" s="10">
        <f t="shared" si="3"/>
        <v>0</v>
      </c>
      <c r="E117" s="10"/>
      <c r="F117" s="10" t="str">
        <f>IFERROR(INDEX(Stock!$A$3:$S$91,MATCH('Upton Overview'!$A117,Stock!$A$3:$A$91,0),MATCH('Upton Overview'!F$67,Stock!$A$3:$S$3,0)),0)</f>
        <v/>
      </c>
      <c r="G117" s="10" t="str">
        <f>IFERROR(INDEX(Stock!$A$3:$S$91,MATCH('Upton Overview'!$A117,Stock!$A$3:$A$91,0),MATCH('Upton Overview'!G$67,Stock!$A$3:$S$3,0)),0)</f>
        <v/>
      </c>
      <c r="H117" s="2"/>
    </row>
    <row r="118" spans="1:8">
      <c r="A118" s="61" t="s">
        <v>116</v>
      </c>
      <c r="B118" s="10">
        <f>IFERROR(INDEX(Stock!$A$3:$S$91,MATCH('Upton Overview'!$A118,Stock!$A$3:$A$91,0),MATCH('Upton Overview'!B$67,Stock!$A$3:$S$3,0)),0)</f>
        <v>0</v>
      </c>
      <c r="C118" s="10">
        <f>IFERROR(INDEX(Stock!$A$3:$S$91,MATCH('Upton Overview'!$A118,Stock!$A$3:$A$91,0),MATCH('Upton Overview'!C$67,Stock!$A$3:$S$3,0)),0)</f>
        <v>0</v>
      </c>
      <c r="D118" s="10">
        <f t="shared" si="3"/>
        <v>0</v>
      </c>
      <c r="E118" s="10"/>
      <c r="F118" s="10">
        <f>IFERROR(INDEX(Stock!$A$3:$S$91,MATCH('Upton Overview'!$A118,Stock!$A$3:$A$91,0),MATCH('Upton Overview'!F$67,Stock!$A$3:$S$3,0)),0)</f>
        <v>0.20416666666666666</v>
      </c>
      <c r="G118" s="10">
        <f>IFERROR(INDEX(Stock!$A$3:$S$91,MATCH('Upton Overview'!$A118,Stock!$A$3:$A$91,0),MATCH('Upton Overview'!G$67,Stock!$A$3:$S$3,0)),0)</f>
        <v>0.20416666666666666</v>
      </c>
      <c r="H118" s="2"/>
    </row>
    <row r="119" spans="1:8">
      <c r="A119" s="60" t="s">
        <v>117</v>
      </c>
      <c r="B119" s="10">
        <f>IFERROR(INDEX(Stock!$A$3:$S$91,MATCH('Upton Overview'!$A119,Stock!$A$3:$A$91,0),MATCH('Upton Overview'!B$67,Stock!$A$3:$S$3,0)),0)</f>
        <v>0</v>
      </c>
      <c r="C119" s="10">
        <f>IFERROR(INDEX(Stock!$A$3:$S$91,MATCH('Upton Overview'!$A119,Stock!$A$3:$A$91,0),MATCH('Upton Overview'!C$67,Stock!$A$3:$S$3,0)),0)</f>
        <v>0</v>
      </c>
      <c r="D119" s="10">
        <f t="shared" si="3"/>
        <v>0</v>
      </c>
      <c r="E119" s="10"/>
      <c r="F119" s="10" t="str">
        <f>IFERROR(INDEX(Stock!$A$3:$S$91,MATCH('Upton Overview'!$A119,Stock!$A$3:$A$91,0),MATCH('Upton Overview'!F$67,Stock!$A$3:$S$3,0)),0)</f>
        <v/>
      </c>
      <c r="G119" s="10" t="str">
        <f>IFERROR(INDEX(Stock!$A$3:$S$91,MATCH('Upton Overview'!$A119,Stock!$A$3:$A$91,0),MATCH('Upton Overview'!G$67,Stock!$A$3:$S$3,0)),0)</f>
        <v/>
      </c>
      <c r="H119" s="2"/>
    </row>
    <row r="120" spans="1:8">
      <c r="A120" s="60" t="s">
        <v>118</v>
      </c>
      <c r="B120" s="10">
        <f>IFERROR(INDEX(Stock!$A$3:$S$91,MATCH('Upton Overview'!$A120,Stock!$A$3:$A$91,0),MATCH('Upton Overview'!B$67,Stock!$A$3:$S$3,0)),0)</f>
        <v>0</v>
      </c>
      <c r="C120" s="10">
        <f>IFERROR(INDEX(Stock!$A$3:$S$91,MATCH('Upton Overview'!$A120,Stock!$A$3:$A$91,0),MATCH('Upton Overview'!C$67,Stock!$A$3:$S$3,0)),0)</f>
        <v>0</v>
      </c>
      <c r="D120" s="10">
        <f t="shared" si="3"/>
        <v>0</v>
      </c>
      <c r="E120" s="10"/>
      <c r="F120" s="10" t="str">
        <f>IFERROR(INDEX(Stock!$A$3:$S$91,MATCH('Upton Overview'!$A120,Stock!$A$3:$A$91,0),MATCH('Upton Overview'!F$67,Stock!$A$3:$S$3,0)),0)</f>
        <v/>
      </c>
      <c r="G120" s="10" t="str">
        <f>IFERROR(INDEX(Stock!$A$3:$S$91,MATCH('Upton Overview'!$A120,Stock!$A$3:$A$91,0),MATCH('Upton Overview'!G$67,Stock!$A$3:$S$3,0)),0)</f>
        <v/>
      </c>
      <c r="H120" s="2"/>
    </row>
    <row r="121" spans="1:8">
      <c r="A121" s="60" t="s">
        <v>119</v>
      </c>
      <c r="B121" s="10">
        <f>IFERROR(INDEX(Stock!$A$3:$S$91,MATCH('Upton Overview'!$A121,Stock!$A$3:$A$91,0),MATCH('Upton Overview'!B$67,Stock!$A$3:$S$3,0)),0)</f>
        <v>0</v>
      </c>
      <c r="C121" s="10">
        <f>IFERROR(INDEX(Stock!$A$3:$S$91,MATCH('Upton Overview'!$A121,Stock!$A$3:$A$91,0),MATCH('Upton Overview'!C$67,Stock!$A$3:$S$3,0)),0)</f>
        <v>0</v>
      </c>
      <c r="D121" s="10">
        <f t="shared" si="3"/>
        <v>0</v>
      </c>
      <c r="E121" s="10"/>
      <c r="F121" s="10" t="str">
        <f>IFERROR(INDEX(Stock!$A$3:$S$91,MATCH('Upton Overview'!$A121,Stock!$A$3:$A$91,0),MATCH('Upton Overview'!F$67,Stock!$A$3:$S$3,0)),0)</f>
        <v/>
      </c>
      <c r="G121" s="10" t="str">
        <f>IFERROR(INDEX(Stock!$A$3:$S$91,MATCH('Upton Overview'!$A121,Stock!$A$3:$A$91,0),MATCH('Upton Overview'!G$67,Stock!$A$3:$S$3,0)),0)</f>
        <v/>
      </c>
      <c r="H121" s="2"/>
    </row>
    <row r="122" spans="1:8">
      <c r="A122" s="60" t="s">
        <v>120</v>
      </c>
      <c r="B122" s="10">
        <f>IFERROR(INDEX(Stock!$A$3:$S$91,MATCH('Upton Overview'!$A122,Stock!$A$3:$A$91,0),MATCH('Upton Overview'!B$67,Stock!$A$3:$S$3,0)),0)</f>
        <v>0</v>
      </c>
      <c r="C122" s="10">
        <f>IFERROR(INDEX(Stock!$A$3:$S$91,MATCH('Upton Overview'!$A122,Stock!$A$3:$A$91,0),MATCH('Upton Overview'!C$67,Stock!$A$3:$S$3,0)),0)</f>
        <v>0</v>
      </c>
      <c r="D122" s="10">
        <f t="shared" si="3"/>
        <v>0</v>
      </c>
      <c r="E122" s="10"/>
      <c r="F122" s="10" t="str">
        <f>IFERROR(INDEX(Stock!$A$3:$S$91,MATCH('Upton Overview'!$A122,Stock!$A$3:$A$91,0),MATCH('Upton Overview'!F$67,Stock!$A$3:$S$3,0)),0)</f>
        <v/>
      </c>
      <c r="G122" s="10" t="str">
        <f>IFERROR(INDEX(Stock!$A$3:$S$91,MATCH('Upton Overview'!$A122,Stock!$A$3:$A$91,0),MATCH('Upton Overview'!G$67,Stock!$A$3:$S$3,0)),0)</f>
        <v/>
      </c>
      <c r="H122" s="2"/>
    </row>
    <row r="123" spans="1:8">
      <c r="A123" s="61" t="s">
        <v>121</v>
      </c>
      <c r="B123" s="10">
        <f>IFERROR(INDEX(Stock!$A$3:$S$91,MATCH('Upton Overview'!$A123,Stock!$A$3:$A$91,0),MATCH('Upton Overview'!B$67,Stock!$A$3:$S$3,0)),0)</f>
        <v>0</v>
      </c>
      <c r="C123" s="10">
        <f>IFERROR(INDEX(Stock!$A$3:$S$91,MATCH('Upton Overview'!$A123,Stock!$A$3:$A$91,0),MATCH('Upton Overview'!C$67,Stock!$A$3:$S$3,0)),0)</f>
        <v>0</v>
      </c>
      <c r="D123" s="10">
        <f t="shared" si="3"/>
        <v>0</v>
      </c>
      <c r="E123" s="10"/>
      <c r="F123" s="10" t="str">
        <f>IFERROR(INDEX(Stock!$A$3:$S$91,MATCH('Upton Overview'!$A123,Stock!$A$3:$A$91,0),MATCH('Upton Overview'!F$67,Stock!$A$3:$S$3,0)),0)</f>
        <v/>
      </c>
      <c r="G123" s="10" t="str">
        <f>IFERROR(INDEX(Stock!$A$3:$S$91,MATCH('Upton Overview'!$A123,Stock!$A$3:$A$91,0),MATCH('Upton Overview'!G$67,Stock!$A$3:$S$3,0)),0)</f>
        <v/>
      </c>
      <c r="H123" s="2"/>
    </row>
    <row r="124" spans="1:8">
      <c r="A124" s="10" t="s">
        <v>122</v>
      </c>
      <c r="B124" s="10">
        <f>IFERROR(INDEX(Stock!$A$3:$S$91,MATCH('Upton Overview'!$A124,Stock!$A$3:$A$91,0),MATCH('Upton Overview'!B$67,Stock!$A$3:$S$3,0)),0)</f>
        <v>0</v>
      </c>
      <c r="C124" s="10">
        <f>IFERROR(INDEX(Stock!$A$3:$S$91,MATCH('Upton Overview'!$A124,Stock!$A$3:$A$91,0),MATCH('Upton Overview'!C$67,Stock!$A$3:$S$3,0)),0)</f>
        <v>0</v>
      </c>
      <c r="D124" s="10">
        <f t="shared" si="3"/>
        <v>0</v>
      </c>
      <c r="E124" s="10"/>
      <c r="F124" s="10" t="str">
        <f>IFERROR(INDEX(Stock!$A$3:$S$91,MATCH('Upton Overview'!$A124,Stock!$A$3:$A$91,0),MATCH('Upton Overview'!F$67,Stock!$A$3:$S$3,0)),0)</f>
        <v/>
      </c>
      <c r="G124" s="10" t="str">
        <f>IFERROR(INDEX(Stock!$A$3:$S$91,MATCH('Upton Overview'!$A124,Stock!$A$3:$A$91,0),MATCH('Upton Overview'!G$67,Stock!$A$3:$S$3,0)),0)</f>
        <v/>
      </c>
      <c r="H124" s="2"/>
    </row>
    <row r="125" spans="1:8">
      <c r="A125" s="10" t="s">
        <v>123</v>
      </c>
      <c r="B125" s="10">
        <f>IFERROR(INDEX(Stock!$A$3:$S$91,MATCH('Upton Overview'!$A125,Stock!$A$3:$A$91,0),MATCH('Upton Overview'!B$67,Stock!$A$3:$S$3,0)),0)</f>
        <v>0</v>
      </c>
      <c r="C125" s="10">
        <f>IFERROR(INDEX(Stock!$A$3:$S$91,MATCH('Upton Overview'!$A125,Stock!$A$3:$A$91,0),MATCH('Upton Overview'!C$67,Stock!$A$3:$S$3,0)),0)</f>
        <v>0</v>
      </c>
      <c r="D125" s="10">
        <f t="shared" si="3"/>
        <v>0</v>
      </c>
      <c r="E125" s="10"/>
      <c r="F125" s="10" t="str">
        <f>IFERROR(INDEX(Stock!$A$3:$S$91,MATCH('Upton Overview'!$A125,Stock!$A$3:$A$91,0),MATCH('Upton Overview'!F$67,Stock!$A$3:$S$3,0)),0)</f>
        <v/>
      </c>
      <c r="G125" s="10" t="str">
        <f>IFERROR(INDEX(Stock!$A$3:$S$91,MATCH('Upton Overview'!$A125,Stock!$A$3:$A$91,0),MATCH('Upton Overview'!G$67,Stock!$A$3:$S$3,0)),0)</f>
        <v/>
      </c>
      <c r="H125" s="2"/>
    </row>
    <row r="126" spans="1:8">
      <c r="A126" s="10" t="s">
        <v>124</v>
      </c>
      <c r="B126" s="10">
        <f>IFERROR(INDEX(Stock!$A$3:$S$91,MATCH('Upton Overview'!$A126,Stock!$A$3:$A$91,0),MATCH('Upton Overview'!B$67,Stock!$A$3:$S$3,0)),0)</f>
        <v>0</v>
      </c>
      <c r="C126" s="10">
        <f>IFERROR(INDEX(Stock!$A$3:$S$91,MATCH('Upton Overview'!$A126,Stock!$A$3:$A$91,0),MATCH('Upton Overview'!C$67,Stock!$A$3:$S$3,0)),0)</f>
        <v>0</v>
      </c>
      <c r="D126" s="10">
        <f t="shared" si="3"/>
        <v>0</v>
      </c>
      <c r="E126" s="10"/>
      <c r="F126" s="10" t="str">
        <f>IFERROR(INDEX(Stock!$A$3:$S$91,MATCH('Upton Overview'!$A126,Stock!$A$3:$A$91,0),MATCH('Upton Overview'!F$67,Stock!$A$3:$S$3,0)),0)</f>
        <v/>
      </c>
      <c r="G126" s="10" t="str">
        <f>IFERROR(INDEX(Stock!$A$3:$S$91,MATCH('Upton Overview'!$A126,Stock!$A$3:$A$91,0),MATCH('Upton Overview'!G$67,Stock!$A$3:$S$3,0)),0)</f>
        <v/>
      </c>
      <c r="H126" s="2"/>
    </row>
    <row r="127" spans="1:8">
      <c r="A127" s="47" t="s">
        <v>64</v>
      </c>
      <c r="B127" s="45"/>
      <c r="C127" s="45"/>
      <c r="D127" s="45"/>
      <c r="E127" s="45"/>
      <c r="F127" s="45"/>
      <c r="G127" s="51">
        <f>SUM(G107:G126)</f>
        <v>0.20416666666666666</v>
      </c>
      <c r="H127" s="2"/>
    </row>
    <row r="128" spans="1:8">
      <c r="A128" s="47" t="s">
        <v>57</v>
      </c>
      <c r="B128" s="45"/>
      <c r="C128" s="45"/>
      <c r="D128" s="45"/>
      <c r="E128" s="45"/>
      <c r="F128" s="45"/>
      <c r="G128" s="51">
        <f>SUM(F107:F126)</f>
        <v>0.20416666666666666</v>
      </c>
      <c r="H128" s="2"/>
    </row>
    <row r="129" spans="1:8">
      <c r="A129" s="10"/>
      <c r="B129" s="10"/>
      <c r="C129" s="10"/>
      <c r="D129" s="10"/>
      <c r="E129" s="10"/>
      <c r="F129" s="10"/>
      <c r="G129" s="50"/>
      <c r="H129" s="2"/>
    </row>
    <row r="130" spans="1:8">
      <c r="A130" s="44" t="s">
        <v>125</v>
      </c>
      <c r="B130" s="45" t="s">
        <v>126</v>
      </c>
      <c r="C130" s="45"/>
      <c r="D130" s="45"/>
      <c r="E130" s="45"/>
      <c r="F130" s="45"/>
      <c r="G130" s="51"/>
      <c r="H130" s="2"/>
    </row>
    <row r="131" spans="1:8" ht="17.100000000000001">
      <c r="A131" s="52" t="s">
        <v>127</v>
      </c>
      <c r="B131" s="10">
        <f>IFERROR(INDEX(Stock!$A$3:$S$91,MATCH('Upton Overview'!$A131,Stock!$A$3:$A$91,0),MATCH('Upton Overview'!B$67,Stock!$A$3:$S$3,0)),0)</f>
        <v>0</v>
      </c>
      <c r="C131" s="10">
        <f>IFERROR(INDEX(Stock!$A$3:$S$91,MATCH('Upton Overview'!$A131,Stock!$A$3:$A$91,0),MATCH('Upton Overview'!C$67,Stock!$A$3:$S$3,0)),0)</f>
        <v>0</v>
      </c>
      <c r="D131" s="10">
        <f t="shared" ref="D131:D134" si="4">C131-B131</f>
        <v>0</v>
      </c>
      <c r="E131" s="10"/>
      <c r="F131" s="10">
        <f>IFERROR(INDEX(Stock!$A$3:$S$91,MATCH('Upton Overview'!$A131,Stock!$A$3:$A$91,0),MATCH('Upton Overview'!F$67,Stock!$A$3:$S$3,0)),0)</f>
        <v>0.18333333333333332</v>
      </c>
      <c r="G131" s="10">
        <f>IFERROR(INDEX(Stock!$A$3:$S$91,MATCH('Upton Overview'!$A131,Stock!$A$3:$A$91,0),MATCH('Upton Overview'!G$67,Stock!$A$3:$S$3,0)),0)</f>
        <v>0.18333333333333332</v>
      </c>
      <c r="H131" s="2"/>
    </row>
    <row r="132" spans="1:8">
      <c r="A132" s="10" t="s">
        <v>128</v>
      </c>
      <c r="B132" s="10">
        <f>IFERROR(INDEX(Stock!$A$3:$S$91,MATCH('Upton Overview'!$A132,Stock!$A$3:$A$91,0),MATCH('Upton Overview'!B$67,Stock!$A$3:$S$3,0)),0)</f>
        <v>0</v>
      </c>
      <c r="C132" s="10">
        <f>IFERROR(INDEX(Stock!$A$3:$S$91,MATCH('Upton Overview'!$A132,Stock!$A$3:$A$91,0),MATCH('Upton Overview'!C$67,Stock!$A$3:$S$3,0)),0)</f>
        <v>0</v>
      </c>
      <c r="D132" s="10">
        <f t="shared" si="4"/>
        <v>0</v>
      </c>
      <c r="E132" s="10"/>
      <c r="F132" s="10" t="str">
        <f>IFERROR(INDEX(Stock!$A$3:$S$91,MATCH('Upton Overview'!$A132,Stock!$A$3:$A$91,0),MATCH('Upton Overview'!F$67,Stock!$A$3:$S$3,0)),0)</f>
        <v/>
      </c>
      <c r="G132" s="10" t="str">
        <f>IFERROR(INDEX(Stock!$A$3:$S$91,MATCH('Upton Overview'!$A132,Stock!$A$3:$A$91,0),MATCH('Upton Overview'!G$67,Stock!$A$3:$S$3,0)),0)</f>
        <v/>
      </c>
      <c r="H132" s="2"/>
    </row>
    <row r="133" spans="1:8">
      <c r="A133" s="10" t="s">
        <v>129</v>
      </c>
      <c r="B133" s="10">
        <f>IFERROR(INDEX(Stock!$A$3:$S$91,MATCH('Upton Overview'!$A133,Stock!$A$3:$A$91,0),MATCH('Upton Overview'!B$67,Stock!$A$3:$S$3,0)),0)</f>
        <v>0</v>
      </c>
      <c r="C133" s="10">
        <f>IFERROR(INDEX(Stock!$A$3:$S$91,MATCH('Upton Overview'!$A133,Stock!$A$3:$A$91,0),MATCH('Upton Overview'!C$67,Stock!$A$3:$S$3,0)),0)</f>
        <v>0</v>
      </c>
      <c r="D133" s="10">
        <f t="shared" si="4"/>
        <v>0</v>
      </c>
      <c r="E133" s="10"/>
      <c r="F133" s="10" t="str">
        <f>IFERROR(INDEX(Stock!$A$3:$S$91,MATCH('Upton Overview'!$A133,Stock!$A$3:$A$91,0),MATCH('Upton Overview'!F$67,Stock!$A$3:$S$3,0)),0)</f>
        <v/>
      </c>
      <c r="G133" s="10" t="str">
        <f>IFERROR(INDEX(Stock!$A$3:$S$91,MATCH('Upton Overview'!$A133,Stock!$A$3:$A$91,0),MATCH('Upton Overview'!G$67,Stock!$A$3:$S$3,0)),0)</f>
        <v/>
      </c>
      <c r="H133" s="2"/>
    </row>
    <row r="134" spans="1:8">
      <c r="A134" s="10" t="s">
        <v>130</v>
      </c>
      <c r="B134" s="10">
        <f>IFERROR(INDEX(Stock!$A$3:$S$91,MATCH('Upton Overview'!$A134,Stock!$A$3:$A$91,0),MATCH('Upton Overview'!B$67,Stock!$A$3:$S$3,0)),0)</f>
        <v>0</v>
      </c>
      <c r="C134" s="10">
        <f>IFERROR(INDEX(Stock!$A$3:$S$91,MATCH('Upton Overview'!$A134,Stock!$A$3:$A$91,0),MATCH('Upton Overview'!C$67,Stock!$A$3:$S$3,0)),0)</f>
        <v>0</v>
      </c>
      <c r="D134" s="10">
        <f t="shared" si="4"/>
        <v>0</v>
      </c>
      <c r="E134" s="10"/>
      <c r="F134" s="10" t="str">
        <f>IFERROR(INDEX(Stock!$A$3:$S$91,MATCH('Upton Overview'!$A134,Stock!$A$3:$A$91,0),MATCH('Upton Overview'!F$67,Stock!$A$3:$S$3,0)),0)</f>
        <v/>
      </c>
      <c r="G134" s="10" t="str">
        <f>IFERROR(INDEX(Stock!$A$3:$S$91,MATCH('Upton Overview'!$A134,Stock!$A$3:$A$91,0),MATCH('Upton Overview'!G$67,Stock!$A$3:$S$3,0)),0)</f>
        <v/>
      </c>
      <c r="H134" s="2"/>
    </row>
    <row r="135" spans="1:8">
      <c r="A135" s="47" t="s">
        <v>64</v>
      </c>
      <c r="B135" s="45"/>
      <c r="C135" s="45"/>
      <c r="D135" s="45"/>
      <c r="E135" s="45"/>
      <c r="F135" s="45"/>
      <c r="G135" s="51">
        <f>SUM(G131:G134)</f>
        <v>0.18333333333333332</v>
      </c>
      <c r="H135" s="2"/>
    </row>
    <row r="136" spans="1:8">
      <c r="A136" s="47" t="s">
        <v>57</v>
      </c>
      <c r="B136" s="45"/>
      <c r="C136" s="45"/>
      <c r="D136" s="45"/>
      <c r="E136" s="45"/>
      <c r="F136" s="45"/>
      <c r="G136" s="51">
        <f>Stock!R66</f>
        <v>0.18333333333333332</v>
      </c>
      <c r="H136" s="2"/>
    </row>
    <row r="137" spans="1:8">
      <c r="A137" s="10"/>
      <c r="B137" s="10"/>
      <c r="C137" s="10"/>
      <c r="D137" s="10"/>
      <c r="E137" s="10"/>
      <c r="F137" s="10"/>
      <c r="G137" s="50"/>
      <c r="H137" s="2"/>
    </row>
    <row r="138" spans="1:8">
      <c r="A138" s="44" t="s">
        <v>131</v>
      </c>
      <c r="B138" s="45" t="s">
        <v>126</v>
      </c>
      <c r="C138" s="45"/>
      <c r="D138" s="45"/>
      <c r="E138" s="45"/>
      <c r="F138" s="45"/>
      <c r="G138" s="51"/>
      <c r="H138" s="2"/>
    </row>
    <row r="139" spans="1:8">
      <c r="A139" s="10" t="s">
        <v>132</v>
      </c>
      <c r="B139" s="10">
        <f>IFERROR(INDEX(Stock!$A$3:$S$91,MATCH('Upton Overview'!$A139,Stock!$A$3:$A$91,0),MATCH('Upton Overview'!B$67,Stock!$A$3:$S$3,0)),0)</f>
        <v>0</v>
      </c>
      <c r="C139" s="10">
        <f>IFERROR(INDEX(Stock!$A$3:$S$91,MATCH('Upton Overview'!$A139,Stock!$A$3:$A$91,0),MATCH('Upton Overview'!C$67,Stock!$A$3:$S$3,0)),0)</f>
        <v>0</v>
      </c>
      <c r="D139" s="10">
        <f t="shared" ref="D139:D141" si="5">C139-B139</f>
        <v>0</v>
      </c>
      <c r="E139" s="10"/>
      <c r="F139" s="10" t="str">
        <f>IFERROR(INDEX(Stock!$A$3:$S$91,MATCH('Upton Overview'!$A139,Stock!$A$3:$A$91,0),MATCH('Upton Overview'!F$67,Stock!$A$3:$S$3,0)),0)</f>
        <v/>
      </c>
      <c r="G139" s="10" t="str">
        <f>IFERROR(INDEX(Stock!$A$3:$S$91,MATCH('Upton Overview'!$A139,Stock!$A$3:$A$91,0),MATCH('Upton Overview'!G$67,Stock!$A$3:$S$3,0)),0)</f>
        <v/>
      </c>
      <c r="H139" s="2"/>
    </row>
    <row r="140" spans="1:8">
      <c r="A140" s="10" t="s">
        <v>133</v>
      </c>
      <c r="B140" s="10">
        <f>IFERROR(INDEX(Stock!$A$3:$S$91,MATCH('Upton Overview'!$A140,Stock!$A$3:$A$91,0),MATCH('Upton Overview'!B$67,Stock!$A$3:$S$3,0)),0)</f>
        <v>0</v>
      </c>
      <c r="C140" s="10">
        <f>IFERROR(INDEX(Stock!$A$3:$S$91,MATCH('Upton Overview'!$A140,Stock!$A$3:$A$91,0),MATCH('Upton Overview'!C$67,Stock!$A$3:$S$3,0)),0)</f>
        <v>0</v>
      </c>
      <c r="D140" s="10">
        <f t="shared" si="5"/>
        <v>0</v>
      </c>
      <c r="E140" s="10"/>
      <c r="F140" s="10" t="str">
        <f>IFERROR(INDEX(Stock!$A$3:$S$91,MATCH('Upton Overview'!$A140,Stock!$A$3:$A$91,0),MATCH('Upton Overview'!F$67,Stock!$A$3:$S$3,0)),0)</f>
        <v/>
      </c>
      <c r="G140" s="10" t="str">
        <f>IFERROR(INDEX(Stock!$A$3:$S$91,MATCH('Upton Overview'!$A140,Stock!$A$3:$A$91,0),MATCH('Upton Overview'!G$67,Stock!$A$3:$S$3,0)),0)</f>
        <v/>
      </c>
      <c r="H140" s="2"/>
    </row>
    <row r="141" spans="1:8">
      <c r="A141" s="10" t="s">
        <v>134</v>
      </c>
      <c r="B141" s="10">
        <f>SUM(B139:B140)</f>
        <v>0</v>
      </c>
      <c r="C141" s="10">
        <f t="shared" ref="C141" si="6">SUM(C139:C140)</f>
        <v>0</v>
      </c>
      <c r="D141" s="10">
        <f t="shared" si="5"/>
        <v>0</v>
      </c>
      <c r="E141" s="10"/>
      <c r="F141" s="10">
        <f>IFERROR(INDEX(Stock!$A$3:$S$91,MATCH('Upton Overview'!$A141,Stock!$A$3:$A$91,0),MATCH('Upton Overview'!F$67,Stock!$A$3:$S$3,0)),0)</f>
        <v>0</v>
      </c>
      <c r="G141" s="10">
        <f>IFERROR(INDEX(Stock!$A$3:$S$91,MATCH('Upton Overview'!$A141,Stock!$A$3:$A$91,0),MATCH('Upton Overview'!G$67,Stock!$A$3:$S$3,0)),0)</f>
        <v>0</v>
      </c>
      <c r="H141" s="2"/>
    </row>
    <row r="142" spans="1:8">
      <c r="A142" s="47" t="s">
        <v>135</v>
      </c>
      <c r="B142" s="45"/>
      <c r="C142" s="45"/>
      <c r="D142" s="45"/>
      <c r="E142" s="45"/>
      <c r="F142" s="45"/>
      <c r="G142" s="51"/>
      <c r="H142" s="2"/>
    </row>
    <row r="143" spans="1:8">
      <c r="A143" s="47" t="s">
        <v>57</v>
      </c>
      <c r="B143" s="45"/>
      <c r="C143" s="45"/>
      <c r="D143" s="45"/>
      <c r="E143" s="45"/>
      <c r="F143" s="45"/>
      <c r="G143" s="51"/>
      <c r="H143" s="2"/>
    </row>
    <row r="144" spans="1:8">
      <c r="A144" s="10"/>
      <c r="B144" s="10"/>
      <c r="C144" s="10"/>
      <c r="D144" s="10"/>
      <c r="E144" s="10"/>
      <c r="F144" s="10"/>
      <c r="G144" s="50"/>
      <c r="H144" s="2"/>
    </row>
    <row r="145" spans="1:8">
      <c r="A145" s="44" t="s">
        <v>136</v>
      </c>
      <c r="B145" s="45" t="s">
        <v>126</v>
      </c>
      <c r="C145" s="45"/>
      <c r="D145" s="45"/>
      <c r="E145" s="45"/>
      <c r="F145" s="45"/>
      <c r="G145" s="51"/>
      <c r="H145" s="2"/>
    </row>
    <row r="146" spans="1:8">
      <c r="A146" s="10" t="s">
        <v>137</v>
      </c>
      <c r="B146" s="10">
        <f>IFERROR(INDEX(Stock!$A$3:$S$91,MATCH('Upton Overview'!$A146,Stock!$A$3:$A$91,0),MATCH('Upton Overview'!B$67,Stock!$A$3:$S$3,0)),0)</f>
        <v>0</v>
      </c>
      <c r="C146" s="10">
        <f>IFERROR(INDEX(Stock!$A$3:$S$91,MATCH('Upton Overview'!$A146,Stock!$A$3:$A$91,0),MATCH('Upton Overview'!C$67,Stock!$A$3:$S$3,0)),0)</f>
        <v>0</v>
      </c>
      <c r="D146" s="10">
        <f t="shared" ref="D146:D148" si="7">C146-B146</f>
        <v>0</v>
      </c>
      <c r="E146" s="10"/>
      <c r="F146" s="10" t="str">
        <f>IFERROR(INDEX(Stock!$A$3:$S$91,MATCH('Upton Overview'!$A146,Stock!$A$3:$A$91,0),MATCH('Upton Overview'!F$67,Stock!$A$3:$S$3,0)),0)</f>
        <v/>
      </c>
      <c r="G146" s="10" t="str">
        <f>IFERROR(INDEX(Stock!$A$3:$S$91,MATCH('Upton Overview'!$A146,Stock!$A$3:$A$91,0),MATCH('Upton Overview'!G$67,Stock!$A$3:$S$3,0)),0)</f>
        <v/>
      </c>
      <c r="H146" s="2"/>
    </row>
    <row r="147" spans="1:8">
      <c r="A147" s="10" t="s">
        <v>138</v>
      </c>
      <c r="B147" s="10">
        <f>IFERROR(INDEX(Stock!$A$3:$S$91,MATCH('Upton Overview'!$A147,Stock!$A$3:$A$91,0),MATCH('Upton Overview'!B$67,Stock!$A$3:$S$3,0)),0)</f>
        <v>0</v>
      </c>
      <c r="C147" s="10">
        <f>IFERROR(INDEX(Stock!$A$3:$S$91,MATCH('Upton Overview'!$A147,Stock!$A$3:$A$91,0),MATCH('Upton Overview'!C$67,Stock!$A$3:$S$3,0)),0)</f>
        <v>0</v>
      </c>
      <c r="D147" s="10">
        <f t="shared" si="7"/>
        <v>0</v>
      </c>
      <c r="E147" s="10"/>
      <c r="F147" s="10" t="str">
        <f>IFERROR(INDEX(Stock!$A$3:$S$91,MATCH('Upton Overview'!$A147,Stock!$A$3:$A$91,0),MATCH('Upton Overview'!F$67,Stock!$A$3:$S$3,0)),0)</f>
        <v/>
      </c>
      <c r="G147" s="10" t="str">
        <f>IFERROR(INDEX(Stock!$A$3:$S$91,MATCH('Upton Overview'!$A147,Stock!$A$3:$A$91,0),MATCH('Upton Overview'!G$67,Stock!$A$3:$S$3,0)),0)</f>
        <v/>
      </c>
      <c r="H147" s="2"/>
    </row>
    <row r="148" spans="1:8">
      <c r="A148" s="10" t="s">
        <v>139</v>
      </c>
      <c r="B148" s="10">
        <f>IFERROR(INDEX(Stock!$A$3:$S$91,MATCH('Upton Overview'!$A148,Stock!$A$3:$A$91,0),MATCH('Upton Overview'!B$67,Stock!$A$3:$S$3,0)),0)</f>
        <v>0</v>
      </c>
      <c r="C148" s="10">
        <f>IFERROR(INDEX(Stock!$A$3:$S$91,MATCH('Upton Overview'!$A148,Stock!$A$3:$A$91,0),MATCH('Upton Overview'!C$67,Stock!$A$3:$S$3,0)),0)</f>
        <v>0</v>
      </c>
      <c r="D148" s="10">
        <f t="shared" si="7"/>
        <v>0</v>
      </c>
      <c r="E148" s="10"/>
      <c r="F148" s="10" t="str">
        <f>IFERROR(INDEX(Stock!$A$3:$S$91,MATCH('Upton Overview'!$A148,Stock!$A$3:$A$91,0),MATCH('Upton Overview'!F$67,Stock!$A$3:$S$3,0)),0)</f>
        <v/>
      </c>
      <c r="G148" s="10" t="str">
        <f>IFERROR(INDEX(Stock!$A$3:$S$91,MATCH('Upton Overview'!$A148,Stock!$A$3:$A$91,0),MATCH('Upton Overview'!G$67,Stock!$A$3:$S$3,0)),0)</f>
        <v/>
      </c>
      <c r="H148" s="2"/>
    </row>
    <row r="149" spans="1:8">
      <c r="A149" s="47" t="s">
        <v>64</v>
      </c>
      <c r="B149" s="45"/>
      <c r="C149" s="45"/>
      <c r="D149" s="45"/>
      <c r="E149" s="45"/>
      <c r="F149" s="45"/>
      <c r="G149" s="51">
        <f>SUM(G146:G148)</f>
        <v>0</v>
      </c>
      <c r="H149" s="2"/>
    </row>
    <row r="150" spans="1:8">
      <c r="A150" s="47" t="s">
        <v>57</v>
      </c>
      <c r="B150" s="45"/>
      <c r="C150" s="45"/>
      <c r="D150" s="45"/>
      <c r="E150" s="45"/>
      <c r="F150" s="45"/>
      <c r="G150" s="51">
        <f>SUM(F146:F148)</f>
        <v>0</v>
      </c>
      <c r="H150" s="2"/>
    </row>
    <row r="151" spans="1:8">
      <c r="A151" s="10"/>
      <c r="B151" s="10"/>
      <c r="C151" s="10"/>
      <c r="D151" s="10"/>
      <c r="E151" s="10"/>
      <c r="F151" s="10"/>
      <c r="G151" s="50"/>
      <c r="H151" s="2"/>
    </row>
    <row r="152" spans="1:8" ht="17.100000000000001" thickBot="1">
      <c r="A152" s="10"/>
      <c r="B152" s="10"/>
      <c r="C152" s="10"/>
      <c r="D152" s="10"/>
      <c r="E152" s="10"/>
      <c r="F152" s="10"/>
      <c r="G152" s="50"/>
      <c r="H152" s="2"/>
    </row>
    <row r="153" spans="1:8" ht="17.100000000000001" thickBot="1">
      <c r="A153" s="69"/>
      <c r="B153" s="70" t="s">
        <v>4</v>
      </c>
      <c r="C153" s="71"/>
      <c r="D153" s="72"/>
      <c r="E153" s="73"/>
      <c r="F153" s="10"/>
      <c r="G153" s="50"/>
      <c r="H153" s="2"/>
    </row>
    <row r="154" spans="1:8">
      <c r="A154" s="74" t="s">
        <v>140</v>
      </c>
      <c r="B154" s="75">
        <f>G149+G142+G135+G127+G103+G95+G53</f>
        <v>15.556549625468165</v>
      </c>
      <c r="C154" s="2"/>
      <c r="D154" s="76"/>
      <c r="E154" s="77"/>
      <c r="F154" s="10"/>
      <c r="G154" s="87"/>
      <c r="H154" s="2"/>
    </row>
    <row r="155" spans="1:8">
      <c r="A155" s="78" t="s">
        <v>141</v>
      </c>
      <c r="B155" s="75">
        <f>G150+G136+G128+G104+G95+G54</f>
        <v>9.8895833333333343</v>
      </c>
      <c r="C155" s="2"/>
      <c r="D155" s="76"/>
      <c r="E155" s="77"/>
      <c r="F155" s="10"/>
      <c r="G155" s="87"/>
      <c r="H155" s="2"/>
    </row>
    <row r="156" spans="1:8">
      <c r="A156" s="78" t="s">
        <v>142</v>
      </c>
      <c r="B156" s="75">
        <f>G10+G11</f>
        <v>10.797916666666666</v>
      </c>
      <c r="C156" s="2"/>
      <c r="D156" s="76"/>
      <c r="E156" s="77"/>
      <c r="F156" s="10"/>
      <c r="G156" s="50"/>
      <c r="H156" s="2"/>
    </row>
    <row r="157" spans="1:8">
      <c r="A157" s="78" t="s">
        <v>143</v>
      </c>
      <c r="B157" s="75">
        <f>B154+G6-G7-G8+G13</f>
        <v>16.825299625468165</v>
      </c>
      <c r="C157" s="2"/>
      <c r="D157" s="76"/>
      <c r="E157" s="77"/>
      <c r="F157" s="10"/>
      <c r="G157" s="88"/>
      <c r="H157" s="2"/>
    </row>
    <row r="158" spans="1:8">
      <c r="A158" s="79"/>
      <c r="B158" s="76"/>
      <c r="C158" s="2"/>
      <c r="D158" s="76"/>
      <c r="E158" s="77"/>
      <c r="F158" s="10"/>
      <c r="G158" s="87"/>
      <c r="H158" s="2"/>
    </row>
    <row r="159" spans="1:8">
      <c r="A159" s="80" t="s">
        <v>144</v>
      </c>
      <c r="B159" s="81">
        <f>G31/B154</f>
        <v>9.2270889189765865E-2</v>
      </c>
      <c r="C159" s="18"/>
      <c r="D159" s="76"/>
      <c r="E159" s="77"/>
      <c r="F159" s="10"/>
      <c r="G159" s="50"/>
      <c r="H159" s="2"/>
    </row>
    <row r="160" spans="1:8">
      <c r="A160" s="78" t="s">
        <v>145</v>
      </c>
      <c r="B160" s="81">
        <f>G31/B157</f>
        <v>8.5312992851188305E-2</v>
      </c>
      <c r="C160" s="2"/>
      <c r="D160" s="76"/>
      <c r="E160" s="77"/>
      <c r="F160" s="10"/>
      <c r="G160" s="87"/>
      <c r="H160" s="2"/>
    </row>
    <row r="161" spans="1:5">
      <c r="A161" s="79"/>
      <c r="B161" s="76"/>
      <c r="C161" s="2"/>
      <c r="D161" s="76"/>
      <c r="E161" s="77"/>
    </row>
    <row r="162" spans="1:5" ht="17.100000000000001" thickBot="1">
      <c r="A162" s="82" t="s">
        <v>146</v>
      </c>
      <c r="B162" s="83">
        <v>0.1021</v>
      </c>
      <c r="C162" s="84"/>
      <c r="D162" s="85"/>
      <c r="E162" s="86"/>
    </row>
  </sheetData>
  <mergeCells count="1"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55"/>
  <sheetViews>
    <sheetView workbookViewId="0">
      <pane xSplit="1" ySplit="2" topLeftCell="B13" activePane="bottomRight" state="frozen"/>
      <selection pane="bottomRight" activeCell="D54" sqref="D54"/>
      <selection pane="bottomLeft" activeCell="A3" sqref="A3"/>
      <selection pane="topRight" activeCell="B1" sqref="B1"/>
    </sheetView>
  </sheetViews>
  <sheetFormatPr defaultColWidth="11" defaultRowHeight="15.95"/>
  <cols>
    <col min="1" max="1" width="38.375" customWidth="1"/>
  </cols>
  <sheetData>
    <row r="1" spans="1:8">
      <c r="A1" t="s">
        <v>147</v>
      </c>
      <c r="F1" s="1"/>
      <c r="H1" s="2"/>
    </row>
    <row r="2" spans="1:8">
      <c r="B2" s="3" t="s">
        <v>1</v>
      </c>
      <c r="C2" s="4" t="s">
        <v>2</v>
      </c>
      <c r="D2" s="4" t="s">
        <v>3</v>
      </c>
      <c r="E2" s="5"/>
      <c r="F2" s="6" t="s">
        <v>4</v>
      </c>
      <c r="G2" s="7" t="s">
        <v>5</v>
      </c>
      <c r="H2" s="5" t="s">
        <v>148</v>
      </c>
    </row>
    <row r="3" spans="1:8">
      <c r="F3" s="1"/>
      <c r="H3" s="2"/>
    </row>
    <row r="4" spans="1:8">
      <c r="A4" s="5" t="s">
        <v>8</v>
      </c>
      <c r="F4" s="1"/>
      <c r="H4" s="2"/>
    </row>
    <row r="5" spans="1:8">
      <c r="A5" t="s">
        <v>149</v>
      </c>
      <c r="B5">
        <v>5</v>
      </c>
      <c r="C5">
        <v>19</v>
      </c>
      <c r="D5">
        <v>2.75</v>
      </c>
      <c r="F5" s="8">
        <f t="shared" ref="F5:F6" si="0">B5+C5/20+D5/240</f>
        <v>5.9614583333333337</v>
      </c>
      <c r="H5" s="2"/>
    </row>
    <row r="6" spans="1:8">
      <c r="A6" t="s">
        <v>150</v>
      </c>
      <c r="B6">
        <v>1</v>
      </c>
      <c r="C6">
        <v>9</v>
      </c>
      <c r="F6" s="8">
        <f t="shared" si="0"/>
        <v>1.45</v>
      </c>
      <c r="H6" s="2"/>
    </row>
    <row r="8" spans="1:8">
      <c r="A8" s="5" t="s">
        <v>9</v>
      </c>
    </row>
    <row r="9" spans="1:8">
      <c r="A9" t="s">
        <v>151</v>
      </c>
      <c r="C9">
        <v>7</v>
      </c>
      <c r="D9">
        <v>4</v>
      </c>
      <c r="F9" s="8">
        <f t="shared" ref="F9:F14" si="1">B9+C9/20+D9/240</f>
        <v>0.36666666666666664</v>
      </c>
    </row>
    <row r="10" spans="1:8">
      <c r="A10" t="s">
        <v>152</v>
      </c>
      <c r="C10">
        <v>7</v>
      </c>
      <c r="D10">
        <v>4</v>
      </c>
      <c r="F10" s="8">
        <f t="shared" si="1"/>
        <v>0.36666666666666664</v>
      </c>
    </row>
    <row r="11" spans="1:8">
      <c r="A11" t="s">
        <v>153</v>
      </c>
      <c r="C11">
        <v>7</v>
      </c>
      <c r="D11">
        <v>4</v>
      </c>
      <c r="F11" s="8">
        <f t="shared" si="1"/>
        <v>0.36666666666666664</v>
      </c>
    </row>
    <row r="12" spans="1:8">
      <c r="A12" t="s">
        <v>154</v>
      </c>
      <c r="C12">
        <v>1</v>
      </c>
      <c r="D12">
        <v>2.75</v>
      </c>
      <c r="F12" s="8">
        <f t="shared" si="1"/>
        <v>6.1458333333333337E-2</v>
      </c>
    </row>
    <row r="13" spans="1:8">
      <c r="A13" s="5" t="s">
        <v>155</v>
      </c>
      <c r="B13">
        <v>1</v>
      </c>
      <c r="C13">
        <v>3</v>
      </c>
      <c r="D13">
        <v>2.75</v>
      </c>
      <c r="F13" s="8">
        <f t="shared" si="1"/>
        <v>1.1614583333333333</v>
      </c>
    </row>
    <row r="14" spans="1:8">
      <c r="A14" s="5" t="s">
        <v>97</v>
      </c>
      <c r="B14">
        <f>SUM(B9:B12)</f>
        <v>0</v>
      </c>
      <c r="C14">
        <f t="shared" ref="C14:D14" si="2">SUM(C9:C12)</f>
        <v>22</v>
      </c>
      <c r="D14">
        <f t="shared" si="2"/>
        <v>14.75</v>
      </c>
      <c r="F14" s="8">
        <f t="shared" si="1"/>
        <v>1.1614583333333335</v>
      </c>
      <c r="G14" s="1">
        <f>F14-F13</f>
        <v>0</v>
      </c>
    </row>
    <row r="16" spans="1:8">
      <c r="A16" s="5" t="s">
        <v>10</v>
      </c>
    </row>
    <row r="17" spans="1:7">
      <c r="A17" t="s">
        <v>156</v>
      </c>
      <c r="C17">
        <v>2</v>
      </c>
      <c r="F17" s="8">
        <f t="shared" ref="F17:F22" si="3">B17+C17/20+D17/240</f>
        <v>0.1</v>
      </c>
    </row>
    <row r="18" spans="1:7">
      <c r="A18" t="s">
        <v>157</v>
      </c>
      <c r="C18">
        <v>6</v>
      </c>
      <c r="F18" s="8">
        <f t="shared" si="3"/>
        <v>0.3</v>
      </c>
    </row>
    <row r="19" spans="1:7">
      <c r="A19" t="s">
        <v>158</v>
      </c>
      <c r="C19">
        <v>2</v>
      </c>
      <c r="F19" s="8">
        <f t="shared" si="3"/>
        <v>0.1</v>
      </c>
    </row>
    <row r="20" spans="1:7">
      <c r="A20" t="s">
        <v>159</v>
      </c>
      <c r="C20">
        <v>4</v>
      </c>
      <c r="F20" s="8">
        <f t="shared" si="3"/>
        <v>0.2</v>
      </c>
    </row>
    <row r="21" spans="1:7">
      <c r="A21" s="5" t="s">
        <v>155</v>
      </c>
      <c r="C21">
        <v>14</v>
      </c>
      <c r="F21" s="8">
        <f t="shared" si="3"/>
        <v>0.7</v>
      </c>
    </row>
    <row r="22" spans="1:7">
      <c r="A22" s="5" t="s">
        <v>97</v>
      </c>
      <c r="B22">
        <f>SUM(B17:B20)</f>
        <v>0</v>
      </c>
      <c r="C22">
        <f>SUM(C17:C20)</f>
        <v>14</v>
      </c>
      <c r="D22">
        <f>SUM(D17:D20)</f>
        <v>0</v>
      </c>
      <c r="F22" s="8">
        <f t="shared" si="3"/>
        <v>0.7</v>
      </c>
      <c r="G22" s="1">
        <f>F22-F21</f>
        <v>0</v>
      </c>
    </row>
    <row r="24" spans="1:7">
      <c r="A24" s="5" t="s">
        <v>11</v>
      </c>
    </row>
    <row r="25" spans="1:7">
      <c r="A25" t="s">
        <v>160</v>
      </c>
      <c r="D25">
        <v>2.25</v>
      </c>
      <c r="F25" s="8">
        <f t="shared" ref="F25:F29" si="4">B25+C25/20+D25/240</f>
        <v>9.3749999999999997E-3</v>
      </c>
    </row>
    <row r="26" spans="1:7">
      <c r="A26" s="5" t="s">
        <v>155</v>
      </c>
      <c r="D26">
        <v>2.25</v>
      </c>
      <c r="F26" s="8">
        <f t="shared" si="4"/>
        <v>9.3749999999999997E-3</v>
      </c>
    </row>
    <row r="27" spans="1:7">
      <c r="A27" s="5" t="s">
        <v>97</v>
      </c>
      <c r="B27">
        <f>SUM(B25:B25)</f>
        <v>0</v>
      </c>
      <c r="C27">
        <f>SUM(C25:C25)</f>
        <v>0</v>
      </c>
      <c r="D27">
        <f>SUM(D25:D25)</f>
        <v>2.25</v>
      </c>
      <c r="F27" s="8">
        <f t="shared" si="4"/>
        <v>9.3749999999999997E-3</v>
      </c>
      <c r="G27" s="1">
        <f>F27-F26</f>
        <v>0</v>
      </c>
    </row>
    <row r="29" spans="1:7">
      <c r="A29" s="5" t="s">
        <v>161</v>
      </c>
      <c r="C29">
        <v>9</v>
      </c>
      <c r="D29">
        <v>0.5</v>
      </c>
      <c r="F29" s="8">
        <f t="shared" si="4"/>
        <v>0.45208333333333334</v>
      </c>
    </row>
    <row r="31" spans="1:7">
      <c r="A31" s="5" t="s">
        <v>162</v>
      </c>
    </row>
    <row r="32" spans="1:7">
      <c r="A32" t="s">
        <v>163</v>
      </c>
      <c r="B32">
        <v>1</v>
      </c>
      <c r="C32">
        <v>14</v>
      </c>
      <c r="D32">
        <v>10.5</v>
      </c>
      <c r="F32" s="8">
        <f t="shared" ref="F32:F39" si="5">B32+C32/20+D32/240</f>
        <v>1.7437499999999999</v>
      </c>
    </row>
    <row r="33" spans="1:7">
      <c r="A33" t="s">
        <v>164</v>
      </c>
      <c r="C33">
        <v>14</v>
      </c>
      <c r="D33">
        <v>10</v>
      </c>
      <c r="F33" s="8">
        <f t="shared" si="5"/>
        <v>0.74166666666666659</v>
      </c>
    </row>
    <row r="34" spans="1:7">
      <c r="A34" t="s">
        <v>165</v>
      </c>
      <c r="C34">
        <v>18</v>
      </c>
      <c r="D34">
        <v>2</v>
      </c>
      <c r="F34" s="8">
        <f t="shared" si="5"/>
        <v>0.90833333333333333</v>
      </c>
    </row>
    <row r="35" spans="1:7">
      <c r="A35" t="s">
        <v>166</v>
      </c>
      <c r="C35">
        <v>3</v>
      </c>
      <c r="D35">
        <v>3</v>
      </c>
      <c r="F35" s="8">
        <f t="shared" si="5"/>
        <v>0.16250000000000001</v>
      </c>
    </row>
    <row r="36" spans="1:7">
      <c r="A36" t="s">
        <v>167</v>
      </c>
      <c r="D36">
        <v>10</v>
      </c>
      <c r="F36" s="8">
        <f t="shared" si="5"/>
        <v>4.1666666666666664E-2</v>
      </c>
    </row>
    <row r="37" spans="1:7">
      <c r="A37" t="s">
        <v>168</v>
      </c>
      <c r="C37">
        <v>3</v>
      </c>
      <c r="D37">
        <v>8</v>
      </c>
      <c r="F37" s="8">
        <f t="shared" si="5"/>
        <v>0.18333333333333332</v>
      </c>
    </row>
    <row r="38" spans="1:7">
      <c r="A38" s="5" t="s">
        <v>155</v>
      </c>
      <c r="B38">
        <v>3</v>
      </c>
      <c r="C38">
        <v>15</v>
      </c>
      <c r="D38">
        <v>7.5</v>
      </c>
      <c r="F38" s="8">
        <f t="shared" si="5"/>
        <v>3.78125</v>
      </c>
    </row>
    <row r="39" spans="1:7">
      <c r="A39" s="5" t="s">
        <v>97</v>
      </c>
      <c r="B39">
        <f>SUM(B32:B37)</f>
        <v>1</v>
      </c>
      <c r="C39">
        <f t="shared" ref="C39:D39" si="6">SUM(C32:C37)</f>
        <v>52</v>
      </c>
      <c r="D39">
        <f t="shared" si="6"/>
        <v>43.5</v>
      </c>
      <c r="F39" s="8">
        <f t="shared" si="5"/>
        <v>3.78125</v>
      </c>
      <c r="G39" s="1">
        <f>F39-F38</f>
        <v>0</v>
      </c>
    </row>
    <row r="41" spans="1:7">
      <c r="A41" s="5" t="s">
        <v>14</v>
      </c>
    </row>
    <row r="42" spans="1:7">
      <c r="A42" t="s">
        <v>169</v>
      </c>
      <c r="B42">
        <v>2</v>
      </c>
      <c r="C42">
        <v>14</v>
      </c>
      <c r="D42">
        <v>5.5</v>
      </c>
      <c r="F42" s="8">
        <f t="shared" ref="F42:F48" si="7">B42+C42/20+D42/240</f>
        <v>2.7229166666666669</v>
      </c>
    </row>
    <row r="43" spans="1:7">
      <c r="A43" t="s">
        <v>170</v>
      </c>
      <c r="C43">
        <v>12</v>
      </c>
      <c r="F43" s="8">
        <f t="shared" si="7"/>
        <v>0.6</v>
      </c>
    </row>
    <row r="44" spans="1:7">
      <c r="A44" t="s">
        <v>171</v>
      </c>
      <c r="B44">
        <v>1</v>
      </c>
      <c r="C44">
        <v>11</v>
      </c>
      <c r="D44">
        <v>1.5</v>
      </c>
      <c r="F44" s="8">
        <f t="shared" si="7"/>
        <v>1.5562500000000001</v>
      </c>
    </row>
    <row r="45" spans="1:7">
      <c r="A45" t="s">
        <v>172</v>
      </c>
      <c r="B45">
        <v>1</v>
      </c>
      <c r="C45">
        <v>13</v>
      </c>
      <c r="D45">
        <v>3</v>
      </c>
      <c r="F45" s="8">
        <f t="shared" si="7"/>
        <v>1.6624999999999999</v>
      </c>
    </row>
    <row r="46" spans="1:7">
      <c r="A46" t="s">
        <v>173</v>
      </c>
      <c r="C46">
        <v>9</v>
      </c>
      <c r="D46">
        <v>6</v>
      </c>
      <c r="F46" s="8">
        <f t="shared" si="7"/>
        <v>0.47500000000000003</v>
      </c>
    </row>
    <row r="47" spans="1:7">
      <c r="A47" s="5" t="s">
        <v>155</v>
      </c>
      <c r="B47">
        <v>7</v>
      </c>
      <c r="D47">
        <v>4</v>
      </c>
      <c r="F47" s="8">
        <f t="shared" si="7"/>
        <v>7.0166666666666666</v>
      </c>
    </row>
    <row r="48" spans="1:7">
      <c r="A48" s="5" t="s">
        <v>97</v>
      </c>
      <c r="B48">
        <f>SUM(B42:B46)</f>
        <v>4</v>
      </c>
      <c r="C48">
        <f t="shared" ref="C48:D48" si="8">SUM(C42:C46)</f>
        <v>59</v>
      </c>
      <c r="D48">
        <f t="shared" si="8"/>
        <v>16</v>
      </c>
      <c r="F48" s="8">
        <f t="shared" si="7"/>
        <v>7.0166666666666666</v>
      </c>
      <c r="G48" s="1">
        <f>F48-F47</f>
        <v>0</v>
      </c>
    </row>
    <row r="50" spans="1:7">
      <c r="A50" s="5" t="s">
        <v>174</v>
      </c>
    </row>
    <row r="51" spans="1:7">
      <c r="A51" t="s">
        <v>175</v>
      </c>
      <c r="C51">
        <v>16</v>
      </c>
      <c r="D51">
        <v>4</v>
      </c>
      <c r="F51" s="8">
        <f t="shared" ref="F51:F55" si="9">B51+C51/20+D51/240</f>
        <v>0.81666666666666676</v>
      </c>
    </row>
    <row r="53" spans="1:7">
      <c r="A53" s="9" t="s">
        <v>176</v>
      </c>
      <c r="B53">
        <f>SUM(B51,B48+B39+B27+B22+B14)</f>
        <v>5</v>
      </c>
      <c r="C53">
        <f>SUM(C51,C48+C39+C27+C22+C14)</f>
        <v>163</v>
      </c>
      <c r="D53">
        <f>SUM(D51,D48+D39+D27+D22+D14)</f>
        <v>80.5</v>
      </c>
      <c r="F53" s="8">
        <f t="shared" si="9"/>
        <v>13.485416666666667</v>
      </c>
    </row>
    <row r="54" spans="1:7">
      <c r="A54" s="9" t="s">
        <v>177</v>
      </c>
      <c r="B54">
        <f>B53+B5</f>
        <v>10</v>
      </c>
      <c r="C54">
        <f t="shared" ref="C54:D54" si="10">C53+C5</f>
        <v>182</v>
      </c>
      <c r="D54">
        <f t="shared" si="10"/>
        <v>83.25</v>
      </c>
      <c r="F54" s="8">
        <f t="shared" si="9"/>
        <v>19.446875000000002</v>
      </c>
    </row>
    <row r="55" spans="1:7">
      <c r="A55" s="9" t="s">
        <v>178</v>
      </c>
      <c r="B55">
        <v>12</v>
      </c>
      <c r="C55">
        <v>1</v>
      </c>
      <c r="D55">
        <v>4</v>
      </c>
      <c r="F55" s="8">
        <f t="shared" si="9"/>
        <v>12.066666666666668</v>
      </c>
      <c r="G55" s="1">
        <f>F55-F53</f>
        <v>-1.4187499999999993</v>
      </c>
    </row>
  </sheetData>
  <conditionalFormatting sqref="G1:G1048576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69"/>
  <sheetViews>
    <sheetView topLeftCell="A38" zoomScale="108" workbookViewId="0">
      <selection activeCell="B16" sqref="B16"/>
    </sheetView>
  </sheetViews>
  <sheetFormatPr defaultColWidth="11" defaultRowHeight="15.95"/>
  <cols>
    <col min="1" max="1" width="39" customWidth="1"/>
  </cols>
  <sheetData>
    <row r="1" spans="1:8">
      <c r="A1" s="10" t="s">
        <v>179</v>
      </c>
      <c r="B1" s="10"/>
      <c r="C1" s="10"/>
      <c r="D1" s="10"/>
      <c r="E1" s="10"/>
      <c r="F1" s="11"/>
      <c r="G1" s="10"/>
      <c r="H1" s="2"/>
    </row>
    <row r="2" spans="1:8">
      <c r="A2" s="10"/>
      <c r="B2" s="13" t="s">
        <v>1</v>
      </c>
      <c r="C2" s="15" t="s">
        <v>2</v>
      </c>
      <c r="D2" s="15" t="s">
        <v>3</v>
      </c>
      <c r="E2" s="9"/>
      <c r="F2" s="16" t="s">
        <v>4</v>
      </c>
      <c r="G2" s="7" t="s">
        <v>5</v>
      </c>
      <c r="H2" s="5" t="s">
        <v>148</v>
      </c>
    </row>
    <row r="3" spans="1:8">
      <c r="A3" s="5" t="s">
        <v>180</v>
      </c>
    </row>
    <row r="4" spans="1:8">
      <c r="A4" t="s">
        <v>181</v>
      </c>
      <c r="C4">
        <v>4</v>
      </c>
      <c r="D4">
        <v>9.5</v>
      </c>
      <c r="F4" s="1">
        <f t="shared" ref="F4:F12" si="0">B4+C4/20+D4/240</f>
        <v>0.23958333333333334</v>
      </c>
    </row>
    <row r="5" spans="1:8">
      <c r="A5" t="s">
        <v>182</v>
      </c>
      <c r="D5">
        <v>9</v>
      </c>
      <c r="F5" s="1">
        <f t="shared" si="0"/>
        <v>3.7499999999999999E-2</v>
      </c>
    </row>
    <row r="6" spans="1:8">
      <c r="A6" t="s">
        <v>183</v>
      </c>
      <c r="D6">
        <v>6</v>
      </c>
      <c r="F6" s="1">
        <f t="shared" si="0"/>
        <v>2.5000000000000001E-2</v>
      </c>
    </row>
    <row r="7" spans="1:8">
      <c r="A7" t="s">
        <v>184</v>
      </c>
      <c r="D7">
        <v>2</v>
      </c>
      <c r="F7" s="1">
        <f t="shared" si="0"/>
        <v>8.3333333333333332E-3</v>
      </c>
    </row>
    <row r="8" spans="1:8">
      <c r="A8" t="s">
        <v>185</v>
      </c>
      <c r="D8">
        <v>2</v>
      </c>
      <c r="F8" s="1">
        <f t="shared" si="0"/>
        <v>8.3333333333333332E-3</v>
      </c>
    </row>
    <row r="9" spans="1:8">
      <c r="A9" t="s">
        <v>186</v>
      </c>
      <c r="C9">
        <v>4</v>
      </c>
      <c r="F9" s="1">
        <f t="shared" si="0"/>
        <v>0.2</v>
      </c>
    </row>
    <row r="10" spans="1:8">
      <c r="A10" t="s">
        <v>187</v>
      </c>
      <c r="C10">
        <v>5</v>
      </c>
      <c r="F10" s="1">
        <f t="shared" si="0"/>
        <v>0.25</v>
      </c>
    </row>
    <row r="11" spans="1:8">
      <c r="A11" t="s">
        <v>188</v>
      </c>
      <c r="D11">
        <v>5</v>
      </c>
      <c r="F11" s="1">
        <f t="shared" si="0"/>
        <v>2.0833333333333332E-2</v>
      </c>
    </row>
    <row r="12" spans="1:8">
      <c r="A12" t="s">
        <v>189</v>
      </c>
      <c r="B12">
        <v>2</v>
      </c>
      <c r="C12">
        <v>12</v>
      </c>
      <c r="D12">
        <v>10.75</v>
      </c>
      <c r="F12" s="1">
        <f t="shared" si="0"/>
        <v>2.6447916666666669</v>
      </c>
    </row>
    <row r="13" spans="1:8">
      <c r="A13" s="5" t="s">
        <v>155</v>
      </c>
      <c r="B13">
        <v>3</v>
      </c>
      <c r="C13">
        <v>8</v>
      </c>
      <c r="D13">
        <v>8.25</v>
      </c>
      <c r="F13" s="8">
        <f t="shared" ref="F13:F15" si="1">B13+C13/20+D13/240</f>
        <v>3.4343749999999997</v>
      </c>
    </row>
    <row r="14" spans="1:8">
      <c r="A14" s="5" t="s">
        <v>97</v>
      </c>
      <c r="B14">
        <f>SUM(B3:B12)</f>
        <v>2</v>
      </c>
      <c r="C14">
        <f t="shared" ref="C14:D14" si="2">SUM(C3:C12)</f>
        <v>25</v>
      </c>
      <c r="D14">
        <f t="shared" si="2"/>
        <v>44.25</v>
      </c>
      <c r="F14" s="8">
        <f t="shared" si="1"/>
        <v>3.4343750000000002</v>
      </c>
      <c r="G14" s="1">
        <f>F14-F13</f>
        <v>0</v>
      </c>
    </row>
    <row r="15" spans="1:8">
      <c r="A15" s="5" t="s">
        <v>190</v>
      </c>
      <c r="B15">
        <f>SUM(B4:B9,B11)</f>
        <v>0</v>
      </c>
      <c r="C15">
        <f t="shared" ref="C15:D15" si="3">SUM(C4:C9,C11)</f>
        <v>8</v>
      </c>
      <c r="D15">
        <f t="shared" si="3"/>
        <v>33.5</v>
      </c>
      <c r="F15" s="8">
        <f t="shared" si="1"/>
        <v>0.5395833333333333</v>
      </c>
      <c r="G15" s="1"/>
    </row>
    <row r="17" spans="1:7">
      <c r="A17" s="5" t="s">
        <v>191</v>
      </c>
    </row>
    <row r="18" spans="1:7">
      <c r="A18" t="s">
        <v>192</v>
      </c>
      <c r="D18">
        <v>3</v>
      </c>
      <c r="F18" s="1">
        <f t="shared" ref="F18:F24" si="4">B18+C18/20+D18/240</f>
        <v>1.2500000000000001E-2</v>
      </c>
    </row>
    <row r="19" spans="1:7">
      <c r="A19" t="s">
        <v>193</v>
      </c>
      <c r="D19">
        <v>9</v>
      </c>
      <c r="F19" s="1">
        <f t="shared" si="4"/>
        <v>3.7499999999999999E-2</v>
      </c>
    </row>
    <row r="20" spans="1:7">
      <c r="A20" t="s">
        <v>194</v>
      </c>
      <c r="D20">
        <v>1</v>
      </c>
      <c r="F20" s="1">
        <f t="shared" si="4"/>
        <v>4.1666666666666666E-3</v>
      </c>
    </row>
    <row r="21" spans="1:7">
      <c r="A21" t="s">
        <v>195</v>
      </c>
      <c r="C21">
        <v>1</v>
      </c>
      <c r="D21">
        <v>5</v>
      </c>
      <c r="F21" s="1">
        <f t="shared" si="4"/>
        <v>7.0833333333333331E-2</v>
      </c>
    </row>
    <row r="22" spans="1:7">
      <c r="A22" t="s">
        <v>196</v>
      </c>
      <c r="D22">
        <v>1.5</v>
      </c>
      <c r="F22" s="1">
        <f t="shared" si="4"/>
        <v>6.2500000000000003E-3</v>
      </c>
    </row>
    <row r="23" spans="1:7">
      <c r="A23" t="s">
        <v>197</v>
      </c>
      <c r="C23">
        <v>5</v>
      </c>
      <c r="F23" s="1">
        <f t="shared" si="4"/>
        <v>0.25</v>
      </c>
    </row>
    <row r="24" spans="1:7">
      <c r="A24" s="5" t="s">
        <v>155</v>
      </c>
      <c r="C24">
        <v>7</v>
      </c>
      <c r="D24">
        <v>7.5</v>
      </c>
      <c r="F24" s="8">
        <f t="shared" si="4"/>
        <v>0.38124999999999998</v>
      </c>
    </row>
    <row r="25" spans="1:7">
      <c r="A25" s="5" t="s">
        <v>97</v>
      </c>
      <c r="B25">
        <f>SUM(B18:B23)</f>
        <v>0</v>
      </c>
      <c r="C25">
        <f t="shared" ref="C25:D25" si="5">SUM(C18:C23)</f>
        <v>6</v>
      </c>
      <c r="D25">
        <f t="shared" si="5"/>
        <v>19.5</v>
      </c>
      <c r="F25" s="8">
        <f t="shared" ref="F25:F26" si="6">B25+C25/20+D25/240</f>
        <v>0.38124999999999998</v>
      </c>
      <c r="G25" s="1">
        <f>F25-F24</f>
        <v>0</v>
      </c>
    </row>
    <row r="26" spans="1:7">
      <c r="A26" s="5" t="s">
        <v>190</v>
      </c>
      <c r="B26">
        <f>SUM(B18:B22)</f>
        <v>0</v>
      </c>
      <c r="C26">
        <f t="shared" ref="C26:D26" si="7">SUM(C18:C22)</f>
        <v>1</v>
      </c>
      <c r="D26">
        <f t="shared" si="7"/>
        <v>19.5</v>
      </c>
      <c r="F26" s="8">
        <f t="shared" si="6"/>
        <v>0.13125000000000001</v>
      </c>
      <c r="G26" s="1"/>
    </row>
    <row r="28" spans="1:7">
      <c r="A28" s="5" t="s">
        <v>27</v>
      </c>
    </row>
    <row r="29" spans="1:7">
      <c r="A29" t="s">
        <v>198</v>
      </c>
      <c r="D29">
        <v>6</v>
      </c>
      <c r="F29" s="1">
        <f t="shared" ref="F29:F33" si="8">B29+C29/20+D29/240</f>
        <v>2.5000000000000001E-2</v>
      </c>
    </row>
    <row r="30" spans="1:7">
      <c r="A30" t="s">
        <v>199</v>
      </c>
      <c r="C30">
        <v>4</v>
      </c>
      <c r="F30" s="1">
        <f t="shared" si="8"/>
        <v>0.2</v>
      </c>
    </row>
    <row r="31" spans="1:7">
      <c r="A31" s="5" t="s">
        <v>155</v>
      </c>
      <c r="C31">
        <v>4</v>
      </c>
      <c r="D31">
        <v>6</v>
      </c>
      <c r="F31" s="8">
        <f t="shared" si="8"/>
        <v>0.22500000000000001</v>
      </c>
    </row>
    <row r="32" spans="1:7">
      <c r="A32" s="5" t="s">
        <v>97</v>
      </c>
      <c r="B32">
        <f>SUM(B29:B30)</f>
        <v>0</v>
      </c>
      <c r="C32">
        <f>SUM(C29:C30)</f>
        <v>4</v>
      </c>
      <c r="D32">
        <f>SUM(D29:D30)</f>
        <v>6</v>
      </c>
      <c r="F32" s="8">
        <f t="shared" si="8"/>
        <v>0.22500000000000001</v>
      </c>
      <c r="G32" s="1">
        <f>F32-F31</f>
        <v>0</v>
      </c>
    </row>
    <row r="33" spans="1:7">
      <c r="A33" s="5" t="s">
        <v>190</v>
      </c>
      <c r="B33">
        <f>SUM(B30)</f>
        <v>0</v>
      </c>
      <c r="C33">
        <f t="shared" ref="C33:D33" si="9">SUM(C30)</f>
        <v>4</v>
      </c>
      <c r="D33">
        <f t="shared" si="9"/>
        <v>0</v>
      </c>
      <c r="F33" s="8">
        <f t="shared" si="8"/>
        <v>0.2</v>
      </c>
      <c r="G33" s="1"/>
    </row>
    <row r="35" spans="1:7">
      <c r="A35" s="5" t="s">
        <v>200</v>
      </c>
    </row>
    <row r="36" spans="1:7">
      <c r="A36" t="s">
        <v>201</v>
      </c>
      <c r="D36">
        <v>7.5</v>
      </c>
      <c r="F36" s="1">
        <f t="shared" ref="F36:F45" si="10">B36+C36/20+D36/240</f>
        <v>3.125E-2</v>
      </c>
    </row>
    <row r="37" spans="1:7">
      <c r="A37" t="s">
        <v>202</v>
      </c>
      <c r="C37">
        <v>2</v>
      </c>
      <c r="D37">
        <v>1</v>
      </c>
      <c r="F37" s="1">
        <f t="shared" si="10"/>
        <v>0.10416666666666667</v>
      </c>
    </row>
    <row r="38" spans="1:7">
      <c r="A38" t="s">
        <v>203</v>
      </c>
      <c r="D38">
        <v>2</v>
      </c>
      <c r="F38" s="1">
        <f t="shared" si="10"/>
        <v>8.3333333333333332E-3</v>
      </c>
    </row>
    <row r="39" spans="1:7">
      <c r="A39" t="s">
        <v>204</v>
      </c>
      <c r="D39">
        <v>1.5</v>
      </c>
      <c r="F39" s="1">
        <f t="shared" si="10"/>
        <v>6.2500000000000003E-3</v>
      </c>
    </row>
    <row r="40" spans="1:7">
      <c r="A40" t="s">
        <v>205</v>
      </c>
      <c r="D40">
        <v>1.5</v>
      </c>
      <c r="F40" s="1">
        <f t="shared" si="10"/>
        <v>6.2500000000000003E-3</v>
      </c>
    </row>
    <row r="41" spans="1:7">
      <c r="A41" t="s">
        <v>206</v>
      </c>
      <c r="C41">
        <v>1</v>
      </c>
      <c r="D41">
        <v>4</v>
      </c>
      <c r="F41" s="1">
        <f t="shared" si="10"/>
        <v>6.6666666666666666E-2</v>
      </c>
    </row>
    <row r="42" spans="1:7">
      <c r="A42" t="s">
        <v>207</v>
      </c>
      <c r="C42">
        <v>6</v>
      </c>
      <c r="D42">
        <v>10</v>
      </c>
      <c r="F42" s="1">
        <f t="shared" si="10"/>
        <v>0.34166666666666667</v>
      </c>
    </row>
    <row r="43" spans="1:7">
      <c r="A43" s="5" t="s">
        <v>155</v>
      </c>
      <c r="C43">
        <v>11</v>
      </c>
      <c r="D43">
        <v>3</v>
      </c>
      <c r="F43" s="8">
        <f t="shared" si="10"/>
        <v>0.5625</v>
      </c>
    </row>
    <row r="44" spans="1:7">
      <c r="A44" s="5" t="s">
        <v>97</v>
      </c>
      <c r="B44">
        <f>SUM(B36:B42)</f>
        <v>0</v>
      </c>
      <c r="C44">
        <f>SUM(C36:C42)</f>
        <v>9</v>
      </c>
      <c r="D44">
        <f>SUM(D36:D42)</f>
        <v>27.5</v>
      </c>
      <c r="F44" s="8">
        <f t="shared" si="10"/>
        <v>0.56458333333333333</v>
      </c>
      <c r="G44" s="1">
        <f>F44-F43</f>
        <v>2.0833333333333259E-3</v>
      </c>
    </row>
    <row r="45" spans="1:7">
      <c r="A45" s="5" t="s">
        <v>190</v>
      </c>
      <c r="B45">
        <f>B36+B37+B38+B39+B40+B41+B42</f>
        <v>0</v>
      </c>
      <c r="C45">
        <f t="shared" ref="C45:D45" si="11">C36+C37+C38+C39+C40+C41+C42</f>
        <v>9</v>
      </c>
      <c r="D45">
        <f t="shared" si="11"/>
        <v>27.5</v>
      </c>
      <c r="F45" s="8">
        <f t="shared" si="10"/>
        <v>0.56458333333333333</v>
      </c>
      <c r="G45" s="1"/>
    </row>
    <row r="47" spans="1:7">
      <c r="A47" s="5" t="s">
        <v>29</v>
      </c>
    </row>
    <row r="48" spans="1:7">
      <c r="A48" t="s">
        <v>208</v>
      </c>
      <c r="C48">
        <v>1</v>
      </c>
      <c r="D48">
        <v>3</v>
      </c>
      <c r="F48" s="1">
        <f t="shared" ref="F48:F53" si="12">B48+C48/20+D48/240</f>
        <v>6.25E-2</v>
      </c>
    </row>
    <row r="49" spans="1:7">
      <c r="A49" t="s">
        <v>209</v>
      </c>
      <c r="D49">
        <v>1.5</v>
      </c>
      <c r="F49" s="1">
        <f t="shared" si="12"/>
        <v>6.2500000000000003E-3</v>
      </c>
    </row>
    <row r="50" spans="1:7">
      <c r="A50" t="s">
        <v>210</v>
      </c>
      <c r="C50">
        <v>1</v>
      </c>
      <c r="D50">
        <v>3.75</v>
      </c>
      <c r="F50" s="1">
        <f t="shared" si="12"/>
        <v>6.5625000000000003E-2</v>
      </c>
    </row>
    <row r="51" spans="1:7">
      <c r="A51" t="s">
        <v>211</v>
      </c>
      <c r="D51">
        <v>2</v>
      </c>
      <c r="F51" s="1">
        <f t="shared" si="12"/>
        <v>8.3333333333333332E-3</v>
      </c>
    </row>
    <row r="52" spans="1:7">
      <c r="A52" s="5" t="s">
        <v>155</v>
      </c>
      <c r="C52">
        <v>2</v>
      </c>
      <c r="D52">
        <v>10.25</v>
      </c>
      <c r="F52" s="8">
        <f t="shared" si="12"/>
        <v>0.14270833333333333</v>
      </c>
    </row>
    <row r="53" spans="1:7">
      <c r="A53" s="5" t="s">
        <v>97</v>
      </c>
      <c r="B53">
        <f>SUM(B48:B51)</f>
        <v>0</v>
      </c>
      <c r="C53">
        <f>SUM(C48:C51)</f>
        <v>2</v>
      </c>
      <c r="D53">
        <f>SUM(D48:D51)</f>
        <v>10.25</v>
      </c>
      <c r="F53" s="8">
        <f t="shared" si="12"/>
        <v>0.14270833333333333</v>
      </c>
      <c r="G53" s="1">
        <f>F53-F52</f>
        <v>0</v>
      </c>
    </row>
    <row r="55" spans="1:7">
      <c r="A55" s="5" t="s">
        <v>212</v>
      </c>
    </row>
    <row r="56" spans="1:7">
      <c r="A56" t="s">
        <v>213</v>
      </c>
      <c r="C56">
        <v>1</v>
      </c>
      <c r="D56">
        <v>8</v>
      </c>
      <c r="F56" s="1">
        <f t="shared" ref="F56:F63" si="13">B56+C56/20+D56/240</f>
        <v>8.3333333333333343E-2</v>
      </c>
    </row>
    <row r="57" spans="1:7">
      <c r="A57" t="s">
        <v>214</v>
      </c>
      <c r="D57">
        <v>4</v>
      </c>
      <c r="F57" s="1">
        <f t="shared" si="13"/>
        <v>1.6666666666666666E-2</v>
      </c>
    </row>
    <row r="58" spans="1:7">
      <c r="A58" t="s">
        <v>215</v>
      </c>
      <c r="D58">
        <v>4</v>
      </c>
      <c r="F58" s="1">
        <f t="shared" si="13"/>
        <v>1.6666666666666666E-2</v>
      </c>
    </row>
    <row r="59" spans="1:7">
      <c r="A59" t="s">
        <v>216</v>
      </c>
      <c r="C59">
        <v>1</v>
      </c>
      <c r="D59">
        <v>2</v>
      </c>
      <c r="F59" s="1">
        <f t="shared" si="13"/>
        <v>5.8333333333333334E-2</v>
      </c>
    </row>
    <row r="60" spans="1:7">
      <c r="A60" t="s">
        <v>217</v>
      </c>
      <c r="C60">
        <v>3</v>
      </c>
      <c r="F60" s="1">
        <f t="shared" si="13"/>
        <v>0.15</v>
      </c>
    </row>
    <row r="61" spans="1:7">
      <c r="A61" t="s">
        <v>218</v>
      </c>
      <c r="C61">
        <v>1</v>
      </c>
      <c r="D61">
        <v>8</v>
      </c>
      <c r="F61" s="1">
        <f t="shared" si="13"/>
        <v>8.3333333333333343E-2</v>
      </c>
    </row>
    <row r="62" spans="1:7">
      <c r="A62" s="5" t="s">
        <v>155</v>
      </c>
      <c r="C62">
        <v>8</v>
      </c>
      <c r="D62">
        <v>2</v>
      </c>
      <c r="F62" s="8">
        <f t="shared" si="13"/>
        <v>0.40833333333333338</v>
      </c>
    </row>
    <row r="63" spans="1:7">
      <c r="A63" s="5" t="s">
        <v>97</v>
      </c>
      <c r="B63">
        <f>SUM(B56:B61)</f>
        <v>0</v>
      </c>
      <c r="C63">
        <f t="shared" ref="C63:D63" si="14">SUM(C56:C61)</f>
        <v>6</v>
      </c>
      <c r="D63">
        <f t="shared" si="14"/>
        <v>26</v>
      </c>
      <c r="F63" s="8">
        <f t="shared" si="13"/>
        <v>0.40833333333333333</v>
      </c>
      <c r="G63" s="1">
        <f>F63-F62</f>
        <v>0</v>
      </c>
    </row>
    <row r="65" spans="1:7">
      <c r="A65" s="5" t="s">
        <v>219</v>
      </c>
      <c r="B65" s="5">
        <v>5</v>
      </c>
      <c r="C65" s="5">
        <v>3</v>
      </c>
      <c r="D65" s="5">
        <v>1</v>
      </c>
      <c r="E65" s="5"/>
      <c r="F65" s="8">
        <f t="shared" ref="F65:F69" si="15">B65+C65/20+D65/240</f>
        <v>5.1541666666666668</v>
      </c>
    </row>
    <row r="66" spans="1:7">
      <c r="A66" s="5" t="s">
        <v>220</v>
      </c>
      <c r="B66" s="5">
        <f>SUM(B63,B53,B44,B32,B25,B14,)</f>
        <v>2</v>
      </c>
      <c r="C66" s="5">
        <f t="shared" ref="C66:D66" si="16">SUM(C63,C53,C44,C32,C25,C14,)</f>
        <v>52</v>
      </c>
      <c r="D66" s="5">
        <f t="shared" si="16"/>
        <v>133.5</v>
      </c>
      <c r="E66" s="5"/>
      <c r="F66" s="8">
        <f>B66+C66/20+D66/240</f>
        <v>5.15625</v>
      </c>
      <c r="G66" s="1">
        <f>F66-F65</f>
        <v>2.0833333333332149E-3</v>
      </c>
    </row>
    <row r="67" spans="1:7">
      <c r="A67" s="5" t="s">
        <v>221</v>
      </c>
      <c r="B67" s="5">
        <v>6</v>
      </c>
      <c r="C67" s="5">
        <v>18</v>
      </c>
      <c r="D67" s="5">
        <v>3</v>
      </c>
      <c r="E67" s="5"/>
      <c r="F67" s="8">
        <f t="shared" si="15"/>
        <v>6.9125000000000005</v>
      </c>
    </row>
    <row r="68" spans="1:7">
      <c r="A68" s="5" t="s">
        <v>222</v>
      </c>
      <c r="B68" s="5"/>
      <c r="C68" s="5"/>
      <c r="D68" s="5"/>
      <c r="E68" s="5"/>
      <c r="F68" s="8">
        <f t="shared" si="15"/>
        <v>0</v>
      </c>
    </row>
    <row r="69" spans="1:7">
      <c r="A69" s="5" t="s">
        <v>190</v>
      </c>
      <c r="B69" s="5">
        <f>SUM(B15,B26,B33,B45)</f>
        <v>0</v>
      </c>
      <c r="C69" s="5">
        <f t="shared" ref="C69:D69" si="17">SUM(C15,C26,C33,C45)</f>
        <v>22</v>
      </c>
      <c r="D69" s="5">
        <f t="shared" si="17"/>
        <v>80.5</v>
      </c>
      <c r="E69" s="5"/>
      <c r="F69" s="8">
        <f t="shared" si="15"/>
        <v>1.4354166666666668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4"/>
  <sheetViews>
    <sheetView workbookViewId="0">
      <selection activeCell="R9" sqref="R9"/>
    </sheetView>
  </sheetViews>
  <sheetFormatPr defaultColWidth="11" defaultRowHeight="15.95"/>
  <sheetData>
    <row r="1" spans="1:17">
      <c r="A1" s="17"/>
      <c r="B1" s="18" t="s">
        <v>223</v>
      </c>
      <c r="I1" s="14"/>
      <c r="J1" s="14"/>
      <c r="O1" s="94"/>
      <c r="P1" s="94"/>
      <c r="Q1" s="94"/>
    </row>
    <row r="2" spans="1:17">
      <c r="A2" s="17"/>
      <c r="B2" s="38" t="s">
        <v>224</v>
      </c>
      <c r="C2" s="38"/>
      <c r="D2" s="38"/>
      <c r="E2" s="38"/>
      <c r="F2" s="38"/>
      <c r="G2" s="36" t="s">
        <v>225</v>
      </c>
      <c r="H2" s="36"/>
      <c r="I2" s="36"/>
      <c r="J2" s="36"/>
      <c r="K2" s="36"/>
      <c r="L2" s="36"/>
      <c r="M2" s="36"/>
      <c r="N2" s="36"/>
      <c r="O2" s="37"/>
      <c r="P2" s="19" t="s">
        <v>226</v>
      </c>
      <c r="Q2" s="19"/>
    </row>
    <row r="3" spans="1:17">
      <c r="A3" s="17" t="s">
        <v>227</v>
      </c>
      <c r="B3" s="96" t="s">
        <v>228</v>
      </c>
      <c r="C3" s="96"/>
      <c r="D3" s="96" t="s">
        <v>229</v>
      </c>
      <c r="E3" s="96"/>
      <c r="F3" s="20" t="s">
        <v>228</v>
      </c>
      <c r="G3" s="96" t="s">
        <v>230</v>
      </c>
      <c r="H3" s="96"/>
      <c r="I3" s="96"/>
      <c r="J3" s="94" t="s">
        <v>231</v>
      </c>
      <c r="K3" s="14" t="s">
        <v>232</v>
      </c>
      <c r="L3" s="14" t="s">
        <v>233</v>
      </c>
      <c r="M3" s="14" t="s">
        <v>234</v>
      </c>
      <c r="N3" s="14" t="s">
        <v>235</v>
      </c>
      <c r="O3" s="20" t="s">
        <v>236</v>
      </c>
      <c r="P3" s="94" t="s">
        <v>237</v>
      </c>
    </row>
    <row r="4" spans="1:17">
      <c r="B4" s="21" t="s">
        <v>45</v>
      </c>
      <c r="C4" s="21" t="s">
        <v>46</v>
      </c>
      <c r="D4" s="21" t="s">
        <v>45</v>
      </c>
      <c r="E4" s="21" t="s">
        <v>46</v>
      </c>
      <c r="F4" s="22" t="s">
        <v>45</v>
      </c>
      <c r="G4" s="21" t="s">
        <v>45</v>
      </c>
      <c r="H4" s="21" t="s">
        <v>46</v>
      </c>
      <c r="I4" s="21" t="s">
        <v>45</v>
      </c>
      <c r="J4" s="21"/>
      <c r="K4" s="21" t="s">
        <v>1</v>
      </c>
      <c r="L4" s="21" t="s">
        <v>45</v>
      </c>
      <c r="M4" s="21" t="s">
        <v>1</v>
      </c>
      <c r="N4" s="21" t="s">
        <v>45</v>
      </c>
      <c r="O4" s="22" t="s">
        <v>238</v>
      </c>
      <c r="P4" s="23" t="s">
        <v>1</v>
      </c>
      <c r="Q4" s="24"/>
    </row>
    <row r="5" spans="1:17">
      <c r="A5" t="s">
        <v>49</v>
      </c>
      <c r="B5">
        <v>23</v>
      </c>
      <c r="C5">
        <v>1</v>
      </c>
      <c r="F5" s="25">
        <f>B5+D5+C5/8+E5/8</f>
        <v>23.125</v>
      </c>
      <c r="G5">
        <v>11</v>
      </c>
      <c r="H5">
        <v>1</v>
      </c>
      <c r="I5">
        <f>G5+H5/8</f>
        <v>11.125</v>
      </c>
      <c r="J5" s="26">
        <f>F5-I5</f>
        <v>12</v>
      </c>
      <c r="K5">
        <f>2+14/20+5.5/240</f>
        <v>2.7229166666666669</v>
      </c>
      <c r="L5">
        <f>I5</f>
        <v>11.125</v>
      </c>
      <c r="O5" s="27">
        <f>IFERROR((K5+M5)/(L5+N5),0)</f>
        <v>0.24475655430711613</v>
      </c>
      <c r="P5" s="26">
        <f t="shared" ref="P5:P10" si="0">O5*F5</f>
        <v>5.6599953183520606</v>
      </c>
    </row>
    <row r="6" spans="1:17">
      <c r="A6" t="s">
        <v>50</v>
      </c>
      <c r="B6">
        <v>6</v>
      </c>
      <c r="F6" s="28">
        <f t="shared" ref="F6:F10" si="1">B6+D6+C6/8+E6/8</f>
        <v>6</v>
      </c>
      <c r="G6">
        <v>6</v>
      </c>
      <c r="I6">
        <f t="shared" ref="I6:I10" si="2">G6+H6/8</f>
        <v>6</v>
      </c>
      <c r="J6" s="26">
        <f t="shared" ref="J6:J10" si="3">F6-I6</f>
        <v>0</v>
      </c>
      <c r="K6">
        <f>12/20</f>
        <v>0.6</v>
      </c>
      <c r="L6">
        <f>I6</f>
        <v>6</v>
      </c>
      <c r="O6" s="27">
        <f t="shared" ref="O6:O9" si="4">IFERROR((K6+M6)/(L6+N6),0)</f>
        <v>9.9999999999999992E-2</v>
      </c>
      <c r="P6" s="26">
        <f t="shared" si="0"/>
        <v>0.6</v>
      </c>
    </row>
    <row r="7" spans="1:17">
      <c r="A7" t="s">
        <v>51</v>
      </c>
      <c r="B7">
        <v>34.5</v>
      </c>
      <c r="F7" s="28">
        <f t="shared" si="1"/>
        <v>34.5</v>
      </c>
      <c r="G7">
        <v>10</v>
      </c>
      <c r="H7">
        <v>3</v>
      </c>
      <c r="I7">
        <f t="shared" si="2"/>
        <v>10.375</v>
      </c>
      <c r="J7" s="26">
        <f t="shared" si="3"/>
        <v>24.125</v>
      </c>
      <c r="K7" s="1">
        <f>'Upton Receipts'!F44</f>
        <v>1.5562500000000001</v>
      </c>
      <c r="L7">
        <f t="shared" ref="L7:L10" si="5">I7</f>
        <v>10.375</v>
      </c>
      <c r="O7" s="27">
        <f t="shared" si="4"/>
        <v>0.15000000000000002</v>
      </c>
      <c r="P7" s="26">
        <f t="shared" si="0"/>
        <v>5.1750000000000007</v>
      </c>
    </row>
    <row r="8" spans="1:17">
      <c r="A8" t="s">
        <v>52</v>
      </c>
      <c r="B8">
        <v>32</v>
      </c>
      <c r="C8">
        <v>6</v>
      </c>
      <c r="F8" s="28">
        <f t="shared" si="1"/>
        <v>32.75</v>
      </c>
      <c r="G8">
        <v>14</v>
      </c>
      <c r="H8">
        <v>2</v>
      </c>
      <c r="I8">
        <f t="shared" si="2"/>
        <v>14.25</v>
      </c>
      <c r="J8" s="26">
        <f t="shared" si="3"/>
        <v>18.5</v>
      </c>
      <c r="K8" s="1">
        <f>'Upton Receipts'!F45</f>
        <v>1.6624999999999999</v>
      </c>
      <c r="L8">
        <f t="shared" si="5"/>
        <v>14.25</v>
      </c>
      <c r="O8" s="27">
        <f t="shared" si="4"/>
        <v>0.11666666666666665</v>
      </c>
      <c r="P8" s="26">
        <f t="shared" si="0"/>
        <v>3.8208333333333329</v>
      </c>
    </row>
    <row r="9" spans="1:17">
      <c r="A9" t="s">
        <v>53</v>
      </c>
      <c r="F9" s="28">
        <f t="shared" si="1"/>
        <v>0</v>
      </c>
      <c r="I9">
        <f t="shared" si="2"/>
        <v>0</v>
      </c>
      <c r="J9" s="26">
        <f t="shared" si="3"/>
        <v>0</v>
      </c>
      <c r="K9" s="1"/>
      <c r="L9">
        <f t="shared" si="5"/>
        <v>0</v>
      </c>
      <c r="O9" s="27">
        <f t="shared" si="4"/>
        <v>0</v>
      </c>
      <c r="P9" s="26">
        <f t="shared" si="0"/>
        <v>0</v>
      </c>
    </row>
    <row r="10" spans="1:17">
      <c r="A10" t="s">
        <v>54</v>
      </c>
      <c r="B10">
        <v>7</v>
      </c>
      <c r="C10">
        <v>6</v>
      </c>
      <c r="F10" s="28">
        <f t="shared" si="1"/>
        <v>7.75</v>
      </c>
      <c r="G10">
        <v>4</v>
      </c>
      <c r="H10">
        <v>7</v>
      </c>
      <c r="I10">
        <f t="shared" si="2"/>
        <v>4.875</v>
      </c>
      <c r="J10" s="26">
        <f t="shared" si="3"/>
        <v>2.875</v>
      </c>
      <c r="K10" s="1">
        <f>'Upton Receipts'!F46</f>
        <v>0.47500000000000003</v>
      </c>
      <c r="L10">
        <f t="shared" si="5"/>
        <v>4.875</v>
      </c>
      <c r="O10" s="27">
        <f t="shared" ref="O10" si="6">IFERROR((K10+M10)/(L10+N10),0)</f>
        <v>9.7435897435897437E-2</v>
      </c>
      <c r="P10" s="26">
        <f t="shared" si="0"/>
        <v>0.75512820512820511</v>
      </c>
    </row>
    <row r="12" spans="1:17">
      <c r="A12" s="29" t="s">
        <v>43</v>
      </c>
      <c r="B12" s="30"/>
      <c r="C12" s="30"/>
      <c r="D12" s="30"/>
      <c r="E12" s="30"/>
      <c r="F12" s="31">
        <f>SUM(F5:F10)</f>
        <v>104.125</v>
      </c>
      <c r="G12" s="30"/>
      <c r="H12" s="30"/>
      <c r="I12" s="30"/>
      <c r="J12" s="30"/>
      <c r="K12" s="30"/>
      <c r="L12" s="30"/>
      <c r="M12" s="30"/>
      <c r="N12" s="30"/>
      <c r="O12" s="30"/>
      <c r="P12" s="31">
        <f>SUM(P5:P10)</f>
        <v>16.0109568568136</v>
      </c>
      <c r="Q12" s="32" t="s">
        <v>239</v>
      </c>
    </row>
    <row r="13" spans="1:17">
      <c r="A13" s="29" t="s">
        <v>240</v>
      </c>
      <c r="B13" s="30"/>
      <c r="C13" s="30"/>
      <c r="D13" s="30"/>
      <c r="E13" s="30"/>
      <c r="F13" s="30">
        <f>SUM(I5:I10)</f>
        <v>46.625</v>
      </c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0"/>
    </row>
    <row r="16" spans="1:17" ht="102">
      <c r="A16" s="17" t="s">
        <v>241</v>
      </c>
      <c r="B16" s="33" t="s">
        <v>227</v>
      </c>
      <c r="C16" s="97" t="s">
        <v>242</v>
      </c>
      <c r="D16" s="97"/>
      <c r="E16" s="97"/>
      <c r="F16" t="s">
        <v>243</v>
      </c>
      <c r="G16" s="97" t="s">
        <v>244</v>
      </c>
      <c r="H16" s="97"/>
      <c r="I16" s="98"/>
      <c r="J16" s="33" t="s">
        <v>245</v>
      </c>
      <c r="K16" t="s">
        <v>246</v>
      </c>
      <c r="L16" s="34" t="s">
        <v>247</v>
      </c>
      <c r="M16" s="33" t="s">
        <v>248</v>
      </c>
      <c r="N16" s="33" t="s">
        <v>249</v>
      </c>
    </row>
    <row r="17" spans="1:14">
      <c r="B17" s="14" t="s">
        <v>45</v>
      </c>
      <c r="C17" s="14" t="s">
        <v>45</v>
      </c>
      <c r="D17" t="s">
        <v>46</v>
      </c>
      <c r="E17" t="s">
        <v>45</v>
      </c>
      <c r="F17" t="s">
        <v>45</v>
      </c>
      <c r="G17" t="s">
        <v>45</v>
      </c>
      <c r="H17" t="s">
        <v>46</v>
      </c>
      <c r="I17" s="27" t="s">
        <v>45</v>
      </c>
      <c r="J17" s="14" t="s">
        <v>45</v>
      </c>
      <c r="K17" s="27" t="s">
        <v>45</v>
      </c>
      <c r="L17" s="12" t="s">
        <v>238</v>
      </c>
      <c r="M17" s="14" t="s">
        <v>1</v>
      </c>
      <c r="N17" s="14" t="s">
        <v>1</v>
      </c>
    </row>
    <row r="18" spans="1:14">
      <c r="A18" t="s">
        <v>49</v>
      </c>
      <c r="B18" s="26">
        <f>F5</f>
        <v>23.125</v>
      </c>
      <c r="C18">
        <v>11</v>
      </c>
      <c r="E18">
        <f>C18+D18/8</f>
        <v>11</v>
      </c>
      <c r="G18">
        <v>1</v>
      </c>
      <c r="H18">
        <v>3</v>
      </c>
      <c r="I18" s="27">
        <f>G18+H18/8</f>
        <v>1.375</v>
      </c>
      <c r="J18" s="26">
        <f t="shared" ref="J18:J23" si="7">B18-(E18+F18+I18)</f>
        <v>10.75</v>
      </c>
      <c r="K18" s="27"/>
      <c r="L18" s="35">
        <f>O5</f>
        <v>0.24475655430711613</v>
      </c>
      <c r="M18" s="26">
        <f>L18*J18</f>
        <v>2.6311329588014982</v>
      </c>
      <c r="N18" s="26">
        <f>'Upton Receipts'!F42</f>
        <v>2.7229166666666669</v>
      </c>
    </row>
    <row r="19" spans="1:14">
      <c r="A19" t="s">
        <v>50</v>
      </c>
      <c r="B19" s="26">
        <f t="shared" ref="B19:B23" si="8">F6</f>
        <v>6</v>
      </c>
      <c r="E19">
        <f t="shared" ref="E19:E23" si="9">C19+D19/8</f>
        <v>0</v>
      </c>
      <c r="I19" s="27">
        <f t="shared" ref="I19:I23" si="10">G19+H19/8</f>
        <v>0</v>
      </c>
      <c r="J19" s="26">
        <f t="shared" si="7"/>
        <v>6</v>
      </c>
      <c r="K19" s="27"/>
      <c r="L19" s="35">
        <f t="shared" ref="L19:L22" si="11">O6</f>
        <v>9.9999999999999992E-2</v>
      </c>
      <c r="M19" s="26">
        <f t="shared" ref="M19:M22" si="12">L19*J19</f>
        <v>0.6</v>
      </c>
      <c r="N19" s="26">
        <f>'Upton Receipts'!F43</f>
        <v>0.6</v>
      </c>
    </row>
    <row r="20" spans="1:14">
      <c r="A20" t="s">
        <v>51</v>
      </c>
      <c r="B20" s="26">
        <f t="shared" si="8"/>
        <v>34.5</v>
      </c>
      <c r="C20">
        <v>11</v>
      </c>
      <c r="D20">
        <v>6</v>
      </c>
      <c r="E20">
        <f t="shared" si="9"/>
        <v>11.75</v>
      </c>
      <c r="G20">
        <v>11.5</v>
      </c>
      <c r="H20">
        <v>6</v>
      </c>
      <c r="I20" s="27">
        <f t="shared" si="10"/>
        <v>12.25</v>
      </c>
      <c r="J20" s="26">
        <f t="shared" si="7"/>
        <v>10.5</v>
      </c>
      <c r="K20" s="27"/>
      <c r="L20" s="35">
        <f t="shared" si="11"/>
        <v>0.15000000000000002</v>
      </c>
      <c r="M20" s="26">
        <f t="shared" si="12"/>
        <v>1.5750000000000002</v>
      </c>
      <c r="N20" s="26">
        <f>'Upton Receipts'!F44</f>
        <v>1.5562500000000001</v>
      </c>
    </row>
    <row r="21" spans="1:14">
      <c r="A21" t="s">
        <v>52</v>
      </c>
      <c r="B21" s="26">
        <f t="shared" si="8"/>
        <v>32.75</v>
      </c>
      <c r="C21">
        <v>15</v>
      </c>
      <c r="E21">
        <f t="shared" si="9"/>
        <v>15</v>
      </c>
      <c r="G21">
        <v>3.5</v>
      </c>
      <c r="I21" s="27">
        <f t="shared" si="10"/>
        <v>3.5</v>
      </c>
      <c r="J21" s="26">
        <f t="shared" si="7"/>
        <v>14.25</v>
      </c>
      <c r="K21" s="27"/>
      <c r="L21" s="35">
        <f t="shared" si="11"/>
        <v>0.11666666666666665</v>
      </c>
      <c r="M21" s="26">
        <f t="shared" si="12"/>
        <v>1.6624999999999999</v>
      </c>
      <c r="N21" s="26">
        <f>'Upton Receipts'!F45</f>
        <v>1.6624999999999999</v>
      </c>
    </row>
    <row r="22" spans="1:14">
      <c r="A22" t="s">
        <v>53</v>
      </c>
      <c r="B22" s="26">
        <f t="shared" si="8"/>
        <v>0</v>
      </c>
      <c r="E22">
        <f t="shared" si="9"/>
        <v>0</v>
      </c>
      <c r="I22" s="27">
        <f t="shared" si="10"/>
        <v>0</v>
      </c>
      <c r="J22" s="26">
        <f t="shared" si="7"/>
        <v>0</v>
      </c>
      <c r="K22" s="27"/>
      <c r="L22" s="35">
        <f t="shared" si="11"/>
        <v>0</v>
      </c>
      <c r="M22" s="26">
        <f t="shared" si="12"/>
        <v>0</v>
      </c>
    </row>
    <row r="23" spans="1:14">
      <c r="A23" t="s">
        <v>54</v>
      </c>
      <c r="B23" s="26">
        <f t="shared" si="8"/>
        <v>7.75</v>
      </c>
      <c r="C23">
        <v>1</v>
      </c>
      <c r="D23">
        <v>7</v>
      </c>
      <c r="E23">
        <f t="shared" si="9"/>
        <v>1.875</v>
      </c>
      <c r="G23">
        <v>1</v>
      </c>
      <c r="I23" s="27">
        <f t="shared" si="10"/>
        <v>1</v>
      </c>
      <c r="J23" s="26">
        <f t="shared" si="7"/>
        <v>4.875</v>
      </c>
      <c r="K23" s="27"/>
      <c r="L23" s="35">
        <f t="shared" ref="L23" si="13">O10</f>
        <v>9.7435897435897437E-2</v>
      </c>
      <c r="M23" s="26">
        <f t="shared" ref="M23" si="14">L23*J23</f>
        <v>0.47499999999999998</v>
      </c>
      <c r="N23" s="26">
        <f>'Upton Receipts'!F46</f>
        <v>0.47500000000000003</v>
      </c>
    </row>
    <row r="24" spans="1:14">
      <c r="A24" s="29" t="s">
        <v>97</v>
      </c>
      <c r="B24" s="31">
        <f>SUM(B18:B23)</f>
        <v>104.125</v>
      </c>
      <c r="C24" s="30"/>
      <c r="D24" s="30"/>
      <c r="E24" s="30">
        <f>SUM(E18:E23)</f>
        <v>39.625</v>
      </c>
      <c r="F24" s="30"/>
      <c r="G24" s="30"/>
      <c r="H24" s="30"/>
      <c r="I24" s="30"/>
      <c r="J24" s="31">
        <f>SUM(J18:J23)</f>
        <v>46.375</v>
      </c>
      <c r="K24" s="30"/>
      <c r="L24" s="30"/>
      <c r="M24" s="31">
        <f>SUM(M18:M23)</f>
        <v>6.9436329588014978</v>
      </c>
      <c r="N24" s="31">
        <f>SUM(N18:N23)</f>
        <v>7.0166666666666666</v>
      </c>
    </row>
  </sheetData>
  <mergeCells count="5">
    <mergeCell ref="B3:C3"/>
    <mergeCell ref="D3:E3"/>
    <mergeCell ref="G3:I3"/>
    <mergeCell ref="C16:E16"/>
    <mergeCell ref="G16:I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S97"/>
  <sheetViews>
    <sheetView tabSelected="1" topLeftCell="A2" zoomScale="85" workbookViewId="0">
      <pane xSplit="1" ySplit="2" topLeftCell="F70" activePane="bottomRight" state="frozen"/>
      <selection pane="bottomRight" activeCell="Q40" sqref="Q40"/>
      <selection pane="bottomLeft" activeCell="A4" sqref="A4"/>
      <selection pane="topRight" activeCell="B2" sqref="B2"/>
    </sheetView>
  </sheetViews>
  <sheetFormatPr defaultColWidth="11" defaultRowHeight="15.95"/>
  <cols>
    <col min="1" max="1" width="18.875" customWidth="1"/>
    <col min="13" max="13" width="11.625" bestFit="1" customWidth="1"/>
    <col min="16" max="18" width="10.875" style="26"/>
  </cols>
  <sheetData>
    <row r="1" spans="1:19">
      <c r="A1" s="9" t="s">
        <v>250</v>
      </c>
      <c r="B1" s="10"/>
      <c r="C1" s="10"/>
      <c r="D1" s="10"/>
      <c r="E1" s="10"/>
      <c r="F1" s="10"/>
      <c r="G1" s="10"/>
      <c r="H1" s="10"/>
      <c r="I1" s="10"/>
      <c r="J1" s="10"/>
      <c r="K1" s="50"/>
      <c r="L1" s="50"/>
      <c r="M1" s="10"/>
      <c r="N1" s="10"/>
      <c r="O1" s="10"/>
      <c r="P1" s="50"/>
      <c r="Q1" s="50"/>
      <c r="R1" s="50"/>
      <c r="S1" s="10"/>
    </row>
    <row r="2" spans="1:19">
      <c r="A2" s="52"/>
      <c r="B2" s="10"/>
      <c r="C2" s="10"/>
      <c r="D2" s="10"/>
      <c r="E2" s="10"/>
      <c r="F2" s="10"/>
      <c r="G2" s="10"/>
      <c r="H2" s="10"/>
      <c r="I2" s="10"/>
      <c r="J2" s="10"/>
      <c r="K2" s="50"/>
      <c r="L2" s="50"/>
      <c r="M2" s="10"/>
      <c r="N2" s="10"/>
      <c r="O2" s="10"/>
      <c r="P2" s="50"/>
      <c r="Q2" s="50"/>
      <c r="R2" s="50"/>
      <c r="S2" s="10"/>
    </row>
    <row r="3" spans="1:19" ht="68.099999999999994">
      <c r="A3" s="54" t="s">
        <v>66</v>
      </c>
      <c r="B3" s="55" t="s">
        <v>67</v>
      </c>
      <c r="C3" s="55" t="s">
        <v>251</v>
      </c>
      <c r="D3" s="9" t="s">
        <v>252</v>
      </c>
      <c r="E3" s="9" t="s">
        <v>253</v>
      </c>
      <c r="F3" s="55" t="s">
        <v>254</v>
      </c>
      <c r="G3" s="55" t="s">
        <v>255</v>
      </c>
      <c r="H3" s="55" t="s">
        <v>256</v>
      </c>
      <c r="I3" s="55" t="s">
        <v>68</v>
      </c>
      <c r="J3" s="55" t="s">
        <v>257</v>
      </c>
      <c r="K3" s="56" t="s">
        <v>258</v>
      </c>
      <c r="L3" s="56" t="s">
        <v>259</v>
      </c>
      <c r="M3" s="55" t="s">
        <v>260</v>
      </c>
      <c r="N3" s="55" t="s">
        <v>261</v>
      </c>
      <c r="O3" s="55" t="s">
        <v>262</v>
      </c>
      <c r="P3" s="56" t="s">
        <v>263</v>
      </c>
      <c r="Q3" s="62" t="s">
        <v>71</v>
      </c>
      <c r="R3" s="62" t="s">
        <v>70</v>
      </c>
      <c r="S3" s="55" t="s">
        <v>264</v>
      </c>
    </row>
    <row r="4" spans="1:19" ht="17.100000000000001">
      <c r="A4" s="52" t="s">
        <v>72</v>
      </c>
      <c r="B4" s="10"/>
      <c r="C4" s="10"/>
      <c r="D4" s="10"/>
      <c r="E4" s="10"/>
      <c r="F4" s="10"/>
      <c r="G4" s="10"/>
      <c r="H4" s="10"/>
      <c r="I4" s="10"/>
      <c r="J4" s="55">
        <f>B4+C4-D4-E4-F4-G4-H4</f>
        <v>0</v>
      </c>
      <c r="P4" s="50" t="str">
        <f>IFERROR((K4+M4)/(L4+N4),"")</f>
        <v/>
      </c>
      <c r="Q4" s="50" t="str">
        <f>IFERROR(C4*P4,"")</f>
        <v/>
      </c>
      <c r="R4" s="50" t="str">
        <f>IFERROR(P4*F4,"")</f>
        <v/>
      </c>
      <c r="S4" s="10"/>
    </row>
    <row r="5" spans="1:19" ht="17.100000000000001">
      <c r="A5" s="52" t="s">
        <v>73</v>
      </c>
      <c r="B5" s="10">
        <v>16</v>
      </c>
      <c r="C5" s="10">
        <v>7</v>
      </c>
      <c r="D5" s="10"/>
      <c r="E5" s="10"/>
      <c r="F5" s="10">
        <v>3</v>
      </c>
      <c r="G5" s="10">
        <v>7</v>
      </c>
      <c r="H5" s="10"/>
      <c r="I5" s="10">
        <v>13</v>
      </c>
      <c r="J5" s="55">
        <f t="shared" ref="J5:J62" si="0">B5+C5-D5-E5-F5-G5-H5</f>
        <v>13</v>
      </c>
      <c r="K5" s="57">
        <f>'Upton Receipts'!F33</f>
        <v>0.74166666666666659</v>
      </c>
      <c r="L5" s="57">
        <v>3</v>
      </c>
      <c r="M5" s="55"/>
      <c r="N5" s="55"/>
      <c r="O5" s="55"/>
      <c r="P5" s="50">
        <f t="shared" ref="P5:P17" si="1">IFERROR((K5+M5)/(L5+N5),"")</f>
        <v>0.2472222222222222</v>
      </c>
      <c r="Q5" s="50">
        <f t="shared" ref="Q5:Q17" si="2">IFERROR(C5*P5,"")</f>
        <v>1.7305555555555554</v>
      </c>
      <c r="R5" s="50">
        <f t="shared" ref="R5:R17" si="3">IFERROR(P5*F5,"")</f>
        <v>0.74166666666666659</v>
      </c>
      <c r="S5" s="10"/>
    </row>
    <row r="6" spans="1:19">
      <c r="A6" s="10" t="s">
        <v>74</v>
      </c>
      <c r="B6" s="10">
        <v>2</v>
      </c>
      <c r="C6" s="10"/>
      <c r="D6" s="10"/>
      <c r="E6" s="10"/>
      <c r="F6" s="10"/>
      <c r="G6" s="10"/>
      <c r="H6" s="10"/>
      <c r="I6" s="10">
        <v>2</v>
      </c>
      <c r="J6" s="55">
        <f t="shared" si="0"/>
        <v>2</v>
      </c>
      <c r="K6" s="56"/>
      <c r="L6" s="56"/>
      <c r="M6" s="55"/>
      <c r="N6" s="55"/>
      <c r="O6" s="55"/>
      <c r="P6" s="50" t="str">
        <f t="shared" si="1"/>
        <v/>
      </c>
      <c r="Q6" s="50" t="str">
        <f t="shared" si="2"/>
        <v/>
      </c>
      <c r="R6" s="50" t="str">
        <f t="shared" si="3"/>
        <v/>
      </c>
      <c r="S6" s="10"/>
    </row>
    <row r="7" spans="1:19">
      <c r="A7" s="10" t="s">
        <v>75</v>
      </c>
      <c r="B7" s="10"/>
      <c r="C7" s="10"/>
      <c r="D7" s="10"/>
      <c r="E7" s="10"/>
      <c r="F7" s="10"/>
      <c r="G7" s="10"/>
      <c r="H7" s="10"/>
      <c r="I7" s="10"/>
      <c r="J7" s="55">
        <f t="shared" si="0"/>
        <v>0</v>
      </c>
      <c r="K7" s="56"/>
      <c r="L7" s="56"/>
      <c r="M7" s="55"/>
      <c r="N7" s="55"/>
      <c r="O7" s="55"/>
      <c r="P7" s="50" t="str">
        <f t="shared" si="1"/>
        <v/>
      </c>
      <c r="Q7" s="50" t="str">
        <f t="shared" si="2"/>
        <v/>
      </c>
      <c r="R7" s="50" t="str">
        <f t="shared" si="3"/>
        <v/>
      </c>
      <c r="S7" s="10"/>
    </row>
    <row r="8" spans="1:19">
      <c r="A8" s="10" t="s">
        <v>75</v>
      </c>
      <c r="B8" s="10"/>
      <c r="C8" s="10"/>
      <c r="D8" s="10"/>
      <c r="E8" s="10"/>
      <c r="F8" s="10"/>
      <c r="G8" s="10"/>
      <c r="H8" s="10"/>
      <c r="I8" s="10"/>
      <c r="J8" s="55">
        <f t="shared" si="0"/>
        <v>0</v>
      </c>
      <c r="K8" s="56"/>
      <c r="L8" s="56"/>
      <c r="M8" s="55"/>
      <c r="N8" s="55"/>
      <c r="O8" s="55"/>
      <c r="P8" s="50" t="str">
        <f t="shared" si="1"/>
        <v/>
      </c>
      <c r="Q8" s="50" t="str">
        <f t="shared" si="2"/>
        <v/>
      </c>
      <c r="R8" s="50" t="str">
        <f t="shared" si="3"/>
        <v/>
      </c>
      <c r="S8" s="10"/>
    </row>
    <row r="9" spans="1:19">
      <c r="A9" s="10" t="s">
        <v>76</v>
      </c>
      <c r="B9" s="10"/>
      <c r="C9" s="10"/>
      <c r="D9" s="10"/>
      <c r="E9" s="10"/>
      <c r="F9" s="10"/>
      <c r="G9" s="10"/>
      <c r="H9" s="10"/>
      <c r="I9" s="10"/>
      <c r="J9" s="55">
        <f t="shared" si="0"/>
        <v>0</v>
      </c>
      <c r="K9" s="56"/>
      <c r="L9" s="56"/>
      <c r="M9" s="55"/>
      <c r="N9" s="55"/>
      <c r="O9" s="55"/>
      <c r="P9" s="50" t="str">
        <f t="shared" si="1"/>
        <v/>
      </c>
      <c r="Q9" s="50" t="str">
        <f t="shared" si="2"/>
        <v/>
      </c>
      <c r="R9" s="50" t="str">
        <f t="shared" si="3"/>
        <v/>
      </c>
      <c r="S9" s="10"/>
    </row>
    <row r="10" spans="1:19">
      <c r="A10" s="10" t="s">
        <v>77</v>
      </c>
      <c r="B10" s="10"/>
      <c r="C10" s="10"/>
      <c r="D10" s="10"/>
      <c r="E10" s="10"/>
      <c r="F10" s="10"/>
      <c r="G10" s="10"/>
      <c r="H10" s="10"/>
      <c r="I10" s="10"/>
      <c r="J10" s="55">
        <f t="shared" si="0"/>
        <v>0</v>
      </c>
      <c r="K10" s="56"/>
      <c r="L10" s="56"/>
      <c r="M10" s="55"/>
      <c r="N10" s="55"/>
      <c r="O10" s="55"/>
      <c r="P10" s="50" t="str">
        <f t="shared" si="1"/>
        <v/>
      </c>
      <c r="Q10" s="50" t="str">
        <f t="shared" si="2"/>
        <v/>
      </c>
      <c r="R10" s="50" t="str">
        <f t="shared" si="3"/>
        <v/>
      </c>
      <c r="S10" s="10"/>
    </row>
    <row r="11" spans="1:19">
      <c r="A11" s="10" t="s">
        <v>78</v>
      </c>
      <c r="B11" s="10"/>
      <c r="C11" s="10"/>
      <c r="D11" s="10"/>
      <c r="E11" s="10"/>
      <c r="F11" s="10"/>
      <c r="G11" s="10"/>
      <c r="H11" s="10"/>
      <c r="I11" s="10"/>
      <c r="J11" s="55">
        <f t="shared" si="0"/>
        <v>0</v>
      </c>
      <c r="K11" s="57"/>
      <c r="L11" s="57"/>
      <c r="M11" s="58"/>
      <c r="N11" s="58"/>
      <c r="O11" s="58"/>
      <c r="P11" s="50" t="str">
        <f t="shared" si="1"/>
        <v/>
      </c>
      <c r="Q11" s="50" t="str">
        <f t="shared" si="2"/>
        <v/>
      </c>
      <c r="R11" s="50" t="str">
        <f t="shared" si="3"/>
        <v/>
      </c>
      <c r="S11" s="10"/>
    </row>
    <row r="12" spans="1:19">
      <c r="A12" s="10" t="s">
        <v>79</v>
      </c>
      <c r="B12" s="10"/>
      <c r="C12" s="10"/>
      <c r="D12" s="10"/>
      <c r="E12" s="10"/>
      <c r="F12" s="10"/>
      <c r="G12" s="10"/>
      <c r="H12" s="10"/>
      <c r="I12" s="10"/>
      <c r="J12" s="55">
        <f t="shared" si="0"/>
        <v>0</v>
      </c>
      <c r="K12" s="57"/>
      <c r="L12" s="57"/>
      <c r="M12" s="58"/>
      <c r="N12" s="58"/>
      <c r="O12" s="58"/>
      <c r="P12" s="50" t="str">
        <f t="shared" si="1"/>
        <v/>
      </c>
      <c r="Q12" s="50" t="str">
        <f t="shared" si="2"/>
        <v/>
      </c>
      <c r="R12" s="50" t="str">
        <f t="shared" si="3"/>
        <v/>
      </c>
      <c r="S12" s="10"/>
    </row>
    <row r="13" spans="1:19">
      <c r="A13" s="10" t="s">
        <v>80</v>
      </c>
      <c r="B13" s="10"/>
      <c r="C13" s="10"/>
      <c r="D13" s="10"/>
      <c r="E13" s="10"/>
      <c r="F13" s="10"/>
      <c r="G13" s="10"/>
      <c r="H13" s="10"/>
      <c r="I13" s="10"/>
      <c r="J13" s="55">
        <f t="shared" si="0"/>
        <v>0</v>
      </c>
      <c r="K13" s="57"/>
      <c r="L13" s="57"/>
      <c r="M13" s="58"/>
      <c r="N13" s="58"/>
      <c r="O13" s="58"/>
      <c r="P13" s="50" t="str">
        <f t="shared" si="1"/>
        <v/>
      </c>
      <c r="Q13" s="50" t="str">
        <f t="shared" si="2"/>
        <v/>
      </c>
      <c r="R13" s="50" t="str">
        <f t="shared" si="3"/>
        <v/>
      </c>
      <c r="S13" s="10"/>
    </row>
    <row r="14" spans="1:19">
      <c r="A14" s="10" t="s">
        <v>81</v>
      </c>
      <c r="B14" s="10"/>
      <c r="C14" s="10"/>
      <c r="D14" s="10"/>
      <c r="E14" s="10"/>
      <c r="F14" s="10"/>
      <c r="G14" s="10"/>
      <c r="H14" s="10"/>
      <c r="I14" s="10"/>
      <c r="J14" s="55">
        <f t="shared" si="0"/>
        <v>0</v>
      </c>
      <c r="K14" s="57"/>
      <c r="L14" s="57"/>
      <c r="M14" s="58"/>
      <c r="N14" s="58"/>
      <c r="O14" s="58"/>
      <c r="P14" s="50" t="str">
        <f t="shared" si="1"/>
        <v/>
      </c>
      <c r="Q14" s="50" t="str">
        <f t="shared" si="2"/>
        <v/>
      </c>
      <c r="R14" s="50" t="str">
        <f t="shared" si="3"/>
        <v/>
      </c>
      <c r="S14" s="10"/>
    </row>
    <row r="15" spans="1:19">
      <c r="A15" s="10" t="s">
        <v>82</v>
      </c>
      <c r="B15" s="10"/>
      <c r="C15" s="10"/>
      <c r="D15" s="10"/>
      <c r="E15" s="10"/>
      <c r="F15" s="10"/>
      <c r="G15" s="10"/>
      <c r="H15" s="10"/>
      <c r="I15" s="10"/>
      <c r="J15" s="55">
        <f t="shared" si="0"/>
        <v>0</v>
      </c>
      <c r="K15" s="57"/>
      <c r="L15" s="57"/>
      <c r="M15" s="58"/>
      <c r="N15" s="58"/>
      <c r="O15" s="58"/>
      <c r="P15" s="50" t="str">
        <f t="shared" si="1"/>
        <v/>
      </c>
      <c r="Q15" s="50" t="str">
        <f t="shared" si="2"/>
        <v/>
      </c>
      <c r="R15" s="50" t="str">
        <f t="shared" si="3"/>
        <v/>
      </c>
      <c r="S15" s="10"/>
    </row>
    <row r="16" spans="1:19">
      <c r="A16" s="10" t="s">
        <v>83</v>
      </c>
      <c r="B16" s="10"/>
      <c r="C16" s="10"/>
      <c r="D16" s="10"/>
      <c r="E16" s="10"/>
      <c r="F16" s="10"/>
      <c r="G16" s="10"/>
      <c r="H16" s="10"/>
      <c r="I16" s="10"/>
      <c r="J16" s="55">
        <f t="shared" si="0"/>
        <v>0</v>
      </c>
      <c r="K16" s="57"/>
      <c r="L16" s="57"/>
      <c r="M16" s="58"/>
      <c r="N16" s="58"/>
      <c r="O16" s="58"/>
      <c r="P16" s="50" t="str">
        <f t="shared" si="1"/>
        <v/>
      </c>
      <c r="Q16" s="50" t="str">
        <f t="shared" si="2"/>
        <v/>
      </c>
      <c r="R16" s="50" t="str">
        <f t="shared" si="3"/>
        <v/>
      </c>
      <c r="S16" s="10"/>
    </row>
    <row r="17" spans="1:19">
      <c r="A17" s="10" t="s">
        <v>84</v>
      </c>
      <c r="B17" s="10"/>
      <c r="C17" s="10"/>
      <c r="D17" s="10"/>
      <c r="E17" s="10"/>
      <c r="F17" s="10"/>
      <c r="G17" s="10"/>
      <c r="H17" s="10"/>
      <c r="I17" s="10"/>
      <c r="J17" s="55">
        <f t="shared" si="0"/>
        <v>0</v>
      </c>
      <c r="K17" s="57"/>
      <c r="L17" s="57"/>
      <c r="M17" s="58"/>
      <c r="N17" s="58"/>
      <c r="O17" s="58"/>
      <c r="P17" s="50" t="str">
        <f t="shared" si="1"/>
        <v/>
      </c>
      <c r="Q17" s="50" t="str">
        <f t="shared" si="2"/>
        <v/>
      </c>
      <c r="R17" s="50" t="str">
        <f t="shared" si="3"/>
        <v/>
      </c>
      <c r="S17" s="10"/>
    </row>
    <row r="18" spans="1:19">
      <c r="A18" s="10" t="s">
        <v>85</v>
      </c>
      <c r="B18" s="10">
        <v>313</v>
      </c>
      <c r="C18" s="10"/>
      <c r="D18" s="10"/>
      <c r="E18" s="10"/>
      <c r="F18" s="10">
        <v>29</v>
      </c>
      <c r="G18" s="10">
        <v>26</v>
      </c>
      <c r="H18" s="10"/>
      <c r="I18" s="10">
        <v>261</v>
      </c>
      <c r="J18" s="55">
        <f t="shared" si="0"/>
        <v>258</v>
      </c>
      <c r="K18" s="1">
        <f>'Upton Receipts'!F32</f>
        <v>1.7437499999999999</v>
      </c>
      <c r="L18">
        <v>29</v>
      </c>
      <c r="O18" s="58"/>
      <c r="P18" s="50">
        <f t="shared" ref="P18:P82" si="4">IFERROR((K18+M18)/(L18+N18),"")</f>
        <v>6.0129310344827581E-2</v>
      </c>
      <c r="Q18" s="50">
        <f t="shared" ref="Q18:Q82" si="5">IFERROR(C18*P18,"")</f>
        <v>0</v>
      </c>
      <c r="R18" s="50">
        <f t="shared" ref="R18:R82" si="6">IFERROR(P18*F18,"")</f>
        <v>1.7437499999999999</v>
      </c>
      <c r="S18" s="10"/>
    </row>
    <row r="19" spans="1:19">
      <c r="A19" s="10" t="s">
        <v>86</v>
      </c>
      <c r="B19" s="10"/>
      <c r="C19" s="10"/>
      <c r="D19" s="10"/>
      <c r="E19" s="10"/>
      <c r="F19" s="10"/>
      <c r="G19" s="10"/>
      <c r="H19" s="10"/>
      <c r="I19" s="10"/>
      <c r="J19" s="55">
        <f t="shared" si="0"/>
        <v>0</v>
      </c>
      <c r="K19" s="57"/>
      <c r="L19" s="57"/>
      <c r="M19" s="58"/>
      <c r="N19" s="58"/>
      <c r="O19" s="58"/>
      <c r="P19" s="50" t="str">
        <f t="shared" si="4"/>
        <v/>
      </c>
      <c r="Q19" s="50" t="str">
        <f t="shared" si="5"/>
        <v/>
      </c>
      <c r="R19" s="50" t="str">
        <f t="shared" si="6"/>
        <v/>
      </c>
      <c r="S19" s="10"/>
    </row>
    <row r="20" spans="1:19">
      <c r="A20" s="10" t="s">
        <v>87</v>
      </c>
      <c r="B20" s="10"/>
      <c r="C20" s="10"/>
      <c r="D20" s="10"/>
      <c r="E20" s="10"/>
      <c r="F20" s="10"/>
      <c r="G20" s="10"/>
      <c r="H20" s="10"/>
      <c r="I20" s="10"/>
      <c r="J20" s="55">
        <f t="shared" si="0"/>
        <v>0</v>
      </c>
      <c r="K20" s="57"/>
      <c r="L20" s="57"/>
      <c r="M20" s="58"/>
      <c r="N20" s="58"/>
      <c r="O20" s="58"/>
      <c r="P20" s="50" t="str">
        <f t="shared" si="4"/>
        <v/>
      </c>
      <c r="Q20" s="50" t="str">
        <f t="shared" si="5"/>
        <v/>
      </c>
      <c r="R20" s="50" t="str">
        <f t="shared" si="6"/>
        <v/>
      </c>
      <c r="S20" s="10"/>
    </row>
    <row r="21" spans="1:19">
      <c r="A21" s="10" t="s">
        <v>88</v>
      </c>
      <c r="B21" s="10"/>
      <c r="C21" s="10"/>
      <c r="D21" s="10"/>
      <c r="E21" s="10"/>
      <c r="F21" s="10"/>
      <c r="G21" s="10"/>
      <c r="H21" s="10"/>
      <c r="I21" s="10"/>
      <c r="J21" s="55">
        <f t="shared" si="0"/>
        <v>0</v>
      </c>
      <c r="K21" s="57"/>
      <c r="L21" s="57"/>
      <c r="M21" s="58"/>
      <c r="N21" s="58"/>
      <c r="O21" s="58"/>
      <c r="P21" s="50" t="str">
        <f t="shared" si="4"/>
        <v/>
      </c>
      <c r="Q21" s="50" t="str">
        <f t="shared" si="5"/>
        <v/>
      </c>
      <c r="R21" s="50" t="str">
        <f t="shared" si="6"/>
        <v/>
      </c>
      <c r="S21" s="10"/>
    </row>
    <row r="22" spans="1:19">
      <c r="A22" s="10" t="s">
        <v>89</v>
      </c>
      <c r="B22" s="10"/>
      <c r="C22" s="10"/>
      <c r="D22" s="10"/>
      <c r="E22" s="10"/>
      <c r="F22" s="10"/>
      <c r="G22" s="10"/>
      <c r="H22" s="10"/>
      <c r="I22" s="10"/>
      <c r="J22" s="55">
        <f t="shared" si="0"/>
        <v>0</v>
      </c>
      <c r="K22" s="57"/>
      <c r="L22" s="57"/>
      <c r="M22" s="58"/>
      <c r="N22" s="58"/>
      <c r="O22" s="58"/>
      <c r="P22" s="50" t="str">
        <f t="shared" si="4"/>
        <v/>
      </c>
      <c r="Q22" s="50" t="str">
        <f t="shared" si="5"/>
        <v/>
      </c>
      <c r="R22" s="50" t="str">
        <f t="shared" si="6"/>
        <v/>
      </c>
      <c r="S22" s="10"/>
    </row>
    <row r="23" spans="1:19">
      <c r="A23" s="10" t="s">
        <v>90</v>
      </c>
      <c r="B23" s="10"/>
      <c r="C23" s="10"/>
      <c r="D23" s="10"/>
      <c r="E23" s="10"/>
      <c r="F23" s="10"/>
      <c r="G23" s="10"/>
      <c r="H23" s="10"/>
      <c r="I23" s="10"/>
      <c r="J23" s="55">
        <f t="shared" si="0"/>
        <v>0</v>
      </c>
      <c r="K23" s="57"/>
      <c r="L23" s="57"/>
      <c r="M23" s="58"/>
      <c r="N23" s="58"/>
      <c r="O23" s="58"/>
      <c r="P23" s="50" t="str">
        <f t="shared" si="4"/>
        <v/>
      </c>
      <c r="Q23" s="50" t="str">
        <f t="shared" si="5"/>
        <v/>
      </c>
      <c r="R23" s="50" t="str">
        <f t="shared" si="6"/>
        <v/>
      </c>
      <c r="S23" s="10"/>
    </row>
    <row r="24" spans="1:19">
      <c r="A24" s="10" t="s">
        <v>91</v>
      </c>
      <c r="B24" s="10"/>
      <c r="C24" s="10"/>
      <c r="D24" s="10"/>
      <c r="E24" s="10"/>
      <c r="F24" s="10"/>
      <c r="G24" s="10"/>
      <c r="H24" s="10"/>
      <c r="I24" s="10"/>
      <c r="J24" s="55">
        <f t="shared" si="0"/>
        <v>0</v>
      </c>
      <c r="K24" s="57"/>
      <c r="L24" s="57"/>
      <c r="M24" s="58"/>
      <c r="N24" s="58"/>
      <c r="O24" s="58"/>
      <c r="P24" s="50" t="str">
        <f t="shared" si="4"/>
        <v/>
      </c>
      <c r="Q24" s="50" t="str">
        <f t="shared" si="5"/>
        <v/>
      </c>
      <c r="R24" s="50" t="str">
        <f t="shared" si="6"/>
        <v/>
      </c>
      <c r="S24" s="10"/>
    </row>
    <row r="25" spans="1:19">
      <c r="A25" s="10" t="s">
        <v>92</v>
      </c>
      <c r="B25" s="10"/>
      <c r="C25" s="10"/>
      <c r="D25" s="10"/>
      <c r="E25" s="10"/>
      <c r="F25" s="10"/>
      <c r="G25" s="10"/>
      <c r="H25" s="10"/>
      <c r="I25" s="10"/>
      <c r="J25" s="55">
        <f t="shared" si="0"/>
        <v>0</v>
      </c>
      <c r="K25" s="57"/>
      <c r="L25" s="57"/>
      <c r="M25" s="58"/>
      <c r="N25" s="58"/>
      <c r="O25" s="58"/>
      <c r="P25" s="50" t="str">
        <f t="shared" si="4"/>
        <v/>
      </c>
      <c r="Q25" s="50" t="str">
        <f t="shared" si="5"/>
        <v/>
      </c>
      <c r="R25" s="50" t="str">
        <f t="shared" si="6"/>
        <v/>
      </c>
      <c r="S25" s="10"/>
    </row>
    <row r="26" spans="1:19">
      <c r="A26" s="10" t="s">
        <v>93</v>
      </c>
      <c r="B26" s="10"/>
      <c r="C26" s="10"/>
      <c r="D26" s="10"/>
      <c r="E26" s="10"/>
      <c r="F26" s="10"/>
      <c r="G26" s="10"/>
      <c r="H26" s="10"/>
      <c r="I26" s="10"/>
      <c r="J26" s="55">
        <f t="shared" si="0"/>
        <v>0</v>
      </c>
      <c r="K26" s="57"/>
      <c r="L26" s="57"/>
      <c r="M26" s="58"/>
      <c r="N26" s="58"/>
      <c r="O26" s="58"/>
      <c r="P26" s="50" t="str">
        <f t="shared" si="4"/>
        <v/>
      </c>
      <c r="Q26" s="50" t="str">
        <f t="shared" si="5"/>
        <v/>
      </c>
      <c r="R26" s="50" t="str">
        <f t="shared" si="6"/>
        <v/>
      </c>
      <c r="S26" s="10"/>
    </row>
    <row r="27" spans="1:19">
      <c r="A27" s="10" t="s">
        <v>94</v>
      </c>
      <c r="B27" s="10"/>
      <c r="C27" s="10"/>
      <c r="D27" s="10"/>
      <c r="E27" s="10"/>
      <c r="F27" s="10"/>
      <c r="G27" s="10"/>
      <c r="H27" s="10"/>
      <c r="I27" s="10"/>
      <c r="J27" s="55">
        <f t="shared" si="0"/>
        <v>0</v>
      </c>
      <c r="K27" s="57"/>
      <c r="L27" s="57"/>
      <c r="M27" s="58"/>
      <c r="N27" s="58"/>
      <c r="O27" s="58"/>
      <c r="P27" s="50" t="str">
        <f t="shared" si="4"/>
        <v/>
      </c>
      <c r="Q27" s="50" t="str">
        <f t="shared" si="5"/>
        <v/>
      </c>
      <c r="R27" s="50" t="str">
        <f t="shared" si="6"/>
        <v/>
      </c>
      <c r="S27" s="10"/>
    </row>
    <row r="28" spans="1:19">
      <c r="A28" s="10" t="s">
        <v>95</v>
      </c>
      <c r="B28" s="10"/>
      <c r="C28" s="10"/>
      <c r="D28" s="10"/>
      <c r="E28" s="10"/>
      <c r="F28" s="10"/>
      <c r="G28" s="10"/>
      <c r="H28" s="10"/>
      <c r="I28" s="10"/>
      <c r="J28" s="55">
        <f t="shared" si="0"/>
        <v>0</v>
      </c>
      <c r="K28" s="57"/>
      <c r="L28" s="57"/>
      <c r="M28" s="58"/>
      <c r="N28" s="58"/>
      <c r="O28" s="58"/>
      <c r="P28" s="50" t="str">
        <f t="shared" si="4"/>
        <v/>
      </c>
      <c r="Q28" s="50" t="str">
        <f t="shared" si="5"/>
        <v/>
      </c>
      <c r="R28" s="50" t="str">
        <f t="shared" si="6"/>
        <v/>
      </c>
      <c r="S28" s="10"/>
    </row>
    <row r="29" spans="1:19">
      <c r="A29" s="10" t="s">
        <v>96</v>
      </c>
      <c r="B29" s="10"/>
      <c r="C29" s="10"/>
      <c r="D29" s="10"/>
      <c r="E29" s="10"/>
      <c r="F29" s="10"/>
      <c r="G29" s="10"/>
      <c r="H29" s="10"/>
      <c r="I29" s="10"/>
      <c r="J29" s="55">
        <f t="shared" si="0"/>
        <v>0</v>
      </c>
      <c r="K29" s="50"/>
      <c r="L29" s="50"/>
      <c r="M29" s="10"/>
      <c r="N29" s="10"/>
      <c r="O29" s="10"/>
      <c r="P29" s="50" t="str">
        <f t="shared" si="4"/>
        <v/>
      </c>
      <c r="Q29" s="50" t="str">
        <f t="shared" si="5"/>
        <v/>
      </c>
      <c r="R29" s="50" t="str">
        <f t="shared" si="6"/>
        <v/>
      </c>
      <c r="S29" s="10"/>
    </row>
    <row r="30" spans="1:19" s="19" customFormat="1">
      <c r="A30" s="91" t="s">
        <v>97</v>
      </c>
      <c r="B30" s="91"/>
      <c r="C30" s="91"/>
      <c r="D30" s="91"/>
      <c r="E30" s="91"/>
      <c r="F30" s="91"/>
      <c r="G30" s="91"/>
      <c r="H30" s="91"/>
      <c r="I30" s="91"/>
      <c r="J30" s="92"/>
      <c r="K30" s="93"/>
      <c r="L30" s="93"/>
      <c r="M30" s="91"/>
      <c r="N30" s="91"/>
      <c r="O30" s="91"/>
      <c r="P30" s="93"/>
      <c r="Q30" s="93"/>
      <c r="R30" s="93">
        <f>SUM(R4:R29)</f>
        <v>2.4854166666666666</v>
      </c>
      <c r="S30" s="91"/>
    </row>
    <row r="31" spans="1:19">
      <c r="A31" s="10"/>
      <c r="B31" s="10"/>
      <c r="C31" s="10"/>
      <c r="D31" s="10"/>
      <c r="E31" s="10"/>
      <c r="F31" s="10"/>
      <c r="G31" s="10"/>
      <c r="H31" s="10"/>
      <c r="I31" s="10"/>
      <c r="J31" s="55"/>
      <c r="K31" s="50"/>
      <c r="L31" s="50"/>
      <c r="M31" s="10"/>
      <c r="N31" s="10"/>
      <c r="O31" s="10"/>
      <c r="P31" s="50" t="str">
        <f t="shared" si="4"/>
        <v/>
      </c>
      <c r="Q31" s="50" t="str">
        <f t="shared" si="5"/>
        <v/>
      </c>
      <c r="R31" s="50" t="str">
        <f t="shared" si="6"/>
        <v/>
      </c>
      <c r="S31" s="10"/>
    </row>
    <row r="32" spans="1:19">
      <c r="A32" s="10"/>
      <c r="B32" s="10"/>
      <c r="C32" s="10"/>
      <c r="D32" s="10"/>
      <c r="E32" s="10"/>
      <c r="F32" s="10"/>
      <c r="G32" s="10"/>
      <c r="H32" s="10"/>
      <c r="I32" s="10"/>
      <c r="J32" s="55"/>
      <c r="K32" s="50"/>
      <c r="L32" s="50"/>
      <c r="M32" s="10"/>
      <c r="N32" s="10"/>
      <c r="O32" s="10"/>
      <c r="P32" s="50" t="str">
        <f t="shared" si="4"/>
        <v/>
      </c>
      <c r="Q32" s="50" t="str">
        <f t="shared" si="5"/>
        <v/>
      </c>
      <c r="R32" s="50" t="str">
        <f t="shared" si="6"/>
        <v/>
      </c>
      <c r="S32" s="10"/>
    </row>
    <row r="33" spans="1:19" ht="17.100000000000001">
      <c r="A33" s="54" t="s">
        <v>98</v>
      </c>
      <c r="B33" s="48"/>
      <c r="C33" s="48"/>
      <c r="D33" s="48"/>
      <c r="E33" s="10"/>
      <c r="F33" s="10"/>
      <c r="G33" s="10"/>
      <c r="H33" s="10"/>
      <c r="I33" s="10"/>
      <c r="J33" s="55"/>
      <c r="K33" s="50"/>
      <c r="L33" s="50"/>
      <c r="M33" s="10"/>
      <c r="N33" s="10"/>
      <c r="O33" s="10"/>
      <c r="P33" s="50" t="str">
        <f t="shared" si="4"/>
        <v/>
      </c>
      <c r="Q33" s="50" t="str">
        <f t="shared" si="5"/>
        <v/>
      </c>
      <c r="R33" s="50" t="str">
        <f t="shared" si="6"/>
        <v/>
      </c>
      <c r="S33" s="10"/>
    </row>
    <row r="34" spans="1:19" ht="17.100000000000001">
      <c r="A34" s="52" t="s">
        <v>99</v>
      </c>
      <c r="B34" s="10"/>
      <c r="C34" s="10">
        <v>287</v>
      </c>
      <c r="D34" s="10"/>
      <c r="E34" s="10"/>
      <c r="F34" s="10"/>
      <c r="G34" s="10"/>
      <c r="H34" s="10">
        <v>287</v>
      </c>
      <c r="I34" s="10">
        <v>0</v>
      </c>
      <c r="J34" s="55">
        <f t="shared" si="0"/>
        <v>0</v>
      </c>
      <c r="K34" s="50"/>
      <c r="L34" s="50"/>
      <c r="M34" s="10"/>
      <c r="N34" s="10"/>
      <c r="O34" s="10"/>
      <c r="P34" s="50">
        <v>0.02</v>
      </c>
      <c r="Q34" s="50">
        <f t="shared" si="5"/>
        <v>5.74</v>
      </c>
      <c r="R34" s="50">
        <f t="shared" si="6"/>
        <v>0</v>
      </c>
      <c r="S34" s="10" t="s">
        <v>265</v>
      </c>
    </row>
    <row r="35" spans="1:19">
      <c r="A35" s="10" t="s">
        <v>100</v>
      </c>
      <c r="B35" s="10"/>
      <c r="I35" s="10"/>
      <c r="J35" s="55">
        <f>B35+C37-D37-E37-F37-G37-H37</f>
        <v>0</v>
      </c>
      <c r="K35" s="50"/>
      <c r="L35" s="50"/>
      <c r="M35" s="10"/>
      <c r="N35" s="10"/>
      <c r="P35" s="50" t="str">
        <f t="shared" si="4"/>
        <v/>
      </c>
      <c r="Q35" s="50" t="str">
        <f t="shared" si="5"/>
        <v/>
      </c>
      <c r="R35" s="50" t="str">
        <f t="shared" si="6"/>
        <v/>
      </c>
    </row>
    <row r="36" spans="1:19">
      <c r="A36" s="10" t="s">
        <v>101</v>
      </c>
      <c r="B36" s="10"/>
      <c r="C36" s="10"/>
      <c r="D36" s="10"/>
      <c r="E36" s="10"/>
      <c r="F36" s="10"/>
      <c r="G36" s="10"/>
      <c r="H36" s="10"/>
      <c r="I36" s="10"/>
      <c r="J36" s="55">
        <f t="shared" si="0"/>
        <v>0</v>
      </c>
      <c r="K36" s="50"/>
      <c r="L36" s="50"/>
      <c r="M36" s="10"/>
      <c r="N36" s="10"/>
      <c r="O36" s="10"/>
      <c r="P36" s="50" t="str">
        <f t="shared" si="4"/>
        <v/>
      </c>
      <c r="Q36" s="50" t="str">
        <f t="shared" si="5"/>
        <v/>
      </c>
      <c r="R36" s="50" t="str">
        <f t="shared" si="6"/>
        <v/>
      </c>
      <c r="S36" s="10"/>
    </row>
    <row r="37" spans="1:19">
      <c r="A37" s="10" t="s">
        <v>102</v>
      </c>
      <c r="B37" s="10"/>
      <c r="C37" s="10">
        <f>O37</f>
        <v>0.14285714285714285</v>
      </c>
      <c r="D37" s="10"/>
      <c r="E37" s="10"/>
      <c r="F37" s="10"/>
      <c r="G37" s="10"/>
      <c r="H37" s="10">
        <f>O37</f>
        <v>0.14285714285714285</v>
      </c>
      <c r="I37" s="10">
        <v>0</v>
      </c>
      <c r="J37" s="55"/>
      <c r="K37" s="50"/>
      <c r="L37" s="10"/>
      <c r="M37" s="10"/>
      <c r="N37" s="10"/>
      <c r="O37" s="10">
        <f>2*Assumptions!E7</f>
        <v>0.14285714285714285</v>
      </c>
      <c r="P37" s="50" t="str">
        <f t="shared" si="4"/>
        <v/>
      </c>
      <c r="Q37" s="50" t="str">
        <f t="shared" si="5"/>
        <v/>
      </c>
      <c r="R37" s="50"/>
      <c r="S37" s="10" t="s">
        <v>266</v>
      </c>
    </row>
    <row r="38" spans="1:19">
      <c r="A38" s="10" t="s">
        <v>103</v>
      </c>
      <c r="B38" s="10"/>
      <c r="C38" s="10"/>
      <c r="D38" s="10"/>
      <c r="E38" s="10"/>
      <c r="F38" s="10"/>
      <c r="G38" s="10"/>
      <c r="H38" s="10"/>
      <c r="I38" s="10"/>
      <c r="J38" s="55">
        <f t="shared" si="0"/>
        <v>0</v>
      </c>
      <c r="K38" s="50"/>
      <c r="L38" s="50"/>
      <c r="M38" s="10"/>
      <c r="N38" s="10"/>
      <c r="O38" s="10"/>
      <c r="P38" s="50" t="str">
        <f t="shared" si="4"/>
        <v/>
      </c>
      <c r="Q38" s="50" t="str">
        <f t="shared" si="5"/>
        <v/>
      </c>
      <c r="R38" s="50" t="str">
        <f t="shared" si="6"/>
        <v/>
      </c>
      <c r="S38" s="10"/>
    </row>
    <row r="39" spans="1:19" s="19" customFormat="1">
      <c r="A39" s="91" t="s">
        <v>97</v>
      </c>
      <c r="B39" s="91"/>
      <c r="C39" s="91"/>
      <c r="D39" s="91"/>
      <c r="E39" s="91"/>
      <c r="F39" s="91"/>
      <c r="G39" s="91"/>
      <c r="H39" s="91"/>
      <c r="I39" s="91"/>
      <c r="J39" s="92">
        <f t="shared" si="0"/>
        <v>0</v>
      </c>
      <c r="K39" s="93"/>
      <c r="L39" s="93"/>
      <c r="M39" s="91"/>
      <c r="N39" s="91"/>
      <c r="O39" s="91"/>
      <c r="P39" s="93" t="str">
        <f t="shared" si="4"/>
        <v/>
      </c>
      <c r="Q39" s="93">
        <f>SUM(Q34:Q38)</f>
        <v>5.74</v>
      </c>
      <c r="R39" s="93" t="str">
        <f t="shared" si="6"/>
        <v/>
      </c>
      <c r="S39" s="91"/>
    </row>
    <row r="40" spans="1:19">
      <c r="A40" s="10"/>
      <c r="B40" s="10"/>
      <c r="C40" s="10"/>
      <c r="D40" s="10"/>
      <c r="E40" s="10"/>
      <c r="F40" s="10"/>
      <c r="G40" s="10"/>
      <c r="H40" s="10"/>
      <c r="I40" s="10"/>
      <c r="J40" s="55"/>
      <c r="K40" s="50"/>
      <c r="L40" s="50"/>
      <c r="M40" s="10"/>
      <c r="N40" s="10"/>
      <c r="O40" s="10"/>
      <c r="P40" s="50" t="str">
        <f t="shared" si="4"/>
        <v/>
      </c>
      <c r="Q40" s="50" t="str">
        <f t="shared" si="5"/>
        <v/>
      </c>
      <c r="R40" s="50" t="str">
        <f t="shared" si="6"/>
        <v/>
      </c>
      <c r="S40" s="10"/>
    </row>
    <row r="41" spans="1:19">
      <c r="A41" s="10"/>
      <c r="B41" s="10"/>
      <c r="C41" s="10"/>
      <c r="D41" s="10"/>
      <c r="E41" s="10"/>
      <c r="F41" s="10"/>
      <c r="G41" s="10"/>
      <c r="H41" s="10"/>
      <c r="I41" s="10"/>
      <c r="J41" s="55"/>
      <c r="K41" s="50"/>
      <c r="L41" s="50"/>
      <c r="M41" s="10"/>
      <c r="N41" s="10"/>
      <c r="O41" s="10"/>
      <c r="P41" s="50" t="str">
        <f t="shared" si="4"/>
        <v/>
      </c>
      <c r="Q41" s="50" t="str">
        <f t="shared" si="5"/>
        <v/>
      </c>
      <c r="R41" s="50" t="str">
        <f t="shared" si="6"/>
        <v/>
      </c>
      <c r="S41" s="10"/>
    </row>
    <row r="42" spans="1:19" ht="17.100000000000001">
      <c r="A42" s="54" t="s">
        <v>104</v>
      </c>
      <c r="B42" s="48"/>
      <c r="C42" s="10"/>
      <c r="D42" s="10"/>
      <c r="E42" s="10"/>
      <c r="F42" s="10"/>
      <c r="G42" s="10"/>
      <c r="H42" s="10"/>
      <c r="I42" s="10"/>
      <c r="J42" s="55"/>
      <c r="K42" s="50"/>
      <c r="L42" s="50"/>
      <c r="M42" s="10"/>
      <c r="N42" s="10"/>
      <c r="O42" s="10"/>
      <c r="P42" s="50" t="str">
        <f t="shared" si="4"/>
        <v/>
      </c>
      <c r="Q42" s="50" t="str">
        <f t="shared" si="5"/>
        <v/>
      </c>
      <c r="R42" s="50" t="str">
        <f t="shared" si="6"/>
        <v/>
      </c>
      <c r="S42" s="10"/>
    </row>
    <row r="43" spans="1:19">
      <c r="A43" s="10" t="s">
        <v>105</v>
      </c>
      <c r="B43" s="10"/>
      <c r="C43" s="10"/>
      <c r="D43" s="10"/>
      <c r="E43" s="10"/>
      <c r="F43" s="10"/>
      <c r="G43" s="10"/>
      <c r="H43" s="10"/>
      <c r="I43" s="10"/>
      <c r="J43" s="55">
        <f t="shared" si="0"/>
        <v>0</v>
      </c>
      <c r="K43" s="50"/>
      <c r="L43" s="50"/>
      <c r="M43" s="10"/>
      <c r="N43" s="50"/>
      <c r="O43" s="50"/>
      <c r="P43" s="50" t="str">
        <f t="shared" si="4"/>
        <v/>
      </c>
      <c r="Q43" s="50" t="str">
        <f t="shared" si="5"/>
        <v/>
      </c>
      <c r="R43" s="50" t="str">
        <f t="shared" si="6"/>
        <v/>
      </c>
      <c r="S43" s="10"/>
    </row>
    <row r="44" spans="1:19">
      <c r="A44" s="10" t="s">
        <v>106</v>
      </c>
      <c r="B44" s="10"/>
      <c r="C44" s="10"/>
      <c r="E44" s="10"/>
      <c r="F44" s="10"/>
      <c r="G44" s="10"/>
      <c r="H44" s="10"/>
      <c r="I44" s="10"/>
      <c r="J44" s="55">
        <f t="shared" si="0"/>
        <v>0</v>
      </c>
      <c r="K44" s="50"/>
      <c r="L44" s="50"/>
      <c r="M44" s="10"/>
      <c r="N44" s="50"/>
      <c r="O44" s="50"/>
      <c r="P44" s="50" t="str">
        <f t="shared" si="4"/>
        <v/>
      </c>
      <c r="Q44" s="50" t="str">
        <f t="shared" si="5"/>
        <v/>
      </c>
      <c r="R44" s="50" t="str">
        <f t="shared" si="6"/>
        <v/>
      </c>
      <c r="S44" s="10"/>
    </row>
    <row r="45" spans="1:19">
      <c r="A45" s="10" t="s">
        <v>107</v>
      </c>
      <c r="B45" s="10"/>
      <c r="C45" s="10"/>
      <c r="D45" s="10"/>
      <c r="E45" s="10"/>
      <c r="F45" s="10"/>
      <c r="G45" s="10"/>
      <c r="H45" s="10"/>
      <c r="I45" s="10"/>
      <c r="J45" s="55">
        <f t="shared" si="0"/>
        <v>0</v>
      </c>
      <c r="K45" s="50"/>
      <c r="L45" s="50"/>
      <c r="M45" s="10"/>
      <c r="N45" s="10"/>
      <c r="O45" s="10"/>
      <c r="P45" s="50" t="str">
        <f t="shared" si="4"/>
        <v/>
      </c>
      <c r="Q45" s="50" t="str">
        <f t="shared" si="5"/>
        <v/>
      </c>
      <c r="R45" s="50" t="str">
        <f t="shared" si="6"/>
        <v/>
      </c>
      <c r="S45" s="10"/>
    </row>
    <row r="46" spans="1:19">
      <c r="A46" s="10" t="s">
        <v>108</v>
      </c>
      <c r="B46" s="10"/>
      <c r="C46" s="10"/>
      <c r="E46" s="10"/>
      <c r="F46" s="10"/>
      <c r="G46" s="10"/>
      <c r="H46" s="10"/>
      <c r="I46" s="10"/>
      <c r="J46" s="55">
        <f t="shared" si="0"/>
        <v>0</v>
      </c>
      <c r="K46" s="50"/>
      <c r="L46" s="50"/>
      <c r="M46" s="46"/>
      <c r="N46" s="10"/>
      <c r="O46" s="10"/>
      <c r="P46" s="50" t="str">
        <f t="shared" si="4"/>
        <v/>
      </c>
      <c r="Q46" s="50" t="str">
        <f t="shared" si="5"/>
        <v/>
      </c>
      <c r="R46" s="50" t="str">
        <f t="shared" si="6"/>
        <v/>
      </c>
      <c r="S46" s="10"/>
    </row>
    <row r="47" spans="1:19">
      <c r="A47" s="10" t="s">
        <v>109</v>
      </c>
      <c r="B47" s="10"/>
      <c r="C47" s="10"/>
      <c r="D47" s="10"/>
      <c r="E47" s="10"/>
      <c r="F47" s="10"/>
      <c r="G47" s="10"/>
      <c r="H47" s="10"/>
      <c r="I47" s="10"/>
      <c r="J47" s="55">
        <f t="shared" si="0"/>
        <v>0</v>
      </c>
      <c r="K47" s="50"/>
      <c r="L47" s="50"/>
      <c r="M47" s="10"/>
      <c r="N47" s="10"/>
      <c r="O47" s="10"/>
      <c r="P47" s="50" t="str">
        <f t="shared" si="4"/>
        <v/>
      </c>
      <c r="Q47" s="50" t="str">
        <f t="shared" si="5"/>
        <v/>
      </c>
      <c r="R47" s="50" t="str">
        <f t="shared" si="6"/>
        <v/>
      </c>
      <c r="S47" s="10"/>
    </row>
    <row r="48" spans="1:19">
      <c r="A48" s="10" t="s">
        <v>110</v>
      </c>
      <c r="B48" s="10"/>
      <c r="C48" s="10"/>
      <c r="D48" s="10"/>
      <c r="E48" s="10"/>
      <c r="F48" s="10"/>
      <c r="G48" s="10"/>
      <c r="H48" s="10"/>
      <c r="I48" s="10"/>
      <c r="J48" s="55">
        <f t="shared" si="0"/>
        <v>0</v>
      </c>
      <c r="K48" s="50"/>
      <c r="L48" s="50"/>
      <c r="M48" s="10"/>
      <c r="N48" s="10"/>
      <c r="O48" s="10"/>
      <c r="P48" s="50" t="str">
        <f t="shared" si="4"/>
        <v/>
      </c>
      <c r="Q48" s="50" t="str">
        <f t="shared" si="5"/>
        <v/>
      </c>
      <c r="R48" s="50" t="str">
        <f t="shared" si="6"/>
        <v/>
      </c>
      <c r="S48" s="10"/>
    </row>
    <row r="49" spans="1:19">
      <c r="A49" s="59" t="s">
        <v>111</v>
      </c>
      <c r="B49" s="10"/>
      <c r="C49" s="10"/>
      <c r="D49" s="10"/>
      <c r="E49" s="10"/>
      <c r="F49" s="10"/>
      <c r="G49" s="10"/>
      <c r="H49" s="10"/>
      <c r="I49" s="10"/>
      <c r="J49" s="55">
        <f t="shared" si="0"/>
        <v>0</v>
      </c>
      <c r="K49" s="50"/>
      <c r="L49" s="50"/>
      <c r="M49" s="10"/>
      <c r="N49" s="10"/>
      <c r="O49" s="10"/>
      <c r="P49" s="50" t="str">
        <f t="shared" si="4"/>
        <v/>
      </c>
      <c r="Q49" s="50" t="str">
        <f t="shared" si="5"/>
        <v/>
      </c>
      <c r="R49" s="50" t="str">
        <f t="shared" si="6"/>
        <v/>
      </c>
      <c r="S49" s="10"/>
    </row>
    <row r="50" spans="1:19">
      <c r="A50" s="60" t="s">
        <v>112</v>
      </c>
      <c r="B50" s="10"/>
      <c r="C50" s="10"/>
      <c r="D50" s="10"/>
      <c r="E50" s="10"/>
      <c r="F50" s="10"/>
      <c r="G50" s="10"/>
      <c r="H50" s="10"/>
      <c r="I50" s="10"/>
      <c r="J50" s="55">
        <f t="shared" si="0"/>
        <v>0</v>
      </c>
      <c r="K50" s="50"/>
      <c r="L50" s="50"/>
      <c r="M50" s="10"/>
      <c r="N50" s="10"/>
      <c r="O50" s="10"/>
      <c r="P50" s="50" t="str">
        <f t="shared" si="4"/>
        <v/>
      </c>
      <c r="Q50" s="50" t="str">
        <f t="shared" si="5"/>
        <v/>
      </c>
      <c r="R50" s="50" t="str">
        <f t="shared" si="6"/>
        <v/>
      </c>
      <c r="S50" s="10"/>
    </row>
    <row r="51" spans="1:19">
      <c r="A51" s="60" t="s">
        <v>113</v>
      </c>
      <c r="B51" s="10"/>
      <c r="C51" s="10"/>
      <c r="D51" s="10"/>
      <c r="E51" s="10"/>
      <c r="F51" s="10"/>
      <c r="G51" s="10"/>
      <c r="H51" s="10"/>
      <c r="I51" s="10"/>
      <c r="J51" s="55">
        <f t="shared" si="0"/>
        <v>0</v>
      </c>
      <c r="K51" s="50"/>
      <c r="L51" s="50"/>
      <c r="M51" s="10"/>
      <c r="N51" s="10"/>
      <c r="O51" s="10"/>
      <c r="P51" s="50" t="str">
        <f t="shared" si="4"/>
        <v/>
      </c>
      <c r="Q51" s="50" t="str">
        <f t="shared" si="5"/>
        <v/>
      </c>
      <c r="R51" s="50" t="str">
        <f t="shared" si="6"/>
        <v/>
      </c>
      <c r="S51" s="10"/>
    </row>
    <row r="52" spans="1:19">
      <c r="A52" s="60" t="s">
        <v>114</v>
      </c>
      <c r="B52" s="10"/>
      <c r="C52" s="10"/>
      <c r="D52" s="10"/>
      <c r="E52" s="10"/>
      <c r="F52" s="10"/>
      <c r="G52" s="10"/>
      <c r="H52" s="10"/>
      <c r="I52" s="10"/>
      <c r="J52" s="55">
        <f t="shared" si="0"/>
        <v>0</v>
      </c>
      <c r="K52" s="50"/>
      <c r="L52" s="50"/>
      <c r="M52" s="10"/>
      <c r="N52" s="10"/>
      <c r="O52" s="10"/>
      <c r="P52" s="50" t="str">
        <f t="shared" si="4"/>
        <v/>
      </c>
      <c r="Q52" s="50" t="str">
        <f t="shared" si="5"/>
        <v/>
      </c>
      <c r="R52" s="50" t="str">
        <f t="shared" si="6"/>
        <v/>
      </c>
      <c r="S52" s="10"/>
    </row>
    <row r="53" spans="1:19">
      <c r="A53" s="60" t="s">
        <v>115</v>
      </c>
      <c r="B53" s="10"/>
      <c r="C53" s="10"/>
      <c r="D53" s="10"/>
      <c r="E53" s="10"/>
      <c r="F53" s="10"/>
      <c r="G53" s="10"/>
      <c r="H53" s="10"/>
      <c r="I53" s="10"/>
      <c r="J53" s="55">
        <f t="shared" si="0"/>
        <v>0</v>
      </c>
      <c r="K53" s="50"/>
      <c r="L53" s="50"/>
      <c r="M53" s="10"/>
      <c r="N53" s="10"/>
      <c r="O53" s="10"/>
      <c r="P53" s="50" t="str">
        <f t="shared" si="4"/>
        <v/>
      </c>
      <c r="Q53" s="50" t="str">
        <f t="shared" si="5"/>
        <v/>
      </c>
      <c r="R53" s="50" t="str">
        <f t="shared" si="6"/>
        <v/>
      </c>
      <c r="S53" s="10"/>
    </row>
    <row r="54" spans="1:19">
      <c r="A54" s="61" t="s">
        <v>116</v>
      </c>
      <c r="B54" s="10"/>
      <c r="C54" s="10">
        <v>23</v>
      </c>
      <c r="D54" s="10"/>
      <c r="E54" s="10"/>
      <c r="F54" s="10">
        <v>23</v>
      </c>
      <c r="G54" s="10"/>
      <c r="H54" s="10"/>
      <c r="I54" s="10">
        <v>0</v>
      </c>
      <c r="J54" s="55">
        <f t="shared" si="0"/>
        <v>0</v>
      </c>
      <c r="K54" s="57">
        <f>'Upton Receipts'!F35</f>
        <v>0.16250000000000001</v>
      </c>
      <c r="L54" s="57">
        <v>13</v>
      </c>
      <c r="M54" s="68">
        <f>'Upton Receipts'!F36</f>
        <v>4.1666666666666664E-2</v>
      </c>
      <c r="N54" s="58">
        <v>10</v>
      </c>
      <c r="O54" s="10"/>
      <c r="P54" s="50">
        <f t="shared" si="4"/>
        <v>8.8768115942028988E-3</v>
      </c>
      <c r="Q54" s="50">
        <f t="shared" si="5"/>
        <v>0.20416666666666666</v>
      </c>
      <c r="R54" s="50">
        <f t="shared" si="6"/>
        <v>0.20416666666666666</v>
      </c>
      <c r="S54" s="10"/>
    </row>
    <row r="55" spans="1:19">
      <c r="A55" s="60" t="s">
        <v>117</v>
      </c>
      <c r="B55" s="10"/>
      <c r="C55" s="10"/>
      <c r="D55" s="10"/>
      <c r="E55" s="10"/>
      <c r="F55" s="10"/>
      <c r="G55" s="10"/>
      <c r="H55" s="10"/>
      <c r="I55" s="10"/>
      <c r="J55" s="55">
        <f t="shared" si="0"/>
        <v>0</v>
      </c>
      <c r="K55" s="50"/>
      <c r="L55" s="50"/>
      <c r="M55" s="10"/>
      <c r="N55" s="10"/>
      <c r="O55" s="10"/>
      <c r="P55" s="50" t="str">
        <f t="shared" si="4"/>
        <v/>
      </c>
      <c r="Q55" s="50" t="str">
        <f t="shared" si="5"/>
        <v/>
      </c>
      <c r="R55" s="50" t="str">
        <f t="shared" si="6"/>
        <v/>
      </c>
      <c r="S55" s="10"/>
    </row>
    <row r="56" spans="1:19">
      <c r="A56" s="60" t="s">
        <v>118</v>
      </c>
      <c r="B56" s="10"/>
      <c r="C56" s="10"/>
      <c r="D56" s="10"/>
      <c r="E56" s="10"/>
      <c r="F56" s="10"/>
      <c r="G56" s="10"/>
      <c r="H56" s="10"/>
      <c r="I56" s="10"/>
      <c r="J56" s="55">
        <f t="shared" si="0"/>
        <v>0</v>
      </c>
      <c r="K56" s="50"/>
      <c r="L56" s="50"/>
      <c r="M56" s="10"/>
      <c r="N56" s="10"/>
      <c r="O56" s="10"/>
      <c r="P56" s="50" t="str">
        <f t="shared" si="4"/>
        <v/>
      </c>
      <c r="Q56" s="50" t="str">
        <f t="shared" si="5"/>
        <v/>
      </c>
      <c r="R56" s="50" t="str">
        <f t="shared" si="6"/>
        <v/>
      </c>
      <c r="S56" s="10"/>
    </row>
    <row r="57" spans="1:19">
      <c r="A57" s="60" t="s">
        <v>119</v>
      </c>
      <c r="B57" s="10"/>
      <c r="C57" s="10"/>
      <c r="D57" s="10"/>
      <c r="E57" s="10"/>
      <c r="F57" s="10"/>
      <c r="G57" s="10"/>
      <c r="H57" s="10"/>
      <c r="I57" s="10"/>
      <c r="J57" s="55">
        <f t="shared" si="0"/>
        <v>0</v>
      </c>
      <c r="K57" s="50"/>
      <c r="L57" s="50"/>
      <c r="M57" s="10"/>
      <c r="N57" s="10"/>
      <c r="O57" s="10"/>
      <c r="P57" s="50" t="str">
        <f t="shared" si="4"/>
        <v/>
      </c>
      <c r="Q57" s="50" t="str">
        <f t="shared" si="5"/>
        <v/>
      </c>
      <c r="R57" s="50" t="str">
        <f t="shared" si="6"/>
        <v/>
      </c>
      <c r="S57" s="10"/>
    </row>
    <row r="58" spans="1:19">
      <c r="A58" s="60" t="s">
        <v>120</v>
      </c>
      <c r="B58" s="10"/>
      <c r="C58" s="10"/>
      <c r="D58" s="10"/>
      <c r="E58" s="10"/>
      <c r="F58" s="10"/>
      <c r="G58" s="10"/>
      <c r="H58" s="10"/>
      <c r="I58" s="10"/>
      <c r="J58" s="55">
        <f t="shared" si="0"/>
        <v>0</v>
      </c>
      <c r="K58" s="50"/>
      <c r="L58" s="50"/>
      <c r="M58" s="10"/>
      <c r="N58" s="10"/>
      <c r="O58" s="10"/>
      <c r="P58" s="50" t="str">
        <f t="shared" si="4"/>
        <v/>
      </c>
      <c r="Q58" s="50" t="str">
        <f t="shared" si="5"/>
        <v/>
      </c>
      <c r="R58" s="50" t="str">
        <f t="shared" si="6"/>
        <v/>
      </c>
      <c r="S58" s="10"/>
    </row>
    <row r="59" spans="1:19">
      <c r="A59" s="61" t="s">
        <v>121</v>
      </c>
      <c r="B59" s="10"/>
      <c r="C59" s="10"/>
      <c r="D59" s="10"/>
      <c r="E59" s="10"/>
      <c r="F59" s="10"/>
      <c r="G59" s="10"/>
      <c r="H59" s="10"/>
      <c r="I59" s="10"/>
      <c r="J59" s="55">
        <f t="shared" si="0"/>
        <v>0</v>
      </c>
      <c r="K59" s="50"/>
      <c r="L59" s="50"/>
      <c r="M59" s="10"/>
      <c r="N59" s="10"/>
      <c r="O59" s="10"/>
      <c r="P59" s="50" t="str">
        <f t="shared" si="4"/>
        <v/>
      </c>
      <c r="Q59" s="50" t="str">
        <f t="shared" si="5"/>
        <v/>
      </c>
      <c r="R59" s="50" t="str">
        <f t="shared" si="6"/>
        <v/>
      </c>
      <c r="S59" s="10"/>
    </row>
    <row r="60" spans="1:19">
      <c r="A60" s="10" t="s">
        <v>122</v>
      </c>
      <c r="B60" s="10"/>
      <c r="C60" s="10"/>
      <c r="D60" s="10"/>
      <c r="E60" s="10"/>
      <c r="F60" s="10"/>
      <c r="G60" s="10"/>
      <c r="H60" s="10"/>
      <c r="I60" s="10"/>
      <c r="J60" s="55">
        <f t="shared" si="0"/>
        <v>0</v>
      </c>
      <c r="K60" s="50"/>
      <c r="L60" s="50"/>
      <c r="M60" s="46"/>
      <c r="N60" s="10"/>
      <c r="O60" s="10"/>
      <c r="P60" s="50" t="str">
        <f t="shared" si="4"/>
        <v/>
      </c>
      <c r="Q60" s="50" t="str">
        <f t="shared" si="5"/>
        <v/>
      </c>
      <c r="R60" s="50" t="str">
        <f t="shared" si="6"/>
        <v/>
      </c>
      <c r="S60" s="10"/>
    </row>
    <row r="61" spans="1:19">
      <c r="A61" s="10" t="s">
        <v>123</v>
      </c>
      <c r="B61" s="10"/>
      <c r="C61" s="10"/>
      <c r="D61" s="10"/>
      <c r="E61" s="10"/>
      <c r="F61" s="10"/>
      <c r="G61" s="10"/>
      <c r="H61" s="10"/>
      <c r="I61" s="10"/>
      <c r="J61" s="55">
        <f t="shared" si="0"/>
        <v>0</v>
      </c>
      <c r="K61" s="50"/>
      <c r="L61" s="50"/>
      <c r="M61" s="10"/>
      <c r="N61" s="10"/>
      <c r="O61" s="10"/>
      <c r="P61" s="50" t="str">
        <f t="shared" si="4"/>
        <v/>
      </c>
      <c r="Q61" s="50" t="str">
        <f t="shared" si="5"/>
        <v/>
      </c>
      <c r="R61" s="50" t="str">
        <f t="shared" si="6"/>
        <v/>
      </c>
      <c r="S61" s="10"/>
    </row>
    <row r="62" spans="1:19">
      <c r="A62" s="10" t="s">
        <v>124</v>
      </c>
      <c r="B62" s="10"/>
      <c r="C62" s="10"/>
      <c r="D62" s="10"/>
      <c r="E62" s="10"/>
      <c r="F62" s="10"/>
      <c r="G62" s="10"/>
      <c r="H62" s="10"/>
      <c r="I62" s="10"/>
      <c r="J62" s="55">
        <f t="shared" si="0"/>
        <v>0</v>
      </c>
      <c r="K62" s="50"/>
      <c r="L62" s="50"/>
      <c r="M62" s="10"/>
      <c r="N62" s="10"/>
      <c r="O62" s="10"/>
      <c r="P62" s="50" t="str">
        <f t="shared" si="4"/>
        <v/>
      </c>
      <c r="Q62" s="50" t="str">
        <f t="shared" si="5"/>
        <v/>
      </c>
      <c r="R62" s="50" t="str">
        <f t="shared" si="6"/>
        <v/>
      </c>
      <c r="S62" s="10"/>
    </row>
    <row r="63" spans="1:19" s="19" customFormat="1">
      <c r="A63" s="91" t="s">
        <v>97</v>
      </c>
      <c r="B63" s="91"/>
      <c r="C63" s="91"/>
      <c r="D63" s="91"/>
      <c r="E63" s="91"/>
      <c r="F63" s="91"/>
      <c r="G63" s="91"/>
      <c r="H63" s="91"/>
      <c r="I63" s="91"/>
      <c r="J63" s="92">
        <f t="shared" ref="J63:J92" si="7">B63+C63-D63-E63-F63-G63-H63</f>
        <v>0</v>
      </c>
      <c r="K63" s="93"/>
      <c r="L63" s="93"/>
      <c r="M63" s="91"/>
      <c r="N63" s="91"/>
      <c r="O63" s="91"/>
      <c r="P63" s="93" t="str">
        <f t="shared" si="4"/>
        <v/>
      </c>
      <c r="Q63" s="93" t="str">
        <f t="shared" si="5"/>
        <v/>
      </c>
      <c r="R63" s="93">
        <f>SUM(R43:R62)</f>
        <v>0.20416666666666666</v>
      </c>
      <c r="S63" s="91"/>
    </row>
    <row r="64" spans="1:19">
      <c r="A64" s="10"/>
      <c r="B64" s="10"/>
      <c r="C64" s="10"/>
      <c r="D64" s="10"/>
      <c r="E64" s="10"/>
      <c r="F64" s="10"/>
      <c r="G64" s="10"/>
      <c r="H64" s="10"/>
      <c r="I64" s="10"/>
      <c r="J64" s="55"/>
      <c r="K64" s="50"/>
      <c r="L64" s="50"/>
      <c r="M64" s="10"/>
      <c r="N64" s="10"/>
      <c r="O64" s="10"/>
      <c r="P64" s="50" t="str">
        <f t="shared" si="4"/>
        <v/>
      </c>
      <c r="Q64" s="50" t="str">
        <f t="shared" si="5"/>
        <v/>
      </c>
      <c r="R64" s="50" t="str">
        <f t="shared" si="6"/>
        <v/>
      </c>
      <c r="S64" s="10"/>
    </row>
    <row r="65" spans="1:19" ht="17.100000000000001">
      <c r="A65" s="54" t="s">
        <v>125</v>
      </c>
      <c r="B65" s="48"/>
      <c r="C65" s="10"/>
      <c r="D65" s="10"/>
      <c r="E65" s="10"/>
      <c r="F65" s="10"/>
      <c r="G65" s="10"/>
      <c r="H65" s="10"/>
      <c r="I65" s="10"/>
      <c r="J65" s="55"/>
      <c r="K65" s="50"/>
      <c r="L65" s="50"/>
      <c r="M65" s="10"/>
      <c r="N65" s="10"/>
      <c r="O65" s="10"/>
      <c r="P65" s="50" t="str">
        <f t="shared" si="4"/>
        <v/>
      </c>
      <c r="Q65" s="50" t="str">
        <f t="shared" si="5"/>
        <v/>
      </c>
      <c r="R65" s="50" t="str">
        <f t="shared" si="6"/>
        <v/>
      </c>
      <c r="S65" s="10"/>
    </row>
    <row r="66" spans="1:19" ht="17.100000000000001">
      <c r="A66" s="52" t="s">
        <v>127</v>
      </c>
      <c r="B66" s="10"/>
      <c r="C66" s="10">
        <v>44</v>
      </c>
      <c r="D66" s="10"/>
      <c r="E66" s="10"/>
      <c r="F66" s="10">
        <v>44</v>
      </c>
      <c r="G66" s="10"/>
      <c r="H66" s="10"/>
      <c r="I66" s="10">
        <v>0</v>
      </c>
      <c r="J66" s="55">
        <f t="shared" si="7"/>
        <v>0</v>
      </c>
      <c r="K66" s="50">
        <f>'Upton Receipts'!F37</f>
        <v>0.18333333333333332</v>
      </c>
      <c r="L66" s="50">
        <v>44</v>
      </c>
      <c r="M66" s="10"/>
      <c r="N66" s="10"/>
      <c r="O66" s="10"/>
      <c r="P66" s="50">
        <f t="shared" si="4"/>
        <v>4.1666666666666666E-3</v>
      </c>
      <c r="Q66" s="50">
        <f t="shared" si="5"/>
        <v>0.18333333333333332</v>
      </c>
      <c r="R66" s="50">
        <f t="shared" si="6"/>
        <v>0.18333333333333332</v>
      </c>
      <c r="S66" s="10"/>
    </row>
    <row r="67" spans="1:19">
      <c r="A67" s="10" t="s">
        <v>128</v>
      </c>
      <c r="B67" s="10"/>
      <c r="C67" s="10"/>
      <c r="D67" s="10"/>
      <c r="E67" s="10"/>
      <c r="F67" s="10"/>
      <c r="G67" s="10"/>
      <c r="H67" s="10"/>
      <c r="I67" s="10"/>
      <c r="J67" s="55">
        <f t="shared" si="7"/>
        <v>0</v>
      </c>
      <c r="K67" s="50"/>
      <c r="L67" s="50"/>
      <c r="M67" s="10"/>
      <c r="N67" s="10"/>
      <c r="O67" s="10"/>
      <c r="P67" s="50" t="str">
        <f t="shared" si="4"/>
        <v/>
      </c>
      <c r="Q67" s="50" t="str">
        <f t="shared" si="5"/>
        <v/>
      </c>
      <c r="R67" s="50" t="str">
        <f t="shared" si="6"/>
        <v/>
      </c>
      <c r="S67" s="10"/>
    </row>
    <row r="68" spans="1:19">
      <c r="A68" s="10" t="s">
        <v>129</v>
      </c>
      <c r="B68" s="10"/>
      <c r="C68" s="10"/>
      <c r="D68" s="10"/>
      <c r="E68" s="10"/>
      <c r="F68" s="10"/>
      <c r="G68" s="10"/>
      <c r="H68" s="10"/>
      <c r="I68" s="10"/>
      <c r="J68" s="55">
        <f t="shared" si="7"/>
        <v>0</v>
      </c>
      <c r="K68" s="50"/>
      <c r="L68" s="50"/>
      <c r="M68" s="10"/>
      <c r="N68" s="10"/>
      <c r="O68" s="10"/>
      <c r="P68" s="50" t="str">
        <f t="shared" si="4"/>
        <v/>
      </c>
      <c r="Q68" s="50" t="str">
        <f t="shared" si="5"/>
        <v/>
      </c>
      <c r="R68" s="50" t="str">
        <f t="shared" si="6"/>
        <v/>
      </c>
      <c r="S68" s="10"/>
    </row>
    <row r="69" spans="1:19">
      <c r="A69" s="10" t="s">
        <v>130</v>
      </c>
      <c r="B69" s="10"/>
      <c r="C69" s="10"/>
      <c r="D69" s="10"/>
      <c r="E69" s="10"/>
      <c r="F69" s="10"/>
      <c r="G69" s="10"/>
      <c r="H69" s="10"/>
      <c r="I69" s="10"/>
      <c r="J69" s="55">
        <f t="shared" si="7"/>
        <v>0</v>
      </c>
      <c r="K69" s="50"/>
      <c r="L69" s="50"/>
      <c r="M69" s="10"/>
      <c r="N69" s="10"/>
      <c r="O69" s="10"/>
      <c r="P69" s="50" t="str">
        <f t="shared" si="4"/>
        <v/>
      </c>
      <c r="Q69" s="50" t="str">
        <f t="shared" si="5"/>
        <v/>
      </c>
      <c r="R69" s="50" t="str">
        <f t="shared" si="6"/>
        <v/>
      </c>
      <c r="S69" s="10"/>
    </row>
    <row r="70" spans="1:19" s="19" customFormat="1">
      <c r="A70" s="91" t="s">
        <v>97</v>
      </c>
      <c r="B70" s="91"/>
      <c r="C70" s="91"/>
      <c r="D70" s="91"/>
      <c r="E70" s="91"/>
      <c r="F70" s="91"/>
      <c r="G70" s="91"/>
      <c r="H70" s="91"/>
      <c r="I70" s="91"/>
      <c r="J70" s="92">
        <f t="shared" si="7"/>
        <v>0</v>
      </c>
      <c r="K70" s="93"/>
      <c r="L70" s="93"/>
      <c r="M70" s="91"/>
      <c r="N70" s="91"/>
      <c r="O70" s="91"/>
      <c r="P70" s="93" t="str">
        <f t="shared" si="4"/>
        <v/>
      </c>
      <c r="Q70" s="93" t="str">
        <f t="shared" si="5"/>
        <v/>
      </c>
      <c r="R70" s="93">
        <f>SUM(R66:R69)</f>
        <v>0.18333333333333332</v>
      </c>
      <c r="S70" s="91"/>
    </row>
    <row r="71" spans="1:19">
      <c r="A71" s="10"/>
      <c r="B71" s="10"/>
      <c r="C71" s="10"/>
      <c r="D71" s="10"/>
      <c r="E71" s="10"/>
      <c r="F71" s="10"/>
      <c r="G71" s="10"/>
      <c r="H71" s="10"/>
      <c r="I71" s="10"/>
      <c r="J71" s="55"/>
      <c r="K71" s="50"/>
      <c r="L71" s="50"/>
      <c r="M71" s="10"/>
      <c r="N71" s="10"/>
      <c r="O71" s="10"/>
      <c r="P71" s="50" t="str">
        <f t="shared" si="4"/>
        <v/>
      </c>
      <c r="Q71" s="50" t="str">
        <f t="shared" si="5"/>
        <v/>
      </c>
      <c r="R71" s="50" t="str">
        <f t="shared" si="6"/>
        <v/>
      </c>
      <c r="S71" s="10"/>
    </row>
    <row r="72" spans="1:19">
      <c r="A72" s="9" t="s">
        <v>131</v>
      </c>
      <c r="B72" s="48"/>
      <c r="C72" s="10"/>
      <c r="D72" s="10"/>
      <c r="E72" s="10"/>
      <c r="F72" s="10"/>
      <c r="G72" s="10"/>
      <c r="H72" s="10"/>
      <c r="I72" s="10"/>
      <c r="J72" s="55"/>
      <c r="K72" s="50"/>
      <c r="L72" s="50"/>
      <c r="M72" s="10"/>
      <c r="N72" s="10"/>
      <c r="O72" s="10"/>
      <c r="P72" s="50" t="str">
        <f t="shared" si="4"/>
        <v/>
      </c>
      <c r="Q72" s="50" t="str">
        <f t="shared" si="5"/>
        <v/>
      </c>
      <c r="R72" s="50" t="str">
        <f t="shared" si="6"/>
        <v/>
      </c>
      <c r="S72" s="10"/>
    </row>
    <row r="73" spans="1:19">
      <c r="A73" s="10" t="s">
        <v>132</v>
      </c>
      <c r="B73" s="10"/>
      <c r="C73" s="10"/>
      <c r="D73" s="10"/>
      <c r="E73" s="10"/>
      <c r="F73" s="10"/>
      <c r="G73" s="10"/>
      <c r="H73" s="10"/>
      <c r="I73" s="10"/>
      <c r="J73" s="55">
        <f t="shared" si="7"/>
        <v>0</v>
      </c>
      <c r="K73" s="50"/>
      <c r="L73" s="50"/>
      <c r="M73" s="10"/>
      <c r="N73" s="10"/>
      <c r="O73" s="10"/>
      <c r="P73" s="50" t="str">
        <f t="shared" si="4"/>
        <v/>
      </c>
      <c r="Q73" s="50" t="str">
        <f t="shared" si="5"/>
        <v/>
      </c>
      <c r="R73" s="50" t="str">
        <f t="shared" si="6"/>
        <v/>
      </c>
      <c r="S73" s="10"/>
    </row>
    <row r="74" spans="1:19">
      <c r="A74" s="10" t="s">
        <v>133</v>
      </c>
      <c r="B74" s="10"/>
      <c r="C74" s="10"/>
      <c r="D74" s="10"/>
      <c r="E74" s="10"/>
      <c r="F74" s="10"/>
      <c r="G74" s="10"/>
      <c r="H74" s="10"/>
      <c r="I74" s="10"/>
      <c r="J74" s="55">
        <f t="shared" si="7"/>
        <v>0</v>
      </c>
      <c r="K74" s="50"/>
      <c r="L74" s="50"/>
      <c r="M74" s="10"/>
      <c r="N74" s="10"/>
      <c r="O74" s="10"/>
      <c r="P74" s="50" t="str">
        <f t="shared" si="4"/>
        <v/>
      </c>
      <c r="Q74" s="50" t="str">
        <f t="shared" si="5"/>
        <v/>
      </c>
      <c r="R74" s="50" t="str">
        <f t="shared" si="6"/>
        <v/>
      </c>
      <c r="S74" s="10"/>
    </row>
    <row r="75" spans="1:19">
      <c r="A75" s="10"/>
      <c r="B75" s="10"/>
      <c r="C75" s="10"/>
      <c r="D75" s="10"/>
      <c r="E75" s="10"/>
      <c r="F75" s="10"/>
      <c r="G75" s="10"/>
      <c r="H75" s="10"/>
      <c r="I75" s="10"/>
      <c r="J75" s="55">
        <f t="shared" si="7"/>
        <v>0</v>
      </c>
      <c r="K75" s="50"/>
      <c r="L75" s="50"/>
      <c r="M75" s="10"/>
      <c r="N75" s="10"/>
      <c r="O75" s="10"/>
      <c r="P75" s="50" t="str">
        <f t="shared" si="4"/>
        <v/>
      </c>
      <c r="Q75" s="50" t="str">
        <f t="shared" si="5"/>
        <v/>
      </c>
      <c r="R75" s="50" t="str">
        <f t="shared" si="6"/>
        <v/>
      </c>
      <c r="S75" s="10"/>
    </row>
    <row r="76" spans="1:19">
      <c r="A76" s="10"/>
      <c r="B76" s="10"/>
      <c r="C76" s="10"/>
      <c r="D76" s="10"/>
      <c r="E76" s="10"/>
      <c r="F76" s="10"/>
      <c r="G76" s="10"/>
      <c r="H76" s="10"/>
      <c r="I76" s="10"/>
      <c r="J76" s="55">
        <f t="shared" si="7"/>
        <v>0</v>
      </c>
      <c r="K76" s="50"/>
      <c r="L76" s="50"/>
      <c r="M76" s="10"/>
      <c r="N76" s="10"/>
      <c r="O76" s="10"/>
      <c r="P76" s="50" t="str">
        <f t="shared" si="4"/>
        <v/>
      </c>
      <c r="Q76" s="50" t="str">
        <f t="shared" si="5"/>
        <v/>
      </c>
      <c r="R76" s="50" t="str">
        <f t="shared" si="6"/>
        <v/>
      </c>
      <c r="S76" s="10"/>
    </row>
    <row r="77" spans="1:19">
      <c r="A77" s="9" t="s">
        <v>267</v>
      </c>
      <c r="B77" s="10"/>
      <c r="C77" s="10"/>
      <c r="D77" s="10"/>
      <c r="E77" s="10"/>
      <c r="F77" s="10"/>
      <c r="G77" s="10"/>
      <c r="H77" s="10"/>
      <c r="I77" s="10"/>
      <c r="J77" s="55"/>
      <c r="K77" s="50"/>
      <c r="L77" s="50"/>
      <c r="M77" s="10"/>
      <c r="N77" s="10"/>
      <c r="O77" s="10"/>
      <c r="P77" s="50" t="str">
        <f t="shared" si="4"/>
        <v/>
      </c>
      <c r="Q77" s="50" t="str">
        <f t="shared" si="5"/>
        <v/>
      </c>
      <c r="R77" s="50" t="str">
        <f t="shared" si="6"/>
        <v/>
      </c>
      <c r="S77" s="10"/>
    </row>
    <row r="78" spans="1:19">
      <c r="A78" s="10" t="s">
        <v>268</v>
      </c>
      <c r="B78" s="10"/>
      <c r="C78" s="10"/>
      <c r="D78" s="10"/>
      <c r="E78" s="10"/>
      <c r="F78" s="10"/>
      <c r="G78" s="10"/>
      <c r="H78" s="10"/>
      <c r="I78" s="10"/>
      <c r="J78" s="55">
        <f t="shared" si="7"/>
        <v>0</v>
      </c>
      <c r="K78" s="50"/>
      <c r="L78" s="50"/>
      <c r="M78" s="10"/>
      <c r="N78" s="10"/>
      <c r="O78" s="10"/>
      <c r="P78" s="50" t="str">
        <f t="shared" si="4"/>
        <v/>
      </c>
      <c r="Q78" s="50" t="str">
        <f t="shared" si="5"/>
        <v/>
      </c>
      <c r="R78" s="50" t="str">
        <f t="shared" si="6"/>
        <v/>
      </c>
      <c r="S78" s="10"/>
    </row>
    <row r="79" spans="1:19">
      <c r="A79" s="10" t="s">
        <v>269</v>
      </c>
      <c r="B79" s="10"/>
      <c r="C79" s="10"/>
      <c r="D79" s="10"/>
      <c r="E79" s="10"/>
      <c r="F79" s="10"/>
      <c r="G79" s="10"/>
      <c r="H79" s="10"/>
      <c r="I79" s="10"/>
      <c r="J79" s="55">
        <f t="shared" si="7"/>
        <v>0</v>
      </c>
      <c r="K79" s="50"/>
      <c r="L79" s="50"/>
      <c r="M79" s="10"/>
      <c r="N79" s="10"/>
      <c r="O79" s="10"/>
      <c r="P79" s="50" t="str">
        <f t="shared" si="4"/>
        <v/>
      </c>
      <c r="Q79" s="50" t="str">
        <f t="shared" si="5"/>
        <v/>
      </c>
      <c r="R79" s="50" t="str">
        <f t="shared" si="6"/>
        <v/>
      </c>
      <c r="S79" s="10"/>
    </row>
    <row r="80" spans="1:19">
      <c r="A80" s="10" t="s">
        <v>270</v>
      </c>
      <c r="B80" s="10"/>
      <c r="C80" s="10"/>
      <c r="D80" s="10"/>
      <c r="E80" s="10"/>
      <c r="F80" s="10"/>
      <c r="G80" s="10"/>
      <c r="H80" s="10"/>
      <c r="I80" s="10"/>
      <c r="J80" s="55">
        <f t="shared" si="7"/>
        <v>0</v>
      </c>
      <c r="K80" s="50"/>
      <c r="L80" s="50"/>
      <c r="M80" s="10"/>
      <c r="N80" s="10"/>
      <c r="O80" s="10"/>
      <c r="P80" s="50" t="str">
        <f t="shared" si="4"/>
        <v/>
      </c>
      <c r="Q80" s="50" t="str">
        <f t="shared" si="5"/>
        <v/>
      </c>
      <c r="R80" s="50" t="str">
        <f t="shared" si="6"/>
        <v/>
      </c>
      <c r="S80" s="10"/>
    </row>
    <row r="81" spans="1:19">
      <c r="A81" s="10"/>
      <c r="B81" s="10"/>
      <c r="C81" s="10"/>
      <c r="D81" s="10"/>
      <c r="E81" s="10"/>
      <c r="F81" s="10"/>
      <c r="G81" s="10"/>
      <c r="H81" s="10"/>
      <c r="I81" s="10"/>
      <c r="J81" s="55">
        <f t="shared" si="7"/>
        <v>0</v>
      </c>
      <c r="K81" s="50"/>
      <c r="L81" s="50"/>
      <c r="M81" s="10"/>
      <c r="N81" s="10"/>
      <c r="O81" s="10"/>
      <c r="P81" s="50" t="str">
        <f t="shared" si="4"/>
        <v/>
      </c>
      <c r="Q81" s="50" t="str">
        <f t="shared" si="5"/>
        <v/>
      </c>
      <c r="R81" s="50" t="str">
        <f t="shared" si="6"/>
        <v/>
      </c>
      <c r="S81" s="10"/>
    </row>
    <row r="82" spans="1:19">
      <c r="A82" s="10"/>
      <c r="B82" s="10"/>
      <c r="C82" s="10"/>
      <c r="D82" s="10"/>
      <c r="E82" s="10"/>
      <c r="F82" s="10"/>
      <c r="G82" s="10"/>
      <c r="H82" s="10"/>
      <c r="I82" s="10"/>
      <c r="J82" s="55">
        <f t="shared" si="7"/>
        <v>0</v>
      </c>
      <c r="K82" s="50"/>
      <c r="L82" s="50"/>
      <c r="M82" s="10"/>
      <c r="N82" s="10"/>
      <c r="O82" s="10"/>
      <c r="P82" s="50" t="str">
        <f t="shared" si="4"/>
        <v/>
      </c>
      <c r="Q82" s="50" t="str">
        <f t="shared" si="5"/>
        <v/>
      </c>
      <c r="R82" s="50" t="str">
        <f t="shared" si="6"/>
        <v/>
      </c>
      <c r="S82" s="10"/>
    </row>
    <row r="83" spans="1:19">
      <c r="A83" s="9" t="s">
        <v>271</v>
      </c>
      <c r="B83" s="48"/>
      <c r="C83" s="10"/>
      <c r="D83" s="10"/>
      <c r="E83" s="10"/>
      <c r="F83" s="10"/>
      <c r="G83" s="10"/>
      <c r="H83" s="10"/>
      <c r="I83" s="10"/>
      <c r="J83" s="55">
        <f t="shared" si="7"/>
        <v>0</v>
      </c>
      <c r="K83" s="50"/>
      <c r="L83" s="50"/>
      <c r="M83" s="10"/>
      <c r="N83" s="10"/>
      <c r="O83" s="10"/>
      <c r="P83" s="50" t="str">
        <f t="shared" ref="P83:P96" si="8">IFERROR((K83+M83)/(L83+N83),"")</f>
        <v/>
      </c>
      <c r="Q83" s="50" t="str">
        <f t="shared" ref="Q83:Q96" si="9">IFERROR(C83*P83,"")</f>
        <v/>
      </c>
      <c r="R83" s="50" t="str">
        <f t="shared" ref="R83:R96" si="10">IFERROR(P83*F83,"")</f>
        <v/>
      </c>
      <c r="S83" s="10"/>
    </row>
    <row r="84" spans="1:19">
      <c r="A84" s="10" t="s">
        <v>272</v>
      </c>
      <c r="B84" s="10"/>
      <c r="C84" s="10"/>
      <c r="D84" s="10"/>
      <c r="E84" s="10"/>
      <c r="F84" s="10"/>
      <c r="G84" s="10"/>
      <c r="H84" s="10"/>
      <c r="I84" s="10"/>
      <c r="J84" s="55">
        <f t="shared" si="7"/>
        <v>0</v>
      </c>
      <c r="K84" s="50"/>
      <c r="L84" s="50"/>
      <c r="M84" s="10"/>
      <c r="N84" s="10"/>
      <c r="O84" s="10"/>
      <c r="P84" s="50" t="str">
        <f t="shared" si="8"/>
        <v/>
      </c>
      <c r="Q84" s="50" t="str">
        <f t="shared" si="9"/>
        <v/>
      </c>
      <c r="R84" s="50" t="str">
        <f t="shared" si="10"/>
        <v/>
      </c>
      <c r="S84" s="10"/>
    </row>
    <row r="85" spans="1:19">
      <c r="A85" s="10" t="s">
        <v>273</v>
      </c>
      <c r="B85" s="10"/>
      <c r="C85" s="10"/>
      <c r="D85" s="10"/>
      <c r="E85" s="10"/>
      <c r="F85" s="10"/>
      <c r="G85" s="10"/>
      <c r="H85" s="10"/>
      <c r="I85" s="10"/>
      <c r="J85" s="55">
        <f t="shared" si="7"/>
        <v>0</v>
      </c>
      <c r="K85" s="50"/>
      <c r="L85" s="50"/>
      <c r="M85" s="10"/>
      <c r="N85" s="10"/>
      <c r="O85" s="10"/>
      <c r="P85" s="50" t="str">
        <f t="shared" si="8"/>
        <v/>
      </c>
      <c r="Q85" s="50" t="str">
        <f t="shared" si="9"/>
        <v/>
      </c>
      <c r="R85" s="50" t="str">
        <f t="shared" si="10"/>
        <v/>
      </c>
      <c r="S85" s="10"/>
    </row>
    <row r="86" spans="1:19">
      <c r="A86" s="10"/>
      <c r="B86" s="10"/>
      <c r="C86" s="10"/>
      <c r="D86" s="10"/>
      <c r="E86" s="10"/>
      <c r="F86" s="10"/>
      <c r="G86" s="10"/>
      <c r="H86" s="10"/>
      <c r="I86" s="10"/>
      <c r="J86" s="55">
        <f t="shared" si="7"/>
        <v>0</v>
      </c>
      <c r="K86" s="50"/>
      <c r="L86" s="50"/>
      <c r="M86" s="10"/>
      <c r="N86" s="10"/>
      <c r="O86" s="10"/>
      <c r="P86" s="50" t="str">
        <f t="shared" si="8"/>
        <v/>
      </c>
      <c r="Q86" s="50" t="str">
        <f t="shared" si="9"/>
        <v/>
      </c>
      <c r="R86" s="50" t="str">
        <f t="shared" si="10"/>
        <v/>
      </c>
      <c r="S86" s="10"/>
    </row>
    <row r="87" spans="1:19">
      <c r="A87" s="10"/>
      <c r="B87" s="10"/>
      <c r="C87" s="10"/>
      <c r="D87" s="10"/>
      <c r="E87" s="10"/>
      <c r="F87" s="10"/>
      <c r="G87" s="10"/>
      <c r="H87" s="10"/>
      <c r="I87" s="10"/>
      <c r="J87" s="55">
        <f t="shared" si="7"/>
        <v>0</v>
      </c>
      <c r="K87" s="50"/>
      <c r="L87" s="50"/>
      <c r="M87" s="10"/>
      <c r="N87" s="10"/>
      <c r="O87" s="10"/>
      <c r="P87" s="50" t="str">
        <f t="shared" si="8"/>
        <v/>
      </c>
      <c r="Q87" s="50" t="str">
        <f t="shared" si="9"/>
        <v/>
      </c>
      <c r="R87" s="50" t="str">
        <f t="shared" si="10"/>
        <v/>
      </c>
      <c r="S87" s="10"/>
    </row>
    <row r="88" spans="1:19">
      <c r="A88" s="9" t="s">
        <v>137</v>
      </c>
      <c r="B88" s="48"/>
      <c r="C88" s="10"/>
      <c r="D88" s="10"/>
      <c r="E88" s="10"/>
      <c r="F88" s="10"/>
      <c r="G88" s="10"/>
      <c r="H88" s="10"/>
      <c r="I88" s="10"/>
      <c r="J88" s="55">
        <f t="shared" si="7"/>
        <v>0</v>
      </c>
      <c r="K88" s="50"/>
      <c r="L88" s="10"/>
      <c r="M88" s="10"/>
      <c r="O88" s="10"/>
      <c r="P88" s="50" t="str">
        <f t="shared" si="8"/>
        <v/>
      </c>
      <c r="Q88" s="50" t="str">
        <f t="shared" si="9"/>
        <v/>
      </c>
      <c r="R88" s="50" t="str">
        <f t="shared" si="10"/>
        <v/>
      </c>
      <c r="S88" s="10"/>
    </row>
    <row r="89" spans="1:19">
      <c r="A89" s="10"/>
      <c r="B89" s="10"/>
      <c r="C89" s="10"/>
      <c r="D89" s="10"/>
      <c r="E89" s="10"/>
      <c r="F89" s="10"/>
      <c r="G89" s="10"/>
      <c r="H89" s="10"/>
      <c r="I89" s="10"/>
      <c r="J89" s="55"/>
      <c r="K89" s="50"/>
      <c r="L89" s="50"/>
      <c r="M89" s="10"/>
      <c r="N89" s="10"/>
      <c r="O89" s="10"/>
      <c r="P89" s="50" t="str">
        <f t="shared" si="8"/>
        <v/>
      </c>
      <c r="Q89" s="50" t="str">
        <f t="shared" si="9"/>
        <v/>
      </c>
      <c r="R89" s="50" t="str">
        <f t="shared" si="10"/>
        <v/>
      </c>
      <c r="S89" s="10"/>
    </row>
    <row r="90" spans="1:19">
      <c r="A90" s="10"/>
      <c r="B90" s="10"/>
      <c r="C90" s="10"/>
      <c r="D90" s="10"/>
      <c r="E90" s="10"/>
      <c r="F90" s="10"/>
      <c r="G90" s="10"/>
      <c r="H90" s="10"/>
      <c r="I90" s="10"/>
      <c r="J90" s="55"/>
      <c r="K90" s="50"/>
      <c r="L90" s="50"/>
      <c r="M90" s="10"/>
      <c r="N90" s="10"/>
      <c r="O90" s="10"/>
      <c r="P90" s="50" t="str">
        <f t="shared" si="8"/>
        <v/>
      </c>
      <c r="Q90" s="50" t="str">
        <f t="shared" si="9"/>
        <v/>
      </c>
      <c r="R90" s="50" t="str">
        <f t="shared" si="10"/>
        <v/>
      </c>
      <c r="S90" s="10"/>
    </row>
    <row r="91" spans="1:19">
      <c r="A91" s="9" t="s">
        <v>274</v>
      </c>
      <c r="B91" s="10"/>
      <c r="C91" s="10">
        <v>2</v>
      </c>
      <c r="D91" s="10"/>
      <c r="E91" s="10"/>
      <c r="F91" s="10"/>
      <c r="G91" s="10"/>
      <c r="H91" s="10"/>
      <c r="I91" s="10">
        <v>2</v>
      </c>
      <c r="J91" s="55">
        <f t="shared" si="7"/>
        <v>2</v>
      </c>
      <c r="K91" s="50"/>
      <c r="L91" s="50"/>
      <c r="M91" s="10"/>
      <c r="N91" s="10"/>
      <c r="O91" s="10"/>
      <c r="P91" s="50" t="str">
        <f t="shared" si="8"/>
        <v/>
      </c>
      <c r="Q91" s="50" t="str">
        <f t="shared" si="9"/>
        <v/>
      </c>
      <c r="R91" s="50" t="str">
        <f t="shared" si="10"/>
        <v/>
      </c>
      <c r="S91" s="10"/>
    </row>
    <row r="92" spans="1:19" s="19" customFormat="1">
      <c r="A92" s="91" t="s">
        <v>97</v>
      </c>
      <c r="B92" s="91"/>
      <c r="C92" s="91"/>
      <c r="D92" s="91"/>
      <c r="E92" s="91"/>
      <c r="F92" s="91"/>
      <c r="G92" s="91"/>
      <c r="H92" s="91"/>
      <c r="I92" s="91"/>
      <c r="J92" s="92">
        <f t="shared" si="7"/>
        <v>0</v>
      </c>
      <c r="K92" s="93"/>
      <c r="L92" s="93"/>
      <c r="M92" s="91"/>
      <c r="N92" s="91"/>
      <c r="O92" s="91"/>
      <c r="P92" s="93" t="str">
        <f t="shared" si="8"/>
        <v/>
      </c>
      <c r="Q92" s="93" t="str">
        <f t="shared" si="9"/>
        <v/>
      </c>
      <c r="R92" s="93" t="str">
        <f t="shared" si="10"/>
        <v/>
      </c>
      <c r="S92" s="91"/>
    </row>
    <row r="93" spans="1:19">
      <c r="A93" s="10"/>
      <c r="B93" s="10"/>
      <c r="C93" s="10"/>
      <c r="D93" s="10"/>
      <c r="E93" s="10"/>
      <c r="F93" s="10"/>
      <c r="G93" s="10"/>
      <c r="H93" s="10"/>
      <c r="I93" s="10"/>
      <c r="J93" s="55"/>
      <c r="K93" s="50"/>
      <c r="L93" s="50"/>
      <c r="M93" s="10"/>
      <c r="N93" s="10"/>
      <c r="O93" s="10"/>
      <c r="P93" s="50" t="str">
        <f t="shared" si="8"/>
        <v/>
      </c>
      <c r="Q93" s="50" t="str">
        <f t="shared" si="9"/>
        <v/>
      </c>
      <c r="R93" s="50" t="str">
        <f t="shared" si="10"/>
        <v/>
      </c>
      <c r="S93" s="10"/>
    </row>
    <row r="94" spans="1:19">
      <c r="A94" s="10"/>
      <c r="B94" s="10"/>
      <c r="C94" s="10"/>
      <c r="D94" s="10"/>
      <c r="E94" s="10"/>
      <c r="F94" s="10"/>
      <c r="G94" s="10"/>
      <c r="H94" s="10"/>
      <c r="I94" s="10"/>
      <c r="J94" s="55"/>
      <c r="K94" s="50"/>
      <c r="L94" s="50"/>
      <c r="M94" s="10"/>
      <c r="N94" s="10"/>
      <c r="O94" s="10"/>
      <c r="P94" s="50" t="str">
        <f t="shared" si="8"/>
        <v/>
      </c>
      <c r="Q94" s="50" t="str">
        <f t="shared" si="9"/>
        <v/>
      </c>
      <c r="R94" s="50" t="str">
        <f t="shared" si="10"/>
        <v/>
      </c>
      <c r="S94" s="10"/>
    </row>
    <row r="95" spans="1:19">
      <c r="B95" s="48"/>
      <c r="C95" s="10"/>
      <c r="D95" s="10"/>
      <c r="E95" s="10"/>
      <c r="F95" s="10"/>
      <c r="G95" s="10"/>
      <c r="H95" s="10"/>
      <c r="I95" s="10"/>
      <c r="J95" s="55"/>
      <c r="K95" s="50"/>
      <c r="L95" s="50"/>
      <c r="M95" s="10"/>
      <c r="N95" s="10"/>
      <c r="O95" s="10"/>
      <c r="P95" s="50" t="str">
        <f t="shared" si="8"/>
        <v/>
      </c>
      <c r="Q95" s="50" t="str">
        <f t="shared" si="9"/>
        <v/>
      </c>
      <c r="R95" s="50" t="str">
        <f t="shared" si="10"/>
        <v/>
      </c>
      <c r="S95" s="10"/>
    </row>
    <row r="96" spans="1:19">
      <c r="P96" s="50" t="str">
        <f t="shared" si="8"/>
        <v/>
      </c>
      <c r="Q96" s="50" t="str">
        <f t="shared" si="9"/>
        <v/>
      </c>
      <c r="R96" s="50" t="str">
        <f t="shared" si="10"/>
        <v/>
      </c>
    </row>
    <row r="97" spans="1:1">
      <c r="A9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E8" sqref="E8"/>
    </sheetView>
  </sheetViews>
  <sheetFormatPr defaultColWidth="11" defaultRowHeight="15.95"/>
  <sheetData>
    <row r="1" spans="1:6">
      <c r="A1" t="s">
        <v>275</v>
      </c>
    </row>
    <row r="3" spans="1:6">
      <c r="B3" s="5" t="s">
        <v>276</v>
      </c>
      <c r="C3" s="5" t="s">
        <v>277</v>
      </c>
      <c r="D3" s="5" t="s">
        <v>278</v>
      </c>
      <c r="E3" s="5" t="s">
        <v>279</v>
      </c>
      <c r="F3" s="5" t="s">
        <v>280</v>
      </c>
    </row>
    <row r="4" spans="1:6">
      <c r="B4" s="5" t="s">
        <v>281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>
      <c r="B5" s="5" t="s">
        <v>282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>
      <c r="B6" s="5" t="s">
        <v>283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>
      <c r="B7" s="5" t="s">
        <v>284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Sharpe</dc:creator>
  <cp:keywords/>
  <dc:description/>
  <cp:lastModifiedBy>Kuba Kowalski</cp:lastModifiedBy>
  <cp:revision/>
  <dcterms:created xsi:type="dcterms:W3CDTF">2022-08-18T14:37:24Z</dcterms:created>
  <dcterms:modified xsi:type="dcterms:W3CDTF">2025-10-10T14:31:14Z</dcterms:modified>
  <cp:category/>
  <cp:contentStatus/>
</cp:coreProperties>
</file>
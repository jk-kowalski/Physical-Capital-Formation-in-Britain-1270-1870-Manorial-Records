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E8FA63FA-F34B-1240-A560-A09A961767BE}" xr6:coauthVersionLast="47" xr6:coauthVersionMax="47" xr10:uidLastSave="{00000000-0000-0000-0000-000000000000}"/>
  <bookViews>
    <workbookView xWindow="6120" yWindow="500" windowWidth="21980" windowHeight="16620" activeTab="5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4" l="1"/>
  <c r="R87" i="4"/>
  <c r="R92" i="4"/>
  <c r="R96" i="4"/>
  <c r="R95" i="4"/>
  <c r="R91" i="4"/>
  <c r="R90" i="4"/>
  <c r="R84" i="4"/>
  <c r="R64" i="4"/>
  <c r="R47" i="4"/>
  <c r="R43" i="4"/>
  <c r="R44" i="4"/>
  <c r="R18" i="4"/>
  <c r="R15" i="4"/>
  <c r="R14" i="4"/>
  <c r="R12" i="4"/>
  <c r="R7" i="4"/>
  <c r="J91" i="4"/>
  <c r="G6" i="11"/>
  <c r="H6" i="11"/>
  <c r="O14" i="11"/>
  <c r="O15" i="11"/>
  <c r="O16" i="11"/>
  <c r="O13" i="11"/>
  <c r="N17" i="11"/>
  <c r="O17" i="11" s="1"/>
  <c r="N14" i="11"/>
  <c r="N15" i="11"/>
  <c r="N16" i="11"/>
  <c r="N13" i="11"/>
  <c r="L14" i="11"/>
  <c r="L15" i="11"/>
  <c r="L16" i="11"/>
  <c r="L17" i="11"/>
  <c r="L13" i="11"/>
  <c r="E14" i="11"/>
  <c r="E15" i="11"/>
  <c r="E16" i="11"/>
  <c r="E17" i="11"/>
  <c r="E13" i="11"/>
  <c r="K14" i="11"/>
  <c r="K15" i="11"/>
  <c r="K16" i="11"/>
  <c r="K17" i="11"/>
  <c r="K13" i="11"/>
  <c r="J17" i="11"/>
  <c r="I17" i="11"/>
  <c r="I16" i="11"/>
  <c r="J15" i="11"/>
  <c r="I15" i="11"/>
  <c r="I13" i="11"/>
  <c r="B14" i="11"/>
  <c r="B15" i="11"/>
  <c r="B16" i="11"/>
  <c r="B17" i="11"/>
  <c r="B13" i="11"/>
  <c r="I3" i="11"/>
  <c r="I4" i="11"/>
  <c r="I5" i="11"/>
  <c r="I6" i="11"/>
  <c r="I2" i="11"/>
  <c r="G3" i="11"/>
  <c r="G4" i="11"/>
  <c r="G5" i="11"/>
  <c r="G2" i="11"/>
  <c r="C69" i="4"/>
  <c r="C12" i="4"/>
  <c r="G77" i="3"/>
  <c r="G74" i="3"/>
  <c r="G71" i="3"/>
  <c r="F66" i="3"/>
  <c r="F68" i="3" s="1"/>
  <c r="F67" i="3"/>
  <c r="G58" i="3"/>
  <c r="F43" i="3"/>
  <c r="F45" i="3" s="1"/>
  <c r="G45" i="3" s="1"/>
  <c r="F40" i="3"/>
  <c r="G40" i="3" s="1"/>
  <c r="F32" i="3"/>
  <c r="G32" i="3" s="1"/>
  <c r="F21" i="3"/>
  <c r="F20" i="3"/>
  <c r="G29" i="2"/>
  <c r="G68" i="3" l="1"/>
  <c r="G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2" authorId="0" shapeId="0" xr:uid="{33D6B8AE-0EEB-FA4C-8834-7D5812822B0D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190ADEA8-0F2A-E14B-8E9E-765445C4083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5754B3A3-53B5-5248-BBE4-C625FF0329E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<sst xmlns="http://schemas.openxmlformats.org/spreadsheetml/2006/main" count="1296" uniqueCount="586">
  <si>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</si>
  <si>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</si>
  <si>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</si>
  <si>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</si>
  <si>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</si>
  <si>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</si>
  <si>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</si>
  <si>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</si>
  <si>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</si>
  <si>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</si>
  <si>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</si>
  <si>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</si>
  <si>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</si>
  <si>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</si>
  <si>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</si>
  <si>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</si>
  <si>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</si>
  <si>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</si>
  <si>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Quarters 4</t>
  </si>
  <si>
    <t>Bushels 4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</si>
  <si>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</si>
  <si>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</si>
  <si>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</si>
  <si>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</si>
  <si>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</si>
  <si>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</si>
  <si>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</si>
  <si>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</si>
  <si>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</si>
  <si>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</si>
  <si>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</si>
  <si>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</si>
  <si>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</si>
  <si>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</si>
  <si>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</si>
  <si>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</si>
  <si>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</si>
  <si>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William, bailiff, and Richard, reeve, render account for £3 10 shilling 3pence of arrears from the previous year.</t>
  </si>
  <si>
    <t>Delivered to Sir Geoffrey, treasurer of Wolvesey, by 1 tally, £3 10 shilling 3pence They are quit.</t>
  </si>
  <si>
    <t>Rents</t>
  </si>
  <si>
    <t>The same render account for £1 3 shilling 3.25pence for all rents of assize at Christmas.</t>
  </si>
  <si>
    <t>£1 3 shilling 3.25pence at the Annunciation (25 March).</t>
  </si>
  <si>
    <t>£1 3 shilling 3.25pence at the Nativity of St John the Baptist (24 June).</t>
  </si>
  <si>
    <t>£1 3 shilling 3.25pence at Michaelmas (29 September).</t>
  </si>
  <si>
    <t>Total of all rents for the year, £4 13 shilling 1pence</t>
  </si>
  <si>
    <t>Quittances</t>
  </si>
  <si>
    <t>In quittance of 1 reeve for the year 2 shilling.</t>
  </si>
  <si>
    <t>6 men holding 6 virgates of land, 3 of whom hold the lord's ploughs for 1 week and the other three for the other week, 12 shilling for the year.</t>
  </si>
  <si>
    <t>Total of quittances, 14 shilling</t>
  </si>
  <si>
    <t>Defaults of rent</t>
  </si>
  <si>
    <t>In default of 1 virgate of land which belonged to William de Bury drawn into demesne, 4 shilling for the year.</t>
  </si>
  <si>
    <t>1.5 virgates and 1 ferling of land which belonged to Roger drawn into demesne, 3 shilling for the year.</t>
  </si>
  <si>
    <t>1.5 virgates and a farthing of land which belonged to William Alfnth drawn into demesne, 1 shilling 8pence for the year.</t>
  </si>
  <si>
    <t>1 ferling of land which belonged to William le Nywman drawn into demesne, 9pence for the year.</t>
  </si>
  <si>
    <t>1 ferling and a farthing of land which belonged to Alice drawn into demesne, 1 shilling 3pence for the year.</t>
  </si>
  <si>
    <t>a curtilage which belonged to Roger Pound' drawn into demesne, 7'/ pence for the year.</t>
  </si>
  <si>
    <t>Total of defaults of rent, 11 shilling 3.5pence</t>
  </si>
  <si>
    <t>Total of quittances and defaults of rent</t>
  </si>
  <si>
    <t>Total of quittances and defaults of rent, £1 5 shilling 3.5pence</t>
  </si>
  <si>
    <t>Total remaining</t>
  </si>
  <si>
    <t>Total remaining, £3 7 shilling 9.5pence</t>
  </si>
  <si>
    <t>Annual recognizance</t>
  </si>
  <si>
    <t>Nothing from annual recognizance.</t>
  </si>
  <si>
    <t>Issues of the manor</t>
  </si>
  <si>
    <t>The same render account for 9.5pence from common pannage of the whole vill.</t>
  </si>
  <si>
    <t>1 shilling 6pence from stubble sold.</t>
  </si>
  <si>
    <t>2 shilling from mast in the grove sold.</t>
  </si>
  <si>
    <t>3 shilling from winter cheese sold.</t>
  </si>
  <si>
    <t>£1 15 shilling from 3.5 weys of summer cheese sold, at 10 shilling a wey.</t>
  </si>
  <si>
    <t>4 shilling 3pence from 8.5 gallons of butter sold, at 6pence a gallon.</t>
  </si>
  <si>
    <t>nothing from hay sold this year.</t>
  </si>
  <si>
    <t>8pence from apples from the issue of the garden sold this year.</t>
  </si>
  <si>
    <t>nothing from the agistment of bullocks in the pasture this year because there were sheep.</t>
  </si>
  <si>
    <t>1 shilling 9pence from dairy produce sold at the audit.</t>
  </si>
  <si>
    <t>Total, £2 8 shilling 11.5pence</t>
  </si>
  <si>
    <t>Issues of stock</t>
  </si>
  <si>
    <t>The same render account for £1 4pence from 4 plough-horses sold, at 6 shilling for 1, 5 shilling 6pence each for 2, and 3 shilling 4pence for 1.</t>
  </si>
  <si>
    <t>£1 9 shilling from 3 oxen sold because old, at 10 shilling each for 2, and 9 shilling for 1.</t>
  </si>
  <si>
    <t>8 shilling 6pence from 1 cow sold because sterile.</t>
  </si>
  <si>
    <t>4 shilling 4pence from 1 feeble young heifer sold.</t>
  </si>
  <si>
    <t>6 shilling from 6 calves sold, at 1 shilling each.</t>
  </si>
  <si>
    <t>8pence from the hide sold of 1 plough-horse in murrain.</t>
  </si>
  <si>
    <t>2 shilling 1pence from the hide sold of 1 ox in murrain.</t>
  </si>
  <si>
    <t>8pence from the flesh of the same ox sold.</t>
  </si>
  <si>
    <t>2pence from the hide sold of 1 calf in murrain.</t>
  </si>
  <si>
    <t>Total, £3 11 shilling 9pence</t>
  </si>
  <si>
    <t>Sale of corn</t>
  </si>
  <si>
    <t>The same render account for £10 16 shilling 9.5pence from 48 quarters 6 bushels of wheat sold, at 5 shilling a quarters for 25 quarters 1 bushels). 4 shilling a quarters for 18.5 quarters 1 bushels, and 3 shilling 4pence a quarters for 5 quarters.</t>
  </si>
  <si>
    <t>wheat</t>
  </si>
  <si>
    <t>£5 8 shilling 9pence from 32.5 quarters I bushels of barley sold, at 3 shilling 4pence a quarters.</t>
  </si>
  <si>
    <t>barley</t>
  </si>
  <si>
    <t>2 shilling from 1 quarters of beans sold.</t>
  </si>
  <si>
    <t>beans</t>
  </si>
  <si>
    <t>£1 6 shilling 8pence from a certain part of the stack of beans sold wholesale.</t>
  </si>
  <si>
    <t>Total, £17 14 shilling 2.5pence</t>
  </si>
  <si>
    <t>Entry and marriage fines</t>
  </si>
  <si>
    <t>The same render account for 5 shilling from John atte Watere for marrying Claricia his daughter outside.</t>
  </si>
  <si>
    <t>8 shilling from 2 tithings for tithingpenny at the hundred-court of Martinmas.</t>
  </si>
  <si>
    <t>8 shilling from the same tithings for tithingpenny at the hundred-court of Hockday.</t>
  </si>
  <si>
    <t>Total, £1 1 shilling</t>
  </si>
  <si>
    <t>Pleas and perquisites</t>
  </si>
  <si>
    <t>The same render account for 2 shilling 6pence from the pleas and perquisites of all the courts for the whole year.</t>
  </si>
  <si>
    <t>Total, 2 shilling 6pence</t>
  </si>
  <si>
    <t>Total of both</t>
  </si>
  <si>
    <t>Total of both, £1 3 shilling 6pence</t>
  </si>
  <si>
    <t>Total of all expenses</t>
  </si>
  <si>
    <t>Total of all expenses, £28 6 shilling 2.5pence</t>
  </si>
  <si>
    <t>Expenses for ploughs</t>
  </si>
  <si>
    <t>In ironwork of 3 ploughs for the year 3 shilling 1pence.</t>
  </si>
  <si>
    <t>2 plough-shoes (calconibus) bought 4pence.</t>
  </si>
  <si>
    <t>2 ploughshares bought 1 shilling 4pence.</t>
  </si>
  <si>
    <t>stipend of the smith making the ironwork of 3 ploughs for the year 2 shilling 0.5pence.</t>
  </si>
  <si>
    <t>4 new ploughs made from the lord's timber 8pence.</t>
  </si>
  <si>
    <t>repairing the same 2pence.</t>
  </si>
  <si>
    <t>ox-bows, withies and draught-chains (hart') for the ploughs 11pence.</t>
  </si>
  <si>
    <t>1 harrow made from the lord's timber 1.5pence.</t>
  </si>
  <si>
    <t>blood-letting of oxen 2pence.</t>
  </si>
  <si>
    <t>6 halters made from their own hair 1.5pence.</t>
  </si>
  <si>
    <t>stipend of 3 oxherds driving the lord's ploughs from Michaelmas until the Annunciation 6 shilling, and for the rest of their stipends each takes at harvest-time 72 sheaves of wheat which contain by estimation 1 quarters 2 bushels, and 72 sheaves of oats which contain by estimation 1 quarters.</t>
  </si>
  <si>
    <t>oats, wheat</t>
  </si>
  <si>
    <t>.</t>
  </si>
  <si>
    <t>stipend of 3 ploughmen for working 36 Saturdays 4 shilling 6pence, or .5pence each, because they are not obliged to work on Saturdays.</t>
  </si>
  <si>
    <t>10 oxen bought £6 11 shilling 1pence, at 14 shilling 1pence each for 3, 13 shilling 6pence each for 3, and 12 shilling 1pence each for 4..</t>
  </si>
  <si>
    <t>20 quarters 1 bushels of wheat bought for sowing and the provision of the harvest boon-works £3 13 shilling 1.5pence, at 3 shilling 8pence a quarters for 18 quarters 1 bushels, and 3 shilling 4pence a quarters for 2 quarters.</t>
  </si>
  <si>
    <t>2.5 quarters of oats bought for sowing and the fodder of plough-horses 4 shilling 2pence, at 1 shilling 8pence a quarters.</t>
  </si>
  <si>
    <t>oats</t>
  </si>
  <si>
    <t>expenses of the boon-work of 39 ploughmen fallowing the lord's land 6 shilling 6pence, at 2pence a ploughman.</t>
  </si>
  <si>
    <t>forage bought for stock £1 3 shilling 6.5pence Total, £12 17 shilling 10.5pence</t>
  </si>
  <si>
    <t>Expenses for carts</t>
  </si>
  <si>
    <t>In 2 pairs of wheels made from the lord's timber for clearing dung 1 shilling 4pence.</t>
  </si>
  <si>
    <t>fitting the cart with axles, with clouts, nails and grease for the same for the year, 1 shilling.</t>
  </si>
  <si>
    <t>white leather for mending harnesses of the cart 4pence.</t>
  </si>
  <si>
    <t>1 pair of traces bought 4.5pence.</t>
  </si>
  <si>
    <t>2 hemp ropes bought 1 shilling 1pence.</t>
  </si>
  <si>
    <t>2 collars bought 1 shilling 2pence.</t>
  </si>
  <si>
    <t>shoeing 2 plough-horses hauling the cart for the year 2 shilling.</t>
  </si>
  <si>
    <t>stipend of 1 carter from Michaelmas until the Annunciation 2 shilling, and for the rest of his stipend he takes sheaves at harvest-time like the rest of the manorial servants.</t>
  </si>
  <si>
    <t>Total, 9 shilling 3.5pence</t>
  </si>
  <si>
    <t>Dairy</t>
  </si>
  <si>
    <t>In 5 quarters 1 bushels of beans planted and watered 2 shilling 6pence.</t>
  </si>
  <si>
    <t>2 Fbushels1 of salt bought for the dairy 9pence, at 4.5pence a bushels.</t>
  </si>
  <si>
    <t>a press bought 2pence.</t>
  </si>
  <si>
    <t>linen cloth bought 4pence.</t>
  </si>
  <si>
    <t>putting right a bucket 1pence.</t>
  </si>
  <si>
    <t>earthenware pots and pans bought 1.5pence.</t>
  </si>
  <si>
    <t>36 hurdles bought for the fold on account of the sheep of a certain stranger manuring the lord's land for want of the lord's sheep 2 shilling 11pence, at 1pence a hurdle.</t>
  </si>
  <si>
    <t>1 colander repaired .5pence.</t>
  </si>
  <si>
    <t>stipend of 1 cowherd for' year in winter 1 shilling.</t>
  </si>
  <si>
    <t>stipend of 1 shepherd for' year 1 shilling, and for the rest of his stipend he takes sheaves at harvest-time like the rest of the manorial servants.</t>
  </si>
  <si>
    <t>Total, 8 shilling 11pence</t>
  </si>
  <si>
    <t>Cost of buildings and small necessaries</t>
  </si>
  <si>
    <t>In rebuilding below the roof of the barn which had collapsed through rotten timber, that is, in carpentry, 3 shilling 6pence.</t>
  </si>
  <si>
    <t>making 500 laths for the same from the lord's own timber 1 shilling.</t>
  </si>
  <si>
    <t>1500 lath-nails (lathenayl) bought for the same 11.5pence.</t>
  </si>
  <si>
    <t>roofing the same barn 1 shilling Total, 6 shilling 5.5pence</t>
  </si>
  <si>
    <t>Threshing and winnowing</t>
  </si>
  <si>
    <t>In threshing and winnowing 54 quarters 2 bushels of wheat with curall 10 shilling 1.25pence, at 2.25pence a quarters.</t>
  </si>
  <si>
    <t>curall, wheat</t>
  </si>
  <si>
    <t>threshing and winnowing 51 quarters 6 bushels of barley 5 shilling 4pence, at 1.25pence a quarters.</t>
  </si>
  <si>
    <t>Nothing from threshing beans this year because they were threshed by the manorial servants.</t>
  </si>
  <si>
    <t>8 quarters 1 bushels winnowed 2pence.</t>
  </si>
  <si>
    <t>1 sack bought 8pence.</t>
  </si>
  <si>
    <t>remaking old sieves 2pence.</t>
  </si>
  <si>
    <t>making 1 winnowing-fan from the lord's own timber 8pence Total, 17 shilling 1.75pence</t>
  </si>
  <si>
    <t xml:space="preserve">Harvest-time </t>
  </si>
  <si>
    <t>1 sickle bought 1 shilling.</t>
  </si>
  <si>
    <t>sharpening 3 sickles 2pence.</t>
  </si>
  <si>
    <t>spreading and tossing the frinineeeadmoewn who were overseeing the reapers at 2 harvest boon-works as if for 1 day and 3 shilling 6pence.</t>
  </si>
  <si>
    <t>weeding corn 1 shilling 6pence.</t>
  </si>
  <si>
    <t>relish and ale bought for 96 men with 8 having bread from the grange 8 shilling They reaped almost all the corn together with the other 2 boon-works which are without food, each thus taking 1.5pence a day.</t>
  </si>
  <si>
    <t>Total, 14 shilling 2pence</t>
  </si>
  <si>
    <t>Wages</t>
  </si>
  <si>
    <t>In wages of Ralph, sergeant, from Sunday before the feast of St Vincent (21 January) until Michaelmas (29 September), for 36 weeks, £1 11 shilling 6pence, that is, 10.5pence every week.'.</t>
  </si>
  <si>
    <t>stipend of the same sergeant for the year 6 shilling 8pence Total, £1 18 shilling 2pence</t>
  </si>
  <si>
    <t>Total of all expenses, £17 12 shilling 0.25pence</t>
  </si>
  <si>
    <t>And he owes</t>
  </si>
  <si>
    <t>And he owes, £10 14 shilling 2.25pence</t>
  </si>
  <si>
    <t>Cash deliveries</t>
  </si>
  <si>
    <t>Delivered to Sir Geoffrey, treasurer of Wolvesey, by 1 tally, £2 10 shilling</t>
  </si>
  <si>
    <t>And he owes clear, £8 4 shilling 2.25pence</t>
  </si>
  <si>
    <t>Wheat</t>
  </si>
  <si>
    <t>{yield: three-fold less 4 quarters 2 bushels}</t>
  </si>
  <si>
    <t>(Henceforth no corn should be withheld for the stipends of the manorial servants.</t>
  </si>
  <si>
    <t>that is, money should be withheld for them, the best price that is able to be had, so that all the lord's corn reaches the grange}</t>
  </si>
  <si>
    <t>The same render account for 64 quarters 6 bushels from the whole issue of wheat from the grange in the granary by struck measure.</t>
  </si>
  <si>
    <t>7.5 quarters by estimation in sheaves given to the manorial servants.</t>
  </si>
  <si>
    <t>20 quarters 1 bushels bought.</t>
  </si>
  <si>
    <t>Total, 92 quarters 3 bushels</t>
  </si>
  <si>
    <t>Sown over 94 acres measured by the perch which lie in the fields of Buryfurlong, Rodelond, Cheldebreth', Langilond', Stockyng', Berhgforlong, Sevenacr', and Annaysbuttes, 35 quarters 1 bushels.</t>
  </si>
  <si>
    <t>that is, 3 bushels an acre, less 1 bushels in all.</t>
  </si>
  <si>
    <t>bread for 2 harvest boon-works, 1 quarters.</t>
  </si>
  <si>
    <t>Given to 6 manorial servants this year, that is, 1 carter, 3 oxherds, 1 cowherd, 1 shepherd, for their stipends in summer by estimation in sheaves, 7.5 quarters, or 1 quarters 2 bushels each.</t>
  </si>
  <si>
    <t>Sold as noted above, 48 quarters 6 bushels</t>
  </si>
  <si>
    <t>Curall</t>
  </si>
  <si>
    <t>The same render account for 13.5 quarters from the whole issue of curall of the same wheat from the grange in the granary by struck measure.</t>
  </si>
  <si>
    <t>mixed below with beans for the liveries of the manorial servants, 13.5 quarters.</t>
  </si>
  <si>
    <t>Barley</t>
  </si>
  <si>
    <t>(yield: 4.5-fold plus 5.5 bushels}</t>
  </si>
  <si>
    <t>The same render account for 65 quarters 3 bushels from the whole issue of barley and dredge from the grange in the granary by struck measure.</t>
  </si>
  <si>
    <t>Sown over 48.5 acres measured by the perch which lie in Eldefeld', Gores and Buttes, 24 quarters 1 bushels.</t>
  </si>
  <si>
    <t>that is, .5 quarters an acre.</t>
  </si>
  <si>
    <t>Mixed below with beans for the liveries of the manorial servants 8 quarters 5 bushels Sold as noted above, 32.5 quarters 1 bushels</t>
  </si>
  <si>
    <t>Oats</t>
  </si>
  <si>
    <t>{yield: three-fold less 7 bushels}</t>
  </si>
  <si>
    <t>The same render account for 2 quarters 7 bushels from the whole issue of oats from the grange in the granary by struck measure.</t>
  </si>
  <si>
    <t>6 quarters of oats by estimation in sheaves given to the manorial servants.</t>
  </si>
  <si>
    <t>2.5 quarters bought.</t>
  </si>
  <si>
    <t>Total, 11 quarters 3 bushels</t>
  </si>
  <si>
    <t>Sown over 3 acres measured by the perch which lie below Bereth', 2 quarters 2 bushels.</t>
  </si>
  <si>
    <t>that is, 6 bushels an acre.</t>
  </si>
  <si>
    <t>Given to 6 manorial servants, that is, 1 carter, 3 oxherds, 1 cowherd and 1 shepherd, for their stipends for .5 year in summer by estimation in sheaves, 6 quarters, or 1 quarters each.</t>
  </si>
  <si>
    <t>fodder of 2 plough-horses hauling ploughs and harrows for the year, 3 quarters 1 bushels</t>
  </si>
  <si>
    <t>Beans</t>
  </si>
  <si>
    <t>{yield: four-fold less 1.5 quarters 3 bushels)</t>
  </si>
  <si>
    <t>The same render account for 11 quarters 5 bushels remaining from the previous year.</t>
  </si>
  <si>
    <t>10 quarters 1 bushels from the whole issue from the grange in the granary by struck measure, because a certain part of 1 stack of beans was sold wholesale.</t>
  </si>
  <si>
    <t>13.5 quarters of curall received above and mixed with that for the liveries of the manorial servants.</t>
  </si>
  <si>
    <t>curall</t>
  </si>
  <si>
    <t>8 quarters 5 bushels of barley received above and mixed with that for same.</t>
  </si>
  <si>
    <t>Total, 43 quarters 7 bushels</t>
  </si>
  <si>
    <t>Sown over 13.5 acres measured by the perch which lie above Bereth' and Wykmedforlondg', 5 quarters 1 bushels.</t>
  </si>
  <si>
    <t>that is, 3 bushels an acre, plus .5 bushels in all.</t>
  </si>
  <si>
    <t>Delivered to 1 carter, 3 drovers, who each take a quarter every 8 weeks for the year, 26 quarters.</t>
  </si>
  <si>
    <t>Delivered to 1 cowherd for the year, taking a quarter every 12 weeks, 4 quarters 2.5 bushels Delivered to 1 shepherd who keeps 200 sheep by agreement with his own sheep, who takes a quarter every 10 weeks for the year, 5 quarters 1.5 bushels Delivered to 1 dairymaid, who takes a quarter every 12 weeks from the feast of St Mary in March (25 March) until Michaelmas (29 September), for 26 weeks and 6 days, 2 quarters 2 bushels Sold as noted above, 1 quarters.</t>
  </si>
  <si>
    <t>Stock</t>
  </si>
  <si>
    <t>Plough-horses: 9 remain from the previous year.</t>
  </si>
  <si>
    <t>1 in murrain, the hide of which is answered for.</t>
  </si>
  <si>
    <t>4 sold.</t>
  </si>
  <si>
    <t>4 remain, 2 of them male.</t>
  </si>
  <si>
    <t>They are cart-horses.</t>
  </si>
  <si>
    <t>Foals: none this year because the mares did not foal.</t>
  </si>
  <si>
    <t>Oxen: 19 remain from the previous year.</t>
  </si>
  <si>
    <t>4 added from steers.</t>
  </si>
  <si>
    <t>10 bought.</t>
  </si>
  <si>
    <t>Total, 33. 1 in murrain about the Annunciation, the hide and flesh of which are answered for.</t>
  </si>
  <si>
    <t>3 solpence Total, 4. 29 remain.</t>
  </si>
  <si>
    <t>Cows: {henceforth there should be up to 20 cows there): 12 remain from the previous year.</t>
  </si>
  <si>
    <t>1 sterile cow sold.</t>
  </si>
  <si>
    <t>11 remain.</t>
  </si>
  <si>
    <t>Bulls: 1 remains from the previous year.</t>
  </si>
  <si>
    <t>1 remains.</t>
  </si>
  <si>
    <t>Steers: 5 remain from the previous year's bullocks.</t>
  </si>
  <si>
    <t>1 female sold.</t>
  </si>
  <si>
    <t>4 added to oxen.</t>
  </si>
  <si>
    <t>none remain.</t>
  </si>
  <si>
    <t>Bullocks: 3 remain from the previous year's yearlings.</t>
  </si>
  <si>
    <t>3 remain, 2 of them male.</t>
  </si>
  <si>
    <t>Yearlings: 5 remain from the previous year's calves.</t>
  </si>
  <si>
    <t>5 remain, 2 of them male.</t>
  </si>
  <si>
    <t>Calves: 11 from the offspring of the cows from stock, because 1 sterile cow sold.</t>
  </si>
  <si>
    <t>1 in murrain.</t>
  </si>
  <si>
    <t>1 in tithe.</t>
  </si>
  <si>
    <t>6 sold.</t>
  </si>
  <si>
    <t>3 remain, 1 of them male.</t>
  </si>
  <si>
    <t>Geese: 2 from the pasturage of Crouchweye.</t>
  </si>
  <si>
    <t>4 from the right to drive beasts (av') through the droveway (Drofwey).</t>
  </si>
  <si>
    <t>they remain.</t>
  </si>
  <si>
    <t>Chickens: 12 from the trespasses of outsiders in the lord's pasture.</t>
  </si>
  <si>
    <t>Coarse wool: nothing because the lord's sheep are not there.</t>
  </si>
  <si>
    <t>Winter cheese: 39 made.</t>
  </si>
  <si>
    <t>all sold as noted above.</t>
  </si>
  <si>
    <t>Summer cheese:{yield of cow 4 shilling}: 171 cheeses made between Thursday after the feast of St Ambrose (5 April) and Michaelmas (29 September), both days included.</t>
  </si>
  <si>
    <t>17 in tithe.</t>
  </si>
  <si>
    <t>154 sold as noted above, which made 3.5 weys.</t>
  </si>
  <si>
    <t>Butter: 8.5 gallons sold.</t>
  </si>
  <si>
    <t>Utensils: 1 cart with iron tyres remains from the previous year. 3 hemp ropes remain from the previous year.</t>
  </si>
  <si>
    <t>2 bought.</t>
  </si>
  <si>
    <t>Total, 5. 2 used in the manor.</t>
  </si>
  <si>
    <t>3 remain. 2 sacks remain from the previous year.</t>
  </si>
  <si>
    <t>1 bought this year.</t>
  </si>
  <si>
    <t>Total, 3. 1 used in the manor.</t>
  </si>
  <si>
    <t>2 remain. 2 baskets remain from the previous year.</t>
  </si>
  <si>
    <t>1 bought.</t>
  </si>
  <si>
    <t>2 remain. 4 sickles remain from the previous year.</t>
  </si>
  <si>
    <t>Total, 5. 1 used in the manor.</t>
  </si>
  <si>
    <t>4 remain. 1 tripod remains from the previous year. 1 brass pan remains from the previous year. 1 brass pot remains from the previous year.</t>
  </si>
  <si>
    <t>Error</t>
  </si>
  <si>
    <t>Total</t>
  </si>
  <si>
    <t>The same render account for £10 16 shilling 9.5pence from 48 quarters 6 bushels of wheat sold, at 5 shilling a qr for 25 quarters 1 bushels). 4 shilling a qr for 18.5 quarters 1 bushels, and 3 shilling 4pence a qr for 5 quarters.</t>
  </si>
  <si>
    <t>£5 8 shilling 9pence from 32.5 quarters I bushels of barley sold, at 3 shilling 4pence a qr.</t>
  </si>
  <si>
    <t>2 shilling from 1 qr of beans sold.</t>
  </si>
  <si>
    <t>In threshing and winnowing 54 quarters 2 bushels of wheat with curall 10 shilling 1.25pence, at 2.25pence a qr.</t>
  </si>
  <si>
    <t>threshing and winnowing 51 quarters 6 bushels of barley 5 shilling 4pence, at 1.25pence a qr.</t>
  </si>
  <si>
    <t>added</t>
  </si>
  <si>
    <t>sold</t>
  </si>
  <si>
    <t>Foals</t>
  </si>
  <si>
    <t>Oxen</t>
  </si>
  <si>
    <t>Cows</t>
  </si>
  <si>
    <t>Bulls</t>
  </si>
  <si>
    <t>Steers</t>
  </si>
  <si>
    <t>Bullocks</t>
  </si>
  <si>
    <t>Yearlings</t>
  </si>
  <si>
    <t>Calves</t>
  </si>
  <si>
    <t>Poultry stock</t>
  </si>
  <si>
    <t>Coarse wool</t>
  </si>
  <si>
    <t>Cheese</t>
  </si>
  <si>
    <t>Butter</t>
  </si>
  <si>
    <t>Utensils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</si>
  <si>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</si>
  <si>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</si>
  <si>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</si>
  <si>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</si>
  <si>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</si>
  <si>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</si>
  <si>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</si>
  <si>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</si>
  <si>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</si>
  <si>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</si>
  <si>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</si>
  <si>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</si>
  <si>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</si>
  <si>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</si>
  <si>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</si>
  <si>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</si>
  <si>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</si>
  <si>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</si>
  <si>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</si>
  <si>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</si>
  <si>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</si>
  <si>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</si>
  <si>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</si>
  <si>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bread for 2 harvest boon-works, 1 qr.</t>
  </si>
  <si>
    <t>Given to 6 manorial servants this year, that is, 1 carter, 3 oxherds, 1 cowherd, 1 shepherd, for their stipends in summer by estimation in sheaves, 7.5 quarters, or 1 qr 2 bushels each.</t>
  </si>
  <si>
    <t>that is, .5 qr an acre.</t>
  </si>
  <si>
    <t>Given to 6 manorial servants, that is, 1 carter, 3 oxherds, 1 cowherd and 1 shepherd, for their stipends for .5 year in summer by estimation in sheaves, 6 quarters, or 1 qr each.</t>
  </si>
  <si>
    <t>Delivered to 1 cowherd for the year, taking a quarter every 12 weeks, 4 quarters 2.5 bushels Delivered to 1 shepherd who keeps 200 sheep by agreement with his own sheep, who takes a quarter every 10 weeks for the year, 5 quarters 1.5 bushels Delivered to 1 dairymaid, who takes a quarter every 12 weeks from the feast of St Mary in March (25 March) until Michaelmas (29 September), for 26 weeks and 6 days, 2 quarters 2 bushels Sold as noted above, 1 qr.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</si>
  <si>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</si>
  <si>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</si>
  <si>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</si>
  <si>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</si>
  <si>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</si>
  <si>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</si>
  <si>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Peas</t>
  </si>
  <si>
    <t>Oatmeal</t>
  </si>
  <si>
    <t>Vetches</t>
  </si>
  <si>
    <t>Rye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</si>
  <si>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</si>
  <si>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</si>
  <si>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</si>
  <si>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</si>
  <si>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</si>
  <si>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</si>
  <si>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</si>
  <si>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</si>
  <si>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</si>
  <si>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</si>
  <si>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</si>
  <si>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</si>
  <si>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</si>
  <si>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</si>
  <si>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</si>
  <si>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</si>
  <si>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</si>
  <si>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</si>
  <si>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</si>
  <si>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</si>
  <si>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</si>
  <si>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</si>
  <si>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</si>
  <si>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</si>
  <si>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</si>
  <si>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</si>
  <si>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</si>
  <si>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</si>
  <si>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</si>
  <si>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</si>
  <si>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</si>
  <si>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</si>
  <si>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</si>
  <si>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</si>
  <si>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</si>
  <si>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</si>
  <si>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</si>
  <si>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</si>
  <si>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</si>
  <si>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</si>
  <si>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</si>
  <si>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</si>
  <si>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</si>
  <si>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</si>
  <si>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</si>
  <si>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</si>
  <si>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</si>
  <si>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</si>
  <si>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</si>
  <si>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</si>
  <si>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</si>
  <si>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</si>
  <si>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</si>
  <si>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</si>
  <si>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</si>
  <si>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</si>
  <si>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</si>
  <si>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</si>
  <si>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</si>
  <si>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</si>
  <si>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</si>
  <si>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</si>
  <si>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Dredge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</si>
  <si>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</si>
  <si>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</si>
  <si>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</si>
  <si>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</si>
  <si>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</si>
  <si>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</si>
  <si>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</si>
  <si>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</si>
  <si>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</si>
  <si>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</si>
  <si>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</si>
  <si>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</si>
  <si>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</si>
  <si>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</si>
  <si>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</si>
  <si>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</si>
  <si>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</si>
  <si>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</si>
  <si>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</si>
  <si>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</si>
  <si>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</si>
  <si>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</si>
  <si>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</si>
  <si>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</si>
  <si>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</si>
  <si>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</si>
  <si>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</si>
  <si>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</si>
  <si>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</si>
  <si>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</si>
  <si>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</si>
  <si>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</si>
  <si>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</si>
  <si>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</si>
  <si>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</si>
  <si>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</si>
  <si>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</si>
  <si>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</si>
  <si>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</si>
  <si>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</si>
  <si>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</si>
  <si>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</si>
  <si>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</si>
  <si>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</si>
  <si>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</si>
  <si>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</si>
  <si>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</si>
  <si>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</si>
  <si>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</si>
  <si>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</si>
  <si>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</si>
  <si>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</si>
  <si>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</si>
  <si>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</si>
  <si>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</si>
  <si>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</si>
  <si>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</si>
  <si>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</si>
  <si>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</si>
  <si>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</si>
  <si>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</si>
  <si>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</si>
  <si>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</si>
  <si>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</si>
  <si>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</si>
  <si>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</si>
  <si>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</si>
  <si>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</si>
  <si>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</si>
  <si>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</si>
  <si>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</si>
  <si>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</si>
  <si>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</si>
  <si>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</si>
  <si>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Total in £</t>
  </si>
  <si>
    <t>Note</t>
  </si>
  <si>
    <t>MORTON</t>
  </si>
  <si>
    <t>MORTON RECEIPTS</t>
  </si>
  <si>
    <t>£</t>
  </si>
  <si>
    <t xml:space="preserve">s </t>
  </si>
  <si>
    <t>d</t>
  </si>
  <si>
    <t>Notes</t>
  </si>
  <si>
    <t>MORTON EXPENSES</t>
  </si>
  <si>
    <t xml:space="preserve">forage bought for stock £1 3 shilling 6.5pence </t>
  </si>
  <si>
    <t>Total, £12 17 shilling 10.5pence</t>
  </si>
  <si>
    <t xml:space="preserve">stipend of the same sergeant for the year 6 shilling 8pence </t>
  </si>
  <si>
    <t>Total, £1 18 shilling 2pence</t>
  </si>
  <si>
    <t xml:space="preserve">making 1 winnowing-fan from the lord's own timber 8pence </t>
  </si>
  <si>
    <t>Total, 17 shilling 1.75pence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</si>
  <si>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</si>
  <si>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</si>
  <si>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</si>
  <si>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</si>
  <si>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</si>
  <si>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</si>
  <si>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</si>
  <si>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Woolskins (incl. 10 in tithe)</t>
  </si>
  <si>
    <t>wethers</t>
  </si>
  <si>
    <t>rams</t>
  </si>
  <si>
    <t>ewes</t>
  </si>
  <si>
    <t>hoggs</t>
  </si>
  <si>
    <t>Woolskins (excl. 10 in tithe)</t>
  </si>
  <si>
    <t>Bareskins</t>
  </si>
  <si>
    <t>Lambskins (excl. 8 in tithe)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</si>
  <si>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</si>
  <si>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</si>
  <si>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</si>
  <si>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</si>
  <si>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</si>
  <si>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</si>
  <si>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</si>
  <si>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Winter cheese</t>
  </si>
  <si>
    <t>Summer cheese</t>
  </si>
  <si>
    <t>Total Dairy Sales</t>
  </si>
  <si>
    <t>Cider</t>
  </si>
  <si>
    <t>Additional Information (not necessarily useful)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</si>
  <si>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</si>
  <si>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</si>
  <si>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</si>
  <si>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</si>
  <si>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</si>
  <si>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</si>
  <si>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</si>
  <si>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</si>
  <si>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</si>
  <si>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</si>
  <si>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</si>
  <si>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</si>
  <si>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</si>
  <si>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</si>
  <si>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</si>
  <si>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</si>
  <si>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</si>
  <si>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</si>
  <si>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</si>
  <si>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</si>
  <si>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</si>
  <si>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</si>
  <si>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</si>
  <si>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</si>
  <si>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</si>
  <si>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</si>
  <si>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</si>
  <si>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</si>
  <si>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</si>
  <si>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</si>
  <si>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</si>
  <si>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</si>
  <si>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</si>
  <si>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</si>
  <si>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</si>
  <si>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</si>
  <si>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</si>
  <si>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</si>
  <si>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</si>
  <si>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</si>
  <si>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</si>
  <si>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</si>
  <si>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</si>
  <si>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</si>
  <si>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MORTON STOCK ACCOUNT</t>
  </si>
  <si>
    <t>Chickens</t>
  </si>
  <si>
    <t>Total Quantity</t>
  </si>
  <si>
    <t>Received from churchscot</t>
  </si>
  <si>
    <t>Total Production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</si>
  <si>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</si>
  <si>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</si>
  <si>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</si>
  <si>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</si>
  <si>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</si>
  <si>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</si>
  <si>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</si>
  <si>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</si>
  <si>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</si>
  <si>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</si>
  <si>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</si>
  <si>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</si>
  <si>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</si>
  <si>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</si>
  <si>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</si>
  <si>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</si>
  <si>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</si>
  <si>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measured in gallons</t>
  </si>
  <si>
    <t>nothing because the lord's sheep are not there</t>
  </si>
  <si>
    <t>plough horse</t>
  </si>
  <si>
    <t>only recorded in issues</t>
  </si>
  <si>
    <t>amount of flesh not given; only recorded in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</si>
</sst>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theme="1"/>
      <name val="Calibri (Body)"/>
    </font>
    <font>
      <b/>
      <sz val="12"/>
      <color rgb="FFFF0000"/>
      <name val="Calibri (Body)"/>
    </font>
    <font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1" fillId="0" borderId="0" xfId="0" applyFont="1"/>
    <xf numFmtId="0" fontId="6" fillId="3" borderId="2" xfId="0" applyFont="1" applyFill="1" applyBorder="1"/>
    <xf numFmtId="0" fontId="6" fillId="3" borderId="0" xfId="0" applyFont="1" applyFill="1"/>
    <xf numFmtId="0" fontId="7" fillId="2" borderId="0" xfId="0" applyFont="1" applyFill="1"/>
    <xf numFmtId="0" fontId="5" fillId="0" borderId="3" xfId="0" applyFont="1" applyBorder="1"/>
    <xf numFmtId="0" fontId="3" fillId="0" borderId="0" xfId="0" applyFont="1"/>
    <xf numFmtId="0" fontId="5" fillId="4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2" borderId="0" xfId="0" applyFont="1" applyFill="1"/>
    <xf numFmtId="0" fontId="4" fillId="6" borderId="0" xfId="0" applyFont="1" applyFill="1"/>
    <xf numFmtId="0" fontId="4" fillId="3" borderId="0" xfId="0" applyFont="1" applyFill="1"/>
    <xf numFmtId="0" fontId="5" fillId="0" borderId="0" xfId="0" applyFont="1" applyAlignment="1">
      <alignment wrapText="1"/>
    </xf>
    <xf numFmtId="0" fontId="8" fillId="6" borderId="0" xfId="0" applyFont="1" applyFill="1"/>
    <xf numFmtId="0" fontId="5" fillId="0" borderId="4" xfId="0" applyFont="1" applyBorder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left"/>
    </xf>
    <xf numFmtId="0" fontId="5" fillId="3" borderId="5" xfId="0" applyFont="1" applyFill="1" applyBorder="1"/>
    <xf numFmtId="0" fontId="8" fillId="2" borderId="6" xfId="0" applyFont="1" applyFill="1" applyBorder="1"/>
    <xf numFmtId="0" fontId="8" fillId="5" borderId="6" xfId="0" applyFont="1" applyFill="1" applyBorder="1"/>
    <xf numFmtId="0" fontId="5" fillId="0" borderId="6" xfId="0" applyFont="1" applyBorder="1"/>
    <xf numFmtId="10" fontId="8" fillId="2" borderId="6" xfId="0" applyNumberFormat="1" applyFont="1" applyFill="1" applyBorder="1"/>
    <xf numFmtId="10" fontId="8" fillId="5" borderId="7" xfId="0" applyNumberFormat="1" applyFont="1" applyFill="1" applyBorder="1"/>
    <xf numFmtId="2" fontId="4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2" fontId="0" fillId="0" borderId="0" xfId="0" applyNumberFormat="1"/>
    <xf numFmtId="2" fontId="10" fillId="0" borderId="0" xfId="0" applyNumberFormat="1" applyFont="1"/>
    <xf numFmtId="2" fontId="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top"/>
    </xf>
    <xf numFmtId="2" fontId="10" fillId="0" borderId="0" xfId="0" applyNumberFormat="1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5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/>
    <xf numFmtId="0" fontId="15" fillId="3" borderId="0" xfId="0" applyFont="1" applyFill="1"/>
    <xf numFmtId="0" fontId="15" fillId="0" borderId="0" xfId="0" applyFont="1"/>
    <xf numFmtId="2" fontId="0" fillId="0" borderId="0" xfId="0" applyNumberFormat="1" applyAlignment="1">
      <alignment wrapText="1"/>
    </xf>
    <xf numFmtId="0" fontId="3" fillId="0" borderId="0" xfId="0" applyFont="1" applyAlignment="1">
      <alignment horizontal="right" wrapText="1"/>
    </xf>
    <xf numFmtId="2" fontId="3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18" fillId="0" borderId="0" xfId="0" applyFont="1"/>
    <xf numFmtId="0" fontId="0" fillId="9" borderId="0" xfId="0" applyFill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2" fontId="18" fillId="0" borderId="0" xfId="0" applyNumberFormat="1" applyFont="1" applyAlignment="1">
      <alignment horizontal="right" wrapText="1"/>
    </xf>
    <xf numFmtId="0" fontId="0" fillId="10" borderId="0" xfId="0" applyFill="1"/>
    <xf numFmtId="0" fontId="0" fillId="0" borderId="10" xfId="0" applyBorder="1"/>
    <xf numFmtId="0" fontId="0" fillId="7" borderId="0" xfId="0" applyFill="1"/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6" x14ac:dyDescent="0.2"/>
  <cols>
    <col min="1" max="1" width="80" style="5" bestFit="1" customWidth="1"/>
  </cols>
  <sheetData>
    <row r="1" spans="1:4" x14ac:dyDescent="0.2">
      <c r="A1" s="2" t="s">
        <v>475</v>
      </c>
      <c r="B1" s="28" t="s">
        <v>473</v>
      </c>
      <c r="C1" s="29" t="s">
        <v>276</v>
      </c>
      <c r="D1" s="10" t="s">
        <v>474</v>
      </c>
    </row>
    <row r="2" spans="1:4" x14ac:dyDescent="0.2">
      <c r="A2" s="2" t="s">
        <v>345</v>
      </c>
    </row>
    <row r="3" spans="1:4" x14ac:dyDescent="0.2">
      <c r="A3" s="3" t="s">
        <v>346</v>
      </c>
    </row>
    <row r="4" spans="1:4" x14ac:dyDescent="0.2">
      <c r="A4" s="4" t="s">
        <v>347</v>
      </c>
    </row>
    <row r="5" spans="1:4" x14ac:dyDescent="0.2">
      <c r="A5" s="4" t="s">
        <v>348</v>
      </c>
    </row>
    <row r="6" spans="1:4" x14ac:dyDescent="0.2">
      <c r="A6" s="4" t="s">
        <v>349</v>
      </c>
    </row>
    <row r="7" spans="1:4" x14ac:dyDescent="0.2">
      <c r="A7" s="4" t="s">
        <v>350</v>
      </c>
    </row>
    <row r="8" spans="1:4" x14ac:dyDescent="0.2">
      <c r="A8" s="5" t="s">
        <v>351</v>
      </c>
    </row>
    <row r="9" spans="1:4" x14ac:dyDescent="0.2">
      <c r="A9" s="5" t="s">
        <v>352</v>
      </c>
    </row>
    <row r="10" spans="1:4" x14ac:dyDescent="0.2">
      <c r="A10" s="5" t="s">
        <v>353</v>
      </c>
    </row>
    <row r="11" spans="1:4" x14ac:dyDescent="0.2">
      <c r="A11" s="5" t="s">
        <v>354</v>
      </c>
    </row>
    <row r="12" spans="1:4" x14ac:dyDescent="0.2">
      <c r="A12" s="5" t="s">
        <v>355</v>
      </c>
    </row>
    <row r="13" spans="1:4" x14ac:dyDescent="0.2">
      <c r="A13" s="5" t="s">
        <v>356</v>
      </c>
    </row>
    <row r="14" spans="1:4" x14ac:dyDescent="0.2">
      <c r="A14" s="4" t="s">
        <v>357</v>
      </c>
    </row>
    <row r="15" spans="1:4" x14ac:dyDescent="0.2">
      <c r="A15" s="4" t="s">
        <v>358</v>
      </c>
    </row>
    <row r="16" spans="1:4" x14ac:dyDescent="0.2">
      <c r="A16" s="5" t="s">
        <v>359</v>
      </c>
    </row>
    <row r="17" spans="1:1" x14ac:dyDescent="0.2">
      <c r="A17" s="5" t="s">
        <v>360</v>
      </c>
    </row>
    <row r="18" spans="1:1" x14ac:dyDescent="0.2">
      <c r="A18" s="4" t="s">
        <v>361</v>
      </c>
    </row>
    <row r="19" spans="1:1" x14ac:dyDescent="0.2">
      <c r="A19" s="4" t="s">
        <v>362</v>
      </c>
    </row>
    <row r="20" spans="1:1" x14ac:dyDescent="0.2">
      <c r="A20" s="4" t="s">
        <v>363</v>
      </c>
    </row>
    <row r="21" spans="1:1" x14ac:dyDescent="0.2">
      <c r="A21" s="5" t="s">
        <v>364</v>
      </c>
    </row>
    <row r="22" spans="1:1" x14ac:dyDescent="0.2">
      <c r="A22" s="5" t="s">
        <v>365</v>
      </c>
    </row>
    <row r="23" spans="1:1" x14ac:dyDescent="0.2">
      <c r="A23" s="6" t="s">
        <v>366</v>
      </c>
    </row>
    <row r="24" spans="1:1" x14ac:dyDescent="0.2">
      <c r="A24" s="7" t="s">
        <v>367</v>
      </c>
    </row>
    <row r="25" spans="1:1" x14ac:dyDescent="0.2">
      <c r="A25" s="8" t="s">
        <v>368</v>
      </c>
    </row>
    <row r="26" spans="1:1" x14ac:dyDescent="0.2">
      <c r="A26" s="8" t="s">
        <v>369</v>
      </c>
    </row>
    <row r="27" spans="1:1" x14ac:dyDescent="0.2">
      <c r="A27" s="4"/>
    </row>
    <row r="28" spans="1:1" x14ac:dyDescent="0.2">
      <c r="A28" s="4"/>
    </row>
    <row r="29" spans="1:1" x14ac:dyDescent="0.2">
      <c r="A29" s="3" t="s">
        <v>370</v>
      </c>
    </row>
    <row r="30" spans="1:1" x14ac:dyDescent="0.2">
      <c r="A30" s="4" t="s">
        <v>371</v>
      </c>
    </row>
    <row r="31" spans="1:1" x14ac:dyDescent="0.2">
      <c r="A31" s="4" t="s">
        <v>372</v>
      </c>
    </row>
    <row r="32" spans="1:1" x14ac:dyDescent="0.2">
      <c r="A32" s="4" t="s">
        <v>373</v>
      </c>
    </row>
    <row r="33" spans="1:1" x14ac:dyDescent="0.2">
      <c r="A33" s="4" t="s">
        <v>374</v>
      </c>
    </row>
    <row r="34" spans="1:1" x14ac:dyDescent="0.2">
      <c r="A34" s="4" t="s">
        <v>375</v>
      </c>
    </row>
    <row r="35" spans="1:1" x14ac:dyDescent="0.2">
      <c r="A35" s="4" t="s">
        <v>376</v>
      </c>
    </row>
    <row r="36" spans="1:1" x14ac:dyDescent="0.2">
      <c r="A36" s="4" t="s">
        <v>377</v>
      </c>
    </row>
    <row r="37" spans="1:1" x14ac:dyDescent="0.2">
      <c r="A37" s="4" t="s">
        <v>378</v>
      </c>
    </row>
    <row r="38" spans="1:1" x14ac:dyDescent="0.2">
      <c r="A38" s="4" t="s">
        <v>379</v>
      </c>
    </row>
    <row r="39" spans="1:1" x14ac:dyDescent="0.2">
      <c r="A39" s="4" t="s">
        <v>380</v>
      </c>
    </row>
    <row r="40" spans="1:1" x14ac:dyDescent="0.2">
      <c r="A40" s="4" t="s">
        <v>381</v>
      </c>
    </row>
    <row r="41" spans="1:1" x14ac:dyDescent="0.2">
      <c r="A41" s="4" t="s">
        <v>382</v>
      </c>
    </row>
    <row r="42" spans="1:1" x14ac:dyDescent="0.2">
      <c r="A42" s="4" t="s">
        <v>383</v>
      </c>
    </row>
    <row r="43" spans="1:1" x14ac:dyDescent="0.2">
      <c r="A43" s="9" t="s">
        <v>384</v>
      </c>
    </row>
    <row r="44" spans="1:1" x14ac:dyDescent="0.2">
      <c r="A44" s="7" t="s">
        <v>385</v>
      </c>
    </row>
    <row r="45" spans="1:1" x14ac:dyDescent="0.2">
      <c r="A45" s="7" t="s">
        <v>386</v>
      </c>
    </row>
    <row r="46" spans="1:1" x14ac:dyDescent="0.2">
      <c r="A46" s="7" t="s">
        <v>387</v>
      </c>
    </row>
    <row r="47" spans="1:1" x14ac:dyDescent="0.2">
      <c r="A47" s="7" t="s">
        <v>388</v>
      </c>
    </row>
    <row r="48" spans="1:1" x14ac:dyDescent="0.2">
      <c r="A48" s="10"/>
    </row>
    <row r="49" spans="1:1" x14ac:dyDescent="0.2">
      <c r="A49" s="11" t="s">
        <v>389</v>
      </c>
    </row>
    <row r="50" spans="1:1" x14ac:dyDescent="0.2">
      <c r="A50" s="11" t="s">
        <v>390</v>
      </c>
    </row>
    <row r="51" spans="1:1" x14ac:dyDescent="0.2">
      <c r="A51" s="4"/>
    </row>
    <row r="52" spans="1:1" x14ac:dyDescent="0.2">
      <c r="A52" s="11" t="s">
        <v>391</v>
      </c>
    </row>
    <row r="53" spans="1:1" x14ac:dyDescent="0.2">
      <c r="A53" s="11" t="s">
        <v>177</v>
      </c>
    </row>
    <row r="54" spans="1:1" x14ac:dyDescent="0.2">
      <c r="A54" s="12" t="s">
        <v>392</v>
      </c>
    </row>
    <row r="55" spans="1:1" x14ac:dyDescent="0.2">
      <c r="A55" s="13" t="s">
        <v>393</v>
      </c>
    </row>
    <row r="56" spans="1:1" x14ac:dyDescent="0.2">
      <c r="A56" s="4"/>
    </row>
    <row r="57" spans="1:1" x14ac:dyDescent="0.2">
      <c r="A57" s="11" t="s">
        <v>394</v>
      </c>
    </row>
    <row r="58" spans="1:1" x14ac:dyDescent="0.2">
      <c r="A58" s="11" t="s">
        <v>395</v>
      </c>
    </row>
    <row r="59" spans="1:1" x14ac:dyDescent="0.2">
      <c r="A59" s="4"/>
    </row>
    <row r="60" spans="1:1" x14ac:dyDescent="0.2">
      <c r="A60" s="3" t="s">
        <v>396</v>
      </c>
    </row>
    <row r="61" spans="1:1" x14ac:dyDescent="0.2">
      <c r="A61" s="2" t="s">
        <v>397</v>
      </c>
    </row>
    <row r="62" spans="1:1" x14ac:dyDescent="0.2">
      <c r="A62" s="5" t="s">
        <v>180</v>
      </c>
    </row>
    <row r="63" spans="1:1" x14ac:dyDescent="0.2">
      <c r="A63" s="5" t="s">
        <v>335</v>
      </c>
    </row>
    <row r="64" spans="1:1" x14ac:dyDescent="0.2">
      <c r="A64" s="5" t="s">
        <v>398</v>
      </c>
    </row>
    <row r="65" spans="1:1" x14ac:dyDescent="0.2">
      <c r="A65" s="5" t="s">
        <v>193</v>
      </c>
    </row>
    <row r="66" spans="1:1" x14ac:dyDescent="0.2">
      <c r="A66" s="5" t="s">
        <v>196</v>
      </c>
    </row>
    <row r="67" spans="1:1" x14ac:dyDescent="0.2">
      <c r="A67" s="5" t="s">
        <v>202</v>
      </c>
    </row>
    <row r="68" spans="1:1" x14ac:dyDescent="0.2">
      <c r="A68" s="5" t="s">
        <v>212</v>
      </c>
    </row>
    <row r="69" spans="1:1" x14ac:dyDescent="0.2">
      <c r="A69" s="5" t="s">
        <v>332</v>
      </c>
    </row>
    <row r="70" spans="1:1" x14ac:dyDescent="0.2">
      <c r="A70" s="5" t="s">
        <v>334</v>
      </c>
    </row>
    <row r="71" spans="1:1" x14ac:dyDescent="0.2">
      <c r="A71" s="14" t="s">
        <v>399</v>
      </c>
    </row>
    <row r="72" spans="1:1" x14ac:dyDescent="0.2">
      <c r="A72" s="14" t="s">
        <v>400</v>
      </c>
    </row>
    <row r="73" spans="1:1" x14ac:dyDescent="0.2">
      <c r="A73" s="14" t="s">
        <v>401</v>
      </c>
    </row>
    <row r="74" spans="1:1" x14ac:dyDescent="0.2">
      <c r="A74" s="4"/>
    </row>
    <row r="75" spans="1:1" x14ac:dyDescent="0.2">
      <c r="A75" s="3" t="s">
        <v>402</v>
      </c>
    </row>
    <row r="76" spans="1:1" x14ac:dyDescent="0.2">
      <c r="A76" s="2" t="s">
        <v>403</v>
      </c>
    </row>
    <row r="77" spans="1:1" x14ac:dyDescent="0.2">
      <c r="A77" s="4" t="s">
        <v>180</v>
      </c>
    </row>
    <row r="78" spans="1:1" x14ac:dyDescent="0.2">
      <c r="A78" s="4" t="s">
        <v>333</v>
      </c>
    </row>
    <row r="79" spans="1:1" x14ac:dyDescent="0.2">
      <c r="A79" s="4" t="s">
        <v>404</v>
      </c>
    </row>
    <row r="80" spans="1:1" x14ac:dyDescent="0.2">
      <c r="A80" s="4" t="s">
        <v>405</v>
      </c>
    </row>
    <row r="81" spans="1:1" x14ac:dyDescent="0.2">
      <c r="A81" s="4" t="s">
        <v>331</v>
      </c>
    </row>
    <row r="82" spans="1:1" x14ac:dyDescent="0.2">
      <c r="A82" s="14" t="s">
        <v>406</v>
      </c>
    </row>
    <row r="83" spans="1:1" x14ac:dyDescent="0.2">
      <c r="A83" s="14" t="s">
        <v>401</v>
      </c>
    </row>
    <row r="84" spans="1:1" x14ac:dyDescent="0.2">
      <c r="A84" s="4"/>
    </row>
    <row r="85" spans="1:1" x14ac:dyDescent="0.2">
      <c r="A85" s="15" t="s">
        <v>407</v>
      </c>
    </row>
    <row r="86" spans="1:1" x14ac:dyDescent="0.2">
      <c r="A86" s="16" t="s">
        <v>408</v>
      </c>
    </row>
    <row r="87" spans="1:1" ht="17" x14ac:dyDescent="0.2">
      <c r="A87" s="17" t="s">
        <v>409</v>
      </c>
    </row>
    <row r="88" spans="1:1" ht="17" x14ac:dyDescent="0.2">
      <c r="A88" s="17" t="s">
        <v>410</v>
      </c>
    </row>
    <row r="89" spans="1:1" x14ac:dyDescent="0.2">
      <c r="A89" s="4" t="s">
        <v>411</v>
      </c>
    </row>
    <row r="90" spans="1:1" x14ac:dyDescent="0.2">
      <c r="A90" s="4" t="s">
        <v>412</v>
      </c>
    </row>
    <row r="91" spans="1:1" x14ac:dyDescent="0.2">
      <c r="A91" s="4" t="s">
        <v>412</v>
      </c>
    </row>
    <row r="92" spans="1:1" x14ac:dyDescent="0.2">
      <c r="A92" s="4" t="s">
        <v>413</v>
      </c>
    </row>
    <row r="93" spans="1:1" x14ac:dyDescent="0.2">
      <c r="A93" s="4" t="s">
        <v>285</v>
      </c>
    </row>
    <row r="94" spans="1:1" x14ac:dyDescent="0.2">
      <c r="A94" s="4" t="s">
        <v>286</v>
      </c>
    </row>
    <row r="95" spans="1:1" x14ac:dyDescent="0.2">
      <c r="A95" s="4" t="s">
        <v>288</v>
      </c>
    </row>
    <row r="96" spans="1:1" x14ac:dyDescent="0.2">
      <c r="A96" s="4" t="s">
        <v>287</v>
      </c>
    </row>
    <row r="97" spans="1:1" x14ac:dyDescent="0.2">
      <c r="A97" s="4" t="s">
        <v>289</v>
      </c>
    </row>
    <row r="98" spans="1:1" x14ac:dyDescent="0.2">
      <c r="A98" s="4" t="s">
        <v>290</v>
      </c>
    </row>
    <row r="99" spans="1:1" x14ac:dyDescent="0.2">
      <c r="A99" s="4" t="s">
        <v>291</v>
      </c>
    </row>
    <row r="100" spans="1:1" x14ac:dyDescent="0.2">
      <c r="A100" s="4" t="s">
        <v>292</v>
      </c>
    </row>
    <row r="101" spans="1:1" x14ac:dyDescent="0.2">
      <c r="A101" s="4" t="s">
        <v>414</v>
      </c>
    </row>
    <row r="102" spans="1:1" x14ac:dyDescent="0.2">
      <c r="A102" s="4" t="s">
        <v>415</v>
      </c>
    </row>
    <row r="103" spans="1:1" x14ac:dyDescent="0.2">
      <c r="A103" s="4" t="s">
        <v>416</v>
      </c>
    </row>
    <row r="104" spans="1:1" x14ac:dyDescent="0.2">
      <c r="A104" s="4" t="s">
        <v>417</v>
      </c>
    </row>
    <row r="105" spans="1:1" x14ac:dyDescent="0.2">
      <c r="A105" s="4" t="s">
        <v>418</v>
      </c>
    </row>
    <row r="106" spans="1:1" x14ac:dyDescent="0.2">
      <c r="A106" s="4" t="s">
        <v>419</v>
      </c>
    </row>
    <row r="107" spans="1:1" x14ac:dyDescent="0.2">
      <c r="A107" s="4" t="s">
        <v>420</v>
      </c>
    </row>
    <row r="108" spans="1:1" x14ac:dyDescent="0.2">
      <c r="A108" s="4" t="s">
        <v>421</v>
      </c>
    </row>
    <row r="109" spans="1:1" x14ac:dyDescent="0.2">
      <c r="A109" s="4" t="s">
        <v>422</v>
      </c>
    </row>
    <row r="110" spans="1:1" x14ac:dyDescent="0.2">
      <c r="A110" s="4" t="s">
        <v>423</v>
      </c>
    </row>
    <row r="111" spans="1:1" x14ac:dyDescent="0.2">
      <c r="A111" s="4" t="s">
        <v>424</v>
      </c>
    </row>
    <row r="112" spans="1:1" x14ac:dyDescent="0.2">
      <c r="A112" s="4" t="s">
        <v>425</v>
      </c>
    </row>
    <row r="113" spans="1:1" x14ac:dyDescent="0.2">
      <c r="A113" s="14" t="s">
        <v>426</v>
      </c>
    </row>
    <row r="114" spans="1:1" x14ac:dyDescent="0.2">
      <c r="A114" s="14" t="s">
        <v>427</v>
      </c>
    </row>
    <row r="115" spans="1:1" x14ac:dyDescent="0.2">
      <c r="A115" s="14" t="s">
        <v>401</v>
      </c>
    </row>
    <row r="116" spans="1:1" x14ac:dyDescent="0.2">
      <c r="A116" s="4"/>
    </row>
    <row r="117" spans="1:1" x14ac:dyDescent="0.2">
      <c r="A117" s="3" t="s">
        <v>428</v>
      </c>
    </row>
    <row r="118" spans="1:1" ht="17" x14ac:dyDescent="0.2">
      <c r="A118" s="17" t="s">
        <v>429</v>
      </c>
    </row>
    <row r="119" spans="1:1" x14ac:dyDescent="0.2">
      <c r="A119" s="4" t="s">
        <v>294</v>
      </c>
    </row>
    <row r="120" spans="1:1" x14ac:dyDescent="0.2">
      <c r="A120" s="4" t="s">
        <v>430</v>
      </c>
    </row>
    <row r="121" spans="1:1" x14ac:dyDescent="0.2">
      <c r="A121" s="4" t="s">
        <v>431</v>
      </c>
    </row>
    <row r="122" spans="1:1" x14ac:dyDescent="0.2">
      <c r="A122" s="4" t="s">
        <v>432</v>
      </c>
    </row>
    <row r="123" spans="1:1" x14ac:dyDescent="0.2">
      <c r="A123" s="18" t="s">
        <v>406</v>
      </c>
    </row>
    <row r="124" spans="1:1" x14ac:dyDescent="0.2">
      <c r="A124" s="18" t="s">
        <v>401</v>
      </c>
    </row>
    <row r="125" spans="1:1" x14ac:dyDescent="0.2">
      <c r="A125" s="2"/>
    </row>
    <row r="126" spans="1:1" x14ac:dyDescent="0.2">
      <c r="A126" s="3" t="s">
        <v>433</v>
      </c>
    </row>
    <row r="127" spans="1:1" x14ac:dyDescent="0.2">
      <c r="A127" s="4" t="s">
        <v>434</v>
      </c>
    </row>
    <row r="128" spans="1:1" x14ac:dyDescent="0.2">
      <c r="A128" s="4" t="s">
        <v>435</v>
      </c>
    </row>
    <row r="129" spans="1:1" x14ac:dyDescent="0.2">
      <c r="A129" s="4" t="s">
        <v>436</v>
      </c>
    </row>
    <row r="130" spans="1:1" x14ac:dyDescent="0.2">
      <c r="A130" s="4" t="s">
        <v>437</v>
      </c>
    </row>
    <row r="131" spans="1:1" x14ac:dyDescent="0.2">
      <c r="A131" s="4" t="s">
        <v>438</v>
      </c>
    </row>
    <row r="132" spans="1:1" x14ac:dyDescent="0.2">
      <c r="A132" s="4" t="s">
        <v>439</v>
      </c>
    </row>
    <row r="133" spans="1:1" x14ac:dyDescent="0.2">
      <c r="A133" s="19" t="s">
        <v>440</v>
      </c>
    </row>
    <row r="134" spans="1:1" x14ac:dyDescent="0.2">
      <c r="A134" s="20" t="s">
        <v>441</v>
      </c>
    </row>
    <row r="135" spans="1:1" x14ac:dyDescent="0.2">
      <c r="A135" s="20" t="s">
        <v>442</v>
      </c>
    </row>
    <row r="136" spans="1:1" x14ac:dyDescent="0.2">
      <c r="A136" s="20" t="s">
        <v>443</v>
      </c>
    </row>
    <row r="137" spans="1:1" x14ac:dyDescent="0.2">
      <c r="A137" s="20" t="s">
        <v>444</v>
      </c>
    </row>
    <row r="138" spans="1:1" x14ac:dyDescent="0.2">
      <c r="A138" s="21" t="s">
        <v>445</v>
      </c>
    </row>
    <row r="139" spans="1:1" x14ac:dyDescent="0.2">
      <c r="A139" s="20" t="s">
        <v>446</v>
      </c>
    </row>
    <row r="140" spans="1:1" x14ac:dyDescent="0.2">
      <c r="A140" s="20" t="s">
        <v>447</v>
      </c>
    </row>
    <row r="141" spans="1:1" x14ac:dyDescent="0.2">
      <c r="A141" s="20" t="s">
        <v>448</v>
      </c>
    </row>
    <row r="142" spans="1:1" x14ac:dyDescent="0.2">
      <c r="A142" s="20" t="s">
        <v>449</v>
      </c>
    </row>
    <row r="143" spans="1:1" x14ac:dyDescent="0.2">
      <c r="A143" s="21" t="s">
        <v>450</v>
      </c>
    </row>
    <row r="144" spans="1:1" x14ac:dyDescent="0.2">
      <c r="A144" s="4" t="s">
        <v>451</v>
      </c>
    </row>
    <row r="145" spans="1:1" x14ac:dyDescent="0.2">
      <c r="A145" s="4" t="s">
        <v>452</v>
      </c>
    </row>
    <row r="146" spans="1:1" x14ac:dyDescent="0.2">
      <c r="A146" s="4" t="s">
        <v>453</v>
      </c>
    </row>
    <row r="147" spans="1:1" x14ac:dyDescent="0.2">
      <c r="A147" s="14" t="s">
        <v>406</v>
      </c>
    </row>
    <row r="148" spans="1:1" x14ac:dyDescent="0.2">
      <c r="A148" s="14" t="s">
        <v>401</v>
      </c>
    </row>
    <row r="149" spans="1:1" x14ac:dyDescent="0.2">
      <c r="A149" s="4"/>
    </row>
    <row r="150" spans="1:1" x14ac:dyDescent="0.2">
      <c r="A150" s="3" t="s">
        <v>293</v>
      </c>
    </row>
    <row r="151" spans="1:1" ht="17" x14ac:dyDescent="0.2">
      <c r="A151" s="17" t="s">
        <v>454</v>
      </c>
    </row>
    <row r="152" spans="1:1" x14ac:dyDescent="0.2">
      <c r="A152" s="4" t="s">
        <v>455</v>
      </c>
    </row>
    <row r="153" spans="1:1" x14ac:dyDescent="0.2">
      <c r="A153" s="4" t="s">
        <v>456</v>
      </c>
    </row>
    <row r="154" spans="1:1" x14ac:dyDescent="0.2">
      <c r="A154" s="4" t="s">
        <v>457</v>
      </c>
    </row>
    <row r="155" spans="1:1" x14ac:dyDescent="0.2">
      <c r="A155" s="18" t="s">
        <v>406</v>
      </c>
    </row>
    <row r="156" spans="1:1" x14ac:dyDescent="0.2">
      <c r="A156" s="18" t="s">
        <v>401</v>
      </c>
    </row>
    <row r="157" spans="1:1" x14ac:dyDescent="0.2">
      <c r="A157" s="4"/>
    </row>
    <row r="158" spans="1:1" x14ac:dyDescent="0.2">
      <c r="A158" s="3" t="s">
        <v>458</v>
      </c>
    </row>
    <row r="159" spans="1:1" x14ac:dyDescent="0.2">
      <c r="A159" s="4" t="s">
        <v>459</v>
      </c>
    </row>
    <row r="160" spans="1:1" x14ac:dyDescent="0.2">
      <c r="A160" s="4" t="s">
        <v>460</v>
      </c>
    </row>
    <row r="161" spans="1:1" x14ac:dyDescent="0.2">
      <c r="A161" s="4" t="s">
        <v>461</v>
      </c>
    </row>
    <row r="162" spans="1:1" x14ac:dyDescent="0.2">
      <c r="A162" s="14" t="s">
        <v>462</v>
      </c>
    </row>
    <row r="163" spans="1:1" x14ac:dyDescent="0.2">
      <c r="A163" s="14" t="s">
        <v>401</v>
      </c>
    </row>
    <row r="164" spans="1:1" x14ac:dyDescent="0.2">
      <c r="A164" s="4"/>
    </row>
    <row r="165" spans="1:1" x14ac:dyDescent="0.2">
      <c r="A165" s="3" t="s">
        <v>463</v>
      </c>
    </row>
    <row r="166" spans="1:1" x14ac:dyDescent="0.2">
      <c r="A166" s="4" t="s">
        <v>296</v>
      </c>
    </row>
    <row r="167" spans="1:1" x14ac:dyDescent="0.2">
      <c r="A167" s="4" t="s">
        <v>464</v>
      </c>
    </row>
    <row r="168" spans="1:1" x14ac:dyDescent="0.2">
      <c r="A168" s="4" t="s">
        <v>465</v>
      </c>
    </row>
    <row r="169" spans="1:1" x14ac:dyDescent="0.2">
      <c r="A169" s="14" t="s">
        <v>406</v>
      </c>
    </row>
    <row r="170" spans="1:1" x14ac:dyDescent="0.2">
      <c r="A170" s="14" t="s">
        <v>401</v>
      </c>
    </row>
    <row r="171" spans="1:1" x14ac:dyDescent="0.2">
      <c r="A171" s="4"/>
    </row>
    <row r="172" spans="1:1" x14ac:dyDescent="0.2">
      <c r="A172" s="4"/>
    </row>
    <row r="173" spans="1:1" ht="17" thickBot="1" x14ac:dyDescent="0.25"/>
    <row r="174" spans="1:1" ht="17" thickBot="1" x14ac:dyDescent="0.25">
      <c r="A174" s="22"/>
    </row>
    <row r="175" spans="1:1" x14ac:dyDescent="0.2">
      <c r="A175" s="23" t="s">
        <v>466</v>
      </c>
    </row>
    <row r="176" spans="1:1" x14ac:dyDescent="0.2">
      <c r="A176" s="24" t="s">
        <v>467</v>
      </c>
    </row>
    <row r="177" spans="1:1" x14ac:dyDescent="0.2">
      <c r="A177" s="24" t="s">
        <v>468</v>
      </c>
    </row>
    <row r="178" spans="1:1" x14ac:dyDescent="0.2">
      <c r="A178" s="24" t="s">
        <v>469</v>
      </c>
    </row>
    <row r="179" spans="1:1" x14ac:dyDescent="0.2">
      <c r="A179" s="25"/>
    </row>
    <row r="180" spans="1:1" x14ac:dyDescent="0.2">
      <c r="A180" s="26" t="s">
        <v>470</v>
      </c>
    </row>
    <row r="181" spans="1:1" x14ac:dyDescent="0.2">
      <c r="A181" s="24" t="s">
        <v>471</v>
      </c>
    </row>
    <row r="182" spans="1:1" x14ac:dyDescent="0.2">
      <c r="A182" s="25"/>
    </row>
    <row r="183" spans="1:1" ht="17" thickBot="1" x14ac:dyDescent="0.25">
      <c r="A183" s="27" t="s">
        <v>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zoomScale="118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H54" sqref="H54"/>
    </sheetView>
  </sheetViews>
  <sheetFormatPr baseColWidth="10" defaultColWidth="8.83203125" defaultRowHeight="15" x14ac:dyDescent="0.2"/>
  <cols>
    <col min="1" max="1" width="30.5" bestFit="1" customWidth="1"/>
    <col min="7" max="7" width="8.83203125" style="30"/>
  </cols>
  <sheetData>
    <row r="1" spans="1:8" ht="16" x14ac:dyDescent="0.2">
      <c r="A1" s="10" t="s">
        <v>476</v>
      </c>
    </row>
    <row r="2" spans="1:8" ht="16" x14ac:dyDescent="0.2">
      <c r="A2" s="32" t="s">
        <v>0</v>
      </c>
      <c r="B2" s="33" t="s">
        <v>477</v>
      </c>
      <c r="C2" s="34" t="s">
        <v>478</v>
      </c>
      <c r="D2" s="34" t="s">
        <v>479</v>
      </c>
      <c r="E2" s="34"/>
      <c r="F2" s="35" t="s">
        <v>473</v>
      </c>
      <c r="G2" s="36" t="s">
        <v>276</v>
      </c>
      <c r="H2" s="37" t="s">
        <v>480</v>
      </c>
    </row>
    <row r="3" spans="1:8" x14ac:dyDescent="0.2">
      <c r="A3" t="s">
        <v>36</v>
      </c>
      <c r="B3">
        <v>3</v>
      </c>
      <c r="C3">
        <v>10</v>
      </c>
      <c r="D3">
        <v>3</v>
      </c>
      <c r="F3">
        <v>3.51</v>
      </c>
      <c r="H3" t="s">
        <v>37</v>
      </c>
    </row>
    <row r="4" spans="1:8" x14ac:dyDescent="0.2">
      <c r="A4" t="s">
        <v>36</v>
      </c>
      <c r="B4">
        <v>3</v>
      </c>
      <c r="C4">
        <v>10</v>
      </c>
      <c r="D4">
        <v>3</v>
      </c>
      <c r="F4">
        <v>3.51</v>
      </c>
      <c r="H4" t="s">
        <v>38</v>
      </c>
    </row>
    <row r="5" spans="1:8" x14ac:dyDescent="0.2">
      <c r="A5" t="s">
        <v>36</v>
      </c>
      <c r="F5">
        <v>7.02</v>
      </c>
      <c r="G5" s="30">
        <v>3.51</v>
      </c>
      <c r="H5" t="s">
        <v>277</v>
      </c>
    </row>
    <row r="7" spans="1:8" x14ac:dyDescent="0.2">
      <c r="A7" t="s">
        <v>39</v>
      </c>
      <c r="B7">
        <v>1</v>
      </c>
      <c r="C7">
        <v>3</v>
      </c>
      <c r="D7">
        <v>3.25</v>
      </c>
      <c r="F7">
        <v>1.1599999999999999</v>
      </c>
      <c r="H7" t="s">
        <v>40</v>
      </c>
    </row>
    <row r="8" spans="1:8" x14ac:dyDescent="0.2">
      <c r="A8" t="s">
        <v>39</v>
      </c>
      <c r="B8">
        <v>1</v>
      </c>
      <c r="C8">
        <v>3</v>
      </c>
      <c r="D8">
        <v>3.25</v>
      </c>
      <c r="F8">
        <v>1.1599999999999999</v>
      </c>
      <c r="H8" t="s">
        <v>41</v>
      </c>
    </row>
    <row r="9" spans="1:8" x14ac:dyDescent="0.2">
      <c r="A9" t="s">
        <v>39</v>
      </c>
      <c r="B9">
        <v>1</v>
      </c>
      <c r="C9">
        <v>3</v>
      </c>
      <c r="D9">
        <v>3.25</v>
      </c>
      <c r="F9">
        <v>1.1599999999999999</v>
      </c>
      <c r="H9" t="s">
        <v>42</v>
      </c>
    </row>
    <row r="10" spans="1:8" x14ac:dyDescent="0.2">
      <c r="A10" t="s">
        <v>39</v>
      </c>
      <c r="B10">
        <v>1</v>
      </c>
      <c r="C10">
        <v>3</v>
      </c>
      <c r="D10">
        <v>3.25</v>
      </c>
      <c r="F10">
        <v>1.1599999999999999</v>
      </c>
      <c r="H10" t="s">
        <v>43</v>
      </c>
    </row>
    <row r="11" spans="1:8" x14ac:dyDescent="0.2">
      <c r="A11" t="s">
        <v>39</v>
      </c>
      <c r="B11">
        <v>4</v>
      </c>
      <c r="C11">
        <v>13</v>
      </c>
      <c r="D11">
        <v>1</v>
      </c>
      <c r="F11">
        <v>4.6500000000000004</v>
      </c>
      <c r="H11" t="s">
        <v>44</v>
      </c>
    </row>
    <row r="12" spans="1:8" x14ac:dyDescent="0.2">
      <c r="A12" t="s">
        <v>39</v>
      </c>
      <c r="F12">
        <v>4.6399999999999997</v>
      </c>
      <c r="G12" s="30">
        <v>-1.000000000000068E-2</v>
      </c>
      <c r="H12" t="s">
        <v>277</v>
      </c>
    </row>
    <row r="14" spans="1:8" x14ac:dyDescent="0.2">
      <c r="A14" t="s">
        <v>45</v>
      </c>
      <c r="B14">
        <v>0</v>
      </c>
      <c r="C14">
        <v>2</v>
      </c>
      <c r="D14">
        <v>0</v>
      </c>
      <c r="F14">
        <v>0.1</v>
      </c>
      <c r="H14" t="s">
        <v>46</v>
      </c>
    </row>
    <row r="15" spans="1:8" x14ac:dyDescent="0.2">
      <c r="A15" t="s">
        <v>45</v>
      </c>
      <c r="B15">
        <v>0</v>
      </c>
      <c r="C15">
        <v>12</v>
      </c>
      <c r="D15">
        <v>0</v>
      </c>
      <c r="F15">
        <v>0.6</v>
      </c>
      <c r="H15" t="s">
        <v>47</v>
      </c>
    </row>
    <row r="16" spans="1:8" x14ac:dyDescent="0.2">
      <c r="A16" t="s">
        <v>45</v>
      </c>
      <c r="B16">
        <v>0</v>
      </c>
      <c r="C16">
        <v>14</v>
      </c>
      <c r="D16">
        <v>0</v>
      </c>
      <c r="F16">
        <v>0.7</v>
      </c>
      <c r="H16" t="s">
        <v>48</v>
      </c>
    </row>
    <row r="17" spans="1:8" x14ac:dyDescent="0.2">
      <c r="A17" t="s">
        <v>45</v>
      </c>
      <c r="F17">
        <v>0.7</v>
      </c>
      <c r="G17" s="30">
        <v>0</v>
      </c>
      <c r="H17" t="s">
        <v>277</v>
      </c>
    </row>
    <row r="19" spans="1:8" x14ac:dyDescent="0.2">
      <c r="A19" t="s">
        <v>49</v>
      </c>
      <c r="B19">
        <v>0</v>
      </c>
      <c r="C19">
        <v>4</v>
      </c>
      <c r="D19">
        <v>0</v>
      </c>
      <c r="F19">
        <v>0.2</v>
      </c>
      <c r="H19" t="s">
        <v>50</v>
      </c>
    </row>
    <row r="20" spans="1:8" x14ac:dyDescent="0.2">
      <c r="A20" t="s">
        <v>49</v>
      </c>
      <c r="B20">
        <v>0</v>
      </c>
      <c r="C20">
        <v>3</v>
      </c>
      <c r="D20">
        <v>0</v>
      </c>
      <c r="F20">
        <v>0.15</v>
      </c>
      <c r="H20" t="s">
        <v>51</v>
      </c>
    </row>
    <row r="21" spans="1:8" x14ac:dyDescent="0.2">
      <c r="A21" t="s">
        <v>49</v>
      </c>
      <c r="B21">
        <v>0</v>
      </c>
      <c r="C21">
        <v>1</v>
      </c>
      <c r="D21">
        <v>8</v>
      </c>
      <c r="F21">
        <v>0.08</v>
      </c>
      <c r="H21" t="s">
        <v>52</v>
      </c>
    </row>
    <row r="22" spans="1:8" x14ac:dyDescent="0.2">
      <c r="A22" t="s">
        <v>49</v>
      </c>
      <c r="B22">
        <v>0</v>
      </c>
      <c r="C22">
        <v>0</v>
      </c>
      <c r="D22">
        <v>9</v>
      </c>
      <c r="F22">
        <v>0.04</v>
      </c>
      <c r="H22" t="s">
        <v>53</v>
      </c>
    </row>
    <row r="23" spans="1:8" x14ac:dyDescent="0.2">
      <c r="A23" t="s">
        <v>49</v>
      </c>
      <c r="B23">
        <v>0</v>
      </c>
      <c r="C23">
        <v>1</v>
      </c>
      <c r="D23">
        <v>3</v>
      </c>
      <c r="F23">
        <v>0.06</v>
      </c>
      <c r="H23" t="s">
        <v>54</v>
      </c>
    </row>
    <row r="24" spans="1:8" x14ac:dyDescent="0.2">
      <c r="A24" t="s">
        <v>49</v>
      </c>
      <c r="B24">
        <v>0</v>
      </c>
      <c r="C24">
        <v>0</v>
      </c>
      <c r="D24">
        <v>0</v>
      </c>
      <c r="F24">
        <v>0</v>
      </c>
      <c r="H24" t="s">
        <v>55</v>
      </c>
    </row>
    <row r="25" spans="1:8" x14ac:dyDescent="0.2">
      <c r="A25" t="s">
        <v>49</v>
      </c>
      <c r="B25">
        <v>0</v>
      </c>
      <c r="C25">
        <v>11</v>
      </c>
      <c r="D25">
        <v>3.5</v>
      </c>
      <c r="F25">
        <v>0.56000000000000005</v>
      </c>
      <c r="H25" t="s">
        <v>56</v>
      </c>
    </row>
    <row r="26" spans="1:8" x14ac:dyDescent="0.2">
      <c r="A26" t="s">
        <v>49</v>
      </c>
      <c r="F26">
        <v>0.53</v>
      </c>
      <c r="G26" s="30">
        <v>-3.000000000000003E-2</v>
      </c>
      <c r="H26" t="s">
        <v>277</v>
      </c>
    </row>
    <row r="28" spans="1:8" x14ac:dyDescent="0.2">
      <c r="A28" t="s">
        <v>57</v>
      </c>
      <c r="B28">
        <v>1</v>
      </c>
      <c r="C28">
        <v>5</v>
      </c>
      <c r="D28">
        <v>3.5</v>
      </c>
      <c r="F28">
        <v>1.26</v>
      </c>
      <c r="H28" t="s">
        <v>58</v>
      </c>
    </row>
    <row r="29" spans="1:8" x14ac:dyDescent="0.2">
      <c r="A29" t="s">
        <v>57</v>
      </c>
      <c r="F29">
        <v>1.26</v>
      </c>
      <c r="G29" s="30">
        <f>F29-F28</f>
        <v>0</v>
      </c>
      <c r="H29" t="s">
        <v>277</v>
      </c>
    </row>
    <row r="31" spans="1:8" x14ac:dyDescent="0.2">
      <c r="A31" t="s">
        <v>61</v>
      </c>
      <c r="B31">
        <v>0</v>
      </c>
      <c r="C31">
        <v>0</v>
      </c>
      <c r="D31">
        <v>0</v>
      </c>
      <c r="F31">
        <v>0</v>
      </c>
      <c r="H31" t="s">
        <v>62</v>
      </c>
    </row>
    <row r="32" spans="1:8" x14ac:dyDescent="0.2">
      <c r="A32" t="s">
        <v>61</v>
      </c>
      <c r="F32">
        <v>0</v>
      </c>
      <c r="G32" s="30">
        <v>0</v>
      </c>
      <c r="H32" t="s">
        <v>277</v>
      </c>
    </row>
    <row r="34" spans="1:8" x14ac:dyDescent="0.2">
      <c r="A34" t="s">
        <v>63</v>
      </c>
      <c r="B34">
        <v>0</v>
      </c>
      <c r="C34">
        <v>0</v>
      </c>
      <c r="D34">
        <v>9.5</v>
      </c>
      <c r="F34">
        <v>0.04</v>
      </c>
      <c r="H34" t="s">
        <v>64</v>
      </c>
    </row>
    <row r="35" spans="1:8" x14ac:dyDescent="0.2">
      <c r="A35" t="s">
        <v>63</v>
      </c>
      <c r="B35">
        <v>0</v>
      </c>
      <c r="C35">
        <v>1</v>
      </c>
      <c r="D35">
        <v>6</v>
      </c>
      <c r="F35">
        <v>0.08</v>
      </c>
      <c r="H35" t="s">
        <v>65</v>
      </c>
    </row>
    <row r="36" spans="1:8" x14ac:dyDescent="0.2">
      <c r="A36" t="s">
        <v>63</v>
      </c>
      <c r="B36">
        <v>0</v>
      </c>
      <c r="C36">
        <v>2</v>
      </c>
      <c r="D36">
        <v>0</v>
      </c>
      <c r="F36">
        <v>0.1</v>
      </c>
      <c r="H36" t="s">
        <v>66</v>
      </c>
    </row>
    <row r="37" spans="1:8" x14ac:dyDescent="0.2">
      <c r="A37" t="s">
        <v>63</v>
      </c>
      <c r="B37">
        <v>0</v>
      </c>
      <c r="C37">
        <v>3</v>
      </c>
      <c r="D37">
        <v>0</v>
      </c>
      <c r="F37">
        <v>0.15</v>
      </c>
      <c r="H37" t="s">
        <v>67</v>
      </c>
    </row>
    <row r="38" spans="1:8" x14ac:dyDescent="0.2">
      <c r="A38" t="s">
        <v>63</v>
      </c>
      <c r="B38">
        <v>1</v>
      </c>
      <c r="C38">
        <v>15</v>
      </c>
      <c r="D38">
        <v>0</v>
      </c>
      <c r="F38">
        <v>1.75</v>
      </c>
      <c r="H38" t="s">
        <v>68</v>
      </c>
    </row>
    <row r="39" spans="1:8" x14ac:dyDescent="0.2">
      <c r="A39" t="s">
        <v>63</v>
      </c>
      <c r="B39">
        <v>0</v>
      </c>
      <c r="C39">
        <v>4</v>
      </c>
      <c r="D39">
        <v>3</v>
      </c>
      <c r="F39">
        <v>0.21</v>
      </c>
      <c r="H39" t="s">
        <v>69</v>
      </c>
    </row>
    <row r="40" spans="1:8" x14ac:dyDescent="0.2">
      <c r="A40" t="s">
        <v>63</v>
      </c>
      <c r="B40">
        <v>0</v>
      </c>
      <c r="C40">
        <v>0</v>
      </c>
      <c r="D40">
        <v>0</v>
      </c>
      <c r="F40">
        <v>0</v>
      </c>
      <c r="H40" t="s">
        <v>70</v>
      </c>
    </row>
    <row r="41" spans="1:8" x14ac:dyDescent="0.2">
      <c r="A41" t="s">
        <v>63</v>
      </c>
      <c r="B41">
        <v>0</v>
      </c>
      <c r="C41">
        <v>0</v>
      </c>
      <c r="D41">
        <v>8</v>
      </c>
      <c r="F41">
        <v>0.03</v>
      </c>
      <c r="H41" t="s">
        <v>71</v>
      </c>
    </row>
    <row r="42" spans="1:8" x14ac:dyDescent="0.2">
      <c r="A42" t="s">
        <v>63</v>
      </c>
      <c r="B42">
        <v>0</v>
      </c>
      <c r="C42">
        <v>0</v>
      </c>
      <c r="D42">
        <v>0</v>
      </c>
      <c r="F42">
        <v>0</v>
      </c>
      <c r="H42" t="s">
        <v>72</v>
      </c>
    </row>
    <row r="43" spans="1:8" x14ac:dyDescent="0.2">
      <c r="A43" t="s">
        <v>63</v>
      </c>
      <c r="B43">
        <v>0</v>
      </c>
      <c r="C43">
        <v>1</v>
      </c>
      <c r="D43">
        <v>9</v>
      </c>
      <c r="F43">
        <v>0.09</v>
      </c>
      <c r="H43" t="s">
        <v>73</v>
      </c>
    </row>
    <row r="44" spans="1:8" x14ac:dyDescent="0.2">
      <c r="A44" t="s">
        <v>63</v>
      </c>
      <c r="B44">
        <v>2</v>
      </c>
      <c r="C44">
        <v>8</v>
      </c>
      <c r="D44">
        <v>11.5</v>
      </c>
      <c r="F44">
        <v>2.4500000000000002</v>
      </c>
      <c r="H44" t="s">
        <v>74</v>
      </c>
    </row>
    <row r="45" spans="1:8" x14ac:dyDescent="0.2">
      <c r="A45" t="s">
        <v>63</v>
      </c>
      <c r="F45">
        <v>2.4500000000000002</v>
      </c>
      <c r="G45" s="30">
        <v>0</v>
      </c>
      <c r="H45" t="s">
        <v>277</v>
      </c>
    </row>
    <row r="47" spans="1:8" x14ac:dyDescent="0.2">
      <c r="A47" t="s">
        <v>75</v>
      </c>
      <c r="B47">
        <v>1</v>
      </c>
      <c r="C47">
        <v>0</v>
      </c>
      <c r="D47">
        <v>4</v>
      </c>
      <c r="F47">
        <v>1.02</v>
      </c>
      <c r="H47" t="s">
        <v>76</v>
      </c>
    </row>
    <row r="48" spans="1:8" x14ac:dyDescent="0.2">
      <c r="A48" t="s">
        <v>75</v>
      </c>
      <c r="B48">
        <v>1</v>
      </c>
      <c r="C48">
        <v>9</v>
      </c>
      <c r="D48">
        <v>0</v>
      </c>
      <c r="F48">
        <v>1.45</v>
      </c>
      <c r="H48" t="s">
        <v>77</v>
      </c>
    </row>
    <row r="49" spans="1:8" x14ac:dyDescent="0.2">
      <c r="A49" t="s">
        <v>75</v>
      </c>
      <c r="B49">
        <v>0</v>
      </c>
      <c r="C49">
        <v>8</v>
      </c>
      <c r="D49">
        <v>6</v>
      </c>
      <c r="F49">
        <v>0.43</v>
      </c>
      <c r="H49" t="s">
        <v>78</v>
      </c>
    </row>
    <row r="50" spans="1:8" x14ac:dyDescent="0.2">
      <c r="A50" t="s">
        <v>75</v>
      </c>
      <c r="B50">
        <v>0</v>
      </c>
      <c r="C50">
        <v>4</v>
      </c>
      <c r="D50">
        <v>4</v>
      </c>
      <c r="F50">
        <v>0.22</v>
      </c>
      <c r="H50" t="s">
        <v>79</v>
      </c>
    </row>
    <row r="51" spans="1:8" x14ac:dyDescent="0.2">
      <c r="A51" t="s">
        <v>75</v>
      </c>
      <c r="B51">
        <v>0</v>
      </c>
      <c r="C51">
        <v>6</v>
      </c>
      <c r="D51">
        <v>0</v>
      </c>
      <c r="F51">
        <v>0.3</v>
      </c>
      <c r="H51" t="s">
        <v>80</v>
      </c>
    </row>
    <row r="52" spans="1:8" x14ac:dyDescent="0.2">
      <c r="A52" t="s">
        <v>75</v>
      </c>
      <c r="B52">
        <v>0</v>
      </c>
      <c r="C52">
        <v>0</v>
      </c>
      <c r="D52">
        <v>8</v>
      </c>
      <c r="F52">
        <v>0.03</v>
      </c>
      <c r="H52" t="s">
        <v>81</v>
      </c>
    </row>
    <row r="53" spans="1:8" x14ac:dyDescent="0.2">
      <c r="A53" t="s">
        <v>75</v>
      </c>
      <c r="B53">
        <v>0</v>
      </c>
      <c r="C53">
        <v>2</v>
      </c>
      <c r="D53">
        <v>1</v>
      </c>
      <c r="F53">
        <v>0.1</v>
      </c>
      <c r="H53" t="s">
        <v>82</v>
      </c>
    </row>
    <row r="54" spans="1:8" x14ac:dyDescent="0.2">
      <c r="A54" t="s">
        <v>75</v>
      </c>
      <c r="B54">
        <v>0</v>
      </c>
      <c r="C54">
        <v>0</v>
      </c>
      <c r="D54">
        <v>8</v>
      </c>
      <c r="F54">
        <v>0.03</v>
      </c>
      <c r="H54" t="s">
        <v>83</v>
      </c>
    </row>
    <row r="55" spans="1:8" x14ac:dyDescent="0.2">
      <c r="A55" t="s">
        <v>75</v>
      </c>
      <c r="B55">
        <v>0</v>
      </c>
      <c r="C55">
        <v>0</v>
      </c>
      <c r="D55">
        <v>2</v>
      </c>
      <c r="F55">
        <v>0.01</v>
      </c>
      <c r="H55" t="s">
        <v>84</v>
      </c>
    </row>
    <row r="56" spans="1:8" x14ac:dyDescent="0.2">
      <c r="A56" t="s">
        <v>75</v>
      </c>
      <c r="B56">
        <v>3</v>
      </c>
      <c r="C56">
        <v>11</v>
      </c>
      <c r="D56">
        <v>9</v>
      </c>
      <c r="F56">
        <v>3.59</v>
      </c>
      <c r="H56" t="s">
        <v>85</v>
      </c>
    </row>
    <row r="58" spans="1:8" x14ac:dyDescent="0.2">
      <c r="A58" t="s">
        <v>86</v>
      </c>
      <c r="B58">
        <v>10</v>
      </c>
      <c r="C58">
        <v>16</v>
      </c>
      <c r="D58">
        <v>9.5</v>
      </c>
      <c r="F58">
        <v>10.84</v>
      </c>
      <c r="H58" t="s">
        <v>278</v>
      </c>
    </row>
    <row r="59" spans="1:8" x14ac:dyDescent="0.2">
      <c r="A59" t="s">
        <v>86</v>
      </c>
      <c r="B59">
        <v>5</v>
      </c>
      <c r="C59">
        <v>8</v>
      </c>
      <c r="D59">
        <v>9</v>
      </c>
      <c r="F59">
        <v>5.44</v>
      </c>
      <c r="H59" t="s">
        <v>279</v>
      </c>
    </row>
    <row r="60" spans="1:8" x14ac:dyDescent="0.2">
      <c r="A60" t="s">
        <v>86</v>
      </c>
      <c r="B60">
        <v>0</v>
      </c>
      <c r="C60">
        <v>2</v>
      </c>
      <c r="D60">
        <v>0</v>
      </c>
      <c r="F60">
        <v>0.1</v>
      </c>
      <c r="H60" t="s">
        <v>280</v>
      </c>
    </row>
    <row r="61" spans="1:8" x14ac:dyDescent="0.2">
      <c r="A61" t="s">
        <v>86</v>
      </c>
      <c r="B61">
        <v>1</v>
      </c>
      <c r="C61">
        <v>6</v>
      </c>
      <c r="D61">
        <v>8</v>
      </c>
      <c r="F61">
        <v>1.33</v>
      </c>
      <c r="H61" t="s">
        <v>93</v>
      </c>
    </row>
    <row r="62" spans="1:8" x14ac:dyDescent="0.2">
      <c r="A62" t="s">
        <v>86</v>
      </c>
      <c r="B62">
        <v>17</v>
      </c>
      <c r="C62">
        <v>14</v>
      </c>
      <c r="D62">
        <v>2.5</v>
      </c>
      <c r="F62">
        <v>17.71</v>
      </c>
      <c r="H62" t="s">
        <v>94</v>
      </c>
    </row>
    <row r="63" spans="1:8" x14ac:dyDescent="0.2">
      <c r="A63" t="s">
        <v>86</v>
      </c>
      <c r="F63">
        <v>17.71</v>
      </c>
      <c r="G63" s="30">
        <v>0</v>
      </c>
      <c r="H63" t="s">
        <v>277</v>
      </c>
    </row>
    <row r="65" spans="1:8" x14ac:dyDescent="0.2">
      <c r="A65" t="s">
        <v>95</v>
      </c>
      <c r="B65">
        <v>0</v>
      </c>
      <c r="C65">
        <v>5</v>
      </c>
      <c r="D65">
        <v>0</v>
      </c>
      <c r="F65">
        <v>0.25</v>
      </c>
      <c r="H65" t="s">
        <v>96</v>
      </c>
    </row>
    <row r="66" spans="1:8" x14ac:dyDescent="0.2">
      <c r="A66" t="s">
        <v>95</v>
      </c>
      <c r="B66">
        <v>0</v>
      </c>
      <c r="C66">
        <v>8</v>
      </c>
      <c r="D66">
        <v>0</v>
      </c>
      <c r="F66">
        <v>0.4</v>
      </c>
      <c r="H66" t="s">
        <v>97</v>
      </c>
    </row>
    <row r="67" spans="1:8" x14ac:dyDescent="0.2">
      <c r="A67" t="s">
        <v>95</v>
      </c>
      <c r="B67">
        <v>0</v>
      </c>
      <c r="C67">
        <v>8</v>
      </c>
      <c r="D67">
        <v>0</v>
      </c>
      <c r="F67">
        <v>0.4</v>
      </c>
      <c r="H67" t="s">
        <v>98</v>
      </c>
    </row>
    <row r="68" spans="1:8" x14ac:dyDescent="0.2">
      <c r="A68" t="s">
        <v>95</v>
      </c>
      <c r="B68">
        <v>1</v>
      </c>
      <c r="C68">
        <v>1</v>
      </c>
      <c r="D68">
        <v>0</v>
      </c>
      <c r="F68">
        <v>1.05</v>
      </c>
      <c r="H68" t="s">
        <v>99</v>
      </c>
    </row>
    <row r="69" spans="1:8" x14ac:dyDescent="0.2">
      <c r="A69" t="s">
        <v>95</v>
      </c>
      <c r="F69">
        <v>1.05</v>
      </c>
      <c r="G69" s="30">
        <v>0</v>
      </c>
      <c r="H69" t="s">
        <v>277</v>
      </c>
    </row>
    <row r="71" spans="1:8" x14ac:dyDescent="0.2">
      <c r="A71" t="s">
        <v>100</v>
      </c>
      <c r="B71">
        <v>0</v>
      </c>
      <c r="C71">
        <v>2</v>
      </c>
      <c r="D71">
        <v>6</v>
      </c>
      <c r="F71">
        <v>0.12</v>
      </c>
      <c r="H71" t="s">
        <v>101</v>
      </c>
    </row>
    <row r="72" spans="1:8" x14ac:dyDescent="0.2">
      <c r="A72" t="s">
        <v>100</v>
      </c>
      <c r="B72">
        <v>0</v>
      </c>
      <c r="C72">
        <v>2</v>
      </c>
      <c r="D72">
        <v>6</v>
      </c>
      <c r="F72">
        <v>0.12</v>
      </c>
      <c r="G72" s="30">
        <v>0</v>
      </c>
      <c r="H72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I72" sqref="I72"/>
    </sheetView>
  </sheetViews>
  <sheetFormatPr baseColWidth="10" defaultColWidth="8.83203125" defaultRowHeight="15" x14ac:dyDescent="0.2"/>
  <cols>
    <col min="1" max="1" width="20.6640625" bestFit="1" customWidth="1"/>
    <col min="6" max="6" width="8.83203125" style="38"/>
    <col min="7" max="7" width="8.83203125" style="39"/>
  </cols>
  <sheetData>
    <row r="1" spans="1:8" ht="16" x14ac:dyDescent="0.2">
      <c r="A1" s="10" t="s">
        <v>481</v>
      </c>
    </row>
    <row r="2" spans="1:8" ht="16" x14ac:dyDescent="0.2">
      <c r="A2" s="32" t="s">
        <v>0</v>
      </c>
      <c r="B2" s="33" t="s">
        <v>477</v>
      </c>
      <c r="C2" s="34" t="s">
        <v>478</v>
      </c>
      <c r="D2" s="34" t="s">
        <v>479</v>
      </c>
      <c r="E2" s="34"/>
      <c r="F2" s="40" t="s">
        <v>473</v>
      </c>
      <c r="G2" s="41" t="s">
        <v>276</v>
      </c>
      <c r="H2" s="37" t="s">
        <v>480</v>
      </c>
    </row>
    <row r="3" spans="1:8" x14ac:dyDescent="0.2">
      <c r="A3" t="s">
        <v>107</v>
      </c>
      <c r="B3">
        <v>0</v>
      </c>
      <c r="C3">
        <v>3</v>
      </c>
      <c r="D3">
        <v>1</v>
      </c>
      <c r="E3" s="31"/>
      <c r="F3" s="38">
        <v>0.15</v>
      </c>
      <c r="G3" s="42"/>
      <c r="H3" t="s">
        <v>108</v>
      </c>
    </row>
    <row r="4" spans="1:8" x14ac:dyDescent="0.2">
      <c r="A4" t="s">
        <v>107</v>
      </c>
      <c r="B4">
        <v>0</v>
      </c>
      <c r="C4">
        <v>0</v>
      </c>
      <c r="D4">
        <v>4</v>
      </c>
      <c r="E4" s="31"/>
      <c r="F4" s="38">
        <v>0.02</v>
      </c>
      <c r="G4" s="42"/>
      <c r="H4" t="s">
        <v>109</v>
      </c>
    </row>
    <row r="5" spans="1:8" x14ac:dyDescent="0.2">
      <c r="A5" t="s">
        <v>107</v>
      </c>
      <c r="B5">
        <v>0</v>
      </c>
      <c r="C5">
        <v>1</v>
      </c>
      <c r="D5">
        <v>4</v>
      </c>
      <c r="E5" s="31"/>
      <c r="F5" s="38">
        <v>7.0000000000000007E-2</v>
      </c>
      <c r="G5" s="42"/>
      <c r="H5" t="s">
        <v>110</v>
      </c>
    </row>
    <row r="6" spans="1:8" x14ac:dyDescent="0.2">
      <c r="A6" t="s">
        <v>107</v>
      </c>
      <c r="B6">
        <v>0</v>
      </c>
      <c r="C6">
        <v>2</v>
      </c>
      <c r="D6">
        <v>0.5</v>
      </c>
      <c r="E6" s="31"/>
      <c r="F6" s="38">
        <v>0.1</v>
      </c>
      <c r="G6" s="42"/>
      <c r="H6" t="s">
        <v>111</v>
      </c>
    </row>
    <row r="7" spans="1:8" x14ac:dyDescent="0.2">
      <c r="A7" t="s">
        <v>107</v>
      </c>
      <c r="B7">
        <v>0</v>
      </c>
      <c r="C7">
        <v>0</v>
      </c>
      <c r="D7">
        <v>8</v>
      </c>
      <c r="E7" s="31"/>
      <c r="F7" s="38">
        <v>0.03</v>
      </c>
      <c r="G7" s="42"/>
      <c r="H7" t="s">
        <v>112</v>
      </c>
    </row>
    <row r="8" spans="1:8" x14ac:dyDescent="0.2">
      <c r="A8" t="s">
        <v>107</v>
      </c>
      <c r="B8">
        <v>0</v>
      </c>
      <c r="C8">
        <v>0</v>
      </c>
      <c r="D8">
        <v>2</v>
      </c>
      <c r="E8" s="31"/>
      <c r="F8" s="38">
        <v>0.01</v>
      </c>
      <c r="G8" s="42"/>
      <c r="H8" t="s">
        <v>113</v>
      </c>
    </row>
    <row r="9" spans="1:8" x14ac:dyDescent="0.2">
      <c r="A9" t="s">
        <v>107</v>
      </c>
      <c r="B9">
        <v>0</v>
      </c>
      <c r="C9">
        <v>0</v>
      </c>
      <c r="D9">
        <v>11</v>
      </c>
      <c r="E9" s="31"/>
      <c r="F9" s="38">
        <v>0.05</v>
      </c>
      <c r="G9" s="42"/>
      <c r="H9" t="s">
        <v>114</v>
      </c>
    </row>
    <row r="10" spans="1:8" x14ac:dyDescent="0.2">
      <c r="A10" t="s">
        <v>107</v>
      </c>
      <c r="B10">
        <v>0</v>
      </c>
      <c r="C10">
        <v>0</v>
      </c>
      <c r="D10">
        <v>1.5</v>
      </c>
      <c r="E10" s="31"/>
      <c r="F10" s="38">
        <v>0.01</v>
      </c>
      <c r="G10" s="42"/>
      <c r="H10" t="s">
        <v>115</v>
      </c>
    </row>
    <row r="11" spans="1:8" x14ac:dyDescent="0.2">
      <c r="A11" t="s">
        <v>107</v>
      </c>
      <c r="B11">
        <v>0</v>
      </c>
      <c r="C11">
        <v>0</v>
      </c>
      <c r="D11">
        <v>2</v>
      </c>
      <c r="E11" s="31"/>
      <c r="F11" s="38">
        <v>0.01</v>
      </c>
      <c r="G11" s="42"/>
      <c r="H11" t="s">
        <v>116</v>
      </c>
    </row>
    <row r="12" spans="1:8" x14ac:dyDescent="0.2">
      <c r="A12" t="s">
        <v>107</v>
      </c>
      <c r="B12">
        <v>0</v>
      </c>
      <c r="C12">
        <v>0</v>
      </c>
      <c r="D12">
        <v>1.5</v>
      </c>
      <c r="E12" s="31"/>
      <c r="F12" s="38">
        <v>0.01</v>
      </c>
      <c r="G12" s="42"/>
      <c r="H12" t="s">
        <v>117</v>
      </c>
    </row>
    <row r="13" spans="1:8" x14ac:dyDescent="0.2">
      <c r="A13" t="s">
        <v>107</v>
      </c>
      <c r="B13">
        <v>0</v>
      </c>
      <c r="C13">
        <v>6</v>
      </c>
      <c r="D13">
        <v>0</v>
      </c>
      <c r="E13" s="31"/>
      <c r="F13" s="38">
        <v>0.3</v>
      </c>
      <c r="G13" s="42"/>
      <c r="H13" t="s">
        <v>118</v>
      </c>
    </row>
    <row r="14" spans="1:8" x14ac:dyDescent="0.2">
      <c r="A14" t="s">
        <v>107</v>
      </c>
      <c r="B14">
        <v>0</v>
      </c>
      <c r="C14">
        <v>4</v>
      </c>
      <c r="D14">
        <v>6</v>
      </c>
      <c r="E14" s="31"/>
      <c r="F14" s="38">
        <v>0.23</v>
      </c>
      <c r="G14" s="42"/>
      <c r="H14" t="s">
        <v>121</v>
      </c>
    </row>
    <row r="15" spans="1:8" x14ac:dyDescent="0.2">
      <c r="A15" t="s">
        <v>107</v>
      </c>
      <c r="B15">
        <v>6</v>
      </c>
      <c r="C15">
        <v>11</v>
      </c>
      <c r="D15">
        <v>1</v>
      </c>
      <c r="E15" s="31"/>
      <c r="F15" s="38">
        <v>6.55</v>
      </c>
      <c r="G15" s="42"/>
      <c r="H15" t="s">
        <v>122</v>
      </c>
    </row>
    <row r="16" spans="1:8" x14ac:dyDescent="0.2">
      <c r="A16" t="s">
        <v>107</v>
      </c>
      <c r="B16">
        <v>3</v>
      </c>
      <c r="C16">
        <v>13</v>
      </c>
      <c r="D16">
        <v>1.5</v>
      </c>
      <c r="E16" s="31"/>
      <c r="F16" s="38">
        <v>3.66</v>
      </c>
      <c r="G16" s="42"/>
      <c r="H16" t="s">
        <v>123</v>
      </c>
    </row>
    <row r="17" spans="1:8" x14ac:dyDescent="0.2">
      <c r="A17" t="s">
        <v>107</v>
      </c>
      <c r="B17">
        <v>0</v>
      </c>
      <c r="C17">
        <v>4</v>
      </c>
      <c r="D17">
        <v>2</v>
      </c>
      <c r="E17" s="31"/>
      <c r="F17" s="38">
        <v>0.21</v>
      </c>
      <c r="G17" s="42"/>
      <c r="H17" t="s">
        <v>124</v>
      </c>
    </row>
    <row r="18" spans="1:8" x14ac:dyDescent="0.2">
      <c r="A18" t="s">
        <v>107</v>
      </c>
      <c r="B18">
        <v>0</v>
      </c>
      <c r="C18">
        <v>6</v>
      </c>
      <c r="D18">
        <v>6</v>
      </c>
      <c r="E18" s="31"/>
      <c r="F18" s="38">
        <v>0.33</v>
      </c>
      <c r="G18" s="42"/>
      <c r="H18" t="s">
        <v>126</v>
      </c>
    </row>
    <row r="19" spans="1:8" x14ac:dyDescent="0.2">
      <c r="A19" t="s">
        <v>107</v>
      </c>
      <c r="B19">
        <v>1</v>
      </c>
      <c r="C19">
        <v>3</v>
      </c>
      <c r="D19">
        <v>6.5</v>
      </c>
      <c r="E19" s="31"/>
      <c r="F19" s="38">
        <v>1.18</v>
      </c>
      <c r="G19" s="42"/>
      <c r="H19" t="s">
        <v>482</v>
      </c>
    </row>
    <row r="20" spans="1:8" x14ac:dyDescent="0.2">
      <c r="A20" t="s">
        <v>107</v>
      </c>
      <c r="B20">
        <v>12</v>
      </c>
      <c r="C20">
        <v>17</v>
      </c>
      <c r="D20">
        <v>10.5</v>
      </c>
      <c r="E20" s="31"/>
      <c r="F20" s="38">
        <f>B20+C20/20+D20/240</f>
        <v>12.893749999999999</v>
      </c>
      <c r="G20" s="42"/>
      <c r="H20" t="s">
        <v>483</v>
      </c>
    </row>
    <row r="21" spans="1:8" x14ac:dyDescent="0.2">
      <c r="A21" t="s">
        <v>107</v>
      </c>
      <c r="E21" s="31"/>
      <c r="F21" s="38">
        <f>SUM(F3:F19)</f>
        <v>12.92</v>
      </c>
      <c r="G21" s="42">
        <f>F21-F20</f>
        <v>2.6250000000000995E-2</v>
      </c>
      <c r="H21" t="s">
        <v>277</v>
      </c>
    </row>
    <row r="22" spans="1:8" x14ac:dyDescent="0.2">
      <c r="E22" s="31"/>
      <c r="G22" s="42"/>
    </row>
    <row r="23" spans="1:8" x14ac:dyDescent="0.2">
      <c r="A23" t="s">
        <v>128</v>
      </c>
      <c r="B23">
        <v>0</v>
      </c>
      <c r="C23">
        <v>1</v>
      </c>
      <c r="D23">
        <v>4</v>
      </c>
      <c r="E23" s="31"/>
      <c r="F23" s="38">
        <v>7.0000000000000007E-2</v>
      </c>
      <c r="G23" s="42"/>
      <c r="H23" t="s">
        <v>129</v>
      </c>
    </row>
    <row r="24" spans="1:8" x14ac:dyDescent="0.2">
      <c r="A24" t="s">
        <v>128</v>
      </c>
      <c r="B24">
        <v>0</v>
      </c>
      <c r="C24">
        <v>1</v>
      </c>
      <c r="D24">
        <v>0</v>
      </c>
      <c r="E24" s="31"/>
      <c r="F24" s="38">
        <v>0.05</v>
      </c>
      <c r="G24" s="42"/>
      <c r="H24" t="s">
        <v>130</v>
      </c>
    </row>
    <row r="25" spans="1:8" x14ac:dyDescent="0.2">
      <c r="A25" t="s">
        <v>128</v>
      </c>
      <c r="B25">
        <v>0</v>
      </c>
      <c r="C25">
        <v>0</v>
      </c>
      <c r="D25">
        <v>4</v>
      </c>
      <c r="E25" s="31"/>
      <c r="F25" s="38">
        <v>0.02</v>
      </c>
      <c r="G25" s="42"/>
      <c r="H25" t="s">
        <v>131</v>
      </c>
    </row>
    <row r="26" spans="1:8" x14ac:dyDescent="0.2">
      <c r="A26" t="s">
        <v>128</v>
      </c>
      <c r="B26">
        <v>0</v>
      </c>
      <c r="C26">
        <v>0</v>
      </c>
      <c r="D26">
        <v>4.5</v>
      </c>
      <c r="E26" s="31"/>
      <c r="F26" s="38">
        <v>0.02</v>
      </c>
      <c r="G26" s="42"/>
      <c r="H26" t="s">
        <v>132</v>
      </c>
    </row>
    <row r="27" spans="1:8" x14ac:dyDescent="0.2">
      <c r="A27" t="s">
        <v>128</v>
      </c>
      <c r="B27">
        <v>0</v>
      </c>
      <c r="C27">
        <v>1</v>
      </c>
      <c r="D27">
        <v>1</v>
      </c>
      <c r="E27" s="31"/>
      <c r="F27" s="38">
        <v>0.05</v>
      </c>
      <c r="G27" s="42"/>
      <c r="H27" t="s">
        <v>133</v>
      </c>
    </row>
    <row r="28" spans="1:8" x14ac:dyDescent="0.2">
      <c r="A28" t="s">
        <v>128</v>
      </c>
      <c r="B28">
        <v>0</v>
      </c>
      <c r="C28">
        <v>1</v>
      </c>
      <c r="D28">
        <v>2</v>
      </c>
      <c r="E28" s="31"/>
      <c r="F28" s="38">
        <v>0.06</v>
      </c>
      <c r="G28" s="42"/>
      <c r="H28" t="s">
        <v>134</v>
      </c>
    </row>
    <row r="29" spans="1:8" x14ac:dyDescent="0.2">
      <c r="A29" t="s">
        <v>128</v>
      </c>
      <c r="B29">
        <v>0</v>
      </c>
      <c r="C29">
        <v>2</v>
      </c>
      <c r="D29">
        <v>0</v>
      </c>
      <c r="E29" s="31"/>
      <c r="F29" s="38">
        <v>0.1</v>
      </c>
      <c r="G29" s="42"/>
      <c r="H29" t="s">
        <v>135</v>
      </c>
    </row>
    <row r="30" spans="1:8" x14ac:dyDescent="0.2">
      <c r="A30" t="s">
        <v>128</v>
      </c>
      <c r="B30">
        <v>0</v>
      </c>
      <c r="C30">
        <v>2</v>
      </c>
      <c r="D30">
        <v>0</v>
      </c>
      <c r="E30" s="31"/>
      <c r="F30" s="38">
        <v>0.1</v>
      </c>
      <c r="G30" s="42"/>
      <c r="H30" t="s">
        <v>136</v>
      </c>
    </row>
    <row r="31" spans="1:8" x14ac:dyDescent="0.2">
      <c r="A31" t="s">
        <v>128</v>
      </c>
      <c r="B31">
        <v>0</v>
      </c>
      <c r="C31">
        <v>9</v>
      </c>
      <c r="D31">
        <v>3.5</v>
      </c>
      <c r="E31" s="31"/>
      <c r="F31" s="38">
        <v>0.46</v>
      </c>
      <c r="G31" s="42"/>
      <c r="H31" t="s">
        <v>137</v>
      </c>
    </row>
    <row r="32" spans="1:8" x14ac:dyDescent="0.2">
      <c r="A32" t="s">
        <v>128</v>
      </c>
      <c r="E32" s="31"/>
      <c r="F32" s="38">
        <f>SUM(F23:F30)</f>
        <v>0.47</v>
      </c>
      <c r="G32" s="42">
        <f>F32-F31</f>
        <v>9.9999999999999534E-3</v>
      </c>
      <c r="H32" t="s">
        <v>277</v>
      </c>
    </row>
    <row r="33" spans="1:8" x14ac:dyDescent="0.2">
      <c r="E33" s="31"/>
      <c r="G33" s="42"/>
    </row>
    <row r="34" spans="1:8" x14ac:dyDescent="0.2">
      <c r="A34" t="s">
        <v>164</v>
      </c>
      <c r="B34">
        <v>0</v>
      </c>
      <c r="C34">
        <v>1</v>
      </c>
      <c r="D34">
        <v>0</v>
      </c>
      <c r="E34" s="31"/>
      <c r="F34" s="38">
        <v>0.05</v>
      </c>
      <c r="G34" s="42"/>
      <c r="H34" t="s">
        <v>165</v>
      </c>
    </row>
    <row r="35" spans="1:8" x14ac:dyDescent="0.2">
      <c r="A35" t="s">
        <v>164</v>
      </c>
      <c r="B35">
        <v>0</v>
      </c>
      <c r="C35">
        <v>0</v>
      </c>
      <c r="D35">
        <v>2</v>
      </c>
      <c r="E35" s="31"/>
      <c r="F35" s="38">
        <v>0.01</v>
      </c>
      <c r="G35" s="42"/>
      <c r="H35" t="s">
        <v>166</v>
      </c>
    </row>
    <row r="36" spans="1:8" x14ac:dyDescent="0.2">
      <c r="A36" t="s">
        <v>164</v>
      </c>
      <c r="B36">
        <v>0</v>
      </c>
      <c r="C36">
        <v>3</v>
      </c>
      <c r="D36">
        <v>6</v>
      </c>
      <c r="E36" s="31"/>
      <c r="F36" s="38">
        <v>0.17</v>
      </c>
      <c r="G36" s="42"/>
      <c r="H36" t="s">
        <v>167</v>
      </c>
    </row>
    <row r="37" spans="1:8" x14ac:dyDescent="0.2">
      <c r="A37" t="s">
        <v>164</v>
      </c>
      <c r="B37">
        <v>0</v>
      </c>
      <c r="C37">
        <v>1</v>
      </c>
      <c r="D37">
        <v>6</v>
      </c>
      <c r="E37" s="31"/>
      <c r="F37" s="38">
        <v>0.08</v>
      </c>
      <c r="G37" s="42"/>
      <c r="H37" t="s">
        <v>168</v>
      </c>
    </row>
    <row r="38" spans="1:8" x14ac:dyDescent="0.2">
      <c r="A38" t="s">
        <v>164</v>
      </c>
      <c r="B38">
        <v>0</v>
      </c>
      <c r="C38">
        <v>8</v>
      </c>
      <c r="D38">
        <v>1.5</v>
      </c>
      <c r="E38" s="31"/>
      <c r="F38" s="38">
        <v>0.41</v>
      </c>
      <c r="G38" s="42"/>
      <c r="H38" t="s">
        <v>169</v>
      </c>
    </row>
    <row r="39" spans="1:8" x14ac:dyDescent="0.2">
      <c r="A39" t="s">
        <v>164</v>
      </c>
      <c r="B39">
        <v>0</v>
      </c>
      <c r="C39">
        <v>14</v>
      </c>
      <c r="D39">
        <v>2</v>
      </c>
      <c r="E39" s="31"/>
      <c r="F39" s="38">
        <v>0.71</v>
      </c>
      <c r="G39" s="42"/>
      <c r="H39" t="s">
        <v>170</v>
      </c>
    </row>
    <row r="40" spans="1:8" x14ac:dyDescent="0.2">
      <c r="A40" t="s">
        <v>164</v>
      </c>
      <c r="E40" s="31"/>
      <c r="F40" s="38">
        <f>SUM(F34:F38)</f>
        <v>0.72</v>
      </c>
      <c r="G40" s="42">
        <f>F40-F39</f>
        <v>1.0000000000000009E-2</v>
      </c>
      <c r="H40" t="s">
        <v>277</v>
      </c>
    </row>
    <row r="41" spans="1:8" x14ac:dyDescent="0.2">
      <c r="E41" s="31"/>
      <c r="G41" s="42"/>
    </row>
    <row r="42" spans="1:8" x14ac:dyDescent="0.2">
      <c r="A42" t="s">
        <v>171</v>
      </c>
      <c r="B42">
        <v>1</v>
      </c>
      <c r="C42">
        <v>11</v>
      </c>
      <c r="D42">
        <v>6</v>
      </c>
      <c r="E42" s="31"/>
      <c r="F42" s="38">
        <v>1.57</v>
      </c>
      <c r="G42" s="42"/>
      <c r="H42" t="s">
        <v>172</v>
      </c>
    </row>
    <row r="43" spans="1:8" x14ac:dyDescent="0.2">
      <c r="A43" t="s">
        <v>171</v>
      </c>
      <c r="B43">
        <v>0</v>
      </c>
      <c r="C43">
        <v>6</v>
      </c>
      <c r="D43">
        <v>8</v>
      </c>
      <c r="F43" s="38">
        <f>B43+C43/20+D43/240</f>
        <v>0.33333333333333331</v>
      </c>
      <c r="H43" t="s">
        <v>484</v>
      </c>
    </row>
    <row r="44" spans="1:8" x14ac:dyDescent="0.2">
      <c r="A44" t="s">
        <v>171</v>
      </c>
      <c r="B44">
        <v>1</v>
      </c>
      <c r="C44">
        <v>18</v>
      </c>
      <c r="D44">
        <v>2</v>
      </c>
      <c r="F44" s="38">
        <v>1.91</v>
      </c>
      <c r="H44" t="s">
        <v>485</v>
      </c>
    </row>
    <row r="45" spans="1:8" x14ac:dyDescent="0.2">
      <c r="A45" t="s">
        <v>171</v>
      </c>
      <c r="F45" s="38">
        <f>SUM(F42:F43)</f>
        <v>1.9033333333333333</v>
      </c>
      <c r="G45" s="39">
        <f>F45-F44</f>
        <v>-6.6666666666665986E-3</v>
      </c>
      <c r="H45" t="s">
        <v>277</v>
      </c>
    </row>
    <row r="47" spans="1:8" x14ac:dyDescent="0.2">
      <c r="A47" t="s">
        <v>138</v>
      </c>
      <c r="B47">
        <v>0</v>
      </c>
      <c r="C47">
        <v>2</v>
      </c>
      <c r="D47">
        <v>6</v>
      </c>
      <c r="F47" s="38">
        <v>0.12</v>
      </c>
      <c r="H47" t="s">
        <v>139</v>
      </c>
    </row>
    <row r="48" spans="1:8" x14ac:dyDescent="0.2">
      <c r="A48" t="s">
        <v>138</v>
      </c>
      <c r="B48">
        <v>0</v>
      </c>
      <c r="C48">
        <v>0</v>
      </c>
      <c r="D48">
        <v>9</v>
      </c>
      <c r="F48" s="38">
        <v>0.04</v>
      </c>
      <c r="H48" t="s">
        <v>140</v>
      </c>
    </row>
    <row r="49" spans="1:8" x14ac:dyDescent="0.2">
      <c r="A49" t="s">
        <v>138</v>
      </c>
      <c r="B49">
        <v>0</v>
      </c>
      <c r="C49">
        <v>0</v>
      </c>
      <c r="D49">
        <v>2</v>
      </c>
      <c r="F49" s="38">
        <v>0.01</v>
      </c>
      <c r="H49" t="s">
        <v>141</v>
      </c>
    </row>
    <row r="50" spans="1:8" x14ac:dyDescent="0.2">
      <c r="A50" t="s">
        <v>138</v>
      </c>
      <c r="B50">
        <v>0</v>
      </c>
      <c r="C50">
        <v>0</v>
      </c>
      <c r="D50">
        <v>4</v>
      </c>
      <c r="F50" s="38">
        <v>0.02</v>
      </c>
      <c r="H50" t="s">
        <v>142</v>
      </c>
    </row>
    <row r="51" spans="1:8" x14ac:dyDescent="0.2">
      <c r="A51" t="s">
        <v>138</v>
      </c>
      <c r="B51">
        <v>0</v>
      </c>
      <c r="C51">
        <v>0</v>
      </c>
      <c r="D51">
        <v>1</v>
      </c>
      <c r="F51" s="38">
        <v>0</v>
      </c>
      <c r="H51" t="s">
        <v>143</v>
      </c>
    </row>
    <row r="52" spans="1:8" x14ac:dyDescent="0.2">
      <c r="A52" t="s">
        <v>138</v>
      </c>
      <c r="B52">
        <v>0</v>
      </c>
      <c r="C52">
        <v>0</v>
      </c>
      <c r="D52">
        <v>1.5</v>
      </c>
      <c r="F52" s="38">
        <v>0.01</v>
      </c>
      <c r="H52" t="s">
        <v>144</v>
      </c>
    </row>
    <row r="53" spans="1:8" x14ac:dyDescent="0.2">
      <c r="A53" t="s">
        <v>138</v>
      </c>
      <c r="B53">
        <v>0</v>
      </c>
      <c r="C53">
        <v>2</v>
      </c>
      <c r="D53">
        <v>11</v>
      </c>
      <c r="F53" s="38">
        <v>0.15</v>
      </c>
      <c r="H53" t="s">
        <v>145</v>
      </c>
    </row>
    <row r="54" spans="1:8" x14ac:dyDescent="0.2">
      <c r="A54" t="s">
        <v>138</v>
      </c>
      <c r="B54">
        <v>0</v>
      </c>
      <c r="C54">
        <v>0</v>
      </c>
      <c r="D54">
        <v>5</v>
      </c>
      <c r="F54" s="38">
        <v>0.02</v>
      </c>
      <c r="H54" t="s">
        <v>146</v>
      </c>
    </row>
    <row r="55" spans="1:8" x14ac:dyDescent="0.2">
      <c r="A55" t="s">
        <v>138</v>
      </c>
      <c r="B55">
        <v>0</v>
      </c>
      <c r="C55">
        <v>1</v>
      </c>
      <c r="D55">
        <v>0</v>
      </c>
      <c r="F55" s="38">
        <v>0.05</v>
      </c>
      <c r="H55" t="s">
        <v>147</v>
      </c>
    </row>
    <row r="56" spans="1:8" x14ac:dyDescent="0.2">
      <c r="A56" t="s">
        <v>138</v>
      </c>
      <c r="B56">
        <v>0</v>
      </c>
      <c r="C56">
        <v>1</v>
      </c>
      <c r="D56">
        <v>0</v>
      </c>
      <c r="F56" s="38">
        <v>0.05</v>
      </c>
      <c r="H56" t="s">
        <v>148</v>
      </c>
    </row>
    <row r="57" spans="1:8" x14ac:dyDescent="0.2">
      <c r="A57" t="s">
        <v>138</v>
      </c>
      <c r="B57">
        <v>0</v>
      </c>
      <c r="C57">
        <v>8</v>
      </c>
      <c r="D57">
        <v>11</v>
      </c>
      <c r="F57" s="38">
        <v>0.45</v>
      </c>
      <c r="H57" t="s">
        <v>149</v>
      </c>
    </row>
    <row r="58" spans="1:8" x14ac:dyDescent="0.2">
      <c r="A58" t="s">
        <v>138</v>
      </c>
      <c r="F58" s="38">
        <v>0.47</v>
      </c>
      <c r="G58" s="39">
        <f>F58-F57</f>
        <v>1.9999999999999962E-2</v>
      </c>
      <c r="H58" t="s">
        <v>277</v>
      </c>
    </row>
    <row r="60" spans="1:8" x14ac:dyDescent="0.2">
      <c r="A60" t="s">
        <v>155</v>
      </c>
      <c r="B60">
        <v>0</v>
      </c>
      <c r="C60">
        <v>10</v>
      </c>
      <c r="D60">
        <v>1.25</v>
      </c>
      <c r="F60" s="38">
        <v>0.51</v>
      </c>
      <c r="H60" t="s">
        <v>281</v>
      </c>
    </row>
    <row r="61" spans="1:8" x14ac:dyDescent="0.2">
      <c r="A61" t="s">
        <v>155</v>
      </c>
      <c r="B61">
        <v>0</v>
      </c>
      <c r="C61">
        <v>5</v>
      </c>
      <c r="D61">
        <v>4</v>
      </c>
      <c r="F61" s="38">
        <v>0.27</v>
      </c>
      <c r="H61" t="s">
        <v>282</v>
      </c>
    </row>
    <row r="62" spans="1:8" x14ac:dyDescent="0.2">
      <c r="A62" t="s">
        <v>155</v>
      </c>
      <c r="B62">
        <v>0</v>
      </c>
      <c r="C62">
        <v>0</v>
      </c>
      <c r="D62">
        <v>0</v>
      </c>
      <c r="F62" s="38">
        <v>0</v>
      </c>
      <c r="H62" t="s">
        <v>159</v>
      </c>
    </row>
    <row r="63" spans="1:8" x14ac:dyDescent="0.2">
      <c r="A63" t="s">
        <v>155</v>
      </c>
      <c r="B63">
        <v>0</v>
      </c>
      <c r="C63">
        <v>0</v>
      </c>
      <c r="D63">
        <v>2</v>
      </c>
      <c r="F63" s="38">
        <v>0.01</v>
      </c>
      <c r="H63" t="s">
        <v>160</v>
      </c>
    </row>
    <row r="64" spans="1:8" x14ac:dyDescent="0.2">
      <c r="A64" t="s">
        <v>155</v>
      </c>
      <c r="B64">
        <v>0</v>
      </c>
      <c r="C64">
        <v>0</v>
      </c>
      <c r="D64">
        <v>8</v>
      </c>
      <c r="F64" s="38">
        <v>0.03</v>
      </c>
      <c r="H64" t="s">
        <v>161</v>
      </c>
    </row>
    <row r="65" spans="1:8" x14ac:dyDescent="0.2">
      <c r="A65" t="s">
        <v>155</v>
      </c>
      <c r="B65">
        <v>0</v>
      </c>
      <c r="C65">
        <v>0</v>
      </c>
      <c r="D65">
        <v>2</v>
      </c>
      <c r="F65" s="38">
        <v>0.01</v>
      </c>
      <c r="H65" t="s">
        <v>162</v>
      </c>
    </row>
    <row r="66" spans="1:8" x14ac:dyDescent="0.2">
      <c r="A66" t="s">
        <v>155</v>
      </c>
      <c r="B66">
        <v>0</v>
      </c>
      <c r="C66">
        <v>0</v>
      </c>
      <c r="D66">
        <v>8</v>
      </c>
      <c r="F66" s="38">
        <f>B66+C66/20+D66/240</f>
        <v>3.3333333333333333E-2</v>
      </c>
      <c r="H66" t="s">
        <v>486</v>
      </c>
    </row>
    <row r="67" spans="1:8" x14ac:dyDescent="0.2">
      <c r="A67" t="s">
        <v>155</v>
      </c>
      <c r="B67">
        <v>0</v>
      </c>
      <c r="C67">
        <v>17</v>
      </c>
      <c r="D67">
        <v>1.75</v>
      </c>
      <c r="F67" s="38">
        <f>B67+C67/20+D67/240</f>
        <v>0.85729166666666667</v>
      </c>
      <c r="H67" t="s">
        <v>487</v>
      </c>
    </row>
    <row r="68" spans="1:8" x14ac:dyDescent="0.2">
      <c r="A68" t="s">
        <v>155</v>
      </c>
      <c r="F68" s="38">
        <f>SUM(F60:F66)</f>
        <v>0.8633333333333334</v>
      </c>
      <c r="G68" s="39">
        <f>F68-F67</f>
        <v>6.0416666666667229E-3</v>
      </c>
      <c r="H68" t="s">
        <v>277</v>
      </c>
    </row>
    <row r="70" spans="1:8" x14ac:dyDescent="0.2">
      <c r="A70" t="s">
        <v>105</v>
      </c>
      <c r="B70">
        <v>28</v>
      </c>
      <c r="C70">
        <v>6</v>
      </c>
      <c r="D70">
        <v>2.5</v>
      </c>
      <c r="F70" s="38">
        <v>28.31</v>
      </c>
      <c r="H70" t="s">
        <v>106</v>
      </c>
    </row>
    <row r="71" spans="1:8" x14ac:dyDescent="0.2">
      <c r="A71" t="s">
        <v>105</v>
      </c>
      <c r="F71" s="38">
        <v>28.31</v>
      </c>
      <c r="G71" s="39">
        <f>F71-F70</f>
        <v>0</v>
      </c>
      <c r="H71" t="s">
        <v>277</v>
      </c>
    </row>
    <row r="73" spans="1:8" x14ac:dyDescent="0.2">
      <c r="A73" t="s">
        <v>105</v>
      </c>
      <c r="B73">
        <v>17</v>
      </c>
      <c r="C73">
        <v>12</v>
      </c>
      <c r="D73">
        <v>0.25</v>
      </c>
      <c r="F73" s="38">
        <v>17.600000000000001</v>
      </c>
      <c r="H73" t="s">
        <v>174</v>
      </c>
    </row>
    <row r="74" spans="1:8" x14ac:dyDescent="0.2">
      <c r="A74" t="s">
        <v>105</v>
      </c>
      <c r="F74" s="38">
        <v>17.600000000000001</v>
      </c>
      <c r="G74" s="39">
        <f>F74-F73</f>
        <v>0</v>
      </c>
      <c r="H74" t="s">
        <v>277</v>
      </c>
    </row>
    <row r="76" spans="1:8" x14ac:dyDescent="0.2">
      <c r="A76" t="s">
        <v>175</v>
      </c>
      <c r="B76">
        <v>10</v>
      </c>
      <c r="C76">
        <v>14</v>
      </c>
      <c r="D76">
        <v>2.25</v>
      </c>
      <c r="F76" s="38">
        <v>10.71</v>
      </c>
      <c r="H76" t="s">
        <v>176</v>
      </c>
    </row>
    <row r="77" spans="1:8" x14ac:dyDescent="0.2">
      <c r="A77" t="s">
        <v>175</v>
      </c>
      <c r="F77" s="38">
        <v>10.71</v>
      </c>
      <c r="G77" s="39">
        <f>F77-F76</f>
        <v>0</v>
      </c>
      <c r="H77" t="s">
        <v>277</v>
      </c>
    </row>
    <row r="79" spans="1:8" x14ac:dyDescent="0.2">
      <c r="A79" t="s">
        <v>177</v>
      </c>
      <c r="B79">
        <v>2</v>
      </c>
      <c r="C79">
        <v>10</v>
      </c>
      <c r="D79">
        <v>0</v>
      </c>
      <c r="F79" s="38">
        <v>2.5</v>
      </c>
      <c r="H79" t="s">
        <v>178</v>
      </c>
    </row>
    <row r="81" spans="1:8" x14ac:dyDescent="0.2">
      <c r="A81" t="s">
        <v>177</v>
      </c>
      <c r="B81">
        <v>8</v>
      </c>
      <c r="C81">
        <v>4</v>
      </c>
      <c r="D81">
        <v>2.25</v>
      </c>
      <c r="F81" s="38">
        <v>8.2100000000000009</v>
      </c>
      <c r="H81" t="s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baseColWidth="10" defaultColWidth="8.83203125" defaultRowHeight="15" x14ac:dyDescent="0.2"/>
  <cols>
    <col min="1" max="1" width="30" bestFit="1" customWidth="1"/>
    <col min="2" max="2" width="12.1640625" bestFit="1" customWidth="1"/>
    <col min="3" max="3" width="19.1640625" bestFit="1" customWidth="1"/>
    <col min="4" max="4" width="20" bestFit="1" customWidth="1"/>
    <col min="5" max="5" width="21.5" bestFit="1" customWidth="1"/>
    <col min="6" max="6" width="15.83203125" bestFit="1" customWidth="1"/>
    <col min="7" max="9" width="23.33203125" customWidth="1"/>
    <col min="10" max="12" width="27.1640625" customWidth="1"/>
    <col min="13" max="13" width="16" customWidth="1"/>
    <col min="14" max="14" width="8.1640625" bestFit="1" customWidth="1"/>
    <col min="15" max="15" width="16.5" customWidth="1"/>
    <col min="16" max="16" width="20.33203125" customWidth="1"/>
  </cols>
  <sheetData>
    <row r="1" spans="1:16" s="59" customFormat="1" ht="32" x14ac:dyDescent="0.2">
      <c r="A1" s="31" t="s">
        <v>326</v>
      </c>
      <c r="B1" s="31" t="s">
        <v>561</v>
      </c>
      <c r="C1" s="31" t="s">
        <v>317</v>
      </c>
      <c r="D1" s="31" t="s">
        <v>305</v>
      </c>
      <c r="E1" s="31" t="s">
        <v>562</v>
      </c>
      <c r="F1" s="31" t="s">
        <v>314</v>
      </c>
      <c r="G1" s="57" t="s">
        <v>327</v>
      </c>
      <c r="H1" s="57" t="s">
        <v>328</v>
      </c>
      <c r="I1" s="58" t="s">
        <v>330</v>
      </c>
    </row>
    <row r="2" spans="1:16" x14ac:dyDescent="0.2">
      <c r="A2" t="s">
        <v>88</v>
      </c>
      <c r="B2">
        <v>92.375</v>
      </c>
      <c r="C2">
        <v>64.75</v>
      </c>
      <c r="D2">
        <v>20.125</v>
      </c>
      <c r="F2">
        <v>48.75</v>
      </c>
      <c r="G2">
        <f>B2-F2</f>
        <v>43.625</v>
      </c>
      <c r="H2" s="38">
        <v>0.22235042735042729</v>
      </c>
      <c r="I2" s="38">
        <f>H2*B2</f>
        <v>20.53962072649572</v>
      </c>
    </row>
    <row r="3" spans="1:16" x14ac:dyDescent="0.2">
      <c r="A3" t="s">
        <v>217</v>
      </c>
      <c r="B3">
        <v>27</v>
      </c>
      <c r="C3">
        <v>27</v>
      </c>
      <c r="D3">
        <v>0</v>
      </c>
      <c r="G3">
        <f t="shared" ref="G3:G5" si="0">B3-F3</f>
        <v>27</v>
      </c>
      <c r="H3" s="38"/>
      <c r="I3" s="38">
        <f t="shared" ref="I3:I6" si="1">H3*B3</f>
        <v>0</v>
      </c>
    </row>
    <row r="4" spans="1:16" x14ac:dyDescent="0.2">
      <c r="A4" t="s">
        <v>90</v>
      </c>
      <c r="B4">
        <v>65.375</v>
      </c>
      <c r="C4">
        <v>65.375</v>
      </c>
      <c r="D4">
        <v>0</v>
      </c>
      <c r="F4">
        <v>32.5</v>
      </c>
      <c r="G4">
        <f t="shared" si="0"/>
        <v>32.875</v>
      </c>
      <c r="H4" s="38">
        <v>0.16666666666666671</v>
      </c>
      <c r="I4" s="38">
        <f t="shared" si="1"/>
        <v>10.895833333333336</v>
      </c>
    </row>
    <row r="5" spans="1:16" x14ac:dyDescent="0.2">
      <c r="A5" t="s">
        <v>125</v>
      </c>
      <c r="B5">
        <v>11.375</v>
      </c>
      <c r="C5">
        <v>11.375</v>
      </c>
      <c r="D5">
        <v>2.5</v>
      </c>
      <c r="G5">
        <f t="shared" si="0"/>
        <v>11.375</v>
      </c>
      <c r="H5" s="38"/>
      <c r="I5" s="38">
        <f t="shared" si="1"/>
        <v>0</v>
      </c>
    </row>
    <row r="6" spans="1:16" x14ac:dyDescent="0.2">
      <c r="A6" t="s">
        <v>92</v>
      </c>
      <c r="B6">
        <v>43.875</v>
      </c>
      <c r="C6">
        <v>43.875</v>
      </c>
      <c r="D6">
        <v>0</v>
      </c>
      <c r="F6">
        <v>1</v>
      </c>
      <c r="G6">
        <f>B6-F6</f>
        <v>42.875</v>
      </c>
      <c r="H6">
        <f>2/20</f>
        <v>0.1</v>
      </c>
      <c r="I6">
        <f t="shared" si="1"/>
        <v>4.3875000000000002</v>
      </c>
    </row>
    <row r="8" spans="1:16" x14ac:dyDescent="0.2">
      <c r="A8" s="60" t="s">
        <v>563</v>
      </c>
    </row>
    <row r="9" spans="1:16" x14ac:dyDescent="0.2">
      <c r="A9" s="60" t="s">
        <v>564</v>
      </c>
    </row>
    <row r="12" spans="1:16" ht="32" x14ac:dyDescent="0.2">
      <c r="A12" s="59" t="s">
        <v>565</v>
      </c>
      <c r="B12" s="61" t="s">
        <v>566</v>
      </c>
      <c r="C12" s="62" t="s">
        <v>567</v>
      </c>
      <c r="D12" s="62" t="s">
        <v>568</v>
      </c>
      <c r="E12" s="62" t="s">
        <v>569</v>
      </c>
      <c r="F12" s="59" t="s">
        <v>570</v>
      </c>
      <c r="G12" s="62" t="s">
        <v>571</v>
      </c>
      <c r="H12" s="62" t="s">
        <v>572</v>
      </c>
      <c r="I12" s="62" t="s">
        <v>573</v>
      </c>
      <c r="J12" s="62" t="s">
        <v>574</v>
      </c>
      <c r="K12" s="63" t="s">
        <v>575</v>
      </c>
      <c r="L12" s="62" t="s">
        <v>576</v>
      </c>
      <c r="M12" s="62" t="s">
        <v>577</v>
      </c>
      <c r="N12" s="64" t="s">
        <v>578</v>
      </c>
      <c r="O12" s="64" t="s">
        <v>579</v>
      </c>
      <c r="P12" s="61" t="s">
        <v>580</v>
      </c>
    </row>
    <row r="13" spans="1:16" x14ac:dyDescent="0.2">
      <c r="A13" t="s">
        <v>88</v>
      </c>
      <c r="B13">
        <f>B2</f>
        <v>92.375</v>
      </c>
      <c r="C13">
        <v>35</v>
      </c>
      <c r="D13">
        <v>1</v>
      </c>
      <c r="E13">
        <f>C13+D13/8</f>
        <v>35.125</v>
      </c>
      <c r="I13">
        <f>1+7.5</f>
        <v>8.5</v>
      </c>
      <c r="K13" s="66">
        <f>I13+J13/8</f>
        <v>8.5</v>
      </c>
      <c r="L13" s="38">
        <f>B13-E13-H13-K13</f>
        <v>48.75</v>
      </c>
      <c r="N13" s="38">
        <f>H2</f>
        <v>0.22235042735042729</v>
      </c>
      <c r="O13" s="38">
        <f>L13*N13</f>
        <v>10.83958333333333</v>
      </c>
    </row>
    <row r="14" spans="1:16" x14ac:dyDescent="0.2">
      <c r="A14" t="s">
        <v>217</v>
      </c>
      <c r="B14">
        <f t="shared" ref="B14:B17" si="2">B3</f>
        <v>27</v>
      </c>
      <c r="E14">
        <f t="shared" ref="E14:E17" si="3">C14+D14/8</f>
        <v>0</v>
      </c>
      <c r="K14" s="66">
        <f t="shared" ref="K14:K17" si="4">I14+J14/8</f>
        <v>0</v>
      </c>
      <c r="L14" s="38">
        <f t="shared" ref="L14:L17" si="5">B14-E14-H14-K14</f>
        <v>27</v>
      </c>
      <c r="N14" s="38">
        <f t="shared" ref="N14:N16" si="6">H3</f>
        <v>0</v>
      </c>
      <c r="O14" s="38">
        <f t="shared" ref="O14:O17" si="7">L14*N14</f>
        <v>0</v>
      </c>
    </row>
    <row r="15" spans="1:16" x14ac:dyDescent="0.2">
      <c r="A15" t="s">
        <v>90</v>
      </c>
      <c r="B15">
        <f t="shared" si="2"/>
        <v>65.375</v>
      </c>
      <c r="C15">
        <v>24</v>
      </c>
      <c r="D15">
        <v>1</v>
      </c>
      <c r="E15">
        <f t="shared" si="3"/>
        <v>24.125</v>
      </c>
      <c r="I15">
        <f>8</f>
        <v>8</v>
      </c>
      <c r="J15">
        <f>5</f>
        <v>5</v>
      </c>
      <c r="K15" s="66">
        <f t="shared" si="4"/>
        <v>8.625</v>
      </c>
      <c r="L15" s="38">
        <f t="shared" si="5"/>
        <v>32.625</v>
      </c>
      <c r="N15" s="38">
        <f t="shared" si="6"/>
        <v>0.16666666666666671</v>
      </c>
      <c r="O15" s="38">
        <f t="shared" si="7"/>
        <v>5.4375000000000018</v>
      </c>
    </row>
    <row r="16" spans="1:16" x14ac:dyDescent="0.2">
      <c r="A16" t="s">
        <v>125</v>
      </c>
      <c r="B16">
        <f t="shared" si="2"/>
        <v>11.375</v>
      </c>
      <c r="C16">
        <v>2</v>
      </c>
      <c r="D16">
        <v>2</v>
      </c>
      <c r="E16">
        <f t="shared" si="3"/>
        <v>2.25</v>
      </c>
      <c r="I16">
        <f>6+3</f>
        <v>9</v>
      </c>
      <c r="J16">
        <v>1</v>
      </c>
      <c r="K16" s="66">
        <f t="shared" si="4"/>
        <v>9.125</v>
      </c>
      <c r="L16" s="38">
        <f t="shared" si="5"/>
        <v>0</v>
      </c>
      <c r="N16" s="38">
        <f t="shared" si="6"/>
        <v>0</v>
      </c>
      <c r="O16" s="38">
        <f t="shared" si="7"/>
        <v>0</v>
      </c>
    </row>
    <row r="17" spans="1:15" x14ac:dyDescent="0.2">
      <c r="A17" t="s">
        <v>92</v>
      </c>
      <c r="B17">
        <f t="shared" si="2"/>
        <v>43.875</v>
      </c>
      <c r="C17">
        <v>5</v>
      </c>
      <c r="D17">
        <v>1</v>
      </c>
      <c r="E17">
        <f t="shared" si="3"/>
        <v>5.125</v>
      </c>
      <c r="I17">
        <f>26+4+5+2</f>
        <v>37</v>
      </c>
      <c r="J17">
        <f>2.5+1.5+2</f>
        <v>6</v>
      </c>
      <c r="K17" s="66">
        <f t="shared" si="4"/>
        <v>37.75</v>
      </c>
      <c r="L17" s="38">
        <f t="shared" si="5"/>
        <v>1</v>
      </c>
      <c r="N17" s="38">
        <f>H6</f>
        <v>0.1</v>
      </c>
      <c r="O17" s="38">
        <f t="shared" si="7"/>
        <v>0.1</v>
      </c>
    </row>
    <row r="19" spans="1:15" x14ac:dyDescent="0.2">
      <c r="A19" s="65" t="s">
        <v>277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0"/>
  <sheetViews>
    <sheetView tabSelected="1" zoomScale="85" workbookViewId="0">
      <pane xSplit="1" ySplit="4" topLeftCell="H73" activePane="bottomRight" state="frozen"/>
      <selection pane="topRight" activeCell="B1" sqref="B1"/>
      <selection pane="bottomLeft" activeCell="A5" sqref="A5"/>
      <selection pane="bottomRight" activeCell="R32" sqref="R32"/>
    </sheetView>
  </sheetViews>
  <sheetFormatPr baseColWidth="10" defaultColWidth="8.83203125" defaultRowHeight="15" x14ac:dyDescent="0.2"/>
  <cols>
    <col min="1" max="1" width="44.33203125" bestFit="1" customWidth="1"/>
    <col min="10" max="10" width="14.5" customWidth="1"/>
    <col min="11" max="11" width="13.1640625" customWidth="1"/>
    <col min="14" max="14" width="14.1640625" customWidth="1"/>
    <col min="16" max="16" width="16.6640625" customWidth="1"/>
    <col min="17" max="17" width="18" customWidth="1"/>
    <col min="19" max="19" width="17.6640625" customWidth="1"/>
    <col min="20" max="20" width="17.1640625" customWidth="1"/>
  </cols>
  <sheetData>
    <row r="1" spans="1:21" ht="16" x14ac:dyDescent="0.2">
      <c r="A1" s="10" t="s">
        <v>559</v>
      </c>
      <c r="B1" s="31"/>
      <c r="C1" s="31"/>
      <c r="D1" s="31"/>
      <c r="E1" s="31"/>
      <c r="F1" s="31"/>
      <c r="G1" s="31"/>
      <c r="H1" s="31"/>
      <c r="I1" s="31"/>
    </row>
    <row r="2" spans="1:21" ht="16" x14ac:dyDescent="0.2">
      <c r="A2" s="10"/>
    </row>
    <row r="3" spans="1:21" ht="17" customHeight="1" x14ac:dyDescent="0.2">
      <c r="A3" s="43"/>
      <c r="B3" s="43"/>
      <c r="C3" s="68" t="s">
        <v>283</v>
      </c>
      <c r="D3" s="68"/>
      <c r="E3" s="68"/>
      <c r="F3" s="68"/>
      <c r="G3" s="69" t="s">
        <v>540</v>
      </c>
      <c r="H3" s="68"/>
      <c r="I3" s="68"/>
      <c r="J3" s="68"/>
      <c r="K3" s="43"/>
      <c r="L3" s="43"/>
      <c r="M3" s="43"/>
      <c r="N3" s="43"/>
      <c r="O3" s="43"/>
      <c r="P3" s="53"/>
      <c r="Q3" s="43"/>
      <c r="R3" s="43"/>
      <c r="S3" s="43"/>
      <c r="T3" s="43"/>
    </row>
    <row r="4" spans="1:21" ht="51" x14ac:dyDescent="0.2">
      <c r="A4" s="44" t="s">
        <v>408</v>
      </c>
      <c r="B4" s="54" t="s">
        <v>541</v>
      </c>
      <c r="C4" s="54" t="s">
        <v>283</v>
      </c>
      <c r="D4" s="10" t="s">
        <v>542</v>
      </c>
      <c r="E4" s="10" t="s">
        <v>543</v>
      </c>
      <c r="F4" s="10" t="s">
        <v>544</v>
      </c>
      <c r="G4" s="10" t="s">
        <v>545</v>
      </c>
      <c r="H4" s="54" t="s">
        <v>284</v>
      </c>
      <c r="I4" s="54" t="s">
        <v>546</v>
      </c>
      <c r="J4" s="54" t="s">
        <v>547</v>
      </c>
      <c r="K4" s="54" t="s">
        <v>548</v>
      </c>
      <c r="L4" s="54" t="s">
        <v>549</v>
      </c>
      <c r="M4" s="54" t="s">
        <v>550</v>
      </c>
      <c r="N4" s="54" t="s">
        <v>551</v>
      </c>
      <c r="O4" s="54" t="s">
        <v>552</v>
      </c>
      <c r="P4" s="55" t="s">
        <v>553</v>
      </c>
      <c r="Q4" s="44" t="s">
        <v>554</v>
      </c>
      <c r="R4" s="44" t="s">
        <v>555</v>
      </c>
      <c r="S4" s="44" t="s">
        <v>556</v>
      </c>
      <c r="T4" s="56" t="s">
        <v>557</v>
      </c>
      <c r="U4" s="54" t="s">
        <v>558</v>
      </c>
    </row>
    <row r="5" spans="1:21" ht="16" x14ac:dyDescent="0.2">
      <c r="A5" s="43" t="s">
        <v>409</v>
      </c>
    </row>
    <row r="6" spans="1:21" ht="16" x14ac:dyDescent="0.2">
      <c r="A6" s="43" t="s">
        <v>410</v>
      </c>
    </row>
    <row r="7" spans="1:21" x14ac:dyDescent="0.2">
      <c r="A7" t="s">
        <v>411</v>
      </c>
      <c r="B7">
        <v>9</v>
      </c>
      <c r="H7">
        <v>4</v>
      </c>
      <c r="I7">
        <v>1</v>
      </c>
      <c r="K7">
        <v>4</v>
      </c>
      <c r="R7">
        <f>Receipts!F47</f>
        <v>1.02</v>
      </c>
    </row>
    <row r="8" spans="1:21" x14ac:dyDescent="0.2">
      <c r="A8" t="s">
        <v>488</v>
      </c>
    </row>
    <row r="9" spans="1:21" x14ac:dyDescent="0.2">
      <c r="A9" t="s">
        <v>412</v>
      </c>
    </row>
    <row r="10" spans="1:21" x14ac:dyDescent="0.2">
      <c r="A10" t="s">
        <v>413</v>
      </c>
    </row>
    <row r="11" spans="1:21" x14ac:dyDescent="0.2">
      <c r="A11" t="s">
        <v>285</v>
      </c>
    </row>
    <row r="12" spans="1:21" x14ac:dyDescent="0.2">
      <c r="A12" t="s">
        <v>286</v>
      </c>
      <c r="B12">
        <v>19</v>
      </c>
      <c r="C12">
        <f>4+10</f>
        <v>14</v>
      </c>
      <c r="H12">
        <v>3</v>
      </c>
      <c r="I12">
        <v>1</v>
      </c>
      <c r="K12">
        <v>29</v>
      </c>
      <c r="R12">
        <f>Receipts!F48</f>
        <v>1.45</v>
      </c>
    </row>
    <row r="13" spans="1:21" x14ac:dyDescent="0.2">
      <c r="A13" t="s">
        <v>288</v>
      </c>
      <c r="B13">
        <v>1</v>
      </c>
      <c r="K13">
        <v>1</v>
      </c>
    </row>
    <row r="14" spans="1:21" x14ac:dyDescent="0.2">
      <c r="A14" t="s">
        <v>287</v>
      </c>
      <c r="B14">
        <v>12</v>
      </c>
      <c r="H14">
        <v>1</v>
      </c>
      <c r="K14">
        <v>11</v>
      </c>
      <c r="R14">
        <f>Receipts!F49</f>
        <v>0.43</v>
      </c>
    </row>
    <row r="15" spans="1:21" x14ac:dyDescent="0.2">
      <c r="A15" t="s">
        <v>289</v>
      </c>
      <c r="B15">
        <v>5</v>
      </c>
      <c r="H15">
        <v>1</v>
      </c>
      <c r="J15">
        <v>4</v>
      </c>
      <c r="K15">
        <v>0</v>
      </c>
      <c r="R15">
        <f>Receipts!F50</f>
        <v>0.22</v>
      </c>
    </row>
    <row r="16" spans="1:21" x14ac:dyDescent="0.2">
      <c r="A16" t="s">
        <v>290</v>
      </c>
      <c r="B16">
        <v>3</v>
      </c>
      <c r="K16">
        <v>3</v>
      </c>
    </row>
    <row r="17" spans="1:18" x14ac:dyDescent="0.2">
      <c r="A17" t="s">
        <v>291</v>
      </c>
      <c r="B17">
        <v>5</v>
      </c>
      <c r="K17">
        <v>5</v>
      </c>
    </row>
    <row r="18" spans="1:18" x14ac:dyDescent="0.2">
      <c r="A18" t="s">
        <v>292</v>
      </c>
      <c r="C18">
        <v>11</v>
      </c>
      <c r="H18">
        <v>6</v>
      </c>
      <c r="I18">
        <v>1</v>
      </c>
      <c r="J18">
        <v>1</v>
      </c>
      <c r="K18">
        <v>3</v>
      </c>
      <c r="R18">
        <f>Receipts!F51</f>
        <v>0.3</v>
      </c>
    </row>
    <row r="19" spans="1:18" x14ac:dyDescent="0.2">
      <c r="A19" t="s">
        <v>414</v>
      </c>
    </row>
    <row r="20" spans="1:18" x14ac:dyDescent="0.2">
      <c r="A20" t="s">
        <v>415</v>
      </c>
    </row>
    <row r="21" spans="1:18" x14ac:dyDescent="0.2">
      <c r="A21" t="s">
        <v>416</v>
      </c>
    </row>
    <row r="22" spans="1:18" x14ac:dyDescent="0.2">
      <c r="A22" t="s">
        <v>417</v>
      </c>
    </row>
    <row r="23" spans="1:18" x14ac:dyDescent="0.2">
      <c r="A23" t="s">
        <v>418</v>
      </c>
    </row>
    <row r="24" spans="1:18" x14ac:dyDescent="0.2">
      <c r="A24" t="s">
        <v>419</v>
      </c>
    </row>
    <row r="25" spans="1:18" x14ac:dyDescent="0.2">
      <c r="A25" t="s">
        <v>420</v>
      </c>
    </row>
    <row r="26" spans="1:18" x14ac:dyDescent="0.2">
      <c r="A26" t="s">
        <v>421</v>
      </c>
    </row>
    <row r="27" spans="1:18" x14ac:dyDescent="0.2">
      <c r="A27" t="s">
        <v>422</v>
      </c>
    </row>
    <row r="28" spans="1:18" x14ac:dyDescent="0.2">
      <c r="A28" t="s">
        <v>423</v>
      </c>
    </row>
    <row r="29" spans="1:18" x14ac:dyDescent="0.2">
      <c r="A29" t="s">
        <v>424</v>
      </c>
    </row>
    <row r="30" spans="1:18" x14ac:dyDescent="0.2">
      <c r="A30" t="s">
        <v>425</v>
      </c>
    </row>
    <row r="31" spans="1:18" s="67" customFormat="1" ht="16" x14ac:dyDescent="0.2">
      <c r="A31" s="45" t="s">
        <v>489</v>
      </c>
      <c r="R31" s="67">
        <f>SUM(R5:R30)</f>
        <v>3.42</v>
      </c>
    </row>
    <row r="34" spans="1:21" ht="17" x14ac:dyDescent="0.2">
      <c r="A34" s="44" t="s">
        <v>428</v>
      </c>
    </row>
    <row r="35" spans="1:21" x14ac:dyDescent="0.2">
      <c r="A35" t="s">
        <v>294</v>
      </c>
      <c r="B35" t="s">
        <v>582</v>
      </c>
    </row>
    <row r="36" spans="1:21" x14ac:dyDescent="0.2">
      <c r="A36" t="s">
        <v>430</v>
      </c>
    </row>
    <row r="37" spans="1:21" x14ac:dyDescent="0.2">
      <c r="A37" t="s">
        <v>431</v>
      </c>
    </row>
    <row r="38" spans="1:21" x14ac:dyDescent="0.2">
      <c r="A38" t="s">
        <v>432</v>
      </c>
    </row>
    <row r="39" spans="1:21" s="67" customFormat="1" ht="16" x14ac:dyDescent="0.2">
      <c r="A39" s="45" t="s">
        <v>490</v>
      </c>
    </row>
    <row r="42" spans="1:21" ht="17" x14ac:dyDescent="0.2">
      <c r="A42" s="44" t="s">
        <v>433</v>
      </c>
    </row>
    <row r="43" spans="1:21" x14ac:dyDescent="0.2">
      <c r="A43" t="s">
        <v>434</v>
      </c>
      <c r="C43">
        <v>1</v>
      </c>
      <c r="H43">
        <v>1</v>
      </c>
      <c r="R43">
        <f>Receipts!F53</f>
        <v>0.1</v>
      </c>
      <c r="U43" t="s">
        <v>584</v>
      </c>
    </row>
    <row r="44" spans="1:21" x14ac:dyDescent="0.2">
      <c r="A44" t="s">
        <v>583</v>
      </c>
      <c r="C44">
        <v>1</v>
      </c>
      <c r="H44">
        <v>1</v>
      </c>
      <c r="R44">
        <f>Receipts!F52</f>
        <v>0.03</v>
      </c>
      <c r="U44" t="s">
        <v>584</v>
      </c>
    </row>
    <row r="45" spans="1:21" x14ac:dyDescent="0.2">
      <c r="A45" t="s">
        <v>491</v>
      </c>
    </row>
    <row r="46" spans="1:21" x14ac:dyDescent="0.2">
      <c r="A46" t="s">
        <v>492</v>
      </c>
    </row>
    <row r="47" spans="1:21" x14ac:dyDescent="0.2">
      <c r="A47" t="s">
        <v>493</v>
      </c>
      <c r="C47">
        <v>1</v>
      </c>
      <c r="H47">
        <v>1</v>
      </c>
      <c r="R47">
        <f>Receipts!F55</f>
        <v>0.01</v>
      </c>
      <c r="U47" t="s">
        <v>584</v>
      </c>
    </row>
    <row r="48" spans="1:21" x14ac:dyDescent="0.2">
      <c r="A48" s="46" t="s">
        <v>494</v>
      </c>
    </row>
    <row r="49" spans="1:18" x14ac:dyDescent="0.2">
      <c r="A49" t="s">
        <v>495</v>
      </c>
    </row>
    <row r="50" spans="1:18" x14ac:dyDescent="0.2">
      <c r="A50" s="47" t="s">
        <v>496</v>
      </c>
    </row>
    <row r="51" spans="1:18" x14ac:dyDescent="0.2">
      <c r="A51" s="47" t="s">
        <v>497</v>
      </c>
    </row>
    <row r="52" spans="1:18" x14ac:dyDescent="0.2">
      <c r="A52" s="47" t="s">
        <v>498</v>
      </c>
    </row>
    <row r="53" spans="1:18" x14ac:dyDescent="0.2">
      <c r="A53" s="47" t="s">
        <v>499</v>
      </c>
    </row>
    <row r="54" spans="1:18" x14ac:dyDescent="0.2">
      <c r="A54" s="48" t="s">
        <v>500</v>
      </c>
    </row>
    <row r="55" spans="1:18" x14ac:dyDescent="0.2">
      <c r="A55" s="49" t="s">
        <v>501</v>
      </c>
    </row>
    <row r="56" spans="1:18" x14ac:dyDescent="0.2">
      <c r="A56" s="47" t="s">
        <v>496</v>
      </c>
    </row>
    <row r="57" spans="1:18" x14ac:dyDescent="0.2">
      <c r="A57" s="47" t="s">
        <v>497</v>
      </c>
    </row>
    <row r="58" spans="1:18" x14ac:dyDescent="0.2">
      <c r="A58" s="47" t="s">
        <v>498</v>
      </c>
    </row>
    <row r="59" spans="1:18" x14ac:dyDescent="0.2">
      <c r="A59" s="47" t="s">
        <v>499</v>
      </c>
    </row>
    <row r="60" spans="1:18" x14ac:dyDescent="0.2">
      <c r="A60" s="48" t="s">
        <v>450</v>
      </c>
    </row>
    <row r="61" spans="1:18" x14ac:dyDescent="0.2">
      <c r="A61" t="s">
        <v>502</v>
      </c>
    </row>
    <row r="62" spans="1:18" x14ac:dyDescent="0.2">
      <c r="A62" t="s">
        <v>452</v>
      </c>
    </row>
    <row r="63" spans="1:18" x14ac:dyDescent="0.2">
      <c r="A63" t="s">
        <v>453</v>
      </c>
    </row>
    <row r="64" spans="1:18" s="67" customFormat="1" x14ac:dyDescent="0.2">
      <c r="A64" s="67" t="s">
        <v>503</v>
      </c>
      <c r="R64" s="67">
        <f>SUM(R43:R63)</f>
        <v>0.14000000000000001</v>
      </c>
    </row>
    <row r="67" spans="1:11" ht="17" x14ac:dyDescent="0.2">
      <c r="A67" s="44" t="s">
        <v>293</v>
      </c>
    </row>
    <row r="68" spans="1:11" ht="16" x14ac:dyDescent="0.2">
      <c r="A68" s="43" t="s">
        <v>454</v>
      </c>
    </row>
    <row r="69" spans="1:11" x14ac:dyDescent="0.2">
      <c r="A69" t="s">
        <v>455</v>
      </c>
      <c r="C69">
        <f>2+4</f>
        <v>6</v>
      </c>
      <c r="K69">
        <v>6</v>
      </c>
    </row>
    <row r="70" spans="1:11" x14ac:dyDescent="0.2">
      <c r="A70" t="s">
        <v>456</v>
      </c>
    </row>
    <row r="71" spans="1:11" x14ac:dyDescent="0.2">
      <c r="A71" t="s">
        <v>560</v>
      </c>
      <c r="C71">
        <v>12</v>
      </c>
      <c r="K71">
        <v>12</v>
      </c>
    </row>
    <row r="72" spans="1:11" x14ac:dyDescent="0.2">
      <c r="A72" t="s">
        <v>457</v>
      </c>
    </row>
    <row r="73" spans="1:11" s="67" customFormat="1" x14ac:dyDescent="0.2">
      <c r="A73" s="67" t="s">
        <v>504</v>
      </c>
    </row>
    <row r="74" spans="1:11" x14ac:dyDescent="0.2">
      <c r="A74" s="50" t="s">
        <v>505</v>
      </c>
    </row>
    <row r="76" spans="1:11" ht="16" x14ac:dyDescent="0.2">
      <c r="A76" s="10" t="s">
        <v>458</v>
      </c>
    </row>
    <row r="77" spans="1:11" x14ac:dyDescent="0.2">
      <c r="A77" t="s">
        <v>459</v>
      </c>
    </row>
    <row r="78" spans="1:11" x14ac:dyDescent="0.2">
      <c r="A78" t="s">
        <v>460</v>
      </c>
    </row>
    <row r="79" spans="1:11" x14ac:dyDescent="0.2">
      <c r="A79" t="s">
        <v>461</v>
      </c>
    </row>
    <row r="80" spans="1:11" s="67" customFormat="1" x14ac:dyDescent="0.2">
      <c r="A80" s="67" t="s">
        <v>277</v>
      </c>
    </row>
    <row r="83" spans="1:21" ht="16" x14ac:dyDescent="0.2">
      <c r="A83" s="10" t="s">
        <v>506</v>
      </c>
    </row>
    <row r="84" spans="1:21" x14ac:dyDescent="0.2">
      <c r="A84" t="s">
        <v>507</v>
      </c>
      <c r="C84">
        <v>1</v>
      </c>
      <c r="H84">
        <v>1</v>
      </c>
      <c r="R84">
        <f>Receipts!F54</f>
        <v>0.03</v>
      </c>
      <c r="U84" t="s">
        <v>585</v>
      </c>
    </row>
    <row r="85" spans="1:21" x14ac:dyDescent="0.2">
      <c r="A85" t="s">
        <v>508</v>
      </c>
    </row>
    <row r="86" spans="1:21" x14ac:dyDescent="0.2">
      <c r="A86" t="s">
        <v>509</v>
      </c>
    </row>
    <row r="87" spans="1:21" s="67" customFormat="1" ht="16" x14ac:dyDescent="0.2">
      <c r="A87" s="45" t="s">
        <v>503</v>
      </c>
      <c r="R87" s="67">
        <f>SUM(R84:R86)</f>
        <v>0.03</v>
      </c>
    </row>
    <row r="89" spans="1:21" ht="16" x14ac:dyDescent="0.2">
      <c r="A89" s="10" t="s">
        <v>295</v>
      </c>
    </row>
    <row r="90" spans="1:21" x14ac:dyDescent="0.2">
      <c r="A90" t="s">
        <v>510</v>
      </c>
      <c r="C90">
        <v>39</v>
      </c>
      <c r="H90">
        <v>39</v>
      </c>
      <c r="R90">
        <f>Receipts!F37</f>
        <v>0.15</v>
      </c>
    </row>
    <row r="91" spans="1:21" x14ac:dyDescent="0.2">
      <c r="A91" t="s">
        <v>511</v>
      </c>
      <c r="C91">
        <v>171</v>
      </c>
      <c r="H91">
        <v>154</v>
      </c>
      <c r="J91">
        <f>17</f>
        <v>17</v>
      </c>
      <c r="R91">
        <f>Receipts!F38</f>
        <v>1.75</v>
      </c>
    </row>
    <row r="92" spans="1:21" s="67" customFormat="1" ht="16" x14ac:dyDescent="0.2">
      <c r="A92" s="45" t="s">
        <v>277</v>
      </c>
      <c r="R92" s="67">
        <f>SUM(R90:R91)</f>
        <v>1.9</v>
      </c>
    </row>
    <row r="94" spans="1:21" ht="16" x14ac:dyDescent="0.2">
      <c r="A94" s="10" t="s">
        <v>296</v>
      </c>
    </row>
    <row r="95" spans="1:21" x14ac:dyDescent="0.2">
      <c r="A95" t="s">
        <v>296</v>
      </c>
      <c r="C95">
        <v>8.5</v>
      </c>
      <c r="H95">
        <v>8.5</v>
      </c>
      <c r="R95">
        <f>Receipts!F39</f>
        <v>0.21</v>
      </c>
      <c r="U95" t="s">
        <v>581</v>
      </c>
    </row>
    <row r="96" spans="1:21" s="67" customFormat="1" ht="16" x14ac:dyDescent="0.2">
      <c r="A96" s="45" t="s">
        <v>277</v>
      </c>
      <c r="R96" s="67">
        <f>R95</f>
        <v>0.21</v>
      </c>
    </row>
    <row r="97" spans="1:1" ht="16" x14ac:dyDescent="0.2">
      <c r="A97" s="52"/>
    </row>
    <row r="98" spans="1:1" ht="16" x14ac:dyDescent="0.2">
      <c r="A98" s="51" t="s">
        <v>512</v>
      </c>
    </row>
    <row r="101" spans="1:1" ht="16" x14ac:dyDescent="0.2">
      <c r="A101" s="10" t="s">
        <v>513</v>
      </c>
    </row>
    <row r="104" spans="1:1" ht="16" x14ac:dyDescent="0.2">
      <c r="A104" s="52" t="s">
        <v>514</v>
      </c>
    </row>
    <row r="105" spans="1:1" ht="16" x14ac:dyDescent="0.2">
      <c r="A105" s="10" t="s">
        <v>297</v>
      </c>
    </row>
    <row r="106" spans="1:1" x14ac:dyDescent="0.2">
      <c r="A106" t="s">
        <v>515</v>
      </c>
    </row>
    <row r="107" spans="1:1" x14ac:dyDescent="0.2">
      <c r="A107" t="s">
        <v>516</v>
      </c>
    </row>
    <row r="108" spans="1:1" x14ac:dyDescent="0.2">
      <c r="A108" t="s">
        <v>517</v>
      </c>
    </row>
    <row r="109" spans="1:1" x14ac:dyDescent="0.2">
      <c r="A109" t="s">
        <v>518</v>
      </c>
    </row>
    <row r="110" spans="1:1" x14ac:dyDescent="0.2">
      <c r="A110" t="s">
        <v>519</v>
      </c>
    </row>
    <row r="111" spans="1:1" x14ac:dyDescent="0.2">
      <c r="A111" t="s">
        <v>520</v>
      </c>
    </row>
    <row r="112" spans="1:1" x14ac:dyDescent="0.2">
      <c r="A112" t="s">
        <v>521</v>
      </c>
    </row>
    <row r="113" spans="1:1" x14ac:dyDescent="0.2">
      <c r="A113" t="s">
        <v>522</v>
      </c>
    </row>
    <row r="114" spans="1:1" x14ac:dyDescent="0.2">
      <c r="A114" t="s">
        <v>523</v>
      </c>
    </row>
    <row r="115" spans="1:1" x14ac:dyDescent="0.2">
      <c r="A115" t="s">
        <v>524</v>
      </c>
    </row>
    <row r="116" spans="1:1" x14ac:dyDescent="0.2">
      <c r="A116" t="s">
        <v>525</v>
      </c>
    </row>
    <row r="117" spans="1:1" x14ac:dyDescent="0.2">
      <c r="A117" t="s">
        <v>526</v>
      </c>
    </row>
    <row r="118" spans="1:1" x14ac:dyDescent="0.2">
      <c r="A118" t="s">
        <v>527</v>
      </c>
    </row>
    <row r="119" spans="1:1" x14ac:dyDescent="0.2">
      <c r="A119" t="s">
        <v>528</v>
      </c>
    </row>
    <row r="120" spans="1:1" x14ac:dyDescent="0.2">
      <c r="A120" t="s">
        <v>529</v>
      </c>
    </row>
    <row r="121" spans="1:1" x14ac:dyDescent="0.2">
      <c r="A121" t="s">
        <v>530</v>
      </c>
    </row>
    <row r="122" spans="1:1" x14ac:dyDescent="0.2">
      <c r="A122" t="s">
        <v>531</v>
      </c>
    </row>
    <row r="123" spans="1:1" x14ac:dyDescent="0.2">
      <c r="A123" t="s">
        <v>532</v>
      </c>
    </row>
    <row r="124" spans="1:1" x14ac:dyDescent="0.2">
      <c r="A124" t="s">
        <v>533</v>
      </c>
    </row>
    <row r="125" spans="1:1" x14ac:dyDescent="0.2">
      <c r="A125" t="s">
        <v>534</v>
      </c>
    </row>
    <row r="126" spans="1:1" x14ac:dyDescent="0.2">
      <c r="A126" t="s">
        <v>535</v>
      </c>
    </row>
    <row r="127" spans="1:1" x14ac:dyDescent="0.2">
      <c r="A127" t="s">
        <v>536</v>
      </c>
    </row>
    <row r="128" spans="1:1" x14ac:dyDescent="0.2">
      <c r="A128" t="s">
        <v>537</v>
      </c>
    </row>
    <row r="129" spans="1:1" x14ac:dyDescent="0.2">
      <c r="A129" t="s">
        <v>538</v>
      </c>
    </row>
    <row r="130" spans="1:1" x14ac:dyDescent="0.2">
      <c r="A130" t="s">
        <v>539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8"/>
  <sheetViews>
    <sheetView topLeftCell="A8" workbookViewId="0">
      <selection activeCell="D33" sqref="D33:F33"/>
    </sheetView>
  </sheetViews>
  <sheetFormatPr baseColWidth="10" defaultColWidth="8.83203125" defaultRowHeight="15" x14ac:dyDescent="0.2"/>
  <cols>
    <col min="1" max="1" width="30.5" bestFit="1" customWidth="1"/>
    <col min="2" max="2" width="3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>
        <v>3.51</v>
      </c>
      <c r="D2">
        <v>3</v>
      </c>
      <c r="E2">
        <v>10</v>
      </c>
      <c r="F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6" x14ac:dyDescent="0.2">
      <c r="A3" t="s">
        <v>36</v>
      </c>
      <c r="B3" t="s">
        <v>38</v>
      </c>
      <c r="C3">
        <v>3.51</v>
      </c>
      <c r="D3">
        <v>3</v>
      </c>
      <c r="E3">
        <v>10</v>
      </c>
      <c r="F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6" x14ac:dyDescent="0.2">
      <c r="A4" t="s">
        <v>39</v>
      </c>
      <c r="B4" t="s">
        <v>40</v>
      </c>
      <c r="C4">
        <v>1.1599999999999999</v>
      </c>
      <c r="D4">
        <v>1</v>
      </c>
      <c r="E4">
        <v>3</v>
      </c>
      <c r="F4">
        <v>3.25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6" x14ac:dyDescent="0.2">
      <c r="A5" t="s">
        <v>39</v>
      </c>
      <c r="B5" t="s">
        <v>41</v>
      </c>
      <c r="C5">
        <v>1.1599999999999999</v>
      </c>
      <c r="D5">
        <v>1</v>
      </c>
      <c r="E5">
        <v>3</v>
      </c>
      <c r="F5">
        <v>3.25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6" x14ac:dyDescent="0.2">
      <c r="A6" t="s">
        <v>39</v>
      </c>
      <c r="B6" t="s">
        <v>42</v>
      </c>
      <c r="C6">
        <v>1.1599999999999999</v>
      </c>
      <c r="D6">
        <v>1</v>
      </c>
      <c r="E6">
        <v>3</v>
      </c>
      <c r="F6">
        <v>3.25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6" x14ac:dyDescent="0.2">
      <c r="A7" t="s">
        <v>39</v>
      </c>
      <c r="B7" t="s">
        <v>43</v>
      </c>
      <c r="C7">
        <v>1.1599999999999999</v>
      </c>
      <c r="D7">
        <v>1</v>
      </c>
      <c r="E7">
        <v>3</v>
      </c>
      <c r="F7">
        <v>3.25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6" x14ac:dyDescent="0.2">
      <c r="A8" t="s">
        <v>39</v>
      </c>
      <c r="B8" t="s">
        <v>44</v>
      </c>
      <c r="C8">
        <v>4.6500000000000004</v>
      </c>
      <c r="D8">
        <v>4</v>
      </c>
      <c r="E8">
        <v>13</v>
      </c>
      <c r="F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6" x14ac:dyDescent="0.2">
      <c r="A9" t="s">
        <v>45</v>
      </c>
      <c r="B9" t="s">
        <v>46</v>
      </c>
      <c r="C9">
        <v>0.1</v>
      </c>
      <c r="D9">
        <v>0</v>
      </c>
      <c r="E9">
        <v>2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6" x14ac:dyDescent="0.2">
      <c r="A10" t="s">
        <v>45</v>
      </c>
      <c r="B10" t="s">
        <v>47</v>
      </c>
      <c r="C10">
        <v>0.6</v>
      </c>
      <c r="D10">
        <v>0</v>
      </c>
      <c r="E10">
        <v>12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6" x14ac:dyDescent="0.2">
      <c r="A11" t="s">
        <v>45</v>
      </c>
      <c r="B11" t="s">
        <v>48</v>
      </c>
      <c r="C11">
        <v>0.7</v>
      </c>
      <c r="D11">
        <v>0</v>
      </c>
      <c r="E11">
        <v>14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6" x14ac:dyDescent="0.2">
      <c r="A12" t="s">
        <v>49</v>
      </c>
      <c r="B12" t="s">
        <v>50</v>
      </c>
      <c r="C12">
        <v>0.2</v>
      </c>
      <c r="D12">
        <v>0</v>
      </c>
      <c r="E12">
        <v>4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6" x14ac:dyDescent="0.2">
      <c r="A13" t="s">
        <v>49</v>
      </c>
      <c r="B13" t="s">
        <v>51</v>
      </c>
      <c r="C13">
        <v>0.15</v>
      </c>
      <c r="D13">
        <v>0</v>
      </c>
      <c r="E13">
        <v>3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6" x14ac:dyDescent="0.2">
      <c r="A14" t="s">
        <v>49</v>
      </c>
      <c r="B14" t="s">
        <v>52</v>
      </c>
      <c r="C14">
        <v>0.08</v>
      </c>
      <c r="D14">
        <v>0</v>
      </c>
      <c r="E14">
        <v>1</v>
      </c>
      <c r="F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6" x14ac:dyDescent="0.2">
      <c r="A15" t="s">
        <v>49</v>
      </c>
      <c r="B15" t="s">
        <v>53</v>
      </c>
      <c r="C15">
        <v>0.04</v>
      </c>
      <c r="D15">
        <v>0</v>
      </c>
      <c r="E15">
        <v>0</v>
      </c>
      <c r="F15">
        <v>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6" x14ac:dyDescent="0.2">
      <c r="A16" t="s">
        <v>49</v>
      </c>
      <c r="B16" t="s">
        <v>54</v>
      </c>
      <c r="C16">
        <v>0.06</v>
      </c>
      <c r="D16">
        <v>0</v>
      </c>
      <c r="E16">
        <v>1</v>
      </c>
      <c r="F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49</v>
      </c>
      <c r="B17" t="s">
        <v>55</v>
      </c>
      <c r="C17">
        <v>0</v>
      </c>
      <c r="D17">
        <v>0</v>
      </c>
      <c r="E17">
        <v>0</v>
      </c>
      <c r="F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49</v>
      </c>
      <c r="B18" t="s">
        <v>56</v>
      </c>
      <c r="C18">
        <v>0.56000000000000005</v>
      </c>
      <c r="D18">
        <v>0</v>
      </c>
      <c r="E18">
        <v>11</v>
      </c>
      <c r="F18">
        <v>3.5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57</v>
      </c>
      <c r="B19" t="s">
        <v>58</v>
      </c>
      <c r="C19">
        <v>1.26</v>
      </c>
      <c r="D19">
        <v>1</v>
      </c>
      <c r="E19">
        <v>5</v>
      </c>
      <c r="F19">
        <v>3.5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59</v>
      </c>
      <c r="B20" t="s">
        <v>60</v>
      </c>
      <c r="C20">
        <v>3.39</v>
      </c>
      <c r="D20">
        <v>3</v>
      </c>
      <c r="E20">
        <v>7</v>
      </c>
      <c r="F20">
        <v>9.5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61</v>
      </c>
      <c r="B21" t="s">
        <v>62</v>
      </c>
      <c r="C21">
        <v>0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63</v>
      </c>
      <c r="B22" t="s">
        <v>64</v>
      </c>
      <c r="C22">
        <v>0.04</v>
      </c>
      <c r="D22">
        <v>0</v>
      </c>
      <c r="E22">
        <v>0</v>
      </c>
      <c r="F22">
        <v>9.5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63</v>
      </c>
      <c r="B23" t="s">
        <v>65</v>
      </c>
      <c r="C23">
        <v>0.08</v>
      </c>
      <c r="D23">
        <v>0</v>
      </c>
      <c r="E23">
        <v>1</v>
      </c>
      <c r="F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63</v>
      </c>
      <c r="B24" t="s">
        <v>66</v>
      </c>
      <c r="C24">
        <v>0.1</v>
      </c>
      <c r="D24">
        <v>0</v>
      </c>
      <c r="E24">
        <v>2</v>
      </c>
      <c r="F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63</v>
      </c>
      <c r="B25" t="s">
        <v>67</v>
      </c>
      <c r="C25">
        <v>0.15</v>
      </c>
      <c r="D25">
        <v>0</v>
      </c>
      <c r="E25">
        <v>3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63</v>
      </c>
      <c r="B26" t="s">
        <v>68</v>
      </c>
      <c r="C26">
        <v>1.75</v>
      </c>
      <c r="D26">
        <v>1</v>
      </c>
      <c r="E26">
        <v>15</v>
      </c>
      <c r="F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63</v>
      </c>
      <c r="B27" t="s">
        <v>69</v>
      </c>
      <c r="C27">
        <v>0.21</v>
      </c>
      <c r="D27">
        <v>0</v>
      </c>
      <c r="E27">
        <v>4</v>
      </c>
      <c r="F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63</v>
      </c>
      <c r="B28" t="s">
        <v>70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63</v>
      </c>
      <c r="B29" t="s">
        <v>71</v>
      </c>
      <c r="C29">
        <v>0.03</v>
      </c>
      <c r="D29">
        <v>0</v>
      </c>
      <c r="E29">
        <v>0</v>
      </c>
      <c r="F29">
        <v>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63</v>
      </c>
      <c r="B30" t="s">
        <v>72</v>
      </c>
      <c r="C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63</v>
      </c>
      <c r="B31" t="s">
        <v>73</v>
      </c>
      <c r="C31">
        <v>0.09</v>
      </c>
      <c r="D31">
        <v>0</v>
      </c>
      <c r="E31">
        <v>1</v>
      </c>
      <c r="F31">
        <v>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63</v>
      </c>
      <c r="B32" t="s">
        <v>74</v>
      </c>
      <c r="C32">
        <v>2.4500000000000002</v>
      </c>
      <c r="D32">
        <v>2</v>
      </c>
      <c r="E32">
        <v>8</v>
      </c>
      <c r="F32">
        <v>11.5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26" x14ac:dyDescent="0.2">
      <c r="A33" t="s">
        <v>75</v>
      </c>
      <c r="B33" t="s">
        <v>76</v>
      </c>
      <c r="C33">
        <v>1.02</v>
      </c>
      <c r="D33">
        <v>1</v>
      </c>
      <c r="E33">
        <v>0</v>
      </c>
      <c r="F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 x14ac:dyDescent="0.2">
      <c r="A34" t="s">
        <v>75</v>
      </c>
      <c r="B34" t="s">
        <v>77</v>
      </c>
      <c r="C34">
        <v>1.45</v>
      </c>
      <c r="D34">
        <v>1</v>
      </c>
      <c r="E34">
        <v>9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6" x14ac:dyDescent="0.2">
      <c r="A35" t="s">
        <v>75</v>
      </c>
      <c r="B35" t="s">
        <v>78</v>
      </c>
      <c r="C35">
        <v>0.43</v>
      </c>
      <c r="D35">
        <v>0</v>
      </c>
      <c r="E35">
        <v>8</v>
      </c>
      <c r="F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 x14ac:dyDescent="0.2">
      <c r="A36" t="s">
        <v>75</v>
      </c>
      <c r="B36" t="s">
        <v>79</v>
      </c>
      <c r="C36">
        <v>0.22</v>
      </c>
      <c r="D36">
        <v>0</v>
      </c>
      <c r="E36">
        <v>4</v>
      </c>
      <c r="F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26" x14ac:dyDescent="0.2">
      <c r="A37" t="s">
        <v>75</v>
      </c>
      <c r="B37" t="s">
        <v>80</v>
      </c>
      <c r="C37">
        <v>0.3</v>
      </c>
      <c r="D37">
        <v>0</v>
      </c>
      <c r="E37">
        <v>6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 x14ac:dyDescent="0.2">
      <c r="A38" t="s">
        <v>75</v>
      </c>
      <c r="B38" t="s">
        <v>81</v>
      </c>
      <c r="C38">
        <v>0.03</v>
      </c>
      <c r="D38">
        <v>0</v>
      </c>
      <c r="E38">
        <v>0</v>
      </c>
      <c r="F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 x14ac:dyDescent="0.2">
      <c r="A39" t="s">
        <v>75</v>
      </c>
      <c r="B39" t="s">
        <v>82</v>
      </c>
      <c r="C39">
        <v>0.1</v>
      </c>
      <c r="D39">
        <v>0</v>
      </c>
      <c r="E39">
        <v>2</v>
      </c>
      <c r="F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 x14ac:dyDescent="0.2">
      <c r="A40" t="s">
        <v>75</v>
      </c>
      <c r="B40" t="s">
        <v>83</v>
      </c>
      <c r="C40">
        <v>0.03</v>
      </c>
      <c r="D40">
        <v>0</v>
      </c>
      <c r="E40">
        <v>0</v>
      </c>
      <c r="F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 x14ac:dyDescent="0.2">
      <c r="A41" t="s">
        <v>75</v>
      </c>
      <c r="B41" t="s">
        <v>84</v>
      </c>
      <c r="C41">
        <v>0.01</v>
      </c>
      <c r="D41">
        <v>0</v>
      </c>
      <c r="E41">
        <v>0</v>
      </c>
      <c r="F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26" x14ac:dyDescent="0.2">
      <c r="A42" t="s">
        <v>75</v>
      </c>
      <c r="B42" t="s">
        <v>85</v>
      </c>
      <c r="C42">
        <v>3.59</v>
      </c>
      <c r="D42">
        <v>3</v>
      </c>
      <c r="E42">
        <v>11</v>
      </c>
      <c r="F42">
        <v>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26" x14ac:dyDescent="0.2">
      <c r="A43" t="s">
        <v>86</v>
      </c>
      <c r="B43" t="s">
        <v>87</v>
      </c>
      <c r="C43">
        <v>10.84</v>
      </c>
      <c r="D43">
        <v>10</v>
      </c>
      <c r="E43">
        <v>16</v>
      </c>
      <c r="F43">
        <v>9.5</v>
      </c>
      <c r="G43" t="s">
        <v>88</v>
      </c>
      <c r="H43">
        <v>48.5</v>
      </c>
      <c r="I43">
        <v>2</v>
      </c>
      <c r="J43">
        <v>48.75</v>
      </c>
      <c r="K43">
        <v>48.75</v>
      </c>
      <c r="L43">
        <v>0</v>
      </c>
      <c r="M43">
        <v>48</v>
      </c>
      <c r="N43">
        <v>6</v>
      </c>
      <c r="O43">
        <v>25</v>
      </c>
      <c r="P43">
        <v>1</v>
      </c>
      <c r="Q43">
        <v>18.5</v>
      </c>
      <c r="R43">
        <v>1</v>
      </c>
      <c r="S43">
        <v>5</v>
      </c>
      <c r="T43">
        <v>0</v>
      </c>
      <c r="U43">
        <v>5</v>
      </c>
      <c r="V43">
        <v>0</v>
      </c>
      <c r="W43">
        <v>4</v>
      </c>
      <c r="X43">
        <v>0</v>
      </c>
      <c r="Y43">
        <v>3</v>
      </c>
      <c r="Z43">
        <v>4</v>
      </c>
    </row>
    <row r="44" spans="1:26" x14ac:dyDescent="0.2">
      <c r="A44" t="s">
        <v>86</v>
      </c>
      <c r="B44" t="s">
        <v>89</v>
      </c>
      <c r="C44">
        <v>5.44</v>
      </c>
      <c r="D44">
        <v>5</v>
      </c>
      <c r="E44">
        <v>8</v>
      </c>
      <c r="F44">
        <v>9</v>
      </c>
      <c r="G44" t="s">
        <v>90</v>
      </c>
      <c r="H44">
        <v>32.5</v>
      </c>
      <c r="I44">
        <v>0</v>
      </c>
      <c r="J44">
        <v>32.5</v>
      </c>
      <c r="K44">
        <v>32.5</v>
      </c>
      <c r="L44">
        <v>0</v>
      </c>
      <c r="M44">
        <v>32.5</v>
      </c>
      <c r="N44">
        <v>0</v>
      </c>
      <c r="U44">
        <v>3</v>
      </c>
      <c r="V44">
        <v>4</v>
      </c>
    </row>
    <row r="45" spans="1:26" x14ac:dyDescent="0.2">
      <c r="A45" t="s">
        <v>86</v>
      </c>
      <c r="B45" t="s">
        <v>91</v>
      </c>
      <c r="C45">
        <v>0.1</v>
      </c>
      <c r="D45">
        <v>0</v>
      </c>
      <c r="E45">
        <v>2</v>
      </c>
      <c r="F45">
        <v>0</v>
      </c>
      <c r="G45" t="s">
        <v>92</v>
      </c>
      <c r="H45">
        <v>1</v>
      </c>
      <c r="I45">
        <v>0</v>
      </c>
      <c r="J45">
        <v>1</v>
      </c>
      <c r="K45">
        <v>1</v>
      </c>
      <c r="L45">
        <v>0</v>
      </c>
      <c r="M45">
        <v>1</v>
      </c>
      <c r="N45">
        <v>0</v>
      </c>
    </row>
    <row r="46" spans="1:26" x14ac:dyDescent="0.2">
      <c r="A46" t="s">
        <v>86</v>
      </c>
      <c r="B46" t="s">
        <v>93</v>
      </c>
      <c r="C46">
        <v>1.33</v>
      </c>
      <c r="D46">
        <v>1</v>
      </c>
      <c r="E46">
        <v>6</v>
      </c>
      <c r="F46">
        <v>8</v>
      </c>
      <c r="G46" t="s">
        <v>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26" x14ac:dyDescent="0.2">
      <c r="A47" t="s">
        <v>86</v>
      </c>
      <c r="B47" t="s">
        <v>94</v>
      </c>
      <c r="C47">
        <v>17.71</v>
      </c>
      <c r="D47">
        <v>17</v>
      </c>
      <c r="E47">
        <v>14</v>
      </c>
      <c r="F47">
        <v>2.5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26" x14ac:dyDescent="0.2">
      <c r="A48" t="s">
        <v>95</v>
      </c>
      <c r="B48" t="s">
        <v>96</v>
      </c>
      <c r="C48">
        <v>0.25</v>
      </c>
      <c r="D48">
        <v>0</v>
      </c>
      <c r="E48">
        <v>5</v>
      </c>
      <c r="F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95</v>
      </c>
      <c r="B49" t="s">
        <v>97</v>
      </c>
      <c r="C49">
        <v>0.4</v>
      </c>
      <c r="D49">
        <v>0</v>
      </c>
      <c r="E49">
        <v>8</v>
      </c>
      <c r="F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95</v>
      </c>
      <c r="B50" t="s">
        <v>98</v>
      </c>
      <c r="C50">
        <v>0.4</v>
      </c>
      <c r="D50">
        <v>0</v>
      </c>
      <c r="E50">
        <v>8</v>
      </c>
      <c r="F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95</v>
      </c>
      <c r="B51" t="s">
        <v>99</v>
      </c>
      <c r="C51">
        <v>1.05</v>
      </c>
      <c r="D51">
        <v>1</v>
      </c>
      <c r="E51">
        <v>1</v>
      </c>
      <c r="F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100</v>
      </c>
      <c r="B52" t="s">
        <v>101</v>
      </c>
      <c r="C52">
        <v>0.12</v>
      </c>
      <c r="D52">
        <v>0</v>
      </c>
      <c r="E52">
        <v>2</v>
      </c>
      <c r="F52">
        <v>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100</v>
      </c>
      <c r="B53" t="s">
        <v>102</v>
      </c>
      <c r="C53">
        <v>0.12</v>
      </c>
      <c r="D53">
        <v>0</v>
      </c>
      <c r="E53">
        <v>2</v>
      </c>
      <c r="F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103</v>
      </c>
      <c r="B54" t="s">
        <v>104</v>
      </c>
      <c r="C54">
        <v>1.17</v>
      </c>
      <c r="D54">
        <v>1</v>
      </c>
      <c r="E54">
        <v>3</v>
      </c>
      <c r="F54">
        <v>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105</v>
      </c>
      <c r="B55" t="s">
        <v>106</v>
      </c>
      <c r="C55">
        <v>28.31</v>
      </c>
      <c r="D55">
        <v>28</v>
      </c>
      <c r="E55">
        <v>6</v>
      </c>
      <c r="F55">
        <v>2.5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107</v>
      </c>
      <c r="B56" t="s">
        <v>108</v>
      </c>
      <c r="C56">
        <v>0.15</v>
      </c>
      <c r="D56">
        <v>0</v>
      </c>
      <c r="E56">
        <v>3</v>
      </c>
      <c r="F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107</v>
      </c>
      <c r="B57" t="s">
        <v>109</v>
      </c>
      <c r="C57">
        <v>0.02</v>
      </c>
      <c r="D57">
        <v>0</v>
      </c>
      <c r="E57">
        <v>0</v>
      </c>
      <c r="F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107</v>
      </c>
      <c r="B58" t="s">
        <v>110</v>
      </c>
      <c r="C58">
        <v>7.0000000000000007E-2</v>
      </c>
      <c r="D58">
        <v>0</v>
      </c>
      <c r="E58">
        <v>1</v>
      </c>
      <c r="F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107</v>
      </c>
      <c r="B59" t="s">
        <v>111</v>
      </c>
      <c r="C59">
        <v>0.1</v>
      </c>
      <c r="D59">
        <v>0</v>
      </c>
      <c r="E59">
        <v>2</v>
      </c>
      <c r="F59">
        <v>0.5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107</v>
      </c>
      <c r="B60" t="s">
        <v>112</v>
      </c>
      <c r="C60">
        <v>0.03</v>
      </c>
      <c r="D60">
        <v>0</v>
      </c>
      <c r="E60">
        <v>0</v>
      </c>
      <c r="F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107</v>
      </c>
      <c r="B61" t="s">
        <v>113</v>
      </c>
      <c r="C61">
        <v>0.01</v>
      </c>
      <c r="D61">
        <v>0</v>
      </c>
      <c r="E61">
        <v>0</v>
      </c>
      <c r="F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107</v>
      </c>
      <c r="B62" t="s">
        <v>114</v>
      </c>
      <c r="C62">
        <v>0.05</v>
      </c>
      <c r="D62">
        <v>0</v>
      </c>
      <c r="E62">
        <v>0</v>
      </c>
      <c r="F62">
        <v>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107</v>
      </c>
      <c r="B63" t="s">
        <v>115</v>
      </c>
      <c r="C63">
        <v>0.01</v>
      </c>
      <c r="D63">
        <v>0</v>
      </c>
      <c r="E63">
        <v>0</v>
      </c>
      <c r="F63">
        <v>1.5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107</v>
      </c>
      <c r="B64" t="s">
        <v>116</v>
      </c>
      <c r="C64">
        <v>0.01</v>
      </c>
      <c r="D64">
        <v>0</v>
      </c>
      <c r="E64">
        <v>0</v>
      </c>
      <c r="F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24" x14ac:dyDescent="0.2">
      <c r="A65" t="s">
        <v>107</v>
      </c>
      <c r="B65" t="s">
        <v>117</v>
      </c>
      <c r="C65">
        <v>0.01</v>
      </c>
      <c r="D65">
        <v>0</v>
      </c>
      <c r="E65">
        <v>0</v>
      </c>
      <c r="F65">
        <v>1.5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24" x14ac:dyDescent="0.2">
      <c r="A66" t="s">
        <v>107</v>
      </c>
      <c r="B66" t="s">
        <v>118</v>
      </c>
      <c r="C66">
        <v>0.3</v>
      </c>
      <c r="D66">
        <v>0</v>
      </c>
      <c r="E66">
        <v>6</v>
      </c>
      <c r="F66">
        <v>0</v>
      </c>
      <c r="G66" t="s">
        <v>119</v>
      </c>
      <c r="H66">
        <v>1</v>
      </c>
      <c r="I66">
        <v>2</v>
      </c>
      <c r="J66">
        <v>1.25</v>
      </c>
      <c r="K66">
        <v>1.25</v>
      </c>
      <c r="L66">
        <v>0</v>
      </c>
      <c r="M66">
        <v>1</v>
      </c>
      <c r="N66">
        <v>2</v>
      </c>
      <c r="O66">
        <v>1</v>
      </c>
      <c r="P66">
        <v>0</v>
      </c>
    </row>
    <row r="67" spans="1:24" x14ac:dyDescent="0.2">
      <c r="A67" t="s">
        <v>107</v>
      </c>
      <c r="B67" t="s">
        <v>120</v>
      </c>
      <c r="C67">
        <v>0</v>
      </c>
      <c r="D67">
        <v>0</v>
      </c>
      <c r="E67">
        <v>0</v>
      </c>
      <c r="F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24" x14ac:dyDescent="0.2">
      <c r="A68" t="s">
        <v>107</v>
      </c>
      <c r="B68" t="s">
        <v>121</v>
      </c>
      <c r="C68">
        <v>0.23</v>
      </c>
      <c r="D68">
        <v>0</v>
      </c>
      <c r="E68">
        <v>4</v>
      </c>
      <c r="F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24" x14ac:dyDescent="0.2">
      <c r="A69" t="s">
        <v>107</v>
      </c>
      <c r="B69" t="s">
        <v>120</v>
      </c>
      <c r="C69">
        <v>0</v>
      </c>
      <c r="D69">
        <v>0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24" x14ac:dyDescent="0.2">
      <c r="A70" t="s">
        <v>107</v>
      </c>
      <c r="B70" t="s">
        <v>122</v>
      </c>
      <c r="C70">
        <v>6.55</v>
      </c>
      <c r="D70">
        <v>6</v>
      </c>
      <c r="E70">
        <v>11</v>
      </c>
      <c r="F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24" x14ac:dyDescent="0.2">
      <c r="A71" t="s">
        <v>107</v>
      </c>
      <c r="B71" t="s">
        <v>123</v>
      </c>
      <c r="C71">
        <v>3.66</v>
      </c>
      <c r="D71">
        <v>3</v>
      </c>
      <c r="E71">
        <v>13</v>
      </c>
      <c r="F71">
        <v>1.5</v>
      </c>
      <c r="G71" t="s">
        <v>88</v>
      </c>
      <c r="H71">
        <v>20</v>
      </c>
      <c r="I71">
        <v>1</v>
      </c>
      <c r="J71">
        <v>20.125</v>
      </c>
      <c r="K71">
        <v>20.125</v>
      </c>
      <c r="L71">
        <v>0</v>
      </c>
      <c r="M71">
        <v>20</v>
      </c>
      <c r="N71">
        <v>1</v>
      </c>
      <c r="O71">
        <v>18</v>
      </c>
      <c r="P71">
        <v>1</v>
      </c>
      <c r="Q71">
        <v>2</v>
      </c>
      <c r="R71">
        <v>0</v>
      </c>
      <c r="U71">
        <v>3</v>
      </c>
      <c r="V71">
        <v>8</v>
      </c>
      <c r="W71">
        <v>3</v>
      </c>
      <c r="X71">
        <v>4</v>
      </c>
    </row>
    <row r="72" spans="1:24" x14ac:dyDescent="0.2">
      <c r="A72" t="s">
        <v>107</v>
      </c>
      <c r="B72" t="s">
        <v>120</v>
      </c>
      <c r="C72">
        <v>0</v>
      </c>
      <c r="D72">
        <v>0</v>
      </c>
      <c r="E72">
        <v>0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24" x14ac:dyDescent="0.2">
      <c r="A73" t="s">
        <v>107</v>
      </c>
      <c r="B73" t="s">
        <v>124</v>
      </c>
      <c r="C73">
        <v>0.21</v>
      </c>
      <c r="D73">
        <v>0</v>
      </c>
      <c r="E73">
        <v>4</v>
      </c>
      <c r="F73">
        <v>2</v>
      </c>
      <c r="G73" t="s">
        <v>125</v>
      </c>
      <c r="H73">
        <v>2.5</v>
      </c>
      <c r="I73">
        <v>0</v>
      </c>
      <c r="J73">
        <v>2.5</v>
      </c>
      <c r="K73">
        <v>2.5</v>
      </c>
      <c r="L73">
        <v>0</v>
      </c>
      <c r="M73">
        <v>2.5</v>
      </c>
      <c r="N73">
        <v>0</v>
      </c>
      <c r="U73">
        <v>1</v>
      </c>
      <c r="V73">
        <v>8</v>
      </c>
    </row>
    <row r="74" spans="1:24" x14ac:dyDescent="0.2">
      <c r="A74" t="s">
        <v>107</v>
      </c>
      <c r="B74" t="s">
        <v>120</v>
      </c>
      <c r="C74">
        <v>0</v>
      </c>
      <c r="D74">
        <v>0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24" x14ac:dyDescent="0.2">
      <c r="A75" t="s">
        <v>107</v>
      </c>
      <c r="B75" t="s">
        <v>126</v>
      </c>
      <c r="C75">
        <v>0.33</v>
      </c>
      <c r="D75">
        <v>0</v>
      </c>
      <c r="E75">
        <v>6</v>
      </c>
      <c r="F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24" x14ac:dyDescent="0.2">
      <c r="A76" t="s">
        <v>107</v>
      </c>
      <c r="B76" t="s">
        <v>120</v>
      </c>
      <c r="C76">
        <v>0</v>
      </c>
      <c r="D76">
        <v>0</v>
      </c>
      <c r="E76">
        <v>0</v>
      </c>
      <c r="F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24" x14ac:dyDescent="0.2">
      <c r="A77" t="s">
        <v>107</v>
      </c>
      <c r="B77" t="s">
        <v>127</v>
      </c>
      <c r="C77">
        <v>1.18</v>
      </c>
      <c r="D77">
        <v>1</v>
      </c>
      <c r="E77">
        <v>3</v>
      </c>
      <c r="F77">
        <v>6.5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24" x14ac:dyDescent="0.2">
      <c r="A78" t="s">
        <v>128</v>
      </c>
      <c r="B78" t="s">
        <v>129</v>
      </c>
      <c r="C78">
        <v>7.0000000000000007E-2</v>
      </c>
      <c r="D78">
        <v>0</v>
      </c>
      <c r="E78">
        <v>1</v>
      </c>
      <c r="F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24" x14ac:dyDescent="0.2">
      <c r="A79" t="s">
        <v>128</v>
      </c>
      <c r="B79" t="s">
        <v>130</v>
      </c>
      <c r="C79">
        <v>0.05</v>
      </c>
      <c r="D79">
        <v>0</v>
      </c>
      <c r="E79">
        <v>1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24" x14ac:dyDescent="0.2">
      <c r="A80" t="s">
        <v>128</v>
      </c>
      <c r="B80" t="s">
        <v>131</v>
      </c>
      <c r="C80">
        <v>0.02</v>
      </c>
      <c r="D80">
        <v>0</v>
      </c>
      <c r="E80">
        <v>0</v>
      </c>
      <c r="F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30" x14ac:dyDescent="0.2">
      <c r="A81" t="s">
        <v>128</v>
      </c>
      <c r="B81" t="s">
        <v>132</v>
      </c>
      <c r="C81">
        <v>0.02</v>
      </c>
      <c r="D81">
        <v>0</v>
      </c>
      <c r="E81">
        <v>0</v>
      </c>
      <c r="F81">
        <v>4.5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30" x14ac:dyDescent="0.2">
      <c r="A82" t="s">
        <v>128</v>
      </c>
      <c r="B82" t="s">
        <v>133</v>
      </c>
      <c r="C82">
        <v>0.05</v>
      </c>
      <c r="D82">
        <v>0</v>
      </c>
      <c r="E82">
        <v>1</v>
      </c>
      <c r="F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30" x14ac:dyDescent="0.2">
      <c r="A83" t="s">
        <v>128</v>
      </c>
      <c r="B83" t="s">
        <v>134</v>
      </c>
      <c r="C83">
        <v>0.06</v>
      </c>
      <c r="D83">
        <v>0</v>
      </c>
      <c r="E83">
        <v>1</v>
      </c>
      <c r="F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30" x14ac:dyDescent="0.2">
      <c r="A84" t="s">
        <v>128</v>
      </c>
      <c r="B84" t="s">
        <v>135</v>
      </c>
      <c r="C84">
        <v>0.1</v>
      </c>
      <c r="D84">
        <v>0</v>
      </c>
      <c r="E84">
        <v>2</v>
      </c>
      <c r="F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30" x14ac:dyDescent="0.2">
      <c r="A85" t="s">
        <v>128</v>
      </c>
      <c r="B85" t="s">
        <v>136</v>
      </c>
      <c r="C85">
        <v>0.1</v>
      </c>
      <c r="D85">
        <v>0</v>
      </c>
      <c r="E85">
        <v>2</v>
      </c>
      <c r="F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30" x14ac:dyDescent="0.2">
      <c r="A86" t="s">
        <v>128</v>
      </c>
      <c r="B86" t="s">
        <v>137</v>
      </c>
      <c r="C86">
        <v>0.46</v>
      </c>
      <c r="D86">
        <v>0</v>
      </c>
      <c r="E86">
        <v>9</v>
      </c>
      <c r="F86">
        <v>3.5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30" x14ac:dyDescent="0.2">
      <c r="A87" t="s">
        <v>138</v>
      </c>
      <c r="B87" t="s">
        <v>139</v>
      </c>
      <c r="C87">
        <v>0.12</v>
      </c>
      <c r="D87">
        <v>0</v>
      </c>
      <c r="E87">
        <v>2</v>
      </c>
      <c r="F87">
        <v>6</v>
      </c>
      <c r="G87" t="s">
        <v>92</v>
      </c>
      <c r="H87">
        <v>5</v>
      </c>
      <c r="I87">
        <v>1</v>
      </c>
      <c r="J87">
        <v>5.125</v>
      </c>
      <c r="K87">
        <v>5.125</v>
      </c>
      <c r="L87">
        <v>0</v>
      </c>
      <c r="M87">
        <v>5</v>
      </c>
      <c r="N87">
        <v>1</v>
      </c>
    </row>
    <row r="88" spans="1:30" x14ac:dyDescent="0.2">
      <c r="A88" t="s">
        <v>138</v>
      </c>
      <c r="B88" t="s">
        <v>140</v>
      </c>
      <c r="C88">
        <v>0.04</v>
      </c>
      <c r="D88">
        <v>0</v>
      </c>
      <c r="E88">
        <v>0</v>
      </c>
      <c r="F88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AC88">
        <v>0</v>
      </c>
      <c r="AD88">
        <v>4.5</v>
      </c>
    </row>
    <row r="89" spans="1:30" x14ac:dyDescent="0.2">
      <c r="A89" t="s">
        <v>138</v>
      </c>
      <c r="B89" t="s">
        <v>141</v>
      </c>
      <c r="C89">
        <v>0.01</v>
      </c>
      <c r="D89">
        <v>0</v>
      </c>
      <c r="E89">
        <v>0</v>
      </c>
      <c r="F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30" x14ac:dyDescent="0.2">
      <c r="A90" t="s">
        <v>138</v>
      </c>
      <c r="B90" t="s">
        <v>142</v>
      </c>
      <c r="C90">
        <v>0.02</v>
      </c>
      <c r="D90">
        <v>0</v>
      </c>
      <c r="E90">
        <v>0</v>
      </c>
      <c r="F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30" x14ac:dyDescent="0.2">
      <c r="A91" t="s">
        <v>138</v>
      </c>
      <c r="B91" t="s">
        <v>143</v>
      </c>
      <c r="C91">
        <v>0</v>
      </c>
      <c r="D91">
        <v>0</v>
      </c>
      <c r="E91">
        <v>0</v>
      </c>
      <c r="F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30" x14ac:dyDescent="0.2">
      <c r="A92" t="s">
        <v>138</v>
      </c>
      <c r="B92" t="s">
        <v>144</v>
      </c>
      <c r="C92">
        <v>0.01</v>
      </c>
      <c r="D92">
        <v>0</v>
      </c>
      <c r="E92">
        <v>0</v>
      </c>
      <c r="F92">
        <v>1.5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30" x14ac:dyDescent="0.2">
      <c r="A93" t="s">
        <v>138</v>
      </c>
      <c r="B93" t="s">
        <v>145</v>
      </c>
      <c r="C93">
        <v>0.15</v>
      </c>
      <c r="D93">
        <v>0</v>
      </c>
      <c r="E93">
        <v>2</v>
      </c>
      <c r="F93">
        <v>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30" x14ac:dyDescent="0.2">
      <c r="A94" t="s">
        <v>138</v>
      </c>
      <c r="B94" t="s">
        <v>120</v>
      </c>
      <c r="C94">
        <v>0</v>
      </c>
      <c r="D94">
        <v>0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30" x14ac:dyDescent="0.2">
      <c r="A95" t="s">
        <v>138</v>
      </c>
      <c r="B95" t="s">
        <v>146</v>
      </c>
      <c r="C95">
        <v>0.02</v>
      </c>
      <c r="D95">
        <v>0</v>
      </c>
      <c r="E95">
        <v>0</v>
      </c>
      <c r="F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30" x14ac:dyDescent="0.2">
      <c r="A96" t="s">
        <v>138</v>
      </c>
      <c r="B96" t="s">
        <v>147</v>
      </c>
      <c r="C96">
        <v>0.05</v>
      </c>
      <c r="D96">
        <v>0</v>
      </c>
      <c r="E96">
        <v>1</v>
      </c>
      <c r="F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138</v>
      </c>
      <c r="B97" t="s">
        <v>148</v>
      </c>
      <c r="C97">
        <v>0.05</v>
      </c>
      <c r="D97">
        <v>0</v>
      </c>
      <c r="E97">
        <v>1</v>
      </c>
      <c r="F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138</v>
      </c>
      <c r="B98" t="s">
        <v>149</v>
      </c>
      <c r="C98">
        <v>0.45</v>
      </c>
      <c r="D98">
        <v>0</v>
      </c>
      <c r="E98">
        <v>8</v>
      </c>
      <c r="F98">
        <v>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150</v>
      </c>
      <c r="B99" t="s">
        <v>151</v>
      </c>
      <c r="C99">
        <v>0.17</v>
      </c>
      <c r="D99">
        <v>0</v>
      </c>
      <c r="E99">
        <v>3</v>
      </c>
      <c r="F99">
        <v>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150</v>
      </c>
      <c r="B100" t="s">
        <v>152</v>
      </c>
      <c r="C100">
        <v>0.05</v>
      </c>
      <c r="D100">
        <v>0</v>
      </c>
      <c r="E100">
        <v>1</v>
      </c>
      <c r="F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150</v>
      </c>
      <c r="B101" t="s">
        <v>153</v>
      </c>
      <c r="C101">
        <v>0.05</v>
      </c>
      <c r="D101">
        <v>0</v>
      </c>
      <c r="E101">
        <v>0</v>
      </c>
      <c r="F101">
        <v>11.5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150</v>
      </c>
      <c r="B102" t="s">
        <v>154</v>
      </c>
      <c r="C102">
        <v>7.0000000000000007E-2</v>
      </c>
      <c r="D102">
        <v>0</v>
      </c>
      <c r="E102">
        <v>1</v>
      </c>
      <c r="F102">
        <v>5.5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155</v>
      </c>
      <c r="B103" t="s">
        <v>156</v>
      </c>
      <c r="C103">
        <v>0.51</v>
      </c>
      <c r="D103">
        <v>0</v>
      </c>
      <c r="E103">
        <v>10</v>
      </c>
      <c r="F103">
        <v>1.25</v>
      </c>
      <c r="G103" t="s">
        <v>157</v>
      </c>
      <c r="H103">
        <v>54</v>
      </c>
      <c r="I103">
        <v>2</v>
      </c>
      <c r="J103">
        <v>54.25</v>
      </c>
      <c r="K103">
        <v>54.25</v>
      </c>
      <c r="L103">
        <v>0</v>
      </c>
      <c r="M103">
        <v>54</v>
      </c>
      <c r="N103">
        <v>2</v>
      </c>
    </row>
    <row r="104" spans="1:14" x14ac:dyDescent="0.2">
      <c r="A104" t="s">
        <v>155</v>
      </c>
      <c r="B104" t="s">
        <v>120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155</v>
      </c>
      <c r="B105" t="s">
        <v>158</v>
      </c>
      <c r="C105">
        <v>0.27</v>
      </c>
      <c r="D105">
        <v>0</v>
      </c>
      <c r="E105">
        <v>5</v>
      </c>
      <c r="F105">
        <v>4</v>
      </c>
      <c r="G105" t="s">
        <v>90</v>
      </c>
      <c r="H105">
        <v>51</v>
      </c>
      <c r="I105">
        <v>6</v>
      </c>
      <c r="J105">
        <v>51.75</v>
      </c>
      <c r="K105">
        <v>51.75</v>
      </c>
      <c r="L105">
        <v>0</v>
      </c>
      <c r="M105">
        <v>51</v>
      </c>
      <c r="N105">
        <v>6</v>
      </c>
    </row>
    <row r="106" spans="1:14" x14ac:dyDescent="0.2">
      <c r="A106" t="s">
        <v>155</v>
      </c>
      <c r="B106" t="s">
        <v>159</v>
      </c>
      <c r="C106">
        <v>0</v>
      </c>
      <c r="D106">
        <v>0</v>
      </c>
      <c r="E106">
        <v>0</v>
      </c>
      <c r="F106">
        <v>0</v>
      </c>
      <c r="G106" t="s">
        <v>92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155</v>
      </c>
      <c r="B107" t="s">
        <v>120</v>
      </c>
      <c r="C107">
        <v>0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155</v>
      </c>
      <c r="B108" t="s">
        <v>160</v>
      </c>
      <c r="C108">
        <v>0.01</v>
      </c>
      <c r="D108">
        <v>0</v>
      </c>
      <c r="E108">
        <v>0</v>
      </c>
      <c r="F108">
        <v>2</v>
      </c>
      <c r="H108">
        <v>8</v>
      </c>
      <c r="I108">
        <v>1</v>
      </c>
      <c r="J108">
        <v>8.125</v>
      </c>
      <c r="K108">
        <v>8.125</v>
      </c>
      <c r="L108">
        <v>0</v>
      </c>
      <c r="M108">
        <v>8</v>
      </c>
      <c r="N108">
        <v>1</v>
      </c>
    </row>
    <row r="109" spans="1:14" x14ac:dyDescent="0.2">
      <c r="A109" t="s">
        <v>155</v>
      </c>
      <c r="B109" t="s">
        <v>161</v>
      </c>
      <c r="C109">
        <v>0.03</v>
      </c>
      <c r="D109">
        <v>0</v>
      </c>
      <c r="E109">
        <v>0</v>
      </c>
      <c r="F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155</v>
      </c>
      <c r="B110" t="s">
        <v>162</v>
      </c>
      <c r="C110">
        <v>0.01</v>
      </c>
      <c r="D110">
        <v>0</v>
      </c>
      <c r="E110">
        <v>0</v>
      </c>
      <c r="F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155</v>
      </c>
      <c r="B111" t="s">
        <v>163</v>
      </c>
      <c r="C111">
        <v>0.88</v>
      </c>
      <c r="D111">
        <v>0</v>
      </c>
      <c r="E111">
        <v>17</v>
      </c>
      <c r="F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164</v>
      </c>
      <c r="B112" t="s">
        <v>165</v>
      </c>
      <c r="C112">
        <v>0.05</v>
      </c>
      <c r="D112">
        <v>0</v>
      </c>
      <c r="E112">
        <v>1</v>
      </c>
      <c r="F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164</v>
      </c>
      <c r="B113" t="s">
        <v>166</v>
      </c>
      <c r="C113">
        <v>0.01</v>
      </c>
      <c r="D113">
        <v>0</v>
      </c>
      <c r="E113">
        <v>0</v>
      </c>
      <c r="F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164</v>
      </c>
      <c r="B114" t="s">
        <v>167</v>
      </c>
      <c r="C114">
        <v>0.17</v>
      </c>
      <c r="D114">
        <v>0</v>
      </c>
      <c r="E114">
        <v>3</v>
      </c>
      <c r="F114">
        <v>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164</v>
      </c>
      <c r="B115" t="s">
        <v>168</v>
      </c>
      <c r="C115">
        <v>0.08</v>
      </c>
      <c r="D115">
        <v>0</v>
      </c>
      <c r="E115">
        <v>1</v>
      </c>
      <c r="F115">
        <v>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164</v>
      </c>
      <c r="B116" t="s">
        <v>169</v>
      </c>
      <c r="C116">
        <v>0.41</v>
      </c>
      <c r="D116">
        <v>0</v>
      </c>
      <c r="E116">
        <v>8</v>
      </c>
      <c r="F116">
        <v>1.5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164</v>
      </c>
      <c r="B117" t="s">
        <v>170</v>
      </c>
      <c r="C117">
        <v>0.71</v>
      </c>
      <c r="D117">
        <v>0</v>
      </c>
      <c r="E117">
        <v>14</v>
      </c>
      <c r="F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171</v>
      </c>
      <c r="B118" t="s">
        <v>172</v>
      </c>
      <c r="C118">
        <v>1.57</v>
      </c>
      <c r="D118">
        <v>1</v>
      </c>
      <c r="E118">
        <v>11</v>
      </c>
      <c r="F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171</v>
      </c>
      <c r="B119" t="s">
        <v>173</v>
      </c>
      <c r="C119">
        <v>1.91</v>
      </c>
      <c r="D119">
        <v>1</v>
      </c>
      <c r="E119">
        <v>18</v>
      </c>
      <c r="F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105</v>
      </c>
      <c r="B120" t="s">
        <v>174</v>
      </c>
      <c r="C120">
        <v>17.600000000000001</v>
      </c>
      <c r="D120">
        <v>17</v>
      </c>
      <c r="E120">
        <v>12</v>
      </c>
      <c r="F120">
        <v>0.25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175</v>
      </c>
      <c r="B121" t="s">
        <v>176</v>
      </c>
      <c r="C121">
        <v>10.71</v>
      </c>
      <c r="D121">
        <v>10</v>
      </c>
      <c r="E121">
        <v>14</v>
      </c>
      <c r="F121">
        <v>2.25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177</v>
      </c>
      <c r="B122" t="s">
        <v>178</v>
      </c>
      <c r="C122">
        <v>2.5</v>
      </c>
      <c r="D122">
        <v>2</v>
      </c>
      <c r="E122">
        <v>10</v>
      </c>
      <c r="F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177</v>
      </c>
      <c r="B123" t="s">
        <v>179</v>
      </c>
      <c r="C123">
        <v>8.2100000000000009</v>
      </c>
      <c r="D123">
        <v>8</v>
      </c>
      <c r="E123">
        <v>4</v>
      </c>
      <c r="F123">
        <v>2.25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180</v>
      </c>
      <c r="B124" t="s">
        <v>181</v>
      </c>
      <c r="C124">
        <v>0</v>
      </c>
      <c r="D124">
        <v>0</v>
      </c>
      <c r="E124">
        <v>0</v>
      </c>
      <c r="F124">
        <v>0</v>
      </c>
      <c r="H124">
        <v>4</v>
      </c>
      <c r="I124">
        <v>2</v>
      </c>
      <c r="J124">
        <v>4.25</v>
      </c>
      <c r="K124">
        <v>4.25</v>
      </c>
      <c r="L124">
        <v>0</v>
      </c>
      <c r="M124">
        <v>4</v>
      </c>
      <c r="N124">
        <v>2</v>
      </c>
    </row>
    <row r="125" spans="1:14" x14ac:dyDescent="0.2">
      <c r="A125" t="s">
        <v>180</v>
      </c>
      <c r="B125" t="s">
        <v>182</v>
      </c>
      <c r="C125">
        <v>0</v>
      </c>
      <c r="D125">
        <v>0</v>
      </c>
      <c r="E125">
        <v>0</v>
      </c>
      <c r="F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180</v>
      </c>
      <c r="B126" t="s">
        <v>183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180</v>
      </c>
      <c r="B127" t="s">
        <v>184</v>
      </c>
      <c r="C127">
        <v>0</v>
      </c>
      <c r="D127">
        <v>0</v>
      </c>
      <c r="E127">
        <v>0</v>
      </c>
      <c r="F127">
        <v>0</v>
      </c>
      <c r="G127" t="s">
        <v>88</v>
      </c>
      <c r="H127">
        <v>64</v>
      </c>
      <c r="I127">
        <v>6</v>
      </c>
      <c r="J127">
        <v>64.75</v>
      </c>
      <c r="K127">
        <v>64.75</v>
      </c>
      <c r="L127">
        <v>0</v>
      </c>
      <c r="M127">
        <v>64</v>
      </c>
      <c r="N127">
        <v>6</v>
      </c>
    </row>
    <row r="128" spans="1:14" x14ac:dyDescent="0.2">
      <c r="A128" t="s">
        <v>180</v>
      </c>
      <c r="B128" t="s">
        <v>185</v>
      </c>
      <c r="C128">
        <v>0</v>
      </c>
      <c r="D128">
        <v>0</v>
      </c>
      <c r="E128">
        <v>0</v>
      </c>
      <c r="F128">
        <v>0</v>
      </c>
      <c r="H128">
        <v>7.5</v>
      </c>
      <c r="I128">
        <v>0</v>
      </c>
      <c r="J128">
        <v>7.5</v>
      </c>
      <c r="K128">
        <v>7.5</v>
      </c>
      <c r="L128">
        <v>0</v>
      </c>
      <c r="M128">
        <v>7.5</v>
      </c>
      <c r="N128">
        <v>0</v>
      </c>
    </row>
    <row r="129" spans="1:16" x14ac:dyDescent="0.2">
      <c r="A129" t="s">
        <v>180</v>
      </c>
      <c r="B129" t="s">
        <v>186</v>
      </c>
      <c r="C129">
        <v>0</v>
      </c>
      <c r="D129">
        <v>0</v>
      </c>
      <c r="E129">
        <v>0</v>
      </c>
      <c r="F129">
        <v>0</v>
      </c>
      <c r="H129">
        <v>20</v>
      </c>
      <c r="I129">
        <v>1</v>
      </c>
      <c r="J129">
        <v>20.125</v>
      </c>
      <c r="K129">
        <v>20.125</v>
      </c>
      <c r="L129">
        <v>0</v>
      </c>
      <c r="M129">
        <v>20</v>
      </c>
      <c r="N129">
        <v>1</v>
      </c>
    </row>
    <row r="130" spans="1:16" x14ac:dyDescent="0.2">
      <c r="A130" t="s">
        <v>180</v>
      </c>
      <c r="B130" t="s">
        <v>187</v>
      </c>
      <c r="C130">
        <v>0</v>
      </c>
      <c r="D130">
        <v>0</v>
      </c>
      <c r="E130">
        <v>0</v>
      </c>
      <c r="F130">
        <v>0</v>
      </c>
      <c r="H130">
        <v>92</v>
      </c>
      <c r="I130">
        <v>3</v>
      </c>
      <c r="J130">
        <v>92.375</v>
      </c>
      <c r="K130">
        <v>92.375</v>
      </c>
      <c r="L130">
        <v>0</v>
      </c>
      <c r="M130">
        <v>92</v>
      </c>
      <c r="N130">
        <v>3</v>
      </c>
    </row>
    <row r="131" spans="1:16" x14ac:dyDescent="0.2">
      <c r="A131" t="s">
        <v>180</v>
      </c>
      <c r="B131" t="s">
        <v>188</v>
      </c>
      <c r="C131">
        <v>0</v>
      </c>
      <c r="D131">
        <v>0</v>
      </c>
      <c r="E131">
        <v>0</v>
      </c>
      <c r="F131">
        <v>0</v>
      </c>
      <c r="H131">
        <v>35</v>
      </c>
      <c r="I131">
        <v>1</v>
      </c>
      <c r="J131">
        <v>35.125</v>
      </c>
      <c r="K131">
        <v>35.125</v>
      </c>
      <c r="L131">
        <v>0</v>
      </c>
      <c r="M131">
        <v>35</v>
      </c>
      <c r="N131">
        <v>1</v>
      </c>
    </row>
    <row r="132" spans="1:16" x14ac:dyDescent="0.2">
      <c r="A132" t="s">
        <v>180</v>
      </c>
      <c r="B132" t="s">
        <v>189</v>
      </c>
      <c r="C132">
        <v>0</v>
      </c>
      <c r="D132">
        <v>0</v>
      </c>
      <c r="E132">
        <v>0</v>
      </c>
      <c r="F132">
        <v>0</v>
      </c>
      <c r="H132">
        <v>0</v>
      </c>
      <c r="I132">
        <v>1</v>
      </c>
      <c r="J132">
        <v>0.125</v>
      </c>
      <c r="K132">
        <v>0.375</v>
      </c>
      <c r="L132">
        <v>-0.25</v>
      </c>
      <c r="M132">
        <v>0</v>
      </c>
      <c r="N132">
        <v>3</v>
      </c>
      <c r="O132">
        <v>0</v>
      </c>
      <c r="P132">
        <v>1</v>
      </c>
    </row>
    <row r="133" spans="1:16" x14ac:dyDescent="0.2">
      <c r="A133" t="s">
        <v>180</v>
      </c>
      <c r="B133" t="s">
        <v>120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6" x14ac:dyDescent="0.2">
      <c r="A134" t="s">
        <v>180</v>
      </c>
      <c r="B134" t="s">
        <v>190</v>
      </c>
      <c r="C134">
        <v>0</v>
      </c>
      <c r="D134">
        <v>0</v>
      </c>
      <c r="E134">
        <v>0</v>
      </c>
      <c r="F134">
        <v>0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</row>
    <row r="135" spans="1:16" x14ac:dyDescent="0.2">
      <c r="A135" t="s">
        <v>180</v>
      </c>
      <c r="B135" t="s">
        <v>191</v>
      </c>
      <c r="C135">
        <v>0</v>
      </c>
      <c r="D135">
        <v>0</v>
      </c>
      <c r="E135">
        <v>0</v>
      </c>
      <c r="F135">
        <v>0</v>
      </c>
      <c r="H135">
        <v>1</v>
      </c>
      <c r="I135">
        <v>2</v>
      </c>
      <c r="J135">
        <v>1.25</v>
      </c>
      <c r="K135">
        <v>7.5</v>
      </c>
      <c r="L135">
        <v>-6.25</v>
      </c>
      <c r="M135">
        <v>7.5</v>
      </c>
      <c r="N135">
        <v>0</v>
      </c>
      <c r="O135">
        <v>1</v>
      </c>
      <c r="P135">
        <v>2</v>
      </c>
    </row>
    <row r="136" spans="1:16" x14ac:dyDescent="0.2">
      <c r="A136" t="s">
        <v>180</v>
      </c>
      <c r="B136" t="s">
        <v>192</v>
      </c>
      <c r="C136">
        <v>0</v>
      </c>
      <c r="D136">
        <v>0</v>
      </c>
      <c r="E136">
        <v>0</v>
      </c>
      <c r="F136">
        <v>0</v>
      </c>
      <c r="H136">
        <v>48</v>
      </c>
      <c r="I136">
        <v>6</v>
      </c>
      <c r="J136">
        <v>48.75</v>
      </c>
      <c r="K136">
        <v>48.75</v>
      </c>
      <c r="L136">
        <v>0</v>
      </c>
      <c r="M136">
        <v>48</v>
      </c>
      <c r="N136">
        <v>6</v>
      </c>
    </row>
    <row r="137" spans="1:16" x14ac:dyDescent="0.2">
      <c r="A137" t="s">
        <v>193</v>
      </c>
      <c r="B137" t="s">
        <v>194</v>
      </c>
      <c r="C137">
        <v>0</v>
      </c>
      <c r="D137">
        <v>0</v>
      </c>
      <c r="E137">
        <v>0</v>
      </c>
      <c r="F137">
        <v>0</v>
      </c>
      <c r="G137" t="s">
        <v>157</v>
      </c>
      <c r="H137">
        <v>13.5</v>
      </c>
      <c r="I137">
        <v>0</v>
      </c>
      <c r="J137">
        <v>13.5</v>
      </c>
      <c r="K137">
        <v>13.5</v>
      </c>
      <c r="L137">
        <v>0</v>
      </c>
      <c r="M137">
        <v>13.5</v>
      </c>
      <c r="N137">
        <v>0</v>
      </c>
    </row>
    <row r="138" spans="1:16" x14ac:dyDescent="0.2">
      <c r="A138" t="s">
        <v>193</v>
      </c>
      <c r="B138" t="s">
        <v>195</v>
      </c>
      <c r="C138">
        <v>0</v>
      </c>
      <c r="D138">
        <v>0</v>
      </c>
      <c r="E138">
        <v>0</v>
      </c>
      <c r="F138">
        <v>0</v>
      </c>
      <c r="G138" t="s">
        <v>92</v>
      </c>
      <c r="H138">
        <v>13.5</v>
      </c>
      <c r="I138">
        <v>0</v>
      </c>
      <c r="J138">
        <v>13.5</v>
      </c>
      <c r="K138">
        <v>13.5</v>
      </c>
      <c r="L138">
        <v>0</v>
      </c>
      <c r="M138">
        <v>13.5</v>
      </c>
      <c r="N138">
        <v>0</v>
      </c>
    </row>
    <row r="139" spans="1:16" x14ac:dyDescent="0.2">
      <c r="A139" t="s">
        <v>196</v>
      </c>
      <c r="B139" t="s">
        <v>197</v>
      </c>
      <c r="C139">
        <v>0</v>
      </c>
      <c r="D139">
        <v>0</v>
      </c>
      <c r="E139">
        <v>0</v>
      </c>
      <c r="F139">
        <v>0</v>
      </c>
      <c r="H139">
        <v>0</v>
      </c>
      <c r="I139">
        <v>5.5</v>
      </c>
      <c r="J139">
        <v>0.6875</v>
      </c>
      <c r="K139">
        <v>0.6875</v>
      </c>
      <c r="L139">
        <v>0</v>
      </c>
      <c r="M139">
        <v>0</v>
      </c>
      <c r="N139">
        <v>5.5</v>
      </c>
    </row>
    <row r="140" spans="1:16" x14ac:dyDescent="0.2">
      <c r="A140" t="s">
        <v>196</v>
      </c>
      <c r="B140" t="s">
        <v>198</v>
      </c>
      <c r="C140">
        <v>0</v>
      </c>
      <c r="D140">
        <v>0</v>
      </c>
      <c r="E140">
        <v>0</v>
      </c>
      <c r="F140">
        <v>0</v>
      </c>
      <c r="G140" t="s">
        <v>90</v>
      </c>
      <c r="H140">
        <v>65</v>
      </c>
      <c r="I140">
        <v>3</v>
      </c>
      <c r="J140">
        <v>65.375</v>
      </c>
      <c r="K140">
        <v>65.375</v>
      </c>
      <c r="L140">
        <v>0</v>
      </c>
      <c r="M140">
        <v>65</v>
      </c>
      <c r="N140">
        <v>3</v>
      </c>
    </row>
    <row r="141" spans="1:16" x14ac:dyDescent="0.2">
      <c r="A141" t="s">
        <v>196</v>
      </c>
      <c r="B141" t="s">
        <v>199</v>
      </c>
      <c r="C141">
        <v>0</v>
      </c>
      <c r="D141">
        <v>0</v>
      </c>
      <c r="E141">
        <v>0</v>
      </c>
      <c r="F141">
        <v>0</v>
      </c>
      <c r="H141">
        <v>24</v>
      </c>
      <c r="I141">
        <v>1</v>
      </c>
      <c r="J141">
        <v>24.125</v>
      </c>
      <c r="K141">
        <v>24.125</v>
      </c>
      <c r="L141">
        <v>0</v>
      </c>
      <c r="M141">
        <v>24</v>
      </c>
      <c r="N141">
        <v>1</v>
      </c>
    </row>
    <row r="142" spans="1:16" x14ac:dyDescent="0.2">
      <c r="A142" t="s">
        <v>196</v>
      </c>
      <c r="B142" t="s">
        <v>200</v>
      </c>
      <c r="C142">
        <v>0</v>
      </c>
      <c r="D142">
        <v>0</v>
      </c>
      <c r="E142">
        <v>0</v>
      </c>
      <c r="F142">
        <v>0</v>
      </c>
      <c r="H142">
        <v>5</v>
      </c>
      <c r="I142">
        <v>0</v>
      </c>
      <c r="J142">
        <v>5</v>
      </c>
      <c r="K142">
        <v>5</v>
      </c>
      <c r="L142">
        <v>0</v>
      </c>
      <c r="M142">
        <v>5</v>
      </c>
      <c r="N142">
        <v>0</v>
      </c>
    </row>
    <row r="143" spans="1:16" x14ac:dyDescent="0.2">
      <c r="A143" t="s">
        <v>196</v>
      </c>
      <c r="B143" t="s">
        <v>201</v>
      </c>
      <c r="C143">
        <v>0</v>
      </c>
      <c r="D143">
        <v>0</v>
      </c>
      <c r="E143">
        <v>0</v>
      </c>
      <c r="F143">
        <v>0</v>
      </c>
      <c r="G143" t="s">
        <v>92</v>
      </c>
      <c r="H143">
        <v>32.5</v>
      </c>
      <c r="I143">
        <v>1</v>
      </c>
      <c r="J143">
        <v>32.625</v>
      </c>
      <c r="K143">
        <v>8.625</v>
      </c>
      <c r="L143">
        <v>24</v>
      </c>
      <c r="M143">
        <v>8</v>
      </c>
      <c r="N143">
        <v>5</v>
      </c>
      <c r="O143">
        <v>32.5</v>
      </c>
      <c r="P143">
        <v>1</v>
      </c>
    </row>
    <row r="144" spans="1:16" x14ac:dyDescent="0.2">
      <c r="A144" t="s">
        <v>202</v>
      </c>
      <c r="B144" t="s">
        <v>203</v>
      </c>
      <c r="C144">
        <v>0</v>
      </c>
      <c r="D144">
        <v>0</v>
      </c>
      <c r="E144">
        <v>0</v>
      </c>
      <c r="F144">
        <v>0</v>
      </c>
      <c r="H144">
        <v>0</v>
      </c>
      <c r="I144">
        <v>7</v>
      </c>
      <c r="J144">
        <v>0.875</v>
      </c>
      <c r="K144">
        <v>0.875</v>
      </c>
      <c r="L144">
        <v>0</v>
      </c>
      <c r="M144">
        <v>0</v>
      </c>
      <c r="N144">
        <v>7</v>
      </c>
    </row>
    <row r="145" spans="1:16" x14ac:dyDescent="0.2">
      <c r="A145" t="s">
        <v>202</v>
      </c>
      <c r="B145" t="s">
        <v>204</v>
      </c>
      <c r="C145">
        <v>0</v>
      </c>
      <c r="D145">
        <v>0</v>
      </c>
      <c r="E145">
        <v>0</v>
      </c>
      <c r="F145">
        <v>0</v>
      </c>
      <c r="G145" t="s">
        <v>125</v>
      </c>
      <c r="H145">
        <v>2</v>
      </c>
      <c r="I145">
        <v>7</v>
      </c>
      <c r="J145">
        <v>2.875</v>
      </c>
      <c r="K145">
        <v>2.875</v>
      </c>
      <c r="L145">
        <v>0</v>
      </c>
      <c r="M145">
        <v>2</v>
      </c>
      <c r="N145">
        <v>7</v>
      </c>
    </row>
    <row r="146" spans="1:16" x14ac:dyDescent="0.2">
      <c r="A146" t="s">
        <v>202</v>
      </c>
      <c r="B146" t="s">
        <v>205</v>
      </c>
      <c r="C146">
        <v>0</v>
      </c>
      <c r="D146">
        <v>0</v>
      </c>
      <c r="E146">
        <v>0</v>
      </c>
      <c r="F146">
        <v>0</v>
      </c>
      <c r="G146" t="s">
        <v>125</v>
      </c>
      <c r="H146">
        <v>6</v>
      </c>
      <c r="I146">
        <v>0</v>
      </c>
      <c r="J146">
        <v>6</v>
      </c>
      <c r="K146">
        <v>6</v>
      </c>
      <c r="L146">
        <v>0</v>
      </c>
      <c r="M146">
        <v>6</v>
      </c>
      <c r="N146">
        <v>0</v>
      </c>
    </row>
    <row r="147" spans="1:16" x14ac:dyDescent="0.2">
      <c r="A147" t="s">
        <v>202</v>
      </c>
      <c r="B147" t="s">
        <v>206</v>
      </c>
      <c r="C147">
        <v>0</v>
      </c>
      <c r="D147">
        <v>0</v>
      </c>
      <c r="E147">
        <v>0</v>
      </c>
      <c r="F147">
        <v>0</v>
      </c>
      <c r="H147">
        <v>2.5</v>
      </c>
      <c r="I147">
        <v>0</v>
      </c>
      <c r="J147">
        <v>2.5</v>
      </c>
      <c r="K147">
        <v>2.5</v>
      </c>
      <c r="L147">
        <v>0</v>
      </c>
      <c r="M147">
        <v>2.5</v>
      </c>
      <c r="N147">
        <v>0</v>
      </c>
    </row>
    <row r="148" spans="1:16" x14ac:dyDescent="0.2">
      <c r="A148" t="s">
        <v>202</v>
      </c>
      <c r="B148" t="s">
        <v>207</v>
      </c>
      <c r="C148">
        <v>0</v>
      </c>
      <c r="D148">
        <v>0</v>
      </c>
      <c r="E148">
        <v>0</v>
      </c>
      <c r="F148">
        <v>0</v>
      </c>
      <c r="H148">
        <v>11</v>
      </c>
      <c r="I148">
        <v>3</v>
      </c>
      <c r="J148">
        <v>11.375</v>
      </c>
      <c r="K148">
        <v>11.375</v>
      </c>
      <c r="L148">
        <v>0</v>
      </c>
      <c r="M148">
        <v>11</v>
      </c>
      <c r="N148">
        <v>3</v>
      </c>
    </row>
    <row r="149" spans="1:16" x14ac:dyDescent="0.2">
      <c r="A149" t="s">
        <v>202</v>
      </c>
      <c r="B149" t="s">
        <v>208</v>
      </c>
      <c r="C149">
        <v>0</v>
      </c>
      <c r="D149">
        <v>0</v>
      </c>
      <c r="E149">
        <v>0</v>
      </c>
      <c r="F149">
        <v>0</v>
      </c>
      <c r="H149">
        <v>2</v>
      </c>
      <c r="I149">
        <v>2</v>
      </c>
      <c r="J149">
        <v>2.25</v>
      </c>
      <c r="K149">
        <v>2.25</v>
      </c>
      <c r="L149">
        <v>0</v>
      </c>
      <c r="M149">
        <v>2</v>
      </c>
      <c r="N149">
        <v>2</v>
      </c>
    </row>
    <row r="150" spans="1:16" x14ac:dyDescent="0.2">
      <c r="A150" t="s">
        <v>202</v>
      </c>
      <c r="B150" t="s">
        <v>209</v>
      </c>
      <c r="C150">
        <v>0</v>
      </c>
      <c r="D150">
        <v>0</v>
      </c>
      <c r="E150">
        <v>0</v>
      </c>
      <c r="F150">
        <v>0</v>
      </c>
      <c r="H150">
        <v>0</v>
      </c>
      <c r="I150">
        <v>6</v>
      </c>
      <c r="J150">
        <v>0.75</v>
      </c>
      <c r="K150">
        <v>0.75</v>
      </c>
      <c r="L150">
        <v>0</v>
      </c>
      <c r="M150">
        <v>0</v>
      </c>
      <c r="N150">
        <v>6</v>
      </c>
    </row>
    <row r="151" spans="1:16" x14ac:dyDescent="0.2">
      <c r="A151" t="s">
        <v>202</v>
      </c>
      <c r="B151" t="s">
        <v>210</v>
      </c>
      <c r="C151">
        <v>0</v>
      </c>
      <c r="D151">
        <v>0</v>
      </c>
      <c r="E151">
        <v>0</v>
      </c>
      <c r="F151">
        <v>0</v>
      </c>
      <c r="H151">
        <v>1</v>
      </c>
      <c r="I151">
        <v>0</v>
      </c>
      <c r="J151">
        <v>1</v>
      </c>
      <c r="K151">
        <v>6</v>
      </c>
      <c r="L151">
        <v>-5</v>
      </c>
      <c r="M151">
        <v>6</v>
      </c>
      <c r="N151">
        <v>0</v>
      </c>
      <c r="O151">
        <v>1</v>
      </c>
      <c r="P151">
        <v>0</v>
      </c>
    </row>
    <row r="152" spans="1:16" x14ac:dyDescent="0.2">
      <c r="A152" t="s">
        <v>202</v>
      </c>
      <c r="B152" t="s">
        <v>120</v>
      </c>
      <c r="C152">
        <v>0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6" x14ac:dyDescent="0.2">
      <c r="A153" t="s">
        <v>202</v>
      </c>
      <c r="B153" t="s">
        <v>211</v>
      </c>
      <c r="C153">
        <v>0</v>
      </c>
      <c r="D153">
        <v>0</v>
      </c>
      <c r="E153">
        <v>0</v>
      </c>
      <c r="F153">
        <v>0</v>
      </c>
      <c r="H153">
        <v>3</v>
      </c>
      <c r="I153">
        <v>1</v>
      </c>
      <c r="J153">
        <v>3.125</v>
      </c>
      <c r="K153">
        <v>3.125</v>
      </c>
      <c r="L153">
        <v>0</v>
      </c>
      <c r="M153">
        <v>3</v>
      </c>
      <c r="N153">
        <v>1</v>
      </c>
    </row>
    <row r="154" spans="1:16" x14ac:dyDescent="0.2">
      <c r="A154" t="s">
        <v>212</v>
      </c>
      <c r="B154" t="s">
        <v>213</v>
      </c>
      <c r="C154">
        <v>0</v>
      </c>
      <c r="D154">
        <v>0</v>
      </c>
      <c r="E154">
        <v>0</v>
      </c>
      <c r="F154">
        <v>0</v>
      </c>
      <c r="H154">
        <v>1.5</v>
      </c>
      <c r="I154">
        <v>3</v>
      </c>
      <c r="J154">
        <v>1.875</v>
      </c>
      <c r="K154">
        <v>1.875</v>
      </c>
      <c r="L154">
        <v>0</v>
      </c>
      <c r="M154">
        <v>1.5</v>
      </c>
      <c r="N154">
        <v>3</v>
      </c>
    </row>
    <row r="155" spans="1:16" x14ac:dyDescent="0.2">
      <c r="A155" t="s">
        <v>212</v>
      </c>
      <c r="B155" t="s">
        <v>214</v>
      </c>
      <c r="C155">
        <v>0</v>
      </c>
      <c r="D155">
        <v>0</v>
      </c>
      <c r="E155">
        <v>0</v>
      </c>
      <c r="F155">
        <v>0</v>
      </c>
      <c r="H155">
        <v>11</v>
      </c>
      <c r="I155">
        <v>5</v>
      </c>
      <c r="J155">
        <v>11.625</v>
      </c>
      <c r="K155">
        <v>11.625</v>
      </c>
      <c r="L155">
        <v>0</v>
      </c>
      <c r="M155">
        <v>11</v>
      </c>
      <c r="N155">
        <v>5</v>
      </c>
    </row>
    <row r="156" spans="1:16" x14ac:dyDescent="0.2">
      <c r="A156" t="s">
        <v>212</v>
      </c>
      <c r="B156" t="s">
        <v>215</v>
      </c>
      <c r="C156">
        <v>0</v>
      </c>
      <c r="D156">
        <v>0</v>
      </c>
      <c r="E156">
        <v>0</v>
      </c>
      <c r="F156">
        <v>0</v>
      </c>
      <c r="G156" t="s">
        <v>92</v>
      </c>
      <c r="H156">
        <v>10</v>
      </c>
      <c r="I156">
        <v>1</v>
      </c>
      <c r="J156">
        <v>10.125</v>
      </c>
      <c r="K156">
        <v>10.125</v>
      </c>
      <c r="L156">
        <v>0</v>
      </c>
      <c r="M156">
        <v>10</v>
      </c>
      <c r="N156">
        <v>1</v>
      </c>
    </row>
    <row r="157" spans="1:16" x14ac:dyDescent="0.2">
      <c r="A157" t="s">
        <v>212</v>
      </c>
      <c r="B157" t="s">
        <v>216</v>
      </c>
      <c r="C157">
        <v>0</v>
      </c>
      <c r="D157">
        <v>0</v>
      </c>
      <c r="E157">
        <v>0</v>
      </c>
      <c r="F157">
        <v>0</v>
      </c>
      <c r="G157" t="s">
        <v>217</v>
      </c>
      <c r="H157">
        <v>13.5</v>
      </c>
      <c r="I157">
        <v>0</v>
      </c>
      <c r="J157">
        <v>13.5</v>
      </c>
      <c r="K157">
        <v>13.5</v>
      </c>
      <c r="L157">
        <v>0</v>
      </c>
      <c r="M157">
        <v>13.5</v>
      </c>
      <c r="N157">
        <v>0</v>
      </c>
    </row>
    <row r="158" spans="1:16" x14ac:dyDescent="0.2">
      <c r="A158" t="s">
        <v>212</v>
      </c>
      <c r="B158" t="s">
        <v>218</v>
      </c>
      <c r="C158">
        <v>0</v>
      </c>
      <c r="D158">
        <v>0</v>
      </c>
      <c r="E158">
        <v>0</v>
      </c>
      <c r="F158">
        <v>0</v>
      </c>
      <c r="G158" t="s">
        <v>90</v>
      </c>
      <c r="H158">
        <v>8</v>
      </c>
      <c r="I158">
        <v>5</v>
      </c>
      <c r="J158">
        <v>8.625</v>
      </c>
      <c r="K158">
        <v>8.625</v>
      </c>
      <c r="L158">
        <v>0</v>
      </c>
      <c r="M158">
        <v>8</v>
      </c>
      <c r="N158">
        <v>5</v>
      </c>
    </row>
    <row r="159" spans="1:16" x14ac:dyDescent="0.2">
      <c r="A159" t="s">
        <v>212</v>
      </c>
      <c r="B159" t="s">
        <v>219</v>
      </c>
      <c r="C159">
        <v>0</v>
      </c>
      <c r="D159">
        <v>0</v>
      </c>
      <c r="E159">
        <v>0</v>
      </c>
      <c r="F159">
        <v>0</v>
      </c>
      <c r="H159">
        <v>43</v>
      </c>
      <c r="I159">
        <v>7</v>
      </c>
      <c r="J159">
        <v>43.875</v>
      </c>
      <c r="K159">
        <v>43.875</v>
      </c>
      <c r="L159">
        <v>0</v>
      </c>
      <c r="M159">
        <v>43</v>
      </c>
      <c r="N159">
        <v>7</v>
      </c>
    </row>
    <row r="160" spans="1:16" x14ac:dyDescent="0.2">
      <c r="A160" t="s">
        <v>212</v>
      </c>
      <c r="B160" t="s">
        <v>220</v>
      </c>
      <c r="C160">
        <v>0</v>
      </c>
      <c r="D160">
        <v>0</v>
      </c>
      <c r="E160">
        <v>0</v>
      </c>
      <c r="F160">
        <v>0</v>
      </c>
      <c r="H160">
        <v>5</v>
      </c>
      <c r="I160">
        <v>1</v>
      </c>
      <c r="J160">
        <v>5.125</v>
      </c>
      <c r="K160">
        <v>5.125</v>
      </c>
      <c r="L160">
        <v>0</v>
      </c>
      <c r="M160">
        <v>5</v>
      </c>
      <c r="N160">
        <v>1</v>
      </c>
    </row>
    <row r="161" spans="1:20" x14ac:dyDescent="0.2">
      <c r="A161" t="s">
        <v>212</v>
      </c>
      <c r="B161" t="s">
        <v>221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5</v>
      </c>
      <c r="J161">
        <v>0.625</v>
      </c>
      <c r="K161">
        <v>0.375</v>
      </c>
      <c r="L161">
        <v>0.25</v>
      </c>
      <c r="M161">
        <v>0</v>
      </c>
      <c r="N161">
        <v>3</v>
      </c>
      <c r="O161">
        <v>0</v>
      </c>
      <c r="P161">
        <v>5</v>
      </c>
    </row>
    <row r="162" spans="1:20" x14ac:dyDescent="0.2">
      <c r="A162" t="s">
        <v>212</v>
      </c>
      <c r="B162" t="s">
        <v>222</v>
      </c>
      <c r="C162">
        <v>0</v>
      </c>
      <c r="D162">
        <v>0</v>
      </c>
      <c r="E162">
        <v>0</v>
      </c>
      <c r="F162">
        <v>0</v>
      </c>
      <c r="H162">
        <v>26</v>
      </c>
      <c r="I162">
        <v>0</v>
      </c>
      <c r="J162">
        <v>26</v>
      </c>
      <c r="K162">
        <v>26</v>
      </c>
      <c r="L162">
        <v>0</v>
      </c>
      <c r="M162">
        <v>26</v>
      </c>
      <c r="N162">
        <v>0</v>
      </c>
    </row>
    <row r="163" spans="1:20" x14ac:dyDescent="0.2">
      <c r="A163" t="s">
        <v>212</v>
      </c>
      <c r="B163" t="s">
        <v>223</v>
      </c>
      <c r="C163">
        <v>0</v>
      </c>
      <c r="D163">
        <v>0</v>
      </c>
      <c r="E163">
        <v>0</v>
      </c>
      <c r="F163">
        <v>0</v>
      </c>
      <c r="H163">
        <v>8</v>
      </c>
      <c r="I163">
        <v>3.5</v>
      </c>
      <c r="J163">
        <v>8.4375</v>
      </c>
      <c r="K163">
        <v>4.3125</v>
      </c>
      <c r="L163">
        <v>4.125</v>
      </c>
      <c r="M163">
        <v>4</v>
      </c>
      <c r="N163">
        <v>2.5</v>
      </c>
      <c r="O163">
        <v>5</v>
      </c>
      <c r="P163">
        <v>1.5</v>
      </c>
      <c r="Q163">
        <v>2</v>
      </c>
      <c r="R163">
        <v>2</v>
      </c>
      <c r="S163">
        <v>1</v>
      </c>
      <c r="T163">
        <v>0</v>
      </c>
    </row>
    <row r="164" spans="1:20" x14ac:dyDescent="0.2">
      <c r="A164" t="s">
        <v>224</v>
      </c>
      <c r="B164" t="s">
        <v>225</v>
      </c>
      <c r="C164">
        <v>0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20" x14ac:dyDescent="0.2">
      <c r="A165" t="s">
        <v>224</v>
      </c>
      <c r="B165" t="s">
        <v>226</v>
      </c>
      <c r="C165">
        <v>0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20" x14ac:dyDescent="0.2">
      <c r="A166" t="s">
        <v>224</v>
      </c>
      <c r="B166" t="s">
        <v>227</v>
      </c>
      <c r="C166">
        <v>0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20" x14ac:dyDescent="0.2">
      <c r="A167" t="s">
        <v>224</v>
      </c>
      <c r="B167" t="s">
        <v>228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20" x14ac:dyDescent="0.2">
      <c r="A168" t="s">
        <v>224</v>
      </c>
      <c r="B168" t="s">
        <v>229</v>
      </c>
      <c r="C168">
        <v>0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20" x14ac:dyDescent="0.2">
      <c r="A169" t="s">
        <v>224</v>
      </c>
      <c r="B169" t="s">
        <v>230</v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20" x14ac:dyDescent="0.2">
      <c r="A170" t="s">
        <v>224</v>
      </c>
      <c r="B170" t="s">
        <v>231</v>
      </c>
      <c r="C170">
        <v>0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20" x14ac:dyDescent="0.2">
      <c r="A171" t="s">
        <v>224</v>
      </c>
      <c r="B171" t="s">
        <v>232</v>
      </c>
      <c r="C171">
        <v>0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20" x14ac:dyDescent="0.2">
      <c r="A172" t="s">
        <v>224</v>
      </c>
      <c r="B172" t="s">
        <v>233</v>
      </c>
      <c r="C172">
        <v>0</v>
      </c>
      <c r="D172">
        <v>0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20" x14ac:dyDescent="0.2">
      <c r="A173" t="s">
        <v>224</v>
      </c>
      <c r="B173" t="s">
        <v>234</v>
      </c>
      <c r="C173">
        <v>0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20" x14ac:dyDescent="0.2">
      <c r="A174" t="s">
        <v>224</v>
      </c>
      <c r="B174" t="s">
        <v>235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20" x14ac:dyDescent="0.2">
      <c r="A175" t="s">
        <v>224</v>
      </c>
      <c r="B175" t="s">
        <v>236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20" x14ac:dyDescent="0.2">
      <c r="A176" t="s">
        <v>224</v>
      </c>
      <c r="B176" t="s">
        <v>237</v>
      </c>
      <c r="C176">
        <v>0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224</v>
      </c>
      <c r="B177" t="s">
        <v>238</v>
      </c>
      <c r="C177">
        <v>0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224</v>
      </c>
      <c r="B178" t="s">
        <v>239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224</v>
      </c>
      <c r="B179" t="s">
        <v>240</v>
      </c>
      <c r="C179">
        <v>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224</v>
      </c>
      <c r="B180" t="s">
        <v>241</v>
      </c>
      <c r="C180">
        <v>0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224</v>
      </c>
      <c r="B181" t="s">
        <v>242</v>
      </c>
      <c r="C181">
        <v>0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224</v>
      </c>
      <c r="B182" t="s">
        <v>243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224</v>
      </c>
      <c r="B183" t="s">
        <v>244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224</v>
      </c>
      <c r="B184" t="s">
        <v>245</v>
      </c>
      <c r="C184">
        <v>0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224</v>
      </c>
      <c r="B185" t="s">
        <v>246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224</v>
      </c>
      <c r="B186" t="s">
        <v>247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224</v>
      </c>
      <c r="B187" t="s">
        <v>248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224</v>
      </c>
      <c r="B188" t="s">
        <v>249</v>
      </c>
      <c r="C188">
        <v>0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224</v>
      </c>
      <c r="B189" t="s">
        <v>250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224</v>
      </c>
      <c r="B190" t="s">
        <v>251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224</v>
      </c>
      <c r="B191" t="s">
        <v>252</v>
      </c>
      <c r="C191">
        <v>0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224</v>
      </c>
      <c r="B192" t="s">
        <v>253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224</v>
      </c>
      <c r="B193" t="s">
        <v>254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224</v>
      </c>
      <c r="B194" t="s">
        <v>255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224</v>
      </c>
      <c r="B195" t="s">
        <v>256</v>
      </c>
      <c r="C195">
        <v>0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224</v>
      </c>
      <c r="B196" t="s">
        <v>257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224</v>
      </c>
      <c r="B197" t="s">
        <v>256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224</v>
      </c>
      <c r="B198" t="s">
        <v>258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224</v>
      </c>
      <c r="B199" t="s">
        <v>259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224</v>
      </c>
      <c r="B200" t="s">
        <v>260</v>
      </c>
      <c r="C200">
        <v>0</v>
      </c>
      <c r="D200">
        <v>0</v>
      </c>
      <c r="E200">
        <v>0</v>
      </c>
      <c r="F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224</v>
      </c>
      <c r="B201" t="s">
        <v>261</v>
      </c>
      <c r="C201">
        <v>0.2</v>
      </c>
      <c r="D201">
        <v>0</v>
      </c>
      <c r="E201">
        <v>4</v>
      </c>
      <c r="F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224</v>
      </c>
      <c r="B202" t="s">
        <v>262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224</v>
      </c>
      <c r="B203" t="s">
        <v>263</v>
      </c>
      <c r="C203">
        <v>0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224</v>
      </c>
      <c r="B204" t="s">
        <v>264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224</v>
      </c>
      <c r="B205" t="s">
        <v>260</v>
      </c>
      <c r="C205">
        <v>0</v>
      </c>
      <c r="D205">
        <v>0</v>
      </c>
      <c r="E205">
        <v>0</v>
      </c>
      <c r="F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224</v>
      </c>
      <c r="B206" t="s">
        <v>265</v>
      </c>
      <c r="C206">
        <v>0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t="s">
        <v>224</v>
      </c>
      <c r="B207" t="s">
        <v>266</v>
      </c>
      <c r="C207">
        <v>0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224</v>
      </c>
      <c r="B208" t="s">
        <v>267</v>
      </c>
      <c r="C208">
        <v>0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224</v>
      </c>
      <c r="B209" t="s">
        <v>268</v>
      </c>
      <c r="C209">
        <v>0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224</v>
      </c>
      <c r="B210" t="s">
        <v>269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224</v>
      </c>
      <c r="B211" t="s">
        <v>270</v>
      </c>
      <c r="C211">
        <v>0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224</v>
      </c>
      <c r="B212" t="s">
        <v>271</v>
      </c>
      <c r="C212">
        <v>0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224</v>
      </c>
      <c r="B213" t="s">
        <v>272</v>
      </c>
      <c r="C213">
        <v>0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224</v>
      </c>
      <c r="B214" t="s">
        <v>270</v>
      </c>
      <c r="C214">
        <v>0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224</v>
      </c>
      <c r="B215" t="s">
        <v>273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224</v>
      </c>
      <c r="B216" t="s">
        <v>272</v>
      </c>
      <c r="C216">
        <v>0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224</v>
      </c>
      <c r="B217" t="s">
        <v>274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224</v>
      </c>
      <c r="B218" t="s">
        <v>275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6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317</v>
      </c>
      <c r="W1" s="1" t="s">
        <v>318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319</v>
      </c>
      <c r="AD1" s="1" t="s">
        <v>320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</row>
    <row r="2" spans="1:36" x14ac:dyDescent="0.2">
      <c r="A2" t="s">
        <v>177</v>
      </c>
      <c r="B2" t="s">
        <v>277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6" x14ac:dyDescent="0.2">
      <c r="A3" t="s">
        <v>180</v>
      </c>
      <c r="B3" t="s">
        <v>181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2</v>
      </c>
      <c r="Z3">
        <v>4.25</v>
      </c>
      <c r="AA3">
        <v>4.25</v>
      </c>
      <c r="AB3">
        <v>0</v>
      </c>
      <c r="AC3">
        <v>4</v>
      </c>
      <c r="AD3">
        <v>2</v>
      </c>
    </row>
    <row r="4" spans="1:36" x14ac:dyDescent="0.2">
      <c r="A4" t="s">
        <v>180</v>
      </c>
      <c r="B4" t="s">
        <v>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6" x14ac:dyDescent="0.2">
      <c r="A5" t="s">
        <v>180</v>
      </c>
      <c r="B5" t="s">
        <v>183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6" x14ac:dyDescent="0.2">
      <c r="A6" t="s">
        <v>180</v>
      </c>
      <c r="B6" t="s">
        <v>184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64</v>
      </c>
      <c r="U6">
        <v>6</v>
      </c>
      <c r="V6">
        <v>64.75</v>
      </c>
      <c r="W6">
        <v>0</v>
      </c>
      <c r="X6">
        <v>64</v>
      </c>
      <c r="Y6">
        <v>6</v>
      </c>
      <c r="Z6">
        <v>64.75</v>
      </c>
      <c r="AA6">
        <v>64.75</v>
      </c>
      <c r="AB6">
        <v>0</v>
      </c>
      <c r="AC6">
        <v>64</v>
      </c>
      <c r="AD6">
        <v>6</v>
      </c>
    </row>
    <row r="7" spans="1:36" x14ac:dyDescent="0.2">
      <c r="A7" t="s">
        <v>180</v>
      </c>
      <c r="B7" t="s">
        <v>185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7.5</v>
      </c>
      <c r="Y7">
        <v>0</v>
      </c>
      <c r="Z7">
        <v>7.5</v>
      </c>
      <c r="AA7">
        <v>7.5</v>
      </c>
      <c r="AB7">
        <v>0</v>
      </c>
      <c r="AC7">
        <v>7.5</v>
      </c>
      <c r="AD7">
        <v>0</v>
      </c>
    </row>
    <row r="8" spans="1:36" x14ac:dyDescent="0.2">
      <c r="A8" t="s">
        <v>180</v>
      </c>
      <c r="B8" t="s">
        <v>186</v>
      </c>
      <c r="C8">
        <v>0</v>
      </c>
      <c r="D8">
        <v>0</v>
      </c>
      <c r="E8">
        <v>0</v>
      </c>
      <c r="F8">
        <v>0</v>
      </c>
      <c r="G8">
        <v>0</v>
      </c>
      <c r="H8">
        <v>20</v>
      </c>
      <c r="I8">
        <v>1</v>
      </c>
      <c r="J8">
        <v>20.125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20</v>
      </c>
      <c r="Y8">
        <v>1</v>
      </c>
      <c r="Z8">
        <v>20.125</v>
      </c>
      <c r="AA8">
        <v>20.125</v>
      </c>
      <c r="AB8">
        <v>0</v>
      </c>
      <c r="AC8">
        <v>20</v>
      </c>
      <c r="AD8">
        <v>1</v>
      </c>
    </row>
    <row r="9" spans="1:36" x14ac:dyDescent="0.2">
      <c r="A9" t="s">
        <v>180</v>
      </c>
      <c r="B9" t="s">
        <v>187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92</v>
      </c>
      <c r="Y9">
        <v>3</v>
      </c>
      <c r="Z9">
        <v>92.375</v>
      </c>
      <c r="AA9">
        <v>92.375</v>
      </c>
      <c r="AB9">
        <v>0</v>
      </c>
      <c r="AC9">
        <v>92</v>
      </c>
      <c r="AD9">
        <v>3</v>
      </c>
    </row>
    <row r="10" spans="1:36" x14ac:dyDescent="0.2">
      <c r="A10" t="s">
        <v>180</v>
      </c>
      <c r="B10" t="s">
        <v>188</v>
      </c>
      <c r="C10">
        <v>0</v>
      </c>
      <c r="D10">
        <v>0</v>
      </c>
      <c r="E10">
        <v>35</v>
      </c>
      <c r="F10">
        <v>1</v>
      </c>
      <c r="G10">
        <v>35.125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35</v>
      </c>
      <c r="Y10">
        <v>1</v>
      </c>
      <c r="Z10">
        <v>35.125</v>
      </c>
      <c r="AA10">
        <v>35.125</v>
      </c>
      <c r="AB10">
        <v>0</v>
      </c>
      <c r="AC10">
        <v>35</v>
      </c>
      <c r="AD10">
        <v>1</v>
      </c>
    </row>
    <row r="11" spans="1:36" x14ac:dyDescent="0.2">
      <c r="A11" t="s">
        <v>180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0.125</v>
      </c>
      <c r="AA11">
        <v>0.375</v>
      </c>
      <c r="AB11">
        <v>-0.25</v>
      </c>
      <c r="AC11">
        <v>0</v>
      </c>
      <c r="AD11">
        <v>3</v>
      </c>
      <c r="AE11">
        <v>0</v>
      </c>
      <c r="AF11">
        <v>1</v>
      </c>
    </row>
    <row r="12" spans="1:36" x14ac:dyDescent="0.2">
      <c r="A12" t="s">
        <v>180</v>
      </c>
      <c r="B12" t="s">
        <v>120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6" x14ac:dyDescent="0.2">
      <c r="A13" t="s">
        <v>180</v>
      </c>
      <c r="B13" t="s">
        <v>321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6" x14ac:dyDescent="0.2">
      <c r="A14" t="s">
        <v>180</v>
      </c>
      <c r="B14" t="s">
        <v>322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6" x14ac:dyDescent="0.2">
      <c r="A15" t="s">
        <v>180</v>
      </c>
      <c r="B15" t="s">
        <v>192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48</v>
      </c>
      <c r="R15">
        <v>6</v>
      </c>
      <c r="S15">
        <v>48.75</v>
      </c>
      <c r="T15">
        <v>0</v>
      </c>
      <c r="U15">
        <v>0</v>
      </c>
      <c r="V15">
        <v>0</v>
      </c>
      <c r="W15">
        <v>0</v>
      </c>
      <c r="X15">
        <v>48</v>
      </c>
      <c r="Y15">
        <v>6</v>
      </c>
      <c r="Z15">
        <v>48.75</v>
      </c>
      <c r="AA15">
        <v>48.75</v>
      </c>
      <c r="AB15">
        <v>0</v>
      </c>
      <c r="AC15">
        <v>48</v>
      </c>
      <c r="AD15">
        <v>6</v>
      </c>
    </row>
    <row r="16" spans="1:36" x14ac:dyDescent="0.2">
      <c r="A16" t="s">
        <v>180</v>
      </c>
      <c r="B16" t="s">
        <v>277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32" x14ac:dyDescent="0.2">
      <c r="A17" t="s">
        <v>193</v>
      </c>
      <c r="B17" t="s">
        <v>194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13.5</v>
      </c>
      <c r="U17">
        <v>0</v>
      </c>
      <c r="V17">
        <v>13.5</v>
      </c>
      <c r="W17">
        <v>0</v>
      </c>
      <c r="X17">
        <v>13.5</v>
      </c>
      <c r="Y17">
        <v>0</v>
      </c>
      <c r="Z17">
        <v>13.5</v>
      </c>
      <c r="AA17">
        <v>13.5</v>
      </c>
      <c r="AB17">
        <v>0</v>
      </c>
      <c r="AC17">
        <v>13.5</v>
      </c>
      <c r="AD17">
        <v>0</v>
      </c>
    </row>
    <row r="18" spans="1:32" x14ac:dyDescent="0.2">
      <c r="A18" t="s">
        <v>193</v>
      </c>
      <c r="B18" t="s">
        <v>195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13.5</v>
      </c>
      <c r="O18">
        <v>0</v>
      </c>
      <c r="P18">
        <v>13.5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13.5</v>
      </c>
      <c r="Y18">
        <v>0</v>
      </c>
      <c r="Z18">
        <v>13.5</v>
      </c>
      <c r="AA18">
        <v>13.5</v>
      </c>
      <c r="AB18">
        <v>0</v>
      </c>
      <c r="AC18">
        <v>13.5</v>
      </c>
      <c r="AD18">
        <v>0</v>
      </c>
    </row>
    <row r="19" spans="1:32" x14ac:dyDescent="0.2">
      <c r="A19" t="s">
        <v>193</v>
      </c>
      <c r="B19" t="s">
        <v>277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32" x14ac:dyDescent="0.2">
      <c r="A20" t="s">
        <v>196</v>
      </c>
      <c r="B20" t="s">
        <v>197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5.5</v>
      </c>
      <c r="Z20">
        <v>0.6875</v>
      </c>
      <c r="AA20">
        <v>0.6875</v>
      </c>
      <c r="AB20">
        <v>0</v>
      </c>
      <c r="AC20">
        <v>0</v>
      </c>
      <c r="AD20">
        <v>5.5</v>
      </c>
    </row>
    <row r="21" spans="1:32" x14ac:dyDescent="0.2">
      <c r="A21" t="s">
        <v>196</v>
      </c>
      <c r="B21" t="s">
        <v>198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65</v>
      </c>
      <c r="U21">
        <v>3</v>
      </c>
      <c r="V21">
        <v>65.375</v>
      </c>
      <c r="W21">
        <v>0</v>
      </c>
      <c r="X21">
        <v>65</v>
      </c>
      <c r="Y21">
        <v>3</v>
      </c>
      <c r="Z21">
        <v>65.375</v>
      </c>
      <c r="AA21">
        <v>65.375</v>
      </c>
      <c r="AB21">
        <v>0</v>
      </c>
      <c r="AC21">
        <v>65</v>
      </c>
      <c r="AD21">
        <v>3</v>
      </c>
    </row>
    <row r="22" spans="1:32" x14ac:dyDescent="0.2">
      <c r="A22" t="s">
        <v>196</v>
      </c>
      <c r="B22" t="s">
        <v>199</v>
      </c>
      <c r="C22">
        <v>0</v>
      </c>
      <c r="D22">
        <v>0</v>
      </c>
      <c r="E22">
        <v>24</v>
      </c>
      <c r="F22">
        <v>1</v>
      </c>
      <c r="G22">
        <v>24.125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24</v>
      </c>
      <c r="Y22">
        <v>1</v>
      </c>
      <c r="Z22">
        <v>24.125</v>
      </c>
      <c r="AA22">
        <v>24.125</v>
      </c>
      <c r="AB22">
        <v>0</v>
      </c>
      <c r="AC22">
        <v>24</v>
      </c>
      <c r="AD22">
        <v>1</v>
      </c>
    </row>
    <row r="23" spans="1:32" x14ac:dyDescent="0.2">
      <c r="A23" t="s">
        <v>196</v>
      </c>
      <c r="B23" t="s">
        <v>323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32" x14ac:dyDescent="0.2">
      <c r="A24" t="s">
        <v>196</v>
      </c>
      <c r="B24" t="s">
        <v>201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40.5</v>
      </c>
      <c r="O24">
        <v>6</v>
      </c>
      <c r="P24">
        <v>41.25</v>
      </c>
      <c r="Q24">
        <v>40.5</v>
      </c>
      <c r="R24">
        <v>6</v>
      </c>
      <c r="S24">
        <v>41.25</v>
      </c>
      <c r="T24">
        <v>0</v>
      </c>
      <c r="U24">
        <v>0</v>
      </c>
      <c r="V24">
        <v>0</v>
      </c>
      <c r="W24">
        <v>0</v>
      </c>
      <c r="X24">
        <v>32.5</v>
      </c>
      <c r="Y24">
        <v>1</v>
      </c>
      <c r="Z24">
        <v>32.625</v>
      </c>
      <c r="AA24">
        <v>8.625</v>
      </c>
      <c r="AB24">
        <v>24</v>
      </c>
      <c r="AC24">
        <v>8</v>
      </c>
      <c r="AD24">
        <v>5</v>
      </c>
      <c r="AE24">
        <v>32.5</v>
      </c>
      <c r="AF24">
        <v>1</v>
      </c>
    </row>
    <row r="25" spans="1:32" x14ac:dyDescent="0.2">
      <c r="A25" t="s">
        <v>196</v>
      </c>
      <c r="B25" t="s">
        <v>277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32" x14ac:dyDescent="0.2">
      <c r="A26" t="s">
        <v>202</v>
      </c>
      <c r="B26" t="s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</v>
      </c>
      <c r="Z26">
        <v>0.875</v>
      </c>
      <c r="AA26">
        <v>0.875</v>
      </c>
      <c r="AB26">
        <v>0</v>
      </c>
      <c r="AC26">
        <v>0</v>
      </c>
      <c r="AD26">
        <v>7</v>
      </c>
    </row>
    <row r="27" spans="1:32" x14ac:dyDescent="0.2">
      <c r="A27" t="s">
        <v>202</v>
      </c>
      <c r="B27" t="s">
        <v>204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7</v>
      </c>
      <c r="V27">
        <v>2.875</v>
      </c>
      <c r="W27">
        <v>0</v>
      </c>
      <c r="X27">
        <v>2</v>
      </c>
      <c r="Y27">
        <v>7</v>
      </c>
      <c r="Z27">
        <v>2.875</v>
      </c>
      <c r="AA27">
        <v>2.875</v>
      </c>
      <c r="AB27">
        <v>0</v>
      </c>
      <c r="AC27">
        <v>2</v>
      </c>
      <c r="AD27">
        <v>7</v>
      </c>
    </row>
    <row r="28" spans="1:32" x14ac:dyDescent="0.2">
      <c r="A28" t="s">
        <v>202</v>
      </c>
      <c r="B28" t="s">
        <v>205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</v>
      </c>
      <c r="Y28">
        <v>0</v>
      </c>
      <c r="Z28">
        <v>6</v>
      </c>
      <c r="AA28">
        <v>6</v>
      </c>
      <c r="AB28">
        <v>0</v>
      </c>
      <c r="AC28">
        <v>6</v>
      </c>
      <c r="AD28">
        <v>0</v>
      </c>
    </row>
    <row r="29" spans="1:32" x14ac:dyDescent="0.2">
      <c r="A29" t="s">
        <v>202</v>
      </c>
      <c r="B29" t="s">
        <v>206</v>
      </c>
      <c r="C29">
        <v>0</v>
      </c>
      <c r="D29">
        <v>0</v>
      </c>
      <c r="E29">
        <v>0</v>
      </c>
      <c r="F29">
        <v>0</v>
      </c>
      <c r="G29">
        <v>0</v>
      </c>
      <c r="H29">
        <v>2.5</v>
      </c>
      <c r="I29">
        <v>0</v>
      </c>
      <c r="J29">
        <v>2.5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2.5</v>
      </c>
      <c r="Y29">
        <v>0</v>
      </c>
      <c r="Z29">
        <v>2.5</v>
      </c>
      <c r="AA29">
        <v>2.5</v>
      </c>
      <c r="AB29">
        <v>0</v>
      </c>
      <c r="AC29">
        <v>2.5</v>
      </c>
      <c r="AD29">
        <v>0</v>
      </c>
    </row>
    <row r="30" spans="1:32" x14ac:dyDescent="0.2">
      <c r="A30" t="s">
        <v>202</v>
      </c>
      <c r="B30" t="s">
        <v>207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</v>
      </c>
      <c r="Y30">
        <v>3</v>
      </c>
      <c r="Z30">
        <v>11.375</v>
      </c>
      <c r="AA30">
        <v>11.375</v>
      </c>
      <c r="AB30">
        <v>0</v>
      </c>
      <c r="AC30">
        <v>11</v>
      </c>
      <c r="AD30">
        <v>3</v>
      </c>
    </row>
    <row r="31" spans="1:32" x14ac:dyDescent="0.2">
      <c r="A31" t="s">
        <v>202</v>
      </c>
      <c r="B31" t="s">
        <v>208</v>
      </c>
      <c r="C31">
        <v>0</v>
      </c>
      <c r="D31">
        <v>0</v>
      </c>
      <c r="E31">
        <v>2</v>
      </c>
      <c r="F31">
        <v>2</v>
      </c>
      <c r="G31">
        <v>2.25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2</v>
      </c>
      <c r="Z31">
        <v>2.25</v>
      </c>
      <c r="AA31">
        <v>2.25</v>
      </c>
      <c r="AB31">
        <v>0</v>
      </c>
      <c r="AC31">
        <v>2</v>
      </c>
      <c r="AD31">
        <v>2</v>
      </c>
    </row>
    <row r="32" spans="1:32" x14ac:dyDescent="0.2">
      <c r="A32" t="s">
        <v>202</v>
      </c>
      <c r="B32" t="s">
        <v>209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</v>
      </c>
      <c r="Z32">
        <v>0.75</v>
      </c>
      <c r="AA32">
        <v>0.75</v>
      </c>
      <c r="AB32">
        <v>0</v>
      </c>
      <c r="AC32">
        <v>0</v>
      </c>
      <c r="AD32">
        <v>6</v>
      </c>
    </row>
    <row r="33" spans="1:32" x14ac:dyDescent="0.2">
      <c r="A33" t="s">
        <v>202</v>
      </c>
      <c r="B33" t="s">
        <v>324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32" x14ac:dyDescent="0.2">
      <c r="A34" t="s">
        <v>202</v>
      </c>
      <c r="B34" t="s">
        <v>120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2" x14ac:dyDescent="0.2">
      <c r="A35" t="s">
        <v>202</v>
      </c>
      <c r="B35" t="s">
        <v>211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1</v>
      </c>
      <c r="P35">
        <v>3.125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</v>
      </c>
      <c r="Z35">
        <v>3.125</v>
      </c>
      <c r="AA35">
        <v>3.125</v>
      </c>
      <c r="AB35">
        <v>0</v>
      </c>
      <c r="AC35">
        <v>3</v>
      </c>
      <c r="AD35">
        <v>1</v>
      </c>
    </row>
    <row r="36" spans="1:32" x14ac:dyDescent="0.2">
      <c r="A36" t="s">
        <v>202</v>
      </c>
      <c r="B36" t="s">
        <v>277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32" x14ac:dyDescent="0.2">
      <c r="A37" t="s">
        <v>212</v>
      </c>
      <c r="B37" t="s">
        <v>213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1.5</v>
      </c>
      <c r="Y37">
        <v>3</v>
      </c>
      <c r="Z37">
        <v>1.875</v>
      </c>
      <c r="AA37">
        <v>1.875</v>
      </c>
      <c r="AB37">
        <v>0</v>
      </c>
      <c r="AC37">
        <v>1.5</v>
      </c>
      <c r="AD37">
        <v>3</v>
      </c>
    </row>
    <row r="38" spans="1:32" x14ac:dyDescent="0.2">
      <c r="A38" t="s">
        <v>212</v>
      </c>
      <c r="B38" t="s">
        <v>214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11</v>
      </c>
      <c r="U38">
        <v>5</v>
      </c>
      <c r="V38">
        <v>11.625</v>
      </c>
      <c r="W38">
        <v>0</v>
      </c>
      <c r="X38">
        <v>11</v>
      </c>
      <c r="Y38">
        <v>5</v>
      </c>
      <c r="Z38">
        <v>11.625</v>
      </c>
      <c r="AA38">
        <v>11.625</v>
      </c>
      <c r="AB38">
        <v>0</v>
      </c>
      <c r="AC38">
        <v>11</v>
      </c>
      <c r="AD38">
        <v>5</v>
      </c>
    </row>
    <row r="39" spans="1:32" x14ac:dyDescent="0.2">
      <c r="A39" t="s">
        <v>212</v>
      </c>
      <c r="B39" t="s">
        <v>215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1</v>
      </c>
      <c r="S39">
        <v>10.125</v>
      </c>
      <c r="T39">
        <v>10</v>
      </c>
      <c r="U39">
        <v>1</v>
      </c>
      <c r="V39">
        <v>10.125</v>
      </c>
      <c r="W39">
        <v>0</v>
      </c>
      <c r="X39">
        <v>10</v>
      </c>
      <c r="Y39">
        <v>1</v>
      </c>
      <c r="Z39">
        <v>10.125</v>
      </c>
      <c r="AA39">
        <v>10.125</v>
      </c>
      <c r="AB39">
        <v>0</v>
      </c>
      <c r="AC39">
        <v>10</v>
      </c>
      <c r="AD39">
        <v>1</v>
      </c>
    </row>
    <row r="40" spans="1:32" x14ac:dyDescent="0.2">
      <c r="A40" t="s">
        <v>212</v>
      </c>
      <c r="B40" t="s">
        <v>216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13.5</v>
      </c>
      <c r="O40">
        <v>0</v>
      </c>
      <c r="P40">
        <v>13.5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13.5</v>
      </c>
      <c r="Y40">
        <v>0</v>
      </c>
      <c r="Z40">
        <v>13.5</v>
      </c>
      <c r="AA40">
        <v>13.5</v>
      </c>
      <c r="AB40">
        <v>0</v>
      </c>
      <c r="AC40">
        <v>13.5</v>
      </c>
      <c r="AD40">
        <v>0</v>
      </c>
    </row>
    <row r="41" spans="1:32" x14ac:dyDescent="0.2">
      <c r="A41" t="s">
        <v>212</v>
      </c>
      <c r="B41" t="s">
        <v>218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</v>
      </c>
      <c r="Y41">
        <v>5</v>
      </c>
      <c r="Z41">
        <v>8.625</v>
      </c>
      <c r="AA41">
        <v>8.625</v>
      </c>
      <c r="AB41">
        <v>0</v>
      </c>
      <c r="AC41">
        <v>8</v>
      </c>
      <c r="AD41">
        <v>5</v>
      </c>
    </row>
    <row r="42" spans="1:32" x14ac:dyDescent="0.2">
      <c r="A42" t="s">
        <v>212</v>
      </c>
      <c r="B42" t="s">
        <v>219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43</v>
      </c>
      <c r="Y42">
        <v>7</v>
      </c>
      <c r="Z42">
        <v>43.875</v>
      </c>
      <c r="AA42">
        <v>43.875</v>
      </c>
      <c r="AB42">
        <v>0</v>
      </c>
      <c r="AC42">
        <v>43</v>
      </c>
      <c r="AD42">
        <v>7</v>
      </c>
    </row>
    <row r="43" spans="1:32" x14ac:dyDescent="0.2">
      <c r="A43" t="s">
        <v>212</v>
      </c>
      <c r="B43" t="s">
        <v>220</v>
      </c>
      <c r="C43">
        <v>0</v>
      </c>
      <c r="D43">
        <v>0</v>
      </c>
      <c r="E43">
        <v>5</v>
      </c>
      <c r="F43">
        <v>1</v>
      </c>
      <c r="G43">
        <v>5.125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1</v>
      </c>
      <c r="Z43">
        <v>5.125</v>
      </c>
      <c r="AA43">
        <v>5.125</v>
      </c>
      <c r="AB43">
        <v>0</v>
      </c>
      <c r="AC43">
        <v>5</v>
      </c>
      <c r="AD43">
        <v>1</v>
      </c>
    </row>
    <row r="44" spans="1:32" x14ac:dyDescent="0.2">
      <c r="A44" t="s">
        <v>212</v>
      </c>
      <c r="B44" t="s">
        <v>221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0.625</v>
      </c>
      <c r="AA44">
        <v>0.375</v>
      </c>
      <c r="AB44">
        <v>0.25</v>
      </c>
      <c r="AC44">
        <v>0</v>
      </c>
      <c r="AD44">
        <v>3</v>
      </c>
      <c r="AE44">
        <v>0</v>
      </c>
      <c r="AF44">
        <v>5</v>
      </c>
    </row>
    <row r="45" spans="1:32" x14ac:dyDescent="0.2">
      <c r="A45" t="s">
        <v>212</v>
      </c>
      <c r="B45" t="s">
        <v>222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26</v>
      </c>
      <c r="Y45">
        <v>0</v>
      </c>
      <c r="Z45">
        <v>26</v>
      </c>
      <c r="AA45">
        <v>26</v>
      </c>
      <c r="AB45">
        <v>0</v>
      </c>
      <c r="AC45">
        <v>26</v>
      </c>
      <c r="AD45">
        <v>0</v>
      </c>
    </row>
    <row r="46" spans="1:32" x14ac:dyDescent="0.2">
      <c r="A46" t="s">
        <v>212</v>
      </c>
      <c r="B46" t="s">
        <v>325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11</v>
      </c>
      <c r="R46">
        <v>6</v>
      </c>
      <c r="S46">
        <v>11.75</v>
      </c>
      <c r="T46">
        <v>0</v>
      </c>
      <c r="U46">
        <v>0</v>
      </c>
      <c r="V46">
        <v>0</v>
      </c>
      <c r="W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6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336</v>
      </c>
      <c r="N1" s="1" t="s">
        <v>337</v>
      </c>
      <c r="O1" s="1" t="s">
        <v>20</v>
      </c>
      <c r="P1" s="1" t="s">
        <v>21</v>
      </c>
      <c r="Q1" s="1" t="s">
        <v>12</v>
      </c>
      <c r="R1" s="1" t="s">
        <v>13</v>
      </c>
      <c r="S1" s="1" t="s">
        <v>22</v>
      </c>
      <c r="T1" s="1" t="s">
        <v>23</v>
      </c>
      <c r="U1" s="1" t="s">
        <v>14</v>
      </c>
      <c r="V1" s="1" t="s">
        <v>15</v>
      </c>
      <c r="W1" s="1" t="s">
        <v>24</v>
      </c>
      <c r="X1" s="1" t="s">
        <v>25</v>
      </c>
      <c r="Y1" s="1" t="s">
        <v>16</v>
      </c>
      <c r="Z1" s="1" t="s">
        <v>17</v>
      </c>
      <c r="AA1" s="1" t="s">
        <v>26</v>
      </c>
      <c r="AB1" s="1" t="s">
        <v>27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328</v>
      </c>
      <c r="AI1" s="1" t="s">
        <v>329</v>
      </c>
      <c r="AJ1" s="1" t="s">
        <v>343</v>
      </c>
    </row>
    <row r="2" spans="1:36" x14ac:dyDescent="0.2">
      <c r="A2" t="s">
        <v>86</v>
      </c>
      <c r="B2" t="s">
        <v>87</v>
      </c>
      <c r="C2">
        <v>10.84</v>
      </c>
      <c r="D2">
        <v>10</v>
      </c>
      <c r="E2">
        <v>16</v>
      </c>
      <c r="F2">
        <v>9.5</v>
      </c>
      <c r="G2" t="s">
        <v>88</v>
      </c>
      <c r="H2">
        <v>48.5</v>
      </c>
      <c r="I2">
        <v>2</v>
      </c>
      <c r="J2">
        <v>48.75</v>
      </c>
      <c r="K2">
        <v>48.75</v>
      </c>
      <c r="L2">
        <v>0</v>
      </c>
      <c r="M2">
        <v>48</v>
      </c>
      <c r="N2">
        <v>6</v>
      </c>
      <c r="O2">
        <v>5</v>
      </c>
      <c r="P2">
        <v>0</v>
      </c>
      <c r="Q2">
        <v>25</v>
      </c>
      <c r="R2">
        <v>1</v>
      </c>
      <c r="S2">
        <v>4</v>
      </c>
      <c r="T2">
        <v>0</v>
      </c>
      <c r="U2">
        <v>18.5</v>
      </c>
      <c r="V2">
        <v>1</v>
      </c>
      <c r="W2">
        <v>3</v>
      </c>
      <c r="X2">
        <v>4</v>
      </c>
      <c r="Y2">
        <v>5</v>
      </c>
      <c r="Z2">
        <v>0</v>
      </c>
      <c r="AC2">
        <v>0.25</v>
      </c>
      <c r="AD2">
        <v>0.2</v>
      </c>
      <c r="AE2">
        <v>0.16666666666666671</v>
      </c>
      <c r="AG2">
        <v>48.75</v>
      </c>
      <c r="AH2">
        <v>0.22235042735042729</v>
      </c>
      <c r="AI2">
        <v>0.2055555555555556</v>
      </c>
      <c r="AJ2" t="s">
        <v>88</v>
      </c>
    </row>
    <row r="3" spans="1:36" x14ac:dyDescent="0.2">
      <c r="A3" t="s">
        <v>86</v>
      </c>
      <c r="B3" t="s">
        <v>89</v>
      </c>
      <c r="C3">
        <v>5.44</v>
      </c>
      <c r="D3">
        <v>5</v>
      </c>
      <c r="E3">
        <v>8</v>
      </c>
      <c r="F3">
        <v>9</v>
      </c>
      <c r="G3" t="s">
        <v>90</v>
      </c>
      <c r="H3">
        <v>32.5</v>
      </c>
      <c r="I3">
        <v>0</v>
      </c>
      <c r="J3">
        <v>32.5</v>
      </c>
      <c r="K3">
        <v>32.5</v>
      </c>
      <c r="L3">
        <v>0</v>
      </c>
      <c r="M3">
        <v>32.5</v>
      </c>
      <c r="N3">
        <v>0</v>
      </c>
      <c r="O3">
        <v>3</v>
      </c>
      <c r="P3">
        <v>4</v>
      </c>
      <c r="AC3">
        <v>0.16666666666666671</v>
      </c>
      <c r="AG3">
        <v>32.5</v>
      </c>
      <c r="AH3">
        <v>0.16666666666666671</v>
      </c>
      <c r="AI3">
        <v>0.16666666666666671</v>
      </c>
      <c r="AJ3" t="s">
        <v>90</v>
      </c>
    </row>
    <row r="4" spans="1:36" x14ac:dyDescent="0.2">
      <c r="A4" t="s">
        <v>86</v>
      </c>
      <c r="B4" t="s">
        <v>91</v>
      </c>
      <c r="C4">
        <v>0.1</v>
      </c>
      <c r="D4">
        <v>0</v>
      </c>
      <c r="E4">
        <v>2</v>
      </c>
      <c r="F4">
        <v>0</v>
      </c>
      <c r="G4" t="s">
        <v>92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AC4">
        <v>0.1</v>
      </c>
      <c r="AG4">
        <v>1</v>
      </c>
      <c r="AH4">
        <v>0.1</v>
      </c>
      <c r="AI4">
        <v>0.1</v>
      </c>
      <c r="AJ4" t="s">
        <v>92</v>
      </c>
    </row>
    <row r="5" spans="1:36" x14ac:dyDescent="0.2">
      <c r="A5" t="s">
        <v>86</v>
      </c>
      <c r="B5" t="s">
        <v>93</v>
      </c>
      <c r="C5">
        <v>1.33</v>
      </c>
      <c r="D5">
        <v>1</v>
      </c>
      <c r="E5">
        <v>6</v>
      </c>
      <c r="F5">
        <v>8</v>
      </c>
      <c r="G5" t="s">
        <v>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C5" t="s">
        <v>344</v>
      </c>
      <c r="AG5">
        <v>0</v>
      </c>
      <c r="AH5" t="s">
        <v>344</v>
      </c>
      <c r="AI5" t="s">
        <v>344</v>
      </c>
      <c r="AJ5" t="s">
        <v>92</v>
      </c>
    </row>
    <row r="6" spans="1:36" x14ac:dyDescent="0.2">
      <c r="A6" t="s">
        <v>86</v>
      </c>
      <c r="B6" t="s">
        <v>94</v>
      </c>
      <c r="C6">
        <v>17.71</v>
      </c>
      <c r="D6">
        <v>17</v>
      </c>
      <c r="E6">
        <v>14</v>
      </c>
      <c r="F6">
        <v>2.5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AC6" t="s">
        <v>344</v>
      </c>
      <c r="AG6">
        <v>0</v>
      </c>
      <c r="AH6" t="s">
        <v>344</v>
      </c>
      <c r="AI6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2024-04-19T11:10:15Z</dcterms:created>
  <dcterms:modified xsi:type="dcterms:W3CDTF">2025-09-02T18:56:32Z</dcterms:modified>
</cp:coreProperties>
</file>
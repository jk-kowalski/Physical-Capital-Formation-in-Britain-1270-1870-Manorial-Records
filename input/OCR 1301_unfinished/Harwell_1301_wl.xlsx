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1DEEB707-149D-FA45-9B05-6F47455B8670}" xr6:coauthVersionLast="47" xr6:coauthVersionMax="47" xr10:uidLastSave="{00000000-0000-0000-0000-000000000000}"/>
  <bookViews>
    <workbookView xWindow="10860" yWindow="500" windowWidth="25020" windowHeight="16600" xr2:uid="{00000000-000D-0000-FFFF-FFFF00000000}"/>
  </bookViews>
  <sheets>
    <sheet name="Overview" sheetId="5" r:id="rId1"/>
    <sheet name="Receipts" sheetId="2" r:id="rId2"/>
    <sheet name="Expenses" sheetId="3" r:id="rId3"/>
    <sheet name="Issues of the Grange" sheetId="11" r:id="rId4"/>
    <sheet name="Issues of the Mills" sheetId="6" r:id="rId5"/>
    <sheet name="Stock" sheetId="4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7" i="5" l="1"/>
  <c r="B176" i="5"/>
  <c r="B174" i="5"/>
  <c r="B173" i="5"/>
  <c r="B172" i="5"/>
  <c r="B171" i="5"/>
  <c r="B156" i="5"/>
  <c r="B157" i="5"/>
  <c r="B158" i="5"/>
  <c r="B159" i="5"/>
  <c r="B155" i="5"/>
  <c r="B152" i="5"/>
  <c r="B151" i="5"/>
  <c r="T71" i="4"/>
  <c r="T67" i="4"/>
  <c r="B147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23" i="5"/>
  <c r="B115" i="5"/>
  <c r="B116" i="5"/>
  <c r="B117" i="5"/>
  <c r="B118" i="5"/>
  <c r="B119" i="5"/>
  <c r="B120" i="5"/>
  <c r="B114" i="5"/>
  <c r="B111" i="5"/>
  <c r="B108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83" i="5"/>
  <c r="B69" i="5"/>
  <c r="B68" i="5"/>
  <c r="B67" i="5"/>
  <c r="I8" i="11"/>
  <c r="I2" i="11"/>
  <c r="F63" i="5"/>
  <c r="F64" i="5"/>
  <c r="F65" i="5"/>
  <c r="F66" i="5"/>
  <c r="F62" i="5"/>
  <c r="E63" i="5"/>
  <c r="E64" i="5"/>
  <c r="E65" i="5"/>
  <c r="E66" i="5"/>
  <c r="E62" i="5"/>
  <c r="B63" i="5"/>
  <c r="B64" i="5"/>
  <c r="B65" i="5"/>
  <c r="B66" i="5"/>
  <c r="B62" i="5"/>
  <c r="B45" i="5"/>
  <c r="B46" i="5"/>
  <c r="B47" i="5"/>
  <c r="B44" i="5"/>
  <c r="B24" i="5"/>
  <c r="B23" i="5"/>
  <c r="F115" i="3"/>
  <c r="F114" i="3"/>
  <c r="L79" i="3"/>
  <c r="L80" i="3"/>
  <c r="L81" i="3"/>
  <c r="L82" i="3"/>
  <c r="L83" i="3"/>
  <c r="L84" i="3"/>
  <c r="L78" i="3"/>
  <c r="K78" i="3"/>
  <c r="K79" i="3"/>
  <c r="K80" i="3"/>
  <c r="K81" i="3"/>
  <c r="K82" i="3"/>
  <c r="K83" i="3"/>
  <c r="K84" i="3"/>
  <c r="K77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42" i="3"/>
  <c r="K55" i="3"/>
  <c r="K53" i="3"/>
  <c r="K49" i="3"/>
  <c r="K50" i="3"/>
  <c r="K48" i="3"/>
  <c r="K46" i="3"/>
  <c r="K43" i="3"/>
  <c r="K44" i="3"/>
  <c r="K42" i="3"/>
  <c r="K36" i="3"/>
  <c r="L36" i="3"/>
  <c r="K37" i="3"/>
  <c r="L37" i="3"/>
  <c r="K38" i="3"/>
  <c r="L38" i="3"/>
  <c r="L35" i="3"/>
  <c r="K35" i="3"/>
  <c r="L24" i="3"/>
  <c r="L25" i="3"/>
  <c r="L26" i="3"/>
  <c r="L27" i="3"/>
  <c r="L28" i="3"/>
  <c r="L29" i="3"/>
  <c r="L30" i="3"/>
  <c r="L31" i="3"/>
  <c r="L23" i="3"/>
  <c r="K24" i="3"/>
  <c r="K25" i="3"/>
  <c r="K26" i="3"/>
  <c r="K27" i="3"/>
  <c r="K28" i="3"/>
  <c r="K29" i="3"/>
  <c r="K30" i="3"/>
  <c r="K31" i="3"/>
  <c r="K23" i="3"/>
  <c r="L5" i="3"/>
  <c r="L6" i="3"/>
  <c r="L7" i="3"/>
  <c r="L8" i="3"/>
  <c r="L9" i="3"/>
  <c r="L10" i="3"/>
  <c r="L11" i="3"/>
  <c r="L12" i="3"/>
  <c r="L13" i="3"/>
  <c r="L14" i="3"/>
  <c r="L15" i="3"/>
  <c r="L4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3" i="3"/>
  <c r="G113" i="3"/>
  <c r="F113" i="3"/>
  <c r="G102" i="3"/>
  <c r="F102" i="3"/>
  <c r="F100" i="3"/>
  <c r="F99" i="3"/>
  <c r="F38" i="3"/>
  <c r="F40" i="3" s="1"/>
  <c r="F31" i="3"/>
  <c r="F33" i="3" s="1"/>
  <c r="G33" i="3" s="1"/>
  <c r="F39" i="3"/>
  <c r="F112" i="3"/>
  <c r="F71" i="2"/>
  <c r="F70" i="2"/>
  <c r="R31" i="4"/>
  <c r="R71" i="4"/>
  <c r="O12" i="4"/>
  <c r="O14" i="4"/>
  <c r="O26" i="4"/>
  <c r="O5" i="4"/>
  <c r="O67" i="4"/>
  <c r="R67" i="4"/>
  <c r="R30" i="4"/>
  <c r="R26" i="4"/>
  <c r="R14" i="4"/>
  <c r="R12" i="4"/>
  <c r="R5" i="4"/>
  <c r="O14" i="11"/>
  <c r="O15" i="11"/>
  <c r="O16" i="11"/>
  <c r="O17" i="11"/>
  <c r="O13" i="11"/>
  <c r="N14" i="11"/>
  <c r="N15" i="11"/>
  <c r="N16" i="11"/>
  <c r="N17" i="11"/>
  <c r="N13" i="11"/>
  <c r="L14" i="11"/>
  <c r="L15" i="11"/>
  <c r="L16" i="11"/>
  <c r="L17" i="11"/>
  <c r="L13" i="11"/>
  <c r="E14" i="11"/>
  <c r="E15" i="11"/>
  <c r="E16" i="11"/>
  <c r="E17" i="11"/>
  <c r="E13" i="11"/>
  <c r="K14" i="11"/>
  <c r="K15" i="11"/>
  <c r="K16" i="11"/>
  <c r="K17" i="11"/>
  <c r="K13" i="11"/>
  <c r="J14" i="11"/>
  <c r="I14" i="11"/>
  <c r="D14" i="11"/>
  <c r="C14" i="11"/>
  <c r="J13" i="11"/>
  <c r="I13" i="11"/>
  <c r="C13" i="11"/>
  <c r="B14" i="11"/>
  <c r="B15" i="11"/>
  <c r="B16" i="11"/>
  <c r="B17" i="11"/>
  <c r="B13" i="11"/>
  <c r="I3" i="11"/>
  <c r="I4" i="11"/>
  <c r="I5" i="11"/>
  <c r="I6" i="11"/>
  <c r="G3" i="11"/>
  <c r="G4" i="11"/>
  <c r="G5" i="11"/>
  <c r="G2" i="11"/>
  <c r="F67" i="4"/>
  <c r="C26" i="4"/>
  <c r="C5" i="4"/>
  <c r="F84" i="3"/>
  <c r="F86" i="3" s="1"/>
  <c r="G86" i="3" s="1"/>
  <c r="F73" i="3"/>
  <c r="F75" i="3" s="1"/>
  <c r="G75" i="3" s="1"/>
  <c r="F63" i="3"/>
  <c r="F68" i="3" s="1"/>
  <c r="G68" i="3" s="1"/>
  <c r="F56" i="3"/>
  <c r="F58" i="3" s="1"/>
  <c r="G58" i="3" s="1"/>
  <c r="F17" i="3"/>
  <c r="F19" i="3" s="1"/>
  <c r="G19" i="3" s="1"/>
  <c r="G68" i="2"/>
  <c r="F68" i="2"/>
  <c r="F40" i="2"/>
  <c r="F47" i="2" s="1"/>
  <c r="G47" i="2" s="1"/>
  <c r="F45" i="2"/>
  <c r="G25" i="2"/>
  <c r="G22" i="2"/>
  <c r="G6" i="2"/>
  <c r="G4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2" authorId="0" shapeId="0" xr:uid="{60A88092-C64B-D849-9752-0E1B5C0E8551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4" authorId="0" shapeId="0" xr:uid="{BF8C8AE6-06D2-C944-A54F-A2DFD820FD39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strays that the seem to have added to their own stock?</t>
        </r>
      </text>
    </comment>
    <comment ref="E4" authorId="0" shapeId="0" xr:uid="{DA5FBA7D-3750-C345-93A2-FF5BA3B05DAB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<sst xmlns="http://schemas.openxmlformats.org/spreadsheetml/2006/main" count="1319" uniqueCount="598">
  <si>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</si>
  <si>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</si>
  <si>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</si>
  <si>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</si>
  <si>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</si>
  <si>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</si>
  <si>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</si>
  <si>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</si>
  <si>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</si>
  <si>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</si>
  <si>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</si>
  <si>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</si>
  <si>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</si>
  <si>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</si>
  <si>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</si>
  <si>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</si>
  <si>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</si>
  <si>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</si>
  <si>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Quarters 4</t>
  </si>
  <si>
    <t>Bushels 4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</si>
  <si>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</si>
  <si>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</si>
  <si>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</si>
  <si>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</si>
  <si>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</si>
  <si>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</si>
  <si>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</si>
  <si>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</si>
  <si>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</si>
  <si>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</si>
  <si>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</si>
  <si>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</si>
  <si>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</si>
  <si>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</si>
  <si>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</si>
  <si>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</si>
  <si>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Arrears</t>
  </si>
  <si>
    <t>Roginald de Lynham, bailiff, and John Leyrmonger', reeve, render account for £27 3 shilling 6pence of arrears from the last account.</t>
  </si>
  <si>
    <t>Delivered to Sir Geoffrey, treasurer of Wolvesey, £27 3 shilling 6pence by 1 tally.</t>
  </si>
  <si>
    <t>They are quit.</t>
  </si>
  <si>
    <t>Rents of assize</t>
  </si>
  <si>
    <t>The same render account for £16 12 shilling 6pence for rents of assize for the whole year at Michaelmas (29 September).</t>
  </si>
  <si>
    <t>Total, £16 12 shilling 6pence</t>
  </si>
  <si>
    <t>Quittances</t>
  </si>
  <si>
    <t>In quittance of 1 reeve for the year 5 shilling.</t>
  </si>
  <si>
    <t>4 ploughmen for the year 12 shilling, or 3 shilling each.</t>
  </si>
  <si>
    <t>Total, 17 shilling</t>
  </si>
  <si>
    <t>Defaults of rent</t>
  </si>
  <si>
    <t>In default of the rent of 1 croft which Roger Gunth' held drawn into demesne 3 shilling Total, 3 shilling</t>
  </si>
  <si>
    <t>Total of quittances and defaults of rent</t>
  </si>
  <si>
    <t>Total of quittances and defaults of rent, £1.</t>
  </si>
  <si>
    <t>Total of rents remaining</t>
  </si>
  <si>
    <t>Total of rents remaining, £15 12 shilling 6pence</t>
  </si>
  <si>
    <t>Annual recognizance</t>
  </si>
  <si>
    <t>The same render account for 6pence from Walter, son of Walter Edward, for annual recognizance.</t>
  </si>
  <si>
    <t>6pence from Thomas in Angle so that he may remain where he pleases, and nonetheless pay suit for his tithing and pay tithingpenny.</t>
  </si>
  <si>
    <t>Total, 1 shilling</t>
  </si>
  <si>
    <t>Issues of the manor</t>
  </si>
  <si>
    <t>The same render account for 7 shilling 4pence from pannage of pigs at Martinmas (11 November).</t>
  </si>
  <si>
    <t>5 shilling 5pence from tolls on inns.</t>
  </si>
  <si>
    <t>5 shilling from winter pasturage sold.</t>
  </si>
  <si>
    <t>5 shilling 6pence from 66 cocks and hens from churchscot at Martinmas.</t>
  </si>
  <si>
    <t>1 shilling 3pence from the heriot of John Miles for 1.5 virgates of land which he held of the lord, and note that noone will give more for 0.5 virgate for a heriot even if he has 1 beast.</t>
  </si>
  <si>
    <t>4 shilling from the herbage in the garden sold.</t>
  </si>
  <si>
    <t>8 shilling from 1 feeble cart-horse sold.</t>
  </si>
  <si>
    <t>£1 17 shilling from 1 cart-horse sold.</t>
  </si>
  <si>
    <t>£17 shilling 6pence from 2 horses from the heriot of John Miles for 2 virgates of land which he held of the bishop sold to the relict of the same John.</t>
  </si>
  <si>
    <t>8 shilling from 1 ox sold to Richard Tockesmal because rotten.</t>
  </si>
  <si>
    <t>7 shilling from 1 sterile cow from the heriot of Walter Roed sold.</t>
  </si>
  <si>
    <t>6 shilling from 2 pigs sold.</t>
  </si>
  <si>
    <t>1 shilling 6pence from stubble sold.</t>
  </si>
  <si>
    <t>Ipence from the tail of 1 peacock solpence Total, £6 3 shilling 7pence</t>
  </si>
  <si>
    <t>Farm</t>
  </si>
  <si>
    <t>The same render account for 13 shilling 4pence for the farm of the mill of Blaer' let at farm to Laurence de Styventon'.</t>
  </si>
  <si>
    <t>Total, 13 shilling 4pence</t>
  </si>
  <si>
    <t>Sale of corn</t>
  </si>
  <si>
    <t>The same render account for £19 7 shilling 7.5pence from 68 quarters 7 bushels of wheat sold, at 5 shilling a quarters for 4 quarters, and 5 shilling 8pence a quarters for 64 quarters 7 bushels.</t>
  </si>
  <si>
    <t>wheat</t>
  </si>
  <si>
    <t>£2 10 shilling 3.75pence from 14 quarters 3 bushels of barley sold, at 3 shilling 6pence a quarters.</t>
  </si>
  <si>
    <t>barley</t>
  </si>
  <si>
    <t>£4 12 shilling 3pence from 30 quarters 6 bushels of dredge sold, at 3 shilling a quarters.</t>
  </si>
  <si>
    <t>7.5pence from 5 bushels of vetches sold, at 1.5pence a bushels.</t>
  </si>
  <si>
    <t>vetches</t>
  </si>
  <si>
    <t>7.5pence from 1.5 bushels of wheat sold at the audit.</t>
  </si>
  <si>
    <t>2 shilling 4.25pence from 5.5 bushels of barley sold at the audit.</t>
  </si>
  <si>
    <t>10 shilling 6pence from 3.5 quarters of dredge sold at the audit, at 3 shilling a quarters.</t>
  </si>
  <si>
    <t>Total, £27 4 shilling 4pence</t>
  </si>
  <si>
    <t>Entry and marriage finest</t>
  </si>
  <si>
    <t>The same render account for £1 6 shilling 8pence from all the tithings for tithingpenny at the 2 hundred-courts for the year.</t>
  </si>
  <si>
    <t>2 shilling from Christina le Rop for marrying Matilda her daughter outside.</t>
  </si>
  <si>
    <t>£3 from John Bartelot to have Matilda, relict of Richard le Kyn2  with .5 virgate of her land.</t>
  </si>
  <si>
    <t>6 shilling 8pence from Richard Huscarl so that he may till the  holding of Matilda de Hyb' until the arrival of the said Matilda in England if she should live.</t>
  </si>
  <si>
    <t>6 shilling 8pence from Roger le Ber' for marrying Matilda his daughter outside, because thus far he has not shown his feoffment.</t>
  </si>
  <si>
    <t>Total, £5 2 shilling</t>
  </si>
  <si>
    <t>Perquisites</t>
  </si>
  <si>
    <t>The same render account for 4 shilling 9pence from the small amercements of the court held on the Saturday of Martinmas (11 November).</t>
  </si>
  <si>
    <t>11 shilling 2pence from the small amercements of the hundred-court of Martinmas held on Thursday the morrow of St Lucy the Virgin (14 December).</t>
  </si>
  <si>
    <t>5 shilling 9pence from the perquisites of the court held on Thursday after Epiphany (11 January).</t>
  </si>
  <si>
    <t>3 shilling 6pence from the perquisites of the court on Tuesday before the feast of St Peter's Chair (20 February).</t>
  </si>
  <si>
    <t>9 shilling 2pence from the perquisites of the court held on Tuesday before the feast of St Dunstan (15 May).</t>
  </si>
  <si>
    <t>17 shilling 10pence from the small amercements of the hundred-court of Hockday held on the eve of the Nativity of the blessed John (23 June).</t>
  </si>
  <si>
    <t>9 shilling 9pence from the perquisites of the court held on Sunday before the Assumption (12 August).</t>
  </si>
  <si>
    <t>13 shilling from the perquisites of the court held on Sunday before Michaelmas (23 September).</t>
  </si>
  <si>
    <t>Total, £3 14 shilling 11pence</t>
  </si>
  <si>
    <t>Cost of ploughs</t>
  </si>
  <si>
    <t>In 4 pieces of steel bought for 3 ploughs for the year 3 shilling 7.5pence.</t>
  </si>
  <si>
    <t>stipend of the smith forging the said steel for the said ploughs 3 shilling 2pence.</t>
  </si>
  <si>
    <t>stipend of the smith repairing the said ploughs with the demesne's iron 6pence.</t>
  </si>
  <si>
    <t>5 ploughs made anew, 3 of them for winter, and other old ploughs mended 2 shilling.</t>
  </si>
  <si>
    <t>hooping 3 ploughs around the holes for the coulters with the demesne's iron 6pence.</t>
  </si>
  <si>
    <t>1 ploughshare and 2 coulters bought new for the ploughs with repairs to the same 2 shilling 10pence.</t>
  </si>
  <si>
    <t>4 ox-yokes bought 9pence.</t>
  </si>
  <si>
    <t>15 ox-bows bought for the same 11pence.</t>
  </si>
  <si>
    <t>2 plough feet bought for ploughs 4pence.</t>
  </si>
  <si>
    <t>2 wheels bought for the same 4pence.</t>
  </si>
  <si>
    <t>oak withies bought for ploughs, for making the draught-chains (hart') therefrom, 1 shilling 1 pence.</t>
  </si>
  <si>
    <t>1 wheelbarrow bought 5pence.</t>
  </si>
  <si>
    <t>fitting 1 plough with a share-beam together with buying the share-beam 2pence.</t>
  </si>
  <si>
    <t>customary payment to 1 reeve and 4 ploughmen for their corrodies at Christmas and Easter 10pence Paid to 2 ploughmen and 1 carter for their pease pottage for the year 6 shilling 6pence, or .5pence each a week.</t>
  </si>
  <si>
    <t>peas</t>
  </si>
  <si>
    <t>.</t>
  </si>
  <si>
    <t>1 ox bought for ploughs 14 shilling Total, £1 17 shilling 11.5pence</t>
  </si>
  <si>
    <t>Cost of carts, wains and ironwork</t>
  </si>
  <si>
    <t>In 1 cart-horse bought £1 4 shilling.</t>
  </si>
  <si>
    <t>1 cart-horse bought at Abingdon £1 6 shilling.</t>
  </si>
  <si>
    <t>1 pair of new wheels bought for clearing dung 2 shilling 5.25pence.</t>
  </si>
  <si>
    <t>1 new cart saddle with 1 pair of new saddle-pads bought 10.75pence.</t>
  </si>
  <si>
    <t>2 new horse-collars bought 1 shilling 4pence.</t>
  </si>
  <si>
    <t>clouts, nails, grease, and fitting the cart with axles at various times, 10pence.</t>
  </si>
  <si>
    <t>white leather bought for harnesses 3pence.</t>
  </si>
  <si>
    <t>1 hame bought 2pence.</t>
  </si>
  <si>
    <t>1 tumbrel for dung bought 8pence.</t>
  </si>
  <si>
    <t>1 leather halter bought 3pence.</t>
  </si>
  <si>
    <t>shoeing 2 cart-horses for the year 1 shilling 7pence Total, £2 18 shilling 5pence</t>
  </si>
  <si>
    <t>Cost of wagons</t>
  </si>
  <si>
    <t>In 2 pairs of wheels bought for wagons 7 shilling 11pence.</t>
  </si>
  <si>
    <t>clouts, nails, grease bought for wagons 11pence.</t>
  </si>
  <si>
    <t>fitting the said 2 wagons with axles 6pence.</t>
  </si>
  <si>
    <t>hiring 1 carpenter to repair the bodies of wagons and to make 8 new frets for the abovesaid wheels for 5 days 1 shilling Total, 10 shilling 4pence</t>
  </si>
  <si>
    <t>Small necessaries</t>
  </si>
  <si>
    <t>In 2 sacks bought for carrying corn 1 shilling 4pence.</t>
  </si>
  <si>
    <t>1 linen sheet for winnowing (bintheamine ventator') bought 2 shilling 8pence.</t>
  </si>
  <si>
    <t>improving the vines 3pence.</t>
  </si>
  <si>
    <t>castrating 8 piglets 2pence.</t>
  </si>
  <si>
    <t>felling 15 cart-loads of wood in the wood of Wargrave and repairing to bring it 1 shilling 3pence.</t>
  </si>
  <si>
    <t>expenses of 2 horses for 1 night in search of the said wood 2pence.</t>
  </si>
  <si>
    <t>hiring 1 carpenter for 4 days to build the head of the fishpond at the mill for keeping fish and in sawing boards for the same 1 shilling.</t>
  </si>
  <si>
    <t>1 tripod bought for making the pottage of the manorial servants on 4.5pence.</t>
  </si>
  <si>
    <t>hiring 5 women to clear forage from the barn and to make a stack of forage therefrom for 1 day 5pence.</t>
  </si>
  <si>
    <t>forage bought from Matilda Semes for oxen 3 shilling 6pence.</t>
  </si>
  <si>
    <t>3 hoggets bought 5.25pence.</t>
  </si>
  <si>
    <t>1 padlock bought for the barn-door 1pence.</t>
  </si>
  <si>
    <t>mending 1 bushel measure 1pence.</t>
  </si>
  <si>
    <t>1 basket (sporta) bought 4.5pence.</t>
  </si>
  <si>
    <t>expenses of 2 of the lord's horses hidden for 2 days and 2 nights at Garsington so that they should not be taken for the king's use 5.5pence Total, 17 shilling 1.75.pence</t>
  </si>
  <si>
    <t>Threshing and winnowing</t>
  </si>
  <si>
    <t>In threshing 57 quarters 2 bushels of wheat by piece-work 9 shilling 6pence, at 2pence a quarters.</t>
  </si>
  <si>
    <t>threshing 49 quarters 6 bushels of barley 6 shilling 1.5pence, at 1.5pence a quarters.</t>
  </si>
  <si>
    <t>threshing 43 quarters 1 bushels of dredge by piece-work 4 shilling 5.75pence, at 1.25pence a quarters.</t>
  </si>
  <si>
    <t>threshing 1 quarters 3 bushels of vetches by piece-work 2.25..</t>
  </si>
  <si>
    <t>winnowing all the abovesaid corn, that is, 151 quarters 4 bushels of whatever kind of corn, 2 shilling 6pence, at 1pence per 5 quarters of whatever kind of corn by struck measure.</t>
  </si>
  <si>
    <t>wages of John Touresmere overseeing the threshing and winnowing of corn by the day, 4 shilling 3pence for 1 term, taking 1.5pence a day.</t>
  </si>
  <si>
    <t>stipend of the same 2 shilling, because he takes the rest up to 10 shilling elsewhere.</t>
  </si>
  <si>
    <t>Total, £1 9 shilling .5pence</t>
  </si>
  <si>
    <t>Purchase of corn</t>
  </si>
  <si>
    <t>In 3 quarters of beans bought for sowing 5 shilling, at 1 shilling 8pence a quarters.</t>
  </si>
  <si>
    <t>beans</t>
  </si>
  <si>
    <t>1 quarters of beans bought for the same and for fodder 1 shilling 8pence.</t>
  </si>
  <si>
    <t>1 quarters of beans bought for fodder 1 shilling 4.5pence.</t>
  </si>
  <si>
    <t>2 bushels of beans bought for the same 4.5pence Total, 8 shilling 5pence</t>
  </si>
  <si>
    <t>Cost of buildings</t>
  </si>
  <si>
    <t>In felling and sawing timber together with repairing the said timber to bring it from the wood of la Wassch' 1 shilling 6pence.</t>
  </si>
  <si>
    <t>1,000 lath-nails bought for the walls of the barn 10pence, that is, for fastening the laths.</t>
  </si>
  <si>
    <t>hiring 1 carpenter to repair the said barn with the said timber by piece-work 9 shilling 6pence.</t>
  </si>
  <si>
    <t>hiring 1 roofer to roof over 2 barns for 22.5 days 5 shilling 7.5pence, taking 3pence a day.</t>
  </si>
  <si>
    <t>3 women assisting him for the same time 5 shilling 7.5pence, or 1pence each a day.</t>
  </si>
  <si>
    <t>hiring a certain roofer to roof over the said barn for 1 day in winter 2pence.</t>
  </si>
  <si>
    <t>2 women assisting him for the same time 2pence.</t>
  </si>
  <si>
    <t>making 1 hinge for the gate and mending 2 latches for the hall door 1.5pence Total, £1 3 shilling 6.5pence</t>
  </si>
  <si>
    <t>Customary payments</t>
  </si>
  <si>
    <t>In food and drink for 41 men mowing 18 acres of meadow according to custom 6 shilling 10pence Total, 6 shilling 10pence</t>
  </si>
  <si>
    <t>Cost of the harvest</t>
  </si>
  <si>
    <t>In expenses of 5 harvest boon-works of 302 men reaping for a whole day, who reaped 228 acres of whatever kind of corn and had a meal twice a day, £1 17 shilling 9pence, and thus each took 1.5pence a day for 2 mea1 shilling.</t>
  </si>
  <si>
    <t>hiring 1 man to follow the cart in search of corn at harvest-time for 6 days 1 shilling, because the ploughmen were at the ploughs for the whole day.</t>
  </si>
  <si>
    <t>Total, £1 18 shilling 9pence</t>
  </si>
  <si>
    <t>Expenses of the bailiff and other expenses</t>
  </si>
  <si>
    <t>Paid to Roginald de Lynham, bailiff, for part of his wages, £2 for 1 term.</t>
  </si>
  <si>
    <t>Given to the clerk of the justices assessing the fifteenth for a certain distraint against the lord bishop, taken for the fifteenth, 6 shilling 8pence Given to the king's marshal for not taking the lord's hay 2 shilling 1pence.</t>
  </si>
  <si>
    <t>stipend of 1 overseer of the harvest for the year 6 shilling 8pence Total, £2 15 shilling 5pence</t>
  </si>
  <si>
    <t>Total of all expenses</t>
  </si>
  <si>
    <t>Total of all expenses, £14 5 shilling 10.25pence</t>
  </si>
  <si>
    <t>And he owes, £44 5 shilling 9.75pence</t>
  </si>
  <si>
    <t>Cash deliveries</t>
  </si>
  <si>
    <t>Delivered to Sir Geoffrey, treasurer of Wolvesey, by 1 tally, £33 10 shilling</t>
  </si>
  <si>
    <t>And thus he owes clear, £10 15 shilling 9.75pence</t>
  </si>
  <si>
    <t>Wheat</t>
  </si>
  <si>
    <t>(yield: . . . less . . .)</t>
  </si>
  <si>
    <t>The same render account for 81 quarters 7 bushels of wheat from the whole issue of the grange by 3 tallies of struck measure, of which 57 quarters threshed by piece-work and 24 quarters 5 bushels by labour service.</t>
  </si>
  <si>
    <t>14 quarters from churchscot at Martinmas.</t>
  </si>
  <si>
    <t>Total, 95 quarters 7 bushels</t>
  </si>
  <si>
    <t>Sown over 133 acres of land as they lie in the field, 23 quarters 5 bushels by 1 tally.</t>
  </si>
  <si>
    <t>that is, 1.5 bushels an acre, less 1 quarters 2 bushels in all.</t>
  </si>
  <si>
    <t>Delivered to 1 overseer of the harvest for the year, 3 quarters 2 bushels, because he takes the rest in barley, taking a quarter every 8 weeks.</t>
  </si>
  <si>
    <t>Sold, 68 quarters 7 bushels Sold at the audit, 1 bushels Total, 95 quarters 7 bushels None remains.</t>
  </si>
  <si>
    <t>Barley</t>
  </si>
  <si>
    <t>(yield: 4-fold plus 3 quarters 6 bushels)</t>
  </si>
  <si>
    <t>The same render account for 49 quarters 6 bushels of barley from the whole issue of the grange, threshed by piece-work by 1 tally of struck measure.</t>
  </si>
  <si>
    <t>Total, 49 quarters 6 bushels Sown over 26 acres of land as they lie in the field, 12 quarters 7 bushels by 1 tally.</t>
  </si>
  <si>
    <t>that is, 0.5 quarters an acre, less 1 bushels in all.</t>
  </si>
  <si>
    <t>Delivered to 1 overseer of the harvest for the year, 3 quarters 2 bushels, because he takes the rest in wheat, taking a quarter every 8 weeks.</t>
  </si>
  <si>
    <t>Delivered to 1 carter and 2 drovers for the year, 15 quarters 3.5 bushels, or 5 quarters 2 bushels each, taking a quarter every 10 weeks.</t>
  </si>
  <si>
    <t>Mixed with dredge for sowing as made clear below, 3 quarters.</t>
  </si>
  <si>
    <t>Sold, 14 quarters 3 bushels Sold at the audit, 5.5 bushels Total, 49 quarters 6 bushels None remains.</t>
  </si>
  <si>
    <t>Dredge</t>
  </si>
  <si>
    <t>(yield: three-fold less 3 quarters 7 bushels) The same render account for 51 quarters grange by 2 tallies of struck measure, and 4 quarters 2 bushels by labour service.</t>
  </si>
  <si>
    <t>3 sowing.</t>
  </si>
  <si>
    <t>Total, 54 quarters 5 bushels</t>
  </si>
  <si>
    <t>Sown over 63 acres of land as they lie plus 1 bushels in all.</t>
  </si>
  <si>
    <t>Sold, 20 quarters 6 bushels None remains. 5 bushels of dredge from the whole issue of the of which 43 quarters 1 bushels threshed by piece-work quarters of barley received to mix with dredge for in the field, 20 quarters 3 bushels.</t>
  </si>
  <si>
    <t>that is, 3 bushels an acre, Sold at the audit, 3.5 quarters.</t>
  </si>
  <si>
    <t>Vetches</t>
  </si>
  <si>
    <t>(yield: 4-fold, less 1 bushels)</t>
  </si>
  <si>
    <t>The same render account for 1 quarters 3 bushels of vetches from the issue of the grange, threshed by piece-work by struck measure.</t>
  </si>
  <si>
    <t>3 quarters from the same issue by estimation in sheaves for oxen.</t>
  </si>
  <si>
    <t>Total, 4 quarters 3 bushels</t>
  </si>
  <si>
    <t>Sown, 6 bushels.</t>
  </si>
  <si>
    <t>fodder of oxen by estimation in sheaves, 3 quarters.</t>
  </si>
  <si>
    <t>Sold, 5 bushels Total, 4 quarters 3 bushels None remains.</t>
  </si>
  <si>
    <t>Beans</t>
  </si>
  <si>
    <t>The same render account for 5 quarters 2 bushels of beans bought as noted above.</t>
  </si>
  <si>
    <t>Total, 5 quarters 2 bushels Sown over 7 acres of land, 3 quarters.</t>
  </si>
  <si>
    <t>fodder of 2 cart-horses, 2 quarters 2 bushels Total, 5 quarters 2 bushels None remains.</t>
  </si>
  <si>
    <t>Stock</t>
  </si>
  <si>
    <t>Cart-horses: 2 remain.</t>
  </si>
  <si>
    <t>2 from the heriot of John Miles for 2 tenements which he held of the bishop.</t>
  </si>
  <si>
    <t>2 bought as noted above.</t>
  </si>
  <si>
    <t>Total, 6. 4 solpence Total, 4. 2 remain.</t>
  </si>
  <si>
    <t>Oxen: 24 remain from the previous year.</t>
  </si>
  <si>
    <t>1 bought as noted above.</t>
  </si>
  <si>
    <t>Total, 25. 1 sold because rotten.</t>
  </si>
  <si>
    <t>Total, 1. 24 remain.</t>
  </si>
  <si>
    <t>Cows: 1 from the heriot of Walter Roed'.</t>
  </si>
  <si>
    <t>sold within.</t>
  </si>
  <si>
    <t>none remain.</t>
  </si>
  <si>
    <t>Pigs: 3 hoggets bought, 2 of them male.</t>
  </si>
  <si>
    <t>Total, 3. 2 solpence Total, 2. 1 female pig remains.</t>
  </si>
  <si>
    <t>Piglets: 8 from the offspring of the aforesaid young sow (succule).</t>
  </si>
  <si>
    <t>Total, 8. 8 remain aged 1 quarter.</t>
  </si>
  <si>
    <t>Peacocks: 3 remain.</t>
  </si>
  <si>
    <t>Total, 3. 1 in murrain.</t>
  </si>
  <si>
    <t>Total, 1. 2 remain, 1 of them male.</t>
  </si>
  <si>
    <t>Cocks and hens: 76 hens from churchscot at Martinmas.</t>
  </si>
  <si>
    <t>Total, 76.4 in default of the land of Ydelote because she withheld (angebat) her rent.</t>
  </si>
  <si>
    <t>2 in default of the land of Walter Gromes through his death.</t>
  </si>
  <si>
    <t>2 in default of the land of Stephen le Rop for the same.</t>
  </si>
  <si>
    <t>2 in default of the land of Robert atte Brok' for the same.</t>
  </si>
  <si>
    <t>66 solpence Total, 76. None remain.</t>
  </si>
  <si>
    <t>Carts: 2 remain, 1 of them wooden.</t>
  </si>
  <si>
    <t>1 wooden cart bought.</t>
  </si>
  <si>
    <t>Total, 3. 1 wooden cart usepence Total, 1. 2 remain, 1 of them wooden.</t>
  </si>
  <si>
    <t>Wagons: 2 wagons and 1 body of a wagon remain. 1 ewer, 1 basin remain. 2 sacks and 1 horse-collar bought.</t>
  </si>
  <si>
    <t>they remain.</t>
  </si>
  <si>
    <t>Error</t>
  </si>
  <si>
    <t>Total</t>
  </si>
  <si>
    <t>The same render account for £19 7 shilling 7.5pence from 68 quarters 7 bushels of wheat sold, at 5 shilling a qr for 4 quarters, and 5 shilling 8pence a qr for 64 quarters 7 bushels.</t>
  </si>
  <si>
    <t>£2 10 shilling 3.75pence from 14 quarters 3 bushels of barley sold, at 3 shilling 6pence a qr.</t>
  </si>
  <si>
    <t>£4 12 shilling 3pence from 30 quarters 6 bushels of dredge sold, at 3 shilling a qr.</t>
  </si>
  <si>
    <t>10 shilling 6pence from 3.5 quarters of dredge sold at the audit, at 3 shilling a qr.</t>
  </si>
  <si>
    <t>In threshing 57 quarters 2 bushels of wheat by piece-work 9 shilling 6pence, at 2pence a qr.</t>
  </si>
  <si>
    <t>threshing 49 quarters 6 bushels of barley 6 shilling 1.5pence, at 1.5pence a qr.</t>
  </si>
  <si>
    <t>threshing 43 quarters 1 bushels of dredge by piece-work 4 shilling 5.75pence, at 1.25pence a qr.</t>
  </si>
  <si>
    <t>In 3 quarters of beans bought for sowing 5 shilling, at 1 shilling 8pence a qr.</t>
  </si>
  <si>
    <t>1 qr of beans bought for the same and for fodder 1 shilling 8pence.</t>
  </si>
  <si>
    <t>1 qr of beans bought for fodder 1 shilling 4.5pence.</t>
  </si>
  <si>
    <t>added</t>
  </si>
  <si>
    <t>sold</t>
  </si>
  <si>
    <t>Cart-horses</t>
  </si>
  <si>
    <t>Oxen</t>
  </si>
  <si>
    <t>Cows</t>
  </si>
  <si>
    <t>Pigs</t>
  </si>
  <si>
    <t>Piglets</t>
  </si>
  <si>
    <t>Peacocks</t>
  </si>
  <si>
    <t>Poultry stock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</si>
  <si>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</si>
  <si>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</si>
  <si>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</si>
  <si>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</si>
  <si>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</si>
  <si>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</si>
  <si>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</si>
  <si>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</si>
  <si>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</si>
  <si>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</si>
  <si>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</si>
  <si>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</si>
  <si>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</si>
  <si>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</si>
  <si>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</si>
  <si>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</si>
  <si>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</si>
  <si>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</si>
  <si>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</si>
  <si>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</si>
  <si>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</si>
  <si>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</si>
  <si>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</si>
  <si>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that is, 1.5 bushels an acre, less 1 qr 2 bushels in all.</t>
  </si>
  <si>
    <t>that is, 0.5 qr an acre, less 1 bushels in all.</t>
  </si>
  <si>
    <t>The same render account for 1 qr 3 bushels of vetches from the issue of the grange, threshed by piece-work by struck measure.</t>
  </si>
  <si>
    <t>Gross Output</t>
  </si>
  <si>
    <t>Difference Produced+Bought-Sold</t>
  </si>
  <si>
    <t>Weighted Average Price per Quarter</t>
  </si>
  <si>
    <t>Non-Weighted Average Price per Quarter</t>
  </si>
  <si>
    <t>Value of Total Production weighted</t>
  </si>
  <si>
    <t>Maslin</t>
  </si>
  <si>
    <t>Oatmeal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</si>
  <si>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</si>
  <si>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</si>
  <si>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</si>
  <si>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</si>
  <si>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</si>
  <si>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</si>
  <si>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</si>
  <si>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</si>
  <si>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inf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</si>
  <si>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</si>
  <si>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</si>
  <si>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</si>
  <si>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</si>
  <si>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</si>
  <si>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</si>
  <si>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</si>
  <si>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</si>
  <si>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</si>
  <si>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</si>
  <si>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</si>
  <si>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</si>
  <si>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</si>
  <si>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</si>
  <si>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</si>
  <si>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</si>
  <si>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</si>
  <si>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</si>
  <si>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</si>
  <si>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</si>
  <si>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</si>
  <si>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</si>
  <si>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</si>
  <si>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</si>
  <si>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</si>
  <si>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</si>
  <si>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</si>
  <si>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</si>
  <si>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</si>
  <si>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</si>
  <si>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</si>
  <si>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</si>
  <si>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</si>
  <si>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</si>
  <si>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</si>
  <si>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</si>
  <si>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</si>
  <si>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</si>
  <si>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</si>
  <si>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</si>
  <si>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</si>
  <si>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</si>
  <si>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</si>
  <si>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</si>
  <si>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</si>
  <si>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</si>
  <si>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</si>
  <si>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</si>
  <si>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</si>
  <si>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</si>
  <si>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</si>
  <si>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</si>
  <si>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</si>
  <si>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</si>
  <si>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</si>
  <si>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</si>
  <si>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</si>
  <si>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</si>
  <si>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1st grade malt</t>
  </si>
  <si>
    <t>2nd grade malt</t>
  </si>
  <si>
    <t>Total value of production (sum of the above)</t>
  </si>
  <si>
    <t>STOCK ACCOUNT</t>
  </si>
  <si>
    <t>Livestock</t>
  </si>
  <si>
    <t>Mares</t>
  </si>
  <si>
    <t>Plough horses</t>
  </si>
  <si>
    <t>Colts (2 years)</t>
  </si>
  <si>
    <t>Colts (1 year)</t>
  </si>
  <si>
    <t>Foals</t>
  </si>
  <si>
    <t>Bulls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</si>
  <si>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</si>
  <si>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</si>
  <si>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</si>
  <si>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</si>
  <si>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</si>
  <si>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</si>
  <si>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</si>
  <si>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</si>
  <si>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</si>
  <si>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</si>
  <si>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</si>
  <si>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Hoggets</t>
  </si>
  <si>
    <t>Swans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</si>
  <si>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</si>
  <si>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</si>
  <si>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</si>
  <si>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</si>
  <si>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</si>
  <si>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</si>
  <si>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</si>
  <si>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</si>
  <si>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</si>
  <si>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</si>
  <si>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</si>
  <si>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</si>
  <si>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</si>
  <si>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</si>
  <si>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</si>
  <si>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</si>
  <si>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</si>
  <si>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</si>
  <si>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</si>
  <si>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</si>
  <si>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</si>
  <si>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</si>
  <si>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</si>
  <si>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</si>
  <si>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</si>
  <si>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</si>
  <si>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</si>
  <si>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</si>
  <si>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</si>
  <si>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</si>
  <si>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</si>
  <si>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</si>
  <si>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</si>
  <si>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</si>
  <si>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</si>
  <si>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</si>
  <si>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</si>
  <si>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</si>
  <si>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</si>
  <si>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</si>
  <si>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</si>
  <si>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</si>
  <si>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</si>
  <si>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</si>
  <si>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</si>
  <si>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</si>
  <si>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</si>
  <si>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</si>
  <si>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</si>
  <si>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HARWELL</t>
  </si>
  <si>
    <t>Total in £</t>
  </si>
  <si>
    <t>Note</t>
  </si>
  <si>
    <t>HARWELL RECEIPTS</t>
  </si>
  <si>
    <t>£</t>
  </si>
  <si>
    <t xml:space="preserve">s </t>
  </si>
  <si>
    <t>d</t>
  </si>
  <si>
    <t>Notes</t>
  </si>
  <si>
    <t>Own notes</t>
  </si>
  <si>
    <t>HARWELL EXPENSES</t>
  </si>
  <si>
    <t>Fixed investment</t>
  </si>
  <si>
    <t>Demesne fixed investment</t>
  </si>
  <si>
    <t xml:space="preserve">In default of the rent of 1 croft which Roger Gunth' held drawn into demesne 3 shilling </t>
  </si>
  <si>
    <t>Total, 3 shilling</t>
  </si>
  <si>
    <t>Total, £6 3 shilling 7pence</t>
  </si>
  <si>
    <t>£1 7shilling 6pence from 2 horses from the heriot of John Miles for 2 virgates of land which he held of the bishop sold to the relict of the same John.</t>
  </si>
  <si>
    <t xml:space="preserve">1 ox bought for ploughs 14 shilling </t>
  </si>
  <si>
    <t>Total, £1 17 shilling 11.5pence</t>
  </si>
  <si>
    <t xml:space="preserve">expenses of 2 of the lord's horses hidden for 2 days and 2 nights at Garsington so that they should not be taken for the king's use 5.5pence </t>
  </si>
  <si>
    <t>Total, 17 shilling 1.75.pence</t>
  </si>
  <si>
    <t>threshing 1 qr 3 bushels of vetches by piece-work 2.25 pence</t>
  </si>
  <si>
    <t xml:space="preserve">2 bushels of beans bought for the same 4.5pence </t>
  </si>
  <si>
    <t>Total, 8 shilling 5pence</t>
  </si>
  <si>
    <t xml:space="preserve">making 1 hinge for the gate and mending 2 latches for the hall door 1.5pence </t>
  </si>
  <si>
    <t>Total, £1 3 shilling 6.5pence</t>
  </si>
  <si>
    <t xml:space="preserve">In food and drink for 41 men mowing 18 acres of meadow according to custom 6 shilling 10pence </t>
  </si>
  <si>
    <t>Total, 6 shilling 10pence</t>
  </si>
  <si>
    <t>Colts (unspecified years)</t>
  </si>
  <si>
    <t>Total Value</t>
  </si>
  <si>
    <t>Total wool</t>
  </si>
  <si>
    <t>Mare</t>
  </si>
  <si>
    <t>Steer</t>
  </si>
  <si>
    <t>calves</t>
  </si>
  <si>
    <t>pigs</t>
  </si>
  <si>
    <t>Woolskins (incl. 10 in tithe)</t>
  </si>
  <si>
    <t>wethers</t>
  </si>
  <si>
    <t>rams</t>
  </si>
  <si>
    <t>ewes</t>
  </si>
  <si>
    <t>hoggs</t>
  </si>
  <si>
    <t>Woolskins (excl. 10 in tithe)</t>
  </si>
  <si>
    <t>Bareskins</t>
  </si>
  <si>
    <t>Lambskins (excl. 8 in tithe)</t>
  </si>
  <si>
    <t xml:space="preserve">Total </t>
  </si>
  <si>
    <t>Total poultry stock</t>
  </si>
  <si>
    <t>Total poultry excluding churchscot</t>
  </si>
  <si>
    <t>Meat</t>
  </si>
  <si>
    <t>Beef</t>
  </si>
  <si>
    <t>Mutton</t>
  </si>
  <si>
    <t>Pork</t>
  </si>
  <si>
    <t>Cheese</t>
  </si>
  <si>
    <t>Winter cheese</t>
  </si>
  <si>
    <t>Summer cheese</t>
  </si>
  <si>
    <t>Total Dairy Sales</t>
  </si>
  <si>
    <t>Cider</t>
  </si>
  <si>
    <t>Additional Information (not necessarily useful)</t>
  </si>
  <si>
    <t>Utensils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</si>
  <si>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</si>
  <si>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</si>
  <si>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</si>
  <si>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</si>
  <si>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</si>
  <si>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</si>
  <si>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</si>
  <si>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</si>
  <si>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</si>
  <si>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</si>
  <si>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</si>
  <si>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</si>
  <si>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</si>
  <si>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</si>
  <si>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</si>
  <si>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</si>
  <si>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</si>
  <si>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</si>
  <si>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</si>
  <si>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</si>
  <si>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</si>
  <si>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</si>
  <si>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</si>
  <si>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</si>
  <si>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</si>
  <si>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subtracted</t>
  </si>
  <si>
    <t>Inherited stock</t>
  </si>
  <si>
    <t>strays</t>
  </si>
  <si>
    <t>herbage</t>
  </si>
  <si>
    <t>churchscot</t>
  </si>
  <si>
    <t>of which in default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</si>
  <si>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</si>
  <si>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</si>
  <si>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</si>
  <si>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</si>
  <si>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</si>
  <si>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</si>
  <si>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</si>
  <si>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</si>
  <si>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</si>
  <si>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</si>
  <si>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</si>
  <si>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</si>
  <si>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</si>
  <si>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HARWELL STOCK ACCOUNT</t>
  </si>
  <si>
    <t>Total Quantity</t>
  </si>
  <si>
    <t>Received from churchscot</t>
  </si>
  <si>
    <t>Total Production</t>
  </si>
  <si>
    <t>Sales of corn (as recorded in accounts)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</si>
  <si>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</si>
  <si>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</si>
  <si>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</si>
  <si>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</si>
  <si>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</si>
  <si>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</si>
  <si>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</si>
  <si>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</si>
  <si>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</si>
  <si>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</si>
  <si>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</si>
  <si>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</si>
  <si>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</si>
  <si>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</si>
  <si>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</si>
  <si>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</si>
  <si>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dredge</t>
  </si>
  <si>
    <t>sale of peacock feathers</t>
  </si>
  <si>
    <t>1 pence from the tail of 1 peacock sold</t>
  </si>
  <si>
    <t>Total of all receipts recorded in accounts</t>
  </si>
  <si>
    <t>Total cross-check without arrears</t>
  </si>
  <si>
    <t>Total cross-check with arrears</t>
  </si>
  <si>
    <t>And he owes</t>
  </si>
  <si>
    <t xml:space="preserve">shoeing 2 cart-horses for the year 1 shilling 7pence </t>
  </si>
  <si>
    <t>Total, £2 18 shilling 5pence</t>
  </si>
  <si>
    <t xml:space="preserve">hiring 1 carpenter to repair the bodies of wagons and to make 8 new frets for the abovesaid wheels for 5 days 1 shilling </t>
  </si>
  <si>
    <t>Total, 10 shilling 4pence</t>
  </si>
  <si>
    <t xml:space="preserve">stipend of 1 overseer of the harvest for the year 6 shilling 8pence </t>
  </si>
  <si>
    <t>Total, £2 15 shilling 5pence</t>
  </si>
  <si>
    <t xml:space="preserve">Given to the clerk of the justices assessing the fifteenth for a certain distraint against the lord bishop, taken for the fifteenth, 6 shilling 8pence </t>
  </si>
  <si>
    <t>Given to the king's marshal for not taking the lord's hay 2 shilling 1pence.</t>
  </si>
  <si>
    <t>no total given in accounts</t>
  </si>
  <si>
    <t>qrs</t>
  </si>
  <si>
    <t>Value of total gross production in £</t>
  </si>
  <si>
    <t>Value of total net production in £</t>
  </si>
  <si>
    <t>Sales value in £</t>
  </si>
  <si>
    <t>Value of production at sales prices 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</si>
</sst>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"/>
    </font>
    <font>
      <sz val="11"/>
      <color rgb="FFFF0000"/>
      <name val="Calibri (Body)"/>
    </font>
    <font>
      <b/>
      <sz val="12"/>
      <name val="Calibri"/>
      <family val="2"/>
    </font>
    <font>
      <b/>
      <sz val="12"/>
      <color rgb="FFFF0000"/>
      <name val="Calibri (Body)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1" xfId="0" applyFont="1" applyBorder="1" applyAlignment="1">
      <alignment horizontal="center" vertical="top"/>
    </xf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2" fillId="0" borderId="0" xfId="0" applyFont="1"/>
    <xf numFmtId="0" fontId="7" fillId="3" borderId="2" xfId="0" applyFont="1" applyFill="1" applyBorder="1"/>
    <xf numFmtId="0" fontId="7" fillId="3" borderId="0" xfId="0" applyFont="1" applyFill="1"/>
    <xf numFmtId="0" fontId="8" fillId="2" borderId="0" xfId="0" applyFont="1" applyFill="1"/>
    <xf numFmtId="0" fontId="6" fillId="0" borderId="3" xfId="0" applyFont="1" applyBorder="1"/>
    <xf numFmtId="0" fontId="4" fillId="0" borderId="0" xfId="0" applyFont="1"/>
    <xf numFmtId="0" fontId="6" fillId="4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2" borderId="0" xfId="0" applyFont="1" applyFill="1"/>
    <xf numFmtId="0" fontId="5" fillId="6" borderId="0" xfId="0" applyFont="1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9" fillId="6" borderId="0" xfId="0" applyFont="1" applyFill="1"/>
    <xf numFmtId="0" fontId="6" fillId="0" borderId="4" xfId="0" applyFont="1" applyBorder="1"/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left"/>
    </xf>
    <xf numFmtId="0" fontId="6" fillId="3" borderId="5" xfId="0" applyFont="1" applyFill="1" applyBorder="1"/>
    <xf numFmtId="0" fontId="9" fillId="2" borderId="6" xfId="0" applyFont="1" applyFill="1" applyBorder="1"/>
    <xf numFmtId="0" fontId="9" fillId="5" borderId="6" xfId="0" applyFont="1" applyFill="1" applyBorder="1"/>
    <xf numFmtId="0" fontId="6" fillId="0" borderId="6" xfId="0" applyFont="1" applyBorder="1"/>
    <xf numFmtId="10" fontId="9" fillId="2" borderId="6" xfId="0" applyNumberFormat="1" applyFont="1" applyFill="1" applyBorder="1"/>
    <xf numFmtId="10" fontId="9" fillId="5" borderId="7" xfId="0" applyNumberFormat="1" applyFont="1" applyFill="1" applyBorder="1"/>
    <xf numFmtId="2" fontId="5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11" fillId="0" borderId="0" xfId="0" applyFont="1"/>
    <xf numFmtId="0" fontId="13" fillId="0" borderId="0" xfId="0" applyFont="1" applyAlignment="1">
      <alignment horizontal="center" vertical="top"/>
    </xf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left" vertical="top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12" fillId="0" borderId="0" xfId="0" applyNumberFormat="1" applyFont="1"/>
    <xf numFmtId="2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 vertical="center" wrapText="1"/>
    </xf>
    <xf numFmtId="0" fontId="15" fillId="7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8" borderId="0" xfId="0" applyFill="1"/>
    <xf numFmtId="0" fontId="15" fillId="3" borderId="0" xfId="0" applyFont="1" applyFill="1"/>
    <xf numFmtId="0" fontId="15" fillId="0" borderId="0" xfId="0" applyFont="1"/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18" fillId="0" borderId="0" xfId="0" applyFont="1"/>
    <xf numFmtId="0" fontId="0" fillId="9" borderId="0" xfId="0" applyFill="1"/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19" fillId="0" borderId="8" xfId="0" applyFont="1" applyBorder="1" applyAlignment="1">
      <alignment wrapText="1"/>
    </xf>
    <xf numFmtId="2" fontId="18" fillId="0" borderId="0" xfId="0" applyNumberFormat="1" applyFont="1" applyAlignment="1">
      <alignment horizontal="right" wrapText="1"/>
    </xf>
    <xf numFmtId="0" fontId="0" fillId="10" borderId="0" xfId="0" applyFill="1"/>
    <xf numFmtId="2" fontId="20" fillId="0" borderId="0" xfId="0" applyNumberFormat="1" applyFont="1"/>
    <xf numFmtId="0" fontId="0" fillId="0" borderId="8" xfId="0" applyBorder="1"/>
    <xf numFmtId="0" fontId="0" fillId="7" borderId="0" xfId="0" applyFill="1"/>
    <xf numFmtId="2" fontId="0" fillId="7" borderId="0" xfId="0" applyNumberFormat="1" applyFill="1"/>
    <xf numFmtId="2" fontId="4" fillId="0" borderId="0" xfId="0" applyNumberFormat="1" applyFont="1" applyAlignment="1">
      <alignment horizontal="right"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2" fontId="1" fillId="3" borderId="0" xfId="0" applyNumberFormat="1" applyFont="1" applyFill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4" fillId="0" borderId="0" xfId="0" applyNumberFormat="1" applyFont="1"/>
    <xf numFmtId="2" fontId="0" fillId="3" borderId="0" xfId="0" applyNumberFormat="1" applyFill="1"/>
    <xf numFmtId="0" fontId="21" fillId="3" borderId="0" xfId="0" applyFont="1" applyFill="1"/>
    <xf numFmtId="0" fontId="18" fillId="3" borderId="0" xfId="0" applyFont="1" applyFill="1"/>
    <xf numFmtId="0" fontId="0" fillId="0" borderId="10" xfId="0" applyBorder="1"/>
    <xf numFmtId="0" fontId="0" fillId="0" borderId="11" xfId="0" applyBorder="1"/>
    <xf numFmtId="0" fontId="0" fillId="0" borderId="9" xfId="0" applyBorder="1"/>
    <xf numFmtId="2" fontId="0" fillId="0" borderId="10" xfId="0" applyNumberFormat="1" applyBorder="1"/>
    <xf numFmtId="10" fontId="0" fillId="0" borderId="1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9"/>
  <sheetViews>
    <sheetView tabSelected="1" workbookViewId="0">
      <pane xSplit="1" ySplit="1" topLeftCell="B158" activePane="bottomRight" state="frozen"/>
      <selection pane="topRight" activeCell="B1" sqref="B1"/>
      <selection pane="bottomLeft" activeCell="A2" sqref="A2"/>
      <selection pane="bottomRight" activeCell="B171" sqref="B171"/>
    </sheetView>
  </sheetViews>
  <sheetFormatPr baseColWidth="10" defaultColWidth="8.83203125" defaultRowHeight="16" x14ac:dyDescent="0.2"/>
  <cols>
    <col min="1" max="1" width="80" style="5" bestFit="1" customWidth="1"/>
    <col min="2" max="2" width="29.1640625" bestFit="1" customWidth="1"/>
    <col min="5" max="5" width="30.83203125" bestFit="1" customWidth="1"/>
    <col min="6" max="6" width="29.33203125" bestFit="1" customWidth="1"/>
  </cols>
  <sheetData>
    <row r="1" spans="1:4" x14ac:dyDescent="0.2">
      <c r="A1" s="2" t="s">
        <v>456</v>
      </c>
      <c r="B1" s="28" t="s">
        <v>457</v>
      </c>
      <c r="C1" s="29" t="s">
        <v>262</v>
      </c>
      <c r="D1" s="10" t="s">
        <v>458</v>
      </c>
    </row>
    <row r="2" spans="1:4" x14ac:dyDescent="0.2">
      <c r="A2" s="2" t="s">
        <v>325</v>
      </c>
    </row>
    <row r="3" spans="1:4" x14ac:dyDescent="0.2">
      <c r="A3" s="3" t="s">
        <v>326</v>
      </c>
    </row>
    <row r="4" spans="1:4" x14ac:dyDescent="0.2">
      <c r="A4" s="4" t="s">
        <v>327</v>
      </c>
    </row>
    <row r="5" spans="1:4" x14ac:dyDescent="0.2">
      <c r="A5" s="4" t="s">
        <v>328</v>
      </c>
    </row>
    <row r="6" spans="1:4" x14ac:dyDescent="0.2">
      <c r="A6" s="4" t="s">
        <v>329</v>
      </c>
    </row>
    <row r="7" spans="1:4" x14ac:dyDescent="0.2">
      <c r="A7" s="4" t="s">
        <v>330</v>
      </c>
    </row>
    <row r="8" spans="1:4" x14ac:dyDescent="0.2">
      <c r="A8" s="5" t="s">
        <v>331</v>
      </c>
    </row>
    <row r="9" spans="1:4" x14ac:dyDescent="0.2">
      <c r="A9" s="5" t="s">
        <v>332</v>
      </c>
    </row>
    <row r="10" spans="1:4" x14ac:dyDescent="0.2">
      <c r="A10" s="5" t="s">
        <v>333</v>
      </c>
    </row>
    <row r="11" spans="1:4" x14ac:dyDescent="0.2">
      <c r="A11" s="5" t="s">
        <v>334</v>
      </c>
    </row>
    <row r="12" spans="1:4" x14ac:dyDescent="0.2">
      <c r="A12" s="5" t="s">
        <v>335</v>
      </c>
    </row>
    <row r="13" spans="1:4" x14ac:dyDescent="0.2">
      <c r="A13" s="5" t="s">
        <v>336</v>
      </c>
    </row>
    <row r="14" spans="1:4" x14ac:dyDescent="0.2">
      <c r="A14" s="4" t="s">
        <v>337</v>
      </c>
    </row>
    <row r="15" spans="1:4" x14ac:dyDescent="0.2">
      <c r="A15" s="4" t="s">
        <v>338</v>
      </c>
    </row>
    <row r="16" spans="1:4" x14ac:dyDescent="0.2">
      <c r="A16" s="5" t="s">
        <v>339</v>
      </c>
    </row>
    <row r="17" spans="1:4" x14ac:dyDescent="0.2">
      <c r="A17" s="5" t="s">
        <v>340</v>
      </c>
    </row>
    <row r="18" spans="1:4" x14ac:dyDescent="0.2">
      <c r="A18" s="4" t="s">
        <v>341</v>
      </c>
    </row>
    <row r="19" spans="1:4" x14ac:dyDescent="0.2">
      <c r="A19" s="4" t="s">
        <v>342</v>
      </c>
    </row>
    <row r="20" spans="1:4" x14ac:dyDescent="0.2">
      <c r="A20" s="4" t="s">
        <v>343</v>
      </c>
    </row>
    <row r="21" spans="1:4" x14ac:dyDescent="0.2">
      <c r="A21" s="5" t="s">
        <v>344</v>
      </c>
    </row>
    <row r="22" spans="1:4" x14ac:dyDescent="0.2">
      <c r="A22" s="5" t="s">
        <v>345</v>
      </c>
    </row>
    <row r="23" spans="1:4" x14ac:dyDescent="0.2">
      <c r="A23" s="6" t="s">
        <v>346</v>
      </c>
      <c r="B23" s="44">
        <f>Receipts!F70</f>
        <v>52.814166666666665</v>
      </c>
    </row>
    <row r="24" spans="1:4" x14ac:dyDescent="0.2">
      <c r="A24" s="7" t="s">
        <v>347</v>
      </c>
      <c r="B24" s="44">
        <f>Receipts!F71</f>
        <v>79.984166666666667</v>
      </c>
    </row>
    <row r="25" spans="1:4" x14ac:dyDescent="0.2">
      <c r="A25" s="8" t="s">
        <v>348</v>
      </c>
      <c r="D25" t="s">
        <v>592</v>
      </c>
    </row>
    <row r="26" spans="1:4" x14ac:dyDescent="0.2">
      <c r="A26" s="8" t="s">
        <v>349</v>
      </c>
    </row>
    <row r="27" spans="1:4" x14ac:dyDescent="0.2">
      <c r="A27" s="4"/>
    </row>
    <row r="28" spans="1:4" x14ac:dyDescent="0.2">
      <c r="A28" s="4"/>
    </row>
    <row r="29" spans="1:4" x14ac:dyDescent="0.2">
      <c r="A29" s="3" t="s">
        <v>350</v>
      </c>
    </row>
    <row r="30" spans="1:4" x14ac:dyDescent="0.2">
      <c r="A30" s="4" t="s">
        <v>351</v>
      </c>
    </row>
    <row r="31" spans="1:4" x14ac:dyDescent="0.2">
      <c r="A31" s="4" t="s">
        <v>352</v>
      </c>
    </row>
    <row r="32" spans="1:4" x14ac:dyDescent="0.2">
      <c r="A32" s="4" t="s">
        <v>353</v>
      </c>
    </row>
    <row r="33" spans="1:2" x14ac:dyDescent="0.2">
      <c r="A33" s="4" t="s">
        <v>354</v>
      </c>
    </row>
    <row r="34" spans="1:2" x14ac:dyDescent="0.2">
      <c r="A34" s="4" t="s">
        <v>355</v>
      </c>
    </row>
    <row r="35" spans="1:2" x14ac:dyDescent="0.2">
      <c r="A35" s="4" t="s">
        <v>356</v>
      </c>
    </row>
    <row r="36" spans="1:2" x14ac:dyDescent="0.2">
      <c r="A36" s="4" t="s">
        <v>357</v>
      </c>
    </row>
    <row r="37" spans="1:2" x14ac:dyDescent="0.2">
      <c r="A37" s="4" t="s">
        <v>358</v>
      </c>
    </row>
    <row r="38" spans="1:2" x14ac:dyDescent="0.2">
      <c r="A38" s="4" t="s">
        <v>359</v>
      </c>
    </row>
    <row r="39" spans="1:2" x14ac:dyDescent="0.2">
      <c r="A39" s="4" t="s">
        <v>360</v>
      </c>
    </row>
    <row r="40" spans="1:2" x14ac:dyDescent="0.2">
      <c r="A40" s="4" t="s">
        <v>361</v>
      </c>
    </row>
    <row r="41" spans="1:2" x14ac:dyDescent="0.2">
      <c r="A41" s="4" t="s">
        <v>362</v>
      </c>
    </row>
    <row r="42" spans="1:2" x14ac:dyDescent="0.2">
      <c r="A42" s="4" t="s">
        <v>363</v>
      </c>
    </row>
    <row r="43" spans="1:2" x14ac:dyDescent="0.2">
      <c r="A43" s="9" t="s">
        <v>364</v>
      </c>
    </row>
    <row r="44" spans="1:2" x14ac:dyDescent="0.2">
      <c r="A44" s="7" t="s">
        <v>365</v>
      </c>
      <c r="B44" s="44">
        <f>Expenses!F112</f>
        <v>14.29</v>
      </c>
    </row>
    <row r="45" spans="1:2" x14ac:dyDescent="0.2">
      <c r="A45" s="7" t="s">
        <v>366</v>
      </c>
      <c r="B45" s="44">
        <f>Expenses!F113</f>
        <v>14.073958333333332</v>
      </c>
    </row>
    <row r="46" spans="1:2" x14ac:dyDescent="0.2">
      <c r="A46" s="7" t="s">
        <v>367</v>
      </c>
      <c r="B46" s="44">
        <f>Expenses!F114</f>
        <v>3.3554166666666672</v>
      </c>
    </row>
    <row r="47" spans="1:2" x14ac:dyDescent="0.2">
      <c r="A47" s="7" t="s">
        <v>368</v>
      </c>
      <c r="B47" s="44">
        <f>Expenses!F115</f>
        <v>3.030416666666667</v>
      </c>
    </row>
    <row r="48" spans="1:2" x14ac:dyDescent="0.2">
      <c r="A48" s="10"/>
    </row>
    <row r="49" spans="1:6" x14ac:dyDescent="0.2">
      <c r="A49" s="11" t="s">
        <v>369</v>
      </c>
    </row>
    <row r="50" spans="1:6" x14ac:dyDescent="0.2">
      <c r="A50" s="11" t="s">
        <v>370</v>
      </c>
    </row>
    <row r="51" spans="1:6" x14ac:dyDescent="0.2">
      <c r="A51" s="4"/>
    </row>
    <row r="52" spans="1:6" x14ac:dyDescent="0.2">
      <c r="A52" s="11" t="s">
        <v>371</v>
      </c>
    </row>
    <row r="53" spans="1:6" x14ac:dyDescent="0.2">
      <c r="A53" s="11" t="s">
        <v>192</v>
      </c>
    </row>
    <row r="54" spans="1:6" x14ac:dyDescent="0.2">
      <c r="A54" s="12" t="s">
        <v>372</v>
      </c>
    </row>
    <row r="55" spans="1:6" x14ac:dyDescent="0.2">
      <c r="A55" s="13" t="s">
        <v>373</v>
      </c>
    </row>
    <row r="56" spans="1:6" x14ac:dyDescent="0.2">
      <c r="A56" s="4"/>
    </row>
    <row r="57" spans="1:6" x14ac:dyDescent="0.2">
      <c r="A57" s="11" t="s">
        <v>374</v>
      </c>
    </row>
    <row r="58" spans="1:6" x14ac:dyDescent="0.2">
      <c r="A58" s="11" t="s">
        <v>375</v>
      </c>
    </row>
    <row r="59" spans="1:6" x14ac:dyDescent="0.2">
      <c r="A59" s="4"/>
    </row>
    <row r="60" spans="1:6" x14ac:dyDescent="0.2">
      <c r="A60" s="3" t="s">
        <v>376</v>
      </c>
      <c r="B60" s="78" t="s">
        <v>559</v>
      </c>
      <c r="C60" s="78"/>
      <c r="D60" s="79"/>
      <c r="E60" s="79"/>
      <c r="F60" s="80"/>
    </row>
    <row r="61" spans="1:6" x14ac:dyDescent="0.2">
      <c r="A61" s="2" t="s">
        <v>377</v>
      </c>
      <c r="B61" s="81" t="s">
        <v>593</v>
      </c>
      <c r="C61" s="82"/>
      <c r="D61" s="77"/>
      <c r="E61" s="83" t="s">
        <v>594</v>
      </c>
      <c r="F61" s="83" t="s">
        <v>595</v>
      </c>
    </row>
    <row r="62" spans="1:6" ht="15" x14ac:dyDescent="0.2">
      <c r="A62" t="s">
        <v>77</v>
      </c>
      <c r="B62" s="44">
        <f>'Issues of the Grange'!B2</f>
        <v>95.875</v>
      </c>
      <c r="E62" s="44">
        <f>'Issues of the Grange'!I2</f>
        <v>26.949117647058831</v>
      </c>
      <c r="F62" s="44">
        <f>'Issues of the Grange'!O13</f>
        <v>19.39493212669684</v>
      </c>
    </row>
    <row r="63" spans="1:6" ht="15" x14ac:dyDescent="0.2">
      <c r="A63" t="s">
        <v>79</v>
      </c>
      <c r="B63" s="44">
        <f>'Issues of the Grange'!B3</f>
        <v>49.75</v>
      </c>
      <c r="E63" s="44">
        <f>'Issues of the Grange'!I3</f>
        <v>8.6976486860304298</v>
      </c>
      <c r="F63" s="44">
        <f>'Issues of the Grange'!O14</f>
        <v>2.6551867219917016</v>
      </c>
    </row>
    <row r="64" spans="1:6" ht="15" x14ac:dyDescent="0.2">
      <c r="A64" t="s">
        <v>577</v>
      </c>
      <c r="B64" s="44">
        <f>'Issues of the Grange'!B4</f>
        <v>54.625</v>
      </c>
      <c r="E64" s="44">
        <f>'Issues of the Grange'!I4</f>
        <v>8.1937499999999996</v>
      </c>
      <c r="F64" s="44">
        <f>'Issues of the Grange'!O15</f>
        <v>5.1375000000000002</v>
      </c>
    </row>
    <row r="65" spans="1:6" ht="15" x14ac:dyDescent="0.2">
      <c r="A65" t="s">
        <v>82</v>
      </c>
      <c r="B65" s="44">
        <f>'Issues of the Grange'!B5</f>
        <v>4.375</v>
      </c>
      <c r="E65" s="44">
        <f>'Issues of the Grange'!I5</f>
        <v>0.21875</v>
      </c>
      <c r="F65" s="44">
        <f>'Issues of the Grange'!O16</f>
        <v>3.125E-2</v>
      </c>
    </row>
    <row r="66" spans="1:6" ht="15" x14ac:dyDescent="0.2">
      <c r="A66" t="s">
        <v>166</v>
      </c>
      <c r="B66" s="44">
        <f>'Issues of the Grange'!B6</f>
        <v>5.25</v>
      </c>
      <c r="E66" s="44">
        <f>'Issues of the Grange'!I6</f>
        <v>0</v>
      </c>
      <c r="F66" s="44">
        <f>'Issues of the Grange'!O17</f>
        <v>0</v>
      </c>
    </row>
    <row r="67" spans="1:6" x14ac:dyDescent="0.2">
      <c r="A67" s="14" t="s">
        <v>378</v>
      </c>
      <c r="B67" s="84">
        <f>SUM(E62:E66)</f>
        <v>44.059266333089262</v>
      </c>
      <c r="C67" s="85"/>
      <c r="D67" s="58"/>
      <c r="E67" s="58"/>
      <c r="F67" s="58"/>
    </row>
    <row r="68" spans="1:6" x14ac:dyDescent="0.2">
      <c r="A68" s="14" t="s">
        <v>379</v>
      </c>
      <c r="B68" s="84">
        <f>SUM(F62:F66)</f>
        <v>27.21886884868854</v>
      </c>
      <c r="C68" s="85"/>
      <c r="D68" s="58"/>
      <c r="E68" s="58"/>
      <c r="F68" s="58"/>
    </row>
    <row r="69" spans="1:6" x14ac:dyDescent="0.2">
      <c r="A69" s="14" t="s">
        <v>380</v>
      </c>
      <c r="B69" s="84">
        <f>Receipts!F57</f>
        <v>27.22</v>
      </c>
      <c r="C69" s="85"/>
      <c r="D69" s="58"/>
      <c r="E69" s="58"/>
      <c r="F69" s="58"/>
    </row>
    <row r="70" spans="1:6" x14ac:dyDescent="0.2">
      <c r="A70" s="4"/>
    </row>
    <row r="71" spans="1:6" x14ac:dyDescent="0.2">
      <c r="A71" s="3" t="s">
        <v>381</v>
      </c>
    </row>
    <row r="72" spans="1:6" x14ac:dyDescent="0.2">
      <c r="A72" s="2" t="s">
        <v>382</v>
      </c>
    </row>
    <row r="73" spans="1:6" x14ac:dyDescent="0.2">
      <c r="A73" s="4" t="s">
        <v>195</v>
      </c>
    </row>
    <row r="74" spans="1:6" x14ac:dyDescent="0.2">
      <c r="A74" s="4" t="s">
        <v>315</v>
      </c>
    </row>
    <row r="75" spans="1:6" x14ac:dyDescent="0.2">
      <c r="A75" s="4" t="s">
        <v>383</v>
      </c>
    </row>
    <row r="76" spans="1:6" x14ac:dyDescent="0.2">
      <c r="A76" s="4" t="s">
        <v>384</v>
      </c>
    </row>
    <row r="77" spans="1:6" x14ac:dyDescent="0.2">
      <c r="A77" s="4" t="s">
        <v>314</v>
      </c>
    </row>
    <row r="78" spans="1:6" x14ac:dyDescent="0.2">
      <c r="A78" s="14" t="s">
        <v>385</v>
      </c>
    </row>
    <row r="79" spans="1:6" x14ac:dyDescent="0.2">
      <c r="A79" s="14" t="s">
        <v>380</v>
      </c>
    </row>
    <row r="80" spans="1:6" x14ac:dyDescent="0.2">
      <c r="A80" s="4"/>
    </row>
    <row r="81" spans="1:2" x14ac:dyDescent="0.2">
      <c r="A81" s="15" t="s">
        <v>386</v>
      </c>
      <c r="B81" s="58"/>
    </row>
    <row r="82" spans="1:2" x14ac:dyDescent="0.2">
      <c r="A82" s="16" t="s">
        <v>387</v>
      </c>
      <c r="B82" s="86" t="s">
        <v>596</v>
      </c>
    </row>
    <row r="83" spans="1:2" ht="17" x14ac:dyDescent="0.2">
      <c r="A83" s="17" t="s">
        <v>276</v>
      </c>
      <c r="B83" s="44">
        <f>Stock!R5</f>
        <v>3.6</v>
      </c>
    </row>
    <row r="84" spans="1:2" ht="17" x14ac:dyDescent="0.2">
      <c r="A84" s="17" t="s">
        <v>388</v>
      </c>
      <c r="B84" s="44">
        <f>Stock!R6</f>
        <v>0</v>
      </c>
    </row>
    <row r="85" spans="1:2" x14ac:dyDescent="0.2">
      <c r="A85" s="4" t="s">
        <v>389</v>
      </c>
      <c r="B85" s="44">
        <f>Stock!R7</f>
        <v>0</v>
      </c>
    </row>
    <row r="86" spans="1:2" x14ac:dyDescent="0.2">
      <c r="A86" s="4" t="s">
        <v>390</v>
      </c>
      <c r="B86" s="44">
        <f>Stock!R8</f>
        <v>0</v>
      </c>
    </row>
    <row r="87" spans="1:2" x14ac:dyDescent="0.2">
      <c r="A87" s="4" t="s">
        <v>390</v>
      </c>
      <c r="B87" s="44">
        <f>Stock!R9</f>
        <v>0</v>
      </c>
    </row>
    <row r="88" spans="1:2" x14ac:dyDescent="0.2">
      <c r="A88" s="4" t="s">
        <v>391</v>
      </c>
      <c r="B88" s="44">
        <f>Stock!R10</f>
        <v>0</v>
      </c>
    </row>
    <row r="89" spans="1:2" x14ac:dyDescent="0.2">
      <c r="A89" s="4" t="s">
        <v>392</v>
      </c>
      <c r="B89" s="44">
        <f>Stock!R11</f>
        <v>0</v>
      </c>
    </row>
    <row r="90" spans="1:2" x14ac:dyDescent="0.2">
      <c r="A90" s="4" t="s">
        <v>277</v>
      </c>
      <c r="B90" s="44">
        <f>Stock!R12</f>
        <v>0.4</v>
      </c>
    </row>
    <row r="91" spans="1:2" x14ac:dyDescent="0.2">
      <c r="A91" s="4" t="s">
        <v>393</v>
      </c>
      <c r="B91" s="44">
        <f>Stock!R13</f>
        <v>0</v>
      </c>
    </row>
    <row r="92" spans="1:2" x14ac:dyDescent="0.2">
      <c r="A92" s="4" t="s">
        <v>278</v>
      </c>
      <c r="B92" s="44">
        <f>Stock!R14</f>
        <v>0.35</v>
      </c>
    </row>
    <row r="93" spans="1:2" x14ac:dyDescent="0.2">
      <c r="A93" s="4" t="s">
        <v>394</v>
      </c>
      <c r="B93" s="44">
        <f>Stock!R15</f>
        <v>0</v>
      </c>
    </row>
    <row r="94" spans="1:2" x14ac:dyDescent="0.2">
      <c r="A94" s="4" t="s">
        <v>395</v>
      </c>
      <c r="B94" s="44">
        <f>Stock!R16</f>
        <v>0</v>
      </c>
    </row>
    <row r="95" spans="1:2" x14ac:dyDescent="0.2">
      <c r="A95" s="4" t="s">
        <v>396</v>
      </c>
      <c r="B95" s="44">
        <f>Stock!R17</f>
        <v>0</v>
      </c>
    </row>
    <row r="96" spans="1:2" x14ac:dyDescent="0.2">
      <c r="A96" s="4" t="s">
        <v>397</v>
      </c>
      <c r="B96" s="44">
        <f>Stock!R18</f>
        <v>0</v>
      </c>
    </row>
    <row r="97" spans="1:2" x14ac:dyDescent="0.2">
      <c r="A97" s="4" t="s">
        <v>398</v>
      </c>
      <c r="B97" s="44">
        <f>Stock!R19</f>
        <v>0</v>
      </c>
    </row>
    <row r="98" spans="1:2" x14ac:dyDescent="0.2">
      <c r="A98" s="4" t="s">
        <v>399</v>
      </c>
      <c r="B98" s="44">
        <f>Stock!R20</f>
        <v>0</v>
      </c>
    </row>
    <row r="99" spans="1:2" x14ac:dyDescent="0.2">
      <c r="A99" s="4" t="s">
        <v>400</v>
      </c>
      <c r="B99" s="44">
        <f>Stock!R21</f>
        <v>0</v>
      </c>
    </row>
    <row r="100" spans="1:2" x14ac:dyDescent="0.2">
      <c r="A100" s="4" t="s">
        <v>401</v>
      </c>
      <c r="B100" s="44">
        <f>Stock!R22</f>
        <v>0</v>
      </c>
    </row>
    <row r="101" spans="1:2" x14ac:dyDescent="0.2">
      <c r="A101" s="4" t="s">
        <v>402</v>
      </c>
      <c r="B101" s="44">
        <f>Stock!R23</f>
        <v>0</v>
      </c>
    </row>
    <row r="102" spans="1:2" x14ac:dyDescent="0.2">
      <c r="A102" s="4" t="s">
        <v>403</v>
      </c>
      <c r="B102" s="44">
        <f>Stock!R24</f>
        <v>0</v>
      </c>
    </row>
    <row r="103" spans="1:2" x14ac:dyDescent="0.2">
      <c r="A103" s="4" t="s">
        <v>404</v>
      </c>
      <c r="B103" s="44">
        <f>Stock!R25</f>
        <v>0</v>
      </c>
    </row>
    <row r="104" spans="1:2" x14ac:dyDescent="0.2">
      <c r="A104" s="4" t="s">
        <v>279</v>
      </c>
      <c r="B104" s="44">
        <f>Stock!R26</f>
        <v>0.3</v>
      </c>
    </row>
    <row r="105" spans="1:2" x14ac:dyDescent="0.2">
      <c r="A105" s="4" t="s">
        <v>405</v>
      </c>
      <c r="B105" s="44">
        <f>Stock!R27</f>
        <v>0</v>
      </c>
    </row>
    <row r="106" spans="1:2" x14ac:dyDescent="0.2">
      <c r="A106" s="4" t="s">
        <v>280</v>
      </c>
      <c r="B106" s="44">
        <f>Stock!R28</f>
        <v>0</v>
      </c>
    </row>
    <row r="107" spans="1:2" x14ac:dyDescent="0.2">
      <c r="A107" s="4" t="s">
        <v>406</v>
      </c>
      <c r="B107" s="44">
        <f>Stock!R29</f>
        <v>0</v>
      </c>
    </row>
    <row r="108" spans="1:2" x14ac:dyDescent="0.2">
      <c r="A108" s="4" t="s">
        <v>281</v>
      </c>
      <c r="B108" s="44">
        <f>Stock!R30</f>
        <v>4.1666666666666666E-3</v>
      </c>
    </row>
    <row r="109" spans="1:2" x14ac:dyDescent="0.2">
      <c r="A109" s="14" t="s">
        <v>407</v>
      </c>
      <c r="B109" s="58"/>
    </row>
    <row r="110" spans="1:2" x14ac:dyDescent="0.2">
      <c r="A110" s="14" t="s">
        <v>408</v>
      </c>
      <c r="B110" s="58"/>
    </row>
    <row r="111" spans="1:2" x14ac:dyDescent="0.2">
      <c r="A111" s="14" t="s">
        <v>380</v>
      </c>
      <c r="B111" s="84">
        <f>Stock!R31</f>
        <v>4.6541666666666659</v>
      </c>
    </row>
    <row r="112" spans="1:2" x14ac:dyDescent="0.2">
      <c r="A112" s="4"/>
    </row>
    <row r="113" spans="1:2" x14ac:dyDescent="0.2">
      <c r="A113" s="3" t="s">
        <v>409</v>
      </c>
      <c r="B113" s="86" t="s">
        <v>597</v>
      </c>
    </row>
    <row r="114" spans="1:2" ht="17" x14ac:dyDescent="0.2">
      <c r="A114" s="17" t="s">
        <v>410</v>
      </c>
      <c r="B114">
        <f>Stock!T35</f>
        <v>0</v>
      </c>
    </row>
    <row r="115" spans="1:2" x14ac:dyDescent="0.2">
      <c r="A115" s="4" t="s">
        <v>411</v>
      </c>
      <c r="B115">
        <f>Stock!T36</f>
        <v>0</v>
      </c>
    </row>
    <row r="116" spans="1:2" x14ac:dyDescent="0.2">
      <c r="A116" s="4" t="s">
        <v>412</v>
      </c>
      <c r="B116">
        <f>Stock!T37</f>
        <v>0</v>
      </c>
    </row>
    <row r="117" spans="1:2" x14ac:dyDescent="0.2">
      <c r="A117" s="4" t="s">
        <v>413</v>
      </c>
      <c r="B117">
        <f>Stock!T38</f>
        <v>0</v>
      </c>
    </row>
    <row r="118" spans="1:2" x14ac:dyDescent="0.2">
      <c r="A118" s="4" t="s">
        <v>414</v>
      </c>
      <c r="B118">
        <f>Stock!T39</f>
        <v>0</v>
      </c>
    </row>
    <row r="119" spans="1:2" x14ac:dyDescent="0.2">
      <c r="A119" s="18" t="s">
        <v>385</v>
      </c>
      <c r="B119" s="58">
        <f>Stock!T40</f>
        <v>0</v>
      </c>
    </row>
    <row r="120" spans="1:2" x14ac:dyDescent="0.2">
      <c r="A120" s="18" t="s">
        <v>380</v>
      </c>
      <c r="B120" s="58">
        <f>Stock!T41</f>
        <v>0</v>
      </c>
    </row>
    <row r="121" spans="1:2" x14ac:dyDescent="0.2">
      <c r="A121" s="2"/>
    </row>
    <row r="122" spans="1:2" x14ac:dyDescent="0.2">
      <c r="A122" s="3" t="s">
        <v>415</v>
      </c>
      <c r="B122" s="86" t="s">
        <v>597</v>
      </c>
    </row>
    <row r="123" spans="1:2" x14ac:dyDescent="0.2">
      <c r="A123" s="4" t="s">
        <v>416</v>
      </c>
      <c r="B123">
        <f>Stock!T43</f>
        <v>0</v>
      </c>
    </row>
    <row r="124" spans="1:2" x14ac:dyDescent="0.2">
      <c r="A124" s="4" t="s">
        <v>417</v>
      </c>
      <c r="B124">
        <f>Stock!T44</f>
        <v>0</v>
      </c>
    </row>
    <row r="125" spans="1:2" x14ac:dyDescent="0.2">
      <c r="A125" s="4" t="s">
        <v>418</v>
      </c>
      <c r="B125">
        <f>Stock!T45</f>
        <v>0</v>
      </c>
    </row>
    <row r="126" spans="1:2" x14ac:dyDescent="0.2">
      <c r="A126" s="4" t="s">
        <v>419</v>
      </c>
      <c r="B126">
        <f>Stock!T46</f>
        <v>0</v>
      </c>
    </row>
    <row r="127" spans="1:2" x14ac:dyDescent="0.2">
      <c r="A127" s="4" t="s">
        <v>420</v>
      </c>
      <c r="B127">
        <f>Stock!T47</f>
        <v>0</v>
      </c>
    </row>
    <row r="128" spans="1:2" x14ac:dyDescent="0.2">
      <c r="A128" s="4" t="s">
        <v>421</v>
      </c>
      <c r="B128">
        <f>Stock!T48</f>
        <v>0</v>
      </c>
    </row>
    <row r="129" spans="1:2" x14ac:dyDescent="0.2">
      <c r="A129" s="19" t="s">
        <v>422</v>
      </c>
      <c r="B129">
        <f>Stock!T49</f>
        <v>0</v>
      </c>
    </row>
    <row r="130" spans="1:2" x14ac:dyDescent="0.2">
      <c r="A130" s="20" t="s">
        <v>423</v>
      </c>
      <c r="B130">
        <f>Stock!T50</f>
        <v>0</v>
      </c>
    </row>
    <row r="131" spans="1:2" x14ac:dyDescent="0.2">
      <c r="A131" s="20" t="s">
        <v>424</v>
      </c>
      <c r="B131">
        <f>Stock!T51</f>
        <v>0</v>
      </c>
    </row>
    <row r="132" spans="1:2" x14ac:dyDescent="0.2">
      <c r="A132" s="20" t="s">
        <v>425</v>
      </c>
      <c r="B132">
        <f>Stock!T52</f>
        <v>0</v>
      </c>
    </row>
    <row r="133" spans="1:2" x14ac:dyDescent="0.2">
      <c r="A133" s="20" t="s">
        <v>426</v>
      </c>
      <c r="B133">
        <f>Stock!T53</f>
        <v>0</v>
      </c>
    </row>
    <row r="134" spans="1:2" x14ac:dyDescent="0.2">
      <c r="A134" s="21" t="s">
        <v>427</v>
      </c>
      <c r="B134">
        <f>Stock!T54</f>
        <v>0</v>
      </c>
    </row>
    <row r="135" spans="1:2" x14ac:dyDescent="0.2">
      <c r="A135" s="20" t="s">
        <v>428</v>
      </c>
      <c r="B135">
        <f>Stock!T55</f>
        <v>0</v>
      </c>
    </row>
    <row r="136" spans="1:2" x14ac:dyDescent="0.2">
      <c r="A136" s="20" t="s">
        <v>429</v>
      </c>
      <c r="B136">
        <f>Stock!T56</f>
        <v>0</v>
      </c>
    </row>
    <row r="137" spans="1:2" x14ac:dyDescent="0.2">
      <c r="A137" s="20" t="s">
        <v>430</v>
      </c>
      <c r="B137">
        <f>Stock!T57</f>
        <v>0</v>
      </c>
    </row>
    <row r="138" spans="1:2" x14ac:dyDescent="0.2">
      <c r="A138" s="20" t="s">
        <v>431</v>
      </c>
      <c r="B138">
        <f>Stock!T58</f>
        <v>0</v>
      </c>
    </row>
    <row r="139" spans="1:2" x14ac:dyDescent="0.2">
      <c r="A139" s="21" t="s">
        <v>432</v>
      </c>
      <c r="B139">
        <f>Stock!T59</f>
        <v>0</v>
      </c>
    </row>
    <row r="140" spans="1:2" x14ac:dyDescent="0.2">
      <c r="A140" s="4" t="s">
        <v>433</v>
      </c>
      <c r="B140">
        <f>Stock!T60</f>
        <v>0</v>
      </c>
    </row>
    <row r="141" spans="1:2" x14ac:dyDescent="0.2">
      <c r="A141" s="4" t="s">
        <v>434</v>
      </c>
      <c r="B141">
        <f>Stock!T61</f>
        <v>0</v>
      </c>
    </row>
    <row r="142" spans="1:2" x14ac:dyDescent="0.2">
      <c r="A142" s="4" t="s">
        <v>435</v>
      </c>
      <c r="B142">
        <f>Stock!T62</f>
        <v>0</v>
      </c>
    </row>
    <row r="143" spans="1:2" x14ac:dyDescent="0.2">
      <c r="A143" s="14" t="s">
        <v>385</v>
      </c>
      <c r="B143" s="58">
        <f>Stock!T63</f>
        <v>0</v>
      </c>
    </row>
    <row r="144" spans="1:2" x14ac:dyDescent="0.2">
      <c r="A144" s="14" t="s">
        <v>380</v>
      </c>
      <c r="B144" s="58">
        <f>Stock!T64</f>
        <v>0</v>
      </c>
    </row>
    <row r="145" spans="1:2" x14ac:dyDescent="0.2">
      <c r="A145" s="4"/>
    </row>
    <row r="146" spans="1:2" x14ac:dyDescent="0.2">
      <c r="A146" s="3" t="s">
        <v>282</v>
      </c>
      <c r="B146" s="86" t="s">
        <v>597</v>
      </c>
    </row>
    <row r="147" spans="1:2" ht="17" x14ac:dyDescent="0.2">
      <c r="A147" s="17" t="s">
        <v>436</v>
      </c>
      <c r="B147">
        <f>Stock!T67</f>
        <v>0.28000000000000003</v>
      </c>
    </row>
    <row r="148" spans="1:2" x14ac:dyDescent="0.2">
      <c r="A148" s="4" t="s">
        <v>437</v>
      </c>
    </row>
    <row r="149" spans="1:2" x14ac:dyDescent="0.2">
      <c r="A149" s="4" t="s">
        <v>438</v>
      </c>
    </row>
    <row r="150" spans="1:2" x14ac:dyDescent="0.2">
      <c r="A150" s="4" t="s">
        <v>439</v>
      </c>
    </row>
    <row r="151" spans="1:2" x14ac:dyDescent="0.2">
      <c r="A151" s="18" t="s">
        <v>385</v>
      </c>
      <c r="B151" s="58">
        <f>Stock!T71</f>
        <v>0.28000000000000003</v>
      </c>
    </row>
    <row r="152" spans="1:2" x14ac:dyDescent="0.2">
      <c r="A152" s="18" t="s">
        <v>380</v>
      </c>
      <c r="B152" s="84">
        <f>Stock!R71</f>
        <v>0.28000000000000003</v>
      </c>
    </row>
    <row r="153" spans="1:2" x14ac:dyDescent="0.2">
      <c r="A153" s="4"/>
    </row>
    <row r="154" spans="1:2" x14ac:dyDescent="0.2">
      <c r="A154" s="3" t="s">
        <v>440</v>
      </c>
      <c r="B154" s="86" t="s">
        <v>597</v>
      </c>
    </row>
    <row r="155" spans="1:2" x14ac:dyDescent="0.2">
      <c r="A155" s="4" t="s">
        <v>441</v>
      </c>
      <c r="B155">
        <f>Stock!T76</f>
        <v>0</v>
      </c>
    </row>
    <row r="156" spans="1:2" x14ac:dyDescent="0.2">
      <c r="A156" s="4" t="s">
        <v>442</v>
      </c>
      <c r="B156">
        <f>Stock!T77</f>
        <v>0</v>
      </c>
    </row>
    <row r="157" spans="1:2" x14ac:dyDescent="0.2">
      <c r="A157" s="4" t="s">
        <v>443</v>
      </c>
      <c r="B157">
        <f>Stock!T78</f>
        <v>0</v>
      </c>
    </row>
    <row r="158" spans="1:2" x14ac:dyDescent="0.2">
      <c r="A158" s="14" t="s">
        <v>444</v>
      </c>
      <c r="B158" s="58">
        <f>Stock!T79</f>
        <v>0</v>
      </c>
    </row>
    <row r="159" spans="1:2" x14ac:dyDescent="0.2">
      <c r="A159" s="14" t="s">
        <v>380</v>
      </c>
      <c r="B159" s="58">
        <f>Stock!T80</f>
        <v>0</v>
      </c>
    </row>
    <row r="160" spans="1:2" x14ac:dyDescent="0.2">
      <c r="A160" s="4"/>
    </row>
    <row r="161" spans="1:2" x14ac:dyDescent="0.2">
      <c r="A161" s="3" t="s">
        <v>445</v>
      </c>
      <c r="B161" s="86" t="s">
        <v>597</v>
      </c>
    </row>
    <row r="162" spans="1:2" x14ac:dyDescent="0.2">
      <c r="A162" s="4" t="s">
        <v>446</v>
      </c>
    </row>
    <row r="163" spans="1:2" x14ac:dyDescent="0.2">
      <c r="A163" s="4" t="s">
        <v>447</v>
      </c>
    </row>
    <row r="164" spans="1:2" x14ac:dyDescent="0.2">
      <c r="A164" s="4" t="s">
        <v>448</v>
      </c>
    </row>
    <row r="165" spans="1:2" x14ac:dyDescent="0.2">
      <c r="A165" s="14" t="s">
        <v>385</v>
      </c>
    </row>
    <row r="166" spans="1:2" x14ac:dyDescent="0.2">
      <c r="A166" s="14" t="s">
        <v>380</v>
      </c>
    </row>
    <row r="167" spans="1:2" x14ac:dyDescent="0.2">
      <c r="A167" s="4"/>
    </row>
    <row r="168" spans="1:2" x14ac:dyDescent="0.2">
      <c r="A168" s="4"/>
    </row>
    <row r="169" spans="1:2" ht="17" thickBot="1" x14ac:dyDescent="0.25"/>
    <row r="170" spans="1:2" ht="17" thickBot="1" x14ac:dyDescent="0.25">
      <c r="A170" s="22"/>
      <c r="B170" s="89"/>
    </row>
    <row r="171" spans="1:2" x14ac:dyDescent="0.2">
      <c r="A171" s="23" t="s">
        <v>449</v>
      </c>
      <c r="B171" s="90">
        <f>B151+B143+B119+B111+B68</f>
        <v>32.153035515355207</v>
      </c>
    </row>
    <row r="172" spans="1:2" x14ac:dyDescent="0.2">
      <c r="A172" s="24" t="s">
        <v>450</v>
      </c>
      <c r="B172" s="90">
        <f>B166+B159+B152+B144+B120+B111+B69</f>
        <v>32.154166666666669</v>
      </c>
    </row>
    <row r="173" spans="1:2" x14ac:dyDescent="0.2">
      <c r="A173" s="24" t="s">
        <v>451</v>
      </c>
      <c r="B173" s="90">
        <f>Receipts!F57+Receipts!F47</f>
        <v>33.384166666666665</v>
      </c>
    </row>
    <row r="174" spans="1:2" x14ac:dyDescent="0.2">
      <c r="A174" s="24" t="s">
        <v>452</v>
      </c>
      <c r="B174" s="90">
        <f>B171+Receipts!F68+Receipts!F30+Receipts!F25</f>
        <v>51.583035515355206</v>
      </c>
    </row>
    <row r="175" spans="1:2" x14ac:dyDescent="0.2">
      <c r="A175" s="25"/>
      <c r="B175" s="87"/>
    </row>
    <row r="176" spans="1:2" x14ac:dyDescent="0.2">
      <c r="A176" s="26" t="s">
        <v>453</v>
      </c>
      <c r="B176" s="91">
        <f>B47/B171</f>
        <v>9.4249784447861598E-2</v>
      </c>
    </row>
    <row r="177" spans="1:2" x14ac:dyDescent="0.2">
      <c r="A177" s="24" t="s">
        <v>454</v>
      </c>
      <c r="B177" s="91">
        <f>B47/B174</f>
        <v>5.8748319799143543E-2</v>
      </c>
    </row>
    <row r="178" spans="1:2" x14ac:dyDescent="0.2">
      <c r="A178" s="25"/>
      <c r="B178" s="87"/>
    </row>
    <row r="179" spans="1:2" ht="17" thickBot="1" x14ac:dyDescent="0.25">
      <c r="A179" s="27" t="s">
        <v>455</v>
      </c>
      <c r="B179" s="88"/>
    </row>
  </sheetData>
  <mergeCells count="1">
    <mergeCell ref="B60:C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72" sqref="F72"/>
    </sheetView>
  </sheetViews>
  <sheetFormatPr baseColWidth="10" defaultColWidth="8.83203125" defaultRowHeight="15" x14ac:dyDescent="0.2"/>
  <cols>
    <col min="1" max="1" width="32.83203125" bestFit="1" customWidth="1"/>
    <col min="6" max="6" width="8.83203125" style="44"/>
    <col min="7" max="7" width="8.83203125" style="45"/>
  </cols>
  <sheetData>
    <row r="1" spans="1:9" ht="16" x14ac:dyDescent="0.2">
      <c r="A1" s="30" t="s">
        <v>459</v>
      </c>
    </row>
    <row r="2" spans="1:9" ht="16" x14ac:dyDescent="0.2">
      <c r="A2" s="31" t="s">
        <v>0</v>
      </c>
      <c r="B2" s="32" t="s">
        <v>460</v>
      </c>
      <c r="C2" s="33" t="s">
        <v>461</v>
      </c>
      <c r="D2" s="33" t="s">
        <v>462</v>
      </c>
      <c r="E2" s="33"/>
      <c r="F2" s="46" t="s">
        <v>457</v>
      </c>
      <c r="G2" s="47" t="s">
        <v>262</v>
      </c>
      <c r="H2" s="34" t="s">
        <v>463</v>
      </c>
      <c r="I2" s="35" t="s">
        <v>464</v>
      </c>
    </row>
    <row r="3" spans="1:9" x14ac:dyDescent="0.2">
      <c r="A3" t="s">
        <v>36</v>
      </c>
      <c r="B3">
        <v>27</v>
      </c>
      <c r="C3">
        <v>3</v>
      </c>
      <c r="D3">
        <v>6</v>
      </c>
      <c r="F3" s="44">
        <v>27.17</v>
      </c>
      <c r="H3" t="s">
        <v>37</v>
      </c>
    </row>
    <row r="4" spans="1:9" x14ac:dyDescent="0.2">
      <c r="A4" t="s">
        <v>36</v>
      </c>
      <c r="B4">
        <v>27</v>
      </c>
      <c r="C4">
        <v>3</v>
      </c>
      <c r="D4">
        <v>6</v>
      </c>
      <c r="F4" s="44">
        <v>27.17</v>
      </c>
      <c r="H4" t="s">
        <v>38</v>
      </c>
    </row>
    <row r="5" spans="1:9" x14ac:dyDescent="0.2">
      <c r="A5" t="s">
        <v>36</v>
      </c>
      <c r="B5">
        <v>0</v>
      </c>
      <c r="C5">
        <v>0</v>
      </c>
      <c r="D5">
        <v>0</v>
      </c>
      <c r="F5" s="44">
        <v>0</v>
      </c>
      <c r="H5" t="s">
        <v>39</v>
      </c>
    </row>
    <row r="6" spans="1:9" x14ac:dyDescent="0.2">
      <c r="A6" t="s">
        <v>36</v>
      </c>
      <c r="F6" s="44">
        <v>27.17</v>
      </c>
      <c r="G6" s="45">
        <f>F6-F4</f>
        <v>0</v>
      </c>
      <c r="H6" t="s">
        <v>263</v>
      </c>
    </row>
    <row r="8" spans="1:9" x14ac:dyDescent="0.2">
      <c r="A8" t="s">
        <v>40</v>
      </c>
      <c r="B8">
        <v>16</v>
      </c>
      <c r="C8">
        <v>12</v>
      </c>
      <c r="D8">
        <v>6</v>
      </c>
      <c r="F8" s="44">
        <v>16.62</v>
      </c>
      <c r="H8" t="s">
        <v>41</v>
      </c>
    </row>
    <row r="9" spans="1:9" x14ac:dyDescent="0.2">
      <c r="A9" t="s">
        <v>40</v>
      </c>
      <c r="B9">
        <v>16</v>
      </c>
      <c r="C9">
        <v>12</v>
      </c>
      <c r="D9">
        <v>6</v>
      </c>
      <c r="F9" s="44">
        <v>16.62</v>
      </c>
      <c r="H9" t="s">
        <v>42</v>
      </c>
    </row>
    <row r="10" spans="1:9" x14ac:dyDescent="0.2">
      <c r="A10" t="s">
        <v>40</v>
      </c>
      <c r="F10" s="44">
        <v>16.62</v>
      </c>
      <c r="G10" s="45">
        <v>0</v>
      </c>
      <c r="H10" t="s">
        <v>263</v>
      </c>
    </row>
    <row r="12" spans="1:9" x14ac:dyDescent="0.2">
      <c r="A12" t="s">
        <v>43</v>
      </c>
      <c r="B12">
        <v>0</v>
      </c>
      <c r="C12">
        <v>5</v>
      </c>
      <c r="D12">
        <v>0</v>
      </c>
      <c r="F12" s="44">
        <v>0.25</v>
      </c>
      <c r="H12" t="s">
        <v>44</v>
      </c>
    </row>
    <row r="13" spans="1:9" x14ac:dyDescent="0.2">
      <c r="A13" t="s">
        <v>43</v>
      </c>
      <c r="B13">
        <v>0</v>
      </c>
      <c r="C13">
        <v>12</v>
      </c>
      <c r="D13">
        <v>0</v>
      </c>
      <c r="F13" s="44">
        <v>0.6</v>
      </c>
      <c r="H13" t="s">
        <v>45</v>
      </c>
    </row>
    <row r="14" spans="1:9" x14ac:dyDescent="0.2">
      <c r="A14" t="s">
        <v>43</v>
      </c>
      <c r="B14">
        <v>0</v>
      </c>
      <c r="C14">
        <v>17</v>
      </c>
      <c r="D14">
        <v>0</v>
      </c>
      <c r="F14" s="44">
        <v>0.85</v>
      </c>
      <c r="H14" t="s">
        <v>46</v>
      </c>
    </row>
    <row r="15" spans="1:9" x14ac:dyDescent="0.2">
      <c r="A15" t="s">
        <v>43</v>
      </c>
      <c r="F15" s="44">
        <v>0.85</v>
      </c>
      <c r="G15" s="45">
        <v>0</v>
      </c>
      <c r="H15" t="s">
        <v>263</v>
      </c>
    </row>
    <row r="17" spans="1:8" x14ac:dyDescent="0.2">
      <c r="A17" t="s">
        <v>47</v>
      </c>
      <c r="B17">
        <v>0</v>
      </c>
      <c r="C17">
        <v>3</v>
      </c>
      <c r="D17">
        <v>0</v>
      </c>
      <c r="F17" s="44">
        <v>0.15</v>
      </c>
      <c r="H17" t="s">
        <v>468</v>
      </c>
    </row>
    <row r="18" spans="1:8" x14ac:dyDescent="0.2">
      <c r="A18" t="s">
        <v>47</v>
      </c>
      <c r="B18">
        <v>0</v>
      </c>
      <c r="C18">
        <v>3</v>
      </c>
      <c r="D18">
        <v>0</v>
      </c>
      <c r="F18" s="44">
        <v>0.15</v>
      </c>
      <c r="H18" t="s">
        <v>469</v>
      </c>
    </row>
    <row r="19" spans="1:8" x14ac:dyDescent="0.2">
      <c r="A19" t="s">
        <v>47</v>
      </c>
      <c r="F19" s="44">
        <v>0.15</v>
      </c>
      <c r="G19" s="45">
        <v>0</v>
      </c>
      <c r="H19" t="s">
        <v>263</v>
      </c>
    </row>
    <row r="21" spans="1:8" x14ac:dyDescent="0.2">
      <c r="A21" t="s">
        <v>49</v>
      </c>
      <c r="B21">
        <v>1</v>
      </c>
      <c r="C21">
        <v>0</v>
      </c>
      <c r="D21">
        <v>0</v>
      </c>
      <c r="F21" s="44">
        <v>1</v>
      </c>
      <c r="H21" t="s">
        <v>50</v>
      </c>
    </row>
    <row r="22" spans="1:8" x14ac:dyDescent="0.2">
      <c r="A22" t="s">
        <v>49</v>
      </c>
      <c r="F22" s="44">
        <v>1</v>
      </c>
      <c r="G22" s="45">
        <f>F22-F21</f>
        <v>0</v>
      </c>
      <c r="H22" t="s">
        <v>263</v>
      </c>
    </row>
    <row r="24" spans="1:8" x14ac:dyDescent="0.2">
      <c r="A24" t="s">
        <v>51</v>
      </c>
      <c r="B24">
        <v>15</v>
      </c>
      <c r="C24">
        <v>12</v>
      </c>
      <c r="D24">
        <v>6</v>
      </c>
      <c r="F24" s="44">
        <v>15.62</v>
      </c>
      <c r="H24" t="s">
        <v>52</v>
      </c>
    </row>
    <row r="25" spans="1:8" x14ac:dyDescent="0.2">
      <c r="A25" t="s">
        <v>51</v>
      </c>
      <c r="F25" s="44">
        <v>15.62</v>
      </c>
      <c r="G25" s="45">
        <f>F25-F24</f>
        <v>0</v>
      </c>
      <c r="H25" t="s">
        <v>263</v>
      </c>
    </row>
    <row r="27" spans="1:8" x14ac:dyDescent="0.2">
      <c r="A27" t="s">
        <v>53</v>
      </c>
      <c r="B27">
        <v>0</v>
      </c>
      <c r="C27">
        <v>0</v>
      </c>
      <c r="D27">
        <v>6</v>
      </c>
      <c r="F27" s="44">
        <v>0.03</v>
      </c>
      <c r="H27" t="s">
        <v>54</v>
      </c>
    </row>
    <row r="28" spans="1:8" x14ac:dyDescent="0.2">
      <c r="A28" t="s">
        <v>53</v>
      </c>
      <c r="B28">
        <v>0</v>
      </c>
      <c r="C28">
        <v>0</v>
      </c>
      <c r="D28">
        <v>6</v>
      </c>
      <c r="F28" s="44">
        <v>0.03</v>
      </c>
      <c r="H28" t="s">
        <v>55</v>
      </c>
    </row>
    <row r="29" spans="1:8" x14ac:dyDescent="0.2">
      <c r="A29" t="s">
        <v>53</v>
      </c>
      <c r="B29">
        <v>0</v>
      </c>
      <c r="C29">
        <v>1</v>
      </c>
      <c r="D29">
        <v>0</v>
      </c>
      <c r="F29" s="44">
        <v>0.05</v>
      </c>
      <c r="H29" t="s">
        <v>56</v>
      </c>
    </row>
    <row r="30" spans="1:8" x14ac:dyDescent="0.2">
      <c r="A30" t="s">
        <v>53</v>
      </c>
      <c r="F30" s="44">
        <v>0.06</v>
      </c>
      <c r="G30" s="45">
        <v>9.999999999999995E-3</v>
      </c>
      <c r="H30" t="s">
        <v>263</v>
      </c>
    </row>
    <row r="32" spans="1:8" x14ac:dyDescent="0.2">
      <c r="A32" t="s">
        <v>57</v>
      </c>
      <c r="B32">
        <v>0</v>
      </c>
      <c r="C32">
        <v>7</v>
      </c>
      <c r="D32">
        <v>4</v>
      </c>
      <c r="F32" s="44">
        <v>0.37</v>
      </c>
      <c r="H32" t="s">
        <v>58</v>
      </c>
    </row>
    <row r="33" spans="1:8" x14ac:dyDescent="0.2">
      <c r="A33" t="s">
        <v>57</v>
      </c>
      <c r="B33">
        <v>0</v>
      </c>
      <c r="C33">
        <v>5</v>
      </c>
      <c r="D33">
        <v>5</v>
      </c>
      <c r="F33" s="44">
        <v>0.27</v>
      </c>
      <c r="H33" t="s">
        <v>59</v>
      </c>
    </row>
    <row r="34" spans="1:8" x14ac:dyDescent="0.2">
      <c r="A34" t="s">
        <v>57</v>
      </c>
      <c r="B34">
        <v>0</v>
      </c>
      <c r="C34">
        <v>5</v>
      </c>
      <c r="D34">
        <v>0</v>
      </c>
      <c r="F34" s="44">
        <v>0.25</v>
      </c>
      <c r="H34" t="s">
        <v>60</v>
      </c>
    </row>
    <row r="35" spans="1:8" x14ac:dyDescent="0.2">
      <c r="A35" t="s">
        <v>57</v>
      </c>
      <c r="B35">
        <v>0</v>
      </c>
      <c r="C35">
        <v>5</v>
      </c>
      <c r="D35">
        <v>6</v>
      </c>
      <c r="F35" s="44">
        <v>0.28000000000000003</v>
      </c>
      <c r="H35" t="s">
        <v>61</v>
      </c>
    </row>
    <row r="36" spans="1:8" x14ac:dyDescent="0.2">
      <c r="A36" t="s">
        <v>57</v>
      </c>
      <c r="B36">
        <v>0</v>
      </c>
      <c r="C36">
        <v>1</v>
      </c>
      <c r="D36">
        <v>3</v>
      </c>
      <c r="F36" s="44">
        <v>0.06</v>
      </c>
      <c r="H36" t="s">
        <v>62</v>
      </c>
    </row>
    <row r="37" spans="1:8" x14ac:dyDescent="0.2">
      <c r="A37" t="s">
        <v>57</v>
      </c>
      <c r="B37">
        <v>0</v>
      </c>
      <c r="C37">
        <v>4</v>
      </c>
      <c r="D37">
        <v>0</v>
      </c>
      <c r="F37" s="44">
        <v>0.2</v>
      </c>
      <c r="H37" t="s">
        <v>63</v>
      </c>
    </row>
    <row r="38" spans="1:8" x14ac:dyDescent="0.2">
      <c r="A38" t="s">
        <v>57</v>
      </c>
      <c r="B38">
        <v>0</v>
      </c>
      <c r="C38">
        <v>8</v>
      </c>
      <c r="D38">
        <v>0</v>
      </c>
      <c r="F38" s="44">
        <v>0.4</v>
      </c>
      <c r="H38" t="s">
        <v>64</v>
      </c>
    </row>
    <row r="39" spans="1:8" x14ac:dyDescent="0.2">
      <c r="A39" t="s">
        <v>57</v>
      </c>
      <c r="B39">
        <v>1</v>
      </c>
      <c r="C39">
        <v>17</v>
      </c>
      <c r="D39">
        <v>0</v>
      </c>
      <c r="F39" s="44">
        <v>1.85</v>
      </c>
      <c r="H39" t="s">
        <v>65</v>
      </c>
    </row>
    <row r="40" spans="1:8" x14ac:dyDescent="0.2">
      <c r="A40" t="s">
        <v>57</v>
      </c>
      <c r="B40">
        <v>1</v>
      </c>
      <c r="C40">
        <v>7</v>
      </c>
      <c r="D40">
        <v>0</v>
      </c>
      <c r="F40" s="44">
        <f>B40+C40/20+D40/240</f>
        <v>1.35</v>
      </c>
      <c r="H40" t="s">
        <v>471</v>
      </c>
    </row>
    <row r="41" spans="1:8" x14ac:dyDescent="0.2">
      <c r="A41" t="s">
        <v>57</v>
      </c>
      <c r="B41">
        <v>0</v>
      </c>
      <c r="C41">
        <v>8</v>
      </c>
      <c r="D41">
        <v>0</v>
      </c>
      <c r="F41" s="44">
        <v>0.4</v>
      </c>
      <c r="H41" t="s">
        <v>67</v>
      </c>
    </row>
    <row r="42" spans="1:8" x14ac:dyDescent="0.2">
      <c r="A42" t="s">
        <v>57</v>
      </c>
      <c r="B42">
        <v>0</v>
      </c>
      <c r="C42">
        <v>7</v>
      </c>
      <c r="D42">
        <v>0</v>
      </c>
      <c r="F42" s="44">
        <v>0.35</v>
      </c>
      <c r="H42" t="s">
        <v>68</v>
      </c>
    </row>
    <row r="43" spans="1:8" x14ac:dyDescent="0.2">
      <c r="A43" t="s">
        <v>57</v>
      </c>
      <c r="B43">
        <v>0</v>
      </c>
      <c r="C43">
        <v>6</v>
      </c>
      <c r="D43">
        <v>0</v>
      </c>
      <c r="F43" s="44">
        <v>0.3</v>
      </c>
      <c r="H43" t="s">
        <v>69</v>
      </c>
    </row>
    <row r="44" spans="1:8" x14ac:dyDescent="0.2">
      <c r="A44" t="s">
        <v>57</v>
      </c>
      <c r="B44">
        <v>0</v>
      </c>
      <c r="C44">
        <v>1</v>
      </c>
      <c r="D44">
        <v>6</v>
      </c>
      <c r="F44" s="44">
        <v>0.08</v>
      </c>
      <c r="H44" t="s">
        <v>70</v>
      </c>
    </row>
    <row r="45" spans="1:8" x14ac:dyDescent="0.2">
      <c r="A45" t="s">
        <v>57</v>
      </c>
      <c r="B45">
        <v>0</v>
      </c>
      <c r="C45">
        <v>0</v>
      </c>
      <c r="D45">
        <v>1</v>
      </c>
      <c r="F45" s="44">
        <f>B45+C45/20+D45/240</f>
        <v>4.1666666666666666E-3</v>
      </c>
      <c r="H45" t="s">
        <v>579</v>
      </c>
    </row>
    <row r="46" spans="1:8" x14ac:dyDescent="0.2">
      <c r="A46" t="s">
        <v>57</v>
      </c>
      <c r="B46">
        <v>6</v>
      </c>
      <c r="C46">
        <v>3</v>
      </c>
      <c r="D46">
        <v>7</v>
      </c>
      <c r="F46" s="44">
        <v>6.18</v>
      </c>
      <c r="H46" t="s">
        <v>470</v>
      </c>
    </row>
    <row r="47" spans="1:8" x14ac:dyDescent="0.2">
      <c r="A47" t="s">
        <v>57</v>
      </c>
      <c r="F47" s="44">
        <f>SUM(F32:F45)</f>
        <v>6.1641666666666666</v>
      </c>
      <c r="G47" s="45">
        <f>F47-F46</f>
        <v>-1.5833333333333144E-2</v>
      </c>
      <c r="H47" t="s">
        <v>263</v>
      </c>
    </row>
    <row r="49" spans="1:8" x14ac:dyDescent="0.2">
      <c r="A49" t="s">
        <v>75</v>
      </c>
      <c r="B49">
        <v>19</v>
      </c>
      <c r="C49">
        <v>7</v>
      </c>
      <c r="D49">
        <v>7.5</v>
      </c>
      <c r="F49" s="44">
        <v>19.38</v>
      </c>
      <c r="H49" t="s">
        <v>264</v>
      </c>
    </row>
    <row r="50" spans="1:8" x14ac:dyDescent="0.2">
      <c r="A50" t="s">
        <v>75</v>
      </c>
      <c r="B50">
        <v>2</v>
      </c>
      <c r="C50">
        <v>10</v>
      </c>
      <c r="D50">
        <v>3.75</v>
      </c>
      <c r="F50" s="44">
        <v>2.52</v>
      </c>
      <c r="H50" t="s">
        <v>265</v>
      </c>
    </row>
    <row r="51" spans="1:8" x14ac:dyDescent="0.2">
      <c r="A51" t="s">
        <v>75</v>
      </c>
      <c r="B51">
        <v>4</v>
      </c>
      <c r="C51">
        <v>12</v>
      </c>
      <c r="D51">
        <v>3</v>
      </c>
      <c r="F51" s="44">
        <v>4.6100000000000003</v>
      </c>
      <c r="H51" t="s">
        <v>266</v>
      </c>
    </row>
    <row r="52" spans="1:8" x14ac:dyDescent="0.2">
      <c r="A52" t="s">
        <v>75</v>
      </c>
      <c r="B52">
        <v>0</v>
      </c>
      <c r="C52">
        <v>0</v>
      </c>
      <c r="D52">
        <v>7.5</v>
      </c>
      <c r="F52" s="44">
        <v>0.03</v>
      </c>
      <c r="H52" t="s">
        <v>81</v>
      </c>
    </row>
    <row r="53" spans="1:8" x14ac:dyDescent="0.2">
      <c r="A53" t="s">
        <v>75</v>
      </c>
      <c r="B53">
        <v>0</v>
      </c>
      <c r="C53">
        <v>0</v>
      </c>
      <c r="D53">
        <v>7.5</v>
      </c>
      <c r="F53" s="44">
        <v>0.03</v>
      </c>
      <c r="H53" t="s">
        <v>83</v>
      </c>
    </row>
    <row r="54" spans="1:8" x14ac:dyDescent="0.2">
      <c r="A54" t="s">
        <v>75</v>
      </c>
      <c r="B54">
        <v>0</v>
      </c>
      <c r="C54">
        <v>2</v>
      </c>
      <c r="D54">
        <v>4.25</v>
      </c>
      <c r="F54" s="44">
        <v>0.12</v>
      </c>
      <c r="H54" t="s">
        <v>84</v>
      </c>
    </row>
    <row r="55" spans="1:8" x14ac:dyDescent="0.2">
      <c r="A55" t="s">
        <v>75</v>
      </c>
      <c r="B55">
        <v>0</v>
      </c>
      <c r="C55">
        <v>10</v>
      </c>
      <c r="D55">
        <v>6</v>
      </c>
      <c r="F55" s="44">
        <v>0.53</v>
      </c>
      <c r="H55" t="s">
        <v>267</v>
      </c>
    </row>
    <row r="56" spans="1:8" x14ac:dyDescent="0.2">
      <c r="A56" t="s">
        <v>75</v>
      </c>
      <c r="B56">
        <v>27</v>
      </c>
      <c r="C56">
        <v>4</v>
      </c>
      <c r="D56">
        <v>4</v>
      </c>
      <c r="F56" s="44">
        <v>27.22</v>
      </c>
      <c r="H56" t="s">
        <v>86</v>
      </c>
    </row>
    <row r="57" spans="1:8" x14ac:dyDescent="0.2">
      <c r="A57" t="s">
        <v>75</v>
      </c>
      <c r="F57" s="44">
        <v>27.22</v>
      </c>
      <c r="G57" s="45">
        <v>0</v>
      </c>
      <c r="H57" t="s">
        <v>263</v>
      </c>
    </row>
    <row r="59" spans="1:8" x14ac:dyDescent="0.2">
      <c r="A59" t="s">
        <v>94</v>
      </c>
      <c r="B59">
        <v>0</v>
      </c>
      <c r="C59">
        <v>4</v>
      </c>
      <c r="D59">
        <v>9</v>
      </c>
      <c r="F59" s="44">
        <v>0.24</v>
      </c>
      <c r="H59" t="s">
        <v>95</v>
      </c>
    </row>
    <row r="60" spans="1:8" x14ac:dyDescent="0.2">
      <c r="A60" t="s">
        <v>94</v>
      </c>
      <c r="B60">
        <v>0</v>
      </c>
      <c r="C60">
        <v>11</v>
      </c>
      <c r="D60">
        <v>2</v>
      </c>
      <c r="F60" s="44">
        <v>0.56000000000000005</v>
      </c>
      <c r="H60" t="s">
        <v>96</v>
      </c>
    </row>
    <row r="61" spans="1:8" x14ac:dyDescent="0.2">
      <c r="A61" t="s">
        <v>94</v>
      </c>
      <c r="B61">
        <v>0</v>
      </c>
      <c r="C61">
        <v>5</v>
      </c>
      <c r="D61">
        <v>9</v>
      </c>
      <c r="F61" s="44">
        <v>0.28999999999999998</v>
      </c>
      <c r="H61" t="s">
        <v>97</v>
      </c>
    </row>
    <row r="62" spans="1:8" x14ac:dyDescent="0.2">
      <c r="A62" t="s">
        <v>94</v>
      </c>
      <c r="B62">
        <v>0</v>
      </c>
      <c r="C62">
        <v>3</v>
      </c>
      <c r="D62">
        <v>6</v>
      </c>
      <c r="F62" s="44">
        <v>0.17</v>
      </c>
      <c r="H62" t="s">
        <v>98</v>
      </c>
    </row>
    <row r="63" spans="1:8" x14ac:dyDescent="0.2">
      <c r="A63" t="s">
        <v>94</v>
      </c>
      <c r="B63">
        <v>0</v>
      </c>
      <c r="C63">
        <v>9</v>
      </c>
      <c r="D63">
        <v>2</v>
      </c>
      <c r="F63" s="44">
        <v>0.46</v>
      </c>
      <c r="H63" t="s">
        <v>99</v>
      </c>
    </row>
    <row r="64" spans="1:8" x14ac:dyDescent="0.2">
      <c r="A64" t="s">
        <v>94</v>
      </c>
      <c r="B64">
        <v>0</v>
      </c>
      <c r="C64">
        <v>17</v>
      </c>
      <c r="D64">
        <v>10</v>
      </c>
      <c r="F64" s="44">
        <v>0.89</v>
      </c>
      <c r="H64" t="s">
        <v>100</v>
      </c>
    </row>
    <row r="65" spans="1:8" x14ac:dyDescent="0.2">
      <c r="A65" t="s">
        <v>94</v>
      </c>
      <c r="B65">
        <v>0</v>
      </c>
      <c r="C65">
        <v>9</v>
      </c>
      <c r="D65">
        <v>9</v>
      </c>
      <c r="F65" s="44">
        <v>0.49</v>
      </c>
      <c r="H65" t="s">
        <v>101</v>
      </c>
    </row>
    <row r="66" spans="1:8" x14ac:dyDescent="0.2">
      <c r="A66" t="s">
        <v>94</v>
      </c>
      <c r="B66">
        <v>0</v>
      </c>
      <c r="C66">
        <v>13</v>
      </c>
      <c r="D66">
        <v>0</v>
      </c>
      <c r="F66" s="44">
        <v>0.65</v>
      </c>
      <c r="H66" t="s">
        <v>102</v>
      </c>
    </row>
    <row r="67" spans="1:8" x14ac:dyDescent="0.2">
      <c r="A67" t="s">
        <v>94</v>
      </c>
      <c r="B67">
        <v>3</v>
      </c>
      <c r="C67">
        <v>14</v>
      </c>
      <c r="D67">
        <v>11</v>
      </c>
      <c r="F67" s="44">
        <v>3.75</v>
      </c>
      <c r="H67" t="s">
        <v>103</v>
      </c>
    </row>
    <row r="68" spans="1:8" x14ac:dyDescent="0.2">
      <c r="F68" s="44">
        <f>SUM(F59:F66)</f>
        <v>3.7499999999999996</v>
      </c>
      <c r="G68" s="45">
        <f>F68-F67</f>
        <v>0</v>
      </c>
      <c r="H68" t="s">
        <v>263</v>
      </c>
    </row>
    <row r="69" spans="1:8" x14ac:dyDescent="0.2">
      <c r="A69" s="64" t="s">
        <v>580</v>
      </c>
    </row>
    <row r="70" spans="1:8" ht="16" x14ac:dyDescent="0.2">
      <c r="A70" s="77" t="s">
        <v>581</v>
      </c>
      <c r="F70" s="44">
        <f>F68+F57+F47+F30+F25</f>
        <v>52.814166666666665</v>
      </c>
    </row>
    <row r="71" spans="1:8" ht="16" x14ac:dyDescent="0.2">
      <c r="A71" s="77" t="s">
        <v>582</v>
      </c>
      <c r="F71" s="44">
        <f>F70+F6</f>
        <v>79.984166666666667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5"/>
  <sheetViews>
    <sheetView workbookViewId="0">
      <pane xSplit="1" ySplit="2" topLeftCell="B89" activePane="bottomRight" state="frozen"/>
      <selection pane="topRight" activeCell="B1" sqref="B1"/>
      <selection pane="bottomLeft" activeCell="A3" sqref="A3"/>
      <selection pane="bottomRight" activeCell="F116" sqref="F116"/>
    </sheetView>
  </sheetViews>
  <sheetFormatPr baseColWidth="10" defaultColWidth="8.83203125" defaultRowHeight="15" x14ac:dyDescent="0.2"/>
  <cols>
    <col min="1" max="1" width="33.1640625" bestFit="1" customWidth="1"/>
    <col min="6" max="6" width="8.83203125" style="44"/>
    <col min="7" max="7" width="8.83203125" style="45"/>
    <col min="8" max="8" width="36.6640625" customWidth="1"/>
    <col min="11" max="11" width="21.6640625" customWidth="1"/>
    <col min="12" max="12" width="20.6640625" customWidth="1"/>
  </cols>
  <sheetData>
    <row r="1" spans="1:12" ht="16" x14ac:dyDescent="0.2">
      <c r="A1" s="30" t="s">
        <v>465</v>
      </c>
    </row>
    <row r="2" spans="1:12" s="39" customFormat="1" ht="34" x14ac:dyDescent="0.2">
      <c r="A2" s="36" t="s">
        <v>0</v>
      </c>
      <c r="B2" s="37" t="s">
        <v>460</v>
      </c>
      <c r="C2" s="38" t="s">
        <v>461</v>
      </c>
      <c r="D2" s="38" t="s">
        <v>462</v>
      </c>
      <c r="F2" s="40" t="s">
        <v>457</v>
      </c>
      <c r="G2" s="41" t="s">
        <v>262</v>
      </c>
      <c r="H2" s="36" t="s">
        <v>463</v>
      </c>
      <c r="I2" s="42" t="s">
        <v>464</v>
      </c>
      <c r="K2" s="43" t="s">
        <v>466</v>
      </c>
      <c r="L2" s="43" t="s">
        <v>467</v>
      </c>
    </row>
    <row r="3" spans="1:12" x14ac:dyDescent="0.2">
      <c r="A3" t="s">
        <v>104</v>
      </c>
      <c r="B3">
        <v>0</v>
      </c>
      <c r="C3">
        <v>3</v>
      </c>
      <c r="D3">
        <v>7.5</v>
      </c>
      <c r="F3" s="44">
        <v>0.18</v>
      </c>
      <c r="H3" t="s">
        <v>105</v>
      </c>
      <c r="K3" s="44">
        <f>F3</f>
        <v>0.18</v>
      </c>
      <c r="L3" s="44">
        <f>K3</f>
        <v>0.18</v>
      </c>
    </row>
    <row r="4" spans="1:12" x14ac:dyDescent="0.2">
      <c r="A4" t="s">
        <v>104</v>
      </c>
      <c r="B4">
        <v>0</v>
      </c>
      <c r="C4">
        <v>3</v>
      </c>
      <c r="D4">
        <v>2</v>
      </c>
      <c r="F4" s="44">
        <v>0.16</v>
      </c>
      <c r="H4" t="s">
        <v>106</v>
      </c>
      <c r="K4" s="44">
        <f t="shared" ref="K4:K15" si="0">F4</f>
        <v>0.16</v>
      </c>
      <c r="L4">
        <f>K4/2</f>
        <v>0.08</v>
      </c>
    </row>
    <row r="5" spans="1:12" x14ac:dyDescent="0.2">
      <c r="A5" t="s">
        <v>104</v>
      </c>
      <c r="B5">
        <v>0</v>
      </c>
      <c r="C5">
        <v>0</v>
      </c>
      <c r="D5">
        <v>6</v>
      </c>
      <c r="F5" s="44">
        <v>0.03</v>
      </c>
      <c r="H5" t="s">
        <v>107</v>
      </c>
      <c r="K5" s="44">
        <f t="shared" si="0"/>
        <v>0.03</v>
      </c>
      <c r="L5" s="44">
        <f t="shared" ref="L5" si="1">K5</f>
        <v>0.03</v>
      </c>
    </row>
    <row r="6" spans="1:12" x14ac:dyDescent="0.2">
      <c r="A6" t="s">
        <v>104</v>
      </c>
      <c r="B6">
        <v>0</v>
      </c>
      <c r="C6">
        <v>2</v>
      </c>
      <c r="D6">
        <v>0</v>
      </c>
      <c r="F6" s="44">
        <v>0.1</v>
      </c>
      <c r="H6" t="s">
        <v>108</v>
      </c>
      <c r="K6" s="44">
        <f t="shared" si="0"/>
        <v>0.1</v>
      </c>
      <c r="L6">
        <f t="shared" ref="L6" si="2">K6/2</f>
        <v>0.05</v>
      </c>
    </row>
    <row r="7" spans="1:12" x14ac:dyDescent="0.2">
      <c r="A7" t="s">
        <v>104</v>
      </c>
      <c r="B7">
        <v>0</v>
      </c>
      <c r="C7">
        <v>0</v>
      </c>
      <c r="D7">
        <v>6</v>
      </c>
      <c r="F7" s="44">
        <v>0.03</v>
      </c>
      <c r="H7" t="s">
        <v>109</v>
      </c>
      <c r="K7" s="44">
        <f t="shared" si="0"/>
        <v>0.03</v>
      </c>
      <c r="L7" s="44">
        <f t="shared" ref="L7" si="3">K7</f>
        <v>0.03</v>
      </c>
    </row>
    <row r="8" spans="1:12" x14ac:dyDescent="0.2">
      <c r="A8" t="s">
        <v>104</v>
      </c>
      <c r="B8">
        <v>0</v>
      </c>
      <c r="C8">
        <v>2</v>
      </c>
      <c r="D8">
        <v>10</v>
      </c>
      <c r="F8" s="44">
        <v>0.14000000000000001</v>
      </c>
      <c r="H8" t="s">
        <v>110</v>
      </c>
      <c r="K8" s="44">
        <f t="shared" si="0"/>
        <v>0.14000000000000001</v>
      </c>
      <c r="L8">
        <f t="shared" ref="L8" si="4">K8/2</f>
        <v>7.0000000000000007E-2</v>
      </c>
    </row>
    <row r="9" spans="1:12" x14ac:dyDescent="0.2">
      <c r="A9" t="s">
        <v>104</v>
      </c>
      <c r="B9">
        <v>0</v>
      </c>
      <c r="C9">
        <v>0</v>
      </c>
      <c r="D9">
        <v>9</v>
      </c>
      <c r="F9" s="44">
        <v>0.04</v>
      </c>
      <c r="H9" t="s">
        <v>111</v>
      </c>
      <c r="K9" s="44">
        <f t="shared" si="0"/>
        <v>0.04</v>
      </c>
      <c r="L9" s="44">
        <f t="shared" ref="L9" si="5">K9</f>
        <v>0.04</v>
      </c>
    </row>
    <row r="10" spans="1:12" x14ac:dyDescent="0.2">
      <c r="A10" t="s">
        <v>104</v>
      </c>
      <c r="B10">
        <v>0</v>
      </c>
      <c r="C10">
        <v>0</v>
      </c>
      <c r="D10">
        <v>11</v>
      </c>
      <c r="F10" s="44">
        <v>0.05</v>
      </c>
      <c r="H10" t="s">
        <v>112</v>
      </c>
      <c r="K10" s="44">
        <f t="shared" si="0"/>
        <v>0.05</v>
      </c>
      <c r="L10">
        <f t="shared" ref="L10" si="6">K10/2</f>
        <v>2.5000000000000001E-2</v>
      </c>
    </row>
    <row r="11" spans="1:12" x14ac:dyDescent="0.2">
      <c r="A11" t="s">
        <v>104</v>
      </c>
      <c r="B11">
        <v>0</v>
      </c>
      <c r="C11">
        <v>0</v>
      </c>
      <c r="D11">
        <v>4</v>
      </c>
      <c r="F11" s="44">
        <v>0.02</v>
      </c>
      <c r="H11" t="s">
        <v>113</v>
      </c>
      <c r="K11" s="44">
        <f t="shared" si="0"/>
        <v>0.02</v>
      </c>
      <c r="L11" s="44">
        <f t="shared" ref="L11" si="7">K11</f>
        <v>0.02</v>
      </c>
    </row>
    <row r="12" spans="1:12" x14ac:dyDescent="0.2">
      <c r="A12" t="s">
        <v>104</v>
      </c>
      <c r="B12">
        <v>0</v>
      </c>
      <c r="C12">
        <v>0</v>
      </c>
      <c r="D12">
        <v>4</v>
      </c>
      <c r="F12" s="44">
        <v>0.02</v>
      </c>
      <c r="H12" t="s">
        <v>114</v>
      </c>
      <c r="K12" s="44">
        <f t="shared" si="0"/>
        <v>0.02</v>
      </c>
      <c r="L12">
        <f t="shared" ref="L12" si="8">K12/2</f>
        <v>0.01</v>
      </c>
    </row>
    <row r="13" spans="1:12" x14ac:dyDescent="0.2">
      <c r="A13" t="s">
        <v>104</v>
      </c>
      <c r="B13">
        <v>0</v>
      </c>
      <c r="C13">
        <v>1</v>
      </c>
      <c r="D13">
        <v>1</v>
      </c>
      <c r="F13" s="44">
        <v>0.05</v>
      </c>
      <c r="H13" t="s">
        <v>115</v>
      </c>
      <c r="K13" s="44">
        <f t="shared" si="0"/>
        <v>0.05</v>
      </c>
      <c r="L13" s="44">
        <f t="shared" ref="L13" si="9">K13</f>
        <v>0.05</v>
      </c>
    </row>
    <row r="14" spans="1:12" x14ac:dyDescent="0.2">
      <c r="A14" t="s">
        <v>104</v>
      </c>
      <c r="B14">
        <v>0</v>
      </c>
      <c r="C14">
        <v>0</v>
      </c>
      <c r="D14">
        <v>5</v>
      </c>
      <c r="F14" s="44">
        <v>0.02</v>
      </c>
      <c r="H14" t="s">
        <v>116</v>
      </c>
      <c r="K14" s="44">
        <f t="shared" si="0"/>
        <v>0.02</v>
      </c>
      <c r="L14">
        <f t="shared" ref="L14" si="10">K14/2</f>
        <v>0.01</v>
      </c>
    </row>
    <row r="15" spans="1:12" x14ac:dyDescent="0.2">
      <c r="A15" t="s">
        <v>104</v>
      </c>
      <c r="B15">
        <v>0</v>
      </c>
      <c r="C15">
        <v>0</v>
      </c>
      <c r="D15">
        <v>2</v>
      </c>
      <c r="F15" s="44">
        <v>0.01</v>
      </c>
      <c r="H15" t="s">
        <v>117</v>
      </c>
      <c r="K15" s="44">
        <f t="shared" si="0"/>
        <v>0.01</v>
      </c>
      <c r="L15" s="44">
        <f t="shared" ref="L15" si="11">K15</f>
        <v>0.01</v>
      </c>
    </row>
    <row r="16" spans="1:12" x14ac:dyDescent="0.2">
      <c r="A16" t="s">
        <v>104</v>
      </c>
      <c r="B16">
        <v>0</v>
      </c>
      <c r="C16">
        <v>6</v>
      </c>
      <c r="D16">
        <v>10</v>
      </c>
      <c r="F16" s="44">
        <v>0.34</v>
      </c>
      <c r="H16" t="s">
        <v>118</v>
      </c>
    </row>
    <row r="17" spans="1:12" x14ac:dyDescent="0.2">
      <c r="A17" t="s">
        <v>104</v>
      </c>
      <c r="B17">
        <v>0</v>
      </c>
      <c r="C17">
        <v>14</v>
      </c>
      <c r="D17">
        <v>0</v>
      </c>
      <c r="F17" s="44">
        <f>B17+C17/20+D17/240</f>
        <v>0.7</v>
      </c>
      <c r="H17" t="s">
        <v>472</v>
      </c>
    </row>
    <row r="18" spans="1:12" x14ac:dyDescent="0.2">
      <c r="A18" t="s">
        <v>104</v>
      </c>
      <c r="B18">
        <v>1</v>
      </c>
      <c r="C18">
        <v>17</v>
      </c>
      <c r="D18">
        <v>11.5</v>
      </c>
      <c r="F18" s="44">
        <v>1.9</v>
      </c>
      <c r="H18" t="s">
        <v>473</v>
      </c>
    </row>
    <row r="19" spans="1:12" x14ac:dyDescent="0.2">
      <c r="A19" t="s">
        <v>104</v>
      </c>
      <c r="F19" s="44">
        <f>SUM(F3:F17)</f>
        <v>1.8900000000000001</v>
      </c>
      <c r="G19" s="45">
        <f>F19-F18</f>
        <v>-9.9999999999997868E-3</v>
      </c>
      <c r="H19" t="s">
        <v>263</v>
      </c>
    </row>
    <row r="21" spans="1:12" x14ac:dyDescent="0.2">
      <c r="A21" t="s">
        <v>122</v>
      </c>
      <c r="B21">
        <v>1</v>
      </c>
      <c r="C21">
        <v>4</v>
      </c>
      <c r="D21">
        <v>0</v>
      </c>
      <c r="F21">
        <v>1.2</v>
      </c>
      <c r="H21" t="s">
        <v>123</v>
      </c>
    </row>
    <row r="22" spans="1:12" x14ac:dyDescent="0.2">
      <c r="A22" t="s">
        <v>122</v>
      </c>
      <c r="B22">
        <v>1</v>
      </c>
      <c r="C22">
        <v>6</v>
      </c>
      <c r="D22">
        <v>0</v>
      </c>
      <c r="F22">
        <v>1.3</v>
      </c>
      <c r="H22" t="s">
        <v>124</v>
      </c>
    </row>
    <row r="23" spans="1:12" x14ac:dyDescent="0.2">
      <c r="A23" t="s">
        <v>122</v>
      </c>
      <c r="B23">
        <v>0</v>
      </c>
      <c r="C23">
        <v>2</v>
      </c>
      <c r="D23">
        <v>5.25</v>
      </c>
      <c r="F23">
        <v>0.12</v>
      </c>
      <c r="H23" t="s">
        <v>125</v>
      </c>
      <c r="K23">
        <f>F23</f>
        <v>0.12</v>
      </c>
      <c r="L23">
        <f>K23</f>
        <v>0.12</v>
      </c>
    </row>
    <row r="24" spans="1:12" x14ac:dyDescent="0.2">
      <c r="A24" t="s">
        <v>122</v>
      </c>
      <c r="B24">
        <v>0</v>
      </c>
      <c r="C24">
        <v>0</v>
      </c>
      <c r="D24">
        <v>10.75</v>
      </c>
      <c r="F24">
        <v>0.04</v>
      </c>
      <c r="H24" t="s">
        <v>126</v>
      </c>
      <c r="K24">
        <f t="shared" ref="K24:K31" si="12">F24</f>
        <v>0.04</v>
      </c>
      <c r="L24">
        <f t="shared" ref="L24:L31" si="13">K24</f>
        <v>0.04</v>
      </c>
    </row>
    <row r="25" spans="1:12" x14ac:dyDescent="0.2">
      <c r="A25" t="s">
        <v>122</v>
      </c>
      <c r="B25">
        <v>0</v>
      </c>
      <c r="C25">
        <v>1</v>
      </c>
      <c r="D25">
        <v>4</v>
      </c>
      <c r="F25">
        <v>7.0000000000000007E-2</v>
      </c>
      <c r="H25" t="s">
        <v>127</v>
      </c>
      <c r="K25">
        <f t="shared" si="12"/>
        <v>7.0000000000000007E-2</v>
      </c>
      <c r="L25">
        <f t="shared" si="13"/>
        <v>7.0000000000000007E-2</v>
      </c>
    </row>
    <row r="26" spans="1:12" x14ac:dyDescent="0.2">
      <c r="A26" t="s">
        <v>122</v>
      </c>
      <c r="B26">
        <v>0</v>
      </c>
      <c r="C26">
        <v>0</v>
      </c>
      <c r="D26">
        <v>10</v>
      </c>
      <c r="F26">
        <v>0.04</v>
      </c>
      <c r="H26" t="s">
        <v>128</v>
      </c>
      <c r="K26">
        <f t="shared" si="12"/>
        <v>0.04</v>
      </c>
      <c r="L26">
        <f t="shared" si="13"/>
        <v>0.04</v>
      </c>
    </row>
    <row r="27" spans="1:12" x14ac:dyDescent="0.2">
      <c r="A27" t="s">
        <v>122</v>
      </c>
      <c r="B27">
        <v>0</v>
      </c>
      <c r="C27">
        <v>0</v>
      </c>
      <c r="D27">
        <v>3</v>
      </c>
      <c r="F27">
        <v>0.01</v>
      </c>
      <c r="H27" t="s">
        <v>129</v>
      </c>
      <c r="K27">
        <f t="shared" si="12"/>
        <v>0.01</v>
      </c>
      <c r="L27">
        <f t="shared" si="13"/>
        <v>0.01</v>
      </c>
    </row>
    <row r="28" spans="1:12" x14ac:dyDescent="0.2">
      <c r="A28" t="s">
        <v>122</v>
      </c>
      <c r="B28">
        <v>0</v>
      </c>
      <c r="C28">
        <v>0</v>
      </c>
      <c r="D28">
        <v>2</v>
      </c>
      <c r="F28">
        <v>0.01</v>
      </c>
      <c r="H28" t="s">
        <v>130</v>
      </c>
      <c r="K28">
        <f t="shared" si="12"/>
        <v>0.01</v>
      </c>
      <c r="L28">
        <f t="shared" si="13"/>
        <v>0.01</v>
      </c>
    </row>
    <row r="29" spans="1:12" x14ac:dyDescent="0.2">
      <c r="A29" t="s">
        <v>122</v>
      </c>
      <c r="B29">
        <v>0</v>
      </c>
      <c r="C29">
        <v>0</v>
      </c>
      <c r="D29">
        <v>8</v>
      </c>
      <c r="F29">
        <v>0.03</v>
      </c>
      <c r="H29" t="s">
        <v>131</v>
      </c>
      <c r="K29">
        <f t="shared" si="12"/>
        <v>0.03</v>
      </c>
      <c r="L29">
        <f t="shared" si="13"/>
        <v>0.03</v>
      </c>
    </row>
    <row r="30" spans="1:12" x14ac:dyDescent="0.2">
      <c r="A30" t="s">
        <v>122</v>
      </c>
      <c r="B30">
        <v>0</v>
      </c>
      <c r="C30">
        <v>0</v>
      </c>
      <c r="D30">
        <v>3</v>
      </c>
      <c r="F30">
        <v>0.01</v>
      </c>
      <c r="H30" t="s">
        <v>132</v>
      </c>
      <c r="K30">
        <f t="shared" si="12"/>
        <v>0.01</v>
      </c>
      <c r="L30">
        <f t="shared" si="13"/>
        <v>0.01</v>
      </c>
    </row>
    <row r="31" spans="1:12" x14ac:dyDescent="0.2">
      <c r="A31" t="s">
        <v>122</v>
      </c>
      <c r="B31">
        <v>0</v>
      </c>
      <c r="C31">
        <v>1</v>
      </c>
      <c r="D31">
        <v>7</v>
      </c>
      <c r="F31" s="44">
        <f>B31+C31/20+D31/240</f>
        <v>7.9166666666666663E-2</v>
      </c>
      <c r="H31" t="s">
        <v>584</v>
      </c>
      <c r="K31" s="44">
        <f t="shared" si="12"/>
        <v>7.9166666666666663E-2</v>
      </c>
      <c r="L31" s="44">
        <f t="shared" si="13"/>
        <v>7.9166666666666663E-2</v>
      </c>
    </row>
    <row r="32" spans="1:12" x14ac:dyDescent="0.2">
      <c r="A32" t="s">
        <v>122</v>
      </c>
      <c r="B32">
        <v>2</v>
      </c>
      <c r="C32">
        <v>18</v>
      </c>
      <c r="D32">
        <v>5</v>
      </c>
      <c r="F32">
        <v>2.92</v>
      </c>
      <c r="H32" t="s">
        <v>585</v>
      </c>
    </row>
    <row r="33" spans="1:12" x14ac:dyDescent="0.2">
      <c r="A33" t="s">
        <v>122</v>
      </c>
      <c r="F33" s="44">
        <f>SUM(F21:F31)</f>
        <v>2.9091666666666658</v>
      </c>
      <c r="G33" s="45">
        <f>F33-F32</f>
        <v>-1.0833333333334139E-2</v>
      </c>
      <c r="H33" t="s">
        <v>263</v>
      </c>
    </row>
    <row r="35" spans="1:12" x14ac:dyDescent="0.2">
      <c r="A35" t="s">
        <v>134</v>
      </c>
      <c r="B35">
        <v>0</v>
      </c>
      <c r="C35">
        <v>7</v>
      </c>
      <c r="D35">
        <v>11</v>
      </c>
      <c r="F35">
        <v>0.4</v>
      </c>
      <c r="H35" t="s">
        <v>135</v>
      </c>
      <c r="K35">
        <f>F35</f>
        <v>0.4</v>
      </c>
      <c r="L35">
        <f>F35</f>
        <v>0.4</v>
      </c>
    </row>
    <row r="36" spans="1:12" x14ac:dyDescent="0.2">
      <c r="A36" t="s">
        <v>134</v>
      </c>
      <c r="B36">
        <v>0</v>
      </c>
      <c r="C36">
        <v>0</v>
      </c>
      <c r="D36">
        <v>11</v>
      </c>
      <c r="F36">
        <v>0.05</v>
      </c>
      <c r="H36" t="s">
        <v>136</v>
      </c>
      <c r="K36">
        <f t="shared" ref="K36:K38" si="14">F36</f>
        <v>0.05</v>
      </c>
      <c r="L36">
        <f t="shared" ref="L36:L38" si="15">F36</f>
        <v>0.05</v>
      </c>
    </row>
    <row r="37" spans="1:12" x14ac:dyDescent="0.2">
      <c r="A37" t="s">
        <v>134</v>
      </c>
      <c r="B37">
        <v>0</v>
      </c>
      <c r="C37">
        <v>0</v>
      </c>
      <c r="D37">
        <v>6</v>
      </c>
      <c r="F37">
        <v>0.03</v>
      </c>
      <c r="H37" t="s">
        <v>137</v>
      </c>
      <c r="K37">
        <f t="shared" si="14"/>
        <v>0.03</v>
      </c>
      <c r="L37">
        <f t="shared" si="15"/>
        <v>0.03</v>
      </c>
    </row>
    <row r="38" spans="1:12" x14ac:dyDescent="0.2">
      <c r="A38" t="s">
        <v>134</v>
      </c>
      <c r="B38">
        <v>0</v>
      </c>
      <c r="C38">
        <v>1</v>
      </c>
      <c r="D38">
        <v>0</v>
      </c>
      <c r="F38">
        <f>B38+C38/20+D38/240</f>
        <v>0.05</v>
      </c>
      <c r="H38" t="s">
        <v>586</v>
      </c>
      <c r="K38">
        <f t="shared" si="14"/>
        <v>0.05</v>
      </c>
      <c r="L38">
        <f t="shared" si="15"/>
        <v>0.05</v>
      </c>
    </row>
    <row r="39" spans="1:12" x14ac:dyDescent="0.2">
      <c r="A39" t="s">
        <v>134</v>
      </c>
      <c r="B39">
        <v>0</v>
      </c>
      <c r="C39">
        <v>10</v>
      </c>
      <c r="D39">
        <v>4</v>
      </c>
      <c r="F39" s="44">
        <f>B39+C39/20+D387249</f>
        <v>0.5</v>
      </c>
      <c r="H39" t="s">
        <v>587</v>
      </c>
    </row>
    <row r="40" spans="1:12" x14ac:dyDescent="0.2">
      <c r="A40" t="s">
        <v>134</v>
      </c>
      <c r="F40" s="44">
        <f>SUM(F35:F38)</f>
        <v>0.53</v>
      </c>
      <c r="G40" s="45">
        <f>F40-F39</f>
        <v>3.0000000000000027E-2</v>
      </c>
      <c r="H40" t="s">
        <v>263</v>
      </c>
    </row>
    <row r="42" spans="1:12" x14ac:dyDescent="0.2">
      <c r="A42" t="s">
        <v>139</v>
      </c>
      <c r="B42">
        <v>0</v>
      </c>
      <c r="C42">
        <v>1</v>
      </c>
      <c r="D42">
        <v>4</v>
      </c>
      <c r="F42" s="44">
        <v>7.0000000000000007E-2</v>
      </c>
      <c r="H42" t="s">
        <v>140</v>
      </c>
      <c r="K42" s="44">
        <f>F42</f>
        <v>7.0000000000000007E-2</v>
      </c>
      <c r="L42" s="44">
        <f>K42</f>
        <v>7.0000000000000007E-2</v>
      </c>
    </row>
    <row r="43" spans="1:12" x14ac:dyDescent="0.2">
      <c r="A43" t="s">
        <v>139</v>
      </c>
      <c r="B43">
        <v>0</v>
      </c>
      <c r="C43">
        <v>2</v>
      </c>
      <c r="D43">
        <v>8</v>
      </c>
      <c r="F43" s="44">
        <v>0.13</v>
      </c>
      <c r="H43" t="s">
        <v>141</v>
      </c>
      <c r="K43" s="44">
        <f t="shared" ref="K43:K44" si="16">F43</f>
        <v>0.13</v>
      </c>
      <c r="L43" s="44">
        <f t="shared" ref="L43:L55" si="17">K43</f>
        <v>0.13</v>
      </c>
    </row>
    <row r="44" spans="1:12" x14ac:dyDescent="0.2">
      <c r="A44" t="s">
        <v>139</v>
      </c>
      <c r="B44">
        <v>0</v>
      </c>
      <c r="C44">
        <v>0</v>
      </c>
      <c r="D44">
        <v>3</v>
      </c>
      <c r="F44" s="44">
        <v>0.01</v>
      </c>
      <c r="H44" t="s">
        <v>142</v>
      </c>
      <c r="K44" s="44">
        <f t="shared" si="16"/>
        <v>0.01</v>
      </c>
      <c r="L44" s="44">
        <f t="shared" si="17"/>
        <v>0.01</v>
      </c>
    </row>
    <row r="45" spans="1:12" x14ac:dyDescent="0.2">
      <c r="A45" t="s">
        <v>139</v>
      </c>
      <c r="B45">
        <v>0</v>
      </c>
      <c r="C45">
        <v>0</v>
      </c>
      <c r="D45">
        <v>2</v>
      </c>
      <c r="F45" s="44">
        <v>0.01</v>
      </c>
      <c r="H45" t="s">
        <v>143</v>
      </c>
      <c r="L45" s="44">
        <f t="shared" si="17"/>
        <v>0</v>
      </c>
    </row>
    <row r="46" spans="1:12" x14ac:dyDescent="0.2">
      <c r="A46" t="s">
        <v>139</v>
      </c>
      <c r="B46">
        <v>0</v>
      </c>
      <c r="C46">
        <v>1</v>
      </c>
      <c r="D46">
        <v>3</v>
      </c>
      <c r="F46" s="44">
        <v>0.06</v>
      </c>
      <c r="H46" t="s">
        <v>144</v>
      </c>
      <c r="K46" s="44">
        <f>F46</f>
        <v>0.06</v>
      </c>
      <c r="L46" s="44">
        <f t="shared" si="17"/>
        <v>0.06</v>
      </c>
    </row>
    <row r="47" spans="1:12" x14ac:dyDescent="0.2">
      <c r="A47" t="s">
        <v>139</v>
      </c>
      <c r="B47">
        <v>0</v>
      </c>
      <c r="C47">
        <v>0</v>
      </c>
      <c r="D47">
        <v>2</v>
      </c>
      <c r="F47" s="44">
        <v>0.01</v>
      </c>
      <c r="H47" t="s">
        <v>145</v>
      </c>
      <c r="L47" s="44">
        <f t="shared" si="17"/>
        <v>0</v>
      </c>
    </row>
    <row r="48" spans="1:12" x14ac:dyDescent="0.2">
      <c r="A48" t="s">
        <v>139</v>
      </c>
      <c r="B48">
        <v>0</v>
      </c>
      <c r="C48">
        <v>1</v>
      </c>
      <c r="D48">
        <v>0</v>
      </c>
      <c r="F48" s="44">
        <v>0.05</v>
      </c>
      <c r="H48" t="s">
        <v>146</v>
      </c>
      <c r="K48" s="44">
        <f>F48</f>
        <v>0.05</v>
      </c>
      <c r="L48" s="44">
        <f t="shared" si="17"/>
        <v>0.05</v>
      </c>
    </row>
    <row r="49" spans="1:12" x14ac:dyDescent="0.2">
      <c r="A49" t="s">
        <v>139</v>
      </c>
      <c r="B49">
        <v>0</v>
      </c>
      <c r="C49">
        <v>0</v>
      </c>
      <c r="D49">
        <v>4.5</v>
      </c>
      <c r="F49" s="44">
        <v>0.02</v>
      </c>
      <c r="H49" t="s">
        <v>147</v>
      </c>
      <c r="K49" s="44">
        <f t="shared" ref="K49:K50" si="18">F49</f>
        <v>0.02</v>
      </c>
      <c r="L49" s="44">
        <f t="shared" si="17"/>
        <v>0.02</v>
      </c>
    </row>
    <row r="50" spans="1:12" x14ac:dyDescent="0.2">
      <c r="A50" t="s">
        <v>139</v>
      </c>
      <c r="B50">
        <v>0</v>
      </c>
      <c r="C50">
        <v>0</v>
      </c>
      <c r="D50">
        <v>5</v>
      </c>
      <c r="F50" s="44">
        <v>0.02</v>
      </c>
      <c r="H50" t="s">
        <v>148</v>
      </c>
      <c r="K50" s="44">
        <f t="shared" si="18"/>
        <v>0.02</v>
      </c>
      <c r="L50" s="44">
        <f t="shared" si="17"/>
        <v>0.02</v>
      </c>
    </row>
    <row r="51" spans="1:12" x14ac:dyDescent="0.2">
      <c r="A51" t="s">
        <v>139</v>
      </c>
      <c r="B51">
        <v>0</v>
      </c>
      <c r="C51">
        <v>3</v>
      </c>
      <c r="D51">
        <v>6</v>
      </c>
      <c r="F51" s="44">
        <v>0.17</v>
      </c>
      <c r="H51" t="s">
        <v>149</v>
      </c>
      <c r="L51" s="44">
        <f t="shared" si="17"/>
        <v>0</v>
      </c>
    </row>
    <row r="52" spans="1:12" x14ac:dyDescent="0.2">
      <c r="A52" t="s">
        <v>139</v>
      </c>
      <c r="B52">
        <v>0</v>
      </c>
      <c r="C52">
        <v>0</v>
      </c>
      <c r="D52">
        <v>5.25</v>
      </c>
      <c r="F52" s="44">
        <v>0.02</v>
      </c>
      <c r="H52" t="s">
        <v>150</v>
      </c>
      <c r="L52" s="44">
        <f t="shared" si="17"/>
        <v>0</v>
      </c>
    </row>
    <row r="53" spans="1:12" x14ac:dyDescent="0.2">
      <c r="A53" t="s">
        <v>139</v>
      </c>
      <c r="B53">
        <v>0</v>
      </c>
      <c r="C53">
        <v>0</v>
      </c>
      <c r="D53">
        <v>1</v>
      </c>
      <c r="F53" s="44">
        <v>0</v>
      </c>
      <c r="H53" t="s">
        <v>151</v>
      </c>
      <c r="K53" s="44">
        <f>F53</f>
        <v>0</v>
      </c>
      <c r="L53" s="44">
        <f t="shared" si="17"/>
        <v>0</v>
      </c>
    </row>
    <row r="54" spans="1:12" x14ac:dyDescent="0.2">
      <c r="A54" t="s">
        <v>139</v>
      </c>
      <c r="B54">
        <v>0</v>
      </c>
      <c r="C54">
        <v>0</v>
      </c>
      <c r="D54">
        <v>1</v>
      </c>
      <c r="F54" s="44">
        <v>0</v>
      </c>
      <c r="H54" t="s">
        <v>152</v>
      </c>
      <c r="L54" s="44">
        <f t="shared" si="17"/>
        <v>0</v>
      </c>
    </row>
    <row r="55" spans="1:12" x14ac:dyDescent="0.2">
      <c r="A55" t="s">
        <v>139</v>
      </c>
      <c r="B55">
        <v>0</v>
      </c>
      <c r="C55">
        <v>0</v>
      </c>
      <c r="D55">
        <v>4.5</v>
      </c>
      <c r="F55" s="44">
        <v>0.02</v>
      </c>
      <c r="H55" t="s">
        <v>153</v>
      </c>
      <c r="K55" s="44">
        <f>F55</f>
        <v>0.02</v>
      </c>
      <c r="L55" s="44">
        <f t="shared" si="17"/>
        <v>0.02</v>
      </c>
    </row>
    <row r="56" spans="1:12" x14ac:dyDescent="0.2">
      <c r="A56" t="s">
        <v>139</v>
      </c>
      <c r="B56">
        <v>0</v>
      </c>
      <c r="C56">
        <v>0</v>
      </c>
      <c r="D56">
        <v>5.5</v>
      </c>
      <c r="F56" s="44">
        <f>B56+C56/20+D56/240</f>
        <v>2.2916666666666665E-2</v>
      </c>
      <c r="H56" t="s">
        <v>474</v>
      </c>
    </row>
    <row r="57" spans="1:12" x14ac:dyDescent="0.2">
      <c r="A57" t="s">
        <v>139</v>
      </c>
      <c r="B57">
        <v>0</v>
      </c>
      <c r="C57">
        <v>17</v>
      </c>
      <c r="D57">
        <v>1.75</v>
      </c>
      <c r="F57" s="44">
        <v>0.87</v>
      </c>
      <c r="H57" t="s">
        <v>475</v>
      </c>
    </row>
    <row r="58" spans="1:12" x14ac:dyDescent="0.2">
      <c r="A58" t="s">
        <v>139</v>
      </c>
      <c r="F58" s="44">
        <f>SUM(F42:F56)</f>
        <v>0.61291666666666678</v>
      </c>
      <c r="G58" s="45">
        <f>F58-F57</f>
        <v>-0.25708333333333322</v>
      </c>
      <c r="H58" t="s">
        <v>263</v>
      </c>
    </row>
    <row r="60" spans="1:12" x14ac:dyDescent="0.2">
      <c r="A60" t="s">
        <v>155</v>
      </c>
      <c r="B60">
        <v>0</v>
      </c>
      <c r="C60">
        <v>9</v>
      </c>
      <c r="D60">
        <v>6</v>
      </c>
      <c r="F60" s="44">
        <v>0.48</v>
      </c>
      <c r="H60" t="s">
        <v>268</v>
      </c>
    </row>
    <row r="61" spans="1:12" x14ac:dyDescent="0.2">
      <c r="A61" t="s">
        <v>155</v>
      </c>
      <c r="B61">
        <v>0</v>
      </c>
      <c r="C61">
        <v>6</v>
      </c>
      <c r="D61">
        <v>1.5</v>
      </c>
      <c r="F61" s="44">
        <v>0.31</v>
      </c>
      <c r="H61" t="s">
        <v>269</v>
      </c>
    </row>
    <row r="62" spans="1:12" x14ac:dyDescent="0.2">
      <c r="A62" t="s">
        <v>155</v>
      </c>
      <c r="B62">
        <v>0</v>
      </c>
      <c r="C62">
        <v>4</v>
      </c>
      <c r="D62">
        <v>5.75</v>
      </c>
      <c r="F62" s="44">
        <v>0.22</v>
      </c>
      <c r="H62" t="s">
        <v>270</v>
      </c>
    </row>
    <row r="63" spans="1:12" x14ac:dyDescent="0.2">
      <c r="A63" t="s">
        <v>155</v>
      </c>
      <c r="B63">
        <v>0</v>
      </c>
      <c r="C63">
        <v>0</v>
      </c>
      <c r="D63">
        <v>2.25</v>
      </c>
      <c r="F63" s="44">
        <f>B63+C63/20+D63/240</f>
        <v>9.3749999999999997E-3</v>
      </c>
      <c r="H63" t="s">
        <v>476</v>
      </c>
    </row>
    <row r="64" spans="1:12" x14ac:dyDescent="0.2">
      <c r="A64" t="s">
        <v>155</v>
      </c>
      <c r="B64">
        <v>0</v>
      </c>
      <c r="C64">
        <v>2</v>
      </c>
      <c r="D64">
        <v>6</v>
      </c>
      <c r="F64" s="44">
        <v>0.12</v>
      </c>
      <c r="H64" t="s">
        <v>160</v>
      </c>
    </row>
    <row r="65" spans="1:12" x14ac:dyDescent="0.2">
      <c r="A65" t="s">
        <v>155</v>
      </c>
      <c r="B65">
        <v>0</v>
      </c>
      <c r="C65">
        <v>4</v>
      </c>
      <c r="D65">
        <v>3</v>
      </c>
      <c r="F65" s="44">
        <v>0.21</v>
      </c>
      <c r="H65" t="s">
        <v>161</v>
      </c>
    </row>
    <row r="66" spans="1:12" x14ac:dyDescent="0.2">
      <c r="A66" t="s">
        <v>155</v>
      </c>
      <c r="B66">
        <v>0</v>
      </c>
      <c r="C66">
        <v>2</v>
      </c>
      <c r="D66">
        <v>0</v>
      </c>
      <c r="F66" s="44">
        <v>0.1</v>
      </c>
      <c r="H66" t="s">
        <v>162</v>
      </c>
    </row>
    <row r="67" spans="1:12" x14ac:dyDescent="0.2">
      <c r="A67" t="s">
        <v>155</v>
      </c>
      <c r="B67">
        <v>1</v>
      </c>
      <c r="C67">
        <v>9</v>
      </c>
      <c r="D67">
        <v>0</v>
      </c>
      <c r="F67" s="44">
        <v>1.45</v>
      </c>
      <c r="H67" t="s">
        <v>163</v>
      </c>
    </row>
    <row r="68" spans="1:12" x14ac:dyDescent="0.2">
      <c r="A68" t="s">
        <v>155</v>
      </c>
      <c r="F68" s="44">
        <f>SUM(F60:F66)</f>
        <v>1.4493749999999999</v>
      </c>
      <c r="G68" s="45">
        <f>F68-F67</f>
        <v>-6.250000000000977E-4</v>
      </c>
      <c r="H68" t="s">
        <v>263</v>
      </c>
    </row>
    <row r="70" spans="1:12" x14ac:dyDescent="0.2">
      <c r="A70" t="s">
        <v>164</v>
      </c>
      <c r="B70">
        <v>0</v>
      </c>
      <c r="C70">
        <v>5</v>
      </c>
      <c r="D70">
        <v>8</v>
      </c>
      <c r="F70" s="44">
        <v>0.28000000000000003</v>
      </c>
      <c r="H70" t="s">
        <v>271</v>
      </c>
    </row>
    <row r="71" spans="1:12" x14ac:dyDescent="0.2">
      <c r="A71" t="s">
        <v>164</v>
      </c>
      <c r="B71">
        <v>0</v>
      </c>
      <c r="C71">
        <v>1</v>
      </c>
      <c r="D71">
        <v>8</v>
      </c>
      <c r="F71" s="44">
        <v>0.08</v>
      </c>
      <c r="H71" t="s">
        <v>272</v>
      </c>
    </row>
    <row r="72" spans="1:12" x14ac:dyDescent="0.2">
      <c r="A72" t="s">
        <v>164</v>
      </c>
      <c r="B72">
        <v>0</v>
      </c>
      <c r="C72">
        <v>1</v>
      </c>
      <c r="D72">
        <v>4.5</v>
      </c>
      <c r="F72" s="44">
        <v>7.0000000000000007E-2</v>
      </c>
      <c r="H72" t="s">
        <v>273</v>
      </c>
    </row>
    <row r="73" spans="1:12" x14ac:dyDescent="0.2">
      <c r="A73" t="s">
        <v>164</v>
      </c>
      <c r="B73">
        <v>0</v>
      </c>
      <c r="C73">
        <v>0</v>
      </c>
      <c r="D73">
        <v>4.5</v>
      </c>
      <c r="F73" s="44">
        <f>B73+C73/20+D73/240</f>
        <v>1.8749999999999999E-2</v>
      </c>
      <c r="H73" t="s">
        <v>477</v>
      </c>
    </row>
    <row r="74" spans="1:12" x14ac:dyDescent="0.2">
      <c r="A74" t="s">
        <v>164</v>
      </c>
      <c r="B74">
        <v>0</v>
      </c>
      <c r="C74">
        <v>8</v>
      </c>
      <c r="D74">
        <v>4.5</v>
      </c>
      <c r="F74" s="44">
        <v>0.42</v>
      </c>
      <c r="H74" t="s">
        <v>478</v>
      </c>
    </row>
    <row r="75" spans="1:12" x14ac:dyDescent="0.2">
      <c r="A75" t="s">
        <v>164</v>
      </c>
      <c r="F75" s="44">
        <f>SUM(F70:F73)</f>
        <v>0.44875000000000004</v>
      </c>
      <c r="G75" s="45">
        <f>F75-F74</f>
        <v>2.8750000000000053E-2</v>
      </c>
      <c r="H75" t="s">
        <v>263</v>
      </c>
    </row>
    <row r="77" spans="1:12" x14ac:dyDescent="0.2">
      <c r="A77" t="s">
        <v>170</v>
      </c>
      <c r="B77">
        <v>0</v>
      </c>
      <c r="C77">
        <v>1</v>
      </c>
      <c r="D77">
        <v>6</v>
      </c>
      <c r="F77" s="44">
        <v>0.08</v>
      </c>
      <c r="H77" t="s">
        <v>171</v>
      </c>
      <c r="K77" s="44">
        <f>F77</f>
        <v>0.08</v>
      </c>
    </row>
    <row r="78" spans="1:12" x14ac:dyDescent="0.2">
      <c r="A78" t="s">
        <v>170</v>
      </c>
      <c r="B78">
        <v>0</v>
      </c>
      <c r="C78">
        <v>0</v>
      </c>
      <c r="D78">
        <v>10</v>
      </c>
      <c r="F78" s="44">
        <v>0.04</v>
      </c>
      <c r="H78" t="s">
        <v>172</v>
      </c>
      <c r="K78" s="44">
        <f t="shared" ref="K78:K84" si="19">F78</f>
        <v>0.04</v>
      </c>
      <c r="L78" s="44">
        <f>K78</f>
        <v>0.04</v>
      </c>
    </row>
    <row r="79" spans="1:12" x14ac:dyDescent="0.2">
      <c r="A79" t="s">
        <v>170</v>
      </c>
      <c r="B79">
        <v>0</v>
      </c>
      <c r="C79">
        <v>9</v>
      </c>
      <c r="D79">
        <v>6</v>
      </c>
      <c r="F79" s="44">
        <v>0.48</v>
      </c>
      <c r="H79" t="s">
        <v>173</v>
      </c>
      <c r="K79" s="44">
        <f t="shared" si="19"/>
        <v>0.48</v>
      </c>
      <c r="L79" s="44">
        <f t="shared" ref="L79:L84" si="20">K79</f>
        <v>0.48</v>
      </c>
    </row>
    <row r="80" spans="1:12" x14ac:dyDescent="0.2">
      <c r="A80" t="s">
        <v>170</v>
      </c>
      <c r="B80">
        <v>0</v>
      </c>
      <c r="C80">
        <v>5</v>
      </c>
      <c r="D80">
        <v>7.5</v>
      </c>
      <c r="F80" s="44">
        <v>0.28000000000000003</v>
      </c>
      <c r="H80" t="s">
        <v>174</v>
      </c>
      <c r="K80" s="44">
        <f t="shared" si="19"/>
        <v>0.28000000000000003</v>
      </c>
      <c r="L80" s="44">
        <f t="shared" si="20"/>
        <v>0.28000000000000003</v>
      </c>
    </row>
    <row r="81" spans="1:12" x14ac:dyDescent="0.2">
      <c r="A81" t="s">
        <v>170</v>
      </c>
      <c r="B81">
        <v>0</v>
      </c>
      <c r="C81">
        <v>5</v>
      </c>
      <c r="D81">
        <v>7.5</v>
      </c>
      <c r="F81" s="44">
        <v>0.28000000000000003</v>
      </c>
      <c r="H81" t="s">
        <v>175</v>
      </c>
      <c r="K81" s="44">
        <f t="shared" si="19"/>
        <v>0.28000000000000003</v>
      </c>
      <c r="L81" s="44">
        <f t="shared" si="20"/>
        <v>0.28000000000000003</v>
      </c>
    </row>
    <row r="82" spans="1:12" x14ac:dyDescent="0.2">
      <c r="A82" t="s">
        <v>170</v>
      </c>
      <c r="B82">
        <v>0</v>
      </c>
      <c r="C82">
        <v>0</v>
      </c>
      <c r="D82">
        <v>2</v>
      </c>
      <c r="F82" s="44">
        <v>0.01</v>
      </c>
      <c r="H82" t="s">
        <v>176</v>
      </c>
      <c r="K82" s="44">
        <f t="shared" si="19"/>
        <v>0.01</v>
      </c>
      <c r="L82" s="44">
        <f t="shared" si="20"/>
        <v>0.01</v>
      </c>
    </row>
    <row r="83" spans="1:12" x14ac:dyDescent="0.2">
      <c r="A83" t="s">
        <v>170</v>
      </c>
      <c r="B83">
        <v>0</v>
      </c>
      <c r="C83">
        <v>0</v>
      </c>
      <c r="D83">
        <v>2</v>
      </c>
      <c r="F83" s="44">
        <v>0.01</v>
      </c>
      <c r="H83" t="s">
        <v>177</v>
      </c>
      <c r="K83" s="44">
        <f t="shared" si="19"/>
        <v>0.01</v>
      </c>
      <c r="L83" s="44">
        <f t="shared" si="20"/>
        <v>0.01</v>
      </c>
    </row>
    <row r="84" spans="1:12" x14ac:dyDescent="0.2">
      <c r="A84" t="s">
        <v>170</v>
      </c>
      <c r="B84">
        <v>0</v>
      </c>
      <c r="C84">
        <v>0</v>
      </c>
      <c r="D84">
        <v>1.5</v>
      </c>
      <c r="F84" s="44">
        <f>B84+C84/20+D84/240</f>
        <v>6.2500000000000003E-3</v>
      </c>
      <c r="H84" t="s">
        <v>479</v>
      </c>
      <c r="K84" s="44">
        <f t="shared" si="19"/>
        <v>6.2500000000000003E-3</v>
      </c>
      <c r="L84" s="44">
        <f t="shared" si="20"/>
        <v>6.2500000000000003E-3</v>
      </c>
    </row>
    <row r="85" spans="1:12" x14ac:dyDescent="0.2">
      <c r="A85" t="s">
        <v>170</v>
      </c>
      <c r="B85">
        <v>1</v>
      </c>
      <c r="C85">
        <v>3</v>
      </c>
      <c r="D85">
        <v>6.5</v>
      </c>
      <c r="F85" s="44">
        <v>1.18</v>
      </c>
      <c r="H85" t="s">
        <v>480</v>
      </c>
    </row>
    <row r="86" spans="1:12" x14ac:dyDescent="0.2">
      <c r="A86" t="s">
        <v>170</v>
      </c>
      <c r="F86" s="44">
        <f>SUM(F77:F84)</f>
        <v>1.1862500000000002</v>
      </c>
      <c r="G86" s="45">
        <f>F86-F85</f>
        <v>6.2500000000003109E-3</v>
      </c>
      <c r="H86" t="s">
        <v>263</v>
      </c>
    </row>
    <row r="88" spans="1:12" x14ac:dyDescent="0.2">
      <c r="A88" t="s">
        <v>179</v>
      </c>
      <c r="B88">
        <v>0</v>
      </c>
      <c r="C88">
        <v>6</v>
      </c>
      <c r="D88">
        <v>10</v>
      </c>
      <c r="F88" s="44">
        <v>0.34</v>
      </c>
      <c r="H88" t="s">
        <v>481</v>
      </c>
    </row>
    <row r="89" spans="1:12" x14ac:dyDescent="0.2">
      <c r="A89" t="s">
        <v>179</v>
      </c>
      <c r="B89">
        <v>0</v>
      </c>
      <c r="C89">
        <v>6</v>
      </c>
      <c r="D89">
        <v>10</v>
      </c>
      <c r="F89" s="44">
        <v>0.34</v>
      </c>
      <c r="H89" t="s">
        <v>482</v>
      </c>
    </row>
    <row r="90" spans="1:12" x14ac:dyDescent="0.2">
      <c r="A90" t="s">
        <v>179</v>
      </c>
      <c r="F90" s="44">
        <v>0.34</v>
      </c>
      <c r="G90" s="45">
        <v>0</v>
      </c>
      <c r="H90" t="s">
        <v>263</v>
      </c>
    </row>
    <row r="92" spans="1:12" x14ac:dyDescent="0.2">
      <c r="A92" t="s">
        <v>181</v>
      </c>
      <c r="B92">
        <v>1</v>
      </c>
      <c r="C92">
        <v>17</v>
      </c>
      <c r="D92">
        <v>9</v>
      </c>
      <c r="F92" s="44">
        <v>1.89</v>
      </c>
      <c r="H92" t="s">
        <v>182</v>
      </c>
    </row>
    <row r="93" spans="1:12" x14ac:dyDescent="0.2">
      <c r="A93" t="s">
        <v>181</v>
      </c>
      <c r="B93">
        <v>0</v>
      </c>
      <c r="C93">
        <v>1</v>
      </c>
      <c r="D93">
        <v>0</v>
      </c>
      <c r="F93" s="44">
        <v>0.05</v>
      </c>
      <c r="H93" t="s">
        <v>183</v>
      </c>
    </row>
    <row r="94" spans="1:12" x14ac:dyDescent="0.2">
      <c r="A94" t="s">
        <v>181</v>
      </c>
      <c r="B94">
        <v>1</v>
      </c>
      <c r="C94">
        <v>18</v>
      </c>
      <c r="D94">
        <v>9</v>
      </c>
      <c r="F94" s="44">
        <v>1.94</v>
      </c>
      <c r="H94" t="s">
        <v>184</v>
      </c>
    </row>
    <row r="95" spans="1:12" x14ac:dyDescent="0.2">
      <c r="A95" t="s">
        <v>181</v>
      </c>
      <c r="F95" s="44">
        <v>1.94</v>
      </c>
      <c r="G95" s="45">
        <v>0</v>
      </c>
      <c r="H95" t="s">
        <v>263</v>
      </c>
    </row>
    <row r="97" spans="1:8" x14ac:dyDescent="0.2">
      <c r="A97" t="s">
        <v>185</v>
      </c>
      <c r="B97">
        <v>2</v>
      </c>
      <c r="C97">
        <v>0</v>
      </c>
      <c r="D97">
        <v>0</v>
      </c>
      <c r="F97">
        <v>2</v>
      </c>
      <c r="H97" t="s">
        <v>186</v>
      </c>
    </row>
    <row r="98" spans="1:8" x14ac:dyDescent="0.2">
      <c r="A98" t="s">
        <v>185</v>
      </c>
      <c r="B98">
        <v>0</v>
      </c>
      <c r="C98">
        <v>6</v>
      </c>
      <c r="D98">
        <v>8</v>
      </c>
      <c r="F98">
        <v>0.33</v>
      </c>
      <c r="H98" t="s">
        <v>590</v>
      </c>
    </row>
    <row r="99" spans="1:8" x14ac:dyDescent="0.2">
      <c r="A99" t="s">
        <v>185</v>
      </c>
      <c r="C99">
        <v>2</v>
      </c>
      <c r="D99">
        <v>1</v>
      </c>
      <c r="F99">
        <f>B99+C99/20+D99/240</f>
        <v>0.10416666666666667</v>
      </c>
      <c r="H99" t="s">
        <v>591</v>
      </c>
    </row>
    <row r="100" spans="1:8" x14ac:dyDescent="0.2">
      <c r="A100" t="s">
        <v>185</v>
      </c>
      <c r="B100">
        <v>0</v>
      </c>
      <c r="C100">
        <v>6</v>
      </c>
      <c r="D100">
        <v>8</v>
      </c>
      <c r="F100" s="44">
        <f>B100+C100/20+D100/240</f>
        <v>0.33333333333333331</v>
      </c>
      <c r="H100" t="s">
        <v>588</v>
      </c>
    </row>
    <row r="101" spans="1:8" x14ac:dyDescent="0.2">
      <c r="A101" t="s">
        <v>185</v>
      </c>
      <c r="B101">
        <v>2</v>
      </c>
      <c r="C101">
        <v>15</v>
      </c>
      <c r="D101">
        <v>5</v>
      </c>
      <c r="F101">
        <v>2.77</v>
      </c>
      <c r="H101" t="s">
        <v>589</v>
      </c>
    </row>
    <row r="102" spans="1:8" x14ac:dyDescent="0.2">
      <c r="F102" s="44">
        <f>SUM(F97:F100)</f>
        <v>2.7675000000000001</v>
      </c>
      <c r="G102" s="45">
        <f>F102-F101</f>
        <v>-2.4999999999999467E-3</v>
      </c>
      <c r="H102" t="s">
        <v>263</v>
      </c>
    </row>
    <row r="104" spans="1:8" x14ac:dyDescent="0.2">
      <c r="A104" t="s">
        <v>189</v>
      </c>
      <c r="B104">
        <v>14</v>
      </c>
      <c r="C104">
        <v>5</v>
      </c>
      <c r="D104">
        <v>10.25</v>
      </c>
      <c r="F104" s="44">
        <v>14.29</v>
      </c>
      <c r="H104" t="s">
        <v>190</v>
      </c>
    </row>
    <row r="106" spans="1:8" x14ac:dyDescent="0.2">
      <c r="A106" t="s">
        <v>583</v>
      </c>
      <c r="B106">
        <v>44</v>
      </c>
      <c r="C106">
        <v>5</v>
      </c>
      <c r="D106">
        <v>9.75</v>
      </c>
      <c r="F106" s="44">
        <v>44.29</v>
      </c>
      <c r="H106" t="s">
        <v>191</v>
      </c>
    </row>
    <row r="107" spans="1:8" x14ac:dyDescent="0.2">
      <c r="A107" t="s">
        <v>583</v>
      </c>
      <c r="F107" s="44">
        <v>44.29</v>
      </c>
      <c r="G107" s="45">
        <v>0</v>
      </c>
      <c r="H107" t="s">
        <v>263</v>
      </c>
    </row>
    <row r="109" spans="1:8" x14ac:dyDescent="0.2">
      <c r="A109" t="s">
        <v>192</v>
      </c>
      <c r="B109">
        <v>33</v>
      </c>
      <c r="C109">
        <v>10</v>
      </c>
      <c r="D109">
        <v>0</v>
      </c>
      <c r="F109" s="44">
        <v>33.5</v>
      </c>
      <c r="H109" t="s">
        <v>193</v>
      </c>
    </row>
    <row r="110" spans="1:8" x14ac:dyDescent="0.2">
      <c r="A110" t="s">
        <v>192</v>
      </c>
      <c r="B110">
        <v>10</v>
      </c>
      <c r="C110">
        <v>15</v>
      </c>
      <c r="D110">
        <v>9.75</v>
      </c>
      <c r="F110" s="44">
        <v>10.79</v>
      </c>
      <c r="H110" t="s">
        <v>194</v>
      </c>
    </row>
    <row r="112" spans="1:8" ht="16" x14ac:dyDescent="0.2">
      <c r="A112" s="10" t="s">
        <v>365</v>
      </c>
      <c r="F112" s="44">
        <f>F104</f>
        <v>14.29</v>
      </c>
    </row>
    <row r="113" spans="1:7" ht="16" x14ac:dyDescent="0.2">
      <c r="A113" s="10" t="s">
        <v>366</v>
      </c>
      <c r="F113" s="44">
        <f>F95+F90+F86+F75+F68+F58+F19+F40+F33+F102</f>
        <v>14.073958333333332</v>
      </c>
      <c r="G113" s="45">
        <f>F113-F112</f>
        <v>-0.21604166666666735</v>
      </c>
    </row>
    <row r="114" spans="1:7" ht="16" x14ac:dyDescent="0.2">
      <c r="A114" s="10" t="s">
        <v>367</v>
      </c>
      <c r="F114" s="44">
        <f>SUM(K3:K86)</f>
        <v>3.3554166666666672</v>
      </c>
    </row>
    <row r="115" spans="1:7" ht="16" x14ac:dyDescent="0.2">
      <c r="A115" s="10" t="s">
        <v>368</v>
      </c>
      <c r="F115" s="44">
        <f>SUM(L3:L85)</f>
        <v>3.030416666666667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8" sqref="I8"/>
    </sheetView>
  </sheetViews>
  <sheetFormatPr baseColWidth="10" defaultColWidth="8.83203125" defaultRowHeight="15" x14ac:dyDescent="0.2"/>
  <cols>
    <col min="1" max="1" width="30" bestFit="1" customWidth="1"/>
    <col min="2" max="2" width="12.1640625" bestFit="1" customWidth="1"/>
    <col min="3" max="3" width="16.1640625" customWidth="1"/>
    <col min="4" max="4" width="20" bestFit="1" customWidth="1"/>
    <col min="5" max="5" width="21.5" bestFit="1" customWidth="1"/>
    <col min="6" max="6" width="15.83203125" bestFit="1" customWidth="1"/>
    <col min="7" max="9" width="19.33203125" customWidth="1"/>
    <col min="10" max="12" width="22.83203125" customWidth="1"/>
    <col min="13" max="13" width="14.6640625" customWidth="1"/>
    <col min="14" max="14" width="8.1640625" bestFit="1" customWidth="1"/>
    <col min="15" max="15" width="11.83203125" customWidth="1"/>
    <col min="16" max="16" width="18.83203125" customWidth="1"/>
  </cols>
  <sheetData>
    <row r="1" spans="1:16" s="64" customFormat="1" ht="32" x14ac:dyDescent="0.2">
      <c r="A1" s="48" t="s">
        <v>309</v>
      </c>
      <c r="B1" s="48" t="s">
        <v>557</v>
      </c>
      <c r="C1" s="62" t="s">
        <v>302</v>
      </c>
      <c r="D1" s="48" t="s">
        <v>290</v>
      </c>
      <c r="E1" s="48" t="s">
        <v>558</v>
      </c>
      <c r="F1" s="48" t="s">
        <v>299</v>
      </c>
      <c r="G1" s="62" t="s">
        <v>310</v>
      </c>
      <c r="H1" s="62" t="s">
        <v>311</v>
      </c>
      <c r="I1" s="63" t="s">
        <v>313</v>
      </c>
    </row>
    <row r="2" spans="1:16" x14ac:dyDescent="0.2">
      <c r="A2" t="s">
        <v>77</v>
      </c>
      <c r="B2" s="44">
        <v>95.875</v>
      </c>
      <c r="C2" s="44">
        <v>95.875</v>
      </c>
      <c r="D2" s="71">
        <v>0</v>
      </c>
      <c r="E2" s="44"/>
      <c r="F2" s="44">
        <v>69.0625</v>
      </c>
      <c r="G2" s="44">
        <f>B2-F2</f>
        <v>26.8125</v>
      </c>
      <c r="H2" s="44">
        <v>0.28108597285067882</v>
      </c>
      <c r="I2" s="44">
        <f>H2*B2</f>
        <v>26.949117647058831</v>
      </c>
    </row>
    <row r="3" spans="1:16" x14ac:dyDescent="0.2">
      <c r="A3" t="s">
        <v>79</v>
      </c>
      <c r="B3" s="44">
        <v>49.75</v>
      </c>
      <c r="C3" s="44">
        <v>49.75</v>
      </c>
      <c r="D3" s="71">
        <v>0</v>
      </c>
      <c r="E3" s="44"/>
      <c r="F3" s="44">
        <v>15.0625</v>
      </c>
      <c r="G3" s="44">
        <f t="shared" ref="G3:G5" si="0">B3-F3</f>
        <v>34.6875</v>
      </c>
      <c r="H3" s="44">
        <v>0.17482710926694331</v>
      </c>
      <c r="I3" s="44">
        <f t="shared" ref="I3:I6" si="1">H3*B3</f>
        <v>8.6976486860304298</v>
      </c>
    </row>
    <row r="4" spans="1:16" x14ac:dyDescent="0.2">
      <c r="A4" t="s">
        <v>577</v>
      </c>
      <c r="B4" s="44">
        <v>54.625</v>
      </c>
      <c r="C4" s="44">
        <v>54.625</v>
      </c>
      <c r="D4" s="71">
        <v>0</v>
      </c>
      <c r="E4" s="44"/>
      <c r="F4" s="44">
        <v>34.25</v>
      </c>
      <c r="G4" s="44">
        <f t="shared" si="0"/>
        <v>20.375</v>
      </c>
      <c r="H4" s="44">
        <v>0.15</v>
      </c>
      <c r="I4" s="44">
        <f t="shared" si="1"/>
        <v>8.1937499999999996</v>
      </c>
    </row>
    <row r="5" spans="1:16" x14ac:dyDescent="0.2">
      <c r="A5" t="s">
        <v>82</v>
      </c>
      <c r="B5" s="44">
        <v>4.375</v>
      </c>
      <c r="C5" s="44">
        <v>4.375</v>
      </c>
      <c r="D5" s="71">
        <v>0</v>
      </c>
      <c r="E5" s="44"/>
      <c r="F5" s="44">
        <v>0.625</v>
      </c>
      <c r="G5" s="44">
        <f t="shared" si="0"/>
        <v>3.75</v>
      </c>
      <c r="H5" s="44">
        <v>0.05</v>
      </c>
      <c r="I5" s="44">
        <f t="shared" si="1"/>
        <v>0.21875</v>
      </c>
    </row>
    <row r="6" spans="1:16" x14ac:dyDescent="0.2">
      <c r="A6" t="s">
        <v>166</v>
      </c>
      <c r="B6" s="44">
        <v>5.25</v>
      </c>
      <c r="C6" s="44">
        <v>0</v>
      </c>
      <c r="D6" s="71">
        <v>5.25</v>
      </c>
      <c r="E6" s="44"/>
      <c r="F6" s="44"/>
      <c r="G6" s="44"/>
      <c r="H6" s="44"/>
      <c r="I6" s="44">
        <f t="shared" si="1"/>
        <v>0</v>
      </c>
    </row>
    <row r="8" spans="1:16" x14ac:dyDescent="0.2">
      <c r="A8" s="65" t="s">
        <v>559</v>
      </c>
      <c r="I8" s="44">
        <f>SUM(I2:I6)</f>
        <v>44.059266333089262</v>
      </c>
    </row>
    <row r="9" spans="1:16" x14ac:dyDescent="0.2">
      <c r="A9" s="65" t="s">
        <v>560</v>
      </c>
    </row>
    <row r="12" spans="1:16" ht="32" x14ac:dyDescent="0.2">
      <c r="A12" s="64" t="s">
        <v>561</v>
      </c>
      <c r="B12" s="66" t="s">
        <v>562</v>
      </c>
      <c r="C12" s="67" t="s">
        <v>563</v>
      </c>
      <c r="D12" s="67" t="s">
        <v>564</v>
      </c>
      <c r="E12" s="67" t="s">
        <v>565</v>
      </c>
      <c r="F12" s="64" t="s">
        <v>566</v>
      </c>
      <c r="G12" s="67" t="s">
        <v>567</v>
      </c>
      <c r="H12" s="67" t="s">
        <v>568</v>
      </c>
      <c r="I12" s="67" t="s">
        <v>569</v>
      </c>
      <c r="J12" s="67" t="s">
        <v>570</v>
      </c>
      <c r="K12" s="68" t="s">
        <v>571</v>
      </c>
      <c r="L12" s="67" t="s">
        <v>572</v>
      </c>
      <c r="M12" s="67" t="s">
        <v>573</v>
      </c>
      <c r="N12" s="69" t="s">
        <v>574</v>
      </c>
      <c r="O12" s="69" t="s">
        <v>575</v>
      </c>
      <c r="P12" s="66" t="s">
        <v>576</v>
      </c>
    </row>
    <row r="13" spans="1:16" x14ac:dyDescent="0.2">
      <c r="A13" t="s">
        <v>77</v>
      </c>
      <c r="B13" s="44">
        <f>B2</f>
        <v>95.875</v>
      </c>
      <c r="C13">
        <f>23</f>
        <v>23</v>
      </c>
      <c r="D13">
        <v>5</v>
      </c>
      <c r="E13">
        <f>C13+D13/8</f>
        <v>23.625</v>
      </c>
      <c r="I13">
        <f>3</f>
        <v>3</v>
      </c>
      <c r="J13">
        <f>2</f>
        <v>2</v>
      </c>
      <c r="K13" s="72">
        <f>I13+J13/8</f>
        <v>3.25</v>
      </c>
      <c r="L13" s="44">
        <f>B13-E13-K13</f>
        <v>69</v>
      </c>
      <c r="N13" s="44">
        <f>H2</f>
        <v>0.28108597285067882</v>
      </c>
      <c r="O13" s="44">
        <f>L13*N13</f>
        <v>19.39493212669684</v>
      </c>
    </row>
    <row r="14" spans="1:16" x14ac:dyDescent="0.2">
      <c r="A14" t="s">
        <v>79</v>
      </c>
      <c r="B14" s="44">
        <f t="shared" ref="B14:B17" si="2">B3</f>
        <v>49.75</v>
      </c>
      <c r="C14">
        <f>12</f>
        <v>12</v>
      </c>
      <c r="D14">
        <f>7</f>
        <v>7</v>
      </c>
      <c r="E14">
        <f t="shared" ref="E14:E17" si="3">C14+D14/8</f>
        <v>12.875</v>
      </c>
      <c r="I14">
        <f>3+15+3</f>
        <v>21</v>
      </c>
      <c r="J14">
        <f>2+3.5</f>
        <v>5.5</v>
      </c>
      <c r="K14" s="72">
        <f t="shared" ref="K14:K17" si="4">I14+J14/8</f>
        <v>21.6875</v>
      </c>
      <c r="L14" s="44">
        <f t="shared" ref="L14:L17" si="5">B14-E14-K14</f>
        <v>15.1875</v>
      </c>
      <c r="N14" s="44">
        <f t="shared" ref="N14:N17" si="6">H3</f>
        <v>0.17482710926694331</v>
      </c>
      <c r="O14" s="44">
        <f t="shared" ref="O14:O17" si="7">L14*N14</f>
        <v>2.6551867219917016</v>
      </c>
    </row>
    <row r="15" spans="1:16" x14ac:dyDescent="0.2">
      <c r="A15" t="s">
        <v>577</v>
      </c>
      <c r="B15" s="44">
        <f t="shared" si="2"/>
        <v>54.625</v>
      </c>
      <c r="C15">
        <v>20</v>
      </c>
      <c r="D15">
        <v>3</v>
      </c>
      <c r="E15">
        <f t="shared" si="3"/>
        <v>20.375</v>
      </c>
      <c r="K15" s="72">
        <f t="shared" si="4"/>
        <v>0</v>
      </c>
      <c r="L15" s="44">
        <f t="shared" si="5"/>
        <v>34.25</v>
      </c>
      <c r="N15" s="44">
        <f t="shared" si="6"/>
        <v>0.15</v>
      </c>
      <c r="O15" s="44">
        <f t="shared" si="7"/>
        <v>5.1375000000000002</v>
      </c>
    </row>
    <row r="16" spans="1:16" x14ac:dyDescent="0.2">
      <c r="A16" t="s">
        <v>82</v>
      </c>
      <c r="B16" s="44">
        <f t="shared" si="2"/>
        <v>4.375</v>
      </c>
      <c r="D16">
        <v>6</v>
      </c>
      <c r="E16">
        <f t="shared" si="3"/>
        <v>0.75</v>
      </c>
      <c r="I16">
        <v>3</v>
      </c>
      <c r="K16" s="72">
        <f t="shared" si="4"/>
        <v>3</v>
      </c>
      <c r="L16" s="44">
        <f t="shared" si="5"/>
        <v>0.625</v>
      </c>
      <c r="N16" s="44">
        <f t="shared" si="6"/>
        <v>0.05</v>
      </c>
      <c r="O16" s="44">
        <f t="shared" si="7"/>
        <v>3.125E-2</v>
      </c>
    </row>
    <row r="17" spans="1:15" x14ac:dyDescent="0.2">
      <c r="A17" t="s">
        <v>166</v>
      </c>
      <c r="B17" s="44">
        <f t="shared" si="2"/>
        <v>5.25</v>
      </c>
      <c r="C17">
        <v>3</v>
      </c>
      <c r="E17">
        <f t="shared" si="3"/>
        <v>3</v>
      </c>
      <c r="I17">
        <v>2</v>
      </c>
      <c r="J17">
        <v>2</v>
      </c>
      <c r="K17" s="72">
        <f t="shared" si="4"/>
        <v>2.25</v>
      </c>
      <c r="L17" s="44">
        <f t="shared" si="5"/>
        <v>0</v>
      </c>
      <c r="N17" s="44">
        <f t="shared" si="6"/>
        <v>0</v>
      </c>
      <c r="O17" s="44">
        <f t="shared" si="7"/>
        <v>0</v>
      </c>
    </row>
    <row r="19" spans="1:15" x14ac:dyDescent="0.2">
      <c r="A19" s="70" t="s">
        <v>263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8"/>
  <sheetViews>
    <sheetView zoomScale="90" workbookViewId="0">
      <pane xSplit="1" ySplit="4" topLeftCell="M64" activePane="bottomRight" state="frozen"/>
      <selection pane="topRight" activeCell="B1" sqref="B1"/>
      <selection pane="bottomLeft" activeCell="A5" sqref="A5"/>
      <selection pane="bottomRight" activeCell="T72" sqref="T72"/>
    </sheetView>
  </sheetViews>
  <sheetFormatPr baseColWidth="10" defaultColWidth="8.83203125" defaultRowHeight="15" x14ac:dyDescent="0.2"/>
  <cols>
    <col min="1" max="1" width="44.33203125" bestFit="1" customWidth="1"/>
    <col min="10" max="10" width="16.6640625" customWidth="1"/>
    <col min="11" max="11" width="12.83203125" customWidth="1"/>
    <col min="14" max="14" width="13.33203125" customWidth="1"/>
    <col min="15" max="15" width="8.83203125" style="44"/>
    <col min="16" max="16" width="18.1640625" customWidth="1"/>
    <col min="17" max="17" width="17.6640625" customWidth="1"/>
    <col min="19" max="19" width="13.33203125" customWidth="1"/>
    <col min="20" max="20" width="16.6640625" customWidth="1"/>
  </cols>
  <sheetData>
    <row r="1" spans="1:21" ht="16" x14ac:dyDescent="0.2">
      <c r="A1" s="10" t="s">
        <v>556</v>
      </c>
      <c r="B1" s="48"/>
      <c r="C1" s="48"/>
      <c r="D1" s="48"/>
      <c r="E1" s="48"/>
      <c r="F1" s="48"/>
      <c r="G1" s="48"/>
      <c r="H1" s="48"/>
      <c r="I1" s="48"/>
    </row>
    <row r="2" spans="1:21" ht="16" x14ac:dyDescent="0.2">
      <c r="A2" s="10"/>
    </row>
    <row r="3" spans="1:21" ht="17" customHeight="1" x14ac:dyDescent="0.2">
      <c r="A3" s="49"/>
      <c r="B3" s="49"/>
      <c r="C3" s="76" t="s">
        <v>274</v>
      </c>
      <c r="D3" s="76"/>
      <c r="E3" s="76"/>
      <c r="F3" s="76"/>
      <c r="G3" s="76" t="s">
        <v>537</v>
      </c>
      <c r="H3" s="76"/>
      <c r="I3" s="76"/>
      <c r="J3" s="76"/>
      <c r="K3" s="49"/>
      <c r="L3" s="49"/>
      <c r="M3" s="49"/>
      <c r="N3" s="49"/>
      <c r="O3" s="50"/>
      <c r="P3" s="50"/>
      <c r="Q3" s="49"/>
      <c r="R3" s="49"/>
      <c r="S3" s="49"/>
      <c r="T3" s="49"/>
    </row>
    <row r="4" spans="1:21" ht="51" x14ac:dyDescent="0.2">
      <c r="A4" s="51" t="s">
        <v>387</v>
      </c>
      <c r="B4" s="52" t="s">
        <v>538</v>
      </c>
      <c r="C4" s="52" t="s">
        <v>274</v>
      </c>
      <c r="D4" s="10" t="s">
        <v>539</v>
      </c>
      <c r="E4" s="10" t="s">
        <v>540</v>
      </c>
      <c r="F4" s="10" t="s">
        <v>541</v>
      </c>
      <c r="G4" s="10" t="s">
        <v>542</v>
      </c>
      <c r="H4" s="52" t="s">
        <v>275</v>
      </c>
      <c r="I4" s="52" t="s">
        <v>543</v>
      </c>
      <c r="J4" s="52" t="s">
        <v>544</v>
      </c>
      <c r="K4" s="52" t="s">
        <v>545</v>
      </c>
      <c r="L4" s="52" t="s">
        <v>546</v>
      </c>
      <c r="M4" s="52" t="s">
        <v>547</v>
      </c>
      <c r="N4" s="52" t="s">
        <v>548</v>
      </c>
      <c r="O4" s="75" t="s">
        <v>549</v>
      </c>
      <c r="P4" s="53" t="s">
        <v>550</v>
      </c>
      <c r="Q4" s="51" t="s">
        <v>551</v>
      </c>
      <c r="R4" s="51" t="s">
        <v>552</v>
      </c>
      <c r="S4" s="51" t="s">
        <v>553</v>
      </c>
      <c r="T4" s="54" t="s">
        <v>554</v>
      </c>
      <c r="U4" s="52" t="s">
        <v>555</v>
      </c>
    </row>
    <row r="5" spans="1:21" ht="16" x14ac:dyDescent="0.2">
      <c r="A5" s="49" t="s">
        <v>276</v>
      </c>
      <c r="B5">
        <v>2</v>
      </c>
      <c r="C5">
        <f>2+2</f>
        <v>4</v>
      </c>
      <c r="H5">
        <v>4</v>
      </c>
      <c r="K5">
        <v>2</v>
      </c>
      <c r="O5" s="44">
        <f>R5/H5</f>
        <v>0.9</v>
      </c>
      <c r="R5" s="44">
        <f>Receipts!F38+Receipts!F39+Receipts!F40</f>
        <v>3.6</v>
      </c>
    </row>
    <row r="6" spans="1:21" ht="16" x14ac:dyDescent="0.2">
      <c r="A6" s="49" t="s">
        <v>388</v>
      </c>
    </row>
    <row r="7" spans="1:21" x14ac:dyDescent="0.2">
      <c r="A7" t="s">
        <v>389</v>
      </c>
    </row>
    <row r="8" spans="1:21" x14ac:dyDescent="0.2">
      <c r="A8" t="s">
        <v>483</v>
      </c>
    </row>
    <row r="9" spans="1:21" x14ac:dyDescent="0.2">
      <c r="A9" t="s">
        <v>390</v>
      </c>
    </row>
    <row r="10" spans="1:21" x14ac:dyDescent="0.2">
      <c r="A10" t="s">
        <v>391</v>
      </c>
    </row>
    <row r="11" spans="1:21" x14ac:dyDescent="0.2">
      <c r="A11" t="s">
        <v>392</v>
      </c>
    </row>
    <row r="12" spans="1:21" x14ac:dyDescent="0.2">
      <c r="A12" t="s">
        <v>277</v>
      </c>
      <c r="B12">
        <v>24</v>
      </c>
      <c r="C12">
        <v>1</v>
      </c>
      <c r="H12">
        <v>1</v>
      </c>
      <c r="K12">
        <v>24</v>
      </c>
      <c r="O12" s="44">
        <f t="shared" ref="O12:O26" si="0">R12/H12</f>
        <v>0.4</v>
      </c>
      <c r="R12" s="44">
        <f>Receipts!F41</f>
        <v>0.4</v>
      </c>
    </row>
    <row r="13" spans="1:21" x14ac:dyDescent="0.2">
      <c r="A13" t="s">
        <v>393</v>
      </c>
    </row>
    <row r="14" spans="1:21" x14ac:dyDescent="0.2">
      <c r="A14" t="s">
        <v>278</v>
      </c>
      <c r="C14">
        <v>1</v>
      </c>
      <c r="H14">
        <v>1</v>
      </c>
      <c r="O14" s="44">
        <f t="shared" si="0"/>
        <v>0.35</v>
      </c>
      <c r="R14" s="44">
        <f>Receipts!F42</f>
        <v>0.35</v>
      </c>
    </row>
    <row r="15" spans="1:21" x14ac:dyDescent="0.2">
      <c r="A15" t="s">
        <v>394</v>
      </c>
    </row>
    <row r="16" spans="1:21" x14ac:dyDescent="0.2">
      <c r="A16" t="s">
        <v>395</v>
      </c>
    </row>
    <row r="17" spans="1:21" x14ac:dyDescent="0.2">
      <c r="A17" t="s">
        <v>396</v>
      </c>
    </row>
    <row r="18" spans="1:21" x14ac:dyDescent="0.2">
      <c r="A18" t="s">
        <v>397</v>
      </c>
    </row>
    <row r="19" spans="1:21" x14ac:dyDescent="0.2">
      <c r="A19" t="s">
        <v>398</v>
      </c>
    </row>
    <row r="20" spans="1:21" x14ac:dyDescent="0.2">
      <c r="A20" t="s">
        <v>399</v>
      </c>
    </row>
    <row r="21" spans="1:21" x14ac:dyDescent="0.2">
      <c r="A21" t="s">
        <v>400</v>
      </c>
    </row>
    <row r="22" spans="1:21" x14ac:dyDescent="0.2">
      <c r="A22" t="s">
        <v>401</v>
      </c>
    </row>
    <row r="23" spans="1:21" x14ac:dyDescent="0.2">
      <c r="A23" t="s">
        <v>402</v>
      </c>
    </row>
    <row r="24" spans="1:21" x14ac:dyDescent="0.2">
      <c r="A24" t="s">
        <v>403</v>
      </c>
    </row>
    <row r="25" spans="1:21" x14ac:dyDescent="0.2">
      <c r="A25" t="s">
        <v>404</v>
      </c>
    </row>
    <row r="26" spans="1:21" x14ac:dyDescent="0.2">
      <c r="A26" t="s">
        <v>279</v>
      </c>
      <c r="C26">
        <f>3</f>
        <v>3</v>
      </c>
      <c r="H26">
        <v>2</v>
      </c>
      <c r="K26">
        <v>1</v>
      </c>
      <c r="O26" s="44">
        <f t="shared" si="0"/>
        <v>0.15</v>
      </c>
      <c r="R26" s="44">
        <f>Receipts!F43</f>
        <v>0.3</v>
      </c>
    </row>
    <row r="27" spans="1:21" x14ac:dyDescent="0.2">
      <c r="A27" t="s">
        <v>405</v>
      </c>
    </row>
    <row r="28" spans="1:21" x14ac:dyDescent="0.2">
      <c r="A28" t="s">
        <v>280</v>
      </c>
      <c r="C28">
        <v>8</v>
      </c>
      <c r="K28">
        <v>8</v>
      </c>
    </row>
    <row r="29" spans="1:21" x14ac:dyDescent="0.2">
      <c r="A29" t="s">
        <v>406</v>
      </c>
    </row>
    <row r="30" spans="1:21" x14ac:dyDescent="0.2">
      <c r="A30" t="s">
        <v>281</v>
      </c>
      <c r="B30">
        <v>3</v>
      </c>
      <c r="I30">
        <v>1</v>
      </c>
      <c r="K30">
        <v>2</v>
      </c>
      <c r="R30" s="44">
        <f>Receipts!F45</f>
        <v>4.1666666666666666E-3</v>
      </c>
      <c r="U30" t="s">
        <v>578</v>
      </c>
    </row>
    <row r="31" spans="1:21" s="73" customFormat="1" ht="16" x14ac:dyDescent="0.2">
      <c r="A31" s="55" t="s">
        <v>484</v>
      </c>
      <c r="O31" s="74"/>
      <c r="R31" s="74">
        <f>SUM(R5:R30)</f>
        <v>4.6541666666666659</v>
      </c>
    </row>
    <row r="34" spans="1:15" ht="17" x14ac:dyDescent="0.2">
      <c r="A34" s="51" t="s">
        <v>409</v>
      </c>
    </row>
    <row r="35" spans="1:15" x14ac:dyDescent="0.2">
      <c r="A35" t="s">
        <v>411</v>
      </c>
    </row>
    <row r="36" spans="1:15" x14ac:dyDescent="0.2">
      <c r="A36" t="s">
        <v>412</v>
      </c>
    </row>
    <row r="37" spans="1:15" x14ac:dyDescent="0.2">
      <c r="A37" t="s">
        <v>413</v>
      </c>
    </row>
    <row r="38" spans="1:15" x14ac:dyDescent="0.2">
      <c r="A38" t="s">
        <v>414</v>
      </c>
    </row>
    <row r="39" spans="1:15" s="73" customFormat="1" ht="16" x14ac:dyDescent="0.2">
      <c r="A39" s="55" t="s">
        <v>485</v>
      </c>
      <c r="O39" s="74"/>
    </row>
    <row r="42" spans="1:15" ht="17" x14ac:dyDescent="0.2">
      <c r="A42" s="51" t="s">
        <v>415</v>
      </c>
    </row>
    <row r="43" spans="1:15" x14ac:dyDescent="0.2">
      <c r="A43" t="s">
        <v>416</v>
      </c>
    </row>
    <row r="44" spans="1:15" x14ac:dyDescent="0.2">
      <c r="A44" t="s">
        <v>486</v>
      </c>
    </row>
    <row r="45" spans="1:15" x14ac:dyDescent="0.2">
      <c r="A45" t="s">
        <v>487</v>
      </c>
    </row>
    <row r="46" spans="1:15" x14ac:dyDescent="0.2">
      <c r="A46" t="s">
        <v>488</v>
      </c>
    </row>
    <row r="47" spans="1:15" x14ac:dyDescent="0.2">
      <c r="A47" t="s">
        <v>489</v>
      </c>
    </row>
    <row r="48" spans="1:15" x14ac:dyDescent="0.2">
      <c r="A48" t="s">
        <v>490</v>
      </c>
    </row>
    <row r="49" spans="1:15" x14ac:dyDescent="0.2">
      <c r="A49" s="56" t="s">
        <v>491</v>
      </c>
    </row>
    <row r="50" spans="1:15" x14ac:dyDescent="0.2">
      <c r="A50" s="56" t="s">
        <v>492</v>
      </c>
    </row>
    <row r="51" spans="1:15" x14ac:dyDescent="0.2">
      <c r="A51" s="56" t="s">
        <v>493</v>
      </c>
    </row>
    <row r="52" spans="1:15" x14ac:dyDescent="0.2">
      <c r="A52" s="56" t="s">
        <v>494</v>
      </c>
    </row>
    <row r="53" spans="1:15" x14ac:dyDescent="0.2">
      <c r="A53" s="57" t="s">
        <v>495</v>
      </c>
    </row>
    <row r="54" spans="1:15" x14ac:dyDescent="0.2">
      <c r="A54" s="57" t="s">
        <v>496</v>
      </c>
    </row>
    <row r="55" spans="1:15" x14ac:dyDescent="0.2">
      <c r="A55" s="56" t="s">
        <v>491</v>
      </c>
    </row>
    <row r="56" spans="1:15" x14ac:dyDescent="0.2">
      <c r="A56" s="56" t="s">
        <v>492</v>
      </c>
    </row>
    <row r="57" spans="1:15" x14ac:dyDescent="0.2">
      <c r="A57" s="56" t="s">
        <v>493</v>
      </c>
    </row>
    <row r="58" spans="1:15" x14ac:dyDescent="0.2">
      <c r="A58" s="56" t="s">
        <v>494</v>
      </c>
    </row>
    <row r="59" spans="1:15" x14ac:dyDescent="0.2">
      <c r="A59" s="57" t="s">
        <v>432</v>
      </c>
    </row>
    <row r="60" spans="1:15" x14ac:dyDescent="0.2">
      <c r="A60" t="s">
        <v>497</v>
      </c>
    </row>
    <row r="61" spans="1:15" x14ac:dyDescent="0.2">
      <c r="A61" t="s">
        <v>434</v>
      </c>
    </row>
    <row r="62" spans="1:15" x14ac:dyDescent="0.2">
      <c r="A62" t="s">
        <v>435</v>
      </c>
    </row>
    <row r="63" spans="1:15" s="73" customFormat="1" x14ac:dyDescent="0.2">
      <c r="A63" s="73" t="s">
        <v>498</v>
      </c>
      <c r="O63" s="74"/>
    </row>
    <row r="66" spans="1:20" ht="17" x14ac:dyDescent="0.2">
      <c r="A66" s="51" t="s">
        <v>282</v>
      </c>
    </row>
    <row r="67" spans="1:20" ht="16" x14ac:dyDescent="0.2">
      <c r="A67" s="49" t="s">
        <v>436</v>
      </c>
      <c r="F67">
        <f>76-4-2-2-2</f>
        <v>66</v>
      </c>
      <c r="H67">
        <v>66</v>
      </c>
      <c r="K67">
        <v>0</v>
      </c>
      <c r="O67" s="44">
        <f>R67/H67</f>
        <v>4.2424242424242429E-3</v>
      </c>
      <c r="R67" s="44">
        <f>Receipts!F35</f>
        <v>0.28000000000000003</v>
      </c>
      <c r="T67">
        <f>O67*H67</f>
        <v>0.28000000000000003</v>
      </c>
    </row>
    <row r="68" spans="1:20" x14ac:dyDescent="0.2">
      <c r="A68" t="s">
        <v>437</v>
      </c>
    </row>
    <row r="69" spans="1:20" x14ac:dyDescent="0.2">
      <c r="A69" t="s">
        <v>438</v>
      </c>
    </row>
    <row r="70" spans="1:20" x14ac:dyDescent="0.2">
      <c r="A70" t="s">
        <v>439</v>
      </c>
    </row>
    <row r="71" spans="1:20" s="73" customFormat="1" x14ac:dyDescent="0.2">
      <c r="A71" s="73" t="s">
        <v>499</v>
      </c>
      <c r="O71" s="74"/>
      <c r="R71" s="74">
        <f>SUM(R67:R70)</f>
        <v>0.28000000000000003</v>
      </c>
      <c r="T71" s="73">
        <f>SUM(T67:T70)</f>
        <v>0.28000000000000003</v>
      </c>
    </row>
    <row r="72" spans="1:20" x14ac:dyDescent="0.2">
      <c r="A72" s="59" t="s">
        <v>500</v>
      </c>
    </row>
    <row r="74" spans="1:20" ht="16" x14ac:dyDescent="0.2">
      <c r="A74" s="10" t="s">
        <v>440</v>
      </c>
    </row>
    <row r="75" spans="1:20" x14ac:dyDescent="0.2">
      <c r="A75" t="s">
        <v>441</v>
      </c>
    </row>
    <row r="76" spans="1:20" x14ac:dyDescent="0.2">
      <c r="A76" t="s">
        <v>442</v>
      </c>
    </row>
    <row r="77" spans="1:20" x14ac:dyDescent="0.2">
      <c r="A77" t="s">
        <v>443</v>
      </c>
    </row>
    <row r="78" spans="1:20" x14ac:dyDescent="0.2">
      <c r="A78" s="58" t="s">
        <v>263</v>
      </c>
    </row>
    <row r="81" spans="1:1" ht="16" x14ac:dyDescent="0.2">
      <c r="A81" s="10" t="s">
        <v>501</v>
      </c>
    </row>
    <row r="82" spans="1:1" x14ac:dyDescent="0.2">
      <c r="A82" t="s">
        <v>502</v>
      </c>
    </row>
    <row r="83" spans="1:1" x14ac:dyDescent="0.2">
      <c r="A83" t="s">
        <v>503</v>
      </c>
    </row>
    <row r="84" spans="1:1" x14ac:dyDescent="0.2">
      <c r="A84" t="s">
        <v>504</v>
      </c>
    </row>
    <row r="85" spans="1:1" ht="16" x14ac:dyDescent="0.2">
      <c r="A85" s="60" t="s">
        <v>498</v>
      </c>
    </row>
    <row r="87" spans="1:1" ht="16" x14ac:dyDescent="0.2">
      <c r="A87" s="10" t="s">
        <v>505</v>
      </c>
    </row>
    <row r="88" spans="1:1" x14ac:dyDescent="0.2">
      <c r="A88" t="s">
        <v>506</v>
      </c>
    </row>
    <row r="89" spans="1:1" x14ac:dyDescent="0.2">
      <c r="A89" t="s">
        <v>507</v>
      </c>
    </row>
    <row r="90" spans="1:1" ht="16" x14ac:dyDescent="0.2">
      <c r="A90" s="60" t="s">
        <v>263</v>
      </c>
    </row>
    <row r="92" spans="1:1" ht="16" x14ac:dyDescent="0.2">
      <c r="A92" s="10" t="s">
        <v>446</v>
      </c>
    </row>
    <row r="93" spans="1:1" x14ac:dyDescent="0.2">
      <c r="A93" t="s">
        <v>446</v>
      </c>
    </row>
    <row r="94" spans="1:1" ht="16" x14ac:dyDescent="0.2">
      <c r="A94" s="60" t="s">
        <v>263</v>
      </c>
    </row>
    <row r="95" spans="1:1" ht="16" x14ac:dyDescent="0.2">
      <c r="A95" s="61"/>
    </row>
    <row r="96" spans="1:1" ht="16" x14ac:dyDescent="0.2">
      <c r="A96" s="60" t="s">
        <v>508</v>
      </c>
    </row>
    <row r="99" spans="1:1" ht="16" x14ac:dyDescent="0.2">
      <c r="A99" s="10" t="s">
        <v>509</v>
      </c>
    </row>
    <row r="102" spans="1:1" ht="16" x14ac:dyDescent="0.2">
      <c r="A102" s="61" t="s">
        <v>510</v>
      </c>
    </row>
    <row r="103" spans="1:1" ht="16" x14ac:dyDescent="0.2">
      <c r="A103" s="10" t="s">
        <v>511</v>
      </c>
    </row>
    <row r="104" spans="1:1" x14ac:dyDescent="0.2">
      <c r="A104" t="s">
        <v>512</v>
      </c>
    </row>
    <row r="105" spans="1:1" x14ac:dyDescent="0.2">
      <c r="A105" t="s">
        <v>513</v>
      </c>
    </row>
    <row r="106" spans="1:1" x14ac:dyDescent="0.2">
      <c r="A106" t="s">
        <v>514</v>
      </c>
    </row>
    <row r="107" spans="1:1" x14ac:dyDescent="0.2">
      <c r="A107" t="s">
        <v>515</v>
      </c>
    </row>
    <row r="108" spans="1:1" x14ac:dyDescent="0.2">
      <c r="A108" t="s">
        <v>516</v>
      </c>
    </row>
    <row r="109" spans="1:1" x14ac:dyDescent="0.2">
      <c r="A109" t="s">
        <v>517</v>
      </c>
    </row>
    <row r="110" spans="1:1" x14ac:dyDescent="0.2">
      <c r="A110" t="s">
        <v>518</v>
      </c>
    </row>
    <row r="111" spans="1:1" x14ac:dyDescent="0.2">
      <c r="A111" t="s">
        <v>519</v>
      </c>
    </row>
    <row r="112" spans="1:1" x14ac:dyDescent="0.2">
      <c r="A112" t="s">
        <v>520</v>
      </c>
    </row>
    <row r="113" spans="1:1" x14ac:dyDescent="0.2">
      <c r="A113" t="s">
        <v>521</v>
      </c>
    </row>
    <row r="114" spans="1:1" x14ac:dyDescent="0.2">
      <c r="A114" t="s">
        <v>522</v>
      </c>
    </row>
    <row r="115" spans="1:1" x14ac:dyDescent="0.2">
      <c r="A115" t="s">
        <v>523</v>
      </c>
    </row>
    <row r="116" spans="1:1" x14ac:dyDescent="0.2">
      <c r="A116" t="s">
        <v>524</v>
      </c>
    </row>
    <row r="117" spans="1:1" x14ac:dyDescent="0.2">
      <c r="A117" t="s">
        <v>525</v>
      </c>
    </row>
    <row r="118" spans="1:1" x14ac:dyDescent="0.2">
      <c r="A118" t="s">
        <v>526</v>
      </c>
    </row>
    <row r="119" spans="1:1" x14ac:dyDescent="0.2">
      <c r="A119" t="s">
        <v>527</v>
      </c>
    </row>
    <row r="120" spans="1:1" x14ac:dyDescent="0.2">
      <c r="A120" t="s">
        <v>528</v>
      </c>
    </row>
    <row r="121" spans="1:1" x14ac:dyDescent="0.2">
      <c r="A121" t="s">
        <v>529</v>
      </c>
    </row>
    <row r="122" spans="1:1" x14ac:dyDescent="0.2">
      <c r="A122" t="s">
        <v>530</v>
      </c>
    </row>
    <row r="123" spans="1:1" x14ac:dyDescent="0.2">
      <c r="A123" t="s">
        <v>531</v>
      </c>
    </row>
    <row r="124" spans="1:1" x14ac:dyDescent="0.2">
      <c r="A124" t="s">
        <v>532</v>
      </c>
    </row>
    <row r="125" spans="1:1" x14ac:dyDescent="0.2">
      <c r="A125" t="s">
        <v>533</v>
      </c>
    </row>
    <row r="126" spans="1:1" x14ac:dyDescent="0.2">
      <c r="A126" t="s">
        <v>534</v>
      </c>
    </row>
    <row r="127" spans="1:1" x14ac:dyDescent="0.2">
      <c r="A127" t="s">
        <v>535</v>
      </c>
    </row>
    <row r="128" spans="1:1" x14ac:dyDescent="0.2">
      <c r="A128" t="s">
        <v>536</v>
      </c>
    </row>
  </sheetData>
  <mergeCells count="2">
    <mergeCell ref="C3:F3"/>
    <mergeCell ref="G3:J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3"/>
  <sheetViews>
    <sheetView topLeftCell="A106" workbookViewId="0">
      <selection activeCell="C134" sqref="C134:F136"/>
    </sheetView>
  </sheetViews>
  <sheetFormatPr baseColWidth="10" defaultColWidth="8.83203125" defaultRowHeight="15" x14ac:dyDescent="0.2"/>
  <cols>
    <col min="1" max="1" width="32.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37</v>
      </c>
      <c r="C2">
        <v>27.17</v>
      </c>
      <c r="D2">
        <v>27</v>
      </c>
      <c r="E2">
        <v>3</v>
      </c>
      <c r="F2">
        <v>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6" x14ac:dyDescent="0.2">
      <c r="A3" t="s">
        <v>36</v>
      </c>
      <c r="B3" t="s">
        <v>38</v>
      </c>
      <c r="C3">
        <v>27.17</v>
      </c>
      <c r="D3">
        <v>27</v>
      </c>
      <c r="E3">
        <v>3</v>
      </c>
      <c r="F3">
        <v>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6" x14ac:dyDescent="0.2">
      <c r="A4" t="s">
        <v>36</v>
      </c>
      <c r="B4" t="s">
        <v>39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6" x14ac:dyDescent="0.2">
      <c r="A5" t="s">
        <v>40</v>
      </c>
      <c r="B5" t="s">
        <v>41</v>
      </c>
      <c r="C5">
        <v>16.62</v>
      </c>
      <c r="D5">
        <v>16</v>
      </c>
      <c r="E5">
        <v>12</v>
      </c>
      <c r="F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6" x14ac:dyDescent="0.2">
      <c r="A6" t="s">
        <v>40</v>
      </c>
      <c r="B6" t="s">
        <v>42</v>
      </c>
      <c r="C6">
        <v>16.62</v>
      </c>
      <c r="D6">
        <v>16</v>
      </c>
      <c r="E6">
        <v>12</v>
      </c>
      <c r="F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6" x14ac:dyDescent="0.2">
      <c r="A7" t="s">
        <v>43</v>
      </c>
      <c r="B7" t="s">
        <v>44</v>
      </c>
      <c r="C7">
        <v>0.25</v>
      </c>
      <c r="D7">
        <v>0</v>
      </c>
      <c r="E7">
        <v>5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6" x14ac:dyDescent="0.2">
      <c r="A8" t="s">
        <v>43</v>
      </c>
      <c r="B8" t="s">
        <v>45</v>
      </c>
      <c r="C8">
        <v>0.6</v>
      </c>
      <c r="D8">
        <v>0</v>
      </c>
      <c r="E8">
        <v>12</v>
      </c>
      <c r="F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6" x14ac:dyDescent="0.2">
      <c r="A9" t="s">
        <v>43</v>
      </c>
      <c r="B9" t="s">
        <v>46</v>
      </c>
      <c r="C9">
        <v>0.85</v>
      </c>
      <c r="D9">
        <v>0</v>
      </c>
      <c r="E9">
        <v>17</v>
      </c>
      <c r="F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6" x14ac:dyDescent="0.2">
      <c r="A10" t="s">
        <v>47</v>
      </c>
      <c r="B10" t="s">
        <v>48</v>
      </c>
      <c r="C10">
        <v>0.15</v>
      </c>
      <c r="D10">
        <v>0</v>
      </c>
      <c r="E10">
        <v>3</v>
      </c>
      <c r="F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6" x14ac:dyDescent="0.2">
      <c r="A11" t="s">
        <v>49</v>
      </c>
      <c r="B11" t="s">
        <v>50</v>
      </c>
      <c r="C11">
        <v>1</v>
      </c>
      <c r="D11">
        <v>1</v>
      </c>
      <c r="E11">
        <v>0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6" x14ac:dyDescent="0.2">
      <c r="A12" t="s">
        <v>51</v>
      </c>
      <c r="B12" t="s">
        <v>52</v>
      </c>
      <c r="C12">
        <v>15.62</v>
      </c>
      <c r="D12">
        <v>15</v>
      </c>
      <c r="E12">
        <v>12</v>
      </c>
      <c r="F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6" x14ac:dyDescent="0.2">
      <c r="A13" t="s">
        <v>53</v>
      </c>
      <c r="B13" t="s">
        <v>54</v>
      </c>
      <c r="C13">
        <v>0.03</v>
      </c>
      <c r="D13">
        <v>0</v>
      </c>
      <c r="E13">
        <v>0</v>
      </c>
      <c r="F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6" x14ac:dyDescent="0.2">
      <c r="A14" t="s">
        <v>53</v>
      </c>
      <c r="B14" t="s">
        <v>55</v>
      </c>
      <c r="C14">
        <v>0.03</v>
      </c>
      <c r="D14">
        <v>0</v>
      </c>
      <c r="E14">
        <v>0</v>
      </c>
      <c r="F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6" x14ac:dyDescent="0.2">
      <c r="A15" t="s">
        <v>53</v>
      </c>
      <c r="B15" t="s">
        <v>56</v>
      </c>
      <c r="C15">
        <v>0.05</v>
      </c>
      <c r="D15">
        <v>0</v>
      </c>
      <c r="E15">
        <v>1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6" x14ac:dyDescent="0.2">
      <c r="A16" t="s">
        <v>57</v>
      </c>
      <c r="B16" t="s">
        <v>58</v>
      </c>
      <c r="C16">
        <v>0.37</v>
      </c>
      <c r="D16">
        <v>0</v>
      </c>
      <c r="E16">
        <v>7</v>
      </c>
      <c r="F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24" x14ac:dyDescent="0.2">
      <c r="A17" t="s">
        <v>57</v>
      </c>
      <c r="B17" t="s">
        <v>59</v>
      </c>
      <c r="C17">
        <v>0.27</v>
      </c>
      <c r="D17">
        <v>0</v>
      </c>
      <c r="E17">
        <v>5</v>
      </c>
      <c r="F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24" x14ac:dyDescent="0.2">
      <c r="A18" t="s">
        <v>57</v>
      </c>
      <c r="B18" t="s">
        <v>60</v>
      </c>
      <c r="C18">
        <v>0.25</v>
      </c>
      <c r="D18">
        <v>0</v>
      </c>
      <c r="E18">
        <v>5</v>
      </c>
      <c r="F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24" x14ac:dyDescent="0.2">
      <c r="A19" t="s">
        <v>57</v>
      </c>
      <c r="B19" t="s">
        <v>61</v>
      </c>
      <c r="C19">
        <v>0.28000000000000003</v>
      </c>
      <c r="D19">
        <v>0</v>
      </c>
      <c r="E19">
        <v>5</v>
      </c>
      <c r="F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4" x14ac:dyDescent="0.2">
      <c r="A20" t="s">
        <v>57</v>
      </c>
      <c r="B20" t="s">
        <v>62</v>
      </c>
      <c r="C20">
        <v>0.06</v>
      </c>
      <c r="D20">
        <v>0</v>
      </c>
      <c r="E20">
        <v>1</v>
      </c>
      <c r="F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24" x14ac:dyDescent="0.2">
      <c r="A21" t="s">
        <v>57</v>
      </c>
      <c r="B21" t="s">
        <v>63</v>
      </c>
      <c r="C21">
        <v>0.2</v>
      </c>
      <c r="D21">
        <v>0</v>
      </c>
      <c r="E21">
        <v>4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24" x14ac:dyDescent="0.2">
      <c r="A22" t="s">
        <v>57</v>
      </c>
      <c r="B22" t="s">
        <v>64</v>
      </c>
      <c r="C22">
        <v>0.4</v>
      </c>
      <c r="D22">
        <v>0</v>
      </c>
      <c r="E22">
        <v>8</v>
      </c>
      <c r="F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24" x14ac:dyDescent="0.2">
      <c r="A23" t="s">
        <v>57</v>
      </c>
      <c r="B23" t="s">
        <v>65</v>
      </c>
      <c r="C23">
        <v>1.85</v>
      </c>
      <c r="D23">
        <v>1</v>
      </c>
      <c r="E23">
        <v>17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24" x14ac:dyDescent="0.2">
      <c r="A24" t="s">
        <v>57</v>
      </c>
      <c r="B24" t="s">
        <v>66</v>
      </c>
      <c r="C24">
        <v>17</v>
      </c>
      <c r="D24">
        <v>17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24" x14ac:dyDescent="0.2">
      <c r="A25" t="s">
        <v>57</v>
      </c>
      <c r="B25" t="s">
        <v>67</v>
      </c>
      <c r="C25">
        <v>0.4</v>
      </c>
      <c r="D25">
        <v>0</v>
      </c>
      <c r="E25">
        <v>8</v>
      </c>
      <c r="F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24" x14ac:dyDescent="0.2">
      <c r="A26" t="s">
        <v>57</v>
      </c>
      <c r="B26" t="s">
        <v>68</v>
      </c>
      <c r="C26">
        <v>0.35</v>
      </c>
      <c r="D26">
        <v>0</v>
      </c>
      <c r="E26">
        <v>7</v>
      </c>
      <c r="F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24" x14ac:dyDescent="0.2">
      <c r="A27" t="s">
        <v>57</v>
      </c>
      <c r="B27" t="s">
        <v>69</v>
      </c>
      <c r="C27">
        <v>0.3</v>
      </c>
      <c r="D27">
        <v>0</v>
      </c>
      <c r="E27">
        <v>6</v>
      </c>
      <c r="F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24" x14ac:dyDescent="0.2">
      <c r="A28" t="s">
        <v>57</v>
      </c>
      <c r="B28" t="s">
        <v>70</v>
      </c>
      <c r="C28">
        <v>0.08</v>
      </c>
      <c r="D28">
        <v>0</v>
      </c>
      <c r="E28">
        <v>1</v>
      </c>
      <c r="F28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24" x14ac:dyDescent="0.2">
      <c r="A29" t="s">
        <v>57</v>
      </c>
      <c r="B29" t="s">
        <v>71</v>
      </c>
      <c r="C29">
        <v>6.18</v>
      </c>
      <c r="D29">
        <v>6</v>
      </c>
      <c r="E29">
        <v>3</v>
      </c>
      <c r="F29">
        <v>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24" x14ac:dyDescent="0.2">
      <c r="A30" t="s">
        <v>72</v>
      </c>
      <c r="B30" t="s">
        <v>73</v>
      </c>
      <c r="C30">
        <v>0.67</v>
      </c>
      <c r="D30">
        <v>0</v>
      </c>
      <c r="E30">
        <v>13</v>
      </c>
      <c r="F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24" x14ac:dyDescent="0.2">
      <c r="A31" t="s">
        <v>72</v>
      </c>
      <c r="B31" t="s">
        <v>74</v>
      </c>
      <c r="C31">
        <v>0.67</v>
      </c>
      <c r="D31">
        <v>0</v>
      </c>
      <c r="E31">
        <v>13</v>
      </c>
      <c r="F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24" x14ac:dyDescent="0.2">
      <c r="A32" t="s">
        <v>75</v>
      </c>
      <c r="B32" t="s">
        <v>76</v>
      </c>
      <c r="C32">
        <v>19.38</v>
      </c>
      <c r="D32">
        <v>19</v>
      </c>
      <c r="E32">
        <v>7</v>
      </c>
      <c r="F32">
        <v>7.5</v>
      </c>
      <c r="G32" t="s">
        <v>77</v>
      </c>
      <c r="H32">
        <v>68</v>
      </c>
      <c r="I32">
        <v>7</v>
      </c>
      <c r="J32">
        <v>68.875</v>
      </c>
      <c r="K32">
        <v>68.875</v>
      </c>
      <c r="L32">
        <v>0</v>
      </c>
      <c r="M32">
        <v>68</v>
      </c>
      <c r="N32">
        <v>7</v>
      </c>
      <c r="O32">
        <v>4</v>
      </c>
      <c r="P32">
        <v>0</v>
      </c>
      <c r="Q32">
        <v>64</v>
      </c>
      <c r="R32">
        <v>7</v>
      </c>
      <c r="U32">
        <v>5</v>
      </c>
      <c r="V32">
        <v>0</v>
      </c>
      <c r="W32">
        <v>5</v>
      </c>
      <c r="X32">
        <v>8</v>
      </c>
    </row>
    <row r="33" spans="1:30" x14ac:dyDescent="0.2">
      <c r="A33" t="s">
        <v>75</v>
      </c>
      <c r="B33" t="s">
        <v>78</v>
      </c>
      <c r="C33">
        <v>2.52</v>
      </c>
      <c r="D33">
        <v>2</v>
      </c>
      <c r="E33">
        <v>10</v>
      </c>
      <c r="F33">
        <v>3.75</v>
      </c>
      <c r="G33" t="s">
        <v>79</v>
      </c>
      <c r="H33">
        <v>14</v>
      </c>
      <c r="I33">
        <v>3</v>
      </c>
      <c r="J33">
        <v>14.375</v>
      </c>
      <c r="K33">
        <v>14.375</v>
      </c>
      <c r="L33">
        <v>0</v>
      </c>
      <c r="M33">
        <v>14</v>
      </c>
      <c r="N33">
        <v>3</v>
      </c>
      <c r="U33">
        <v>3</v>
      </c>
      <c r="V33">
        <v>6</v>
      </c>
    </row>
    <row r="34" spans="1:30" x14ac:dyDescent="0.2">
      <c r="A34" t="s">
        <v>75</v>
      </c>
      <c r="B34" t="s">
        <v>80</v>
      </c>
      <c r="C34">
        <v>4.6100000000000003</v>
      </c>
      <c r="D34">
        <v>4</v>
      </c>
      <c r="E34">
        <v>12</v>
      </c>
      <c r="F34">
        <v>3</v>
      </c>
      <c r="H34">
        <v>30</v>
      </c>
      <c r="I34">
        <v>6</v>
      </c>
      <c r="J34">
        <v>30.75</v>
      </c>
      <c r="K34">
        <v>30.75</v>
      </c>
      <c r="L34">
        <v>0</v>
      </c>
      <c r="M34">
        <v>30</v>
      </c>
      <c r="N34">
        <v>6</v>
      </c>
      <c r="U34">
        <v>3</v>
      </c>
      <c r="V34">
        <v>0</v>
      </c>
    </row>
    <row r="35" spans="1:30" x14ac:dyDescent="0.2">
      <c r="A35" t="s">
        <v>75</v>
      </c>
      <c r="B35" t="s">
        <v>81</v>
      </c>
      <c r="C35">
        <v>0.03</v>
      </c>
      <c r="D35">
        <v>0</v>
      </c>
      <c r="E35">
        <v>0</v>
      </c>
      <c r="F35">
        <v>7.5</v>
      </c>
      <c r="G35" t="s">
        <v>82</v>
      </c>
      <c r="H35">
        <v>0</v>
      </c>
      <c r="I35">
        <v>5</v>
      </c>
      <c r="J35">
        <v>0.625</v>
      </c>
      <c r="K35">
        <v>0.625</v>
      </c>
      <c r="L35">
        <v>0</v>
      </c>
      <c r="M35">
        <v>0</v>
      </c>
      <c r="N35">
        <v>5</v>
      </c>
      <c r="AC35">
        <v>0</v>
      </c>
      <c r="AD35">
        <v>1.5</v>
      </c>
    </row>
    <row r="36" spans="1:30" x14ac:dyDescent="0.2">
      <c r="A36" t="s">
        <v>75</v>
      </c>
      <c r="B36" t="s">
        <v>83</v>
      </c>
      <c r="C36">
        <v>0.03</v>
      </c>
      <c r="D36">
        <v>0</v>
      </c>
      <c r="E36">
        <v>0</v>
      </c>
      <c r="F36">
        <v>7.5</v>
      </c>
      <c r="G36" t="s">
        <v>77</v>
      </c>
      <c r="H36">
        <v>0</v>
      </c>
      <c r="I36">
        <v>1.5</v>
      </c>
      <c r="J36">
        <v>0.1875</v>
      </c>
      <c r="K36">
        <v>0.1875</v>
      </c>
      <c r="L36">
        <v>0</v>
      </c>
      <c r="M36">
        <v>0</v>
      </c>
      <c r="N36">
        <v>1.5</v>
      </c>
    </row>
    <row r="37" spans="1:30" x14ac:dyDescent="0.2">
      <c r="A37" t="s">
        <v>75</v>
      </c>
      <c r="B37" t="s">
        <v>84</v>
      </c>
      <c r="C37">
        <v>0.12</v>
      </c>
      <c r="D37">
        <v>0</v>
      </c>
      <c r="E37">
        <v>2</v>
      </c>
      <c r="F37">
        <v>4.25</v>
      </c>
      <c r="G37" t="s">
        <v>79</v>
      </c>
      <c r="H37">
        <v>0</v>
      </c>
      <c r="I37">
        <v>5.5</v>
      </c>
      <c r="J37">
        <v>0.6875</v>
      </c>
      <c r="K37">
        <v>0.6875</v>
      </c>
      <c r="L37">
        <v>0</v>
      </c>
      <c r="M37">
        <v>0</v>
      </c>
      <c r="N37">
        <v>5.5</v>
      </c>
    </row>
    <row r="38" spans="1:30" x14ac:dyDescent="0.2">
      <c r="A38" t="s">
        <v>75</v>
      </c>
      <c r="B38" t="s">
        <v>85</v>
      </c>
      <c r="C38">
        <v>0.53</v>
      </c>
      <c r="D38">
        <v>0</v>
      </c>
      <c r="E38">
        <v>10</v>
      </c>
      <c r="F38">
        <v>6</v>
      </c>
      <c r="H38">
        <v>3.5</v>
      </c>
      <c r="I38">
        <v>0</v>
      </c>
      <c r="J38">
        <v>3.5</v>
      </c>
      <c r="K38">
        <v>3.5</v>
      </c>
      <c r="L38">
        <v>0</v>
      </c>
      <c r="M38">
        <v>3.5</v>
      </c>
      <c r="N38">
        <v>0</v>
      </c>
      <c r="U38">
        <v>3</v>
      </c>
      <c r="V38">
        <v>0</v>
      </c>
    </row>
    <row r="39" spans="1:30" x14ac:dyDescent="0.2">
      <c r="A39" t="s">
        <v>75</v>
      </c>
      <c r="B39" t="s">
        <v>86</v>
      </c>
      <c r="C39">
        <v>27.22</v>
      </c>
      <c r="D39">
        <v>27</v>
      </c>
      <c r="E39">
        <v>4</v>
      </c>
      <c r="F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30" x14ac:dyDescent="0.2">
      <c r="A40" t="s">
        <v>87</v>
      </c>
      <c r="B40" t="s">
        <v>88</v>
      </c>
      <c r="C40">
        <v>1.33</v>
      </c>
      <c r="D40">
        <v>1</v>
      </c>
      <c r="E40">
        <v>6</v>
      </c>
      <c r="F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30" x14ac:dyDescent="0.2">
      <c r="A41" t="s">
        <v>87</v>
      </c>
      <c r="B41" t="s">
        <v>89</v>
      </c>
      <c r="C41">
        <v>0.1</v>
      </c>
      <c r="D41">
        <v>0</v>
      </c>
      <c r="E41">
        <v>2</v>
      </c>
      <c r="F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30" x14ac:dyDescent="0.2">
      <c r="A42" t="s">
        <v>87</v>
      </c>
      <c r="B42" t="s">
        <v>90</v>
      </c>
      <c r="C42">
        <v>3</v>
      </c>
      <c r="D42">
        <v>3</v>
      </c>
      <c r="E42">
        <v>0</v>
      </c>
      <c r="F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30" x14ac:dyDescent="0.2">
      <c r="A43" t="s">
        <v>87</v>
      </c>
      <c r="B43" t="s">
        <v>91</v>
      </c>
      <c r="C43">
        <v>0.33</v>
      </c>
      <c r="D43">
        <v>0</v>
      </c>
      <c r="E43">
        <v>6</v>
      </c>
      <c r="F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30" x14ac:dyDescent="0.2">
      <c r="A44" t="s">
        <v>87</v>
      </c>
      <c r="B44" t="s">
        <v>92</v>
      </c>
      <c r="C44">
        <v>0.33</v>
      </c>
      <c r="D44">
        <v>0</v>
      </c>
      <c r="E44">
        <v>6</v>
      </c>
      <c r="F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30" x14ac:dyDescent="0.2">
      <c r="A45" t="s">
        <v>87</v>
      </c>
      <c r="B45" t="s">
        <v>93</v>
      </c>
      <c r="C45">
        <v>5.0999999999999996</v>
      </c>
      <c r="D45">
        <v>5</v>
      </c>
      <c r="E45">
        <v>2</v>
      </c>
      <c r="F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30" x14ac:dyDescent="0.2">
      <c r="A46" t="s">
        <v>94</v>
      </c>
      <c r="B46" t="s">
        <v>95</v>
      </c>
      <c r="C46">
        <v>0.24</v>
      </c>
      <c r="D46">
        <v>0</v>
      </c>
      <c r="E46">
        <v>4</v>
      </c>
      <c r="F46">
        <v>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30" x14ac:dyDescent="0.2">
      <c r="A47" t="s">
        <v>94</v>
      </c>
      <c r="B47" t="s">
        <v>96</v>
      </c>
      <c r="C47">
        <v>0.56000000000000005</v>
      </c>
      <c r="D47">
        <v>0</v>
      </c>
      <c r="E47">
        <v>11</v>
      </c>
      <c r="F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30" x14ac:dyDescent="0.2">
      <c r="A48" t="s">
        <v>94</v>
      </c>
      <c r="B48" t="s">
        <v>97</v>
      </c>
      <c r="C48">
        <v>0.28999999999999998</v>
      </c>
      <c r="D48">
        <v>0</v>
      </c>
      <c r="E48">
        <v>5</v>
      </c>
      <c r="F48">
        <v>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94</v>
      </c>
      <c r="B49" t="s">
        <v>98</v>
      </c>
      <c r="C49">
        <v>0.17</v>
      </c>
      <c r="D49">
        <v>0</v>
      </c>
      <c r="E49">
        <v>3</v>
      </c>
      <c r="F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94</v>
      </c>
      <c r="B50" t="s">
        <v>99</v>
      </c>
      <c r="C50">
        <v>0.46</v>
      </c>
      <c r="D50">
        <v>0</v>
      </c>
      <c r="E50">
        <v>9</v>
      </c>
      <c r="F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94</v>
      </c>
      <c r="B51" t="s">
        <v>100</v>
      </c>
      <c r="C51">
        <v>0.89</v>
      </c>
      <c r="D51">
        <v>0</v>
      </c>
      <c r="E51">
        <v>17</v>
      </c>
      <c r="F51">
        <v>10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94</v>
      </c>
      <c r="B52" t="s">
        <v>101</v>
      </c>
      <c r="C52">
        <v>0.49</v>
      </c>
      <c r="D52">
        <v>0</v>
      </c>
      <c r="E52">
        <v>9</v>
      </c>
      <c r="F52">
        <v>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94</v>
      </c>
      <c r="B53" t="s">
        <v>102</v>
      </c>
      <c r="C53">
        <v>0.65</v>
      </c>
      <c r="D53">
        <v>0</v>
      </c>
      <c r="E53">
        <v>13</v>
      </c>
      <c r="F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94</v>
      </c>
      <c r="B54" t="s">
        <v>103</v>
      </c>
      <c r="C54">
        <v>3.75</v>
      </c>
      <c r="D54">
        <v>3</v>
      </c>
      <c r="E54">
        <v>14</v>
      </c>
      <c r="F54">
        <v>11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104</v>
      </c>
      <c r="B55" t="s">
        <v>105</v>
      </c>
      <c r="C55">
        <v>0.18</v>
      </c>
      <c r="D55">
        <v>0</v>
      </c>
      <c r="E55">
        <v>3</v>
      </c>
      <c r="F55">
        <v>7.5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104</v>
      </c>
      <c r="B56" t="s">
        <v>106</v>
      </c>
      <c r="C56">
        <v>0.16</v>
      </c>
      <c r="D56">
        <v>0</v>
      </c>
      <c r="E56">
        <v>3</v>
      </c>
      <c r="F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104</v>
      </c>
      <c r="B57" t="s">
        <v>107</v>
      </c>
      <c r="C57">
        <v>0.03</v>
      </c>
      <c r="D57">
        <v>0</v>
      </c>
      <c r="E57">
        <v>0</v>
      </c>
      <c r="F57">
        <v>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104</v>
      </c>
      <c r="B58" t="s">
        <v>108</v>
      </c>
      <c r="C58">
        <v>0.1</v>
      </c>
      <c r="D58">
        <v>0</v>
      </c>
      <c r="E58">
        <v>2</v>
      </c>
      <c r="F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104</v>
      </c>
      <c r="B59" t="s">
        <v>109</v>
      </c>
      <c r="C59">
        <v>0.03</v>
      </c>
      <c r="D59">
        <v>0</v>
      </c>
      <c r="E59">
        <v>0</v>
      </c>
      <c r="F59">
        <v>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104</v>
      </c>
      <c r="B60" t="s">
        <v>110</v>
      </c>
      <c r="C60">
        <v>0.14000000000000001</v>
      </c>
      <c r="D60">
        <v>0</v>
      </c>
      <c r="E60">
        <v>2</v>
      </c>
      <c r="F60">
        <v>10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104</v>
      </c>
      <c r="B61" t="s">
        <v>111</v>
      </c>
      <c r="C61">
        <v>0.04</v>
      </c>
      <c r="D61">
        <v>0</v>
      </c>
      <c r="E61">
        <v>0</v>
      </c>
      <c r="F61">
        <v>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104</v>
      </c>
      <c r="B62" t="s">
        <v>112</v>
      </c>
      <c r="C62">
        <v>0.05</v>
      </c>
      <c r="D62">
        <v>0</v>
      </c>
      <c r="E62">
        <v>0</v>
      </c>
      <c r="F62">
        <v>11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104</v>
      </c>
      <c r="B63" t="s">
        <v>113</v>
      </c>
      <c r="C63">
        <v>0.02</v>
      </c>
      <c r="D63">
        <v>0</v>
      </c>
      <c r="E63">
        <v>0</v>
      </c>
      <c r="F63">
        <v>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 t="s">
        <v>104</v>
      </c>
      <c r="B64" t="s">
        <v>114</v>
      </c>
      <c r="C64">
        <v>0.02</v>
      </c>
      <c r="D64">
        <v>0</v>
      </c>
      <c r="E64">
        <v>0</v>
      </c>
      <c r="F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104</v>
      </c>
      <c r="B65" t="s">
        <v>115</v>
      </c>
      <c r="C65">
        <v>0.05</v>
      </c>
      <c r="D65">
        <v>0</v>
      </c>
      <c r="E65">
        <v>1</v>
      </c>
      <c r="F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104</v>
      </c>
      <c r="B66" t="s">
        <v>116</v>
      </c>
      <c r="C66">
        <v>0.02</v>
      </c>
      <c r="D66">
        <v>0</v>
      </c>
      <c r="E66">
        <v>0</v>
      </c>
      <c r="F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104</v>
      </c>
      <c r="B67" t="s">
        <v>117</v>
      </c>
      <c r="C67">
        <v>0.01</v>
      </c>
      <c r="D67">
        <v>0</v>
      </c>
      <c r="E67">
        <v>0</v>
      </c>
      <c r="F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104</v>
      </c>
      <c r="B68" t="s">
        <v>118</v>
      </c>
      <c r="C68">
        <v>0.34</v>
      </c>
      <c r="D68">
        <v>0</v>
      </c>
      <c r="E68">
        <v>6</v>
      </c>
      <c r="F68">
        <v>10</v>
      </c>
      <c r="G68" t="s">
        <v>119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104</v>
      </c>
      <c r="B69" t="s">
        <v>120</v>
      </c>
      <c r="C69">
        <v>0</v>
      </c>
      <c r="D69">
        <v>0</v>
      </c>
      <c r="E69">
        <v>0</v>
      </c>
      <c r="F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104</v>
      </c>
      <c r="B70" t="s">
        <v>121</v>
      </c>
      <c r="C70">
        <v>1.9</v>
      </c>
      <c r="D70">
        <v>1</v>
      </c>
      <c r="E70">
        <v>17</v>
      </c>
      <c r="F70">
        <v>11.5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122</v>
      </c>
      <c r="B71" t="s">
        <v>123</v>
      </c>
      <c r="C71">
        <v>1.2</v>
      </c>
      <c r="D71">
        <v>1</v>
      </c>
      <c r="E71">
        <v>4</v>
      </c>
      <c r="F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122</v>
      </c>
      <c r="B72" t="s">
        <v>124</v>
      </c>
      <c r="C72">
        <v>1.3</v>
      </c>
      <c r="D72">
        <v>1</v>
      </c>
      <c r="E72">
        <v>6</v>
      </c>
      <c r="F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122</v>
      </c>
      <c r="B73" t="s">
        <v>125</v>
      </c>
      <c r="C73">
        <v>0.12</v>
      </c>
      <c r="D73">
        <v>0</v>
      </c>
      <c r="E73">
        <v>2</v>
      </c>
      <c r="F73">
        <v>5.25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122</v>
      </c>
      <c r="B74" t="s">
        <v>126</v>
      </c>
      <c r="C74">
        <v>0.04</v>
      </c>
      <c r="D74">
        <v>0</v>
      </c>
      <c r="E74">
        <v>0</v>
      </c>
      <c r="F74">
        <v>10.75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122</v>
      </c>
      <c r="B75" t="s">
        <v>127</v>
      </c>
      <c r="C75">
        <v>7.0000000000000007E-2</v>
      </c>
      <c r="D75">
        <v>0</v>
      </c>
      <c r="E75">
        <v>1</v>
      </c>
      <c r="F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122</v>
      </c>
      <c r="B76" t="s">
        <v>128</v>
      </c>
      <c r="C76">
        <v>0.04</v>
      </c>
      <c r="D76">
        <v>0</v>
      </c>
      <c r="E76">
        <v>0</v>
      </c>
      <c r="F76">
        <v>10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122</v>
      </c>
      <c r="B77" t="s">
        <v>129</v>
      </c>
      <c r="C77">
        <v>0.01</v>
      </c>
      <c r="D77">
        <v>0</v>
      </c>
      <c r="E77">
        <v>0</v>
      </c>
      <c r="F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122</v>
      </c>
      <c r="B78" t="s">
        <v>130</v>
      </c>
      <c r="C78">
        <v>0.01</v>
      </c>
      <c r="D78">
        <v>0</v>
      </c>
      <c r="E78">
        <v>0</v>
      </c>
      <c r="F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122</v>
      </c>
      <c r="B79" t="s">
        <v>131</v>
      </c>
      <c r="C79">
        <v>0.03</v>
      </c>
      <c r="D79">
        <v>0</v>
      </c>
      <c r="E79">
        <v>0</v>
      </c>
      <c r="F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122</v>
      </c>
      <c r="B80" t="s">
        <v>132</v>
      </c>
      <c r="C80">
        <v>0.01</v>
      </c>
      <c r="D80">
        <v>0</v>
      </c>
      <c r="E80">
        <v>0</v>
      </c>
      <c r="F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122</v>
      </c>
      <c r="B81" t="s">
        <v>133</v>
      </c>
      <c r="C81">
        <v>2.92</v>
      </c>
      <c r="D81">
        <v>2</v>
      </c>
      <c r="E81">
        <v>18</v>
      </c>
      <c r="F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134</v>
      </c>
      <c r="B82" t="s">
        <v>135</v>
      </c>
      <c r="C82">
        <v>0.4</v>
      </c>
      <c r="D82">
        <v>0</v>
      </c>
      <c r="E82">
        <v>7</v>
      </c>
      <c r="F82">
        <v>11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134</v>
      </c>
      <c r="B83" t="s">
        <v>136</v>
      </c>
      <c r="C83">
        <v>0.05</v>
      </c>
      <c r="D83">
        <v>0</v>
      </c>
      <c r="E83">
        <v>0</v>
      </c>
      <c r="F83">
        <v>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134</v>
      </c>
      <c r="B84" t="s">
        <v>137</v>
      </c>
      <c r="C84">
        <v>0.03</v>
      </c>
      <c r="D84">
        <v>0</v>
      </c>
      <c r="E84">
        <v>0</v>
      </c>
      <c r="F84">
        <v>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134</v>
      </c>
      <c r="B85" t="s">
        <v>138</v>
      </c>
      <c r="C85">
        <v>7.0000000000000007E-2</v>
      </c>
      <c r="D85">
        <v>0</v>
      </c>
      <c r="E85">
        <v>1</v>
      </c>
      <c r="F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139</v>
      </c>
      <c r="B86" t="s">
        <v>140</v>
      </c>
      <c r="C86">
        <v>7.0000000000000007E-2</v>
      </c>
      <c r="D86">
        <v>0</v>
      </c>
      <c r="E86">
        <v>1</v>
      </c>
      <c r="F86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139</v>
      </c>
      <c r="B87" t="s">
        <v>141</v>
      </c>
      <c r="C87">
        <v>0.13</v>
      </c>
      <c r="D87">
        <v>0</v>
      </c>
      <c r="E87">
        <v>2</v>
      </c>
      <c r="F87">
        <v>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139</v>
      </c>
      <c r="B88" t="s">
        <v>142</v>
      </c>
      <c r="C88">
        <v>0.01</v>
      </c>
      <c r="D88">
        <v>0</v>
      </c>
      <c r="E88">
        <v>0</v>
      </c>
      <c r="F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139</v>
      </c>
      <c r="B89" t="s">
        <v>143</v>
      </c>
      <c r="C89">
        <v>0.01</v>
      </c>
      <c r="D89">
        <v>0</v>
      </c>
      <c r="E89">
        <v>0</v>
      </c>
      <c r="F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139</v>
      </c>
      <c r="B90" t="s">
        <v>144</v>
      </c>
      <c r="C90">
        <v>0.06</v>
      </c>
      <c r="D90">
        <v>0</v>
      </c>
      <c r="E90">
        <v>1</v>
      </c>
      <c r="F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139</v>
      </c>
      <c r="B91" t="s">
        <v>145</v>
      </c>
      <c r="C91">
        <v>0.01</v>
      </c>
      <c r="D91">
        <v>0</v>
      </c>
      <c r="E91">
        <v>0</v>
      </c>
      <c r="F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139</v>
      </c>
      <c r="B92" t="s">
        <v>146</v>
      </c>
      <c r="C92">
        <v>0.05</v>
      </c>
      <c r="D92">
        <v>0</v>
      </c>
      <c r="E92">
        <v>1</v>
      </c>
      <c r="F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139</v>
      </c>
      <c r="B93" t="s">
        <v>147</v>
      </c>
      <c r="C93">
        <v>0.02</v>
      </c>
      <c r="D93">
        <v>0</v>
      </c>
      <c r="E93">
        <v>0</v>
      </c>
      <c r="F93">
        <v>4.5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139</v>
      </c>
      <c r="B94" t="s">
        <v>148</v>
      </c>
      <c r="C94">
        <v>0.02</v>
      </c>
      <c r="D94">
        <v>0</v>
      </c>
      <c r="E94">
        <v>0</v>
      </c>
      <c r="F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139</v>
      </c>
      <c r="B95" t="s">
        <v>149</v>
      </c>
      <c r="C95">
        <v>0.17</v>
      </c>
      <c r="D95">
        <v>0</v>
      </c>
      <c r="E95">
        <v>3</v>
      </c>
      <c r="F95">
        <v>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139</v>
      </c>
      <c r="B96" t="s">
        <v>150</v>
      </c>
      <c r="C96">
        <v>0.02</v>
      </c>
      <c r="D96">
        <v>0</v>
      </c>
      <c r="E96">
        <v>0</v>
      </c>
      <c r="F96">
        <v>5.25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6" x14ac:dyDescent="0.2">
      <c r="A97" t="s">
        <v>139</v>
      </c>
      <c r="B97" t="s">
        <v>151</v>
      </c>
      <c r="C97">
        <v>0</v>
      </c>
      <c r="D97">
        <v>0</v>
      </c>
      <c r="E97">
        <v>0</v>
      </c>
      <c r="F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6" x14ac:dyDescent="0.2">
      <c r="A98" t="s">
        <v>139</v>
      </c>
      <c r="B98" t="s">
        <v>152</v>
      </c>
      <c r="C98">
        <v>0</v>
      </c>
      <c r="D98">
        <v>0</v>
      </c>
      <c r="E98">
        <v>0</v>
      </c>
      <c r="F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6" x14ac:dyDescent="0.2">
      <c r="A99" t="s">
        <v>139</v>
      </c>
      <c r="B99" t="s">
        <v>153</v>
      </c>
      <c r="C99">
        <v>0.02</v>
      </c>
      <c r="D99">
        <v>0</v>
      </c>
      <c r="E99">
        <v>0</v>
      </c>
      <c r="F99">
        <v>4.5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6" x14ac:dyDescent="0.2">
      <c r="A100" t="s">
        <v>139</v>
      </c>
      <c r="B100" t="s">
        <v>154</v>
      </c>
      <c r="C100">
        <v>0.87</v>
      </c>
      <c r="D100">
        <v>0</v>
      </c>
      <c r="E100">
        <v>17</v>
      </c>
      <c r="F100">
        <v>5.5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6" x14ac:dyDescent="0.2">
      <c r="A101" t="s">
        <v>155</v>
      </c>
      <c r="B101" t="s">
        <v>156</v>
      </c>
      <c r="C101">
        <v>0.48</v>
      </c>
      <c r="D101">
        <v>0</v>
      </c>
      <c r="E101">
        <v>9</v>
      </c>
      <c r="F101">
        <v>6</v>
      </c>
      <c r="G101" t="s">
        <v>77</v>
      </c>
      <c r="H101">
        <v>57</v>
      </c>
      <c r="I101">
        <v>2</v>
      </c>
      <c r="J101">
        <v>57.25</v>
      </c>
      <c r="K101">
        <v>57.25</v>
      </c>
      <c r="L101">
        <v>0</v>
      </c>
      <c r="M101">
        <v>57</v>
      </c>
      <c r="N101">
        <v>2</v>
      </c>
    </row>
    <row r="102" spans="1:16" x14ac:dyDescent="0.2">
      <c r="A102" t="s">
        <v>155</v>
      </c>
      <c r="B102" t="s">
        <v>120</v>
      </c>
      <c r="C102">
        <v>0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6" x14ac:dyDescent="0.2">
      <c r="A103" t="s">
        <v>155</v>
      </c>
      <c r="B103" t="s">
        <v>157</v>
      </c>
      <c r="C103">
        <v>0.31</v>
      </c>
      <c r="D103">
        <v>0</v>
      </c>
      <c r="E103">
        <v>6</v>
      </c>
      <c r="F103">
        <v>1.5</v>
      </c>
      <c r="G103" t="s">
        <v>79</v>
      </c>
      <c r="H103">
        <v>49</v>
      </c>
      <c r="I103">
        <v>6</v>
      </c>
      <c r="J103">
        <v>49.75</v>
      </c>
      <c r="K103">
        <v>49.75</v>
      </c>
      <c r="L103">
        <v>0</v>
      </c>
      <c r="M103">
        <v>49</v>
      </c>
      <c r="N103">
        <v>6</v>
      </c>
    </row>
    <row r="104" spans="1:16" x14ac:dyDescent="0.2">
      <c r="A104" t="s">
        <v>155</v>
      </c>
      <c r="B104" t="s">
        <v>120</v>
      </c>
      <c r="C104">
        <v>0</v>
      </c>
      <c r="D104">
        <v>0</v>
      </c>
      <c r="E104">
        <v>0</v>
      </c>
      <c r="F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6" x14ac:dyDescent="0.2">
      <c r="A105" t="s">
        <v>155</v>
      </c>
      <c r="B105" t="s">
        <v>158</v>
      </c>
      <c r="C105">
        <v>0.22</v>
      </c>
      <c r="D105">
        <v>0</v>
      </c>
      <c r="E105">
        <v>4</v>
      </c>
      <c r="F105">
        <v>5.75</v>
      </c>
      <c r="H105">
        <v>43</v>
      </c>
      <c r="I105">
        <v>1</v>
      </c>
      <c r="J105">
        <v>43.125</v>
      </c>
      <c r="K105">
        <v>43.125</v>
      </c>
      <c r="L105">
        <v>0</v>
      </c>
      <c r="M105">
        <v>43</v>
      </c>
      <c r="N105">
        <v>1</v>
      </c>
    </row>
    <row r="106" spans="1:16" x14ac:dyDescent="0.2">
      <c r="A106" t="s">
        <v>155</v>
      </c>
      <c r="B106" t="s">
        <v>120</v>
      </c>
      <c r="C106">
        <v>0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6" x14ac:dyDescent="0.2">
      <c r="A107" t="s">
        <v>155</v>
      </c>
      <c r="B107" t="s">
        <v>159</v>
      </c>
      <c r="C107">
        <v>0</v>
      </c>
      <c r="D107">
        <v>0</v>
      </c>
      <c r="E107">
        <v>0</v>
      </c>
      <c r="F107">
        <v>0</v>
      </c>
      <c r="G107" t="s">
        <v>82</v>
      </c>
      <c r="H107">
        <v>1</v>
      </c>
      <c r="I107">
        <v>3</v>
      </c>
      <c r="J107">
        <v>1.375</v>
      </c>
      <c r="K107">
        <v>1.375</v>
      </c>
      <c r="L107">
        <v>0</v>
      </c>
      <c r="M107">
        <v>1</v>
      </c>
      <c r="N107">
        <v>3</v>
      </c>
    </row>
    <row r="108" spans="1:16" x14ac:dyDescent="0.2">
      <c r="A108" t="s">
        <v>155</v>
      </c>
      <c r="B108" t="s">
        <v>160</v>
      </c>
      <c r="C108">
        <v>0.12</v>
      </c>
      <c r="D108">
        <v>0</v>
      </c>
      <c r="E108">
        <v>2</v>
      </c>
      <c r="F108">
        <v>6</v>
      </c>
      <c r="H108">
        <v>5</v>
      </c>
      <c r="I108">
        <v>4</v>
      </c>
      <c r="J108">
        <v>5.5</v>
      </c>
      <c r="K108">
        <v>151.5</v>
      </c>
      <c r="L108">
        <v>-146</v>
      </c>
      <c r="M108">
        <v>151</v>
      </c>
      <c r="N108">
        <v>4</v>
      </c>
      <c r="O108">
        <v>5</v>
      </c>
      <c r="P108">
        <v>0</v>
      </c>
    </row>
    <row r="109" spans="1:16" x14ac:dyDescent="0.2">
      <c r="A109" t="s">
        <v>155</v>
      </c>
      <c r="B109" t="s">
        <v>120</v>
      </c>
      <c r="C109">
        <v>0</v>
      </c>
      <c r="D109">
        <v>0</v>
      </c>
      <c r="E109">
        <v>0</v>
      </c>
      <c r="F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6" x14ac:dyDescent="0.2">
      <c r="A110" t="s">
        <v>155</v>
      </c>
      <c r="B110" t="s">
        <v>161</v>
      </c>
      <c r="C110">
        <v>0.21</v>
      </c>
      <c r="D110">
        <v>0</v>
      </c>
      <c r="E110">
        <v>4</v>
      </c>
      <c r="F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6" x14ac:dyDescent="0.2">
      <c r="A111" t="s">
        <v>155</v>
      </c>
      <c r="B111" t="s">
        <v>120</v>
      </c>
      <c r="C111">
        <v>0</v>
      </c>
      <c r="D111">
        <v>0</v>
      </c>
      <c r="E111">
        <v>0</v>
      </c>
      <c r="F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6" x14ac:dyDescent="0.2">
      <c r="A112" t="s">
        <v>155</v>
      </c>
      <c r="B112" t="s">
        <v>162</v>
      </c>
      <c r="C112">
        <v>0.1</v>
      </c>
      <c r="D112">
        <v>0</v>
      </c>
      <c r="E112">
        <v>2</v>
      </c>
      <c r="F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22" x14ac:dyDescent="0.2">
      <c r="A113" t="s">
        <v>155</v>
      </c>
      <c r="B113" t="s">
        <v>163</v>
      </c>
      <c r="C113">
        <v>1.45</v>
      </c>
      <c r="D113">
        <v>1</v>
      </c>
      <c r="E113">
        <v>9</v>
      </c>
      <c r="F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22" x14ac:dyDescent="0.2">
      <c r="A114" t="s">
        <v>164</v>
      </c>
      <c r="B114" t="s">
        <v>165</v>
      </c>
      <c r="C114">
        <v>0.28000000000000003</v>
      </c>
      <c r="D114">
        <v>0</v>
      </c>
      <c r="E114">
        <v>5</v>
      </c>
      <c r="F114">
        <v>8</v>
      </c>
      <c r="G114" t="s">
        <v>166</v>
      </c>
      <c r="H114">
        <v>3</v>
      </c>
      <c r="I114">
        <v>0</v>
      </c>
      <c r="J114">
        <v>3</v>
      </c>
      <c r="K114">
        <v>3</v>
      </c>
      <c r="L114">
        <v>0</v>
      </c>
      <c r="M114">
        <v>3</v>
      </c>
      <c r="N114">
        <v>0</v>
      </c>
      <c r="U114">
        <v>1</v>
      </c>
      <c r="V114">
        <v>8</v>
      </c>
    </row>
    <row r="115" spans="1:22" x14ac:dyDescent="0.2">
      <c r="A115" t="s">
        <v>164</v>
      </c>
      <c r="B115" t="s">
        <v>120</v>
      </c>
      <c r="C115">
        <v>0</v>
      </c>
      <c r="D115">
        <v>0</v>
      </c>
      <c r="E115">
        <v>0</v>
      </c>
      <c r="F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22" x14ac:dyDescent="0.2">
      <c r="A116" t="s">
        <v>164</v>
      </c>
      <c r="B116" t="s">
        <v>167</v>
      </c>
      <c r="C116">
        <v>0.08</v>
      </c>
      <c r="D116">
        <v>0</v>
      </c>
      <c r="E116">
        <v>1</v>
      </c>
      <c r="F116">
        <v>8</v>
      </c>
      <c r="G116" t="s">
        <v>166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0</v>
      </c>
    </row>
    <row r="117" spans="1:22" x14ac:dyDescent="0.2">
      <c r="A117" t="s">
        <v>164</v>
      </c>
      <c r="B117" t="s">
        <v>168</v>
      </c>
      <c r="C117">
        <v>7.0000000000000007E-2</v>
      </c>
      <c r="D117">
        <v>0</v>
      </c>
      <c r="E117">
        <v>1</v>
      </c>
      <c r="F117">
        <v>4.5</v>
      </c>
      <c r="G117" t="s">
        <v>166</v>
      </c>
      <c r="H117">
        <v>1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0</v>
      </c>
    </row>
    <row r="118" spans="1:22" x14ac:dyDescent="0.2">
      <c r="A118" t="s">
        <v>164</v>
      </c>
      <c r="B118" t="s">
        <v>169</v>
      </c>
      <c r="C118">
        <v>0.42</v>
      </c>
      <c r="D118">
        <v>0</v>
      </c>
      <c r="E118">
        <v>8</v>
      </c>
      <c r="F118">
        <v>4.5</v>
      </c>
      <c r="G118" t="s">
        <v>166</v>
      </c>
      <c r="H118">
        <v>0</v>
      </c>
      <c r="I118">
        <v>2</v>
      </c>
      <c r="J118">
        <v>0.25</v>
      </c>
      <c r="K118">
        <v>0.25</v>
      </c>
      <c r="L118">
        <v>0</v>
      </c>
      <c r="M118">
        <v>0</v>
      </c>
      <c r="N118">
        <v>2</v>
      </c>
    </row>
    <row r="119" spans="1:22" x14ac:dyDescent="0.2">
      <c r="A119" t="s">
        <v>170</v>
      </c>
      <c r="B119" t="s">
        <v>171</v>
      </c>
      <c r="C119">
        <v>0.08</v>
      </c>
      <c r="D119">
        <v>0</v>
      </c>
      <c r="E119">
        <v>1</v>
      </c>
      <c r="F119">
        <v>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22" x14ac:dyDescent="0.2">
      <c r="A120" t="s">
        <v>170</v>
      </c>
      <c r="B120" t="s">
        <v>172</v>
      </c>
      <c r="C120">
        <v>0.04</v>
      </c>
      <c r="D120">
        <v>0</v>
      </c>
      <c r="E120">
        <v>0</v>
      </c>
      <c r="F120">
        <v>10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22" x14ac:dyDescent="0.2">
      <c r="A121" t="s">
        <v>170</v>
      </c>
      <c r="B121" t="s">
        <v>120</v>
      </c>
      <c r="C121">
        <v>0</v>
      </c>
      <c r="D121">
        <v>0</v>
      </c>
      <c r="E121">
        <v>0</v>
      </c>
      <c r="F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22" x14ac:dyDescent="0.2">
      <c r="A122" t="s">
        <v>170</v>
      </c>
      <c r="B122" t="s">
        <v>173</v>
      </c>
      <c r="C122">
        <v>0.48</v>
      </c>
      <c r="D122">
        <v>0</v>
      </c>
      <c r="E122">
        <v>9</v>
      </c>
      <c r="F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22" x14ac:dyDescent="0.2">
      <c r="A123" t="s">
        <v>170</v>
      </c>
      <c r="B123" t="s">
        <v>174</v>
      </c>
      <c r="C123">
        <v>0.28000000000000003</v>
      </c>
      <c r="D123">
        <v>0</v>
      </c>
      <c r="E123">
        <v>5</v>
      </c>
      <c r="F123">
        <v>7.5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22" x14ac:dyDescent="0.2">
      <c r="A124" t="s">
        <v>170</v>
      </c>
      <c r="B124" t="s">
        <v>120</v>
      </c>
      <c r="C124">
        <v>0</v>
      </c>
      <c r="D124">
        <v>0</v>
      </c>
      <c r="E124">
        <v>0</v>
      </c>
      <c r="F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22" x14ac:dyDescent="0.2">
      <c r="A125" t="s">
        <v>170</v>
      </c>
      <c r="B125" t="s">
        <v>175</v>
      </c>
      <c r="C125">
        <v>0.28000000000000003</v>
      </c>
      <c r="D125">
        <v>0</v>
      </c>
      <c r="E125">
        <v>5</v>
      </c>
      <c r="F125">
        <v>7.5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22" x14ac:dyDescent="0.2">
      <c r="A126" t="s">
        <v>170</v>
      </c>
      <c r="B126" t="s">
        <v>120</v>
      </c>
      <c r="C126">
        <v>0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22" x14ac:dyDescent="0.2">
      <c r="A127" t="s">
        <v>170</v>
      </c>
      <c r="B127" t="s">
        <v>176</v>
      </c>
      <c r="C127">
        <v>0.01</v>
      </c>
      <c r="D127">
        <v>0</v>
      </c>
      <c r="E127">
        <v>0</v>
      </c>
      <c r="F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22" x14ac:dyDescent="0.2">
      <c r="A128" t="s">
        <v>170</v>
      </c>
      <c r="B128" t="s">
        <v>177</v>
      </c>
      <c r="C128">
        <v>0.01</v>
      </c>
      <c r="D128">
        <v>0</v>
      </c>
      <c r="E128">
        <v>0</v>
      </c>
      <c r="F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8" x14ac:dyDescent="0.2">
      <c r="A129" t="s">
        <v>170</v>
      </c>
      <c r="B129" t="s">
        <v>178</v>
      </c>
      <c r="C129">
        <v>1.18</v>
      </c>
      <c r="D129">
        <v>1</v>
      </c>
      <c r="E129">
        <v>3</v>
      </c>
      <c r="F129">
        <v>6.5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8" x14ac:dyDescent="0.2">
      <c r="A130" t="s">
        <v>179</v>
      </c>
      <c r="B130" t="s">
        <v>180</v>
      </c>
      <c r="C130">
        <v>0.34</v>
      </c>
      <c r="D130">
        <v>0</v>
      </c>
      <c r="E130">
        <v>6</v>
      </c>
      <c r="F130">
        <v>10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8" x14ac:dyDescent="0.2">
      <c r="A131" t="s">
        <v>181</v>
      </c>
      <c r="B131" t="s">
        <v>182</v>
      </c>
      <c r="C131">
        <v>1.89</v>
      </c>
      <c r="D131">
        <v>1</v>
      </c>
      <c r="E131">
        <v>17</v>
      </c>
      <c r="F131">
        <v>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8" x14ac:dyDescent="0.2">
      <c r="A132" t="s">
        <v>181</v>
      </c>
      <c r="B132" t="s">
        <v>183</v>
      </c>
      <c r="C132">
        <v>0.05</v>
      </c>
      <c r="D132">
        <v>0</v>
      </c>
      <c r="E132">
        <v>1</v>
      </c>
      <c r="F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8" x14ac:dyDescent="0.2">
      <c r="A133" t="s">
        <v>181</v>
      </c>
      <c r="B133" t="s">
        <v>184</v>
      </c>
      <c r="C133">
        <v>1.94</v>
      </c>
      <c r="D133">
        <v>1</v>
      </c>
      <c r="E133">
        <v>18</v>
      </c>
      <c r="F133">
        <v>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8" x14ac:dyDescent="0.2">
      <c r="A134" t="s">
        <v>185</v>
      </c>
      <c r="B134" t="s">
        <v>186</v>
      </c>
      <c r="C134">
        <v>2</v>
      </c>
      <c r="D134">
        <v>2</v>
      </c>
      <c r="E134">
        <v>0</v>
      </c>
      <c r="F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8" x14ac:dyDescent="0.2">
      <c r="A135" t="s">
        <v>185</v>
      </c>
      <c r="B135" t="s">
        <v>187</v>
      </c>
      <c r="C135">
        <v>0.33</v>
      </c>
      <c r="D135">
        <v>0</v>
      </c>
      <c r="E135">
        <v>6</v>
      </c>
      <c r="F135">
        <v>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8" x14ac:dyDescent="0.2">
      <c r="A136" t="s">
        <v>185</v>
      </c>
      <c r="B136" t="s">
        <v>188</v>
      </c>
      <c r="C136">
        <v>2.77</v>
      </c>
      <c r="D136">
        <v>2</v>
      </c>
      <c r="E136">
        <v>15</v>
      </c>
      <c r="F136">
        <v>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8" x14ac:dyDescent="0.2">
      <c r="A137" t="s">
        <v>189</v>
      </c>
      <c r="B137" t="s">
        <v>190</v>
      </c>
      <c r="C137">
        <v>14.29</v>
      </c>
      <c r="D137">
        <v>14</v>
      </c>
      <c r="E137">
        <v>5</v>
      </c>
      <c r="F137">
        <v>10.25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8" x14ac:dyDescent="0.2">
      <c r="A138" t="s">
        <v>189</v>
      </c>
      <c r="B138" t="s">
        <v>191</v>
      </c>
      <c r="C138">
        <v>44.29</v>
      </c>
      <c r="D138">
        <v>44</v>
      </c>
      <c r="E138">
        <v>5</v>
      </c>
      <c r="F138">
        <v>9.75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8" x14ac:dyDescent="0.2">
      <c r="A139" t="s">
        <v>192</v>
      </c>
      <c r="B139" t="s">
        <v>193</v>
      </c>
      <c r="C139">
        <v>33.5</v>
      </c>
      <c r="D139">
        <v>33</v>
      </c>
      <c r="E139">
        <v>10</v>
      </c>
      <c r="F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8" x14ac:dyDescent="0.2">
      <c r="A140" t="s">
        <v>192</v>
      </c>
      <c r="B140" t="s">
        <v>194</v>
      </c>
      <c r="C140">
        <v>10.79</v>
      </c>
      <c r="D140">
        <v>10</v>
      </c>
      <c r="E140">
        <v>15</v>
      </c>
      <c r="F140">
        <v>9.75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8" x14ac:dyDescent="0.2">
      <c r="A141" t="s">
        <v>195</v>
      </c>
      <c r="B141" t="s">
        <v>196</v>
      </c>
      <c r="C141">
        <v>0</v>
      </c>
      <c r="D141">
        <v>0</v>
      </c>
      <c r="E141">
        <v>0</v>
      </c>
      <c r="F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8" x14ac:dyDescent="0.2">
      <c r="A142" t="s">
        <v>195</v>
      </c>
      <c r="B142" t="s">
        <v>197</v>
      </c>
      <c r="C142">
        <v>0</v>
      </c>
      <c r="D142">
        <v>0</v>
      </c>
      <c r="E142">
        <v>0</v>
      </c>
      <c r="F142">
        <v>0</v>
      </c>
      <c r="G142" t="s">
        <v>77</v>
      </c>
      <c r="H142">
        <v>81</v>
      </c>
      <c r="I142">
        <v>5</v>
      </c>
      <c r="J142">
        <v>81.625</v>
      </c>
      <c r="K142">
        <v>81.875</v>
      </c>
      <c r="L142">
        <v>-0.25</v>
      </c>
      <c r="M142">
        <v>81</v>
      </c>
      <c r="N142">
        <v>7</v>
      </c>
      <c r="O142">
        <v>57</v>
      </c>
      <c r="P142">
        <v>0</v>
      </c>
      <c r="Q142">
        <v>24</v>
      </c>
      <c r="R142">
        <v>5</v>
      </c>
    </row>
    <row r="143" spans="1:18" x14ac:dyDescent="0.2">
      <c r="A143" t="s">
        <v>195</v>
      </c>
      <c r="B143" t="s">
        <v>198</v>
      </c>
      <c r="C143">
        <v>0</v>
      </c>
      <c r="D143">
        <v>0</v>
      </c>
      <c r="E143">
        <v>0</v>
      </c>
      <c r="F143">
        <v>0</v>
      </c>
      <c r="H143">
        <v>14</v>
      </c>
      <c r="I143">
        <v>0</v>
      </c>
      <c r="J143">
        <v>14</v>
      </c>
      <c r="K143">
        <v>14</v>
      </c>
      <c r="L143">
        <v>0</v>
      </c>
      <c r="M143">
        <v>14</v>
      </c>
      <c r="N143">
        <v>0</v>
      </c>
    </row>
    <row r="144" spans="1:18" x14ac:dyDescent="0.2">
      <c r="A144" t="s">
        <v>195</v>
      </c>
      <c r="B144" t="s">
        <v>199</v>
      </c>
      <c r="C144">
        <v>0</v>
      </c>
      <c r="D144">
        <v>0</v>
      </c>
      <c r="E144">
        <v>0</v>
      </c>
      <c r="F144">
        <v>0</v>
      </c>
      <c r="H144">
        <v>95</v>
      </c>
      <c r="I144">
        <v>7</v>
      </c>
      <c r="J144">
        <v>95.875</v>
      </c>
      <c r="K144">
        <v>95.875</v>
      </c>
      <c r="L144">
        <v>0</v>
      </c>
      <c r="M144">
        <v>95</v>
      </c>
      <c r="N144">
        <v>7</v>
      </c>
    </row>
    <row r="145" spans="1:18" x14ac:dyDescent="0.2">
      <c r="A145" t="s">
        <v>195</v>
      </c>
      <c r="B145" t="s">
        <v>200</v>
      </c>
      <c r="C145">
        <v>0</v>
      </c>
      <c r="D145">
        <v>0</v>
      </c>
      <c r="E145">
        <v>0</v>
      </c>
      <c r="F145">
        <v>0</v>
      </c>
      <c r="H145">
        <v>23</v>
      </c>
      <c r="I145">
        <v>5</v>
      </c>
      <c r="J145">
        <v>23.625</v>
      </c>
      <c r="K145">
        <v>23.625</v>
      </c>
      <c r="L145">
        <v>0</v>
      </c>
      <c r="M145">
        <v>23</v>
      </c>
      <c r="N145">
        <v>5</v>
      </c>
    </row>
    <row r="146" spans="1:18" x14ac:dyDescent="0.2">
      <c r="A146" t="s">
        <v>195</v>
      </c>
      <c r="B146" t="s">
        <v>201</v>
      </c>
      <c r="C146">
        <v>0</v>
      </c>
      <c r="D146">
        <v>0</v>
      </c>
      <c r="E146">
        <v>0</v>
      </c>
      <c r="F146">
        <v>0</v>
      </c>
      <c r="H146">
        <v>1</v>
      </c>
      <c r="I146">
        <v>2</v>
      </c>
      <c r="J146">
        <v>1.25</v>
      </c>
      <c r="K146">
        <v>0.1875</v>
      </c>
      <c r="L146">
        <v>1.0625</v>
      </c>
      <c r="M146">
        <v>0</v>
      </c>
      <c r="N146">
        <v>1.5</v>
      </c>
      <c r="O146">
        <v>1</v>
      </c>
      <c r="P146">
        <v>2</v>
      </c>
    </row>
    <row r="147" spans="1:18" x14ac:dyDescent="0.2">
      <c r="A147" t="s">
        <v>195</v>
      </c>
      <c r="B147" t="s">
        <v>202</v>
      </c>
      <c r="C147">
        <v>0</v>
      </c>
      <c r="D147">
        <v>0</v>
      </c>
      <c r="E147">
        <v>0</v>
      </c>
      <c r="F147">
        <v>0</v>
      </c>
      <c r="G147" t="s">
        <v>79</v>
      </c>
      <c r="H147">
        <v>3</v>
      </c>
      <c r="I147">
        <v>2</v>
      </c>
      <c r="J147">
        <v>3.25</v>
      </c>
      <c r="K147">
        <v>3.25</v>
      </c>
      <c r="L147">
        <v>0</v>
      </c>
      <c r="M147">
        <v>3</v>
      </c>
      <c r="N147">
        <v>2</v>
      </c>
    </row>
    <row r="148" spans="1:18" x14ac:dyDescent="0.2">
      <c r="A148" t="s">
        <v>195</v>
      </c>
      <c r="B148" t="s">
        <v>203</v>
      </c>
      <c r="C148">
        <v>0</v>
      </c>
      <c r="D148">
        <v>0</v>
      </c>
      <c r="E148">
        <v>0</v>
      </c>
      <c r="F148">
        <v>0</v>
      </c>
      <c r="H148">
        <v>95</v>
      </c>
      <c r="I148">
        <v>8</v>
      </c>
      <c r="J148">
        <v>96</v>
      </c>
      <c r="K148">
        <v>68.875</v>
      </c>
      <c r="L148">
        <v>27.125</v>
      </c>
      <c r="M148">
        <v>68</v>
      </c>
      <c r="N148">
        <v>7</v>
      </c>
      <c r="O148">
        <v>0</v>
      </c>
      <c r="P148">
        <v>1</v>
      </c>
      <c r="Q148">
        <v>95</v>
      </c>
      <c r="R148">
        <v>7</v>
      </c>
    </row>
    <row r="149" spans="1:18" x14ac:dyDescent="0.2">
      <c r="A149" t="s">
        <v>204</v>
      </c>
      <c r="B149" t="s">
        <v>205</v>
      </c>
      <c r="C149">
        <v>0</v>
      </c>
      <c r="D149">
        <v>0</v>
      </c>
      <c r="E149">
        <v>0</v>
      </c>
      <c r="F149">
        <v>0</v>
      </c>
      <c r="H149">
        <v>3</v>
      </c>
      <c r="I149">
        <v>6</v>
      </c>
      <c r="J149">
        <v>3.75</v>
      </c>
      <c r="K149">
        <v>3.75</v>
      </c>
      <c r="L149">
        <v>0</v>
      </c>
      <c r="M149">
        <v>3</v>
      </c>
      <c r="N149">
        <v>6</v>
      </c>
    </row>
    <row r="150" spans="1:18" x14ac:dyDescent="0.2">
      <c r="A150" t="s">
        <v>204</v>
      </c>
      <c r="B150" t="s">
        <v>206</v>
      </c>
      <c r="C150">
        <v>0</v>
      </c>
      <c r="D150">
        <v>0</v>
      </c>
      <c r="E150">
        <v>0</v>
      </c>
      <c r="F150">
        <v>0</v>
      </c>
      <c r="G150" t="s">
        <v>79</v>
      </c>
      <c r="H150">
        <v>49</v>
      </c>
      <c r="I150">
        <v>6</v>
      </c>
      <c r="J150">
        <v>49.75</v>
      </c>
      <c r="K150">
        <v>49.75</v>
      </c>
      <c r="L150">
        <v>0</v>
      </c>
      <c r="M150">
        <v>49</v>
      </c>
      <c r="N150">
        <v>6</v>
      </c>
    </row>
    <row r="151" spans="1:18" x14ac:dyDescent="0.2">
      <c r="A151" t="s">
        <v>204</v>
      </c>
      <c r="B151" t="s">
        <v>207</v>
      </c>
      <c r="C151">
        <v>0</v>
      </c>
      <c r="D151">
        <v>0</v>
      </c>
      <c r="E151">
        <v>0</v>
      </c>
      <c r="F151">
        <v>0</v>
      </c>
      <c r="H151">
        <v>12</v>
      </c>
      <c r="I151">
        <v>7</v>
      </c>
      <c r="J151">
        <v>12.875</v>
      </c>
      <c r="K151">
        <v>49.75</v>
      </c>
      <c r="L151">
        <v>-36.875</v>
      </c>
      <c r="M151">
        <v>49</v>
      </c>
      <c r="N151">
        <v>6</v>
      </c>
      <c r="O151">
        <v>12</v>
      </c>
      <c r="P151">
        <v>7</v>
      </c>
    </row>
    <row r="152" spans="1:18" x14ac:dyDescent="0.2">
      <c r="A152" t="s">
        <v>204</v>
      </c>
      <c r="B152" t="s">
        <v>208</v>
      </c>
      <c r="C152">
        <v>0</v>
      </c>
      <c r="D152">
        <v>0</v>
      </c>
      <c r="E152">
        <v>0</v>
      </c>
      <c r="F152">
        <v>0</v>
      </c>
      <c r="H152">
        <v>0.5</v>
      </c>
      <c r="I152">
        <v>1</v>
      </c>
      <c r="J152">
        <v>0.625</v>
      </c>
      <c r="K152">
        <v>0.5</v>
      </c>
      <c r="L152">
        <v>0.125</v>
      </c>
      <c r="M152">
        <v>0.5</v>
      </c>
      <c r="N152">
        <v>0</v>
      </c>
      <c r="O152">
        <v>0</v>
      </c>
      <c r="P152">
        <v>1</v>
      </c>
    </row>
    <row r="153" spans="1:18" x14ac:dyDescent="0.2">
      <c r="A153" t="s">
        <v>204</v>
      </c>
      <c r="B153" t="s">
        <v>209</v>
      </c>
      <c r="C153">
        <v>0</v>
      </c>
      <c r="D153">
        <v>0</v>
      </c>
      <c r="E153">
        <v>0</v>
      </c>
      <c r="F153">
        <v>0</v>
      </c>
      <c r="G153" t="s">
        <v>77</v>
      </c>
      <c r="H153">
        <v>3</v>
      </c>
      <c r="I153">
        <v>2</v>
      </c>
      <c r="J153">
        <v>3.25</v>
      </c>
      <c r="K153">
        <v>3.25</v>
      </c>
      <c r="L153">
        <v>0</v>
      </c>
      <c r="M153">
        <v>3</v>
      </c>
      <c r="N153">
        <v>2</v>
      </c>
    </row>
    <row r="154" spans="1:18" x14ac:dyDescent="0.2">
      <c r="A154" t="s">
        <v>204</v>
      </c>
      <c r="B154" t="s">
        <v>210</v>
      </c>
      <c r="C154">
        <v>0</v>
      </c>
      <c r="D154">
        <v>0</v>
      </c>
      <c r="E154">
        <v>0</v>
      </c>
      <c r="F154">
        <v>0</v>
      </c>
      <c r="H154">
        <v>5</v>
      </c>
      <c r="I154">
        <v>2</v>
      </c>
      <c r="J154">
        <v>5.25</v>
      </c>
      <c r="K154">
        <v>15.4375</v>
      </c>
      <c r="L154">
        <v>-10.1875</v>
      </c>
      <c r="M154">
        <v>15</v>
      </c>
      <c r="N154">
        <v>3.5</v>
      </c>
      <c r="O154">
        <v>5</v>
      </c>
      <c r="P154">
        <v>2</v>
      </c>
    </row>
    <row r="155" spans="1:18" x14ac:dyDescent="0.2">
      <c r="A155" t="s">
        <v>204</v>
      </c>
      <c r="B155" t="s">
        <v>211</v>
      </c>
      <c r="C155">
        <v>0</v>
      </c>
      <c r="D155">
        <v>0</v>
      </c>
      <c r="E155">
        <v>0</v>
      </c>
      <c r="F155">
        <v>0</v>
      </c>
      <c r="H155">
        <v>3</v>
      </c>
      <c r="I155">
        <v>0</v>
      </c>
      <c r="J155">
        <v>3</v>
      </c>
      <c r="K155">
        <v>3</v>
      </c>
      <c r="L155">
        <v>0</v>
      </c>
      <c r="M155">
        <v>3</v>
      </c>
      <c r="N155">
        <v>0</v>
      </c>
    </row>
    <row r="156" spans="1:18" x14ac:dyDescent="0.2">
      <c r="A156" t="s">
        <v>204</v>
      </c>
      <c r="B156" t="s">
        <v>212</v>
      </c>
      <c r="C156">
        <v>0</v>
      </c>
      <c r="D156">
        <v>0</v>
      </c>
      <c r="E156">
        <v>0</v>
      </c>
      <c r="F156">
        <v>0</v>
      </c>
      <c r="H156">
        <v>49</v>
      </c>
      <c r="I156">
        <v>11.5</v>
      </c>
      <c r="J156">
        <v>50.4375</v>
      </c>
      <c r="K156">
        <v>14.375</v>
      </c>
      <c r="L156">
        <v>36.0625</v>
      </c>
      <c r="M156">
        <v>14</v>
      </c>
      <c r="N156">
        <v>3</v>
      </c>
      <c r="O156">
        <v>0</v>
      </c>
      <c r="P156">
        <v>5.5</v>
      </c>
      <c r="Q156">
        <v>49</v>
      </c>
      <c r="R156">
        <v>6</v>
      </c>
    </row>
    <row r="157" spans="1:18" x14ac:dyDescent="0.2">
      <c r="A157" t="s">
        <v>213</v>
      </c>
      <c r="B157" t="s">
        <v>214</v>
      </c>
      <c r="C157">
        <v>0</v>
      </c>
      <c r="D157">
        <v>0</v>
      </c>
      <c r="E157">
        <v>0</v>
      </c>
      <c r="F157">
        <v>0</v>
      </c>
      <c r="H157">
        <v>55</v>
      </c>
      <c r="I157">
        <v>2</v>
      </c>
      <c r="J157">
        <v>55.25</v>
      </c>
      <c r="K157">
        <v>3.875</v>
      </c>
      <c r="L157">
        <v>51.375</v>
      </c>
      <c r="M157">
        <v>3</v>
      </c>
      <c r="N157">
        <v>7</v>
      </c>
      <c r="O157">
        <v>51</v>
      </c>
      <c r="P157">
        <v>0</v>
      </c>
      <c r="Q157">
        <v>4</v>
      </c>
      <c r="R157">
        <v>2</v>
      </c>
    </row>
    <row r="158" spans="1:18" x14ac:dyDescent="0.2">
      <c r="A158" t="s">
        <v>213</v>
      </c>
      <c r="B158" t="s">
        <v>215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8" x14ac:dyDescent="0.2">
      <c r="A159" t="s">
        <v>213</v>
      </c>
      <c r="B159" t="s">
        <v>216</v>
      </c>
      <c r="C159">
        <v>0</v>
      </c>
      <c r="D159">
        <v>0</v>
      </c>
      <c r="E159">
        <v>0</v>
      </c>
      <c r="F159">
        <v>0</v>
      </c>
      <c r="H159">
        <v>54</v>
      </c>
      <c r="I159">
        <v>5</v>
      </c>
      <c r="J159">
        <v>54.625</v>
      </c>
      <c r="K159">
        <v>54.625</v>
      </c>
      <c r="L159">
        <v>0</v>
      </c>
      <c r="M159">
        <v>54</v>
      </c>
      <c r="N159">
        <v>5</v>
      </c>
    </row>
    <row r="160" spans="1:18" x14ac:dyDescent="0.2">
      <c r="A160" t="s">
        <v>213</v>
      </c>
      <c r="B160" t="s">
        <v>217</v>
      </c>
      <c r="C160">
        <v>0</v>
      </c>
      <c r="D160">
        <v>0</v>
      </c>
      <c r="E160">
        <v>0</v>
      </c>
      <c r="F160">
        <v>0</v>
      </c>
      <c r="H160">
        <v>0</v>
      </c>
      <c r="I160">
        <v>1</v>
      </c>
      <c r="J160">
        <v>0.125</v>
      </c>
      <c r="K160">
        <v>0.125</v>
      </c>
      <c r="L160">
        <v>0</v>
      </c>
      <c r="M160">
        <v>0</v>
      </c>
      <c r="N160">
        <v>1</v>
      </c>
    </row>
    <row r="161" spans="1:20" x14ac:dyDescent="0.2">
      <c r="A161" t="s">
        <v>213</v>
      </c>
      <c r="B161" t="s">
        <v>218</v>
      </c>
      <c r="C161">
        <v>0</v>
      </c>
      <c r="D161">
        <v>0</v>
      </c>
      <c r="E161">
        <v>0</v>
      </c>
      <c r="F161">
        <v>0</v>
      </c>
      <c r="G161" t="s">
        <v>79</v>
      </c>
      <c r="H161">
        <v>63</v>
      </c>
      <c r="I161">
        <v>9</v>
      </c>
      <c r="J161">
        <v>64.125</v>
      </c>
      <c r="K161">
        <v>20.75</v>
      </c>
      <c r="L161">
        <v>43.375</v>
      </c>
      <c r="M161">
        <v>20</v>
      </c>
      <c r="N161">
        <v>6</v>
      </c>
      <c r="O161">
        <v>0</v>
      </c>
      <c r="P161">
        <v>5</v>
      </c>
      <c r="Q161">
        <v>43</v>
      </c>
      <c r="R161">
        <v>1</v>
      </c>
      <c r="S161">
        <v>20</v>
      </c>
      <c r="T161">
        <v>3</v>
      </c>
    </row>
    <row r="162" spans="1:20" x14ac:dyDescent="0.2">
      <c r="A162" t="s">
        <v>213</v>
      </c>
      <c r="B162" t="s">
        <v>219</v>
      </c>
      <c r="C162">
        <v>0</v>
      </c>
      <c r="D162">
        <v>0</v>
      </c>
      <c r="E162">
        <v>0</v>
      </c>
      <c r="F162">
        <v>0</v>
      </c>
      <c r="H162">
        <v>3.5</v>
      </c>
      <c r="I162">
        <v>3</v>
      </c>
      <c r="J162">
        <v>3.875</v>
      </c>
      <c r="K162">
        <v>0.375</v>
      </c>
      <c r="L162">
        <v>3.5</v>
      </c>
      <c r="M162">
        <v>0</v>
      </c>
      <c r="N162">
        <v>3</v>
      </c>
      <c r="O162">
        <v>3.5</v>
      </c>
      <c r="P162">
        <v>0</v>
      </c>
    </row>
    <row r="163" spans="1:20" x14ac:dyDescent="0.2">
      <c r="A163" t="s">
        <v>213</v>
      </c>
      <c r="B163" t="s">
        <v>216</v>
      </c>
      <c r="C163">
        <v>0</v>
      </c>
      <c r="D163">
        <v>0</v>
      </c>
      <c r="E163">
        <v>0</v>
      </c>
      <c r="F163">
        <v>0</v>
      </c>
      <c r="H163">
        <v>54</v>
      </c>
      <c r="I163">
        <v>5</v>
      </c>
      <c r="J163">
        <v>54.625</v>
      </c>
      <c r="K163">
        <v>54.625</v>
      </c>
      <c r="L163">
        <v>0</v>
      </c>
      <c r="M163">
        <v>54</v>
      </c>
      <c r="N163">
        <v>5</v>
      </c>
    </row>
    <row r="164" spans="1:20" x14ac:dyDescent="0.2">
      <c r="A164" t="s">
        <v>220</v>
      </c>
      <c r="B164" t="s">
        <v>221</v>
      </c>
      <c r="C164">
        <v>0</v>
      </c>
      <c r="D164">
        <v>0</v>
      </c>
      <c r="E164">
        <v>0</v>
      </c>
      <c r="F164">
        <v>0</v>
      </c>
      <c r="H164">
        <v>0</v>
      </c>
      <c r="I164">
        <v>1</v>
      </c>
      <c r="J164">
        <v>0.125</v>
      </c>
      <c r="K164">
        <v>0.125</v>
      </c>
      <c r="L164">
        <v>0</v>
      </c>
      <c r="M164">
        <v>0</v>
      </c>
      <c r="N164">
        <v>1</v>
      </c>
    </row>
    <row r="165" spans="1:20" x14ac:dyDescent="0.2">
      <c r="A165" t="s">
        <v>220</v>
      </c>
      <c r="B165" t="s">
        <v>222</v>
      </c>
      <c r="C165">
        <v>0</v>
      </c>
      <c r="D165">
        <v>0</v>
      </c>
      <c r="E165">
        <v>0</v>
      </c>
      <c r="F165">
        <v>0</v>
      </c>
      <c r="G165" t="s">
        <v>82</v>
      </c>
      <c r="H165">
        <v>1</v>
      </c>
      <c r="I165">
        <v>3</v>
      </c>
      <c r="J165">
        <v>1.375</v>
      </c>
      <c r="K165">
        <v>1.375</v>
      </c>
      <c r="L165">
        <v>0</v>
      </c>
      <c r="M165">
        <v>1</v>
      </c>
      <c r="N165">
        <v>3</v>
      </c>
    </row>
    <row r="166" spans="1:20" x14ac:dyDescent="0.2">
      <c r="A166" t="s">
        <v>220</v>
      </c>
      <c r="B166" t="s">
        <v>223</v>
      </c>
      <c r="C166">
        <v>0</v>
      </c>
      <c r="D166">
        <v>0</v>
      </c>
      <c r="E166">
        <v>0</v>
      </c>
      <c r="F166">
        <v>0</v>
      </c>
      <c r="H166">
        <v>3</v>
      </c>
      <c r="I166">
        <v>0</v>
      </c>
      <c r="J166">
        <v>3</v>
      </c>
      <c r="K166">
        <v>3</v>
      </c>
      <c r="L166">
        <v>0</v>
      </c>
      <c r="M166">
        <v>3</v>
      </c>
      <c r="N166">
        <v>0</v>
      </c>
    </row>
    <row r="167" spans="1:20" x14ac:dyDescent="0.2">
      <c r="A167" t="s">
        <v>220</v>
      </c>
      <c r="B167" t="s">
        <v>224</v>
      </c>
      <c r="C167">
        <v>0</v>
      </c>
      <c r="D167">
        <v>0</v>
      </c>
      <c r="E167">
        <v>0</v>
      </c>
      <c r="F167">
        <v>0</v>
      </c>
      <c r="H167">
        <v>4</v>
      </c>
      <c r="I167">
        <v>3</v>
      </c>
      <c r="J167">
        <v>4.375</v>
      </c>
      <c r="K167">
        <v>4.375</v>
      </c>
      <c r="L167">
        <v>0</v>
      </c>
      <c r="M167">
        <v>4</v>
      </c>
      <c r="N167">
        <v>3</v>
      </c>
    </row>
    <row r="168" spans="1:20" x14ac:dyDescent="0.2">
      <c r="A168" t="s">
        <v>220</v>
      </c>
      <c r="B168" t="s">
        <v>225</v>
      </c>
      <c r="C168">
        <v>0</v>
      </c>
      <c r="D168">
        <v>0</v>
      </c>
      <c r="E168">
        <v>0</v>
      </c>
      <c r="F168">
        <v>0</v>
      </c>
      <c r="H168">
        <v>0</v>
      </c>
      <c r="I168">
        <v>6</v>
      </c>
      <c r="J168">
        <v>0.75</v>
      </c>
      <c r="K168">
        <v>0.75</v>
      </c>
      <c r="L168">
        <v>0</v>
      </c>
      <c r="M168">
        <v>0</v>
      </c>
      <c r="N168">
        <v>6</v>
      </c>
    </row>
    <row r="169" spans="1:20" x14ac:dyDescent="0.2">
      <c r="A169" t="s">
        <v>220</v>
      </c>
      <c r="B169" t="s">
        <v>226</v>
      </c>
      <c r="C169">
        <v>0</v>
      </c>
      <c r="D169">
        <v>0</v>
      </c>
      <c r="E169">
        <v>0</v>
      </c>
      <c r="F169">
        <v>0</v>
      </c>
      <c r="H169">
        <v>3</v>
      </c>
      <c r="I169">
        <v>0</v>
      </c>
      <c r="J169">
        <v>3</v>
      </c>
      <c r="K169">
        <v>3</v>
      </c>
      <c r="L169">
        <v>0</v>
      </c>
      <c r="M169">
        <v>3</v>
      </c>
      <c r="N169">
        <v>0</v>
      </c>
    </row>
    <row r="170" spans="1:20" x14ac:dyDescent="0.2">
      <c r="A170" t="s">
        <v>220</v>
      </c>
      <c r="B170" t="s">
        <v>227</v>
      </c>
      <c r="C170">
        <v>0</v>
      </c>
      <c r="D170">
        <v>0</v>
      </c>
      <c r="E170">
        <v>0</v>
      </c>
      <c r="F170">
        <v>0</v>
      </c>
      <c r="H170">
        <v>4</v>
      </c>
      <c r="I170">
        <v>3</v>
      </c>
      <c r="J170">
        <v>4.375</v>
      </c>
      <c r="K170">
        <v>0.625</v>
      </c>
      <c r="L170">
        <v>3.75</v>
      </c>
      <c r="M170">
        <v>0</v>
      </c>
      <c r="N170">
        <v>5</v>
      </c>
      <c r="O170">
        <v>4</v>
      </c>
      <c r="P170">
        <v>3</v>
      </c>
    </row>
    <row r="171" spans="1:20" x14ac:dyDescent="0.2">
      <c r="A171" t="s">
        <v>228</v>
      </c>
      <c r="B171" t="s">
        <v>229</v>
      </c>
      <c r="C171">
        <v>0</v>
      </c>
      <c r="D171">
        <v>0</v>
      </c>
      <c r="E171">
        <v>0</v>
      </c>
      <c r="F171">
        <v>0</v>
      </c>
      <c r="G171" t="s">
        <v>166</v>
      </c>
      <c r="H171">
        <v>5</v>
      </c>
      <c r="I171">
        <v>2</v>
      </c>
      <c r="J171">
        <v>5.25</v>
      </c>
      <c r="K171">
        <v>5.25</v>
      </c>
      <c r="L171">
        <v>0</v>
      </c>
      <c r="M171">
        <v>5</v>
      </c>
      <c r="N171">
        <v>2</v>
      </c>
    </row>
    <row r="172" spans="1:20" x14ac:dyDescent="0.2">
      <c r="A172" t="s">
        <v>228</v>
      </c>
      <c r="B172" t="s">
        <v>230</v>
      </c>
      <c r="C172">
        <v>0</v>
      </c>
      <c r="D172">
        <v>0</v>
      </c>
      <c r="E172">
        <v>0</v>
      </c>
      <c r="F172">
        <v>0</v>
      </c>
      <c r="H172">
        <v>3</v>
      </c>
      <c r="I172">
        <v>2</v>
      </c>
      <c r="J172">
        <v>3.25</v>
      </c>
      <c r="K172">
        <v>5.25</v>
      </c>
      <c r="L172">
        <v>-2</v>
      </c>
      <c r="M172">
        <v>5</v>
      </c>
      <c r="N172">
        <v>2</v>
      </c>
      <c r="O172">
        <v>3</v>
      </c>
      <c r="P172">
        <v>0</v>
      </c>
    </row>
    <row r="173" spans="1:20" x14ac:dyDescent="0.2">
      <c r="A173" t="s">
        <v>228</v>
      </c>
      <c r="B173" t="s">
        <v>120</v>
      </c>
      <c r="C173">
        <v>0</v>
      </c>
      <c r="D173">
        <v>0</v>
      </c>
      <c r="E173">
        <v>0</v>
      </c>
      <c r="F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20" x14ac:dyDescent="0.2">
      <c r="A174" t="s">
        <v>228</v>
      </c>
      <c r="B174" t="s">
        <v>231</v>
      </c>
      <c r="C174">
        <v>0</v>
      </c>
      <c r="D174">
        <v>0</v>
      </c>
      <c r="E174">
        <v>0</v>
      </c>
      <c r="F174">
        <v>0</v>
      </c>
      <c r="H174">
        <v>5</v>
      </c>
      <c r="I174">
        <v>2</v>
      </c>
      <c r="J174">
        <v>5.25</v>
      </c>
      <c r="K174">
        <v>2.25</v>
      </c>
      <c r="L174">
        <v>3</v>
      </c>
      <c r="M174">
        <v>2</v>
      </c>
      <c r="N174">
        <v>2</v>
      </c>
      <c r="O174">
        <v>5</v>
      </c>
      <c r="P174">
        <v>2</v>
      </c>
    </row>
    <row r="175" spans="1:20" x14ac:dyDescent="0.2">
      <c r="A175" t="s">
        <v>232</v>
      </c>
      <c r="B175" t="s">
        <v>233</v>
      </c>
      <c r="C175">
        <v>0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20" x14ac:dyDescent="0.2">
      <c r="A176" t="s">
        <v>232</v>
      </c>
      <c r="B176" t="s">
        <v>234</v>
      </c>
      <c r="C176">
        <v>0</v>
      </c>
      <c r="D176">
        <v>0</v>
      </c>
      <c r="E176">
        <v>0</v>
      </c>
      <c r="F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232</v>
      </c>
      <c r="B177" t="s">
        <v>235</v>
      </c>
      <c r="C177">
        <v>0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232</v>
      </c>
      <c r="B178" t="s">
        <v>236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232</v>
      </c>
      <c r="B179" t="s">
        <v>237</v>
      </c>
      <c r="C179">
        <v>0</v>
      </c>
      <c r="D179">
        <v>0</v>
      </c>
      <c r="E179">
        <v>0</v>
      </c>
      <c r="F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232</v>
      </c>
      <c r="B180" t="s">
        <v>238</v>
      </c>
      <c r="C180">
        <v>0</v>
      </c>
      <c r="D180">
        <v>0</v>
      </c>
      <c r="E180">
        <v>0</v>
      </c>
      <c r="F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232</v>
      </c>
      <c r="B181" t="s">
        <v>239</v>
      </c>
      <c r="C181">
        <v>0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232</v>
      </c>
      <c r="B182" t="s">
        <v>240</v>
      </c>
      <c r="C182">
        <v>0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232</v>
      </c>
      <c r="B183" t="s">
        <v>241</v>
      </c>
      <c r="C183">
        <v>0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232</v>
      </c>
      <c r="B184" t="s">
        <v>242</v>
      </c>
      <c r="C184">
        <v>0</v>
      </c>
      <c r="D184">
        <v>0</v>
      </c>
      <c r="E184">
        <v>0</v>
      </c>
      <c r="F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232</v>
      </c>
      <c r="B185" t="s">
        <v>243</v>
      </c>
      <c r="C185">
        <v>0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232</v>
      </c>
      <c r="B186" t="s">
        <v>244</v>
      </c>
      <c r="C186">
        <v>0</v>
      </c>
      <c r="D186">
        <v>0</v>
      </c>
      <c r="E186">
        <v>0</v>
      </c>
      <c r="F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232</v>
      </c>
      <c r="B187" t="s">
        <v>245</v>
      </c>
      <c r="C187">
        <v>0</v>
      </c>
      <c r="D187">
        <v>0</v>
      </c>
      <c r="E187">
        <v>0</v>
      </c>
      <c r="F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232</v>
      </c>
      <c r="B188" t="s">
        <v>246</v>
      </c>
      <c r="C188">
        <v>0</v>
      </c>
      <c r="D188">
        <v>0</v>
      </c>
      <c r="E188">
        <v>0</v>
      </c>
      <c r="F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232</v>
      </c>
      <c r="B189" t="s">
        <v>247</v>
      </c>
      <c r="C189">
        <v>0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232</v>
      </c>
      <c r="B190" t="s">
        <v>248</v>
      </c>
      <c r="C190">
        <v>0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232</v>
      </c>
      <c r="B191" t="s">
        <v>249</v>
      </c>
      <c r="C191">
        <v>0</v>
      </c>
      <c r="D191">
        <v>0</v>
      </c>
      <c r="E191">
        <v>0</v>
      </c>
      <c r="F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232</v>
      </c>
      <c r="B192" t="s">
        <v>250</v>
      </c>
      <c r="C192">
        <v>0</v>
      </c>
      <c r="D192">
        <v>0</v>
      </c>
      <c r="E192">
        <v>0</v>
      </c>
      <c r="F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232</v>
      </c>
      <c r="B193" t="s">
        <v>251</v>
      </c>
      <c r="C193">
        <v>0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232</v>
      </c>
      <c r="B194" t="s">
        <v>252</v>
      </c>
      <c r="C194">
        <v>0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232</v>
      </c>
      <c r="B195" t="s">
        <v>253</v>
      </c>
      <c r="C195">
        <v>0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232</v>
      </c>
      <c r="B196" t="s">
        <v>254</v>
      </c>
      <c r="C196">
        <v>0</v>
      </c>
      <c r="D196">
        <v>0</v>
      </c>
      <c r="E196">
        <v>0</v>
      </c>
      <c r="F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232</v>
      </c>
      <c r="B197" t="s">
        <v>255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232</v>
      </c>
      <c r="B198" t="s">
        <v>256</v>
      </c>
      <c r="C198">
        <v>0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232</v>
      </c>
      <c r="B199" t="s">
        <v>257</v>
      </c>
      <c r="C199">
        <v>0</v>
      </c>
      <c r="D199">
        <v>0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232</v>
      </c>
      <c r="B200" t="s">
        <v>258</v>
      </c>
      <c r="C200">
        <v>0</v>
      </c>
      <c r="D200">
        <v>0</v>
      </c>
      <c r="E200">
        <v>0</v>
      </c>
      <c r="F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232</v>
      </c>
      <c r="B201" t="s">
        <v>259</v>
      </c>
      <c r="C201">
        <v>0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232</v>
      </c>
      <c r="B202" t="s">
        <v>260</v>
      </c>
      <c r="C202">
        <v>0</v>
      </c>
      <c r="D202">
        <v>0</v>
      </c>
      <c r="E202">
        <v>0</v>
      </c>
      <c r="F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232</v>
      </c>
      <c r="B203" t="s">
        <v>261</v>
      </c>
      <c r="C203">
        <v>0</v>
      </c>
      <c r="D203">
        <v>0</v>
      </c>
      <c r="E203">
        <v>0</v>
      </c>
      <c r="F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42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304</v>
      </c>
      <c r="AD1" s="1" t="s">
        <v>305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</row>
    <row r="2" spans="1:36" x14ac:dyDescent="0.2">
      <c r="A2" t="s">
        <v>192</v>
      </c>
      <c r="B2" t="s">
        <v>263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6" x14ac:dyDescent="0.2">
      <c r="A3" t="s">
        <v>195</v>
      </c>
      <c r="B3" t="s">
        <v>196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6" x14ac:dyDescent="0.2">
      <c r="A4" t="s">
        <v>195</v>
      </c>
      <c r="B4" t="s">
        <v>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162</v>
      </c>
      <c r="U4">
        <v>12</v>
      </c>
      <c r="V4">
        <v>163.5</v>
      </c>
      <c r="W4">
        <v>0</v>
      </c>
      <c r="X4">
        <v>81</v>
      </c>
      <c r="Y4">
        <v>5</v>
      </c>
      <c r="Z4">
        <v>81.625</v>
      </c>
      <c r="AA4">
        <v>81.875</v>
      </c>
      <c r="AB4">
        <v>-0.25</v>
      </c>
      <c r="AC4">
        <v>81</v>
      </c>
      <c r="AD4">
        <v>7</v>
      </c>
      <c r="AE4">
        <v>57</v>
      </c>
      <c r="AF4">
        <v>0</v>
      </c>
      <c r="AG4">
        <v>24</v>
      </c>
      <c r="AH4">
        <v>5</v>
      </c>
    </row>
    <row r="5" spans="1:36" x14ac:dyDescent="0.2">
      <c r="A5" t="s">
        <v>195</v>
      </c>
      <c r="B5" t="s">
        <v>198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14</v>
      </c>
      <c r="Y5">
        <v>0</v>
      </c>
      <c r="Z5">
        <v>14</v>
      </c>
      <c r="AA5">
        <v>14</v>
      </c>
      <c r="AB5">
        <v>0</v>
      </c>
      <c r="AC5">
        <v>14</v>
      </c>
      <c r="AD5">
        <v>0</v>
      </c>
    </row>
    <row r="6" spans="1:36" x14ac:dyDescent="0.2">
      <c r="A6" t="s">
        <v>195</v>
      </c>
      <c r="B6" t="s">
        <v>199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95</v>
      </c>
      <c r="Y6">
        <v>7</v>
      </c>
      <c r="Z6">
        <v>95.875</v>
      </c>
      <c r="AA6">
        <v>95.875</v>
      </c>
      <c r="AB6">
        <v>0</v>
      </c>
      <c r="AC6">
        <v>95</v>
      </c>
      <c r="AD6">
        <v>7</v>
      </c>
    </row>
    <row r="7" spans="1:36" x14ac:dyDescent="0.2">
      <c r="A7" t="s">
        <v>195</v>
      </c>
      <c r="B7" t="s">
        <v>200</v>
      </c>
      <c r="C7">
        <v>0</v>
      </c>
      <c r="D7">
        <v>0</v>
      </c>
      <c r="E7">
        <v>23</v>
      </c>
      <c r="F7">
        <v>5</v>
      </c>
      <c r="G7">
        <v>23.625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23</v>
      </c>
      <c r="Y7">
        <v>5</v>
      </c>
      <c r="Z7">
        <v>23.625</v>
      </c>
      <c r="AA7">
        <v>23.625</v>
      </c>
      <c r="AB7">
        <v>0</v>
      </c>
      <c r="AC7">
        <v>23</v>
      </c>
      <c r="AD7">
        <v>5</v>
      </c>
    </row>
    <row r="8" spans="1:36" x14ac:dyDescent="0.2">
      <c r="A8" t="s">
        <v>195</v>
      </c>
      <c r="B8" t="s">
        <v>306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6" x14ac:dyDescent="0.2">
      <c r="A9" t="s">
        <v>195</v>
      </c>
      <c r="B9" t="s">
        <v>202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2</v>
      </c>
      <c r="Z9">
        <v>3.25</v>
      </c>
      <c r="AA9">
        <v>3.25</v>
      </c>
      <c r="AB9">
        <v>0</v>
      </c>
      <c r="AC9">
        <v>3</v>
      </c>
      <c r="AD9">
        <v>2</v>
      </c>
    </row>
    <row r="10" spans="1:36" x14ac:dyDescent="0.2">
      <c r="A10" t="s">
        <v>195</v>
      </c>
      <c r="B10" t="s">
        <v>203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163</v>
      </c>
      <c r="R10">
        <v>14</v>
      </c>
      <c r="S10">
        <v>164.75</v>
      </c>
      <c r="T10">
        <v>0</v>
      </c>
      <c r="U10">
        <v>0</v>
      </c>
      <c r="V10">
        <v>0</v>
      </c>
      <c r="W10">
        <v>0</v>
      </c>
      <c r="X10">
        <v>95</v>
      </c>
      <c r="Y10">
        <v>8</v>
      </c>
      <c r="Z10">
        <v>96</v>
      </c>
      <c r="AA10">
        <v>68.875</v>
      </c>
      <c r="AB10">
        <v>27.125</v>
      </c>
      <c r="AC10">
        <v>68</v>
      </c>
      <c r="AD10">
        <v>7</v>
      </c>
      <c r="AE10">
        <v>0</v>
      </c>
      <c r="AF10">
        <v>1</v>
      </c>
      <c r="AG10">
        <v>95</v>
      </c>
      <c r="AH10">
        <v>7</v>
      </c>
    </row>
    <row r="11" spans="1:36" x14ac:dyDescent="0.2">
      <c r="A11" t="s">
        <v>195</v>
      </c>
      <c r="B11" t="s">
        <v>263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6" x14ac:dyDescent="0.2">
      <c r="A12" t="s">
        <v>204</v>
      </c>
      <c r="B12" t="s">
        <v>205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6</v>
      </c>
      <c r="Z12">
        <v>3.75</v>
      </c>
      <c r="AA12">
        <v>3.75</v>
      </c>
      <c r="AB12">
        <v>0</v>
      </c>
      <c r="AC12">
        <v>3</v>
      </c>
      <c r="AD12">
        <v>6</v>
      </c>
    </row>
    <row r="13" spans="1:36" x14ac:dyDescent="0.2">
      <c r="A13" t="s">
        <v>204</v>
      </c>
      <c r="B13" t="s">
        <v>206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49</v>
      </c>
      <c r="U13">
        <v>6</v>
      </c>
      <c r="V13">
        <v>49.75</v>
      </c>
      <c r="W13">
        <v>0</v>
      </c>
      <c r="X13">
        <v>49</v>
      </c>
      <c r="Y13">
        <v>6</v>
      </c>
      <c r="Z13">
        <v>49.75</v>
      </c>
      <c r="AA13">
        <v>49.75</v>
      </c>
      <c r="AB13">
        <v>0</v>
      </c>
      <c r="AC13">
        <v>49</v>
      </c>
      <c r="AD13">
        <v>6</v>
      </c>
    </row>
    <row r="14" spans="1:36" x14ac:dyDescent="0.2">
      <c r="A14" t="s">
        <v>204</v>
      </c>
      <c r="B14" t="s">
        <v>207</v>
      </c>
      <c r="C14">
        <v>0</v>
      </c>
      <c r="D14">
        <v>0</v>
      </c>
      <c r="E14">
        <v>61</v>
      </c>
      <c r="F14">
        <v>13</v>
      </c>
      <c r="G14">
        <v>62.625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12</v>
      </c>
      <c r="Y14">
        <v>7</v>
      </c>
      <c r="Z14">
        <v>12.875</v>
      </c>
      <c r="AA14">
        <v>49.75</v>
      </c>
      <c r="AB14">
        <v>-36.875</v>
      </c>
      <c r="AC14">
        <v>49</v>
      </c>
      <c r="AD14">
        <v>6</v>
      </c>
      <c r="AE14">
        <v>12</v>
      </c>
      <c r="AF14">
        <v>7</v>
      </c>
    </row>
    <row r="15" spans="1:36" x14ac:dyDescent="0.2">
      <c r="A15" t="s">
        <v>204</v>
      </c>
      <c r="B15" t="s">
        <v>307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6" x14ac:dyDescent="0.2">
      <c r="A16" t="s">
        <v>204</v>
      </c>
      <c r="B16" t="s">
        <v>209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2</v>
      </c>
      <c r="Z16">
        <v>3.25</v>
      </c>
      <c r="AA16">
        <v>3.25</v>
      </c>
      <c r="AB16">
        <v>0</v>
      </c>
      <c r="AC16">
        <v>3</v>
      </c>
      <c r="AD16">
        <v>2</v>
      </c>
    </row>
    <row r="17" spans="1:36" x14ac:dyDescent="0.2">
      <c r="A17" t="s">
        <v>204</v>
      </c>
      <c r="B17" t="s">
        <v>210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5</v>
      </c>
      <c r="Y17">
        <v>2</v>
      </c>
      <c r="Z17">
        <v>5.25</v>
      </c>
      <c r="AA17">
        <v>15.4375</v>
      </c>
      <c r="AB17">
        <v>-10.1875</v>
      </c>
      <c r="AC17">
        <v>15</v>
      </c>
      <c r="AD17">
        <v>3.5</v>
      </c>
      <c r="AE17">
        <v>5</v>
      </c>
      <c r="AF17">
        <v>2</v>
      </c>
    </row>
    <row r="18" spans="1:36" x14ac:dyDescent="0.2">
      <c r="A18" t="s">
        <v>204</v>
      </c>
      <c r="B18" t="s">
        <v>211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3</v>
      </c>
      <c r="AA18">
        <v>3</v>
      </c>
      <c r="AB18">
        <v>0</v>
      </c>
      <c r="AC18">
        <v>3</v>
      </c>
      <c r="AD18">
        <v>0</v>
      </c>
    </row>
    <row r="19" spans="1:36" x14ac:dyDescent="0.2">
      <c r="A19" t="s">
        <v>204</v>
      </c>
      <c r="B19" t="s">
        <v>212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63</v>
      </c>
      <c r="R19">
        <v>9</v>
      </c>
      <c r="S19">
        <v>64.125</v>
      </c>
      <c r="T19">
        <v>0</v>
      </c>
      <c r="U19">
        <v>0</v>
      </c>
      <c r="V19">
        <v>0</v>
      </c>
      <c r="W19">
        <v>0</v>
      </c>
      <c r="X19">
        <v>49</v>
      </c>
      <c r="Y19">
        <v>11.5</v>
      </c>
      <c r="Z19">
        <v>50.4375</v>
      </c>
      <c r="AA19">
        <v>14.375</v>
      </c>
      <c r="AB19">
        <v>36.0625</v>
      </c>
      <c r="AC19">
        <v>14</v>
      </c>
      <c r="AD19">
        <v>3</v>
      </c>
      <c r="AE19">
        <v>0</v>
      </c>
      <c r="AF19">
        <v>5.5</v>
      </c>
      <c r="AG19">
        <v>49</v>
      </c>
      <c r="AH19">
        <v>6</v>
      </c>
    </row>
    <row r="20" spans="1:36" x14ac:dyDescent="0.2">
      <c r="A20" t="s">
        <v>204</v>
      </c>
      <c r="B20" t="s">
        <v>263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36" x14ac:dyDescent="0.2">
      <c r="A21" t="s">
        <v>213</v>
      </c>
      <c r="B21" t="s">
        <v>214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58</v>
      </c>
      <c r="U21">
        <v>9</v>
      </c>
      <c r="V21">
        <v>59.125</v>
      </c>
      <c r="W21">
        <v>0</v>
      </c>
      <c r="X21">
        <v>55</v>
      </c>
      <c r="Y21">
        <v>2</v>
      </c>
      <c r="Z21">
        <v>55.25</v>
      </c>
      <c r="AA21">
        <v>3.875</v>
      </c>
      <c r="AB21">
        <v>51.375</v>
      </c>
      <c r="AC21">
        <v>3</v>
      </c>
      <c r="AD21">
        <v>7</v>
      </c>
      <c r="AE21">
        <v>51</v>
      </c>
      <c r="AF21">
        <v>0</v>
      </c>
      <c r="AG21">
        <v>4</v>
      </c>
      <c r="AH21">
        <v>2</v>
      </c>
    </row>
    <row r="22" spans="1:36" x14ac:dyDescent="0.2">
      <c r="A22" t="s">
        <v>213</v>
      </c>
      <c r="B22" t="s">
        <v>215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6" x14ac:dyDescent="0.2">
      <c r="A23" t="s">
        <v>213</v>
      </c>
      <c r="B23" t="s">
        <v>216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54</v>
      </c>
      <c r="Y23">
        <v>5</v>
      </c>
      <c r="Z23">
        <v>54.625</v>
      </c>
      <c r="AA23">
        <v>54.625</v>
      </c>
      <c r="AB23">
        <v>0</v>
      </c>
      <c r="AC23">
        <v>54</v>
      </c>
      <c r="AD23">
        <v>5</v>
      </c>
    </row>
    <row r="24" spans="1:36" x14ac:dyDescent="0.2">
      <c r="A24" t="s">
        <v>213</v>
      </c>
      <c r="B24" t="s">
        <v>216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54</v>
      </c>
      <c r="Y24">
        <v>5</v>
      </c>
      <c r="Z24">
        <v>54.625</v>
      </c>
      <c r="AA24">
        <v>54.625</v>
      </c>
      <c r="AB24">
        <v>0</v>
      </c>
      <c r="AC24">
        <v>54</v>
      </c>
      <c r="AD24">
        <v>5</v>
      </c>
    </row>
    <row r="25" spans="1:36" x14ac:dyDescent="0.2">
      <c r="A25" t="s">
        <v>213</v>
      </c>
      <c r="B25" t="s">
        <v>217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0.125</v>
      </c>
      <c r="AA25">
        <v>0.125</v>
      </c>
      <c r="AB25">
        <v>0</v>
      </c>
      <c r="AC25">
        <v>0</v>
      </c>
      <c r="AD25">
        <v>1</v>
      </c>
    </row>
    <row r="26" spans="1:36" x14ac:dyDescent="0.2">
      <c r="A26" t="s">
        <v>213</v>
      </c>
      <c r="B26" t="s">
        <v>218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83</v>
      </c>
      <c r="R26">
        <v>10</v>
      </c>
      <c r="S26">
        <v>84.25</v>
      </c>
      <c r="T26">
        <v>83</v>
      </c>
      <c r="U26">
        <v>10</v>
      </c>
      <c r="V26">
        <v>84.25</v>
      </c>
      <c r="W26">
        <v>0</v>
      </c>
      <c r="X26">
        <v>63</v>
      </c>
      <c r="Y26">
        <v>9</v>
      </c>
      <c r="Z26">
        <v>64.125</v>
      </c>
      <c r="AA26">
        <v>20.75</v>
      </c>
      <c r="AB26">
        <v>43.375</v>
      </c>
      <c r="AC26">
        <v>20</v>
      </c>
      <c r="AD26">
        <v>6</v>
      </c>
      <c r="AE26">
        <v>0</v>
      </c>
      <c r="AF26">
        <v>5</v>
      </c>
      <c r="AG26">
        <v>43</v>
      </c>
      <c r="AH26">
        <v>1</v>
      </c>
      <c r="AI26">
        <v>20</v>
      </c>
      <c r="AJ26">
        <v>3</v>
      </c>
    </row>
    <row r="27" spans="1:36" x14ac:dyDescent="0.2">
      <c r="A27" t="s">
        <v>213</v>
      </c>
      <c r="B27" t="s">
        <v>219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3.5</v>
      </c>
      <c r="R27">
        <v>0</v>
      </c>
      <c r="S27">
        <v>3.5</v>
      </c>
      <c r="T27">
        <v>0</v>
      </c>
      <c r="U27">
        <v>0</v>
      </c>
      <c r="V27">
        <v>0</v>
      </c>
      <c r="W27">
        <v>0</v>
      </c>
      <c r="X27">
        <v>3.5</v>
      </c>
      <c r="Y27">
        <v>3</v>
      </c>
      <c r="Z27">
        <v>3.875</v>
      </c>
      <c r="AA27">
        <v>0.375</v>
      </c>
      <c r="AB27">
        <v>3.5</v>
      </c>
      <c r="AC27">
        <v>0</v>
      </c>
      <c r="AD27">
        <v>3</v>
      </c>
      <c r="AE27">
        <v>3.5</v>
      </c>
      <c r="AF27">
        <v>0</v>
      </c>
    </row>
    <row r="28" spans="1:36" x14ac:dyDescent="0.2">
      <c r="A28" t="s">
        <v>213</v>
      </c>
      <c r="B28" t="s">
        <v>216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54</v>
      </c>
      <c r="Y28">
        <v>5</v>
      </c>
      <c r="Z28">
        <v>54.625</v>
      </c>
      <c r="AA28">
        <v>54.625</v>
      </c>
      <c r="AB28">
        <v>0</v>
      </c>
      <c r="AC28">
        <v>54</v>
      </c>
      <c r="AD28">
        <v>5</v>
      </c>
    </row>
    <row r="29" spans="1:36" x14ac:dyDescent="0.2">
      <c r="A29" t="s">
        <v>213</v>
      </c>
      <c r="B29" t="s">
        <v>216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54</v>
      </c>
      <c r="Y29">
        <v>5</v>
      </c>
      <c r="Z29">
        <v>54.625</v>
      </c>
      <c r="AA29">
        <v>54.625</v>
      </c>
      <c r="AB29">
        <v>0</v>
      </c>
      <c r="AC29">
        <v>54</v>
      </c>
      <c r="AD29">
        <v>5</v>
      </c>
    </row>
    <row r="30" spans="1:36" x14ac:dyDescent="0.2">
      <c r="A30" t="s">
        <v>213</v>
      </c>
      <c r="B30" t="s">
        <v>263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36" x14ac:dyDescent="0.2">
      <c r="A31" t="s">
        <v>220</v>
      </c>
      <c r="B31" t="s">
        <v>221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0.125</v>
      </c>
      <c r="AA31">
        <v>0.125</v>
      </c>
      <c r="AB31">
        <v>0</v>
      </c>
      <c r="AC31">
        <v>0</v>
      </c>
      <c r="AD31">
        <v>1</v>
      </c>
    </row>
    <row r="32" spans="1:36" x14ac:dyDescent="0.2">
      <c r="A32" t="s">
        <v>220</v>
      </c>
      <c r="B32" t="s">
        <v>308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32" x14ac:dyDescent="0.2">
      <c r="A33" t="s">
        <v>220</v>
      </c>
      <c r="B33" t="s">
        <v>223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0</v>
      </c>
      <c r="Z33">
        <v>3</v>
      </c>
      <c r="AA33">
        <v>3</v>
      </c>
      <c r="AB33">
        <v>0</v>
      </c>
      <c r="AC33">
        <v>3</v>
      </c>
      <c r="AD33">
        <v>0</v>
      </c>
    </row>
    <row r="34" spans="1:32" x14ac:dyDescent="0.2">
      <c r="A34" t="s">
        <v>220</v>
      </c>
      <c r="B34" t="s">
        <v>224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</v>
      </c>
      <c r="Y34">
        <v>3</v>
      </c>
      <c r="Z34">
        <v>4.375</v>
      </c>
      <c r="AA34">
        <v>4.375</v>
      </c>
      <c r="AB34">
        <v>0</v>
      </c>
      <c r="AC34">
        <v>4</v>
      </c>
      <c r="AD34">
        <v>3</v>
      </c>
    </row>
    <row r="35" spans="1:32" x14ac:dyDescent="0.2">
      <c r="A35" t="s">
        <v>220</v>
      </c>
      <c r="B35" t="s">
        <v>225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</v>
      </c>
      <c r="Z35">
        <v>0.75</v>
      </c>
      <c r="AA35">
        <v>0.75</v>
      </c>
      <c r="AB35">
        <v>0</v>
      </c>
      <c r="AC35">
        <v>0</v>
      </c>
      <c r="AD35">
        <v>6</v>
      </c>
    </row>
    <row r="36" spans="1:32" x14ac:dyDescent="0.2">
      <c r="A36" t="s">
        <v>220</v>
      </c>
      <c r="B36" t="s">
        <v>226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0</v>
      </c>
      <c r="P36">
        <v>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0</v>
      </c>
      <c r="Z36">
        <v>3</v>
      </c>
      <c r="AA36">
        <v>3</v>
      </c>
      <c r="AB36">
        <v>0</v>
      </c>
      <c r="AC36">
        <v>3</v>
      </c>
      <c r="AD36">
        <v>0</v>
      </c>
    </row>
    <row r="37" spans="1:32" x14ac:dyDescent="0.2">
      <c r="A37" t="s">
        <v>220</v>
      </c>
      <c r="B37" t="s">
        <v>227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3</v>
      </c>
      <c r="S37">
        <v>4.375</v>
      </c>
      <c r="T37">
        <v>0</v>
      </c>
      <c r="U37">
        <v>0</v>
      </c>
      <c r="V37">
        <v>0</v>
      </c>
      <c r="W37">
        <v>0</v>
      </c>
      <c r="X37">
        <v>4</v>
      </c>
      <c r="Y37">
        <v>3</v>
      </c>
      <c r="Z37">
        <v>4.375</v>
      </c>
      <c r="AA37">
        <v>0.625</v>
      </c>
      <c r="AB37">
        <v>3.75</v>
      </c>
      <c r="AC37">
        <v>0</v>
      </c>
      <c r="AD37">
        <v>5</v>
      </c>
      <c r="AE37">
        <v>4</v>
      </c>
      <c r="AF37">
        <v>3</v>
      </c>
    </row>
    <row r="38" spans="1:32" x14ac:dyDescent="0.2">
      <c r="A38" t="s">
        <v>220</v>
      </c>
      <c r="B38" t="s">
        <v>263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32" x14ac:dyDescent="0.2">
      <c r="A39" t="s">
        <v>228</v>
      </c>
      <c r="B39" t="s">
        <v>229</v>
      </c>
      <c r="C39">
        <v>0</v>
      </c>
      <c r="D39">
        <v>0</v>
      </c>
      <c r="E39">
        <v>0</v>
      </c>
      <c r="F39">
        <v>0</v>
      </c>
      <c r="G39">
        <v>0</v>
      </c>
      <c r="H39">
        <v>5</v>
      </c>
      <c r="I39">
        <v>2</v>
      </c>
      <c r="J39">
        <v>5.25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</v>
      </c>
      <c r="U39">
        <v>2</v>
      </c>
      <c r="V39">
        <v>5.25</v>
      </c>
      <c r="W39">
        <v>1</v>
      </c>
      <c r="X39">
        <v>5</v>
      </c>
      <c r="Y39">
        <v>2</v>
      </c>
      <c r="Z39">
        <v>5.25</v>
      </c>
      <c r="AA39">
        <v>5.25</v>
      </c>
      <c r="AB39">
        <v>0</v>
      </c>
      <c r="AC39">
        <v>5</v>
      </c>
      <c r="AD39">
        <v>2</v>
      </c>
    </row>
    <row r="40" spans="1:32" x14ac:dyDescent="0.2">
      <c r="A40" t="s">
        <v>228</v>
      </c>
      <c r="B40" t="s">
        <v>230</v>
      </c>
      <c r="C40">
        <v>0</v>
      </c>
      <c r="D40">
        <v>0</v>
      </c>
      <c r="E40">
        <v>8</v>
      </c>
      <c r="F40">
        <v>2</v>
      </c>
      <c r="G40">
        <v>8.25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2</v>
      </c>
      <c r="Z40">
        <v>3.25</v>
      </c>
      <c r="AA40">
        <v>5.25</v>
      </c>
      <c r="AB40">
        <v>-2</v>
      </c>
      <c r="AC40">
        <v>5</v>
      </c>
      <c r="AD40">
        <v>2</v>
      </c>
      <c r="AE40">
        <v>3</v>
      </c>
      <c r="AF40">
        <v>0</v>
      </c>
    </row>
    <row r="41" spans="1:32" x14ac:dyDescent="0.2">
      <c r="A41" t="s">
        <v>228</v>
      </c>
      <c r="B41" t="s">
        <v>120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2" x14ac:dyDescent="0.2">
      <c r="A42" t="s">
        <v>228</v>
      </c>
      <c r="B42" t="s">
        <v>231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</v>
      </c>
      <c r="O42">
        <v>4</v>
      </c>
      <c r="P42">
        <v>7.5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</v>
      </c>
      <c r="Y42">
        <v>2</v>
      </c>
      <c r="Z42">
        <v>5.25</v>
      </c>
      <c r="AA42">
        <v>2.25</v>
      </c>
      <c r="AB42">
        <v>3</v>
      </c>
      <c r="AC42">
        <v>2</v>
      </c>
      <c r="AD42">
        <v>2</v>
      </c>
      <c r="AE42">
        <v>5</v>
      </c>
      <c r="AF42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9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316</v>
      </c>
      <c r="N1" s="1" t="s">
        <v>317</v>
      </c>
      <c r="O1" s="1" t="s">
        <v>20</v>
      </c>
      <c r="P1" s="1" t="s">
        <v>21</v>
      </c>
      <c r="Q1" s="1" t="s">
        <v>12</v>
      </c>
      <c r="R1" s="1" t="s">
        <v>13</v>
      </c>
      <c r="S1" s="1" t="s">
        <v>22</v>
      </c>
      <c r="T1" s="1" t="s">
        <v>23</v>
      </c>
      <c r="U1" s="1" t="s">
        <v>14</v>
      </c>
      <c r="V1" s="1" t="s">
        <v>15</v>
      </c>
      <c r="W1" s="1" t="s">
        <v>24</v>
      </c>
      <c r="X1" s="1" t="s">
        <v>25</v>
      </c>
      <c r="Y1" s="1" t="s">
        <v>16</v>
      </c>
      <c r="Z1" s="1" t="s">
        <v>17</v>
      </c>
      <c r="AA1" s="1" t="s">
        <v>26</v>
      </c>
      <c r="AB1" s="1" t="s">
        <v>27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311</v>
      </c>
      <c r="AI1" s="1" t="s">
        <v>312</v>
      </c>
      <c r="AJ1" s="1" t="s">
        <v>323</v>
      </c>
    </row>
    <row r="2" spans="1:36" x14ac:dyDescent="0.2">
      <c r="A2" t="s">
        <v>75</v>
      </c>
      <c r="B2" t="s">
        <v>76</v>
      </c>
      <c r="C2">
        <v>19.38</v>
      </c>
      <c r="D2">
        <v>19</v>
      </c>
      <c r="E2">
        <v>7</v>
      </c>
      <c r="F2">
        <v>7.5</v>
      </c>
      <c r="G2" t="s">
        <v>77</v>
      </c>
      <c r="H2">
        <v>68</v>
      </c>
      <c r="I2">
        <v>7</v>
      </c>
      <c r="J2">
        <v>68.875</v>
      </c>
      <c r="K2">
        <v>68.875</v>
      </c>
      <c r="L2">
        <v>0</v>
      </c>
      <c r="M2">
        <v>68</v>
      </c>
      <c r="N2">
        <v>7</v>
      </c>
      <c r="O2">
        <v>5</v>
      </c>
      <c r="P2">
        <v>0</v>
      </c>
      <c r="Q2">
        <v>4</v>
      </c>
      <c r="R2">
        <v>0</v>
      </c>
      <c r="S2">
        <v>5</v>
      </c>
      <c r="T2">
        <v>8</v>
      </c>
      <c r="U2">
        <v>64</v>
      </c>
      <c r="V2">
        <v>7</v>
      </c>
      <c r="AC2">
        <v>0.25</v>
      </c>
      <c r="AD2">
        <v>0.28333333333333333</v>
      </c>
      <c r="AG2">
        <v>68.875</v>
      </c>
      <c r="AH2">
        <v>0.28139745916515418</v>
      </c>
      <c r="AI2">
        <v>0.26666666666666672</v>
      </c>
      <c r="AJ2" t="s">
        <v>77</v>
      </c>
    </row>
    <row r="3" spans="1:36" x14ac:dyDescent="0.2">
      <c r="A3" t="s">
        <v>75</v>
      </c>
      <c r="B3" t="s">
        <v>78</v>
      </c>
      <c r="C3">
        <v>2.52</v>
      </c>
      <c r="D3">
        <v>2</v>
      </c>
      <c r="E3">
        <v>10</v>
      </c>
      <c r="F3">
        <v>3.75</v>
      </c>
      <c r="G3" t="s">
        <v>79</v>
      </c>
      <c r="H3">
        <v>14</v>
      </c>
      <c r="I3">
        <v>3</v>
      </c>
      <c r="J3">
        <v>14.375</v>
      </c>
      <c r="K3">
        <v>14.375</v>
      </c>
      <c r="L3">
        <v>0</v>
      </c>
      <c r="M3">
        <v>14</v>
      </c>
      <c r="N3">
        <v>3</v>
      </c>
      <c r="O3">
        <v>3</v>
      </c>
      <c r="P3">
        <v>6</v>
      </c>
      <c r="AC3">
        <v>0.17499999999999999</v>
      </c>
      <c r="AG3">
        <v>14.375</v>
      </c>
      <c r="AH3">
        <v>0.17499999999999999</v>
      </c>
      <c r="AI3">
        <v>0.17499999999999999</v>
      </c>
      <c r="AJ3" t="s">
        <v>79</v>
      </c>
    </row>
    <row r="4" spans="1:36" x14ac:dyDescent="0.2">
      <c r="A4" t="s">
        <v>75</v>
      </c>
      <c r="B4" t="s">
        <v>80</v>
      </c>
      <c r="C4">
        <v>4.6100000000000003</v>
      </c>
      <c r="D4">
        <v>4</v>
      </c>
      <c r="E4">
        <v>12</v>
      </c>
      <c r="F4">
        <v>3</v>
      </c>
      <c r="H4">
        <v>30</v>
      </c>
      <c r="I4">
        <v>6</v>
      </c>
      <c r="J4">
        <v>30.75</v>
      </c>
      <c r="K4">
        <v>30.75</v>
      </c>
      <c r="L4">
        <v>0</v>
      </c>
      <c r="M4">
        <v>30</v>
      </c>
      <c r="N4">
        <v>6</v>
      </c>
      <c r="O4">
        <v>3</v>
      </c>
      <c r="P4">
        <v>0</v>
      </c>
      <c r="AC4">
        <v>0.15</v>
      </c>
      <c r="AG4">
        <v>30.75</v>
      </c>
      <c r="AH4">
        <v>0.15</v>
      </c>
      <c r="AI4">
        <v>0.15</v>
      </c>
    </row>
    <row r="5" spans="1:36" x14ac:dyDescent="0.2">
      <c r="A5" t="s">
        <v>75</v>
      </c>
      <c r="B5" t="s">
        <v>81</v>
      </c>
      <c r="C5">
        <v>0.03</v>
      </c>
      <c r="D5">
        <v>0</v>
      </c>
      <c r="E5">
        <v>0</v>
      </c>
      <c r="F5">
        <v>7.5</v>
      </c>
      <c r="G5" t="s">
        <v>82</v>
      </c>
      <c r="H5">
        <v>0</v>
      </c>
      <c r="I5">
        <v>5</v>
      </c>
      <c r="J5">
        <v>0.625</v>
      </c>
      <c r="K5">
        <v>0.625</v>
      </c>
      <c r="L5">
        <v>0</v>
      </c>
      <c r="M5">
        <v>0</v>
      </c>
      <c r="N5">
        <v>5</v>
      </c>
      <c r="AC5">
        <v>4.8000000000000001E-2</v>
      </c>
      <c r="AG5">
        <v>0.625</v>
      </c>
      <c r="AH5">
        <v>4.8000000000000001E-2</v>
      </c>
      <c r="AI5">
        <v>4.8000000000000001E-2</v>
      </c>
      <c r="AJ5" t="s">
        <v>82</v>
      </c>
    </row>
    <row r="6" spans="1:36" x14ac:dyDescent="0.2">
      <c r="A6" t="s">
        <v>75</v>
      </c>
      <c r="B6" t="s">
        <v>83</v>
      </c>
      <c r="C6">
        <v>0.03</v>
      </c>
      <c r="D6">
        <v>0</v>
      </c>
      <c r="E6">
        <v>0</v>
      </c>
      <c r="F6">
        <v>7.5</v>
      </c>
      <c r="G6" t="s">
        <v>77</v>
      </c>
      <c r="H6">
        <v>0</v>
      </c>
      <c r="I6">
        <v>1.5</v>
      </c>
      <c r="J6">
        <v>0.1875</v>
      </c>
      <c r="K6">
        <v>0.1875</v>
      </c>
      <c r="L6">
        <v>0</v>
      </c>
      <c r="M6">
        <v>0</v>
      </c>
      <c r="N6">
        <v>1.5</v>
      </c>
      <c r="AC6">
        <v>0.16</v>
      </c>
      <c r="AG6">
        <v>0.1875</v>
      </c>
      <c r="AH6">
        <v>0.16</v>
      </c>
      <c r="AI6">
        <v>0.16</v>
      </c>
      <c r="AJ6" t="s">
        <v>77</v>
      </c>
    </row>
    <row r="7" spans="1:36" x14ac:dyDescent="0.2">
      <c r="A7" t="s">
        <v>75</v>
      </c>
      <c r="B7" t="s">
        <v>84</v>
      </c>
      <c r="C7">
        <v>0.12</v>
      </c>
      <c r="D7">
        <v>0</v>
      </c>
      <c r="E7">
        <v>2</v>
      </c>
      <c r="F7">
        <v>4.25</v>
      </c>
      <c r="G7" t="s">
        <v>79</v>
      </c>
      <c r="H7">
        <v>0</v>
      </c>
      <c r="I7">
        <v>5.5</v>
      </c>
      <c r="J7">
        <v>0.6875</v>
      </c>
      <c r="K7">
        <v>0.6875</v>
      </c>
      <c r="L7">
        <v>0</v>
      </c>
      <c r="M7">
        <v>0</v>
      </c>
      <c r="N7">
        <v>5.5</v>
      </c>
      <c r="AC7">
        <v>0.1745454545454545</v>
      </c>
      <c r="AG7">
        <v>0.6875</v>
      </c>
      <c r="AH7">
        <v>0.1745454545454545</v>
      </c>
      <c r="AI7">
        <v>0.1745454545454545</v>
      </c>
      <c r="AJ7" t="s">
        <v>79</v>
      </c>
    </row>
    <row r="8" spans="1:36" x14ac:dyDescent="0.2">
      <c r="A8" t="s">
        <v>75</v>
      </c>
      <c r="B8" t="s">
        <v>85</v>
      </c>
      <c r="C8">
        <v>0.53</v>
      </c>
      <c r="D8">
        <v>0</v>
      </c>
      <c r="E8">
        <v>10</v>
      </c>
      <c r="F8">
        <v>6</v>
      </c>
      <c r="H8">
        <v>3.5</v>
      </c>
      <c r="I8">
        <v>0</v>
      </c>
      <c r="J8">
        <v>3.5</v>
      </c>
      <c r="K8">
        <v>3.5</v>
      </c>
      <c r="L8">
        <v>0</v>
      </c>
      <c r="M8">
        <v>3.5</v>
      </c>
      <c r="N8">
        <v>0</v>
      </c>
      <c r="O8">
        <v>3</v>
      </c>
      <c r="P8">
        <v>0</v>
      </c>
      <c r="AC8">
        <v>0.15</v>
      </c>
      <c r="AG8">
        <v>3.5</v>
      </c>
      <c r="AH8">
        <v>0.15</v>
      </c>
      <c r="AI8">
        <v>0.15</v>
      </c>
    </row>
    <row r="9" spans="1:36" x14ac:dyDescent="0.2">
      <c r="A9" t="s">
        <v>75</v>
      </c>
      <c r="B9" t="s">
        <v>86</v>
      </c>
      <c r="C9">
        <v>27.22</v>
      </c>
      <c r="D9">
        <v>27</v>
      </c>
      <c r="E9">
        <v>4</v>
      </c>
      <c r="F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AC9" t="s">
        <v>324</v>
      </c>
      <c r="AG9">
        <v>0</v>
      </c>
      <c r="AH9" t="s">
        <v>324</v>
      </c>
      <c r="AI9" t="s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2024-04-19T11:10:13Z</dcterms:created>
  <dcterms:modified xsi:type="dcterms:W3CDTF">2025-09-23T14:04:28Z</dcterms:modified>
</cp:coreProperties>
</file>
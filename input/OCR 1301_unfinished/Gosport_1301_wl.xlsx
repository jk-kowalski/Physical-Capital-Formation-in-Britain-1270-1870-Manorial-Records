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F3F5A4F8-B1AE-E844-BA36-BE9AE0930F0D}" xr6:coauthVersionLast="47" xr6:coauthVersionMax="47" xr10:uidLastSave="{00000000-0000-0000-0000-000000000000}"/>
  <bookViews>
    <workbookView xWindow="0" yWindow="500" windowWidth="26520" windowHeight="16540" activeTab="3" xr2:uid="{00000000-000D-0000-FFFF-FFFF00000000}"/>
  </bookViews>
  <sheets>
    <sheet name="Overview" sheetId="4" r:id="rId1"/>
    <sheet name="Receipts" sheetId="2" r:id="rId2"/>
    <sheet name="Expenses" sheetId="3" r:id="rId3"/>
    <sheet name="Issues of the Grange" sheetId="5" r:id="rId4"/>
    <sheet name="Issues of the Mills" sheetId="6" r:id="rId5"/>
    <sheet name="Stock" sheetId="7" r:id="rId6"/>
    <sheet name="Prices" sheetId="8" r:id="rId7"/>
    <sheet name="raw data" sheetId="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2" l="1"/>
  <c r="F22" i="2"/>
  <c r="F24" i="2" s="1"/>
  <c r="G24" i="2" s="1"/>
  <c r="F23" i="2"/>
</calcChain>
</file>

<file path=xl/sharedStrings.xml><?xml version="1.0" encoding="utf-8"?>
<sst xmlns="http://schemas.openxmlformats.org/spreadsheetml/2006/main" count="451" uniqueCount="261">
  <si>
    <t>Heading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</si>
  <si>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</si>
  <si>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</si>
  <si>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</si>
  <si>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</si>
  <si>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</si>
  <si>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</si>
  <si>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</si>
  <si>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</si>
  <si>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</si>
  <si>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</si>
  <si>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</si>
  <si>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</si>
  <si>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</si>
  <si>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</si>
  <si>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</si>
  <si>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</si>
  <si>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</si>
  <si>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</si>
  <si>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</si>
  <si>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</si>
  <si>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</si>
  <si>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</si>
  <si>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</si>
  <si>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</si>
  <si>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</si>
  <si>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</si>
  <si>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</si>
  <si>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</si>
  <si>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</si>
  <si>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Rents</t>
  </si>
  <si>
    <t>John Pulayn renders account for £6 10 shilling 8.5pence for all rents of assize for the year.</t>
  </si>
  <si>
    <t>Total, £6 10 shilling 8.5pence</t>
  </si>
  <si>
    <t>Defaults of rent</t>
  </si>
  <si>
    <t>In default of 1.5 plots which belonged to Amice, relict of the cobbler, inundated by the sea 9pence.</t>
  </si>
  <si>
    <t>1 plot of land which belonged to Henry Curtays inundated by the sea 6pence.</t>
  </si>
  <si>
    <t>1 plot of land which belonged to Thomas Poyn inundated by the sea 6pence.</t>
  </si>
  <si>
    <t>0.5 plot of land which belonged to John Davel inundated by the sea 3pence.</t>
  </si>
  <si>
    <t>1 plot of land which belonged to Agnes Mulet inundated by the sea 6pence.</t>
  </si>
  <si>
    <t>1.5 plots of land which belonged to Henry Fossadam' inundated by the sea 9pence.</t>
  </si>
  <si>
    <t>2 plots which belonged to Bartholomew Bonekar' inundated by the sea 1 shilling.</t>
  </si>
  <si>
    <t>1 plot of land which belonged to John Hendel inundated by the sea 6pence.</t>
  </si>
  <si>
    <t>1 plot of land which belonged to Sibyl Lablto inundated by the sea 6pence.</t>
  </si>
  <si>
    <t>1 plot of land which belonged to Rose Swole inundated the sea 6pence.</t>
  </si>
  <si>
    <t>1 plot of land which belonged to Richard Trut inundated by the sea 6d.</t>
  </si>
  <si>
    <t>0.5 plot of land which belonged to Thomas Edward' inundated by the sea 3pence.</t>
  </si>
  <si>
    <t>1 plot of land which belonged to Henry de la Putte inundated by the sea 6pence.</t>
  </si>
  <si>
    <t>0.5 plot of land which belonged to William Godefray inundated by the sea 3pence.</t>
  </si>
  <si>
    <t>1 plot of land which belonged to Laurence le Blak' inundated by the sea 6pence.</t>
  </si>
  <si>
    <t>0.5 plot of land which belonged to Matilda de Schale inundated by the sea 3pence Total, 8 shilling</t>
  </si>
  <si>
    <t>Total of rents remaining</t>
  </si>
  <si>
    <t>Total of rents remaining, £6 2 shilling 8.5pence</t>
  </si>
  <si>
    <t>Reliefs</t>
  </si>
  <si>
    <t>The same render account for 4pence from Robert de Forton for relief for 1 acre of land by the legacy of John his brother.</t>
  </si>
  <si>
    <t>4 shilling 1pence from Bartholomew Hendel for relief for 12 acres and 1 perch of land and tenements which belonged to William Hendel his father.</t>
  </si>
  <si>
    <t>1 shilling from William Hendel for relief for 3 acres of land by the legacy of William Hendel his father.</t>
  </si>
  <si>
    <t>10pence from John, Richard, John, Henry, Alice, Matilda and Emma Hendel for relief for 2.5 acres which belonged to William le Hendel their father by legacy.</t>
  </si>
  <si>
    <t>8pence from Alice and Agnes, daughters of Adam Bild', for relief for 2 acres of land and tenements which belonged to Adam Bild' their father.</t>
  </si>
  <si>
    <t>Total, 6 shilling 11pence</t>
  </si>
  <si>
    <t>Perquisites</t>
  </si>
  <si>
    <t>The same render account for 3pence from William le Kyngt for transgression against Alice, relict of William le Kynge.</t>
  </si>
  <si>
    <t>3pence from Thomas Durant for transgression against John de la Frith'.</t>
  </si>
  <si>
    <t>3pence from John Reynold' for breaking the assize of ale.</t>
  </si>
  <si>
    <t>3pence from John Franceys for the same.</t>
  </si>
  <si>
    <t>3pence from Henry Walter for the same.</t>
  </si>
  <si>
    <t>3pence from Alice le Tug for the same.</t>
  </si>
  <si>
    <t>3pence from John Aze for the same.</t>
  </si>
  <si>
    <t>3pence from Alice Schynnyld for the same.</t>
  </si>
  <si>
    <t>3pence from Thomas Edward for the same.</t>
  </si>
  <si>
    <t>3pence from John Prevet for the same.</t>
  </si>
  <si>
    <t>3pence from Alice Hendel for the same.</t>
  </si>
  <si>
    <t>3pence from Alexander le Mey for transgression against Alice Edward.</t>
  </si>
  <si>
    <t>3pence from Richard Goyr for transgression against Dyser', wife of William Pante.</t>
  </si>
  <si>
    <t>3pence from Thomas Durant for transgression against John le Frith'.</t>
  </si>
  <si>
    <t>3pence from Joan Edward' for transgression against Alice, wife of John Prest, at the tourn of Hockday.</t>
  </si>
  <si>
    <t>6pence from Richard Schutel for transgression against William Bond'.</t>
  </si>
  <si>
    <t>6pence from John Prest for breaking the assize of ale.</t>
  </si>
  <si>
    <t>6pence from John Franceys for the same.</t>
  </si>
  <si>
    <t>6pence from Alice Schymnyld for the same.</t>
  </si>
  <si>
    <t>6pence from Thomas Edward' for the same.</t>
  </si>
  <si>
    <t>6pence from John Prevet for the same.</t>
  </si>
  <si>
    <t>6pence from Matilda Bild' for the same.</t>
  </si>
  <si>
    <t>6pence from Alice Hendel for the same.</t>
  </si>
  <si>
    <t>6pence from Alexander Cred' for the same.</t>
  </si>
  <si>
    <t>Total, 8 shilling 3pence</t>
  </si>
  <si>
    <t>Total of both</t>
  </si>
  <si>
    <t>Total of both, 15 shilling 2pence</t>
  </si>
  <si>
    <t>Total of all receipts</t>
  </si>
  <si>
    <t>Total of all receipts, £6 17 shilling 10.5pence</t>
  </si>
  <si>
    <t>And he owes</t>
  </si>
  <si>
    <t>And he owes it all.</t>
  </si>
  <si>
    <t>Delivered to Sir Geoffrey, treasurer of Wolvesey, by 1 tally, £5.</t>
  </si>
  <si>
    <t>And thus he owes clear</t>
  </si>
  <si>
    <t>And thus he owes clear, £1 17 shilling 10.5pence</t>
  </si>
  <si>
    <t>Error</t>
  </si>
  <si>
    <t>Total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</si>
  <si>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</si>
  <si>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</si>
  <si>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</si>
  <si>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</si>
  <si>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</si>
  <si>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</si>
  <si>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</si>
  <si>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</si>
  <si>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</si>
  <si>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</si>
  <si>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</si>
  <si>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</si>
  <si>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</si>
  <si>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</si>
  <si>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</si>
  <si>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</si>
  <si>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</si>
  <si>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</si>
  <si>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</si>
  <si>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</si>
  <si>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</si>
  <si>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</si>
  <si>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</si>
  <si>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</si>
  <si>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</si>
  <si>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</si>
  <si>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</si>
  <si>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</si>
  <si>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</si>
  <si>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</si>
  <si>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</si>
  <si>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</si>
  <si>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</si>
  <si>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</si>
  <si>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</si>
  <si>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</si>
  <si>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</si>
  <si>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</si>
  <si>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</si>
  <si>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</si>
  <si>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</si>
  <si>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</si>
  <si>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</si>
  <si>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</si>
  <si>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</si>
  <si>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</si>
  <si>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</si>
  <si>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Cash deliveries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</si>
  <si>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</si>
  <si>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</si>
  <si>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</si>
  <si>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</si>
  <si>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</si>
  <si>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</si>
  <si>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Wheat</t>
  </si>
  <si>
    <t>Rye</t>
  </si>
  <si>
    <t>Dredge</t>
  </si>
  <si>
    <t>Curall</t>
  </si>
  <si>
    <t>Barley</t>
  </si>
  <si>
    <t>Oats</t>
  </si>
  <si>
    <t>Beans</t>
  </si>
  <si>
    <t>Peas</t>
  </si>
  <si>
    <t>Vetches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</si>
  <si>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</si>
  <si>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</si>
  <si>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</si>
  <si>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</si>
  <si>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</si>
  <si>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</si>
  <si>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</si>
  <si>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</si>
  <si>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</si>
  <si>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Total value of production (sum of the above)</t>
  </si>
  <si>
    <t>STOCK ACCOUNT</t>
  </si>
  <si>
    <t>Livestock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</si>
  <si>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</si>
  <si>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</si>
  <si>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</si>
  <si>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</si>
  <si>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</si>
  <si>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</si>
  <si>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</si>
  <si>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</si>
  <si>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</si>
  <si>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</si>
  <si>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</si>
  <si>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</si>
  <si>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</si>
  <si>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</si>
  <si>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</si>
  <si>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</si>
  <si>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</si>
  <si>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</si>
  <si>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</si>
  <si>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</si>
  <si>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</si>
  <si>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</si>
  <si>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</si>
  <si>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</si>
  <si>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</si>
  <si>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Total value of stock (sum of the above)</t>
  </si>
  <si>
    <t>Total value of production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</si>
  <si>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</si>
  <si>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</si>
  <si>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</si>
  <si>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</si>
  <si>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</si>
  <si>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</si>
  <si>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</si>
  <si>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</si>
  <si>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</si>
  <si>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</si>
  <si>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</si>
  <si>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</si>
  <si>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</si>
  <si>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</si>
  <si>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</si>
  <si>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</si>
  <si>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</si>
  <si>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</si>
  <si>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</si>
  <si>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</si>
  <si>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</si>
  <si>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</si>
  <si>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</si>
  <si>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</si>
  <si>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</si>
  <si>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</si>
  <si>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</si>
  <si>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</si>
  <si>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</si>
  <si>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</si>
  <si>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</si>
  <si>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</si>
  <si>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</si>
  <si>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</si>
  <si>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</si>
  <si>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</si>
  <si>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</si>
  <si>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</si>
  <si>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</si>
  <si>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</si>
  <si>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</si>
  <si>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</si>
  <si>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</si>
  <si>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</si>
  <si>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</si>
  <si>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</si>
  <si>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</si>
  <si>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</si>
  <si>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Total in £</t>
  </si>
  <si>
    <t>Note</t>
  </si>
  <si>
    <t>GOSPORT</t>
  </si>
  <si>
    <t>GOSPORT RECEIPTS</t>
  </si>
  <si>
    <t>£</t>
  </si>
  <si>
    <t xml:space="preserve">s </t>
  </si>
  <si>
    <t>d</t>
  </si>
  <si>
    <t>Notes</t>
  </si>
  <si>
    <t>Own notes</t>
  </si>
  <si>
    <t xml:space="preserve">0.5 plot of land which belonged to Matilda de Schale inundated by the sea 3pence </t>
  </si>
  <si>
    <t>Total, 8 shilling</t>
  </si>
  <si>
    <t>GOSPORT EXPENSES</t>
  </si>
  <si>
    <t>no grange</t>
  </si>
  <si>
    <t>no mills</t>
  </si>
  <si>
    <t>no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</si>
</sst>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 (Body)"/>
    </font>
    <font>
      <sz val="11"/>
      <color rgb="FFFF0000"/>
      <name val="Calibri (Body)"/>
    </font>
    <font>
      <b/>
      <sz val="12"/>
      <name val="Calibri"/>
      <family val="2"/>
    </font>
    <font>
      <b/>
      <sz val="12"/>
      <color rgb="FFFF0000"/>
      <name val="Calibri (Body)"/>
    </font>
    <font>
      <sz val="12"/>
      <color rgb="FFFF0000"/>
      <name val="Calibri (Body)"/>
    </font>
    <font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center" vertical="top"/>
    </xf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1" fillId="0" borderId="0" xfId="0" applyFont="1"/>
    <xf numFmtId="0" fontId="7" fillId="3" borderId="2" xfId="0" applyFont="1" applyFill="1" applyBorder="1"/>
    <xf numFmtId="0" fontId="7" fillId="3" borderId="0" xfId="0" applyFont="1" applyFill="1"/>
    <xf numFmtId="0" fontId="8" fillId="2" borderId="0" xfId="0" applyFont="1" applyFill="1"/>
    <xf numFmtId="0" fontId="6" fillId="0" borderId="3" xfId="0" applyFont="1" applyBorder="1"/>
    <xf numFmtId="0" fontId="4" fillId="0" borderId="0" xfId="0" applyFont="1"/>
    <xf numFmtId="0" fontId="6" fillId="4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2" borderId="0" xfId="0" applyFont="1" applyFill="1"/>
    <xf numFmtId="0" fontId="5" fillId="6" borderId="0" xfId="0" applyFont="1" applyFill="1"/>
    <xf numFmtId="0" fontId="5" fillId="3" borderId="0" xfId="0" applyFont="1" applyFill="1"/>
    <xf numFmtId="0" fontId="6" fillId="0" borderId="0" xfId="0" applyFont="1" applyAlignment="1">
      <alignment wrapText="1"/>
    </xf>
    <xf numFmtId="0" fontId="9" fillId="6" borderId="0" xfId="0" applyFont="1" applyFill="1"/>
    <xf numFmtId="0" fontId="6" fillId="0" borderId="4" xfId="0" applyFont="1" applyBorder="1"/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left"/>
    </xf>
    <xf numFmtId="0" fontId="6" fillId="3" borderId="5" xfId="0" applyFont="1" applyFill="1" applyBorder="1"/>
    <xf numFmtId="0" fontId="9" fillId="2" borderId="6" xfId="0" applyFont="1" applyFill="1" applyBorder="1"/>
    <xf numFmtId="0" fontId="9" fillId="5" borderId="6" xfId="0" applyFont="1" applyFill="1" applyBorder="1"/>
    <xf numFmtId="0" fontId="6" fillId="0" borderId="6" xfId="0" applyFont="1" applyBorder="1"/>
    <xf numFmtId="10" fontId="9" fillId="2" borderId="6" xfId="0" applyNumberFormat="1" applyFont="1" applyFill="1" applyBorder="1"/>
    <xf numFmtId="10" fontId="9" fillId="5" borderId="7" xfId="0" applyNumberFormat="1" applyFont="1" applyFill="1" applyBorder="1"/>
    <xf numFmtId="2" fontId="5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0" fontId="3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 vertical="top"/>
    </xf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3" fillId="0" borderId="0" xfId="0" applyFont="1" applyAlignment="1">
      <alignment horizontal="left" vertical="top"/>
    </xf>
    <xf numFmtId="0" fontId="7" fillId="0" borderId="0" xfId="0" applyFont="1"/>
    <xf numFmtId="2" fontId="0" fillId="0" borderId="0" xfId="0" applyNumberFormat="1"/>
    <xf numFmtId="2" fontId="12" fillId="0" borderId="0" xfId="0" applyNumberFormat="1" applyFont="1"/>
    <xf numFmtId="2" fontId="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 vertical="top"/>
    </xf>
    <xf numFmtId="2" fontId="1" fillId="0" borderId="0" xfId="0" applyNumberFormat="1" applyFont="1"/>
    <xf numFmtId="2" fontId="15" fillId="0" borderId="0" xfId="0" applyNumberFormat="1" applyFont="1"/>
    <xf numFmtId="0" fontId="16" fillId="0" borderId="0" xfId="0" applyFont="1"/>
    <xf numFmtId="0" fontId="13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3203125" defaultRowHeight="16" x14ac:dyDescent="0.2"/>
  <cols>
    <col min="1" max="1" width="80" style="5" bestFit="1" customWidth="1"/>
  </cols>
  <sheetData>
    <row r="1" spans="1:5" s="5" customFormat="1" x14ac:dyDescent="0.2">
      <c r="A1" s="2" t="s">
        <v>248</v>
      </c>
      <c r="B1" s="28" t="s">
        <v>246</v>
      </c>
      <c r="C1" s="29" t="s">
        <v>94</v>
      </c>
      <c r="D1" s="10" t="s">
        <v>247</v>
      </c>
      <c r="E1" s="10"/>
    </row>
    <row r="2" spans="1:5" s="5" customFormat="1" x14ac:dyDescent="0.2">
      <c r="A2" s="2" t="s">
        <v>96</v>
      </c>
      <c r="C2" s="30"/>
    </row>
    <row r="3" spans="1:5" x14ac:dyDescent="0.2">
      <c r="A3" s="3" t="s">
        <v>97</v>
      </c>
    </row>
    <row r="4" spans="1:5" x14ac:dyDescent="0.2">
      <c r="A4" s="4" t="s">
        <v>98</v>
      </c>
    </row>
    <row r="5" spans="1:5" x14ac:dyDescent="0.2">
      <c r="A5" s="4" t="s">
        <v>99</v>
      </c>
    </row>
    <row r="6" spans="1:5" x14ac:dyDescent="0.2">
      <c r="A6" s="4" t="s">
        <v>100</v>
      </c>
    </row>
    <row r="7" spans="1:5" x14ac:dyDescent="0.2">
      <c r="A7" s="4" t="s">
        <v>101</v>
      </c>
    </row>
    <row r="8" spans="1:5" x14ac:dyDescent="0.2">
      <c r="A8" s="5" t="s">
        <v>102</v>
      </c>
    </row>
    <row r="9" spans="1:5" x14ac:dyDescent="0.2">
      <c r="A9" s="5" t="s">
        <v>103</v>
      </c>
    </row>
    <row r="10" spans="1:5" x14ac:dyDescent="0.2">
      <c r="A10" s="5" t="s">
        <v>104</v>
      </c>
    </row>
    <row r="11" spans="1:5" x14ac:dyDescent="0.2">
      <c r="A11" s="5" t="s">
        <v>105</v>
      </c>
    </row>
    <row r="12" spans="1:5" x14ac:dyDescent="0.2">
      <c r="A12" s="5" t="s">
        <v>106</v>
      </c>
    </row>
    <row r="13" spans="1:5" x14ac:dyDescent="0.2">
      <c r="A13" s="5" t="s">
        <v>107</v>
      </c>
    </row>
    <row r="14" spans="1:5" x14ac:dyDescent="0.2">
      <c r="A14" s="4" t="s">
        <v>108</v>
      </c>
    </row>
    <row r="15" spans="1:5" x14ac:dyDescent="0.2">
      <c r="A15" s="4" t="s">
        <v>109</v>
      </c>
    </row>
    <row r="16" spans="1:5" x14ac:dyDescent="0.2">
      <c r="A16" s="5" t="s">
        <v>110</v>
      </c>
    </row>
    <row r="17" spans="1:1" x14ac:dyDescent="0.2">
      <c r="A17" s="5" t="s">
        <v>111</v>
      </c>
    </row>
    <row r="18" spans="1:1" x14ac:dyDescent="0.2">
      <c r="A18" s="4" t="s">
        <v>112</v>
      </c>
    </row>
    <row r="19" spans="1:1" x14ac:dyDescent="0.2">
      <c r="A19" s="4" t="s">
        <v>113</v>
      </c>
    </row>
    <row r="20" spans="1:1" x14ac:dyDescent="0.2">
      <c r="A20" s="4" t="s">
        <v>114</v>
      </c>
    </row>
    <row r="21" spans="1:1" x14ac:dyDescent="0.2">
      <c r="A21" s="5" t="s">
        <v>115</v>
      </c>
    </row>
    <row r="22" spans="1:1" x14ac:dyDescent="0.2">
      <c r="A22" s="5" t="s">
        <v>116</v>
      </c>
    </row>
    <row r="23" spans="1:1" x14ac:dyDescent="0.2">
      <c r="A23" s="6" t="s">
        <v>117</v>
      </c>
    </row>
    <row r="24" spans="1:1" x14ac:dyDescent="0.2">
      <c r="A24" s="7" t="s">
        <v>118</v>
      </c>
    </row>
    <row r="25" spans="1:1" x14ac:dyDescent="0.2">
      <c r="A25" s="8" t="s">
        <v>119</v>
      </c>
    </row>
    <row r="26" spans="1:1" x14ac:dyDescent="0.2">
      <c r="A26" s="8" t="s">
        <v>120</v>
      </c>
    </row>
    <row r="27" spans="1:1" x14ac:dyDescent="0.2">
      <c r="A27" s="4"/>
    </row>
    <row r="28" spans="1:1" x14ac:dyDescent="0.2">
      <c r="A28" s="4"/>
    </row>
    <row r="29" spans="1:1" x14ac:dyDescent="0.2">
      <c r="A29" s="3" t="s">
        <v>121</v>
      </c>
    </row>
    <row r="30" spans="1:1" x14ac:dyDescent="0.2">
      <c r="A30" s="4" t="s">
        <v>122</v>
      </c>
    </row>
    <row r="31" spans="1:1" x14ac:dyDescent="0.2">
      <c r="A31" s="4" t="s">
        <v>123</v>
      </c>
    </row>
    <row r="32" spans="1:1" x14ac:dyDescent="0.2">
      <c r="A32" s="4" t="s">
        <v>124</v>
      </c>
    </row>
    <row r="33" spans="1:1" x14ac:dyDescent="0.2">
      <c r="A33" s="4" t="s">
        <v>125</v>
      </c>
    </row>
    <row r="34" spans="1:1" x14ac:dyDescent="0.2">
      <c r="A34" s="4" t="s">
        <v>126</v>
      </c>
    </row>
    <row r="35" spans="1:1" x14ac:dyDescent="0.2">
      <c r="A35" s="4" t="s">
        <v>127</v>
      </c>
    </row>
    <row r="36" spans="1:1" x14ac:dyDescent="0.2">
      <c r="A36" s="4" t="s">
        <v>128</v>
      </c>
    </row>
    <row r="37" spans="1:1" x14ac:dyDescent="0.2">
      <c r="A37" s="4" t="s">
        <v>129</v>
      </c>
    </row>
    <row r="38" spans="1:1" x14ac:dyDescent="0.2">
      <c r="A38" s="4" t="s">
        <v>130</v>
      </c>
    </row>
    <row r="39" spans="1:1" x14ac:dyDescent="0.2">
      <c r="A39" s="4" t="s">
        <v>131</v>
      </c>
    </row>
    <row r="40" spans="1:1" x14ac:dyDescent="0.2">
      <c r="A40" s="4" t="s">
        <v>132</v>
      </c>
    </row>
    <row r="41" spans="1:1" x14ac:dyDescent="0.2">
      <c r="A41" s="4" t="s">
        <v>133</v>
      </c>
    </row>
    <row r="42" spans="1:1" x14ac:dyDescent="0.2">
      <c r="A42" s="4" t="s">
        <v>134</v>
      </c>
    </row>
    <row r="43" spans="1:1" x14ac:dyDescent="0.2">
      <c r="A43" s="9" t="s">
        <v>135</v>
      </c>
    </row>
    <row r="44" spans="1:1" x14ac:dyDescent="0.2">
      <c r="A44" s="7" t="s">
        <v>136</v>
      </c>
    </row>
    <row r="45" spans="1:1" x14ac:dyDescent="0.2">
      <c r="A45" s="7" t="s">
        <v>137</v>
      </c>
    </row>
    <row r="46" spans="1:1" x14ac:dyDescent="0.2">
      <c r="A46" s="7" t="s">
        <v>138</v>
      </c>
    </row>
    <row r="47" spans="1:1" x14ac:dyDescent="0.2">
      <c r="A47" s="7" t="s">
        <v>139</v>
      </c>
    </row>
    <row r="48" spans="1:1" x14ac:dyDescent="0.2">
      <c r="A48" s="10"/>
    </row>
    <row r="49" spans="1:1" x14ac:dyDescent="0.2">
      <c r="A49" s="11" t="s">
        <v>140</v>
      </c>
    </row>
    <row r="50" spans="1:1" x14ac:dyDescent="0.2">
      <c r="A50" s="11" t="s">
        <v>141</v>
      </c>
    </row>
    <row r="51" spans="1:1" x14ac:dyDescent="0.2">
      <c r="A51" s="4"/>
    </row>
    <row r="52" spans="1:1" x14ac:dyDescent="0.2">
      <c r="A52" s="11" t="s">
        <v>142</v>
      </c>
    </row>
    <row r="53" spans="1:1" x14ac:dyDescent="0.2">
      <c r="A53" s="11" t="s">
        <v>143</v>
      </c>
    </row>
    <row r="54" spans="1:1" x14ac:dyDescent="0.2">
      <c r="A54" s="12" t="s">
        <v>144</v>
      </c>
    </row>
    <row r="55" spans="1:1" x14ac:dyDescent="0.2">
      <c r="A55" s="13" t="s">
        <v>145</v>
      </c>
    </row>
    <row r="56" spans="1:1" x14ac:dyDescent="0.2">
      <c r="A56" s="4"/>
    </row>
    <row r="57" spans="1:1" x14ac:dyDescent="0.2">
      <c r="A57" s="11" t="s">
        <v>146</v>
      </c>
    </row>
    <row r="58" spans="1:1" x14ac:dyDescent="0.2">
      <c r="A58" s="11" t="s">
        <v>147</v>
      </c>
    </row>
    <row r="59" spans="1:1" x14ac:dyDescent="0.2">
      <c r="A59" s="4"/>
    </row>
    <row r="60" spans="1:1" x14ac:dyDescent="0.2">
      <c r="A60" s="3" t="s">
        <v>148</v>
      </c>
    </row>
    <row r="61" spans="1:1" x14ac:dyDescent="0.2">
      <c r="A61" s="2" t="s">
        <v>149</v>
      </c>
    </row>
    <row r="62" spans="1:1" x14ac:dyDescent="0.2">
      <c r="A62" s="5" t="s">
        <v>150</v>
      </c>
    </row>
    <row r="63" spans="1:1" x14ac:dyDescent="0.2">
      <c r="A63" s="5" t="s">
        <v>151</v>
      </c>
    </row>
    <row r="64" spans="1:1" x14ac:dyDescent="0.2">
      <c r="A64" s="5" t="s">
        <v>152</v>
      </c>
    </row>
    <row r="65" spans="1:1" x14ac:dyDescent="0.2">
      <c r="A65" s="5" t="s">
        <v>153</v>
      </c>
    </row>
    <row r="66" spans="1:1" x14ac:dyDescent="0.2">
      <c r="A66" s="5" t="s">
        <v>154</v>
      </c>
    </row>
    <row r="67" spans="1:1" x14ac:dyDescent="0.2">
      <c r="A67" s="5" t="s">
        <v>155</v>
      </c>
    </row>
    <row r="68" spans="1:1" x14ac:dyDescent="0.2">
      <c r="A68" s="5" t="s">
        <v>156</v>
      </c>
    </row>
    <row r="69" spans="1:1" x14ac:dyDescent="0.2">
      <c r="A69" s="5" t="s">
        <v>157</v>
      </c>
    </row>
    <row r="70" spans="1:1" x14ac:dyDescent="0.2">
      <c r="A70" s="5" t="s">
        <v>158</v>
      </c>
    </row>
    <row r="71" spans="1:1" x14ac:dyDescent="0.2">
      <c r="A71" s="14" t="s">
        <v>159</v>
      </c>
    </row>
    <row r="72" spans="1:1" x14ac:dyDescent="0.2">
      <c r="A72" s="14" t="s">
        <v>160</v>
      </c>
    </row>
    <row r="73" spans="1:1" x14ac:dyDescent="0.2">
      <c r="A73" s="14" t="s">
        <v>161</v>
      </c>
    </row>
    <row r="74" spans="1:1" x14ac:dyDescent="0.2">
      <c r="A74" s="4"/>
    </row>
    <row r="75" spans="1:1" x14ac:dyDescent="0.2">
      <c r="A75" s="3" t="s">
        <v>162</v>
      </c>
    </row>
    <row r="76" spans="1:1" x14ac:dyDescent="0.2">
      <c r="A76" s="2" t="s">
        <v>163</v>
      </c>
    </row>
    <row r="77" spans="1:1" x14ac:dyDescent="0.2">
      <c r="A77" s="4" t="s">
        <v>150</v>
      </c>
    </row>
    <row r="78" spans="1:1" x14ac:dyDescent="0.2">
      <c r="A78" s="4" t="s">
        <v>164</v>
      </c>
    </row>
    <row r="79" spans="1:1" x14ac:dyDescent="0.2">
      <c r="A79" s="4" t="s">
        <v>165</v>
      </c>
    </row>
    <row r="80" spans="1:1" x14ac:dyDescent="0.2">
      <c r="A80" s="4" t="s">
        <v>166</v>
      </c>
    </row>
    <row r="81" spans="1:1" x14ac:dyDescent="0.2">
      <c r="A81" s="4" t="s">
        <v>167</v>
      </c>
    </row>
    <row r="82" spans="1:1" x14ac:dyDescent="0.2">
      <c r="A82" s="14" t="s">
        <v>168</v>
      </c>
    </row>
    <row r="83" spans="1:1" x14ac:dyDescent="0.2">
      <c r="A83" s="14" t="s">
        <v>161</v>
      </c>
    </row>
    <row r="84" spans="1:1" x14ac:dyDescent="0.2">
      <c r="A84" s="4"/>
    </row>
    <row r="85" spans="1:1" x14ac:dyDescent="0.2">
      <c r="A85" s="15" t="s">
        <v>169</v>
      </c>
    </row>
    <row r="86" spans="1:1" x14ac:dyDescent="0.2">
      <c r="A86" s="16" t="s">
        <v>170</v>
      </c>
    </row>
    <row r="87" spans="1:1" ht="17" x14ac:dyDescent="0.2">
      <c r="A87" s="17" t="s">
        <v>171</v>
      </c>
    </row>
    <row r="88" spans="1:1" ht="17" x14ac:dyDescent="0.2">
      <c r="A88" s="17" t="s">
        <v>172</v>
      </c>
    </row>
    <row r="89" spans="1:1" x14ac:dyDescent="0.2">
      <c r="A89" s="4" t="s">
        <v>173</v>
      </c>
    </row>
    <row r="90" spans="1:1" x14ac:dyDescent="0.2">
      <c r="A90" s="4" t="s">
        <v>174</v>
      </c>
    </row>
    <row r="91" spans="1:1" x14ac:dyDescent="0.2">
      <c r="A91" s="4" t="s">
        <v>174</v>
      </c>
    </row>
    <row r="92" spans="1:1" x14ac:dyDescent="0.2">
      <c r="A92" s="4" t="s">
        <v>175</v>
      </c>
    </row>
    <row r="93" spans="1:1" x14ac:dyDescent="0.2">
      <c r="A93" s="4" t="s">
        <v>176</v>
      </c>
    </row>
    <row r="94" spans="1:1" x14ac:dyDescent="0.2">
      <c r="A94" s="4" t="s">
        <v>177</v>
      </c>
    </row>
    <row r="95" spans="1:1" x14ac:dyDescent="0.2">
      <c r="A95" s="4" t="s">
        <v>178</v>
      </c>
    </row>
    <row r="96" spans="1:1" x14ac:dyDescent="0.2">
      <c r="A96" s="4" t="s">
        <v>179</v>
      </c>
    </row>
    <row r="97" spans="1:1" x14ac:dyDescent="0.2">
      <c r="A97" s="4" t="s">
        <v>180</v>
      </c>
    </row>
    <row r="98" spans="1:1" x14ac:dyDescent="0.2">
      <c r="A98" s="4" t="s">
        <v>181</v>
      </c>
    </row>
    <row r="99" spans="1:1" x14ac:dyDescent="0.2">
      <c r="A99" s="4" t="s">
        <v>182</v>
      </c>
    </row>
    <row r="100" spans="1:1" x14ac:dyDescent="0.2">
      <c r="A100" s="4" t="s">
        <v>183</v>
      </c>
    </row>
    <row r="101" spans="1:1" x14ac:dyDescent="0.2">
      <c r="A101" s="4" t="s">
        <v>184</v>
      </c>
    </row>
    <row r="102" spans="1:1" x14ac:dyDescent="0.2">
      <c r="A102" s="4" t="s">
        <v>185</v>
      </c>
    </row>
    <row r="103" spans="1:1" x14ac:dyDescent="0.2">
      <c r="A103" s="4" t="s">
        <v>186</v>
      </c>
    </row>
    <row r="104" spans="1:1" x14ac:dyDescent="0.2">
      <c r="A104" s="4" t="s">
        <v>187</v>
      </c>
    </row>
    <row r="105" spans="1:1" x14ac:dyDescent="0.2">
      <c r="A105" s="4" t="s">
        <v>188</v>
      </c>
    </row>
    <row r="106" spans="1:1" x14ac:dyDescent="0.2">
      <c r="A106" s="4" t="s">
        <v>189</v>
      </c>
    </row>
    <row r="107" spans="1:1" x14ac:dyDescent="0.2">
      <c r="A107" s="4" t="s">
        <v>190</v>
      </c>
    </row>
    <row r="108" spans="1:1" x14ac:dyDescent="0.2">
      <c r="A108" s="4" t="s">
        <v>191</v>
      </c>
    </row>
    <row r="109" spans="1:1" x14ac:dyDescent="0.2">
      <c r="A109" s="4" t="s">
        <v>192</v>
      </c>
    </row>
    <row r="110" spans="1:1" x14ac:dyDescent="0.2">
      <c r="A110" s="4" t="s">
        <v>193</v>
      </c>
    </row>
    <row r="111" spans="1:1" x14ac:dyDescent="0.2">
      <c r="A111" s="4" t="s">
        <v>194</v>
      </c>
    </row>
    <row r="112" spans="1:1" x14ac:dyDescent="0.2">
      <c r="A112" s="4" t="s">
        <v>195</v>
      </c>
    </row>
    <row r="113" spans="1:1" x14ac:dyDescent="0.2">
      <c r="A113" s="14" t="s">
        <v>196</v>
      </c>
    </row>
    <row r="114" spans="1:1" x14ac:dyDescent="0.2">
      <c r="A114" s="14" t="s">
        <v>197</v>
      </c>
    </row>
    <row r="115" spans="1:1" x14ac:dyDescent="0.2">
      <c r="A115" s="14" t="s">
        <v>161</v>
      </c>
    </row>
    <row r="116" spans="1:1" x14ac:dyDescent="0.2">
      <c r="A116" s="4"/>
    </row>
    <row r="117" spans="1:1" x14ac:dyDescent="0.2">
      <c r="A117" s="3" t="s">
        <v>198</v>
      </c>
    </row>
    <row r="118" spans="1:1" ht="17" x14ac:dyDescent="0.2">
      <c r="A118" s="17" t="s">
        <v>199</v>
      </c>
    </row>
    <row r="119" spans="1:1" x14ac:dyDescent="0.2">
      <c r="A119" s="4" t="s">
        <v>200</v>
      </c>
    </row>
    <row r="120" spans="1:1" x14ac:dyDescent="0.2">
      <c r="A120" s="4" t="s">
        <v>201</v>
      </c>
    </row>
    <row r="121" spans="1:1" x14ac:dyDescent="0.2">
      <c r="A121" s="4" t="s">
        <v>202</v>
      </c>
    </row>
    <row r="122" spans="1:1" x14ac:dyDescent="0.2">
      <c r="A122" s="4" t="s">
        <v>203</v>
      </c>
    </row>
    <row r="123" spans="1:1" x14ac:dyDescent="0.2">
      <c r="A123" s="18" t="s">
        <v>168</v>
      </c>
    </row>
    <row r="124" spans="1:1" x14ac:dyDescent="0.2">
      <c r="A124" s="18" t="s">
        <v>161</v>
      </c>
    </row>
    <row r="125" spans="1:1" x14ac:dyDescent="0.2">
      <c r="A125" s="2"/>
    </row>
    <row r="126" spans="1:1" x14ac:dyDescent="0.2">
      <c r="A126" s="3" t="s">
        <v>204</v>
      </c>
    </row>
    <row r="127" spans="1:1" x14ac:dyDescent="0.2">
      <c r="A127" s="4" t="s">
        <v>205</v>
      </c>
    </row>
    <row r="128" spans="1:1" x14ac:dyDescent="0.2">
      <c r="A128" s="4" t="s">
        <v>206</v>
      </c>
    </row>
    <row r="129" spans="1:1" x14ac:dyDescent="0.2">
      <c r="A129" s="4" t="s">
        <v>207</v>
      </c>
    </row>
    <row r="130" spans="1:1" x14ac:dyDescent="0.2">
      <c r="A130" s="4" t="s">
        <v>208</v>
      </c>
    </row>
    <row r="131" spans="1:1" x14ac:dyDescent="0.2">
      <c r="A131" s="4" t="s">
        <v>209</v>
      </c>
    </row>
    <row r="132" spans="1:1" x14ac:dyDescent="0.2">
      <c r="A132" s="4" t="s">
        <v>210</v>
      </c>
    </row>
    <row r="133" spans="1:1" x14ac:dyDescent="0.2">
      <c r="A133" s="19" t="s">
        <v>211</v>
      </c>
    </row>
    <row r="134" spans="1:1" x14ac:dyDescent="0.2">
      <c r="A134" s="20" t="s">
        <v>212</v>
      </c>
    </row>
    <row r="135" spans="1:1" x14ac:dyDescent="0.2">
      <c r="A135" s="20" t="s">
        <v>213</v>
      </c>
    </row>
    <row r="136" spans="1:1" x14ac:dyDescent="0.2">
      <c r="A136" s="20" t="s">
        <v>214</v>
      </c>
    </row>
    <row r="137" spans="1:1" x14ac:dyDescent="0.2">
      <c r="A137" s="20" t="s">
        <v>215</v>
      </c>
    </row>
    <row r="138" spans="1:1" x14ac:dyDescent="0.2">
      <c r="A138" s="21" t="s">
        <v>216</v>
      </c>
    </row>
    <row r="139" spans="1:1" x14ac:dyDescent="0.2">
      <c r="A139" s="20" t="s">
        <v>217</v>
      </c>
    </row>
    <row r="140" spans="1:1" x14ac:dyDescent="0.2">
      <c r="A140" s="20" t="s">
        <v>218</v>
      </c>
    </row>
    <row r="141" spans="1:1" x14ac:dyDescent="0.2">
      <c r="A141" s="20" t="s">
        <v>219</v>
      </c>
    </row>
    <row r="142" spans="1:1" x14ac:dyDescent="0.2">
      <c r="A142" s="20" t="s">
        <v>220</v>
      </c>
    </row>
    <row r="143" spans="1:1" x14ac:dyDescent="0.2">
      <c r="A143" s="21" t="s">
        <v>221</v>
      </c>
    </row>
    <row r="144" spans="1:1" x14ac:dyDescent="0.2">
      <c r="A144" s="4" t="s">
        <v>222</v>
      </c>
    </row>
    <row r="145" spans="1:1" x14ac:dyDescent="0.2">
      <c r="A145" s="4" t="s">
        <v>223</v>
      </c>
    </row>
    <row r="146" spans="1:1" x14ac:dyDescent="0.2">
      <c r="A146" s="4" t="s">
        <v>224</v>
      </c>
    </row>
    <row r="147" spans="1:1" x14ac:dyDescent="0.2">
      <c r="A147" s="14" t="s">
        <v>168</v>
      </c>
    </row>
    <row r="148" spans="1:1" x14ac:dyDescent="0.2">
      <c r="A148" s="14" t="s">
        <v>161</v>
      </c>
    </row>
    <row r="149" spans="1:1" x14ac:dyDescent="0.2">
      <c r="A149" s="4"/>
    </row>
    <row r="150" spans="1:1" x14ac:dyDescent="0.2">
      <c r="A150" s="3" t="s">
        <v>225</v>
      </c>
    </row>
    <row r="151" spans="1:1" ht="17" x14ac:dyDescent="0.2">
      <c r="A151" s="17" t="s">
        <v>226</v>
      </c>
    </row>
    <row r="152" spans="1:1" x14ac:dyDescent="0.2">
      <c r="A152" s="4" t="s">
        <v>227</v>
      </c>
    </row>
    <row r="153" spans="1:1" x14ac:dyDescent="0.2">
      <c r="A153" s="4" t="s">
        <v>228</v>
      </c>
    </row>
    <row r="154" spans="1:1" x14ac:dyDescent="0.2">
      <c r="A154" s="4" t="s">
        <v>229</v>
      </c>
    </row>
    <row r="155" spans="1:1" x14ac:dyDescent="0.2">
      <c r="A155" s="18" t="s">
        <v>168</v>
      </c>
    </row>
    <row r="156" spans="1:1" x14ac:dyDescent="0.2">
      <c r="A156" s="18" t="s">
        <v>161</v>
      </c>
    </row>
    <row r="157" spans="1:1" x14ac:dyDescent="0.2">
      <c r="A157" s="4"/>
    </row>
    <row r="158" spans="1:1" x14ac:dyDescent="0.2">
      <c r="A158" s="3" t="s">
        <v>230</v>
      </c>
    </row>
    <row r="159" spans="1:1" x14ac:dyDescent="0.2">
      <c r="A159" s="4" t="s">
        <v>231</v>
      </c>
    </row>
    <row r="160" spans="1:1" x14ac:dyDescent="0.2">
      <c r="A160" s="4" t="s">
        <v>232</v>
      </c>
    </row>
    <row r="161" spans="1:1" x14ac:dyDescent="0.2">
      <c r="A161" s="4" t="s">
        <v>233</v>
      </c>
    </row>
    <row r="162" spans="1:1" x14ac:dyDescent="0.2">
      <c r="A162" s="14" t="s">
        <v>234</v>
      </c>
    </row>
    <row r="163" spans="1:1" x14ac:dyDescent="0.2">
      <c r="A163" s="14" t="s">
        <v>161</v>
      </c>
    </row>
    <row r="164" spans="1:1" x14ac:dyDescent="0.2">
      <c r="A164" s="4"/>
    </row>
    <row r="165" spans="1:1" x14ac:dyDescent="0.2">
      <c r="A165" s="3" t="s">
        <v>235</v>
      </c>
    </row>
    <row r="166" spans="1:1" x14ac:dyDescent="0.2">
      <c r="A166" s="4" t="s">
        <v>236</v>
      </c>
    </row>
    <row r="167" spans="1:1" x14ac:dyDescent="0.2">
      <c r="A167" s="4" t="s">
        <v>237</v>
      </c>
    </row>
    <row r="168" spans="1:1" x14ac:dyDescent="0.2">
      <c r="A168" s="4" t="s">
        <v>238</v>
      </c>
    </row>
    <row r="169" spans="1:1" x14ac:dyDescent="0.2">
      <c r="A169" s="14" t="s">
        <v>168</v>
      </c>
    </row>
    <row r="170" spans="1:1" x14ac:dyDescent="0.2">
      <c r="A170" s="14" t="s">
        <v>161</v>
      </c>
    </row>
    <row r="171" spans="1:1" x14ac:dyDescent="0.2">
      <c r="A171" s="4"/>
    </row>
    <row r="172" spans="1:1" x14ac:dyDescent="0.2">
      <c r="A172" s="4"/>
    </row>
    <row r="173" spans="1:1" ht="17" thickBot="1" x14ac:dyDescent="0.25"/>
    <row r="174" spans="1:1" ht="17" thickBot="1" x14ac:dyDescent="0.25">
      <c r="A174" s="22"/>
    </row>
    <row r="175" spans="1:1" x14ac:dyDescent="0.2">
      <c r="A175" s="23" t="s">
        <v>239</v>
      </c>
    </row>
    <row r="176" spans="1:1" x14ac:dyDescent="0.2">
      <c r="A176" s="24" t="s">
        <v>240</v>
      </c>
    </row>
    <row r="177" spans="1:1" x14ac:dyDescent="0.2">
      <c r="A177" s="24" t="s">
        <v>241</v>
      </c>
    </row>
    <row r="178" spans="1:1" x14ac:dyDescent="0.2">
      <c r="A178" s="24" t="s">
        <v>242</v>
      </c>
    </row>
    <row r="179" spans="1:1" x14ac:dyDescent="0.2">
      <c r="A179" s="25"/>
    </row>
    <row r="180" spans="1:1" x14ac:dyDescent="0.2">
      <c r="A180" s="26" t="s">
        <v>243</v>
      </c>
    </row>
    <row r="181" spans="1:1" x14ac:dyDescent="0.2">
      <c r="A181" s="24" t="s">
        <v>244</v>
      </c>
    </row>
    <row r="182" spans="1:1" x14ac:dyDescent="0.2">
      <c r="A182" s="25"/>
    </row>
    <row r="183" spans="1:1" ht="17" thickBot="1" x14ac:dyDescent="0.25">
      <c r="A183" s="27" t="s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workbookViewId="0">
      <pane xSplit="1" ySplit="2" topLeftCell="B35" activePane="bottomRight" state="frozen"/>
      <selection pane="topRight" activeCell="B1" sqref="B1"/>
      <selection pane="bottomLeft" activeCell="A3" sqref="A3"/>
      <selection pane="bottomRight" activeCell="A64" sqref="A64:XFD64"/>
    </sheetView>
  </sheetViews>
  <sheetFormatPr baseColWidth="10" defaultColWidth="8.83203125" defaultRowHeight="15" x14ac:dyDescent="0.2"/>
  <cols>
    <col min="1" max="1" width="19.1640625" bestFit="1" customWidth="1"/>
    <col min="6" max="6" width="8.83203125" style="38"/>
    <col min="7" max="7" width="8.83203125" style="39"/>
  </cols>
  <sheetData>
    <row r="1" spans="1:9" ht="16" x14ac:dyDescent="0.2">
      <c r="A1" s="31" t="s">
        <v>249</v>
      </c>
    </row>
    <row r="2" spans="1:9" s="5" customFormat="1" ht="16" x14ac:dyDescent="0.2">
      <c r="A2" s="33" t="s">
        <v>0</v>
      </c>
      <c r="B2" s="34" t="s">
        <v>250</v>
      </c>
      <c r="C2" s="35" t="s">
        <v>251</v>
      </c>
      <c r="D2" s="35" t="s">
        <v>252</v>
      </c>
      <c r="E2" s="35"/>
      <c r="F2" s="40" t="s">
        <v>246</v>
      </c>
      <c r="G2" s="41" t="s">
        <v>94</v>
      </c>
      <c r="H2" s="36" t="s">
        <v>253</v>
      </c>
      <c r="I2" s="37" t="s">
        <v>254</v>
      </c>
    </row>
    <row r="3" spans="1:9" x14ac:dyDescent="0.2">
      <c r="A3" t="s">
        <v>30</v>
      </c>
      <c r="B3">
        <v>6</v>
      </c>
      <c r="C3">
        <v>10</v>
      </c>
      <c r="D3">
        <v>8.5</v>
      </c>
      <c r="F3" s="38">
        <v>6.54</v>
      </c>
      <c r="H3" t="s">
        <v>31</v>
      </c>
    </row>
    <row r="4" spans="1:9" x14ac:dyDescent="0.2">
      <c r="A4" t="s">
        <v>30</v>
      </c>
      <c r="B4">
        <v>6</v>
      </c>
      <c r="C4">
        <v>10</v>
      </c>
      <c r="D4">
        <v>8.5</v>
      </c>
      <c r="F4" s="38">
        <v>6.54</v>
      </c>
      <c r="H4" t="s">
        <v>32</v>
      </c>
    </row>
    <row r="5" spans="1:9" x14ac:dyDescent="0.2">
      <c r="A5" t="s">
        <v>30</v>
      </c>
      <c r="F5" s="38">
        <v>6.54</v>
      </c>
      <c r="G5" s="39">
        <v>0</v>
      </c>
      <c r="H5" t="s">
        <v>95</v>
      </c>
    </row>
    <row r="7" spans="1:9" x14ac:dyDescent="0.2">
      <c r="A7" t="s">
        <v>33</v>
      </c>
      <c r="B7">
        <v>0</v>
      </c>
      <c r="C7">
        <v>0</v>
      </c>
      <c r="D7">
        <v>9</v>
      </c>
      <c r="F7" s="38">
        <v>0.04</v>
      </c>
      <c r="H7" t="s">
        <v>34</v>
      </c>
    </row>
    <row r="8" spans="1:9" x14ac:dyDescent="0.2">
      <c r="A8" t="s">
        <v>33</v>
      </c>
      <c r="B8">
        <v>0</v>
      </c>
      <c r="C8">
        <v>0</v>
      </c>
      <c r="D8">
        <v>6</v>
      </c>
      <c r="F8" s="38">
        <v>0.03</v>
      </c>
      <c r="H8" t="s">
        <v>35</v>
      </c>
    </row>
    <row r="9" spans="1:9" x14ac:dyDescent="0.2">
      <c r="A9" t="s">
        <v>33</v>
      </c>
      <c r="B9">
        <v>0</v>
      </c>
      <c r="C9">
        <v>0</v>
      </c>
      <c r="D9">
        <v>6</v>
      </c>
      <c r="F9" s="38">
        <v>0.03</v>
      </c>
      <c r="H9" t="s">
        <v>36</v>
      </c>
    </row>
    <row r="10" spans="1:9" x14ac:dyDescent="0.2">
      <c r="A10" t="s">
        <v>33</v>
      </c>
      <c r="B10">
        <v>0</v>
      </c>
      <c r="C10">
        <v>0</v>
      </c>
      <c r="D10">
        <v>3</v>
      </c>
      <c r="F10" s="38">
        <v>0.01</v>
      </c>
      <c r="H10" t="s">
        <v>37</v>
      </c>
    </row>
    <row r="11" spans="1:9" x14ac:dyDescent="0.2">
      <c r="A11" t="s">
        <v>33</v>
      </c>
      <c r="B11">
        <v>0</v>
      </c>
      <c r="C11">
        <v>0</v>
      </c>
      <c r="D11">
        <v>6</v>
      </c>
      <c r="F11" s="38">
        <v>0.03</v>
      </c>
      <c r="H11" t="s">
        <v>38</v>
      </c>
    </row>
    <row r="12" spans="1:9" x14ac:dyDescent="0.2">
      <c r="A12" t="s">
        <v>33</v>
      </c>
      <c r="B12">
        <v>0</v>
      </c>
      <c r="C12">
        <v>0</v>
      </c>
      <c r="D12">
        <v>9</v>
      </c>
      <c r="F12" s="38">
        <v>0.04</v>
      </c>
      <c r="H12" t="s">
        <v>39</v>
      </c>
    </row>
    <row r="13" spans="1:9" x14ac:dyDescent="0.2">
      <c r="A13" t="s">
        <v>33</v>
      </c>
      <c r="B13">
        <v>0</v>
      </c>
      <c r="C13">
        <v>1</v>
      </c>
      <c r="D13">
        <v>0</v>
      </c>
      <c r="F13" s="38">
        <v>0.05</v>
      </c>
      <c r="H13" t="s">
        <v>40</v>
      </c>
    </row>
    <row r="14" spans="1:9" x14ac:dyDescent="0.2">
      <c r="A14" t="s">
        <v>33</v>
      </c>
      <c r="B14">
        <v>0</v>
      </c>
      <c r="C14">
        <v>0</v>
      </c>
      <c r="D14">
        <v>6</v>
      </c>
      <c r="F14" s="38">
        <v>0.03</v>
      </c>
      <c r="H14" t="s">
        <v>41</v>
      </c>
    </row>
    <row r="15" spans="1:9" x14ac:dyDescent="0.2">
      <c r="A15" t="s">
        <v>33</v>
      </c>
      <c r="B15">
        <v>0</v>
      </c>
      <c r="C15">
        <v>0</v>
      </c>
      <c r="D15">
        <v>6</v>
      </c>
      <c r="F15" s="38">
        <v>0.03</v>
      </c>
      <c r="H15" t="s">
        <v>42</v>
      </c>
    </row>
    <row r="16" spans="1:9" x14ac:dyDescent="0.2">
      <c r="A16" t="s">
        <v>33</v>
      </c>
      <c r="B16">
        <v>0</v>
      </c>
      <c r="C16">
        <v>0</v>
      </c>
      <c r="D16">
        <v>6</v>
      </c>
      <c r="F16" s="38">
        <v>0.03</v>
      </c>
      <c r="H16" t="s">
        <v>43</v>
      </c>
    </row>
    <row r="17" spans="1:8" x14ac:dyDescent="0.2">
      <c r="A17" t="s">
        <v>33</v>
      </c>
      <c r="B17">
        <v>0</v>
      </c>
      <c r="C17">
        <v>0</v>
      </c>
      <c r="D17">
        <v>0</v>
      </c>
      <c r="F17" s="38">
        <v>0</v>
      </c>
      <c r="H17" t="s">
        <v>44</v>
      </c>
    </row>
    <row r="18" spans="1:8" x14ac:dyDescent="0.2">
      <c r="A18" t="s">
        <v>33</v>
      </c>
      <c r="B18">
        <v>0</v>
      </c>
      <c r="C18">
        <v>0</v>
      </c>
      <c r="D18">
        <v>3</v>
      </c>
      <c r="F18" s="38">
        <v>0.01</v>
      </c>
      <c r="H18" t="s">
        <v>45</v>
      </c>
    </row>
    <row r="19" spans="1:8" x14ac:dyDescent="0.2">
      <c r="A19" t="s">
        <v>33</v>
      </c>
      <c r="B19">
        <v>0</v>
      </c>
      <c r="C19">
        <v>0</v>
      </c>
      <c r="D19">
        <v>6</v>
      </c>
      <c r="F19" s="38">
        <v>0.03</v>
      </c>
      <c r="H19" t="s">
        <v>46</v>
      </c>
    </row>
    <row r="20" spans="1:8" x14ac:dyDescent="0.2">
      <c r="A20" t="s">
        <v>33</v>
      </c>
      <c r="B20">
        <v>0</v>
      </c>
      <c r="C20">
        <v>0</v>
      </c>
      <c r="D20">
        <v>3</v>
      </c>
      <c r="F20" s="38">
        <v>0.01</v>
      </c>
      <c r="H20" t="s">
        <v>47</v>
      </c>
    </row>
    <row r="21" spans="1:8" x14ac:dyDescent="0.2">
      <c r="A21" t="s">
        <v>33</v>
      </c>
      <c r="B21">
        <v>0</v>
      </c>
      <c r="C21">
        <v>0</v>
      </c>
      <c r="D21">
        <v>6</v>
      </c>
      <c r="F21" s="38">
        <v>0.03</v>
      </c>
      <c r="H21" t="s">
        <v>48</v>
      </c>
    </row>
    <row r="22" spans="1:8" x14ac:dyDescent="0.2">
      <c r="A22" t="s">
        <v>33</v>
      </c>
      <c r="B22">
        <v>0</v>
      </c>
      <c r="C22">
        <v>0</v>
      </c>
      <c r="D22">
        <v>3</v>
      </c>
      <c r="F22" s="38">
        <f>B22+C22/20+D22/240</f>
        <v>1.2500000000000001E-2</v>
      </c>
      <c r="H22" t="s">
        <v>255</v>
      </c>
    </row>
    <row r="23" spans="1:8" x14ac:dyDescent="0.2">
      <c r="A23" t="s">
        <v>33</v>
      </c>
      <c r="B23">
        <v>0</v>
      </c>
      <c r="C23">
        <v>8</v>
      </c>
      <c r="D23">
        <v>0</v>
      </c>
      <c r="F23" s="38">
        <f>B23+C23/20+D23/240</f>
        <v>0.4</v>
      </c>
      <c r="H23" t="s">
        <v>256</v>
      </c>
    </row>
    <row r="24" spans="1:8" x14ac:dyDescent="0.2">
      <c r="A24" t="s">
        <v>33</v>
      </c>
      <c r="F24" s="38">
        <f>SUM(F7:F22)</f>
        <v>0.41250000000000014</v>
      </c>
      <c r="G24" s="39">
        <f>F24-F23</f>
        <v>1.2500000000000122E-2</v>
      </c>
      <c r="H24" t="s">
        <v>95</v>
      </c>
    </row>
    <row r="26" spans="1:8" x14ac:dyDescent="0.2">
      <c r="A26" t="s">
        <v>50</v>
      </c>
      <c r="B26">
        <v>6</v>
      </c>
      <c r="C26">
        <v>2</v>
      </c>
      <c r="D26">
        <v>8.5</v>
      </c>
      <c r="F26" s="38">
        <v>6.14</v>
      </c>
      <c r="H26" t="s">
        <v>51</v>
      </c>
    </row>
    <row r="27" spans="1:8" x14ac:dyDescent="0.2">
      <c r="A27" t="s">
        <v>50</v>
      </c>
      <c r="F27" s="38">
        <v>6.14</v>
      </c>
      <c r="G27" s="39">
        <f>F27-F26</f>
        <v>0</v>
      </c>
      <c r="H27" t="s">
        <v>95</v>
      </c>
    </row>
    <row r="29" spans="1:8" x14ac:dyDescent="0.2">
      <c r="A29" t="s">
        <v>52</v>
      </c>
      <c r="B29">
        <v>0</v>
      </c>
      <c r="C29">
        <v>0</v>
      </c>
      <c r="D29">
        <v>4</v>
      </c>
      <c r="F29" s="38">
        <v>0.02</v>
      </c>
      <c r="H29" t="s">
        <v>53</v>
      </c>
    </row>
    <row r="30" spans="1:8" x14ac:dyDescent="0.2">
      <c r="A30" t="s">
        <v>52</v>
      </c>
      <c r="B30">
        <v>0</v>
      </c>
      <c r="C30">
        <v>4</v>
      </c>
      <c r="D30">
        <v>1</v>
      </c>
      <c r="F30" s="38">
        <v>0.2</v>
      </c>
      <c r="H30" t="s">
        <v>54</v>
      </c>
    </row>
    <row r="31" spans="1:8" x14ac:dyDescent="0.2">
      <c r="A31" t="s">
        <v>52</v>
      </c>
      <c r="B31">
        <v>0</v>
      </c>
      <c r="C31">
        <v>1</v>
      </c>
      <c r="D31">
        <v>0</v>
      </c>
      <c r="F31" s="38">
        <v>0.05</v>
      </c>
      <c r="H31" t="s">
        <v>55</v>
      </c>
    </row>
    <row r="32" spans="1:8" x14ac:dyDescent="0.2">
      <c r="A32" t="s">
        <v>52</v>
      </c>
      <c r="B32">
        <v>0</v>
      </c>
      <c r="C32">
        <v>0</v>
      </c>
      <c r="D32">
        <v>10</v>
      </c>
      <c r="F32" s="38">
        <v>0.04</v>
      </c>
      <c r="H32" t="s">
        <v>56</v>
      </c>
    </row>
    <row r="33" spans="1:8" x14ac:dyDescent="0.2">
      <c r="A33" t="s">
        <v>52</v>
      </c>
      <c r="B33">
        <v>0</v>
      </c>
      <c r="C33">
        <v>0</v>
      </c>
      <c r="D33">
        <v>8</v>
      </c>
      <c r="F33" s="38">
        <v>0.03</v>
      </c>
      <c r="H33" t="s">
        <v>57</v>
      </c>
    </row>
    <row r="34" spans="1:8" x14ac:dyDescent="0.2">
      <c r="A34" t="s">
        <v>52</v>
      </c>
      <c r="B34">
        <v>0</v>
      </c>
      <c r="C34">
        <v>6</v>
      </c>
      <c r="D34">
        <v>11</v>
      </c>
      <c r="F34" s="38">
        <v>0.35</v>
      </c>
      <c r="H34" t="s">
        <v>58</v>
      </c>
    </row>
    <row r="35" spans="1:8" x14ac:dyDescent="0.2">
      <c r="A35" t="s">
        <v>52</v>
      </c>
      <c r="F35" s="38">
        <v>0.34</v>
      </c>
      <c r="G35" s="39">
        <v>-9.9999999999999534E-3</v>
      </c>
      <c r="H35" t="s">
        <v>95</v>
      </c>
    </row>
    <row r="37" spans="1:8" x14ac:dyDescent="0.2">
      <c r="A37" t="s">
        <v>59</v>
      </c>
      <c r="B37">
        <v>0</v>
      </c>
      <c r="C37">
        <v>0</v>
      </c>
      <c r="D37">
        <v>3</v>
      </c>
      <c r="F37" s="38">
        <v>0.01</v>
      </c>
      <c r="H37" t="s">
        <v>60</v>
      </c>
    </row>
    <row r="38" spans="1:8" x14ac:dyDescent="0.2">
      <c r="A38" t="s">
        <v>59</v>
      </c>
      <c r="B38">
        <v>0</v>
      </c>
      <c r="C38">
        <v>0</v>
      </c>
      <c r="D38">
        <v>3</v>
      </c>
      <c r="F38" s="38">
        <v>0.01</v>
      </c>
      <c r="H38" t="s">
        <v>61</v>
      </c>
    </row>
    <row r="39" spans="1:8" x14ac:dyDescent="0.2">
      <c r="A39" t="s">
        <v>59</v>
      </c>
      <c r="B39">
        <v>0</v>
      </c>
      <c r="C39">
        <v>0</v>
      </c>
      <c r="D39">
        <v>3</v>
      </c>
      <c r="F39" s="38">
        <v>0.01</v>
      </c>
      <c r="H39" t="s">
        <v>62</v>
      </c>
    </row>
    <row r="40" spans="1:8" x14ac:dyDescent="0.2">
      <c r="A40" t="s">
        <v>59</v>
      </c>
      <c r="B40">
        <v>0</v>
      </c>
      <c r="C40">
        <v>0</v>
      </c>
      <c r="D40">
        <v>3</v>
      </c>
      <c r="F40" s="38">
        <v>0.01</v>
      </c>
      <c r="H40" t="s">
        <v>63</v>
      </c>
    </row>
    <row r="41" spans="1:8" x14ac:dyDescent="0.2">
      <c r="A41" t="s">
        <v>59</v>
      </c>
      <c r="B41">
        <v>0</v>
      </c>
      <c r="C41">
        <v>0</v>
      </c>
      <c r="D41">
        <v>3</v>
      </c>
      <c r="F41" s="38">
        <v>0.01</v>
      </c>
      <c r="H41" t="s">
        <v>64</v>
      </c>
    </row>
    <row r="42" spans="1:8" x14ac:dyDescent="0.2">
      <c r="A42" t="s">
        <v>59</v>
      </c>
      <c r="B42">
        <v>0</v>
      </c>
      <c r="C42">
        <v>0</v>
      </c>
      <c r="D42">
        <v>3</v>
      </c>
      <c r="F42" s="38">
        <v>0.01</v>
      </c>
      <c r="H42" t="s">
        <v>65</v>
      </c>
    </row>
    <row r="43" spans="1:8" x14ac:dyDescent="0.2">
      <c r="A43" t="s">
        <v>59</v>
      </c>
      <c r="B43">
        <v>0</v>
      </c>
      <c r="C43">
        <v>0</v>
      </c>
      <c r="D43">
        <v>3</v>
      </c>
      <c r="F43" s="38">
        <v>0.01</v>
      </c>
      <c r="H43" t="s">
        <v>66</v>
      </c>
    </row>
    <row r="44" spans="1:8" x14ac:dyDescent="0.2">
      <c r="A44" t="s">
        <v>59</v>
      </c>
      <c r="B44">
        <v>0</v>
      </c>
      <c r="C44">
        <v>0</v>
      </c>
      <c r="D44">
        <v>3</v>
      </c>
      <c r="F44" s="38">
        <v>0.01</v>
      </c>
      <c r="H44" t="s">
        <v>67</v>
      </c>
    </row>
    <row r="45" spans="1:8" x14ac:dyDescent="0.2">
      <c r="A45" t="s">
        <v>59</v>
      </c>
      <c r="B45">
        <v>0</v>
      </c>
      <c r="C45">
        <v>0</v>
      </c>
      <c r="D45">
        <v>3</v>
      </c>
      <c r="F45" s="38">
        <v>0.01</v>
      </c>
      <c r="H45" t="s">
        <v>68</v>
      </c>
    </row>
    <row r="46" spans="1:8" x14ac:dyDescent="0.2">
      <c r="A46" t="s">
        <v>59</v>
      </c>
      <c r="B46">
        <v>0</v>
      </c>
      <c r="C46">
        <v>0</v>
      </c>
      <c r="D46">
        <v>3</v>
      </c>
      <c r="F46" s="38">
        <v>0.01</v>
      </c>
      <c r="H46" t="s">
        <v>69</v>
      </c>
    </row>
    <row r="47" spans="1:8" x14ac:dyDescent="0.2">
      <c r="A47" t="s">
        <v>59</v>
      </c>
      <c r="B47">
        <v>0</v>
      </c>
      <c r="C47">
        <v>0</v>
      </c>
      <c r="D47">
        <v>3</v>
      </c>
      <c r="F47" s="38">
        <v>0.01</v>
      </c>
      <c r="H47" t="s">
        <v>70</v>
      </c>
    </row>
    <row r="48" spans="1:8" x14ac:dyDescent="0.2">
      <c r="A48" t="s">
        <v>59</v>
      </c>
      <c r="B48">
        <v>0</v>
      </c>
      <c r="C48">
        <v>0</v>
      </c>
      <c r="D48">
        <v>3</v>
      </c>
      <c r="F48" s="38">
        <v>0.01</v>
      </c>
      <c r="H48" t="s">
        <v>71</v>
      </c>
    </row>
    <row r="49" spans="1:8" x14ac:dyDescent="0.2">
      <c r="A49" t="s">
        <v>59</v>
      </c>
      <c r="B49">
        <v>0</v>
      </c>
      <c r="C49">
        <v>0</v>
      </c>
      <c r="D49">
        <v>3</v>
      </c>
      <c r="F49" s="38">
        <v>0.01</v>
      </c>
      <c r="H49" t="s">
        <v>72</v>
      </c>
    </row>
    <row r="50" spans="1:8" x14ac:dyDescent="0.2">
      <c r="A50" t="s">
        <v>59</v>
      </c>
      <c r="B50">
        <v>0</v>
      </c>
      <c r="C50">
        <v>0</v>
      </c>
      <c r="D50">
        <v>3</v>
      </c>
      <c r="F50" s="38">
        <v>0.01</v>
      </c>
      <c r="H50" t="s">
        <v>73</v>
      </c>
    </row>
    <row r="51" spans="1:8" x14ac:dyDescent="0.2">
      <c r="A51" t="s">
        <v>59</v>
      </c>
      <c r="B51">
        <v>0</v>
      </c>
      <c r="C51">
        <v>0</v>
      </c>
      <c r="D51">
        <v>3</v>
      </c>
      <c r="F51" s="38">
        <v>0.01</v>
      </c>
      <c r="H51" t="s">
        <v>74</v>
      </c>
    </row>
    <row r="52" spans="1:8" x14ac:dyDescent="0.2">
      <c r="A52" t="s">
        <v>59</v>
      </c>
      <c r="B52">
        <v>0</v>
      </c>
      <c r="C52">
        <v>0</v>
      </c>
      <c r="D52">
        <v>6</v>
      </c>
      <c r="F52" s="38">
        <v>0.03</v>
      </c>
      <c r="H52" t="s">
        <v>75</v>
      </c>
    </row>
    <row r="53" spans="1:8" x14ac:dyDescent="0.2">
      <c r="A53" t="s">
        <v>59</v>
      </c>
      <c r="B53">
        <v>0</v>
      </c>
      <c r="C53">
        <v>0</v>
      </c>
      <c r="D53">
        <v>6</v>
      </c>
      <c r="F53" s="38">
        <v>0.03</v>
      </c>
      <c r="H53" t="s">
        <v>76</v>
      </c>
    </row>
    <row r="54" spans="1:8" x14ac:dyDescent="0.2">
      <c r="A54" t="s">
        <v>59</v>
      </c>
      <c r="B54">
        <v>0</v>
      </c>
      <c r="C54">
        <v>0</v>
      </c>
      <c r="D54">
        <v>6</v>
      </c>
      <c r="F54" s="38">
        <v>0.03</v>
      </c>
      <c r="H54" t="s">
        <v>77</v>
      </c>
    </row>
    <row r="55" spans="1:8" x14ac:dyDescent="0.2">
      <c r="A55" t="s">
        <v>59</v>
      </c>
      <c r="B55">
        <v>0</v>
      </c>
      <c r="C55">
        <v>0</v>
      </c>
      <c r="D55">
        <v>6</v>
      </c>
      <c r="F55" s="38">
        <v>0.03</v>
      </c>
      <c r="H55" t="s">
        <v>78</v>
      </c>
    </row>
    <row r="56" spans="1:8" x14ac:dyDescent="0.2">
      <c r="A56" t="s">
        <v>59</v>
      </c>
      <c r="B56">
        <v>0</v>
      </c>
      <c r="C56">
        <v>0</v>
      </c>
      <c r="D56">
        <v>6</v>
      </c>
      <c r="F56" s="38">
        <v>0.03</v>
      </c>
      <c r="H56" t="s">
        <v>79</v>
      </c>
    </row>
    <row r="57" spans="1:8" x14ac:dyDescent="0.2">
      <c r="A57" t="s">
        <v>59</v>
      </c>
      <c r="B57">
        <v>0</v>
      </c>
      <c r="C57">
        <v>0</v>
      </c>
      <c r="D57">
        <v>6</v>
      </c>
      <c r="F57" s="38">
        <v>0.03</v>
      </c>
      <c r="H57" t="s">
        <v>80</v>
      </c>
    </row>
    <row r="58" spans="1:8" x14ac:dyDescent="0.2">
      <c r="A58" t="s">
        <v>59</v>
      </c>
      <c r="B58">
        <v>0</v>
      </c>
      <c r="C58">
        <v>0</v>
      </c>
      <c r="D58">
        <v>6</v>
      </c>
      <c r="F58" s="38">
        <v>0.03</v>
      </c>
      <c r="H58" t="s">
        <v>81</v>
      </c>
    </row>
    <row r="59" spans="1:8" x14ac:dyDescent="0.2">
      <c r="A59" t="s">
        <v>59</v>
      </c>
      <c r="B59">
        <v>0</v>
      </c>
      <c r="C59">
        <v>0</v>
      </c>
      <c r="D59">
        <v>6</v>
      </c>
      <c r="F59" s="38">
        <v>0.03</v>
      </c>
      <c r="H59" t="s">
        <v>82</v>
      </c>
    </row>
    <row r="60" spans="1:8" x14ac:dyDescent="0.2">
      <c r="A60" t="s">
        <v>59</v>
      </c>
      <c r="B60">
        <v>0</v>
      </c>
      <c r="C60">
        <v>0</v>
      </c>
      <c r="D60">
        <v>6</v>
      </c>
      <c r="F60" s="38">
        <v>0.03</v>
      </c>
      <c r="H60" t="s">
        <v>83</v>
      </c>
    </row>
    <row r="61" spans="1:8" x14ac:dyDescent="0.2">
      <c r="A61" t="s">
        <v>59</v>
      </c>
      <c r="B61">
        <v>0</v>
      </c>
      <c r="C61">
        <v>8</v>
      </c>
      <c r="D61">
        <v>3</v>
      </c>
      <c r="F61" s="38">
        <v>0.41</v>
      </c>
      <c r="H61" t="s">
        <v>84</v>
      </c>
    </row>
    <row r="62" spans="1:8" x14ac:dyDescent="0.2">
      <c r="A62" t="s">
        <v>59</v>
      </c>
      <c r="F62" s="38">
        <v>0.42000000000000021</v>
      </c>
      <c r="G62" s="39">
        <v>1.0000000000000229E-2</v>
      </c>
      <c r="H62" t="s">
        <v>95</v>
      </c>
    </row>
    <row r="64" spans="1:8" x14ac:dyDescent="0.2">
      <c r="A64" t="s">
        <v>87</v>
      </c>
      <c r="B64">
        <v>6</v>
      </c>
      <c r="C64">
        <v>17</v>
      </c>
      <c r="D64">
        <v>10.5</v>
      </c>
      <c r="F64" s="38">
        <v>6.89</v>
      </c>
      <c r="H64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7" sqref="E17"/>
    </sheetView>
  </sheetViews>
  <sheetFormatPr baseColWidth="10" defaultColWidth="8.83203125" defaultRowHeight="15" x14ac:dyDescent="0.2"/>
  <cols>
    <col min="1" max="1" width="18.33203125" bestFit="1" customWidth="1"/>
    <col min="7" max="7" width="8.83203125" style="32"/>
  </cols>
  <sheetData>
    <row r="1" spans="1:10" s="5" customFormat="1" ht="16" x14ac:dyDescent="0.2">
      <c r="A1" s="31" t="s">
        <v>257</v>
      </c>
      <c r="D1" s="42"/>
      <c r="E1" s="43"/>
      <c r="G1" s="44"/>
      <c r="I1" s="42"/>
      <c r="J1" s="42"/>
    </row>
    <row r="2" spans="1:10" ht="16" x14ac:dyDescent="0.2">
      <c r="A2" s="45" t="s">
        <v>0</v>
      </c>
      <c r="B2" s="46" t="s">
        <v>250</v>
      </c>
      <c r="C2" s="47" t="s">
        <v>251</v>
      </c>
      <c r="D2" s="47" t="s">
        <v>252</v>
      </c>
      <c r="E2" s="48"/>
      <c r="F2" s="49" t="s">
        <v>246</v>
      </c>
      <c r="G2" s="50" t="s">
        <v>94</v>
      </c>
      <c r="H2" s="45" t="s">
        <v>253</v>
      </c>
    </row>
    <row r="3" spans="1:10" x14ac:dyDescent="0.2">
      <c r="A3" t="s">
        <v>89</v>
      </c>
      <c r="B3">
        <v>0</v>
      </c>
      <c r="C3">
        <v>0</v>
      </c>
      <c r="D3">
        <v>0</v>
      </c>
      <c r="F3">
        <v>0</v>
      </c>
      <c r="H3" t="s">
        <v>90</v>
      </c>
    </row>
    <row r="4" spans="1:10" x14ac:dyDescent="0.2">
      <c r="A4" t="s">
        <v>89</v>
      </c>
      <c r="B4">
        <v>5</v>
      </c>
      <c r="C4">
        <v>0</v>
      </c>
      <c r="D4">
        <v>0</v>
      </c>
      <c r="F4">
        <v>5</v>
      </c>
      <c r="H4" t="s">
        <v>91</v>
      </c>
    </row>
    <row r="5" spans="1:10" x14ac:dyDescent="0.2">
      <c r="A5" t="s">
        <v>89</v>
      </c>
      <c r="F5">
        <v>5</v>
      </c>
      <c r="G5" s="32">
        <v>0</v>
      </c>
      <c r="H5" t="s">
        <v>95</v>
      </c>
    </row>
    <row r="7" spans="1:10" x14ac:dyDescent="0.2">
      <c r="A7" t="s">
        <v>92</v>
      </c>
      <c r="B7">
        <v>1</v>
      </c>
      <c r="C7">
        <v>17</v>
      </c>
      <c r="D7">
        <v>10.5</v>
      </c>
      <c r="F7">
        <v>1.89</v>
      </c>
      <c r="H7" t="s">
        <v>93</v>
      </c>
    </row>
    <row r="8" spans="1:10" x14ac:dyDescent="0.2">
      <c r="A8" t="s">
        <v>92</v>
      </c>
      <c r="F8">
        <v>1.89</v>
      </c>
      <c r="G8" s="32">
        <v>0</v>
      </c>
      <c r="H8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6"/>
  <sheetViews>
    <sheetView topLeftCell="A23" workbookViewId="0"/>
  </sheetViews>
  <sheetFormatPr baseColWidth="10" defaultColWidth="8.83203125" defaultRowHeight="15" x14ac:dyDescent="0.2"/>
  <cols>
    <col min="1" max="1" width="19.1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 t="s">
        <v>31</v>
      </c>
      <c r="C2">
        <v>6.54</v>
      </c>
      <c r="D2">
        <v>6</v>
      </c>
      <c r="E2">
        <v>10</v>
      </c>
      <c r="F2">
        <v>8.5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0" x14ac:dyDescent="0.2">
      <c r="A3" t="s">
        <v>30</v>
      </c>
      <c r="B3" t="s">
        <v>32</v>
      </c>
      <c r="C3">
        <v>6.54</v>
      </c>
      <c r="D3">
        <v>6</v>
      </c>
      <c r="E3">
        <v>10</v>
      </c>
      <c r="F3">
        <v>8.5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0" x14ac:dyDescent="0.2">
      <c r="A4" t="s">
        <v>33</v>
      </c>
      <c r="B4" t="s">
        <v>34</v>
      </c>
      <c r="C4">
        <v>0.04</v>
      </c>
      <c r="D4">
        <v>0</v>
      </c>
      <c r="E4">
        <v>0</v>
      </c>
      <c r="F4">
        <v>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0" x14ac:dyDescent="0.2">
      <c r="A5" t="s">
        <v>33</v>
      </c>
      <c r="B5" t="s">
        <v>35</v>
      </c>
      <c r="C5">
        <v>0.03</v>
      </c>
      <c r="D5">
        <v>0</v>
      </c>
      <c r="E5">
        <v>0</v>
      </c>
      <c r="F5">
        <v>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0" x14ac:dyDescent="0.2">
      <c r="A6" t="s">
        <v>33</v>
      </c>
      <c r="B6" t="s">
        <v>36</v>
      </c>
      <c r="C6">
        <v>0.03</v>
      </c>
      <c r="D6">
        <v>0</v>
      </c>
      <c r="E6">
        <v>0</v>
      </c>
      <c r="F6">
        <v>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0" x14ac:dyDescent="0.2">
      <c r="A7" t="s">
        <v>33</v>
      </c>
      <c r="B7" t="s">
        <v>37</v>
      </c>
      <c r="C7">
        <v>0.01</v>
      </c>
      <c r="D7">
        <v>0</v>
      </c>
      <c r="E7">
        <v>0</v>
      </c>
      <c r="F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0" x14ac:dyDescent="0.2">
      <c r="A8" t="s">
        <v>33</v>
      </c>
      <c r="B8" t="s">
        <v>38</v>
      </c>
      <c r="C8">
        <v>0.03</v>
      </c>
      <c r="D8">
        <v>0</v>
      </c>
      <c r="E8">
        <v>0</v>
      </c>
      <c r="F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0" x14ac:dyDescent="0.2">
      <c r="A9" t="s">
        <v>33</v>
      </c>
      <c r="B9" t="s">
        <v>39</v>
      </c>
      <c r="C9">
        <v>0.04</v>
      </c>
      <c r="D9">
        <v>0</v>
      </c>
      <c r="E9">
        <v>0</v>
      </c>
      <c r="F9">
        <v>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0" x14ac:dyDescent="0.2">
      <c r="A10" t="s">
        <v>33</v>
      </c>
      <c r="B10" t="s">
        <v>40</v>
      </c>
      <c r="C10">
        <v>0.05</v>
      </c>
      <c r="D10">
        <v>0</v>
      </c>
      <c r="E10">
        <v>1</v>
      </c>
      <c r="F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0" x14ac:dyDescent="0.2">
      <c r="A11" t="s">
        <v>33</v>
      </c>
      <c r="B11" t="s">
        <v>41</v>
      </c>
      <c r="C11">
        <v>0.03</v>
      </c>
      <c r="D11">
        <v>0</v>
      </c>
      <c r="E11">
        <v>0</v>
      </c>
      <c r="F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0" x14ac:dyDescent="0.2">
      <c r="A12" t="s">
        <v>33</v>
      </c>
      <c r="B12" t="s">
        <v>42</v>
      </c>
      <c r="C12">
        <v>0.03</v>
      </c>
      <c r="D12">
        <v>0</v>
      </c>
      <c r="E12">
        <v>0</v>
      </c>
      <c r="F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0" x14ac:dyDescent="0.2">
      <c r="A13" t="s">
        <v>33</v>
      </c>
      <c r="B13" t="s">
        <v>43</v>
      </c>
      <c r="C13">
        <v>0.03</v>
      </c>
      <c r="D13">
        <v>0</v>
      </c>
      <c r="E13">
        <v>0</v>
      </c>
      <c r="F13">
        <v>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0" x14ac:dyDescent="0.2">
      <c r="A14" t="s">
        <v>33</v>
      </c>
      <c r="B14" t="s">
        <v>44</v>
      </c>
      <c r="C14">
        <v>0</v>
      </c>
      <c r="D14">
        <v>0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0" x14ac:dyDescent="0.2">
      <c r="A15" t="s">
        <v>33</v>
      </c>
      <c r="B15" t="s">
        <v>45</v>
      </c>
      <c r="C15">
        <v>0.01</v>
      </c>
      <c r="D15">
        <v>0</v>
      </c>
      <c r="E15">
        <v>0</v>
      </c>
      <c r="F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0" x14ac:dyDescent="0.2">
      <c r="A16" t="s">
        <v>33</v>
      </c>
      <c r="B16" t="s">
        <v>46</v>
      </c>
      <c r="C16">
        <v>0.03</v>
      </c>
      <c r="D16">
        <v>0</v>
      </c>
      <c r="E16">
        <v>0</v>
      </c>
      <c r="F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33</v>
      </c>
      <c r="B17" t="s">
        <v>47</v>
      </c>
      <c r="C17">
        <v>0.01</v>
      </c>
      <c r="D17">
        <v>0</v>
      </c>
      <c r="E17">
        <v>0</v>
      </c>
      <c r="F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33</v>
      </c>
      <c r="B18" t="s">
        <v>48</v>
      </c>
      <c r="C18">
        <v>0.03</v>
      </c>
      <c r="D18">
        <v>0</v>
      </c>
      <c r="E18">
        <v>0</v>
      </c>
      <c r="F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33</v>
      </c>
      <c r="B19" t="s">
        <v>49</v>
      </c>
      <c r="C19">
        <v>0.41</v>
      </c>
      <c r="D19">
        <v>0</v>
      </c>
      <c r="E19">
        <v>8</v>
      </c>
      <c r="F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50</v>
      </c>
      <c r="B20" t="s">
        <v>51</v>
      </c>
      <c r="C20">
        <v>6.14</v>
      </c>
      <c r="D20">
        <v>6</v>
      </c>
      <c r="E20">
        <v>2</v>
      </c>
      <c r="F20">
        <v>8.5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52</v>
      </c>
      <c r="B21" t="s">
        <v>53</v>
      </c>
      <c r="C21">
        <v>0.02</v>
      </c>
      <c r="D21">
        <v>0</v>
      </c>
      <c r="E21">
        <v>0</v>
      </c>
      <c r="F21"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52</v>
      </c>
      <c r="B22" t="s">
        <v>54</v>
      </c>
      <c r="C22">
        <v>0.2</v>
      </c>
      <c r="D22">
        <v>0</v>
      </c>
      <c r="E22">
        <v>4</v>
      </c>
      <c r="F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52</v>
      </c>
      <c r="B23" t="s">
        <v>55</v>
      </c>
      <c r="C23">
        <v>0.05</v>
      </c>
      <c r="D23">
        <v>0</v>
      </c>
      <c r="E23">
        <v>1</v>
      </c>
      <c r="F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52</v>
      </c>
      <c r="B24" t="s">
        <v>56</v>
      </c>
      <c r="C24">
        <v>0.04</v>
      </c>
      <c r="D24">
        <v>0</v>
      </c>
      <c r="E24">
        <v>0</v>
      </c>
      <c r="F24">
        <v>10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52</v>
      </c>
      <c r="B25" t="s">
        <v>57</v>
      </c>
      <c r="C25">
        <v>0.03</v>
      </c>
      <c r="D25">
        <v>0</v>
      </c>
      <c r="E25">
        <v>0</v>
      </c>
      <c r="F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52</v>
      </c>
      <c r="B26" t="s">
        <v>58</v>
      </c>
      <c r="C26">
        <v>0.35</v>
      </c>
      <c r="D26">
        <v>0</v>
      </c>
      <c r="E26">
        <v>6</v>
      </c>
      <c r="F26">
        <v>11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59</v>
      </c>
      <c r="B27" t="s">
        <v>60</v>
      </c>
      <c r="C27">
        <v>0.01</v>
      </c>
      <c r="D27">
        <v>0</v>
      </c>
      <c r="E27">
        <v>0</v>
      </c>
      <c r="F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59</v>
      </c>
      <c r="B28" t="s">
        <v>61</v>
      </c>
      <c r="C28">
        <v>0.01</v>
      </c>
      <c r="D28">
        <v>0</v>
      </c>
      <c r="E28">
        <v>0</v>
      </c>
      <c r="F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59</v>
      </c>
      <c r="B29" t="s">
        <v>62</v>
      </c>
      <c r="C29">
        <v>0.01</v>
      </c>
      <c r="D29">
        <v>0</v>
      </c>
      <c r="E29">
        <v>0</v>
      </c>
      <c r="F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59</v>
      </c>
      <c r="B30" t="s">
        <v>63</v>
      </c>
      <c r="C30">
        <v>0.01</v>
      </c>
      <c r="D30">
        <v>0</v>
      </c>
      <c r="E30">
        <v>0</v>
      </c>
      <c r="F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59</v>
      </c>
      <c r="B31" t="s">
        <v>64</v>
      </c>
      <c r="C31">
        <v>0.01</v>
      </c>
      <c r="D31">
        <v>0</v>
      </c>
      <c r="E31">
        <v>0</v>
      </c>
      <c r="F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59</v>
      </c>
      <c r="B32" t="s">
        <v>65</v>
      </c>
      <c r="C32">
        <v>0.01</v>
      </c>
      <c r="D32">
        <v>0</v>
      </c>
      <c r="E32">
        <v>0</v>
      </c>
      <c r="F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59</v>
      </c>
      <c r="B33" t="s">
        <v>66</v>
      </c>
      <c r="C33">
        <v>0.01</v>
      </c>
      <c r="D33">
        <v>0</v>
      </c>
      <c r="E33">
        <v>0</v>
      </c>
      <c r="F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59</v>
      </c>
      <c r="B34" t="s">
        <v>67</v>
      </c>
      <c r="C34">
        <v>0.01</v>
      </c>
      <c r="D34">
        <v>0</v>
      </c>
      <c r="E34">
        <v>0</v>
      </c>
      <c r="F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59</v>
      </c>
      <c r="B35" t="s">
        <v>68</v>
      </c>
      <c r="C35">
        <v>0.01</v>
      </c>
      <c r="D35">
        <v>0</v>
      </c>
      <c r="E35">
        <v>0</v>
      </c>
      <c r="F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59</v>
      </c>
      <c r="B36" t="s">
        <v>69</v>
      </c>
      <c r="C36">
        <v>0.01</v>
      </c>
      <c r="D36">
        <v>0</v>
      </c>
      <c r="E36">
        <v>0</v>
      </c>
      <c r="F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59</v>
      </c>
      <c r="B37" t="s">
        <v>70</v>
      </c>
      <c r="C37">
        <v>0.01</v>
      </c>
      <c r="D37">
        <v>0</v>
      </c>
      <c r="E37">
        <v>0</v>
      </c>
      <c r="F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59</v>
      </c>
      <c r="B38" t="s">
        <v>71</v>
      </c>
      <c r="C38">
        <v>0.01</v>
      </c>
      <c r="D38">
        <v>0</v>
      </c>
      <c r="E38">
        <v>0</v>
      </c>
      <c r="F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59</v>
      </c>
      <c r="B39" t="s">
        <v>72</v>
      </c>
      <c r="C39">
        <v>0.01</v>
      </c>
      <c r="D39">
        <v>0</v>
      </c>
      <c r="E39">
        <v>0</v>
      </c>
      <c r="F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59</v>
      </c>
      <c r="B40" t="s">
        <v>73</v>
      </c>
      <c r="C40">
        <v>0.01</v>
      </c>
      <c r="D40">
        <v>0</v>
      </c>
      <c r="E40">
        <v>0</v>
      </c>
      <c r="F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59</v>
      </c>
      <c r="B41" t="s">
        <v>74</v>
      </c>
      <c r="C41">
        <v>0.01</v>
      </c>
      <c r="D41">
        <v>0</v>
      </c>
      <c r="E41">
        <v>0</v>
      </c>
      <c r="F41">
        <v>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59</v>
      </c>
      <c r="B42" t="s">
        <v>75</v>
      </c>
      <c r="C42">
        <v>0.03</v>
      </c>
      <c r="D42">
        <v>0</v>
      </c>
      <c r="E42">
        <v>0</v>
      </c>
      <c r="F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59</v>
      </c>
      <c r="B43" t="s">
        <v>76</v>
      </c>
      <c r="C43">
        <v>0.03</v>
      </c>
      <c r="D43">
        <v>0</v>
      </c>
      <c r="E43">
        <v>0</v>
      </c>
      <c r="F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59</v>
      </c>
      <c r="B44" t="s">
        <v>77</v>
      </c>
      <c r="C44">
        <v>0.03</v>
      </c>
      <c r="D44">
        <v>0</v>
      </c>
      <c r="E44">
        <v>0</v>
      </c>
      <c r="F44">
        <v>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59</v>
      </c>
      <c r="B45" t="s">
        <v>78</v>
      </c>
      <c r="C45">
        <v>0.03</v>
      </c>
      <c r="D45">
        <v>0</v>
      </c>
      <c r="E45">
        <v>0</v>
      </c>
      <c r="F45">
        <v>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59</v>
      </c>
      <c r="B46" t="s">
        <v>79</v>
      </c>
      <c r="C46">
        <v>0.03</v>
      </c>
      <c r="D46">
        <v>0</v>
      </c>
      <c r="E46">
        <v>0</v>
      </c>
      <c r="F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59</v>
      </c>
      <c r="B47" t="s">
        <v>80</v>
      </c>
      <c r="C47">
        <v>0.03</v>
      </c>
      <c r="D47">
        <v>0</v>
      </c>
      <c r="E47">
        <v>0</v>
      </c>
      <c r="F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59</v>
      </c>
      <c r="B48" t="s">
        <v>81</v>
      </c>
      <c r="C48">
        <v>0.03</v>
      </c>
      <c r="D48">
        <v>0</v>
      </c>
      <c r="E48">
        <v>0</v>
      </c>
      <c r="F48">
        <v>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59</v>
      </c>
      <c r="B49" t="s">
        <v>82</v>
      </c>
      <c r="C49">
        <v>0.03</v>
      </c>
      <c r="D49">
        <v>0</v>
      </c>
      <c r="E49">
        <v>0</v>
      </c>
      <c r="F49">
        <v>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59</v>
      </c>
      <c r="B50" t="s">
        <v>83</v>
      </c>
      <c r="C50">
        <v>0.03</v>
      </c>
      <c r="D50">
        <v>0</v>
      </c>
      <c r="E50">
        <v>0</v>
      </c>
      <c r="F50">
        <v>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59</v>
      </c>
      <c r="B51" t="s">
        <v>84</v>
      </c>
      <c r="C51">
        <v>0.41</v>
      </c>
      <c r="D51">
        <v>0</v>
      </c>
      <c r="E51">
        <v>8</v>
      </c>
      <c r="F51">
        <v>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85</v>
      </c>
      <c r="B52" t="s">
        <v>86</v>
      </c>
      <c r="C52">
        <v>0.76</v>
      </c>
      <c r="D52">
        <v>0</v>
      </c>
      <c r="E52">
        <v>15</v>
      </c>
      <c r="F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87</v>
      </c>
      <c r="B53" t="s">
        <v>88</v>
      </c>
      <c r="C53">
        <v>6.89</v>
      </c>
      <c r="D53">
        <v>6</v>
      </c>
      <c r="E53">
        <v>17</v>
      </c>
      <c r="F53">
        <v>10.5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89</v>
      </c>
      <c r="B54" t="s">
        <v>90</v>
      </c>
      <c r="C54">
        <v>0</v>
      </c>
      <c r="D54">
        <v>0</v>
      </c>
      <c r="E54">
        <v>0</v>
      </c>
      <c r="F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89</v>
      </c>
      <c r="B55" t="s">
        <v>91</v>
      </c>
      <c r="C55">
        <v>5</v>
      </c>
      <c r="D55">
        <v>5</v>
      </c>
      <c r="E55">
        <v>0</v>
      </c>
      <c r="F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92</v>
      </c>
      <c r="B56" t="s">
        <v>93</v>
      </c>
      <c r="C56">
        <v>1.89</v>
      </c>
      <c r="D56">
        <v>1</v>
      </c>
      <c r="E56">
        <v>17</v>
      </c>
      <c r="F56">
        <v>10.5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Receipts</vt:lpstr>
      <vt:lpstr>Expenses</vt:lpstr>
      <vt:lpstr>Issues of the Grange</vt:lpstr>
      <vt:lpstr>Issues of the Mills</vt:lpstr>
      <vt:lpstr>Stock</vt:lpstr>
      <vt:lpstr>Prices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2024-04-19T11:10:13Z</dcterms:created>
  <dcterms:modified xsi:type="dcterms:W3CDTF">2025-08-28T13:36:20Z</dcterms:modified>
</cp:coreProperties>
</file>
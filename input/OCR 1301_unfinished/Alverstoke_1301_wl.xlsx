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99ECB13D-D44F-884B-92C0-99081481D9AB}" xr6:coauthVersionLast="47" xr6:coauthVersionMax="47" xr10:uidLastSave="{00000000-0000-0000-0000-000000000000}"/>
  <bookViews>
    <workbookView xWindow="7700" yWindow="500" windowWidth="18320" windowHeight="16580" xr2:uid="{00000000-000D-0000-FFFF-FFFF00000000}"/>
  </bookViews>
  <sheets>
    <sheet name="Overview" sheetId="4" r:id="rId1"/>
    <sheet name="Receipts" sheetId="2" r:id="rId2"/>
    <sheet name="Expenses" sheetId="3" r:id="rId3"/>
    <sheet name="Issues of the Grange" sheetId="5" r:id="rId4"/>
    <sheet name="Issues of the Mills" sheetId="6" r:id="rId5"/>
    <sheet name="Stock" sheetId="7" r:id="rId6"/>
    <sheet name="raw data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0" i="4" l="1"/>
  <c r="B177" i="4"/>
  <c r="B179" i="4"/>
  <c r="B47" i="4"/>
  <c r="F15" i="3"/>
  <c r="B44" i="4"/>
  <c r="C27" i="4"/>
  <c r="B25" i="4"/>
  <c r="B28" i="4"/>
  <c r="G120" i="2"/>
  <c r="F121" i="2"/>
  <c r="F120" i="2"/>
  <c r="B27" i="4"/>
  <c r="B22" i="4"/>
  <c r="B7" i="4"/>
  <c r="B6" i="4"/>
  <c r="B15" i="4"/>
  <c r="B5" i="4"/>
  <c r="B4" i="4"/>
  <c r="G14" i="2"/>
  <c r="F14" i="2"/>
  <c r="F11" i="2"/>
  <c r="F12" i="2"/>
  <c r="F13" i="2"/>
  <c r="F10" i="2"/>
  <c r="G5" i="2"/>
</calcChain>
</file>

<file path=xl/sharedStrings.xml><?xml version="1.0" encoding="utf-8"?>
<sst xmlns="http://schemas.openxmlformats.org/spreadsheetml/2006/main" count="695" uniqueCount="328">
  <si>
    <t>Heading</t>
  </si>
  <si>
    <t>Sentence</t>
  </si>
  <si>
    <t>Total in Pounds</t>
  </si>
  <si>
    <t>Pounds</t>
  </si>
  <si>
    <t>Shillings</t>
  </si>
  <si>
    <t>Pence</t>
  </si>
  <si>
    <t>Corn</t>
  </si>
  <si>
    <t>Total Quarters Except 1</t>
  </si>
  <si>
    <t>Total Bushels Except 1</t>
  </si>
  <si>
    <t>Total Corn Cross-Check</t>
  </si>
  <si>
    <t>Total Corn Manorial Account</t>
  </si>
  <si>
    <t>Corn Quantity Error</t>
  </si>
  <si>
    <t>Quarters 1</t>
  </si>
  <si>
    <t>Bushels 1</t>
  </si>
  <si>
    <t>shilling a quarter 1</t>
  </si>
  <si>
    <t>pence a quarter 1</t>
  </si>
  <si>
    <t>shilling a quarter 2</t>
  </si>
  <si>
    <t>pence a quarter 2</t>
  </si>
  <si>
    <t>shilling a quarter 3</t>
  </si>
  <si>
    <t>pence a quarter 3</t>
  </si>
  <si>
    <t>shilling a quarter 4</t>
  </si>
  <si>
    <t>pence a quarter 4</t>
  </si>
  <si>
    <t>shilling a bushel 1</t>
  </si>
  <si>
    <t>pence a bushel 1</t>
  </si>
  <si>
    <t>shilling a bushel 2</t>
  </si>
  <si>
    <t>pence a bushel 2</t>
  </si>
  <si>
    <t>shilling a bushel 3</t>
  </si>
  <si>
    <t>pence a bushel 3</t>
  </si>
  <si>
    <t>shilling a bushel 4</t>
  </si>
  <si>
    <t>pence a bushel 4</t>
  </si>
  <si>
    <t>Arrears</t>
  </si>
  <si>
    <t>John de Forton', bailiff, renders account for £2 2 shilling 7pence of arrears from the previous year.</t>
  </si>
  <si>
    <t>All delivered to Geoffrey, treasurer of Wolvesey, by 1 tally, and he is quit.</t>
  </si>
  <si>
    <t>Rents</t>
  </si>
  <si>
    <t>The same renders account for £13 for rents of assize at All Saints (1 November).</t>
  </si>
  <si>
    <t>£13 at the Purification (2 February).</t>
  </si>
  <si>
    <t>£13 at the Invention of the Cross (3 May).</t>
  </si>
  <si>
    <t>£14 7.5d at Michaelmas (29 September).</t>
  </si>
  <si>
    <t>10 shilling from the rent of Robert de Chark at the same feast.</t>
  </si>
  <si>
    <t>8pence from John Aze and Alexander Cred' for 1 marsh and 2 water-channels at the same feast.</t>
  </si>
  <si>
    <t>Total, £53 11 shilling 3.5pence</t>
  </si>
  <si>
    <t>Farm of the mill</t>
  </si>
  <si>
    <t>The same renders account for £2 10 shilling for the farm of the mill of Forton'.</t>
  </si>
  <si>
    <t>Total, £2 10 shilling</t>
  </si>
  <si>
    <t>Recognizance</t>
  </si>
  <si>
    <t>The same renders account for 1pence for the annual recognizance of Adam Guldebrigg'.</t>
  </si>
  <si>
    <t>Total, 1pence</t>
  </si>
  <si>
    <t>Reliefs</t>
  </si>
  <si>
    <t>The same renders account for 13 shilling 3pence from John le Pope for relief for the lands and tenements which belonged to William Pope his father.</t>
  </si>
  <si>
    <t>1 shilling from Joan le Pope for relief for the lands which belonged to Joan her mother.</t>
  </si>
  <si>
    <t>13 shilling 6pence from Bartholomew Hendel for relief for the lands and tenements which belonged to William Hendel his father.</t>
  </si>
  <si>
    <t>8pence from William Molendinarius for relief for the lands and tenements which belonged to John Molendinarius his brother.</t>
  </si>
  <si>
    <t>2pence from William Arnold for relief for 1 half-acre (aulve) of land by surrender of John le Bege.</t>
  </si>
  <si>
    <t>2pence from Richard Arnold for relief for 1 half-acre of land by surrender of Thomas Bild'.</t>
  </si>
  <si>
    <t>1pence from Richard Piris for relief for the land which belonged to Peter Randoldf his father.</t>
  </si>
  <si>
    <t>4pence from Agnes and Alice Bild' for relief for the land which belonged to Adam Bild' their father.</t>
  </si>
  <si>
    <t>Total, £1 9 shilling 2pence</t>
  </si>
  <si>
    <t>Perquisites</t>
  </si>
  <si>
    <t>The same renders account for 6pence from Sarah de Forton' for breaking the assize of ale.</t>
  </si>
  <si>
    <t>6pence from William Page for the same.</t>
  </si>
  <si>
    <t>3pence from John Spark' for the same.</t>
  </si>
  <si>
    <t>6pence from John Aubr' for the same.</t>
  </si>
  <si>
    <t>3pence from Robert Clericus for the same.</t>
  </si>
  <si>
    <t>3pence from John Walt' for the same.</t>
  </si>
  <si>
    <t>6pence from the relict of Edward for the same.</t>
  </si>
  <si>
    <t>6pence from John Fontayn for the same.</t>
  </si>
  <si>
    <t>6pence from Henry Bissop for the same.</t>
  </si>
  <si>
    <t>1 shilling from William Lote for the same.</t>
  </si>
  <si>
    <t>6pence from William Unwyn' for the same.</t>
  </si>
  <si>
    <t>6pence from John Bege for the same.</t>
  </si>
  <si>
    <t>6pence from Roger Alward for the same.</t>
  </si>
  <si>
    <t>1 shilling from Robert Ricard for the same.</t>
  </si>
  <si>
    <t>6pence from Richard de Alnet' for the same.</t>
  </si>
  <si>
    <t>6pence from the relict of Pope for the same.</t>
  </si>
  <si>
    <t>6pence from Matilda Pope for the same.</t>
  </si>
  <si>
    <t>1 shilling from Walter Lont' for the same.</t>
  </si>
  <si>
    <t>3pence from Henry Arnold' for the same.</t>
  </si>
  <si>
    <t>3pence from Peter Avice for the same.</t>
  </si>
  <si>
    <t>3pence from Peter Speg for the same.</t>
  </si>
  <si>
    <t>1 shilling from Thomas Pell' for the same.</t>
  </si>
  <si>
    <t>3pence from Henry Soun for the same.</t>
  </si>
  <si>
    <t>6pence from William Eston for the same.</t>
  </si>
  <si>
    <t>6pence from William Bendel for the same.</t>
  </si>
  <si>
    <t>6pence from William Weston for the same.</t>
  </si>
  <si>
    <t>3pence from John Bartholomew for the same.</t>
  </si>
  <si>
    <t>1 shilling from William de Bury for the same.</t>
  </si>
  <si>
    <t>6pence from John Wytlot for the same.</t>
  </si>
  <si>
    <t>3pence from Richard de Bury for the same.</t>
  </si>
  <si>
    <t>3pence from Alexander de Ponte for shedding the blood of Richard Stonman.</t>
  </si>
  <si>
    <t>3pence from John Mansir for the same.</t>
  </si>
  <si>
    <t>3pence from John Halygod for transgression against John Coc.</t>
  </si>
  <si>
    <t>6pence from Richard Age for raising the hue against William Soun.</t>
  </si>
  <si>
    <t>3pence from John Rolf for licence to agree with Richard Barbir.</t>
  </si>
  <si>
    <t>3pence from Robert Ricard for transgression against John de Forton.</t>
  </si>
  <si>
    <t>3pence from Richard Brok for transgression against the same.</t>
  </si>
  <si>
    <t>3pence from John de Ponte for transgression against Richard Stonman.</t>
  </si>
  <si>
    <t>3pence from Alexander de Ponte for the same.</t>
  </si>
  <si>
    <t>3pence from John Rolf for licence to agree with Amice Rolf.</t>
  </si>
  <si>
    <t>3pence from Robert de Burga because he is not proceeding against Robert de Burg'.</t>
  </si>
  <si>
    <t>1 shilling from John Aubroy for breaking the assize of ale.</t>
  </si>
  <si>
    <t>3pence from Matilda de la Don' for the same.</t>
  </si>
  <si>
    <t>9pence from John Walt' for the same.</t>
  </si>
  <si>
    <t>1 shilling from Matilda Edward for the same.</t>
  </si>
  <si>
    <t>3pence from John Fontayn for the same.</t>
  </si>
  <si>
    <t>3pence from Henry Bissop for the same.</t>
  </si>
  <si>
    <t>6pence from Roger le Suther' for the same.</t>
  </si>
  <si>
    <t>1 shilling from William_Lote for the same.</t>
  </si>
  <si>
    <t>6pence from William de Campo for the same.</t>
  </si>
  <si>
    <t>1 shilling from Robert Ricard' for the same.</t>
  </si>
  <si>
    <t>1 shilling from lsabel le Pope for the same.</t>
  </si>
  <si>
    <t>1 shilling from Matilda le Pope for the same.</t>
  </si>
  <si>
    <t>1 shilling from Walter Lonte for the same.</t>
  </si>
  <si>
    <t>1 shilling from William Molendinarius for the same.</t>
  </si>
  <si>
    <t>1 shilling from Henry Soun for the same.</t>
  </si>
  <si>
    <t>1 shilling from Thomas Pellepar' for the same.</t>
  </si>
  <si>
    <t>1 shilling from William Eston for the same.</t>
  </si>
  <si>
    <t>1 shilling from Maurice Durant for the same.</t>
  </si>
  <si>
    <t>6pence from Alice Hervy for the same.</t>
  </si>
  <si>
    <t>3pence from John Som' for transgression against John Bege.</t>
  </si>
  <si>
    <t>6pence from John Rolg for transgression against Alan Randolf.</t>
  </si>
  <si>
    <t>3pence from Bartholomew Hendel for transgression against Alexander de Ponte.</t>
  </si>
  <si>
    <t>6pence from Alexander Cred' for transgression against John Prevet.</t>
  </si>
  <si>
    <t>2pence from Alexander and Laura bis wife for transgression against Richard le Deken'.</t>
  </si>
  <si>
    <t>3pence from Henry de Burga for transgression against John Kewen.</t>
  </si>
  <si>
    <t>4pence from Richard le Child for licence to agree with Ella Gill'.</t>
  </si>
  <si>
    <t>3pence from John Rolf for licence to agree.</t>
  </si>
  <si>
    <t>3pence from the same John for licence to agree.</t>
  </si>
  <si>
    <t>6pence from John Som‘ for transgression against Richard Barbur.</t>
  </si>
  <si>
    <t>3pence from John Bege for transgression against the same Richard.</t>
  </si>
  <si>
    <t>3pence from William de Bury for transgression against John le Tayllor.</t>
  </si>
  <si>
    <t>3pence from Robert Cissor rforl Iicence to agree.</t>
  </si>
  <si>
    <t>· 3pence from Alice Arnold for licence to agree.</t>
  </si>
  <si>
    <t>6pence from Simon Faber for licence to agree with John Lokyar'.</t>
  </si>
  <si>
    <t>3pence from Henry de Burga for licence to agree with Walter Aylward'.</t>
  </si>
  <si>
    <t>6pence from William Unwyn' because he is proceeding against Thomas Aze.</t>
  </si>
  <si>
    <t>6pence from other small perquisites.</t>
  </si>
  <si>
    <t>Total, £2 2 shilling 6pence</t>
  </si>
  <si>
    <t>Total of both</t>
  </si>
  <si>
    <t>Total of both, £3 11 shilling 8pence</t>
  </si>
  <si>
    <t>Total of all receipts</t>
  </si>
  <si>
    <t>Total of all receipts, £59 13 shilling 0.5pence</t>
  </si>
  <si>
    <t>Expenses</t>
  </si>
  <si>
    <t>In expenses of the steward for the tourns of Martinmas and Hockday by 2 tallies, 9 shilling 1.25pence</t>
  </si>
  <si>
    <t>And he owes,</t>
  </si>
  <si>
    <t>And he owes, £59 3 shilling 5.25pence</t>
  </si>
  <si>
    <t>Delivered to Sir Geoffrey, treasurer of Wolvesey, by 1 tally, £52 15 shilling</t>
  </si>
  <si>
    <t>And thus he owes clear</t>
  </si>
  <si>
    <t>And thus he owes clear, £6 8 shilling 5.25pence</t>
  </si>
  <si>
    <t>Error</t>
  </si>
  <si>
    <t>Total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</si>
  <si>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</si>
  <si>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</si>
  <si>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</si>
  <si>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</si>
  <si>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</si>
  <si>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</si>
  <si>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Defaults of rent through the pestilence total</t>
  </si>
  <si>
    <t>Cotlands defaults total</t>
  </si>
  <si>
    <t>Cotlands total</t>
  </si>
  <si>
    <t>Total of quittances and defaults of rent total</t>
  </si>
  <si>
    <t>Total of rents remaining clear total</t>
  </si>
  <si>
    <t>Farms total</t>
  </si>
  <si>
    <t>Annual recognizances total</t>
  </si>
  <si>
    <t>Issues of the Manor total</t>
  </si>
  <si>
    <t>Issues of the tenements in the lord's hands total</t>
  </si>
  <si>
    <t>Sale of labour services total</t>
  </si>
  <si>
    <t>Sale of corn total</t>
  </si>
  <si>
    <t>Entry and marriage fines total</t>
  </si>
  <si>
    <t>Pleas &amp; perquisites total</t>
  </si>
  <si>
    <t>Forfeited chattels total</t>
  </si>
  <si>
    <t>Farm of the demesne land total</t>
  </si>
  <si>
    <t>Total of all receipts (calculated here)</t>
  </si>
  <si>
    <t>Total of all receipts (calculated here) incl arrears</t>
  </si>
  <si>
    <t>Total recorded in the accounts excl. arrears</t>
  </si>
  <si>
    <t>Total recorded in the accounts incl. arrears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</si>
  <si>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</si>
  <si>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</si>
  <si>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</si>
  <si>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</si>
  <si>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</si>
  <si>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</si>
  <si>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</si>
  <si>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</si>
  <si>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</si>
  <si>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Barley expenses</t>
  </si>
  <si>
    <t>Expenses of the harvest total</t>
  </si>
  <si>
    <t>Necessary expenses</t>
  </si>
  <si>
    <t>Wages of the bailiff</t>
  </si>
  <si>
    <t>Steward's expenses total</t>
  </si>
  <si>
    <t>Annual fees</t>
  </si>
  <si>
    <t>Total of all expenses per account</t>
  </si>
  <si>
    <t>Total of all expenses (calculated here)</t>
  </si>
  <si>
    <t>Total fixed investment</t>
  </si>
  <si>
    <t>Total Demesne fixed investment</t>
  </si>
  <si>
    <t>Owed by the reeve</t>
  </si>
  <si>
    <t>From accounts</t>
  </si>
  <si>
    <t>Allowances</t>
  </si>
  <si>
    <t>Cash deliveries</t>
  </si>
  <si>
    <t>Sum of the above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</si>
  <si>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</si>
  <si>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</si>
  <si>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</si>
  <si>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</si>
  <si>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</si>
  <si>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Wheat</t>
  </si>
  <si>
    <t>Rye</t>
  </si>
  <si>
    <t>Dredge</t>
  </si>
  <si>
    <t>Curall</t>
  </si>
  <si>
    <t>Barley</t>
  </si>
  <si>
    <t>Oats</t>
  </si>
  <si>
    <t>Beans</t>
  </si>
  <si>
    <t>Peas</t>
  </si>
  <si>
    <t>Vetches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</si>
  <si>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</si>
  <si>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</si>
  <si>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</si>
  <si>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</si>
  <si>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</si>
  <si>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Oatmeal</t>
  </si>
  <si>
    <t>1st grade malt</t>
  </si>
  <si>
    <t>2nd grade malt</t>
  </si>
  <si>
    <t>Maslin</t>
  </si>
  <si>
    <t>Total value of production (sum of the above)</t>
  </si>
  <si>
    <t>STOCK ACCOUNT</t>
  </si>
  <si>
    <t>Livestock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</si>
  <si>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</si>
  <si>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</si>
  <si>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</si>
  <si>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</si>
  <si>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</si>
  <si>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</si>
  <si>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</si>
  <si>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</si>
  <si>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</si>
  <si>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</si>
  <si>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</si>
  <si>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</si>
  <si>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</si>
  <si>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</si>
  <si>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</si>
  <si>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</si>
  <si>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</si>
  <si>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</si>
  <si>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</si>
  <si>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</si>
  <si>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</si>
  <si>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</si>
  <si>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</si>
  <si>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</si>
  <si>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</si>
  <si>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Total value of stock (sum of the above)</t>
  </si>
  <si>
    <t>Total value of production</t>
  </si>
  <si>
    <t>Wool</t>
  </si>
  <si>
    <t>Fleeces</t>
  </si>
  <si>
    <t>Coarse wool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</si>
  <si>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</si>
  <si>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</si>
  <si>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</si>
  <si>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</si>
  <si>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</si>
  <si>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</si>
  <si>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</si>
  <si>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</si>
  <si>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</si>
  <si>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</si>
  <si>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</si>
  <si>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</si>
  <si>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</si>
  <si>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</si>
  <si>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</si>
  <si>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</si>
  <si>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</si>
  <si>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</si>
  <si>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</si>
  <si>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</si>
  <si>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</si>
  <si>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Lambskins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</si>
  <si>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</si>
  <si>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</si>
  <si>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</si>
  <si>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</si>
  <si>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</si>
  <si>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</si>
  <si>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</si>
  <si>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</si>
  <si>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</si>
  <si>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</si>
  <si>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</si>
  <si>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</si>
  <si>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</si>
  <si>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Butter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</si>
  <si>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</si>
  <si>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</si>
  <si>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</si>
  <si>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</si>
  <si>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</si>
  <si>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</si>
  <si>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</si>
  <si>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</si>
  <si>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</si>
  <si>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ALVERSTOKE</t>
  </si>
  <si>
    <t>Total in £</t>
  </si>
  <si>
    <t>Note</t>
  </si>
  <si>
    <t>£</t>
  </si>
  <si>
    <t xml:space="preserve">s </t>
  </si>
  <si>
    <t>d</t>
  </si>
  <si>
    <t>ALVERSTOKE RECEIPTS</t>
  </si>
  <si>
    <t>ALVERSTOKE EXPENSES</t>
  </si>
  <si>
    <t>no stock</t>
  </si>
  <si>
    <t>no mills</t>
  </si>
  <si>
    <t>no grange</t>
  </si>
  <si>
    <t>Total Production</t>
  </si>
  <si>
    <t>qrs</t>
  </si>
  <si>
    <t>Value of total gross production in £</t>
  </si>
  <si>
    <t>Value of total net production in £</t>
  </si>
  <si>
    <t>Sales value in £</t>
  </si>
  <si>
    <t>Value of production at sales prices £</t>
  </si>
  <si>
    <t>Recognizance total</t>
  </si>
  <si>
    <t>Reliefs total</t>
  </si>
  <si>
    <t>Total of all receipts recorded in accounts</t>
  </si>
  <si>
    <t>Total cross-check without arrears</t>
  </si>
  <si>
    <t>Total cross-check with arrears</t>
  </si>
  <si>
    <t>Expenses of the steward</t>
  </si>
  <si>
    <t>and he owes</t>
  </si>
  <si>
    <t>cash deliveries</t>
  </si>
  <si>
    <t>nothing</t>
  </si>
  <si>
    <t>no production</t>
  </si>
  <si>
    <t>no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</si>
</sst>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 (Body)"/>
    </font>
    <font>
      <b/>
      <sz val="12"/>
      <name val="Calibri"/>
      <family val="2"/>
    </font>
    <font>
      <sz val="11"/>
      <color rgb="FFFF0000"/>
      <name val="Calibri (Body)"/>
    </font>
    <font>
      <b/>
      <sz val="12"/>
      <color rgb="FFFF0000"/>
      <name val="Calibri (Body)"/>
    </font>
    <font>
      <b/>
      <sz val="11"/>
      <color theme="1"/>
      <name val="Calibri"/>
      <family val="2"/>
      <scheme val="minor"/>
    </font>
    <font>
      <b/>
      <sz val="11"/>
      <color rgb="FFFF0000"/>
      <name val="Calibri (Body)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1" xfId="0" applyFont="1" applyBorder="1" applyAlignment="1">
      <alignment horizontal="center" vertical="top"/>
    </xf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2" fillId="0" borderId="0" xfId="0" applyFont="1"/>
    <xf numFmtId="0" fontId="7" fillId="3" borderId="2" xfId="0" applyFont="1" applyFill="1" applyBorder="1"/>
    <xf numFmtId="0" fontId="7" fillId="3" borderId="0" xfId="0" applyFont="1" applyFill="1"/>
    <xf numFmtId="0" fontId="8" fillId="2" borderId="0" xfId="0" applyFont="1" applyFill="1"/>
    <xf numFmtId="0" fontId="6" fillId="0" borderId="3" xfId="0" applyFont="1" applyBorder="1"/>
    <xf numFmtId="0" fontId="4" fillId="0" borderId="0" xfId="0" applyFont="1"/>
    <xf numFmtId="0" fontId="6" fillId="4" borderId="0" xfId="0" applyFont="1" applyFill="1"/>
    <xf numFmtId="0" fontId="9" fillId="4" borderId="0" xfId="0" applyFont="1" applyFill="1"/>
    <xf numFmtId="0" fontId="9" fillId="5" borderId="0" xfId="0" applyFont="1" applyFill="1"/>
    <xf numFmtId="0" fontId="9" fillId="2" borderId="0" xfId="0" applyFont="1" applyFill="1"/>
    <xf numFmtId="0" fontId="5" fillId="6" borderId="0" xfId="0" applyFont="1" applyFill="1"/>
    <xf numFmtId="0" fontId="5" fillId="3" borderId="0" xfId="0" applyFont="1" applyFill="1"/>
    <xf numFmtId="0" fontId="6" fillId="0" borderId="0" xfId="0" applyFont="1" applyAlignment="1">
      <alignment wrapText="1"/>
    </xf>
    <xf numFmtId="0" fontId="9" fillId="6" borderId="0" xfId="0" applyFont="1" applyFill="1"/>
    <xf numFmtId="0" fontId="6" fillId="0" borderId="4" xfId="0" applyFont="1" applyBorder="1"/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left"/>
    </xf>
    <xf numFmtId="0" fontId="6" fillId="3" borderId="5" xfId="0" applyFont="1" applyFill="1" applyBorder="1"/>
    <xf numFmtId="0" fontId="9" fillId="2" borderId="6" xfId="0" applyFont="1" applyFill="1" applyBorder="1"/>
    <xf numFmtId="0" fontId="9" fillId="5" borderId="6" xfId="0" applyFont="1" applyFill="1" applyBorder="1"/>
    <xf numFmtId="0" fontId="6" fillId="0" borderId="6" xfId="0" applyFont="1" applyBorder="1"/>
    <xf numFmtId="10" fontId="9" fillId="2" borderId="6" xfId="0" applyNumberFormat="1" applyFont="1" applyFill="1" applyBorder="1"/>
    <xf numFmtId="10" fontId="9" fillId="5" borderId="7" xfId="0" applyNumberFormat="1" applyFont="1" applyFill="1" applyBorder="1"/>
    <xf numFmtId="2" fontId="5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top"/>
    </xf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4" fontId="4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top"/>
    </xf>
    <xf numFmtId="0" fontId="11" fillId="0" borderId="0" xfId="0" applyFont="1"/>
    <xf numFmtId="0" fontId="13" fillId="0" borderId="0" xfId="0" applyFont="1"/>
    <xf numFmtId="0" fontId="14" fillId="0" borderId="0" xfId="0" applyFont="1" applyAlignment="1">
      <alignment horizontal="center" vertical="top"/>
    </xf>
    <xf numFmtId="0" fontId="15" fillId="0" borderId="0" xfId="0" applyFont="1"/>
    <xf numFmtId="2" fontId="0" fillId="0" borderId="0" xfId="0" applyNumberFormat="1"/>
    <xf numFmtId="2" fontId="13" fillId="0" borderId="0" xfId="0" applyNumberFormat="1" applyFont="1"/>
    <xf numFmtId="0" fontId="16" fillId="0" borderId="0" xfId="0" applyFont="1" applyAlignment="1">
      <alignment horizontal="center" vertical="top"/>
    </xf>
    <xf numFmtId="0" fontId="0" fillId="3" borderId="0" xfId="0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2" fontId="1" fillId="3" borderId="0" xfId="0" applyNumberFormat="1" applyFont="1" applyFill="1"/>
    <xf numFmtId="4" fontId="4" fillId="0" borderId="0" xfId="0" applyNumberFormat="1" applyFont="1" applyAlignment="1">
      <alignment horizontal="right"/>
    </xf>
    <xf numFmtId="0" fontId="1" fillId="0" borderId="0" xfId="0" applyFont="1"/>
    <xf numFmtId="2" fontId="4" fillId="0" borderId="0" xfId="0" applyNumberFormat="1" applyFont="1"/>
    <xf numFmtId="0" fontId="17" fillId="3" borderId="0" xfId="0" applyFont="1" applyFill="1"/>
    <xf numFmtId="0" fontId="15" fillId="3" borderId="0" xfId="0" applyFont="1" applyFill="1"/>
    <xf numFmtId="2" fontId="0" fillId="3" borderId="0" xfId="0" applyNumberFormat="1" applyFill="1"/>
    <xf numFmtId="0" fontId="17" fillId="0" borderId="0" xfId="0" applyFont="1"/>
    <xf numFmtId="2" fontId="17" fillId="3" borderId="0" xfId="0" applyNumberFormat="1" applyFont="1" applyFill="1"/>
    <xf numFmtId="0" fontId="10" fillId="0" borderId="0" xfId="0" applyFont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2" fontId="0" fillId="0" borderId="9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5"/>
  <sheetViews>
    <sheetView tabSelected="1" workbookViewId="0">
      <pane xSplit="1" ySplit="2" topLeftCell="B157" activePane="bottomRight" state="frozen"/>
      <selection pane="topRight" activeCell="B1" sqref="B1"/>
      <selection pane="bottomLeft" activeCell="A3" sqref="A3"/>
      <selection pane="bottomRight" activeCell="B182" sqref="B182"/>
    </sheetView>
  </sheetViews>
  <sheetFormatPr baseColWidth="10" defaultColWidth="8.83203125" defaultRowHeight="16" x14ac:dyDescent="0.2"/>
  <cols>
    <col min="1" max="1" width="80" style="5" bestFit="1" customWidth="1"/>
    <col min="2" max="2" width="29.1640625" bestFit="1" customWidth="1"/>
    <col min="3" max="3" width="5.1640625" style="52" bestFit="1" customWidth="1"/>
    <col min="4" max="4" width="5.1640625" bestFit="1" customWidth="1"/>
    <col min="5" max="5" width="30.83203125" bestFit="1" customWidth="1"/>
    <col min="6" max="6" width="29.33203125" bestFit="1" customWidth="1"/>
  </cols>
  <sheetData>
    <row r="1" spans="1:5" s="5" customFormat="1" x14ac:dyDescent="0.2">
      <c r="A1" s="2" t="s">
        <v>300</v>
      </c>
      <c r="B1" s="28" t="s">
        <v>301</v>
      </c>
      <c r="C1" s="29" t="s">
        <v>148</v>
      </c>
      <c r="D1" s="10" t="s">
        <v>302</v>
      </c>
      <c r="E1" s="10"/>
    </row>
    <row r="2" spans="1:5" x14ac:dyDescent="0.2">
      <c r="A2" s="2" t="s">
        <v>150</v>
      </c>
    </row>
    <row r="3" spans="1:5" x14ac:dyDescent="0.2">
      <c r="A3" s="3" t="s">
        <v>151</v>
      </c>
      <c r="B3" s="42"/>
      <c r="C3" s="49"/>
      <c r="D3" s="42"/>
    </row>
    <row r="4" spans="1:5" x14ac:dyDescent="0.2">
      <c r="A4" s="4" t="s">
        <v>152</v>
      </c>
      <c r="B4">
        <f>Receipts!F5</f>
        <v>2.13</v>
      </c>
    </row>
    <row r="5" spans="1:5" x14ac:dyDescent="0.2">
      <c r="A5" s="4" t="s">
        <v>153</v>
      </c>
      <c r="B5" s="39">
        <f>Receipts!F14</f>
        <v>53.564583333333331</v>
      </c>
    </row>
    <row r="6" spans="1:5" x14ac:dyDescent="0.2">
      <c r="A6" s="4" t="s">
        <v>317</v>
      </c>
      <c r="B6" s="39">
        <f>Receipts!F22</f>
        <v>0</v>
      </c>
    </row>
    <row r="7" spans="1:5" x14ac:dyDescent="0.2">
      <c r="A7" s="4" t="s">
        <v>318</v>
      </c>
      <c r="B7" s="39">
        <f>Receipts!F33</f>
        <v>1.46</v>
      </c>
    </row>
    <row r="8" spans="1:5" x14ac:dyDescent="0.2">
      <c r="A8" s="4" t="s">
        <v>154</v>
      </c>
    </row>
    <row r="9" spans="1:5" x14ac:dyDescent="0.2">
      <c r="A9" s="4" t="s">
        <v>155</v>
      </c>
    </row>
    <row r="10" spans="1:5" x14ac:dyDescent="0.2">
      <c r="A10" s="5" t="s">
        <v>156</v>
      </c>
    </row>
    <row r="11" spans="1:5" x14ac:dyDescent="0.2">
      <c r="A11" s="5" t="s">
        <v>157</v>
      </c>
    </row>
    <row r="12" spans="1:5" x14ac:dyDescent="0.2">
      <c r="A12" s="5" t="s">
        <v>158</v>
      </c>
    </row>
    <row r="13" spans="1:5" x14ac:dyDescent="0.2">
      <c r="A13" s="5" t="s">
        <v>159</v>
      </c>
    </row>
    <row r="14" spans="1:5" x14ac:dyDescent="0.2">
      <c r="A14" s="5" t="s">
        <v>160</v>
      </c>
    </row>
    <row r="15" spans="1:5" x14ac:dyDescent="0.2">
      <c r="A15" s="5" t="s">
        <v>161</v>
      </c>
      <c r="B15">
        <f>Receipts!F18</f>
        <v>2.5</v>
      </c>
    </row>
    <row r="16" spans="1:5" x14ac:dyDescent="0.2">
      <c r="A16" s="4" t="s">
        <v>162</v>
      </c>
    </row>
    <row r="17" spans="1:4" x14ac:dyDescent="0.2">
      <c r="A17" s="4" t="s">
        <v>163</v>
      </c>
    </row>
    <row r="18" spans="1:4" x14ac:dyDescent="0.2">
      <c r="A18" s="5" t="s">
        <v>164</v>
      </c>
    </row>
    <row r="19" spans="1:4" x14ac:dyDescent="0.2">
      <c r="A19" s="5" t="s">
        <v>165</v>
      </c>
    </row>
    <row r="20" spans="1:4" x14ac:dyDescent="0.2">
      <c r="A20" s="4" t="s">
        <v>166</v>
      </c>
    </row>
    <row r="21" spans="1:4" x14ac:dyDescent="0.2">
      <c r="A21" s="4" t="s">
        <v>167</v>
      </c>
    </row>
    <row r="22" spans="1:4" x14ac:dyDescent="0.2">
      <c r="A22" s="4" t="s">
        <v>168</v>
      </c>
      <c r="B22">
        <f>Receipts!F117</f>
        <v>2.13</v>
      </c>
    </row>
    <row r="23" spans="1:4" x14ac:dyDescent="0.2">
      <c r="A23" s="5" t="s">
        <v>169</v>
      </c>
    </row>
    <row r="24" spans="1:4" x14ac:dyDescent="0.2">
      <c r="A24" s="5" t="s">
        <v>170</v>
      </c>
    </row>
    <row r="25" spans="1:4" x14ac:dyDescent="0.2">
      <c r="A25" s="6" t="s">
        <v>171</v>
      </c>
      <c r="B25" s="51">
        <f>Receipts!F120</f>
        <v>59.654583333333335</v>
      </c>
      <c r="C25" s="49"/>
      <c r="D25" s="42"/>
    </row>
    <row r="26" spans="1:4" x14ac:dyDescent="0.2">
      <c r="A26" s="7" t="s">
        <v>172</v>
      </c>
      <c r="B26" s="42"/>
      <c r="C26" s="49"/>
      <c r="D26" s="42"/>
    </row>
    <row r="27" spans="1:4" x14ac:dyDescent="0.2">
      <c r="A27" s="8" t="s">
        <v>173</v>
      </c>
      <c r="B27" s="42">
        <f>Receipts!F119</f>
        <v>59.65</v>
      </c>
      <c r="C27" s="53">
        <f>B27-B25</f>
        <v>-4.5833333333362702E-3</v>
      </c>
      <c r="D27" s="42"/>
    </row>
    <row r="28" spans="1:4" x14ac:dyDescent="0.2">
      <c r="A28" s="8" t="s">
        <v>174</v>
      </c>
      <c r="B28" s="51">
        <f>Receipts!F121</f>
        <v>61.784583333333337</v>
      </c>
      <c r="C28" s="49"/>
      <c r="D28" s="42"/>
    </row>
    <row r="29" spans="1:4" x14ac:dyDescent="0.2">
      <c r="A29" s="4"/>
    </row>
    <row r="30" spans="1:4" x14ac:dyDescent="0.2">
      <c r="A30" s="4"/>
    </row>
    <row r="31" spans="1:4" x14ac:dyDescent="0.2">
      <c r="A31" s="3" t="s">
        <v>175</v>
      </c>
      <c r="B31" s="42"/>
      <c r="C31" s="49"/>
      <c r="D31" s="42"/>
    </row>
    <row r="32" spans="1:4" x14ac:dyDescent="0.2">
      <c r="A32" s="4" t="s">
        <v>176</v>
      </c>
    </row>
    <row r="33" spans="1:4" x14ac:dyDescent="0.2">
      <c r="A33" s="4" t="s">
        <v>177</v>
      </c>
    </row>
    <row r="34" spans="1:4" x14ac:dyDescent="0.2">
      <c r="A34" s="4" t="s">
        <v>178</v>
      </c>
    </row>
    <row r="35" spans="1:4" x14ac:dyDescent="0.2">
      <c r="A35" s="4" t="s">
        <v>179</v>
      </c>
    </row>
    <row r="36" spans="1:4" x14ac:dyDescent="0.2">
      <c r="A36" s="4" t="s">
        <v>180</v>
      </c>
    </row>
    <row r="37" spans="1:4" x14ac:dyDescent="0.2">
      <c r="A37" s="4" t="s">
        <v>181</v>
      </c>
    </row>
    <row r="38" spans="1:4" x14ac:dyDescent="0.2">
      <c r="A38" s="4" t="s">
        <v>182</v>
      </c>
    </row>
    <row r="39" spans="1:4" x14ac:dyDescent="0.2">
      <c r="A39" s="4" t="s">
        <v>183</v>
      </c>
    </row>
    <row r="40" spans="1:4" x14ac:dyDescent="0.2">
      <c r="A40" s="4" t="s">
        <v>184</v>
      </c>
    </row>
    <row r="41" spans="1:4" x14ac:dyDescent="0.2">
      <c r="A41" s="4" t="s">
        <v>185</v>
      </c>
    </row>
    <row r="42" spans="1:4" x14ac:dyDescent="0.2">
      <c r="A42" s="4" t="s">
        <v>186</v>
      </c>
    </row>
    <row r="43" spans="1:4" x14ac:dyDescent="0.2">
      <c r="A43" s="4" t="s">
        <v>187</v>
      </c>
    </row>
    <row r="44" spans="1:4" x14ac:dyDescent="0.2">
      <c r="A44" s="4" t="s">
        <v>188</v>
      </c>
      <c r="B44">
        <f>Expenses!F4</f>
        <v>0.46</v>
      </c>
    </row>
    <row r="45" spans="1:4" x14ac:dyDescent="0.2">
      <c r="A45" s="9" t="s">
        <v>189</v>
      </c>
    </row>
    <row r="46" spans="1:4" x14ac:dyDescent="0.2">
      <c r="A46" s="7" t="s">
        <v>190</v>
      </c>
      <c r="B46" s="42"/>
      <c r="C46" s="49"/>
      <c r="D46" s="42"/>
    </row>
    <row r="47" spans="1:4" x14ac:dyDescent="0.2">
      <c r="A47" s="7" t="s">
        <v>191</v>
      </c>
      <c r="B47" s="42">
        <f>Expenses!F15</f>
        <v>0.46</v>
      </c>
      <c r="C47" s="49"/>
      <c r="D47" s="42"/>
    </row>
    <row r="48" spans="1:4" x14ac:dyDescent="0.2">
      <c r="A48" s="7" t="s">
        <v>192</v>
      </c>
      <c r="B48" s="42">
        <v>0</v>
      </c>
      <c r="C48" s="49"/>
      <c r="D48" s="42"/>
    </row>
    <row r="49" spans="1:7" x14ac:dyDescent="0.2">
      <c r="A49" s="7" t="s">
        <v>193</v>
      </c>
      <c r="B49" s="42">
        <v>0</v>
      </c>
      <c r="C49" s="49"/>
      <c r="D49" s="42"/>
    </row>
    <row r="50" spans="1:7" x14ac:dyDescent="0.2">
      <c r="A50" s="10"/>
    </row>
    <row r="51" spans="1:7" x14ac:dyDescent="0.2">
      <c r="A51" s="11" t="s">
        <v>194</v>
      </c>
    </row>
    <row r="52" spans="1:7" x14ac:dyDescent="0.2">
      <c r="A52" s="11" t="s">
        <v>195</v>
      </c>
    </row>
    <row r="53" spans="1:7" x14ac:dyDescent="0.2">
      <c r="A53" s="4"/>
    </row>
    <row r="54" spans="1:7" x14ac:dyDescent="0.2">
      <c r="A54" s="11" t="s">
        <v>196</v>
      </c>
    </row>
    <row r="55" spans="1:7" x14ac:dyDescent="0.2">
      <c r="A55" s="11" t="s">
        <v>197</v>
      </c>
    </row>
    <row r="56" spans="1:7" x14ac:dyDescent="0.2">
      <c r="A56" s="12" t="s">
        <v>198</v>
      </c>
    </row>
    <row r="57" spans="1:7" x14ac:dyDescent="0.2">
      <c r="A57" s="13" t="s">
        <v>199</v>
      </c>
    </row>
    <row r="58" spans="1:7" x14ac:dyDescent="0.2">
      <c r="A58" s="4"/>
    </row>
    <row r="59" spans="1:7" x14ac:dyDescent="0.2">
      <c r="A59" s="11" t="s">
        <v>200</v>
      </c>
    </row>
    <row r="60" spans="1:7" x14ac:dyDescent="0.2">
      <c r="A60" s="11" t="s">
        <v>201</v>
      </c>
    </row>
    <row r="61" spans="1:7" x14ac:dyDescent="0.2">
      <c r="A61" s="4"/>
    </row>
    <row r="62" spans="1:7" x14ac:dyDescent="0.2">
      <c r="A62" s="3" t="s">
        <v>202</v>
      </c>
      <c r="B62" s="43" t="s">
        <v>311</v>
      </c>
      <c r="C62" s="43"/>
      <c r="D62" s="44"/>
      <c r="E62" s="44"/>
      <c r="F62" s="45"/>
    </row>
    <row r="63" spans="1:7" x14ac:dyDescent="0.2">
      <c r="A63" s="2" t="s">
        <v>203</v>
      </c>
      <c r="B63" s="46" t="s">
        <v>312</v>
      </c>
      <c r="C63" s="54"/>
      <c r="D63" s="47"/>
      <c r="E63" s="48" t="s">
        <v>313</v>
      </c>
      <c r="F63" s="48" t="s">
        <v>314</v>
      </c>
    </row>
    <row r="64" spans="1:7" x14ac:dyDescent="0.2">
      <c r="A64" s="5" t="s">
        <v>204</v>
      </c>
      <c r="G64" t="s">
        <v>325</v>
      </c>
    </row>
    <row r="65" spans="1:7" x14ac:dyDescent="0.2">
      <c r="A65" s="5" t="s">
        <v>205</v>
      </c>
    </row>
    <row r="66" spans="1:7" x14ac:dyDescent="0.2">
      <c r="A66" s="5" t="s">
        <v>206</v>
      </c>
    </row>
    <row r="67" spans="1:7" x14ac:dyDescent="0.2">
      <c r="A67" s="5" t="s">
        <v>207</v>
      </c>
    </row>
    <row r="68" spans="1:7" x14ac:dyDescent="0.2">
      <c r="A68" s="5" t="s">
        <v>208</v>
      </c>
    </row>
    <row r="69" spans="1:7" x14ac:dyDescent="0.2">
      <c r="A69" s="5" t="s">
        <v>209</v>
      </c>
    </row>
    <row r="70" spans="1:7" x14ac:dyDescent="0.2">
      <c r="A70" s="5" t="s">
        <v>210</v>
      </c>
    </row>
    <row r="71" spans="1:7" x14ac:dyDescent="0.2">
      <c r="A71" s="5" t="s">
        <v>211</v>
      </c>
    </row>
    <row r="72" spans="1:7" x14ac:dyDescent="0.2">
      <c r="A72" s="5" t="s">
        <v>212</v>
      </c>
    </row>
    <row r="73" spans="1:7" x14ac:dyDescent="0.2">
      <c r="A73" s="14" t="s">
        <v>213</v>
      </c>
      <c r="B73" s="49"/>
      <c r="C73" s="49"/>
      <c r="D73" s="42"/>
      <c r="E73" s="42"/>
      <c r="F73" s="42"/>
    </row>
    <row r="74" spans="1:7" x14ac:dyDescent="0.2">
      <c r="A74" s="14" t="s">
        <v>214</v>
      </c>
      <c r="B74" s="49"/>
      <c r="C74" s="49"/>
      <c r="D74" s="42"/>
      <c r="E74" s="42"/>
      <c r="F74" s="42"/>
    </row>
    <row r="75" spans="1:7" x14ac:dyDescent="0.2">
      <c r="A75" s="14" t="s">
        <v>215</v>
      </c>
      <c r="B75" s="49"/>
      <c r="C75" s="49"/>
      <c r="D75" s="42"/>
      <c r="E75" s="42"/>
      <c r="F75" s="42"/>
    </row>
    <row r="76" spans="1:7" x14ac:dyDescent="0.2">
      <c r="A76" s="4"/>
    </row>
    <row r="77" spans="1:7" x14ac:dyDescent="0.2">
      <c r="A77" s="3" t="s">
        <v>216</v>
      </c>
      <c r="B77" s="42"/>
      <c r="C77" s="49"/>
      <c r="D77" s="42"/>
      <c r="E77" s="42"/>
      <c r="F77" s="42"/>
    </row>
    <row r="78" spans="1:7" x14ac:dyDescent="0.2">
      <c r="A78" s="2" t="s">
        <v>217</v>
      </c>
      <c r="G78" t="s">
        <v>325</v>
      </c>
    </row>
    <row r="79" spans="1:7" x14ac:dyDescent="0.2">
      <c r="A79" s="4" t="s">
        <v>204</v>
      </c>
    </row>
    <row r="80" spans="1:7" x14ac:dyDescent="0.2">
      <c r="A80" s="4" t="s">
        <v>218</v>
      </c>
    </row>
    <row r="81" spans="1:7" x14ac:dyDescent="0.2">
      <c r="A81" s="4" t="s">
        <v>219</v>
      </c>
    </row>
    <row r="82" spans="1:7" x14ac:dyDescent="0.2">
      <c r="A82" s="4" t="s">
        <v>220</v>
      </c>
    </row>
    <row r="83" spans="1:7" x14ac:dyDescent="0.2">
      <c r="A83" s="4" t="s">
        <v>221</v>
      </c>
    </row>
    <row r="84" spans="1:7" x14ac:dyDescent="0.2">
      <c r="A84" s="14" t="s">
        <v>222</v>
      </c>
      <c r="B84" s="42"/>
      <c r="C84" s="49"/>
      <c r="D84" s="42"/>
      <c r="E84" s="42"/>
      <c r="F84" s="42"/>
    </row>
    <row r="85" spans="1:7" x14ac:dyDescent="0.2">
      <c r="A85" s="14" t="s">
        <v>215</v>
      </c>
      <c r="B85" s="42"/>
      <c r="C85" s="49"/>
      <c r="D85" s="42"/>
      <c r="E85" s="42"/>
      <c r="F85" s="42"/>
    </row>
    <row r="86" spans="1:7" x14ac:dyDescent="0.2">
      <c r="A86" s="4"/>
    </row>
    <row r="87" spans="1:7" x14ac:dyDescent="0.2">
      <c r="A87" s="15" t="s">
        <v>223</v>
      </c>
      <c r="B87" s="42"/>
    </row>
    <row r="88" spans="1:7" x14ac:dyDescent="0.2">
      <c r="A88" s="16" t="s">
        <v>224</v>
      </c>
      <c r="B88" s="50" t="s">
        <v>315</v>
      </c>
    </row>
    <row r="89" spans="1:7" ht="17" x14ac:dyDescent="0.2">
      <c r="A89" s="17" t="s">
        <v>225</v>
      </c>
      <c r="G89" t="s">
        <v>325</v>
      </c>
    </row>
    <row r="90" spans="1:7" ht="17" x14ac:dyDescent="0.2">
      <c r="A90" s="17" t="s">
        <v>226</v>
      </c>
    </row>
    <row r="91" spans="1:7" x14ac:dyDescent="0.2">
      <c r="A91" s="4" t="s">
        <v>227</v>
      </c>
    </row>
    <row r="92" spans="1:7" x14ac:dyDescent="0.2">
      <c r="A92" s="4" t="s">
        <v>228</v>
      </c>
    </row>
    <row r="93" spans="1:7" x14ac:dyDescent="0.2">
      <c r="A93" s="4" t="s">
        <v>228</v>
      </c>
    </row>
    <row r="94" spans="1:7" x14ac:dyDescent="0.2">
      <c r="A94" s="4" t="s">
        <v>229</v>
      </c>
    </row>
    <row r="95" spans="1:7" x14ac:dyDescent="0.2">
      <c r="A95" s="4" t="s">
        <v>230</v>
      </c>
    </row>
    <row r="96" spans="1:7" x14ac:dyDescent="0.2">
      <c r="A96" s="4" t="s">
        <v>231</v>
      </c>
    </row>
    <row r="97" spans="1:1" x14ac:dyDescent="0.2">
      <c r="A97" s="4" t="s">
        <v>232</v>
      </c>
    </row>
    <row r="98" spans="1:1" x14ac:dyDescent="0.2">
      <c r="A98" s="4" t="s">
        <v>233</v>
      </c>
    </row>
    <row r="99" spans="1:1" x14ac:dyDescent="0.2">
      <c r="A99" s="4" t="s">
        <v>234</v>
      </c>
    </row>
    <row r="100" spans="1:1" x14ac:dyDescent="0.2">
      <c r="A100" s="4" t="s">
        <v>235</v>
      </c>
    </row>
    <row r="101" spans="1:1" x14ac:dyDescent="0.2">
      <c r="A101" s="4" t="s">
        <v>236</v>
      </c>
    </row>
    <row r="102" spans="1:1" x14ac:dyDescent="0.2">
      <c r="A102" s="4" t="s">
        <v>237</v>
      </c>
    </row>
    <row r="103" spans="1:1" x14ac:dyDescent="0.2">
      <c r="A103" s="4" t="s">
        <v>238</v>
      </c>
    </row>
    <row r="104" spans="1:1" x14ac:dyDescent="0.2">
      <c r="A104" s="4" t="s">
        <v>239</v>
      </c>
    </row>
    <row r="105" spans="1:1" x14ac:dyDescent="0.2">
      <c r="A105" s="4" t="s">
        <v>240</v>
      </c>
    </row>
    <row r="106" spans="1:1" x14ac:dyDescent="0.2">
      <c r="A106" s="4" t="s">
        <v>241</v>
      </c>
    </row>
    <row r="107" spans="1:1" x14ac:dyDescent="0.2">
      <c r="A107" s="4" t="s">
        <v>242</v>
      </c>
    </row>
    <row r="108" spans="1:1" x14ac:dyDescent="0.2">
      <c r="A108" s="4" t="s">
        <v>243</v>
      </c>
    </row>
    <row r="109" spans="1:1" x14ac:dyDescent="0.2">
      <c r="A109" s="4" t="s">
        <v>244</v>
      </c>
    </row>
    <row r="110" spans="1:1" x14ac:dyDescent="0.2">
      <c r="A110" s="4" t="s">
        <v>245</v>
      </c>
    </row>
    <row r="111" spans="1:1" x14ac:dyDescent="0.2">
      <c r="A111" s="4" t="s">
        <v>246</v>
      </c>
    </row>
    <row r="112" spans="1:1" x14ac:dyDescent="0.2">
      <c r="A112" s="4" t="s">
        <v>247</v>
      </c>
    </row>
    <row r="113" spans="1:2" x14ac:dyDescent="0.2">
      <c r="A113" s="4" t="s">
        <v>248</v>
      </c>
    </row>
    <row r="114" spans="1:2" x14ac:dyDescent="0.2">
      <c r="A114" s="4" t="s">
        <v>249</v>
      </c>
    </row>
    <row r="115" spans="1:2" x14ac:dyDescent="0.2">
      <c r="A115" s="14" t="s">
        <v>250</v>
      </c>
    </row>
    <row r="116" spans="1:2" x14ac:dyDescent="0.2">
      <c r="A116" s="14" t="s">
        <v>251</v>
      </c>
    </row>
    <row r="117" spans="1:2" x14ac:dyDescent="0.2">
      <c r="A117" s="14" t="s">
        <v>215</v>
      </c>
    </row>
    <row r="118" spans="1:2" x14ac:dyDescent="0.2">
      <c r="A118" s="4"/>
    </row>
    <row r="119" spans="1:2" x14ac:dyDescent="0.2">
      <c r="A119" s="3" t="s">
        <v>252</v>
      </c>
      <c r="B119" s="50" t="s">
        <v>316</v>
      </c>
    </row>
    <row r="120" spans="1:2" ht="17" x14ac:dyDescent="0.2">
      <c r="A120" s="17" t="s">
        <v>253</v>
      </c>
    </row>
    <row r="121" spans="1:2" x14ac:dyDescent="0.2">
      <c r="A121" s="4" t="s">
        <v>254</v>
      </c>
    </row>
    <row r="122" spans="1:2" x14ac:dyDescent="0.2">
      <c r="A122" s="4" t="s">
        <v>255</v>
      </c>
    </row>
    <row r="123" spans="1:2" x14ac:dyDescent="0.2">
      <c r="A123" s="4" t="s">
        <v>256</v>
      </c>
    </row>
    <row r="124" spans="1:2" x14ac:dyDescent="0.2">
      <c r="A124" s="4" t="s">
        <v>257</v>
      </c>
    </row>
    <row r="125" spans="1:2" x14ac:dyDescent="0.2">
      <c r="A125" s="18" t="s">
        <v>222</v>
      </c>
    </row>
    <row r="126" spans="1:2" x14ac:dyDescent="0.2">
      <c r="A126" s="18" t="s">
        <v>215</v>
      </c>
    </row>
    <row r="127" spans="1:2" x14ac:dyDescent="0.2">
      <c r="A127" s="2"/>
    </row>
    <row r="128" spans="1:2" x14ac:dyDescent="0.2">
      <c r="A128" s="3" t="s">
        <v>258</v>
      </c>
      <c r="B128" s="50" t="s">
        <v>316</v>
      </c>
    </row>
    <row r="129" spans="1:1" x14ac:dyDescent="0.2">
      <c r="A129" s="4" t="s">
        <v>259</v>
      </c>
    </row>
    <row r="130" spans="1:1" x14ac:dyDescent="0.2">
      <c r="A130" s="4" t="s">
        <v>260</v>
      </c>
    </row>
    <row r="131" spans="1:1" x14ac:dyDescent="0.2">
      <c r="A131" s="4" t="s">
        <v>261</v>
      </c>
    </row>
    <row r="132" spans="1:1" x14ac:dyDescent="0.2">
      <c r="A132" s="4" t="s">
        <v>262</v>
      </c>
    </row>
    <row r="133" spans="1:1" x14ac:dyDescent="0.2">
      <c r="A133" s="4" t="s">
        <v>263</v>
      </c>
    </row>
    <row r="134" spans="1:1" x14ac:dyDescent="0.2">
      <c r="A134" s="4" t="s">
        <v>264</v>
      </c>
    </row>
    <row r="135" spans="1:1" x14ac:dyDescent="0.2">
      <c r="A135" s="19" t="s">
        <v>265</v>
      </c>
    </row>
    <row r="136" spans="1:1" x14ac:dyDescent="0.2">
      <c r="A136" s="20" t="s">
        <v>266</v>
      </c>
    </row>
    <row r="137" spans="1:1" x14ac:dyDescent="0.2">
      <c r="A137" s="20" t="s">
        <v>267</v>
      </c>
    </row>
    <row r="138" spans="1:1" x14ac:dyDescent="0.2">
      <c r="A138" s="20" t="s">
        <v>268</v>
      </c>
    </row>
    <row r="139" spans="1:1" x14ac:dyDescent="0.2">
      <c r="A139" s="20" t="s">
        <v>269</v>
      </c>
    </row>
    <row r="140" spans="1:1" x14ac:dyDescent="0.2">
      <c r="A140" s="21" t="s">
        <v>270</v>
      </c>
    </row>
    <row r="141" spans="1:1" x14ac:dyDescent="0.2">
      <c r="A141" s="20" t="s">
        <v>271</v>
      </c>
    </row>
    <row r="142" spans="1:1" x14ac:dyDescent="0.2">
      <c r="A142" s="20" t="s">
        <v>272</v>
      </c>
    </row>
    <row r="143" spans="1:1" x14ac:dyDescent="0.2">
      <c r="A143" s="20" t="s">
        <v>273</v>
      </c>
    </row>
    <row r="144" spans="1:1" x14ac:dyDescent="0.2">
      <c r="A144" s="20" t="s">
        <v>274</v>
      </c>
    </row>
    <row r="145" spans="1:2" x14ac:dyDescent="0.2">
      <c r="A145" s="21" t="s">
        <v>275</v>
      </c>
    </row>
    <row r="146" spans="1:2" x14ac:dyDescent="0.2">
      <c r="A146" s="4" t="s">
        <v>276</v>
      </c>
    </row>
    <row r="147" spans="1:2" x14ac:dyDescent="0.2">
      <c r="A147" s="4" t="s">
        <v>277</v>
      </c>
    </row>
    <row r="148" spans="1:2" x14ac:dyDescent="0.2">
      <c r="A148" s="4" t="s">
        <v>278</v>
      </c>
    </row>
    <row r="149" spans="1:2" x14ac:dyDescent="0.2">
      <c r="A149" s="14" t="s">
        <v>222</v>
      </c>
    </row>
    <row r="150" spans="1:2" x14ac:dyDescent="0.2">
      <c r="A150" s="14" t="s">
        <v>215</v>
      </c>
    </row>
    <row r="151" spans="1:2" x14ac:dyDescent="0.2">
      <c r="A151" s="4"/>
    </row>
    <row r="152" spans="1:2" x14ac:dyDescent="0.2">
      <c r="A152" s="3" t="s">
        <v>279</v>
      </c>
      <c r="B152" s="50" t="s">
        <v>316</v>
      </c>
    </row>
    <row r="153" spans="1:2" ht="17" x14ac:dyDescent="0.2">
      <c r="A153" s="17" t="s">
        <v>280</v>
      </c>
    </row>
    <row r="154" spans="1:2" x14ac:dyDescent="0.2">
      <c r="A154" s="4" t="s">
        <v>281</v>
      </c>
    </row>
    <row r="155" spans="1:2" x14ac:dyDescent="0.2">
      <c r="A155" s="4" t="s">
        <v>282</v>
      </c>
    </row>
    <row r="156" spans="1:2" x14ac:dyDescent="0.2">
      <c r="A156" s="4" t="s">
        <v>283</v>
      </c>
    </row>
    <row r="157" spans="1:2" x14ac:dyDescent="0.2">
      <c r="A157" s="18" t="s">
        <v>222</v>
      </c>
    </row>
    <row r="158" spans="1:2" x14ac:dyDescent="0.2">
      <c r="A158" s="18" t="s">
        <v>215</v>
      </c>
    </row>
    <row r="159" spans="1:2" x14ac:dyDescent="0.2">
      <c r="A159" s="4"/>
    </row>
    <row r="160" spans="1:2" x14ac:dyDescent="0.2">
      <c r="A160" s="3" t="s">
        <v>284</v>
      </c>
      <c r="B160" s="50" t="s">
        <v>316</v>
      </c>
    </row>
    <row r="161" spans="1:2" x14ac:dyDescent="0.2">
      <c r="A161" s="4" t="s">
        <v>285</v>
      </c>
    </row>
    <row r="162" spans="1:2" x14ac:dyDescent="0.2">
      <c r="A162" s="4" t="s">
        <v>286</v>
      </c>
    </row>
    <row r="163" spans="1:2" x14ac:dyDescent="0.2">
      <c r="A163" s="4" t="s">
        <v>287</v>
      </c>
    </row>
    <row r="164" spans="1:2" x14ac:dyDescent="0.2">
      <c r="A164" s="14" t="s">
        <v>288</v>
      </c>
    </row>
    <row r="165" spans="1:2" x14ac:dyDescent="0.2">
      <c r="A165" s="14" t="s">
        <v>215</v>
      </c>
    </row>
    <row r="166" spans="1:2" x14ac:dyDescent="0.2">
      <c r="A166" s="4"/>
    </row>
    <row r="167" spans="1:2" x14ac:dyDescent="0.2">
      <c r="A167" s="3" t="s">
        <v>289</v>
      </c>
      <c r="B167" s="50" t="s">
        <v>316</v>
      </c>
    </row>
    <row r="168" spans="1:2" x14ac:dyDescent="0.2">
      <c r="A168" s="4" t="s">
        <v>290</v>
      </c>
    </row>
    <row r="169" spans="1:2" x14ac:dyDescent="0.2">
      <c r="A169" s="4" t="s">
        <v>291</v>
      </c>
    </row>
    <row r="170" spans="1:2" x14ac:dyDescent="0.2">
      <c r="A170" s="4" t="s">
        <v>292</v>
      </c>
    </row>
    <row r="171" spans="1:2" x14ac:dyDescent="0.2">
      <c r="A171" s="14" t="s">
        <v>222</v>
      </c>
    </row>
    <row r="172" spans="1:2" x14ac:dyDescent="0.2">
      <c r="A172" s="14" t="s">
        <v>215</v>
      </c>
    </row>
    <row r="173" spans="1:2" x14ac:dyDescent="0.2">
      <c r="A173" s="4"/>
    </row>
    <row r="174" spans="1:2" x14ac:dyDescent="0.2">
      <c r="A174" s="4"/>
    </row>
    <row r="175" spans="1:2" ht="17" thickBot="1" x14ac:dyDescent="0.25"/>
    <row r="176" spans="1:2" ht="17" thickBot="1" x14ac:dyDescent="0.25">
      <c r="A176" s="22"/>
      <c r="B176" s="57"/>
    </row>
    <row r="177" spans="1:4" x14ac:dyDescent="0.2">
      <c r="A177" s="23" t="s">
        <v>293</v>
      </c>
      <c r="B177" s="55">
        <f>B171+B164+B157+B149+B125+B117+F74</f>
        <v>0</v>
      </c>
      <c r="D177" t="s">
        <v>326</v>
      </c>
    </row>
    <row r="178" spans="1:4" x14ac:dyDescent="0.2">
      <c r="A178" s="24" t="s">
        <v>294</v>
      </c>
      <c r="B178" s="55"/>
      <c r="D178" t="s">
        <v>327</v>
      </c>
    </row>
    <row r="179" spans="1:4" x14ac:dyDescent="0.2">
      <c r="A179" s="24" t="s">
        <v>295</v>
      </c>
      <c r="B179" s="55">
        <f>B20+B17</f>
        <v>0</v>
      </c>
    </row>
    <row r="180" spans="1:4" x14ac:dyDescent="0.2">
      <c r="A180" s="24" t="s">
        <v>296</v>
      </c>
      <c r="B180" s="58">
        <f>B177+B5+B15+B22+B7</f>
        <v>59.654583333333335</v>
      </c>
    </row>
    <row r="181" spans="1:4" x14ac:dyDescent="0.2">
      <c r="A181" s="25"/>
      <c r="B181" s="55"/>
    </row>
    <row r="182" spans="1:4" x14ac:dyDescent="0.2">
      <c r="A182" s="26" t="s">
        <v>297</v>
      </c>
      <c r="B182" s="55"/>
      <c r="D182" t="s">
        <v>325</v>
      </c>
    </row>
    <row r="183" spans="1:4" x14ac:dyDescent="0.2">
      <c r="A183" s="24" t="s">
        <v>298</v>
      </c>
      <c r="B183" s="55"/>
      <c r="D183" t="s">
        <v>325</v>
      </c>
    </row>
    <row r="184" spans="1:4" x14ac:dyDescent="0.2">
      <c r="A184" s="25"/>
      <c r="B184" s="55"/>
    </row>
    <row r="185" spans="1:4" ht="17" thickBot="1" x14ac:dyDescent="0.25">
      <c r="A185" s="27" t="s">
        <v>299</v>
      </c>
      <c r="B185" s="56"/>
    </row>
  </sheetData>
  <mergeCells count="1">
    <mergeCell ref="B62:C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workbookViewId="0">
      <pane xSplit="1" ySplit="2" topLeftCell="B92" activePane="bottomRight" state="frozen"/>
      <selection pane="topRight" activeCell="B1" sqref="B1"/>
      <selection pane="bottomLeft" activeCell="A3" sqref="A3"/>
      <selection pane="bottomRight" activeCell="G121" sqref="G121"/>
    </sheetView>
  </sheetViews>
  <sheetFormatPr baseColWidth="10" defaultColWidth="8.83203125" defaultRowHeight="15" x14ac:dyDescent="0.2"/>
  <cols>
    <col min="1" max="1" width="32.83203125" bestFit="1" customWidth="1"/>
    <col min="6" max="6" width="12.83203125" bestFit="1" customWidth="1"/>
    <col min="7" max="7" width="8.83203125" style="36"/>
  </cols>
  <sheetData>
    <row r="1" spans="1:8" ht="16" x14ac:dyDescent="0.2">
      <c r="A1" s="35" t="s">
        <v>306</v>
      </c>
    </row>
    <row r="2" spans="1:8" ht="16" x14ac:dyDescent="0.2">
      <c r="A2" s="34" t="s">
        <v>0</v>
      </c>
      <c r="B2" s="31" t="s">
        <v>303</v>
      </c>
      <c r="C2" s="32" t="s">
        <v>304</v>
      </c>
      <c r="D2" s="32" t="s">
        <v>305</v>
      </c>
      <c r="E2" s="5"/>
      <c r="F2" s="33" t="s">
        <v>301</v>
      </c>
      <c r="G2" s="37" t="s">
        <v>148</v>
      </c>
      <c r="H2" s="34" t="s">
        <v>1</v>
      </c>
    </row>
    <row r="3" spans="1:8" x14ac:dyDescent="0.2">
      <c r="A3" t="s">
        <v>30</v>
      </c>
      <c r="B3">
        <v>2</v>
      </c>
      <c r="C3">
        <v>2</v>
      </c>
      <c r="D3">
        <v>7</v>
      </c>
      <c r="F3">
        <v>2.13</v>
      </c>
      <c r="H3" t="s">
        <v>31</v>
      </c>
    </row>
    <row r="4" spans="1:8" x14ac:dyDescent="0.2">
      <c r="A4" t="s">
        <v>30</v>
      </c>
      <c r="B4">
        <v>0</v>
      </c>
      <c r="C4">
        <v>0</v>
      </c>
      <c r="D4">
        <v>0</v>
      </c>
      <c r="F4">
        <v>0</v>
      </c>
      <c r="H4" t="s">
        <v>32</v>
      </c>
    </row>
    <row r="5" spans="1:8" x14ac:dyDescent="0.2">
      <c r="A5" t="s">
        <v>30</v>
      </c>
      <c r="F5">
        <v>2.13</v>
      </c>
      <c r="G5" s="36">
        <f>F5-F3</f>
        <v>0</v>
      </c>
      <c r="H5" t="s">
        <v>149</v>
      </c>
    </row>
    <row r="7" spans="1:8" x14ac:dyDescent="0.2">
      <c r="A7" t="s">
        <v>33</v>
      </c>
      <c r="B7">
        <v>13</v>
      </c>
      <c r="C7">
        <v>0</v>
      </c>
      <c r="D7">
        <v>0</v>
      </c>
      <c r="F7" s="39">
        <v>13</v>
      </c>
      <c r="H7" t="s">
        <v>34</v>
      </c>
    </row>
    <row r="8" spans="1:8" x14ac:dyDescent="0.2">
      <c r="A8" t="s">
        <v>33</v>
      </c>
      <c r="B8">
        <v>13</v>
      </c>
      <c r="C8">
        <v>0</v>
      </c>
      <c r="D8">
        <v>0</v>
      </c>
      <c r="F8" s="39">
        <v>13</v>
      </c>
      <c r="H8" t="s">
        <v>35</v>
      </c>
    </row>
    <row r="9" spans="1:8" x14ac:dyDescent="0.2">
      <c r="A9" t="s">
        <v>33</v>
      </c>
      <c r="B9">
        <v>13</v>
      </c>
      <c r="C9">
        <v>0</v>
      </c>
      <c r="D9">
        <v>0</v>
      </c>
      <c r="F9" s="39">
        <v>13</v>
      </c>
      <c r="H9" t="s">
        <v>36</v>
      </c>
    </row>
    <row r="10" spans="1:8" x14ac:dyDescent="0.2">
      <c r="A10" t="s">
        <v>33</v>
      </c>
      <c r="B10">
        <v>14</v>
      </c>
      <c r="C10">
        <v>0</v>
      </c>
      <c r="D10">
        <v>7.5</v>
      </c>
      <c r="F10" s="39">
        <f>B10+C10/20+D10/240</f>
        <v>14.03125</v>
      </c>
      <c r="H10" t="s">
        <v>37</v>
      </c>
    </row>
    <row r="11" spans="1:8" x14ac:dyDescent="0.2">
      <c r="A11" t="s">
        <v>33</v>
      </c>
      <c r="B11">
        <v>0</v>
      </c>
      <c r="C11">
        <v>10</v>
      </c>
      <c r="D11">
        <v>0</v>
      </c>
      <c r="F11" s="39">
        <f t="shared" ref="F11:F13" si="0">B11+C11/20+D11/240</f>
        <v>0.5</v>
      </c>
      <c r="H11" t="s">
        <v>38</v>
      </c>
    </row>
    <row r="12" spans="1:8" x14ac:dyDescent="0.2">
      <c r="A12" t="s">
        <v>33</v>
      </c>
      <c r="B12">
        <v>0</v>
      </c>
      <c r="C12">
        <v>0</v>
      </c>
      <c r="D12">
        <v>8</v>
      </c>
      <c r="F12" s="39">
        <f t="shared" si="0"/>
        <v>3.3333333333333333E-2</v>
      </c>
      <c r="H12" t="s">
        <v>39</v>
      </c>
    </row>
    <row r="13" spans="1:8" x14ac:dyDescent="0.2">
      <c r="A13" t="s">
        <v>33</v>
      </c>
      <c r="B13">
        <v>53</v>
      </c>
      <c r="C13">
        <v>11</v>
      </c>
      <c r="D13">
        <v>3.5</v>
      </c>
      <c r="F13" s="39">
        <f t="shared" si="0"/>
        <v>53.564583333333331</v>
      </c>
      <c r="H13" t="s">
        <v>40</v>
      </c>
    </row>
    <row r="14" spans="1:8" x14ac:dyDescent="0.2">
      <c r="A14" t="s">
        <v>33</v>
      </c>
      <c r="F14" s="39">
        <f>SUM(F7:F12)</f>
        <v>53.564583333333331</v>
      </c>
      <c r="G14" s="40">
        <f>F14-F13</f>
        <v>0</v>
      </c>
      <c r="H14" t="s">
        <v>149</v>
      </c>
    </row>
    <row r="16" spans="1:8" x14ac:dyDescent="0.2">
      <c r="A16" t="s">
        <v>41</v>
      </c>
      <c r="B16">
        <v>2</v>
      </c>
      <c r="C16">
        <v>10</v>
      </c>
      <c r="D16">
        <v>0</v>
      </c>
      <c r="F16">
        <v>2.5</v>
      </c>
      <c r="H16" t="s">
        <v>42</v>
      </c>
    </row>
    <row r="17" spans="1:8" x14ac:dyDescent="0.2">
      <c r="A17" t="s">
        <v>41</v>
      </c>
      <c r="B17">
        <v>2</v>
      </c>
      <c r="C17">
        <v>10</v>
      </c>
      <c r="D17">
        <v>0</v>
      </c>
      <c r="F17">
        <v>2.5</v>
      </c>
      <c r="H17" t="s">
        <v>43</v>
      </c>
    </row>
    <row r="18" spans="1:8" x14ac:dyDescent="0.2">
      <c r="A18" t="s">
        <v>41</v>
      </c>
      <c r="F18">
        <v>2.5</v>
      </c>
      <c r="G18" s="36">
        <v>0</v>
      </c>
      <c r="H18" t="s">
        <v>149</v>
      </c>
    </row>
    <row r="20" spans="1:8" x14ac:dyDescent="0.2">
      <c r="A20" t="s">
        <v>44</v>
      </c>
      <c r="B20">
        <v>0</v>
      </c>
      <c r="C20">
        <v>0</v>
      </c>
      <c r="D20">
        <v>1</v>
      </c>
      <c r="F20">
        <v>0</v>
      </c>
      <c r="H20" t="s">
        <v>45</v>
      </c>
    </row>
    <row r="21" spans="1:8" x14ac:dyDescent="0.2">
      <c r="A21" t="s">
        <v>44</v>
      </c>
      <c r="B21">
        <v>0</v>
      </c>
      <c r="C21">
        <v>0</v>
      </c>
      <c r="D21">
        <v>1</v>
      </c>
      <c r="F21">
        <v>0</v>
      </c>
      <c r="H21" t="s">
        <v>46</v>
      </c>
    </row>
    <row r="22" spans="1:8" x14ac:dyDescent="0.2">
      <c r="A22" t="s">
        <v>44</v>
      </c>
      <c r="F22">
        <v>0</v>
      </c>
      <c r="G22" s="36">
        <v>0</v>
      </c>
      <c r="H22" t="s">
        <v>149</v>
      </c>
    </row>
    <row r="24" spans="1:8" x14ac:dyDescent="0.2">
      <c r="A24" t="s">
        <v>47</v>
      </c>
      <c r="B24">
        <v>0</v>
      </c>
      <c r="C24">
        <v>13</v>
      </c>
      <c r="D24">
        <v>3</v>
      </c>
      <c r="F24">
        <v>0.66</v>
      </c>
      <c r="H24" t="s">
        <v>48</v>
      </c>
    </row>
    <row r="25" spans="1:8" x14ac:dyDescent="0.2">
      <c r="A25" t="s">
        <v>47</v>
      </c>
      <c r="B25">
        <v>0</v>
      </c>
      <c r="C25">
        <v>1</v>
      </c>
      <c r="D25">
        <v>0</v>
      </c>
      <c r="F25">
        <v>0.05</v>
      </c>
      <c r="H25" t="s">
        <v>49</v>
      </c>
    </row>
    <row r="26" spans="1:8" x14ac:dyDescent="0.2">
      <c r="A26" t="s">
        <v>47</v>
      </c>
      <c r="B26">
        <v>0</v>
      </c>
      <c r="C26">
        <v>13</v>
      </c>
      <c r="D26">
        <v>6</v>
      </c>
      <c r="F26">
        <v>0.68</v>
      </c>
      <c r="H26" t="s">
        <v>50</v>
      </c>
    </row>
    <row r="27" spans="1:8" x14ac:dyDescent="0.2">
      <c r="A27" t="s">
        <v>47</v>
      </c>
      <c r="B27">
        <v>0</v>
      </c>
      <c r="C27">
        <v>0</v>
      </c>
      <c r="D27">
        <v>8</v>
      </c>
      <c r="F27">
        <v>0.03</v>
      </c>
      <c r="H27" t="s">
        <v>51</v>
      </c>
    </row>
    <row r="28" spans="1:8" x14ac:dyDescent="0.2">
      <c r="A28" t="s">
        <v>47</v>
      </c>
      <c r="B28">
        <v>0</v>
      </c>
      <c r="C28">
        <v>0</v>
      </c>
      <c r="D28">
        <v>2</v>
      </c>
      <c r="F28">
        <v>0.01</v>
      </c>
      <c r="H28" t="s">
        <v>52</v>
      </c>
    </row>
    <row r="29" spans="1:8" x14ac:dyDescent="0.2">
      <c r="A29" t="s">
        <v>47</v>
      </c>
      <c r="B29">
        <v>0</v>
      </c>
      <c r="C29">
        <v>0</v>
      </c>
      <c r="D29">
        <v>2</v>
      </c>
      <c r="F29">
        <v>0.01</v>
      </c>
      <c r="H29" t="s">
        <v>53</v>
      </c>
    </row>
    <row r="30" spans="1:8" x14ac:dyDescent="0.2">
      <c r="A30" t="s">
        <v>47</v>
      </c>
      <c r="B30">
        <v>0</v>
      </c>
      <c r="C30">
        <v>0</v>
      </c>
      <c r="D30">
        <v>1</v>
      </c>
      <c r="F30">
        <v>0</v>
      </c>
      <c r="H30" t="s">
        <v>54</v>
      </c>
    </row>
    <row r="31" spans="1:8" x14ac:dyDescent="0.2">
      <c r="A31" t="s">
        <v>47</v>
      </c>
      <c r="B31">
        <v>0</v>
      </c>
      <c r="C31">
        <v>0</v>
      </c>
      <c r="D31">
        <v>4</v>
      </c>
      <c r="F31">
        <v>0.02</v>
      </c>
      <c r="H31" t="s">
        <v>55</v>
      </c>
    </row>
    <row r="32" spans="1:8" x14ac:dyDescent="0.2">
      <c r="A32" t="s">
        <v>47</v>
      </c>
      <c r="B32">
        <v>1</v>
      </c>
      <c r="C32">
        <v>9</v>
      </c>
      <c r="D32">
        <v>2</v>
      </c>
      <c r="F32">
        <v>1.46</v>
      </c>
      <c r="H32" t="s">
        <v>56</v>
      </c>
    </row>
    <row r="33" spans="1:8" x14ac:dyDescent="0.2">
      <c r="A33" t="s">
        <v>47</v>
      </c>
      <c r="F33">
        <v>1.46</v>
      </c>
      <c r="G33" s="36">
        <v>0</v>
      </c>
      <c r="H33" t="s">
        <v>149</v>
      </c>
    </row>
    <row r="35" spans="1:8" x14ac:dyDescent="0.2">
      <c r="A35" t="s">
        <v>57</v>
      </c>
      <c r="B35">
        <v>0</v>
      </c>
      <c r="C35">
        <v>0</v>
      </c>
      <c r="D35">
        <v>6</v>
      </c>
      <c r="F35">
        <v>0.03</v>
      </c>
      <c r="H35" t="s">
        <v>58</v>
      </c>
    </row>
    <row r="36" spans="1:8" x14ac:dyDescent="0.2">
      <c r="A36" t="s">
        <v>57</v>
      </c>
      <c r="B36">
        <v>0</v>
      </c>
      <c r="C36">
        <v>0</v>
      </c>
      <c r="D36">
        <v>6</v>
      </c>
      <c r="F36">
        <v>0.03</v>
      </c>
      <c r="H36" t="s">
        <v>59</v>
      </c>
    </row>
    <row r="37" spans="1:8" x14ac:dyDescent="0.2">
      <c r="A37" t="s">
        <v>57</v>
      </c>
      <c r="B37">
        <v>0</v>
      </c>
      <c r="C37">
        <v>0</v>
      </c>
      <c r="D37">
        <v>3</v>
      </c>
      <c r="F37">
        <v>0.01</v>
      </c>
      <c r="H37" t="s">
        <v>60</v>
      </c>
    </row>
    <row r="38" spans="1:8" x14ac:dyDescent="0.2">
      <c r="A38" t="s">
        <v>57</v>
      </c>
      <c r="B38">
        <v>0</v>
      </c>
      <c r="C38">
        <v>0</v>
      </c>
      <c r="D38">
        <v>6</v>
      </c>
      <c r="F38">
        <v>0.03</v>
      </c>
      <c r="H38" t="s">
        <v>61</v>
      </c>
    </row>
    <row r="39" spans="1:8" x14ac:dyDescent="0.2">
      <c r="A39" t="s">
        <v>57</v>
      </c>
      <c r="B39">
        <v>0</v>
      </c>
      <c r="C39">
        <v>0</v>
      </c>
      <c r="D39">
        <v>3</v>
      </c>
      <c r="F39">
        <v>0.01</v>
      </c>
      <c r="H39" t="s">
        <v>62</v>
      </c>
    </row>
    <row r="40" spans="1:8" x14ac:dyDescent="0.2">
      <c r="A40" t="s">
        <v>57</v>
      </c>
      <c r="B40">
        <v>0</v>
      </c>
      <c r="C40">
        <v>0</v>
      </c>
      <c r="D40">
        <v>3</v>
      </c>
      <c r="F40">
        <v>0.01</v>
      </c>
      <c r="H40" t="s">
        <v>63</v>
      </c>
    </row>
    <row r="41" spans="1:8" x14ac:dyDescent="0.2">
      <c r="A41" t="s">
        <v>57</v>
      </c>
      <c r="B41">
        <v>0</v>
      </c>
      <c r="C41">
        <v>0</v>
      </c>
      <c r="D41">
        <v>6</v>
      </c>
      <c r="F41">
        <v>0.03</v>
      </c>
      <c r="H41" t="s">
        <v>64</v>
      </c>
    </row>
    <row r="42" spans="1:8" x14ac:dyDescent="0.2">
      <c r="A42" t="s">
        <v>57</v>
      </c>
      <c r="B42">
        <v>0</v>
      </c>
      <c r="C42">
        <v>0</v>
      </c>
      <c r="D42">
        <v>6</v>
      </c>
      <c r="F42">
        <v>0.03</v>
      </c>
      <c r="H42" t="s">
        <v>65</v>
      </c>
    </row>
    <row r="43" spans="1:8" x14ac:dyDescent="0.2">
      <c r="A43" t="s">
        <v>57</v>
      </c>
      <c r="B43">
        <v>0</v>
      </c>
      <c r="C43">
        <v>0</v>
      </c>
      <c r="D43">
        <v>6</v>
      </c>
      <c r="F43">
        <v>0.03</v>
      </c>
      <c r="H43" t="s">
        <v>66</v>
      </c>
    </row>
    <row r="44" spans="1:8" x14ac:dyDescent="0.2">
      <c r="A44" t="s">
        <v>57</v>
      </c>
      <c r="B44">
        <v>0</v>
      </c>
      <c r="C44">
        <v>1</v>
      </c>
      <c r="D44">
        <v>0</v>
      </c>
      <c r="F44">
        <v>0.05</v>
      </c>
      <c r="H44" t="s">
        <v>67</v>
      </c>
    </row>
    <row r="45" spans="1:8" x14ac:dyDescent="0.2">
      <c r="A45" t="s">
        <v>57</v>
      </c>
      <c r="B45">
        <v>0</v>
      </c>
      <c r="C45">
        <v>0</v>
      </c>
      <c r="D45">
        <v>6</v>
      </c>
      <c r="F45">
        <v>0.03</v>
      </c>
      <c r="H45" t="s">
        <v>68</v>
      </c>
    </row>
    <row r="46" spans="1:8" x14ac:dyDescent="0.2">
      <c r="A46" t="s">
        <v>57</v>
      </c>
      <c r="B46">
        <v>0</v>
      </c>
      <c r="C46">
        <v>0</v>
      </c>
      <c r="D46">
        <v>6</v>
      </c>
      <c r="F46">
        <v>0.03</v>
      </c>
      <c r="H46" t="s">
        <v>69</v>
      </c>
    </row>
    <row r="47" spans="1:8" x14ac:dyDescent="0.2">
      <c r="A47" t="s">
        <v>57</v>
      </c>
      <c r="B47">
        <v>0</v>
      </c>
      <c r="C47">
        <v>0</v>
      </c>
      <c r="D47">
        <v>6</v>
      </c>
      <c r="F47">
        <v>0.03</v>
      </c>
      <c r="H47" t="s">
        <v>70</v>
      </c>
    </row>
    <row r="48" spans="1:8" x14ac:dyDescent="0.2">
      <c r="A48" t="s">
        <v>57</v>
      </c>
      <c r="B48">
        <v>0</v>
      </c>
      <c r="C48">
        <v>1</v>
      </c>
      <c r="D48">
        <v>0</v>
      </c>
      <c r="F48">
        <v>0.05</v>
      </c>
      <c r="H48" t="s">
        <v>71</v>
      </c>
    </row>
    <row r="49" spans="1:8" x14ac:dyDescent="0.2">
      <c r="A49" t="s">
        <v>57</v>
      </c>
      <c r="B49">
        <v>0</v>
      </c>
      <c r="C49">
        <v>0</v>
      </c>
      <c r="D49">
        <v>6</v>
      </c>
      <c r="F49">
        <v>0.03</v>
      </c>
      <c r="H49" t="s">
        <v>72</v>
      </c>
    </row>
    <row r="50" spans="1:8" x14ac:dyDescent="0.2">
      <c r="A50" t="s">
        <v>57</v>
      </c>
      <c r="B50">
        <v>0</v>
      </c>
      <c r="C50">
        <v>0</v>
      </c>
      <c r="D50">
        <v>6</v>
      </c>
      <c r="F50">
        <v>0.03</v>
      </c>
      <c r="H50" t="s">
        <v>73</v>
      </c>
    </row>
    <row r="51" spans="1:8" x14ac:dyDescent="0.2">
      <c r="A51" t="s">
        <v>57</v>
      </c>
      <c r="B51">
        <v>0</v>
      </c>
      <c r="C51">
        <v>0</v>
      </c>
      <c r="D51">
        <v>6</v>
      </c>
      <c r="F51">
        <v>0.03</v>
      </c>
      <c r="H51" t="s">
        <v>74</v>
      </c>
    </row>
    <row r="52" spans="1:8" x14ac:dyDescent="0.2">
      <c r="A52" t="s">
        <v>57</v>
      </c>
      <c r="B52">
        <v>0</v>
      </c>
      <c r="C52">
        <v>1</v>
      </c>
      <c r="D52">
        <v>0</v>
      </c>
      <c r="F52">
        <v>0.05</v>
      </c>
      <c r="H52" t="s">
        <v>75</v>
      </c>
    </row>
    <row r="53" spans="1:8" x14ac:dyDescent="0.2">
      <c r="A53" t="s">
        <v>57</v>
      </c>
      <c r="B53">
        <v>0</v>
      </c>
      <c r="C53">
        <v>0</v>
      </c>
      <c r="D53">
        <v>3</v>
      </c>
      <c r="F53">
        <v>0.01</v>
      </c>
      <c r="H53" t="s">
        <v>76</v>
      </c>
    </row>
    <row r="54" spans="1:8" x14ac:dyDescent="0.2">
      <c r="A54" t="s">
        <v>57</v>
      </c>
      <c r="B54">
        <v>0</v>
      </c>
      <c r="C54">
        <v>0</v>
      </c>
      <c r="D54">
        <v>3</v>
      </c>
      <c r="F54">
        <v>0.01</v>
      </c>
      <c r="H54" t="s">
        <v>77</v>
      </c>
    </row>
    <row r="55" spans="1:8" x14ac:dyDescent="0.2">
      <c r="A55" t="s">
        <v>57</v>
      </c>
      <c r="B55">
        <v>0</v>
      </c>
      <c r="C55">
        <v>0</v>
      </c>
      <c r="D55">
        <v>3</v>
      </c>
      <c r="F55">
        <v>0.01</v>
      </c>
      <c r="H55" t="s">
        <v>78</v>
      </c>
    </row>
    <row r="56" spans="1:8" x14ac:dyDescent="0.2">
      <c r="A56" t="s">
        <v>57</v>
      </c>
      <c r="B56">
        <v>0</v>
      </c>
      <c r="C56">
        <v>1</v>
      </c>
      <c r="D56">
        <v>0</v>
      </c>
      <c r="F56">
        <v>0.05</v>
      </c>
      <c r="H56" t="s">
        <v>79</v>
      </c>
    </row>
    <row r="57" spans="1:8" x14ac:dyDescent="0.2">
      <c r="A57" t="s">
        <v>57</v>
      </c>
      <c r="B57">
        <v>0</v>
      </c>
      <c r="C57">
        <v>0</v>
      </c>
      <c r="D57">
        <v>3</v>
      </c>
      <c r="F57">
        <v>0.01</v>
      </c>
      <c r="H57" t="s">
        <v>80</v>
      </c>
    </row>
    <row r="58" spans="1:8" x14ac:dyDescent="0.2">
      <c r="A58" t="s">
        <v>57</v>
      </c>
      <c r="B58">
        <v>0</v>
      </c>
      <c r="C58">
        <v>0</v>
      </c>
      <c r="D58">
        <v>6</v>
      </c>
      <c r="F58">
        <v>0.03</v>
      </c>
      <c r="H58" t="s">
        <v>81</v>
      </c>
    </row>
    <row r="59" spans="1:8" x14ac:dyDescent="0.2">
      <c r="A59" t="s">
        <v>57</v>
      </c>
      <c r="B59">
        <v>0</v>
      </c>
      <c r="C59">
        <v>0</v>
      </c>
      <c r="D59">
        <v>6</v>
      </c>
      <c r="F59">
        <v>0.03</v>
      </c>
      <c r="H59" t="s">
        <v>82</v>
      </c>
    </row>
    <row r="60" spans="1:8" x14ac:dyDescent="0.2">
      <c r="A60" t="s">
        <v>57</v>
      </c>
      <c r="B60">
        <v>0</v>
      </c>
      <c r="C60">
        <v>0</v>
      </c>
      <c r="D60">
        <v>6</v>
      </c>
      <c r="F60">
        <v>0.03</v>
      </c>
      <c r="H60" t="s">
        <v>83</v>
      </c>
    </row>
    <row r="61" spans="1:8" x14ac:dyDescent="0.2">
      <c r="A61" t="s">
        <v>57</v>
      </c>
      <c r="B61">
        <v>0</v>
      </c>
      <c r="C61">
        <v>0</v>
      </c>
      <c r="D61">
        <v>3</v>
      </c>
      <c r="F61">
        <v>0.01</v>
      </c>
      <c r="H61" t="s">
        <v>84</v>
      </c>
    </row>
    <row r="62" spans="1:8" x14ac:dyDescent="0.2">
      <c r="A62" t="s">
        <v>57</v>
      </c>
      <c r="B62">
        <v>0</v>
      </c>
      <c r="C62">
        <v>1</v>
      </c>
      <c r="D62">
        <v>0</v>
      </c>
      <c r="F62">
        <v>0.05</v>
      </c>
      <c r="H62" t="s">
        <v>85</v>
      </c>
    </row>
    <row r="63" spans="1:8" x14ac:dyDescent="0.2">
      <c r="A63" t="s">
        <v>57</v>
      </c>
      <c r="B63">
        <v>0</v>
      </c>
      <c r="C63">
        <v>0</v>
      </c>
      <c r="D63">
        <v>6</v>
      </c>
      <c r="F63">
        <v>0.03</v>
      </c>
      <c r="H63" t="s">
        <v>86</v>
      </c>
    </row>
    <row r="64" spans="1:8" x14ac:dyDescent="0.2">
      <c r="A64" t="s">
        <v>57</v>
      </c>
      <c r="B64">
        <v>0</v>
      </c>
      <c r="C64">
        <v>0</v>
      </c>
      <c r="D64">
        <v>3</v>
      </c>
      <c r="F64">
        <v>0.01</v>
      </c>
      <c r="H64" t="s">
        <v>87</v>
      </c>
    </row>
    <row r="65" spans="1:8" x14ac:dyDescent="0.2">
      <c r="A65" t="s">
        <v>57</v>
      </c>
      <c r="B65">
        <v>0</v>
      </c>
      <c r="C65">
        <v>0</v>
      </c>
      <c r="D65">
        <v>3</v>
      </c>
      <c r="F65">
        <v>0.01</v>
      </c>
      <c r="H65" t="s">
        <v>88</v>
      </c>
    </row>
    <row r="66" spans="1:8" x14ac:dyDescent="0.2">
      <c r="A66" t="s">
        <v>57</v>
      </c>
      <c r="B66">
        <v>0</v>
      </c>
      <c r="C66">
        <v>0</v>
      </c>
      <c r="D66">
        <v>3</v>
      </c>
      <c r="F66">
        <v>0.01</v>
      </c>
      <c r="H66" t="s">
        <v>89</v>
      </c>
    </row>
    <row r="67" spans="1:8" x14ac:dyDescent="0.2">
      <c r="A67" t="s">
        <v>57</v>
      </c>
      <c r="B67">
        <v>0</v>
      </c>
      <c r="C67">
        <v>0</v>
      </c>
      <c r="D67">
        <v>3</v>
      </c>
      <c r="F67">
        <v>0.01</v>
      </c>
      <c r="H67" t="s">
        <v>90</v>
      </c>
    </row>
    <row r="68" spans="1:8" x14ac:dyDescent="0.2">
      <c r="A68" t="s">
        <v>57</v>
      </c>
      <c r="B68">
        <v>0</v>
      </c>
      <c r="C68">
        <v>0</v>
      </c>
      <c r="D68">
        <v>6</v>
      </c>
      <c r="F68">
        <v>0.03</v>
      </c>
      <c r="H68" t="s">
        <v>91</v>
      </c>
    </row>
    <row r="69" spans="1:8" x14ac:dyDescent="0.2">
      <c r="A69" t="s">
        <v>57</v>
      </c>
      <c r="B69">
        <v>0</v>
      </c>
      <c r="C69">
        <v>0</v>
      </c>
      <c r="D69">
        <v>3</v>
      </c>
      <c r="F69">
        <v>0.01</v>
      </c>
      <c r="H69" t="s">
        <v>92</v>
      </c>
    </row>
    <row r="70" spans="1:8" x14ac:dyDescent="0.2">
      <c r="A70" t="s">
        <v>57</v>
      </c>
      <c r="B70">
        <v>0</v>
      </c>
      <c r="C70">
        <v>0</v>
      </c>
      <c r="D70">
        <v>3</v>
      </c>
      <c r="F70">
        <v>0.01</v>
      </c>
      <c r="H70" t="s">
        <v>93</v>
      </c>
    </row>
    <row r="71" spans="1:8" x14ac:dyDescent="0.2">
      <c r="A71" t="s">
        <v>57</v>
      </c>
      <c r="B71">
        <v>0</v>
      </c>
      <c r="C71">
        <v>0</v>
      </c>
      <c r="D71">
        <v>3</v>
      </c>
      <c r="F71">
        <v>0.01</v>
      </c>
      <c r="H71" t="s">
        <v>94</v>
      </c>
    </row>
    <row r="72" spans="1:8" x14ac:dyDescent="0.2">
      <c r="A72" t="s">
        <v>57</v>
      </c>
      <c r="B72">
        <v>0</v>
      </c>
      <c r="C72">
        <v>0</v>
      </c>
      <c r="D72">
        <v>3</v>
      </c>
      <c r="F72">
        <v>0.01</v>
      </c>
      <c r="H72" t="s">
        <v>95</v>
      </c>
    </row>
    <row r="73" spans="1:8" x14ac:dyDescent="0.2">
      <c r="A73" t="s">
        <v>57</v>
      </c>
      <c r="B73">
        <v>0</v>
      </c>
      <c r="C73">
        <v>0</v>
      </c>
      <c r="D73">
        <v>3</v>
      </c>
      <c r="F73">
        <v>0.01</v>
      </c>
      <c r="H73" t="s">
        <v>96</v>
      </c>
    </row>
    <row r="74" spans="1:8" x14ac:dyDescent="0.2">
      <c r="A74" t="s">
        <v>57</v>
      </c>
      <c r="B74">
        <v>0</v>
      </c>
      <c r="C74">
        <v>0</v>
      </c>
      <c r="D74">
        <v>3</v>
      </c>
      <c r="F74">
        <v>0.01</v>
      </c>
      <c r="H74" t="s">
        <v>97</v>
      </c>
    </row>
    <row r="75" spans="1:8" x14ac:dyDescent="0.2">
      <c r="A75" t="s">
        <v>57</v>
      </c>
      <c r="B75">
        <v>0</v>
      </c>
      <c r="C75">
        <v>0</v>
      </c>
      <c r="D75">
        <v>3</v>
      </c>
      <c r="F75">
        <v>0.01</v>
      </c>
      <c r="H75" t="s">
        <v>98</v>
      </c>
    </row>
    <row r="76" spans="1:8" x14ac:dyDescent="0.2">
      <c r="A76" t="s">
        <v>57</v>
      </c>
      <c r="B76">
        <v>0</v>
      </c>
      <c r="C76">
        <v>1</v>
      </c>
      <c r="D76">
        <v>0</v>
      </c>
      <c r="F76">
        <v>0.05</v>
      </c>
      <c r="H76" t="s">
        <v>99</v>
      </c>
    </row>
    <row r="77" spans="1:8" x14ac:dyDescent="0.2">
      <c r="A77" t="s">
        <v>57</v>
      </c>
      <c r="B77">
        <v>0</v>
      </c>
      <c r="C77">
        <v>0</v>
      </c>
      <c r="D77">
        <v>3</v>
      </c>
      <c r="F77">
        <v>0.01</v>
      </c>
      <c r="H77" t="s">
        <v>100</v>
      </c>
    </row>
    <row r="78" spans="1:8" x14ac:dyDescent="0.2">
      <c r="A78" t="s">
        <v>57</v>
      </c>
      <c r="B78">
        <v>0</v>
      </c>
      <c r="C78">
        <v>0</v>
      </c>
      <c r="D78">
        <v>9</v>
      </c>
      <c r="F78">
        <v>0.04</v>
      </c>
      <c r="H78" t="s">
        <v>101</v>
      </c>
    </row>
    <row r="79" spans="1:8" x14ac:dyDescent="0.2">
      <c r="A79" t="s">
        <v>57</v>
      </c>
      <c r="B79">
        <v>0</v>
      </c>
      <c r="C79">
        <v>1</v>
      </c>
      <c r="D79">
        <v>0</v>
      </c>
      <c r="F79">
        <v>0.05</v>
      </c>
      <c r="H79" t="s">
        <v>102</v>
      </c>
    </row>
    <row r="80" spans="1:8" x14ac:dyDescent="0.2">
      <c r="A80" t="s">
        <v>57</v>
      </c>
      <c r="B80">
        <v>0</v>
      </c>
      <c r="C80">
        <v>0</v>
      </c>
      <c r="D80">
        <v>3</v>
      </c>
      <c r="F80">
        <v>0.01</v>
      </c>
      <c r="H80" t="s">
        <v>103</v>
      </c>
    </row>
    <row r="81" spans="1:8" x14ac:dyDescent="0.2">
      <c r="A81" t="s">
        <v>57</v>
      </c>
      <c r="B81">
        <v>0</v>
      </c>
      <c r="C81">
        <v>0</v>
      </c>
      <c r="D81">
        <v>3</v>
      </c>
      <c r="F81">
        <v>0.01</v>
      </c>
      <c r="H81" t="s">
        <v>104</v>
      </c>
    </row>
    <row r="82" spans="1:8" x14ac:dyDescent="0.2">
      <c r="A82" t="s">
        <v>57</v>
      </c>
      <c r="B82">
        <v>0</v>
      </c>
      <c r="C82">
        <v>0</v>
      </c>
      <c r="D82">
        <v>6</v>
      </c>
      <c r="F82">
        <v>0.03</v>
      </c>
      <c r="H82" t="s">
        <v>105</v>
      </c>
    </row>
    <row r="83" spans="1:8" x14ac:dyDescent="0.2">
      <c r="A83" t="s">
        <v>57</v>
      </c>
      <c r="B83">
        <v>0</v>
      </c>
      <c r="C83">
        <v>1</v>
      </c>
      <c r="D83">
        <v>0</v>
      </c>
      <c r="F83">
        <v>0.05</v>
      </c>
      <c r="H83" t="s">
        <v>106</v>
      </c>
    </row>
    <row r="84" spans="1:8" x14ac:dyDescent="0.2">
      <c r="A84" t="s">
        <v>57</v>
      </c>
      <c r="B84">
        <v>0</v>
      </c>
      <c r="C84">
        <v>0</v>
      </c>
      <c r="D84">
        <v>6</v>
      </c>
      <c r="F84">
        <v>0.03</v>
      </c>
      <c r="H84" t="s">
        <v>68</v>
      </c>
    </row>
    <row r="85" spans="1:8" x14ac:dyDescent="0.2">
      <c r="A85" t="s">
        <v>57</v>
      </c>
      <c r="B85">
        <v>0</v>
      </c>
      <c r="C85">
        <v>0</v>
      </c>
      <c r="D85">
        <v>6</v>
      </c>
      <c r="F85">
        <v>0.03</v>
      </c>
      <c r="H85" t="s">
        <v>107</v>
      </c>
    </row>
    <row r="86" spans="1:8" x14ac:dyDescent="0.2">
      <c r="A86" t="s">
        <v>57</v>
      </c>
      <c r="B86">
        <v>0</v>
      </c>
      <c r="C86">
        <v>1</v>
      </c>
      <c r="D86">
        <v>0</v>
      </c>
      <c r="F86">
        <v>0.05</v>
      </c>
      <c r="H86" t="s">
        <v>108</v>
      </c>
    </row>
    <row r="87" spans="1:8" x14ac:dyDescent="0.2">
      <c r="A87" t="s">
        <v>57</v>
      </c>
      <c r="B87">
        <v>0</v>
      </c>
      <c r="C87">
        <v>1</v>
      </c>
      <c r="D87">
        <v>0</v>
      </c>
      <c r="F87">
        <v>0.05</v>
      </c>
      <c r="H87" t="s">
        <v>109</v>
      </c>
    </row>
    <row r="88" spans="1:8" x14ac:dyDescent="0.2">
      <c r="A88" t="s">
        <v>57</v>
      </c>
      <c r="B88">
        <v>0</v>
      </c>
      <c r="C88">
        <v>1</v>
      </c>
      <c r="D88">
        <v>0</v>
      </c>
      <c r="F88">
        <v>0.05</v>
      </c>
      <c r="H88" t="s">
        <v>110</v>
      </c>
    </row>
    <row r="89" spans="1:8" x14ac:dyDescent="0.2">
      <c r="A89" t="s">
        <v>57</v>
      </c>
      <c r="B89">
        <v>0</v>
      </c>
      <c r="C89">
        <v>1</v>
      </c>
      <c r="D89">
        <v>0</v>
      </c>
      <c r="F89">
        <v>0.05</v>
      </c>
      <c r="H89" t="s">
        <v>111</v>
      </c>
    </row>
    <row r="90" spans="1:8" x14ac:dyDescent="0.2">
      <c r="A90" t="s">
        <v>57</v>
      </c>
      <c r="B90">
        <v>0</v>
      </c>
      <c r="C90">
        <v>1</v>
      </c>
      <c r="D90">
        <v>0</v>
      </c>
      <c r="F90">
        <v>0.05</v>
      </c>
      <c r="H90" t="s">
        <v>112</v>
      </c>
    </row>
    <row r="91" spans="1:8" x14ac:dyDescent="0.2">
      <c r="A91" t="s">
        <v>57</v>
      </c>
      <c r="B91">
        <v>0</v>
      </c>
      <c r="C91">
        <v>1</v>
      </c>
      <c r="D91">
        <v>0</v>
      </c>
      <c r="F91">
        <v>0.05</v>
      </c>
      <c r="H91" t="s">
        <v>113</v>
      </c>
    </row>
    <row r="92" spans="1:8" x14ac:dyDescent="0.2">
      <c r="A92" t="s">
        <v>57</v>
      </c>
      <c r="B92">
        <v>0</v>
      </c>
      <c r="C92">
        <v>1</v>
      </c>
      <c r="D92">
        <v>0</v>
      </c>
      <c r="F92">
        <v>0.05</v>
      </c>
      <c r="H92" t="s">
        <v>114</v>
      </c>
    </row>
    <row r="93" spans="1:8" x14ac:dyDescent="0.2">
      <c r="A93" t="s">
        <v>57</v>
      </c>
      <c r="B93">
        <v>0</v>
      </c>
      <c r="C93">
        <v>1</v>
      </c>
      <c r="D93">
        <v>0</v>
      </c>
      <c r="F93">
        <v>0.05</v>
      </c>
      <c r="H93" t="s">
        <v>115</v>
      </c>
    </row>
    <row r="94" spans="1:8" x14ac:dyDescent="0.2">
      <c r="A94" t="s">
        <v>57</v>
      </c>
      <c r="B94">
        <v>0</v>
      </c>
      <c r="C94">
        <v>1</v>
      </c>
      <c r="D94">
        <v>0</v>
      </c>
      <c r="F94">
        <v>0.05</v>
      </c>
      <c r="H94" t="s">
        <v>116</v>
      </c>
    </row>
    <row r="95" spans="1:8" x14ac:dyDescent="0.2">
      <c r="A95" t="s">
        <v>57</v>
      </c>
      <c r="B95">
        <v>0</v>
      </c>
      <c r="C95">
        <v>1</v>
      </c>
      <c r="D95">
        <v>0</v>
      </c>
      <c r="F95">
        <v>0.05</v>
      </c>
      <c r="H95" t="s">
        <v>85</v>
      </c>
    </row>
    <row r="96" spans="1:8" x14ac:dyDescent="0.2">
      <c r="A96" t="s">
        <v>57</v>
      </c>
      <c r="B96">
        <v>0</v>
      </c>
      <c r="C96">
        <v>0</v>
      </c>
      <c r="D96">
        <v>6</v>
      </c>
      <c r="F96">
        <v>0.03</v>
      </c>
      <c r="H96" t="s">
        <v>86</v>
      </c>
    </row>
    <row r="97" spans="1:8" x14ac:dyDescent="0.2">
      <c r="A97" t="s">
        <v>57</v>
      </c>
      <c r="B97">
        <v>0</v>
      </c>
      <c r="C97">
        <v>0</v>
      </c>
      <c r="D97">
        <v>6</v>
      </c>
      <c r="F97">
        <v>0.03</v>
      </c>
      <c r="H97" t="s">
        <v>117</v>
      </c>
    </row>
    <row r="98" spans="1:8" x14ac:dyDescent="0.2">
      <c r="A98" t="s">
        <v>57</v>
      </c>
      <c r="B98">
        <v>0</v>
      </c>
      <c r="C98">
        <v>0</v>
      </c>
      <c r="D98">
        <v>3</v>
      </c>
      <c r="F98">
        <v>0.01</v>
      </c>
      <c r="H98" t="s">
        <v>118</v>
      </c>
    </row>
    <row r="99" spans="1:8" x14ac:dyDescent="0.2">
      <c r="A99" t="s">
        <v>57</v>
      </c>
      <c r="B99">
        <v>0</v>
      </c>
      <c r="C99">
        <v>0</v>
      </c>
      <c r="D99">
        <v>6</v>
      </c>
      <c r="F99">
        <v>0.03</v>
      </c>
      <c r="H99" t="s">
        <v>119</v>
      </c>
    </row>
    <row r="100" spans="1:8" x14ac:dyDescent="0.2">
      <c r="A100" t="s">
        <v>57</v>
      </c>
      <c r="B100">
        <v>0</v>
      </c>
      <c r="C100">
        <v>0</v>
      </c>
      <c r="D100">
        <v>3</v>
      </c>
      <c r="F100">
        <v>0.01</v>
      </c>
      <c r="H100" t="s">
        <v>120</v>
      </c>
    </row>
    <row r="101" spans="1:8" x14ac:dyDescent="0.2">
      <c r="A101" t="s">
        <v>57</v>
      </c>
      <c r="B101">
        <v>0</v>
      </c>
      <c r="C101">
        <v>0</v>
      </c>
      <c r="D101">
        <v>6</v>
      </c>
      <c r="F101">
        <v>0.03</v>
      </c>
      <c r="H101" t="s">
        <v>121</v>
      </c>
    </row>
    <row r="102" spans="1:8" x14ac:dyDescent="0.2">
      <c r="A102" t="s">
        <v>57</v>
      </c>
      <c r="B102">
        <v>0</v>
      </c>
      <c r="C102">
        <v>0</v>
      </c>
      <c r="D102">
        <v>2</v>
      </c>
      <c r="F102">
        <v>0.01</v>
      </c>
      <c r="H102" t="s">
        <v>122</v>
      </c>
    </row>
    <row r="103" spans="1:8" x14ac:dyDescent="0.2">
      <c r="A103" t="s">
        <v>57</v>
      </c>
      <c r="B103">
        <v>0</v>
      </c>
      <c r="C103">
        <v>0</v>
      </c>
      <c r="D103">
        <v>3</v>
      </c>
      <c r="F103">
        <v>0.01</v>
      </c>
      <c r="H103" t="s">
        <v>123</v>
      </c>
    </row>
    <row r="104" spans="1:8" x14ac:dyDescent="0.2">
      <c r="A104" t="s">
        <v>57</v>
      </c>
      <c r="B104">
        <v>0</v>
      </c>
      <c r="C104">
        <v>0</v>
      </c>
      <c r="D104">
        <v>4</v>
      </c>
      <c r="F104">
        <v>0.02</v>
      </c>
      <c r="H104" t="s">
        <v>124</v>
      </c>
    </row>
    <row r="105" spans="1:8" x14ac:dyDescent="0.2">
      <c r="A105" t="s">
        <v>57</v>
      </c>
      <c r="B105">
        <v>0</v>
      </c>
      <c r="C105">
        <v>0</v>
      </c>
      <c r="D105">
        <v>3</v>
      </c>
      <c r="F105">
        <v>0.01</v>
      </c>
      <c r="H105" t="s">
        <v>125</v>
      </c>
    </row>
    <row r="106" spans="1:8" x14ac:dyDescent="0.2">
      <c r="A106" t="s">
        <v>57</v>
      </c>
      <c r="B106">
        <v>0</v>
      </c>
      <c r="C106">
        <v>0</v>
      </c>
      <c r="D106">
        <v>3</v>
      </c>
      <c r="F106">
        <v>0.01</v>
      </c>
      <c r="H106" t="s">
        <v>126</v>
      </c>
    </row>
    <row r="107" spans="1:8" x14ac:dyDescent="0.2">
      <c r="A107" t="s">
        <v>57</v>
      </c>
      <c r="B107">
        <v>0</v>
      </c>
      <c r="C107">
        <v>0</v>
      </c>
      <c r="D107">
        <v>6</v>
      </c>
      <c r="F107">
        <v>0.03</v>
      </c>
      <c r="H107" t="s">
        <v>127</v>
      </c>
    </row>
    <row r="108" spans="1:8" x14ac:dyDescent="0.2">
      <c r="A108" t="s">
        <v>57</v>
      </c>
      <c r="B108">
        <v>0</v>
      </c>
      <c r="C108">
        <v>0</v>
      </c>
      <c r="D108">
        <v>3</v>
      </c>
      <c r="F108">
        <v>0.01</v>
      </c>
      <c r="H108" t="s">
        <v>128</v>
      </c>
    </row>
    <row r="109" spans="1:8" x14ac:dyDescent="0.2">
      <c r="A109" t="s">
        <v>57</v>
      </c>
      <c r="B109">
        <v>0</v>
      </c>
      <c r="C109">
        <v>0</v>
      </c>
      <c r="D109">
        <v>3</v>
      </c>
      <c r="F109">
        <v>0.01</v>
      </c>
      <c r="H109" t="s">
        <v>129</v>
      </c>
    </row>
    <row r="110" spans="1:8" x14ac:dyDescent="0.2">
      <c r="A110" t="s">
        <v>57</v>
      </c>
      <c r="B110">
        <v>0</v>
      </c>
      <c r="C110">
        <v>0</v>
      </c>
      <c r="D110">
        <v>3</v>
      </c>
      <c r="F110">
        <v>0.01</v>
      </c>
      <c r="H110" t="s">
        <v>130</v>
      </c>
    </row>
    <row r="111" spans="1:8" x14ac:dyDescent="0.2">
      <c r="A111" t="s">
        <v>57</v>
      </c>
      <c r="B111">
        <v>0</v>
      </c>
      <c r="C111">
        <v>0</v>
      </c>
      <c r="D111">
        <v>3</v>
      </c>
      <c r="F111">
        <v>0.01</v>
      </c>
      <c r="H111" t="s">
        <v>131</v>
      </c>
    </row>
    <row r="112" spans="1:8" x14ac:dyDescent="0.2">
      <c r="A112" t="s">
        <v>57</v>
      </c>
      <c r="B112">
        <v>0</v>
      </c>
      <c r="C112">
        <v>0</v>
      </c>
      <c r="D112">
        <v>6</v>
      </c>
      <c r="F112">
        <v>0.03</v>
      </c>
      <c r="H112" t="s">
        <v>132</v>
      </c>
    </row>
    <row r="113" spans="1:8" x14ac:dyDescent="0.2">
      <c r="A113" t="s">
        <v>57</v>
      </c>
      <c r="B113">
        <v>0</v>
      </c>
      <c r="C113">
        <v>0</v>
      </c>
      <c r="D113">
        <v>3</v>
      </c>
      <c r="F113">
        <v>0.01</v>
      </c>
      <c r="H113" t="s">
        <v>133</v>
      </c>
    </row>
    <row r="114" spans="1:8" x14ac:dyDescent="0.2">
      <c r="A114" t="s">
        <v>57</v>
      </c>
      <c r="B114">
        <v>0</v>
      </c>
      <c r="C114">
        <v>0</v>
      </c>
      <c r="D114">
        <v>6</v>
      </c>
      <c r="F114">
        <v>0.03</v>
      </c>
      <c r="H114" t="s">
        <v>134</v>
      </c>
    </row>
    <row r="115" spans="1:8" x14ac:dyDescent="0.2">
      <c r="A115" t="s">
        <v>57</v>
      </c>
      <c r="B115">
        <v>0</v>
      </c>
      <c r="C115">
        <v>0</v>
      </c>
      <c r="D115">
        <v>6</v>
      </c>
      <c r="F115">
        <v>0.03</v>
      </c>
      <c r="H115" t="s">
        <v>135</v>
      </c>
    </row>
    <row r="116" spans="1:8" x14ac:dyDescent="0.2">
      <c r="A116" t="s">
        <v>57</v>
      </c>
      <c r="B116">
        <v>2</v>
      </c>
      <c r="C116">
        <v>2</v>
      </c>
      <c r="D116">
        <v>6</v>
      </c>
      <c r="F116">
        <v>2.12</v>
      </c>
      <c r="H116" t="s">
        <v>136</v>
      </c>
    </row>
    <row r="117" spans="1:8" x14ac:dyDescent="0.2">
      <c r="A117" t="s">
        <v>57</v>
      </c>
      <c r="F117">
        <v>2.13</v>
      </c>
      <c r="G117" s="36">
        <v>9.9999999999997868E-3</v>
      </c>
      <c r="H117" t="s">
        <v>149</v>
      </c>
    </row>
    <row r="119" spans="1:8" x14ac:dyDescent="0.2">
      <c r="A119" s="38" t="s">
        <v>319</v>
      </c>
      <c r="B119">
        <v>59</v>
      </c>
      <c r="C119">
        <v>13</v>
      </c>
      <c r="D119">
        <v>0.5</v>
      </c>
      <c r="F119">
        <v>59.65</v>
      </c>
      <c r="H119" t="s">
        <v>140</v>
      </c>
    </row>
    <row r="120" spans="1:8" ht="16" x14ac:dyDescent="0.2">
      <c r="A120" s="47" t="s">
        <v>320</v>
      </c>
      <c r="F120" s="39">
        <f>F117+F33+F18+F14</f>
        <v>59.654583333333335</v>
      </c>
      <c r="G120" s="40">
        <f>F120-F119</f>
        <v>4.5833333333362702E-3</v>
      </c>
    </row>
    <row r="121" spans="1:8" ht="16" x14ac:dyDescent="0.2">
      <c r="A121" s="47" t="s">
        <v>321</v>
      </c>
      <c r="F121" s="39">
        <f>F120+F5</f>
        <v>61.784583333333337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33.1640625" bestFit="1" customWidth="1"/>
    <col min="6" max="6" width="12.83203125" bestFit="1" customWidth="1"/>
    <col min="7" max="7" width="8.83203125" style="36"/>
  </cols>
  <sheetData>
    <row r="1" spans="1:8" ht="16" x14ac:dyDescent="0.2">
      <c r="A1" s="35" t="s">
        <v>307</v>
      </c>
    </row>
    <row r="2" spans="1:8" x14ac:dyDescent="0.2">
      <c r="A2" s="30" t="s">
        <v>0</v>
      </c>
      <c r="B2" s="30" t="s">
        <v>3</v>
      </c>
      <c r="C2" s="30" t="s">
        <v>4</v>
      </c>
      <c r="D2" s="30" t="s">
        <v>5</v>
      </c>
      <c r="E2" s="30"/>
      <c r="F2" s="30" t="s">
        <v>2</v>
      </c>
      <c r="G2" s="41" t="s">
        <v>148</v>
      </c>
      <c r="H2" s="30" t="s">
        <v>1</v>
      </c>
    </row>
    <row r="3" spans="1:8" x14ac:dyDescent="0.2">
      <c r="A3" t="s">
        <v>322</v>
      </c>
      <c r="B3">
        <v>0</v>
      </c>
      <c r="C3">
        <v>9</v>
      </c>
      <c r="D3">
        <v>1.25</v>
      </c>
      <c r="F3">
        <v>0.46</v>
      </c>
      <c r="H3" t="s">
        <v>142</v>
      </c>
    </row>
    <row r="4" spans="1:8" x14ac:dyDescent="0.2">
      <c r="A4" t="s">
        <v>322</v>
      </c>
      <c r="F4">
        <v>0.46</v>
      </c>
      <c r="G4" s="36">
        <v>0</v>
      </c>
      <c r="H4" t="s">
        <v>149</v>
      </c>
    </row>
    <row r="6" spans="1:8" x14ac:dyDescent="0.2">
      <c r="A6" t="s">
        <v>323</v>
      </c>
      <c r="B6">
        <v>59</v>
      </c>
      <c r="C6">
        <v>3</v>
      </c>
      <c r="D6">
        <v>5.25</v>
      </c>
      <c r="F6">
        <v>59.17</v>
      </c>
      <c r="H6" t="s">
        <v>144</v>
      </c>
    </row>
    <row r="8" spans="1:8" x14ac:dyDescent="0.2">
      <c r="A8" t="s">
        <v>324</v>
      </c>
      <c r="B8">
        <v>52</v>
      </c>
      <c r="C8">
        <v>15</v>
      </c>
      <c r="D8">
        <v>0</v>
      </c>
      <c r="F8">
        <v>52.75</v>
      </c>
      <c r="H8" t="s">
        <v>145</v>
      </c>
    </row>
    <row r="10" spans="1:8" x14ac:dyDescent="0.2">
      <c r="A10" t="s">
        <v>146</v>
      </c>
      <c r="B10">
        <v>6</v>
      </c>
      <c r="C10">
        <v>8</v>
      </c>
      <c r="D10">
        <v>5.25</v>
      </c>
      <c r="F10">
        <v>6.42</v>
      </c>
      <c r="H10" t="s">
        <v>147</v>
      </c>
    </row>
    <row r="11" spans="1:8" x14ac:dyDescent="0.2">
      <c r="A11" t="s">
        <v>146</v>
      </c>
      <c r="F11">
        <v>6.42</v>
      </c>
      <c r="G11" s="36">
        <v>0</v>
      </c>
      <c r="H11" t="s">
        <v>149</v>
      </c>
    </row>
    <row r="14" spans="1:8" ht="16" x14ac:dyDescent="0.2">
      <c r="A14" s="10" t="s">
        <v>190</v>
      </c>
    </row>
    <row r="15" spans="1:8" ht="16" x14ac:dyDescent="0.2">
      <c r="A15" s="10" t="s">
        <v>191</v>
      </c>
      <c r="F15">
        <f>F4</f>
        <v>0.46</v>
      </c>
    </row>
    <row r="16" spans="1:8" ht="16" x14ac:dyDescent="0.2">
      <c r="A16" s="10" t="s">
        <v>192</v>
      </c>
      <c r="F16">
        <v>0</v>
      </c>
    </row>
    <row r="17" spans="1:6" ht="16" x14ac:dyDescent="0.2">
      <c r="A17" s="10" t="s">
        <v>193</v>
      </c>
      <c r="F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t="s">
        <v>309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1"/>
  <sheetViews>
    <sheetView topLeftCell="A78" workbookViewId="0">
      <selection activeCell="C109" sqref="C109:C110"/>
    </sheetView>
  </sheetViews>
  <sheetFormatPr baseColWidth="10" defaultColWidth="8.83203125" defaultRowHeight="15" x14ac:dyDescent="0.2"/>
  <cols>
    <col min="2" max="2" width="23.5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 t="s">
        <v>31</v>
      </c>
      <c r="C2">
        <v>2.13</v>
      </c>
      <c r="D2">
        <v>2</v>
      </c>
      <c r="E2">
        <v>2</v>
      </c>
      <c r="F2">
        <v>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30" x14ac:dyDescent="0.2">
      <c r="A3" t="s">
        <v>30</v>
      </c>
      <c r="B3" t="s">
        <v>32</v>
      </c>
      <c r="C3">
        <v>0</v>
      </c>
      <c r="D3">
        <v>0</v>
      </c>
      <c r="E3">
        <v>0</v>
      </c>
      <c r="F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30" x14ac:dyDescent="0.2">
      <c r="A4" t="s">
        <v>33</v>
      </c>
      <c r="B4" t="s">
        <v>34</v>
      </c>
      <c r="C4">
        <v>13</v>
      </c>
      <c r="D4">
        <v>13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30" x14ac:dyDescent="0.2">
      <c r="A5" t="s">
        <v>33</v>
      </c>
      <c r="B5" t="s">
        <v>35</v>
      </c>
      <c r="C5">
        <v>13</v>
      </c>
      <c r="D5">
        <v>13</v>
      </c>
      <c r="E5">
        <v>0</v>
      </c>
      <c r="F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30" x14ac:dyDescent="0.2">
      <c r="A6" t="s">
        <v>33</v>
      </c>
      <c r="B6" t="s">
        <v>36</v>
      </c>
      <c r="C6">
        <v>13</v>
      </c>
      <c r="D6">
        <v>13</v>
      </c>
      <c r="E6">
        <v>0</v>
      </c>
      <c r="F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30" x14ac:dyDescent="0.2">
      <c r="A7" t="s">
        <v>33</v>
      </c>
      <c r="B7" t="s">
        <v>37</v>
      </c>
      <c r="C7">
        <v>14</v>
      </c>
      <c r="D7">
        <v>14</v>
      </c>
      <c r="E7">
        <v>0</v>
      </c>
      <c r="F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30" x14ac:dyDescent="0.2">
      <c r="A8" t="s">
        <v>33</v>
      </c>
      <c r="B8" t="s">
        <v>38</v>
      </c>
      <c r="C8">
        <v>0.5</v>
      </c>
      <c r="D8">
        <v>0</v>
      </c>
      <c r="E8">
        <v>10</v>
      </c>
      <c r="F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30" x14ac:dyDescent="0.2">
      <c r="A9" t="s">
        <v>33</v>
      </c>
      <c r="B9" t="s">
        <v>39</v>
      </c>
      <c r="C9">
        <v>0.03</v>
      </c>
      <c r="D9">
        <v>0</v>
      </c>
      <c r="E9">
        <v>0</v>
      </c>
      <c r="F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30" x14ac:dyDescent="0.2">
      <c r="A10" t="s">
        <v>33</v>
      </c>
      <c r="B10" t="s">
        <v>40</v>
      </c>
      <c r="C10">
        <v>53.56</v>
      </c>
      <c r="D10">
        <v>53</v>
      </c>
      <c r="E10">
        <v>11</v>
      </c>
      <c r="F10">
        <v>3.5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30" x14ac:dyDescent="0.2">
      <c r="A11" t="s">
        <v>41</v>
      </c>
      <c r="B11" t="s">
        <v>42</v>
      </c>
      <c r="C11">
        <v>2.5</v>
      </c>
      <c r="D11">
        <v>2</v>
      </c>
      <c r="E11">
        <v>10</v>
      </c>
      <c r="F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30" x14ac:dyDescent="0.2">
      <c r="A12" t="s">
        <v>41</v>
      </c>
      <c r="B12" t="s">
        <v>43</v>
      </c>
      <c r="C12">
        <v>2.5</v>
      </c>
      <c r="D12">
        <v>2</v>
      </c>
      <c r="E12">
        <v>10</v>
      </c>
      <c r="F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30" x14ac:dyDescent="0.2">
      <c r="A13" t="s">
        <v>44</v>
      </c>
      <c r="B13" t="s">
        <v>45</v>
      </c>
      <c r="C13">
        <v>0</v>
      </c>
      <c r="D13">
        <v>0</v>
      </c>
      <c r="E13">
        <v>0</v>
      </c>
      <c r="F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30" x14ac:dyDescent="0.2">
      <c r="A14" t="s">
        <v>44</v>
      </c>
      <c r="B14" t="s">
        <v>46</v>
      </c>
      <c r="C14">
        <v>0</v>
      </c>
      <c r="D14">
        <v>0</v>
      </c>
      <c r="E14">
        <v>0</v>
      </c>
      <c r="F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30" x14ac:dyDescent="0.2">
      <c r="A15" t="s">
        <v>47</v>
      </c>
      <c r="B15" t="s">
        <v>48</v>
      </c>
      <c r="C15">
        <v>0.66</v>
      </c>
      <c r="D15">
        <v>0</v>
      </c>
      <c r="E15">
        <v>13</v>
      </c>
      <c r="F15">
        <v>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0" x14ac:dyDescent="0.2">
      <c r="A16" t="s">
        <v>47</v>
      </c>
      <c r="B16" t="s">
        <v>49</v>
      </c>
      <c r="C16">
        <v>0.05</v>
      </c>
      <c r="D16">
        <v>0</v>
      </c>
      <c r="E16">
        <v>1</v>
      </c>
      <c r="F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47</v>
      </c>
      <c r="B17" t="s">
        <v>50</v>
      </c>
      <c r="C17">
        <v>0.68</v>
      </c>
      <c r="D17">
        <v>0</v>
      </c>
      <c r="E17">
        <v>13</v>
      </c>
      <c r="F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47</v>
      </c>
      <c r="B18" t="s">
        <v>51</v>
      </c>
      <c r="C18">
        <v>0.03</v>
      </c>
      <c r="D18">
        <v>0</v>
      </c>
      <c r="E18">
        <v>0</v>
      </c>
      <c r="F18">
        <v>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47</v>
      </c>
      <c r="B19" t="s">
        <v>52</v>
      </c>
      <c r="C19">
        <v>0.01</v>
      </c>
      <c r="D19">
        <v>0</v>
      </c>
      <c r="E19">
        <v>0</v>
      </c>
      <c r="F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47</v>
      </c>
      <c r="B20" t="s">
        <v>53</v>
      </c>
      <c r="C20">
        <v>0.01</v>
      </c>
      <c r="D20">
        <v>0</v>
      </c>
      <c r="E20">
        <v>0</v>
      </c>
      <c r="F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47</v>
      </c>
      <c r="B21" t="s">
        <v>54</v>
      </c>
      <c r="C21">
        <v>0</v>
      </c>
      <c r="D21">
        <v>0</v>
      </c>
      <c r="E21">
        <v>0</v>
      </c>
      <c r="F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47</v>
      </c>
      <c r="B22" t="s">
        <v>55</v>
      </c>
      <c r="C22">
        <v>0.02</v>
      </c>
      <c r="D22">
        <v>0</v>
      </c>
      <c r="E22">
        <v>0</v>
      </c>
      <c r="F22">
        <v>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47</v>
      </c>
      <c r="B23" t="s">
        <v>56</v>
      </c>
      <c r="C23">
        <v>1.46</v>
      </c>
      <c r="D23">
        <v>1</v>
      </c>
      <c r="E23">
        <v>9</v>
      </c>
      <c r="F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57</v>
      </c>
      <c r="B24" t="s">
        <v>58</v>
      </c>
      <c r="C24">
        <v>0.03</v>
      </c>
      <c r="D24">
        <v>0</v>
      </c>
      <c r="E24">
        <v>0</v>
      </c>
      <c r="F24">
        <v>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57</v>
      </c>
      <c r="B25" t="s">
        <v>59</v>
      </c>
      <c r="C25">
        <v>0.03</v>
      </c>
      <c r="D25">
        <v>0</v>
      </c>
      <c r="E25">
        <v>0</v>
      </c>
      <c r="F25">
        <v>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57</v>
      </c>
      <c r="B26" t="s">
        <v>60</v>
      </c>
      <c r="C26">
        <v>0.01</v>
      </c>
      <c r="D26">
        <v>0</v>
      </c>
      <c r="E26">
        <v>0</v>
      </c>
      <c r="F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57</v>
      </c>
      <c r="B27" t="s">
        <v>61</v>
      </c>
      <c r="C27">
        <v>0.03</v>
      </c>
      <c r="D27">
        <v>0</v>
      </c>
      <c r="E27">
        <v>0</v>
      </c>
      <c r="F27">
        <v>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57</v>
      </c>
      <c r="B28" t="s">
        <v>62</v>
      </c>
      <c r="C28">
        <v>0.01</v>
      </c>
      <c r="D28">
        <v>0</v>
      </c>
      <c r="E28">
        <v>0</v>
      </c>
      <c r="F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57</v>
      </c>
      <c r="B29" t="s">
        <v>63</v>
      </c>
      <c r="C29">
        <v>0.01</v>
      </c>
      <c r="D29">
        <v>0</v>
      </c>
      <c r="E29">
        <v>0</v>
      </c>
      <c r="F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57</v>
      </c>
      <c r="B30" t="s">
        <v>64</v>
      </c>
      <c r="C30">
        <v>0.03</v>
      </c>
      <c r="D30">
        <v>0</v>
      </c>
      <c r="E30">
        <v>0</v>
      </c>
      <c r="F30">
        <v>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57</v>
      </c>
      <c r="B31" t="s">
        <v>65</v>
      </c>
      <c r="C31">
        <v>0.03</v>
      </c>
      <c r="D31">
        <v>0</v>
      </c>
      <c r="E31">
        <v>0</v>
      </c>
      <c r="F31">
        <v>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57</v>
      </c>
      <c r="B32" t="s">
        <v>66</v>
      </c>
      <c r="C32">
        <v>0.03</v>
      </c>
      <c r="D32">
        <v>0</v>
      </c>
      <c r="E32">
        <v>0</v>
      </c>
      <c r="F32">
        <v>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57</v>
      </c>
      <c r="B33" t="s">
        <v>67</v>
      </c>
      <c r="C33">
        <v>0.05</v>
      </c>
      <c r="D33">
        <v>0</v>
      </c>
      <c r="E33">
        <v>1</v>
      </c>
      <c r="F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57</v>
      </c>
      <c r="B34" t="s">
        <v>68</v>
      </c>
      <c r="C34">
        <v>0.03</v>
      </c>
      <c r="D34">
        <v>0</v>
      </c>
      <c r="E34">
        <v>0</v>
      </c>
      <c r="F34">
        <v>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57</v>
      </c>
      <c r="B35" t="s">
        <v>69</v>
      </c>
      <c r="C35">
        <v>0.03</v>
      </c>
      <c r="D35">
        <v>0</v>
      </c>
      <c r="E35">
        <v>0</v>
      </c>
      <c r="F35">
        <v>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57</v>
      </c>
      <c r="B36" t="s">
        <v>70</v>
      </c>
      <c r="C36">
        <v>0.03</v>
      </c>
      <c r="D36">
        <v>0</v>
      </c>
      <c r="E36">
        <v>0</v>
      </c>
      <c r="F36">
        <v>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57</v>
      </c>
      <c r="B37" t="s">
        <v>71</v>
      </c>
      <c r="C37">
        <v>0.05</v>
      </c>
      <c r="D37">
        <v>0</v>
      </c>
      <c r="E37">
        <v>1</v>
      </c>
      <c r="F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57</v>
      </c>
      <c r="B38" t="s">
        <v>72</v>
      </c>
      <c r="C38">
        <v>0.03</v>
      </c>
      <c r="D38">
        <v>0</v>
      </c>
      <c r="E38">
        <v>0</v>
      </c>
      <c r="F38">
        <v>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57</v>
      </c>
      <c r="B39" t="s">
        <v>73</v>
      </c>
      <c r="C39">
        <v>0.03</v>
      </c>
      <c r="D39">
        <v>0</v>
      </c>
      <c r="E39">
        <v>0</v>
      </c>
      <c r="F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57</v>
      </c>
      <c r="B40" t="s">
        <v>74</v>
      </c>
      <c r="C40">
        <v>0.03</v>
      </c>
      <c r="D40">
        <v>0</v>
      </c>
      <c r="E40">
        <v>0</v>
      </c>
      <c r="F40">
        <v>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57</v>
      </c>
      <c r="B41" t="s">
        <v>75</v>
      </c>
      <c r="C41">
        <v>0.05</v>
      </c>
      <c r="D41">
        <v>0</v>
      </c>
      <c r="E41">
        <v>1</v>
      </c>
      <c r="F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57</v>
      </c>
      <c r="B42" t="s">
        <v>76</v>
      </c>
      <c r="C42">
        <v>0.01</v>
      </c>
      <c r="D42">
        <v>0</v>
      </c>
      <c r="E42">
        <v>0</v>
      </c>
      <c r="F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57</v>
      </c>
      <c r="B43" t="s">
        <v>77</v>
      </c>
      <c r="C43">
        <v>0.01</v>
      </c>
      <c r="D43">
        <v>0</v>
      </c>
      <c r="E43">
        <v>0</v>
      </c>
      <c r="F43">
        <v>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57</v>
      </c>
      <c r="B44" t="s">
        <v>78</v>
      </c>
      <c r="C44">
        <v>0.01</v>
      </c>
      <c r="D44">
        <v>0</v>
      </c>
      <c r="E44">
        <v>0</v>
      </c>
      <c r="F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57</v>
      </c>
      <c r="B45" t="s">
        <v>79</v>
      </c>
      <c r="C45">
        <v>0.05</v>
      </c>
      <c r="D45">
        <v>0</v>
      </c>
      <c r="E45">
        <v>1</v>
      </c>
      <c r="F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57</v>
      </c>
      <c r="B46" t="s">
        <v>80</v>
      </c>
      <c r="C46">
        <v>0.01</v>
      </c>
      <c r="D46">
        <v>0</v>
      </c>
      <c r="E46">
        <v>0</v>
      </c>
      <c r="F46">
        <v>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57</v>
      </c>
      <c r="B47" t="s">
        <v>81</v>
      </c>
      <c r="C47">
        <v>0.03</v>
      </c>
      <c r="D47">
        <v>0</v>
      </c>
      <c r="E47">
        <v>0</v>
      </c>
      <c r="F47">
        <v>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57</v>
      </c>
      <c r="B48" t="s">
        <v>82</v>
      </c>
      <c r="C48">
        <v>0.03</v>
      </c>
      <c r="D48">
        <v>0</v>
      </c>
      <c r="E48">
        <v>0</v>
      </c>
      <c r="F48">
        <v>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57</v>
      </c>
      <c r="B49" t="s">
        <v>83</v>
      </c>
      <c r="C49">
        <v>0.03</v>
      </c>
      <c r="D49">
        <v>0</v>
      </c>
      <c r="E49">
        <v>0</v>
      </c>
      <c r="F49">
        <v>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57</v>
      </c>
      <c r="B50" t="s">
        <v>84</v>
      </c>
      <c r="C50">
        <v>0.01</v>
      </c>
      <c r="D50">
        <v>0</v>
      </c>
      <c r="E50">
        <v>0</v>
      </c>
      <c r="F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57</v>
      </c>
      <c r="B51" t="s">
        <v>85</v>
      </c>
      <c r="C51">
        <v>0.05</v>
      </c>
      <c r="D51">
        <v>0</v>
      </c>
      <c r="E51">
        <v>1</v>
      </c>
      <c r="F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57</v>
      </c>
      <c r="B52" t="s">
        <v>86</v>
      </c>
      <c r="C52">
        <v>0.03</v>
      </c>
      <c r="D52">
        <v>0</v>
      </c>
      <c r="E52">
        <v>0</v>
      </c>
      <c r="F52">
        <v>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57</v>
      </c>
      <c r="B53" t="s">
        <v>87</v>
      </c>
      <c r="C53">
        <v>0.01</v>
      </c>
      <c r="D53">
        <v>0</v>
      </c>
      <c r="E53">
        <v>0</v>
      </c>
      <c r="F53">
        <v>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57</v>
      </c>
      <c r="B54" t="s">
        <v>88</v>
      </c>
      <c r="C54">
        <v>0.01</v>
      </c>
      <c r="D54">
        <v>0</v>
      </c>
      <c r="E54">
        <v>0</v>
      </c>
      <c r="F54">
        <v>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57</v>
      </c>
      <c r="B55" t="s">
        <v>89</v>
      </c>
      <c r="C55">
        <v>0.01</v>
      </c>
      <c r="D55">
        <v>0</v>
      </c>
      <c r="E55">
        <v>0</v>
      </c>
      <c r="F55">
        <v>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57</v>
      </c>
      <c r="B56" t="s">
        <v>90</v>
      </c>
      <c r="C56">
        <v>0.01</v>
      </c>
      <c r="D56">
        <v>0</v>
      </c>
      <c r="E56">
        <v>0</v>
      </c>
      <c r="F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">
      <c r="A57" t="s">
        <v>57</v>
      </c>
      <c r="B57" t="s">
        <v>91</v>
      </c>
      <c r="C57">
        <v>0.03</v>
      </c>
      <c r="D57">
        <v>0</v>
      </c>
      <c r="E57">
        <v>0</v>
      </c>
      <c r="F57">
        <v>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 t="s">
        <v>57</v>
      </c>
      <c r="B58" t="s">
        <v>92</v>
      </c>
      <c r="C58">
        <v>0.01</v>
      </c>
      <c r="D58">
        <v>0</v>
      </c>
      <c r="E58">
        <v>0</v>
      </c>
      <c r="F58">
        <v>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57</v>
      </c>
      <c r="B59" t="s">
        <v>93</v>
      </c>
      <c r="C59">
        <v>0.01</v>
      </c>
      <c r="D59">
        <v>0</v>
      </c>
      <c r="E59">
        <v>0</v>
      </c>
      <c r="F59">
        <v>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">
      <c r="A60" t="s">
        <v>57</v>
      </c>
      <c r="B60" t="s">
        <v>94</v>
      </c>
      <c r="C60">
        <v>0.01</v>
      </c>
      <c r="D60">
        <v>0</v>
      </c>
      <c r="E60">
        <v>0</v>
      </c>
      <c r="F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">
      <c r="A61" t="s">
        <v>57</v>
      </c>
      <c r="B61" t="s">
        <v>95</v>
      </c>
      <c r="C61">
        <v>0.01</v>
      </c>
      <c r="D61">
        <v>0</v>
      </c>
      <c r="E61">
        <v>0</v>
      </c>
      <c r="F61">
        <v>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 t="s">
        <v>57</v>
      </c>
      <c r="B62" t="s">
        <v>96</v>
      </c>
      <c r="C62">
        <v>0.01</v>
      </c>
      <c r="D62">
        <v>0</v>
      </c>
      <c r="E62">
        <v>0</v>
      </c>
      <c r="F62">
        <v>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 t="s">
        <v>57</v>
      </c>
      <c r="B63" t="s">
        <v>97</v>
      </c>
      <c r="C63">
        <v>0.01</v>
      </c>
      <c r="D63">
        <v>0</v>
      </c>
      <c r="E63">
        <v>0</v>
      </c>
      <c r="F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">
      <c r="A64" t="s">
        <v>57</v>
      </c>
      <c r="B64" t="s">
        <v>98</v>
      </c>
      <c r="C64">
        <v>0.01</v>
      </c>
      <c r="D64">
        <v>0</v>
      </c>
      <c r="E64">
        <v>0</v>
      </c>
      <c r="F64">
        <v>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57</v>
      </c>
      <c r="B65" t="s">
        <v>99</v>
      </c>
      <c r="C65">
        <v>0.05</v>
      </c>
      <c r="D65">
        <v>0</v>
      </c>
      <c r="E65">
        <v>1</v>
      </c>
      <c r="F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57</v>
      </c>
      <c r="B66" t="s">
        <v>100</v>
      </c>
      <c r="C66">
        <v>0.01</v>
      </c>
      <c r="D66">
        <v>0</v>
      </c>
      <c r="E66">
        <v>0</v>
      </c>
      <c r="F66">
        <v>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 t="s">
        <v>57</v>
      </c>
      <c r="B67" t="s">
        <v>101</v>
      </c>
      <c r="C67">
        <v>0.04</v>
      </c>
      <c r="D67">
        <v>0</v>
      </c>
      <c r="E67">
        <v>0</v>
      </c>
      <c r="F67">
        <v>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57</v>
      </c>
      <c r="B68" t="s">
        <v>102</v>
      </c>
      <c r="C68">
        <v>0.05</v>
      </c>
      <c r="D68">
        <v>0</v>
      </c>
      <c r="E68">
        <v>1</v>
      </c>
      <c r="F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57</v>
      </c>
      <c r="B69" t="s">
        <v>103</v>
      </c>
      <c r="C69">
        <v>0.01</v>
      </c>
      <c r="D69">
        <v>0</v>
      </c>
      <c r="E69">
        <v>0</v>
      </c>
      <c r="F69">
        <v>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57</v>
      </c>
      <c r="B70" t="s">
        <v>104</v>
      </c>
      <c r="C70">
        <v>0.01</v>
      </c>
      <c r="D70">
        <v>0</v>
      </c>
      <c r="E70">
        <v>0</v>
      </c>
      <c r="F70">
        <v>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57</v>
      </c>
      <c r="B71" t="s">
        <v>105</v>
      </c>
      <c r="C71">
        <v>0.03</v>
      </c>
      <c r="D71">
        <v>0</v>
      </c>
      <c r="E71">
        <v>0</v>
      </c>
      <c r="F71">
        <v>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57</v>
      </c>
      <c r="B72" t="s">
        <v>106</v>
      </c>
      <c r="C72">
        <v>0.05</v>
      </c>
      <c r="D72">
        <v>0</v>
      </c>
      <c r="E72">
        <v>1</v>
      </c>
      <c r="F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57</v>
      </c>
      <c r="B73" t="s">
        <v>68</v>
      </c>
      <c r="C73">
        <v>0.03</v>
      </c>
      <c r="D73">
        <v>0</v>
      </c>
      <c r="E73">
        <v>0</v>
      </c>
      <c r="F73">
        <v>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 t="s">
        <v>57</v>
      </c>
      <c r="B74" t="s">
        <v>107</v>
      </c>
      <c r="C74">
        <v>0.03</v>
      </c>
      <c r="D74">
        <v>0</v>
      </c>
      <c r="E74">
        <v>0</v>
      </c>
      <c r="F74">
        <v>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57</v>
      </c>
      <c r="B75" t="s">
        <v>108</v>
      </c>
      <c r="C75">
        <v>0.05</v>
      </c>
      <c r="D75">
        <v>0</v>
      </c>
      <c r="E75">
        <v>1</v>
      </c>
      <c r="F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">
      <c r="A76" t="s">
        <v>57</v>
      </c>
      <c r="B76" t="s">
        <v>109</v>
      </c>
      <c r="C76">
        <v>0.05</v>
      </c>
      <c r="D76">
        <v>0</v>
      </c>
      <c r="E76">
        <v>1</v>
      </c>
      <c r="F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57</v>
      </c>
      <c r="B77" t="s">
        <v>110</v>
      </c>
      <c r="C77">
        <v>0.05</v>
      </c>
      <c r="D77">
        <v>0</v>
      </c>
      <c r="E77">
        <v>1</v>
      </c>
      <c r="F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 t="s">
        <v>57</v>
      </c>
      <c r="B78" t="s">
        <v>111</v>
      </c>
      <c r="C78">
        <v>0.05</v>
      </c>
      <c r="D78">
        <v>0</v>
      </c>
      <c r="E78">
        <v>1</v>
      </c>
      <c r="F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57</v>
      </c>
      <c r="B79" t="s">
        <v>112</v>
      </c>
      <c r="C79">
        <v>0.05</v>
      </c>
      <c r="D79">
        <v>0</v>
      </c>
      <c r="E79">
        <v>1</v>
      </c>
      <c r="F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57</v>
      </c>
      <c r="B80" t="s">
        <v>113</v>
      </c>
      <c r="C80">
        <v>0.05</v>
      </c>
      <c r="D80">
        <v>0</v>
      </c>
      <c r="E80">
        <v>1</v>
      </c>
      <c r="F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">
      <c r="A81" t="s">
        <v>57</v>
      </c>
      <c r="B81" t="s">
        <v>114</v>
      </c>
      <c r="C81">
        <v>0.05</v>
      </c>
      <c r="D81">
        <v>0</v>
      </c>
      <c r="E81">
        <v>1</v>
      </c>
      <c r="F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t="s">
        <v>57</v>
      </c>
      <c r="B82" t="s">
        <v>115</v>
      </c>
      <c r="C82">
        <v>0.05</v>
      </c>
      <c r="D82">
        <v>0</v>
      </c>
      <c r="E82">
        <v>1</v>
      </c>
      <c r="F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57</v>
      </c>
      <c r="B83" t="s">
        <v>116</v>
      </c>
      <c r="C83">
        <v>0.05</v>
      </c>
      <c r="D83">
        <v>0</v>
      </c>
      <c r="E83">
        <v>1</v>
      </c>
      <c r="F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 t="s">
        <v>57</v>
      </c>
      <c r="B84" t="s">
        <v>85</v>
      </c>
      <c r="C84">
        <v>0.05</v>
      </c>
      <c r="D84">
        <v>0</v>
      </c>
      <c r="E84">
        <v>1</v>
      </c>
      <c r="F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t="s">
        <v>57</v>
      </c>
      <c r="B85" t="s">
        <v>86</v>
      </c>
      <c r="C85">
        <v>0.03</v>
      </c>
      <c r="D85">
        <v>0</v>
      </c>
      <c r="E85">
        <v>0</v>
      </c>
      <c r="F85">
        <v>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57</v>
      </c>
      <c r="B86" t="s">
        <v>117</v>
      </c>
      <c r="C86">
        <v>0.03</v>
      </c>
      <c r="D86">
        <v>0</v>
      </c>
      <c r="E86">
        <v>0</v>
      </c>
      <c r="F86">
        <v>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t="s">
        <v>57</v>
      </c>
      <c r="B87" t="s">
        <v>118</v>
      </c>
      <c r="C87">
        <v>0.01</v>
      </c>
      <c r="D87">
        <v>0</v>
      </c>
      <c r="E87">
        <v>0</v>
      </c>
      <c r="F87">
        <v>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57</v>
      </c>
      <c r="B88" t="s">
        <v>119</v>
      </c>
      <c r="C88">
        <v>0.03</v>
      </c>
      <c r="D88">
        <v>0</v>
      </c>
      <c r="E88">
        <v>0</v>
      </c>
      <c r="F88">
        <v>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">
      <c r="A89" t="s">
        <v>57</v>
      </c>
      <c r="B89" t="s">
        <v>120</v>
      </c>
      <c r="C89">
        <v>0.01</v>
      </c>
      <c r="D89">
        <v>0</v>
      </c>
      <c r="E89">
        <v>0</v>
      </c>
      <c r="F89">
        <v>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57</v>
      </c>
      <c r="B90" t="s">
        <v>121</v>
      </c>
      <c r="C90">
        <v>0.03</v>
      </c>
      <c r="D90">
        <v>0</v>
      </c>
      <c r="E90">
        <v>0</v>
      </c>
      <c r="F90">
        <v>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57</v>
      </c>
      <c r="B91" t="s">
        <v>122</v>
      </c>
      <c r="C91">
        <v>0.01</v>
      </c>
      <c r="D91">
        <v>0</v>
      </c>
      <c r="E91">
        <v>0</v>
      </c>
      <c r="F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57</v>
      </c>
      <c r="B92" t="s">
        <v>123</v>
      </c>
      <c r="C92">
        <v>0.01</v>
      </c>
      <c r="D92">
        <v>0</v>
      </c>
      <c r="E92">
        <v>0</v>
      </c>
      <c r="F92">
        <v>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t="s">
        <v>57</v>
      </c>
      <c r="B93" t="s">
        <v>124</v>
      </c>
      <c r="C93">
        <v>0.02</v>
      </c>
      <c r="D93">
        <v>0</v>
      </c>
      <c r="E93">
        <v>0</v>
      </c>
      <c r="F93">
        <v>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 t="s">
        <v>57</v>
      </c>
      <c r="B94" t="s">
        <v>125</v>
      </c>
      <c r="C94">
        <v>0.01</v>
      </c>
      <c r="D94">
        <v>0</v>
      </c>
      <c r="E94">
        <v>0</v>
      </c>
      <c r="F94">
        <v>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A95" t="s">
        <v>57</v>
      </c>
      <c r="B95" t="s">
        <v>126</v>
      </c>
      <c r="C95">
        <v>0.01</v>
      </c>
      <c r="D95">
        <v>0</v>
      </c>
      <c r="E95">
        <v>0</v>
      </c>
      <c r="F95">
        <v>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A96" t="s">
        <v>57</v>
      </c>
      <c r="B96" t="s">
        <v>127</v>
      </c>
      <c r="C96">
        <v>0.03</v>
      </c>
      <c r="D96">
        <v>0</v>
      </c>
      <c r="E96">
        <v>0</v>
      </c>
      <c r="F96">
        <v>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">
      <c r="A97" t="s">
        <v>57</v>
      </c>
      <c r="B97" t="s">
        <v>128</v>
      </c>
      <c r="C97">
        <v>0.01</v>
      </c>
      <c r="D97">
        <v>0</v>
      </c>
      <c r="E97">
        <v>0</v>
      </c>
      <c r="F97">
        <v>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 t="s">
        <v>57</v>
      </c>
      <c r="B98" t="s">
        <v>129</v>
      </c>
      <c r="C98">
        <v>0.01</v>
      </c>
      <c r="D98">
        <v>0</v>
      </c>
      <c r="E98">
        <v>0</v>
      </c>
      <c r="F98">
        <v>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">
      <c r="A99" t="s">
        <v>57</v>
      </c>
      <c r="B99" t="s">
        <v>130</v>
      </c>
      <c r="C99">
        <v>0.01</v>
      </c>
      <c r="D99">
        <v>0</v>
      </c>
      <c r="E99">
        <v>0</v>
      </c>
      <c r="F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">
      <c r="A100" t="s">
        <v>57</v>
      </c>
      <c r="B100" t="s">
        <v>131</v>
      </c>
      <c r="C100">
        <v>0.01</v>
      </c>
      <c r="D100">
        <v>0</v>
      </c>
      <c r="E100">
        <v>0</v>
      </c>
      <c r="F100">
        <v>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">
      <c r="A101" t="s">
        <v>57</v>
      </c>
      <c r="B101" t="s">
        <v>132</v>
      </c>
      <c r="C101">
        <v>0.03</v>
      </c>
      <c r="D101">
        <v>0</v>
      </c>
      <c r="E101">
        <v>0</v>
      </c>
      <c r="F101">
        <v>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 t="s">
        <v>57</v>
      </c>
      <c r="B102" t="s">
        <v>133</v>
      </c>
      <c r="C102">
        <v>0.01</v>
      </c>
      <c r="D102">
        <v>0</v>
      </c>
      <c r="E102">
        <v>0</v>
      </c>
      <c r="F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57</v>
      </c>
      <c r="B103" t="s">
        <v>134</v>
      </c>
      <c r="C103">
        <v>0.03</v>
      </c>
      <c r="D103">
        <v>0</v>
      </c>
      <c r="E103">
        <v>0</v>
      </c>
      <c r="F103">
        <v>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57</v>
      </c>
      <c r="B104" t="s">
        <v>135</v>
      </c>
      <c r="C104">
        <v>0.03</v>
      </c>
      <c r="D104">
        <v>0</v>
      </c>
      <c r="E104">
        <v>0</v>
      </c>
      <c r="F104">
        <v>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57</v>
      </c>
      <c r="B105" t="s">
        <v>136</v>
      </c>
      <c r="C105">
        <v>2.12</v>
      </c>
      <c r="D105">
        <v>2</v>
      </c>
      <c r="E105">
        <v>2</v>
      </c>
      <c r="F105">
        <v>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137</v>
      </c>
      <c r="B106" t="s">
        <v>138</v>
      </c>
      <c r="C106">
        <v>3.58</v>
      </c>
      <c r="D106">
        <v>3</v>
      </c>
      <c r="E106">
        <v>11</v>
      </c>
      <c r="F106">
        <v>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 t="s">
        <v>139</v>
      </c>
      <c r="B107" t="s">
        <v>140</v>
      </c>
      <c r="C107">
        <v>59.65</v>
      </c>
      <c r="D107">
        <v>59</v>
      </c>
      <c r="E107">
        <v>13</v>
      </c>
      <c r="F107">
        <v>0.5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t="s">
        <v>141</v>
      </c>
      <c r="B108" t="s">
        <v>142</v>
      </c>
      <c r="C108">
        <v>0.46</v>
      </c>
      <c r="D108">
        <v>0</v>
      </c>
      <c r="E108">
        <v>9</v>
      </c>
      <c r="F108">
        <v>1.25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">
      <c r="A109" t="s">
        <v>143</v>
      </c>
      <c r="B109" t="s">
        <v>144</v>
      </c>
      <c r="C109">
        <v>59.17</v>
      </c>
      <c r="D109">
        <v>59</v>
      </c>
      <c r="E109">
        <v>3</v>
      </c>
      <c r="F109">
        <v>5.25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">
      <c r="A110" t="s">
        <v>143</v>
      </c>
      <c r="B110" t="s">
        <v>145</v>
      </c>
      <c r="C110">
        <v>52.75</v>
      </c>
      <c r="D110">
        <v>52</v>
      </c>
      <c r="E110">
        <v>15</v>
      </c>
      <c r="F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 t="s">
        <v>146</v>
      </c>
      <c r="B111" t="s">
        <v>147</v>
      </c>
      <c r="C111">
        <v>6.42</v>
      </c>
      <c r="D111">
        <v>6</v>
      </c>
      <c r="E111">
        <v>8</v>
      </c>
      <c r="F111">
        <v>5.25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Receipts</vt:lpstr>
      <vt:lpstr>Expenses</vt:lpstr>
      <vt:lpstr>Issues of the Grange</vt:lpstr>
      <vt:lpstr>Issues of the Mills</vt:lpstr>
      <vt:lpstr>Stock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Gierok</cp:lastModifiedBy>
  <dcterms:created xsi:type="dcterms:W3CDTF">2024-04-19T11:10:07Z</dcterms:created>
  <dcterms:modified xsi:type="dcterms:W3CDTF">2025-09-22T15:25:38Z</dcterms:modified>
</cp:coreProperties>
</file>
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1B860CBD-F9F1-6848-AA52-0411F39B747E}" xr6:coauthVersionLast="47" xr6:coauthVersionMax="47" xr10:uidLastSave="{00000000-0000-0000-0000-000000000000}"/>
  <bookViews>
    <workbookView xWindow="11120" yWindow="500" windowWidth="17680" windowHeight="16580" activeTab="5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4" l="1"/>
  <c r="R104" i="4"/>
  <c r="R97" i="4"/>
  <c r="R93" i="4"/>
  <c r="R103" i="4"/>
  <c r="R96" i="4"/>
  <c r="R92" i="4"/>
  <c r="R91" i="4"/>
  <c r="R66" i="4"/>
  <c r="O44" i="4"/>
  <c r="O45" i="4"/>
  <c r="O46" i="4"/>
  <c r="O49" i="4"/>
  <c r="O43" i="4"/>
  <c r="R49" i="4"/>
  <c r="R46" i="4"/>
  <c r="R45" i="4"/>
  <c r="R44" i="4"/>
  <c r="R43" i="4"/>
  <c r="R26" i="4"/>
  <c r="O26" i="4" s="1"/>
  <c r="R16" i="4"/>
  <c r="O16" i="4" s="1"/>
  <c r="R12" i="4"/>
  <c r="O12" i="4" s="1"/>
  <c r="R8" i="4"/>
  <c r="O8" i="4" s="1"/>
  <c r="R7" i="4"/>
  <c r="O7" i="4" s="1"/>
  <c r="J92" i="4"/>
  <c r="O16" i="11"/>
  <c r="O17" i="11"/>
  <c r="O18" i="11"/>
  <c r="O19" i="11"/>
  <c r="O20" i="11"/>
  <c r="O21" i="11"/>
  <c r="O22" i="11"/>
  <c r="O15" i="11"/>
  <c r="N16" i="11"/>
  <c r="N17" i="11"/>
  <c r="N18" i="11"/>
  <c r="N19" i="11"/>
  <c r="N20" i="11"/>
  <c r="N21" i="11"/>
  <c r="N22" i="11"/>
  <c r="N15" i="11"/>
  <c r="L16" i="11"/>
  <c r="L17" i="11"/>
  <c r="L18" i="11"/>
  <c r="L19" i="11"/>
  <c r="L20" i="11"/>
  <c r="L21" i="11"/>
  <c r="L22" i="11"/>
  <c r="L15" i="11"/>
  <c r="E16" i="11"/>
  <c r="E17" i="11"/>
  <c r="E18" i="11"/>
  <c r="E19" i="11"/>
  <c r="E20" i="11"/>
  <c r="E21" i="11"/>
  <c r="E22" i="11"/>
  <c r="E15" i="11"/>
  <c r="K16" i="11"/>
  <c r="K17" i="11"/>
  <c r="K18" i="11"/>
  <c r="K19" i="11"/>
  <c r="K20" i="11"/>
  <c r="K21" i="11"/>
  <c r="K22" i="11"/>
  <c r="K15" i="11"/>
  <c r="I22" i="11"/>
  <c r="I20" i="11"/>
  <c r="I19" i="11"/>
  <c r="J19" i="11"/>
  <c r="J18" i="11"/>
  <c r="B16" i="11"/>
  <c r="B17" i="11"/>
  <c r="B18" i="11"/>
  <c r="B19" i="11"/>
  <c r="B20" i="11"/>
  <c r="B21" i="11"/>
  <c r="B22" i="11"/>
  <c r="B15" i="11"/>
  <c r="I3" i="11"/>
  <c r="I4" i="11"/>
  <c r="I5" i="11"/>
  <c r="I6" i="11"/>
  <c r="I7" i="11"/>
  <c r="I8" i="11"/>
  <c r="I9" i="11"/>
  <c r="I2" i="11"/>
  <c r="G3" i="11"/>
  <c r="G4" i="11"/>
  <c r="G5" i="11"/>
  <c r="G6" i="11"/>
  <c r="G7" i="11"/>
  <c r="G8" i="11"/>
  <c r="G9" i="11"/>
  <c r="G2" i="11"/>
  <c r="F75" i="2"/>
  <c r="F66" i="2"/>
  <c r="C66" i="2"/>
  <c r="B66" i="2"/>
  <c r="G24" i="2"/>
  <c r="C28" i="4"/>
  <c r="I14" i="4"/>
  <c r="C12" i="4"/>
  <c r="F24" i="3"/>
  <c r="F26" i="3" s="1"/>
  <c r="F25" i="3"/>
  <c r="F16" i="3"/>
  <c r="F18" i="3" s="1"/>
  <c r="G18" i="3" s="1"/>
  <c r="F103" i="2"/>
  <c r="F106" i="2" s="1"/>
  <c r="G106" i="2" s="1"/>
  <c r="F81" i="2"/>
  <c r="F83" i="2" s="1"/>
  <c r="G83" i="2" s="1"/>
  <c r="F69" i="2"/>
  <c r="F68" i="2"/>
  <c r="F3" i="2"/>
  <c r="F8" i="2" s="1"/>
  <c r="G8" i="2" s="1"/>
  <c r="G21" i="2"/>
  <c r="F17" i="2"/>
  <c r="G26" i="3" l="1"/>
  <c r="G103" i="2"/>
  <c r="G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4" authorId="0" shapeId="0" xr:uid="{79155205-FE5D-9240-96BE-B88AA6AE9397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5C8B1274-99BF-DA40-B1DC-8DAC41AD96C1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8182DED5-1FC0-1E4B-B39E-F6EEF63717E6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<sst xmlns="http://schemas.openxmlformats.org/spreadsheetml/2006/main" count="1538" uniqueCount="676">
  <si>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</si>
  <si>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</si>
  <si>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</si>
  <si>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</si>
  <si>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</si>
  <si>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</si>
  <si>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</si>
  <si>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</si>
  <si>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</si>
  <si>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</si>
  <si>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</si>
  <si>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</si>
  <si>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</si>
  <si>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</si>
  <si>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</si>
  <si>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</si>
  <si>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</si>
  <si>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</si>
  <si>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Quarters 4</t>
  </si>
  <si>
    <t>Bushels 4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</si>
  <si>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</si>
  <si>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</si>
  <si>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</si>
  <si>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</si>
  <si>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</si>
  <si>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</si>
  <si>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</si>
  <si>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</si>
  <si>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</si>
  <si>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</si>
  <si>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</si>
  <si>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</si>
  <si>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</si>
  <si>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</si>
  <si>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</si>
  <si>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</si>
  <si>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Rents of assize</t>
  </si>
  <si>
    <t>Henry le Whyte and Robert Boye, reeve of Rimpton, render account for £14 shilling 6pence for rents at Christmas.</t>
  </si>
  <si>
    <t>£1 4 shilling 6pence at Easter (22 April).</t>
  </si>
  <si>
    <t>£1 4 shilling 6pence at the Nativity of the blessed John the Baptist (24 June).</t>
  </si>
  <si>
    <t>£1 4 shilling 6pence at Michaelmas (29 September).</t>
  </si>
  <si>
    <t>Total, £4 18 shilling</t>
  </si>
  <si>
    <t>Quittances</t>
  </si>
  <si>
    <t>In quittance of 1 reeve for the year 3 shilling.</t>
  </si>
  <si>
    <t>4 ploughmen, 2 ox-drovers for the year 12 shilling.</t>
  </si>
  <si>
    <t>18 workers who harrowed, gripped, dug, threshed corn, mowed meadows, tossed and carried hay, reaped and carried corn at harvest-time, and did other necessary work, £1 16 shilling for the year, or 2 shilling each.</t>
  </si>
  <si>
    <t>Total, £2 11 shilling</t>
  </si>
  <si>
    <t>Defaults of rent</t>
  </si>
  <si>
    <t>In default of the house and curtilage of John de Molendino because it is in demesne 1 shilling Total, 1 shilling</t>
  </si>
  <si>
    <t>Total of quittances and defaults of rent</t>
  </si>
  <si>
    <t>Total of quittances and defaults of rent, £2 12 shilling</t>
  </si>
  <si>
    <t>Total of rents remaining</t>
  </si>
  <si>
    <t>Total of rents remaining, £2 6 shilling</t>
  </si>
  <si>
    <t>Issues of the manor</t>
  </si>
  <si>
    <t>The same render account for 4 shilling 9.5pence from pannage of 48 pigs and 19 hoggets this year, at 1pence a pig and 0.5pence a hogget.</t>
  </si>
  <si>
    <t>3 shilling from churchscot at Martinmas (11 November).</t>
  </si>
  <si>
    <t>8 shilling 6pence from the pasturage of 17 oxen sold in winter.</t>
  </si>
  <si>
    <t>9 shilling 4pence from the pasturage of 24 plough-horses and 8 colts sold after Martinmas, at 4pence a plough-horse and 2pence a colt.</t>
  </si>
  <si>
    <t>nothing from the pasturage of la Grutte for the lord's stock.</t>
  </si>
  <si>
    <t>2 shilling from the pasturage of Alsyesham sold in summer.</t>
  </si>
  <si>
    <t>6pence from the pasturage sold at Oclefurlong and not more because the field was sown with summer corn (tremes') this year.</t>
  </si>
  <si>
    <t>1 shilling 2pence from the pasturage of la Portweye this year.</t>
  </si>
  <si>
    <t>1 shilling 6pence from the pasturage of Wetenegarston'.</t>
  </si>
  <si>
    <t>10pence from the pasturage of Parva Sterte sold this year.</t>
  </si>
  <si>
    <t>1 shilling 2pence from the pasturage of Magna Sterte.</t>
  </si>
  <si>
    <t>nothing from the pasturage beside la Marlygputte this year because it is fallow.</t>
  </si>
  <si>
    <t>1 shilling 4pence from the pasturage of Bar-weyerewe.</t>
  </si>
  <si>
    <t>8pence from the pasturage of Hamstedereweye sold.</t>
  </si>
  <si>
    <t>nothing from the pasturage beside the dovecote because it is fallow.</t>
  </si>
  <si>
    <t>6pence from the pasturage beside the house of John de Molendino.</t>
  </si>
  <si>
    <t>6 shilling 10pence from the herbage for 68 plough-horses and 28 bullocks sold in the wood between Hockday (1 May) and Lammas (1 August), at 1pence a plough-horse, 0.5pence a bullock.</t>
  </si>
  <si>
    <t>9 shilling 3pence from 1 male colt aged 2 years sold in summer.</t>
  </si>
  <si>
    <t>6 shilling 4pence from 1 female plough-horse from strays.</t>
  </si>
  <si>
    <t>£1 14 shilling from 3 oxen sold in Lent, at 11 shilling 4pence each.</t>
  </si>
  <si>
    <t>£1 16 shilling from 4 oxen sold in summer, at 9 shilling each.</t>
  </si>
  <si>
    <t>£2 9 shilling from 6 oxen sold because sick, at 8 shilling 2pence each.</t>
  </si>
  <si>
    <t>3 shilling 10pence from 1 young heifer (boviculo fem') sold in Lent.</t>
  </si>
  <si>
    <t>£3 from 20 pigs sold at Martinmas, at 3 shilling each.</t>
  </si>
  <si>
    <t>13 shilling 4pence from 5 pigs sold, at 2 shilling 8pence each.</t>
  </si>
  <si>
    <t>9 shilling 4pence from the hides sold of 3 oxen in murrain.</t>
  </si>
  <si>
    <t>5 shilling 6pence from the hides sold of 4 cows in murrain.</t>
  </si>
  <si>
    <t>3 shilling 4pence from the hides sold of 3 heifers (juvenc') in murrain.</t>
  </si>
  <si>
    <t>1 shilling 10pence from the hides sold of 2 young heifers in murrain.</t>
  </si>
  <si>
    <t>6pence from the hides sold of 3 calves in murrain.</t>
  </si>
  <si>
    <t>6pence from the hides sold of 4 calves in murrain.</t>
  </si>
  <si>
    <t>£1 from 2 casks of cider-which remained, sold wholesale apart from the vessels.</t>
  </si>
  <si>
    <t>1 shilling 2.5pence from 19 rowen cheeses (cas' de rewayn) sold without weighing.</t>
  </si>
  <si>
    <t>£1 4 shilling 3pence from 141 cheeses from the issue of the summer sold, weighing 2.5 weys and 3 stone, at 9 shilling a wey and 7pence a stone.</t>
  </si>
  <si>
    <t>3 shilling 2pence from butter sold by the dish.</t>
  </si>
  <si>
    <t>1 shilling 9pence from the residue of Peter's pence according to custom.</t>
  </si>
  <si>
    <t>6 shilling 6.5pence from dairy produce sold at the audit.</t>
  </si>
  <si>
    <t>Total, £16 11 shilling 9.5pence</t>
  </si>
  <si>
    <t>Sale of corn</t>
  </si>
  <si>
    <t>The same render account for £32 7 shilling from 121 quarters 2.5 bushels of wheat sold, at 5 shilling 4pence a quarters, £1 3 shilling 5.75pence from 6 quarters 1 bushels of curall sold, at 3 shilling 10pence a quarters.</t>
  </si>
  <si>
    <t>curall, wheat</t>
  </si>
  <si>
    <t>£3 1pence from 12 quarters 7 bushels of maslin sold, at 4 shilling 8pence a quarters.</t>
  </si>
  <si>
    <t>maslin</t>
  </si>
  <si>
    <t>4 shilling 7pence from 1 quarters 3 bushels of barley sold, at 3 shilling 4pence a quarters, £1 12 shilling 6pence from 16 quarters 2 bushels of beans sold, at 2 shilling a quarters.</t>
  </si>
  <si>
    <t>barley, beans</t>
  </si>
  <si>
    <t>11 shilling 9pence from 5 quarters 7 bushels of peas sold, at 2 shilling a quarters.</t>
  </si>
  <si>
    <t>peas</t>
  </si>
  <si>
    <t>1 shilling 10pence from 1 quarters 3 bushels of vetches sold, at 2pence a bushels.</t>
  </si>
  <si>
    <t>vetches</t>
  </si>
  <si>
    <t>£5 18 shilling 7.5pence from 54 quarters 6 bushels of oats sold, at 2 shilling 2pence a quarters.</t>
  </si>
  <si>
    <t>oats</t>
  </si>
  <si>
    <t>8 shilling 9pence from 2 quarters 5 bushels of barley sold at the audit.</t>
  </si>
  <si>
    <t>barley</t>
  </si>
  <si>
    <t>Total, £45 8 shilling 7.25pence</t>
  </si>
  <si>
    <t>From the issue of the mill</t>
  </si>
  <si>
    <t>The same render account for 8 shilling 1.5pence from 1 quarters 5 bushels of wheat from the issue of the mill sold, at 55. a quarters.</t>
  </si>
  <si>
    <t>wheat</t>
  </si>
  <si>
    <t>10 shilling 5.5pence from 3 quarters 5.5 bushels of first-grade and second-grade malt from the issue of the mill sold, at 2 shilling 10pence a quarters.</t>
  </si>
  <si>
    <t>second-grade malt</t>
  </si>
  <si>
    <t>Total, 18 shilling 7pence</t>
  </si>
  <si>
    <t>Entry and marriage fines</t>
  </si>
  <si>
    <t>The same render account for 8 shilling from the whole tithing of Rimpton for tithingpenny at the two hundred-courts.</t>
  </si>
  <si>
    <t>13 shilling 4pence from the fine of William le Nottey to have Joan Kage with 1 ferling of land.</t>
  </si>
  <si>
    <t>£5 6 shilling 8pence from the fine of William le Denays to have 1 virgate of land with Aibreda, relict of Richard de Bosco.</t>
  </si>
  <si>
    <t>£4 13 shilling 4pence from John de Woltnynton' to have Alice, relict of Henry Alayn, with 1 virgate of land.</t>
  </si>
  <si>
    <t>6 shilling from Albreda, the relict of de Bosco, to retain 1 virgate of her husband's lanpence Total, £11 7 shilling 4pence</t>
  </si>
  <si>
    <t>Perquisites</t>
  </si>
  <si>
    <t>The same render account for 8pence from William de Staford and Richard de Holeweye for trespass (transgressione) of pasture.</t>
  </si>
  <si>
    <t>6pence from John de Crawthorn' for the same.</t>
  </si>
  <si>
    <t>3.5pence from Roger Puphorn and his fellow for the same.</t>
  </si>
  <si>
    <t>1 shilling 9pence from Henry le Takeler', Henry Petyr, John Nob' and Robert Blakesol' for breaking the assize of ale.</t>
  </si>
  <si>
    <t>1 shilling from Robert de Quercu, Henry Gille, Henry Takeler' and John Nob' for the same.</t>
  </si>
  <si>
    <t>2 shilling from Henry Gill', John Nob', Jordan Burrich and Agnes Petra for the same.</t>
  </si>
  <si>
    <t>6pence from Richard le Cok for trespass of pasture.</t>
  </si>
  <si>
    <t>6pence from Richard atte Wude and William Woderys for the same.</t>
  </si>
  <si>
    <t>1 shilling from the whole tithing because it did not produce William atte Wod' at the law-day.</t>
  </si>
  <si>
    <t>2 shilling from Henry Gill' for breaking the assize of ale.</t>
  </si>
  <si>
    <t>1 shilling 6pence from Henry le Takeler' for the same.</t>
  </si>
  <si>
    <t>9pence from Agnes Petra and Albreda atte Wud' for the same.</t>
  </si>
  <si>
    <t>2 shilling from Robert de Quercu and Henry Kyggel for transgression against John Datyn.</t>
  </si>
  <si>
    <t>1 shilling from William Molendinarius and his neighbours for trespass of pasture.</t>
  </si>
  <si>
    <t>1 shilling from Peter de Bosco, John atte Brok and Henry Kyggel for the same.</t>
  </si>
  <si>
    <t>1 shilling 3pence from William Hardyng, Robert atte Hok', Albreda atte Wod' and William Woderys for the same.</t>
  </si>
  <si>
    <t>2 shilling 3pence from John de Crawthorn', Robert Blakesole, William Hardyng, John Hamund, William Silvestr', Alice Alayn, Peter atte Wude, William Woderys and William de Wolmyngton' for trespass of pasture.</t>
  </si>
  <si>
    <t>Total, £1 5.5pence</t>
  </si>
  <si>
    <t>Total of both, £12 7 shilling 9.5pence</t>
  </si>
  <si>
    <t>Total of all receipts</t>
  </si>
  <si>
    <t>Total of all receipts, £77 12 shilling 9.25pence</t>
  </si>
  <si>
    <t>Cost of ploughs</t>
  </si>
  <si>
    <t>In iron bought to maintain the ironwork of 4 ploughs for the year 4 shilling 1.75pence.</t>
  </si>
  <si>
    <t>stipend of the smith repairing and restoring the ironwork of the said ploughs for the year 3 shilling 6.5pence.</t>
  </si>
  <si>
    <t>8 yokes bought for ploughs 5.5pence.</t>
  </si>
  <si>
    <t>5 yokes bought 9pence.</t>
  </si>
  <si>
    <t>expenses of 1 boon-work of 36 ploughmen and 24 harrowers, ploughing and harrowing 37 acres for the winter sowing, besides bread from stock: ale bought 2 shilling 2pence.</t>
  </si>
  <si>
    <t>meat bought 2 shilling 3pence.</t>
  </si>
  <si>
    <t>cheese bought 3pence.</t>
  </si>
  <si>
    <t>1 boon-work of 11 ploughmen working on the fallow according to custom 11pence.</t>
  </si>
  <si>
    <t>4 oxen bought £2 9 shilling 2pence, at 12 shilling 3.5pence each.</t>
  </si>
  <si>
    <t>.</t>
  </si>
  <si>
    <t>3 oxen bought £1 13 shilling 0.75pence, at 11 shilling 0.25pence each.</t>
  </si>
  <si>
    <t>5 oxen bought £2 14 shilling 7pence, at 10 shilling 11pence each.</t>
  </si>
  <si>
    <t>blood-letting of oxen 3pence.</t>
  </si>
  <si>
    <t>hiring 2 men for 6 days to hold the ploughs whilst the ploughmen of the vii mow the meadows 6pence.</t>
  </si>
  <si>
    <t>stipend of 2 ox-drovers for the year 10 shilling Total, £8 2 shilling 0.5pence</t>
  </si>
  <si>
    <t>Cost of wagons and carts</t>
  </si>
  <si>
    <t>In dowels bought for the wagons for the year 6.5pence.</t>
  </si>
  <si>
    <t>6 tacks with nails bought for the wagons 10pence.</t>
  </si>
  <si>
    <t>1 pair of wheels bought for the cart 2 shilling 10pence.</t>
  </si>
  <si>
    <t>1 collar bought for the cart 4.5pence.</t>
  </si>
  <si>
    <t>grease bought for the wagons for the year 4pence.</t>
  </si>
  <si>
    <t>shoeing and tethering 2 plough-horses for the year 1 shilling 4pence.</t>
  </si>
  <si>
    <t>4 halters bought for plough-horses for the year 2pence.</t>
  </si>
  <si>
    <t>stipend of 1 carter for the year holding the place of the hayward 5 shilling Total, 11 shilling 5pence</t>
  </si>
  <si>
    <t>Repair of buildings and allowance of food for customary tenants</t>
  </si>
  <si>
    <t>In sand and lime bought for roofing the hall 8pence.</t>
  </si>
  <si>
    <t>tiles bought for the same 8pence.</t>
  </si>
  <si>
    <t>nails bought for the same 1.75pence.</t>
  </si>
  <si>
    <t>stipend of 1 tiler roofing the said hall beside the latrine 6pence.</t>
  </si>
  <si>
    <t>stipend of 1 carpenter mending the walls of the small barn 6pence.</t>
  </si>
  <si>
    <t>roofing the great stable by piece-work 2 shilling 6pence.</t>
  </si>
  <si>
    <t>allowance of food (potura) for the customary tenants of the vill at Christmas according to custom 4 shilling Total, 8 shilling 11.75pence</t>
  </si>
  <si>
    <t>Sheepcote (bercar') and dairy</t>
  </si>
  <si>
    <t>In 13 hurdles bought for the fold (fold') 1 shilling 2pence.</t>
  </si>
  <si>
    <t>stipend of one shepherd for the year 4 shilling.</t>
  </si>
  <si>
    <t>4 bushels of salt bought for the dairy for the year 1 shilling 3pence.</t>
  </si>
  <si>
    <t>1 ell of linen cloth bought for the dairy 3pence.</t>
  </si>
  <si>
    <t>clay pots and pans bought for the dairy 2.25pence.</t>
  </si>
  <si>
    <t>stipend of 1 cowherd for the year 2 shilling 6pence.</t>
  </si>
  <si>
    <t>stipend of 1 dairymaid for summer and autumn 2 shilling Total, 11 shilling 4.25pence</t>
  </si>
  <si>
    <t>Small and necessary expenses</t>
  </si>
  <si>
    <t>In castrating 12 piglets 4pence.</t>
  </si>
  <si>
    <t>quittance of the tithe of 1 foal 1pence.</t>
  </si>
  <si>
    <t>mending 1 three-pronged fork 1pence.</t>
  </si>
  <si>
    <t>1 sack bought for corn 10pence.</t>
  </si>
  <si>
    <t>1 piece of iron bought for the beam 1pence.</t>
  </si>
  <si>
    <t>stone bought to mend the bridge which is called Wodebrigge 9pence.</t>
  </si>
  <si>
    <t>stipend of the mason mending the said bridge 10.5pence Total, 3 shilling 0.5pence</t>
  </si>
  <si>
    <t>Cost of the mill</t>
  </si>
  <si>
    <t>In one stone millstone bought for the mill 8 shilling 3pence.</t>
  </si>
  <si>
    <t>making one mill-spindle 5pence.</t>
  </si>
  <si>
    <t>nails bought for the mill-wheel 2.5pence.</t>
  </si>
  <si>
    <t>stipend of the miller for the year 5 shilling.</t>
  </si>
  <si>
    <t>quittance of the tithe of the mill 2 shilling Total, 15 shilling 10.5pence</t>
  </si>
  <si>
    <t>Weeding corn and mowing the meadow</t>
  </si>
  <si>
    <t>In weeding corn 3 shilling 6pence.</t>
  </si>
  <si>
    <t>covering 1 haycock 3pence.</t>
  </si>
  <si>
    <t>expenses of 1 reap-reeve (rypereve) for 6 weeks at harvest-time 3 shilling 6pence, at 1pence a day.</t>
  </si>
  <si>
    <t>stipend of the same 2 shilling.</t>
  </si>
  <si>
    <t>covering 1 stack of beans by piece-work 4pence Total, 9 shilling 7pence</t>
  </si>
  <si>
    <t>beans</t>
  </si>
  <si>
    <t>Steward's expenses</t>
  </si>
  <si>
    <t>In expenses of the steward and his clerk for their visits to view the state of the manor, to hold court, and to expedite other business of the lord, 8 shilling 8pence by 2 tallies.</t>
  </si>
  <si>
    <t>Total, 8 shilling 8pence</t>
  </si>
  <si>
    <t>Bailiff's expenses</t>
  </si>
  <si>
    <t>In expenses of the bailiff for the year £3 10pence, at 2pence a day.</t>
  </si>
  <si>
    <t>Total, £3 10pence</t>
  </si>
  <si>
    <t>Total of all expenses</t>
  </si>
  <si>
    <t>Total of all expenses, £14 1 1 shilling 9.5pence</t>
  </si>
  <si>
    <t>And thus he owes, £63 11.75pence</t>
  </si>
  <si>
    <t>Cash deliveries</t>
  </si>
  <si>
    <t>Delivered to Sir Geoffrey, treasurer of Wolvesey, by 1 tally, £38. Total, £38.</t>
  </si>
  <si>
    <t>And thus he owes clear, £25 11.75pence</t>
  </si>
  <si>
    <t>Wheat</t>
  </si>
  <si>
    <t>{yield: 5.5-fold plus 6.5 bushels in all with the issue of maslin below)</t>
  </si>
  <si>
    <t>The same render account for 144.5 quarters of wheat from the issue of the grange threshed by the customary tenants of the vill by struck measure.</t>
  </si>
  <si>
    <t>Total, 144.5 quarters.</t>
  </si>
  <si>
    <t>Sown over 117 acres, 22 quarters .5 bushels.</t>
  </si>
  <si>
    <t>that is, 1.5 bushels an acre, plus 1 bushels in all.</t>
  </si>
  <si>
    <t>bread baked for the provision of one boon-work for winter sowing, 6 bushels.</t>
  </si>
  <si>
    <t>provision of the steward for his visits, 3 bushels Sold within, 121 quarters 2.5 bushels Total as made clear.</t>
  </si>
  <si>
    <t>It balances.</t>
  </si>
  <si>
    <t>Curall</t>
  </si>
  <si>
    <t>The same render account for 20 quarters 1 bushels of curall from the issue of the grange  threshed like wheat above.</t>
  </si>
  <si>
    <t>Total, 20 quarters 1 bushels</t>
  </si>
  <si>
    <t>Mixed for the liveries of the manorial servants, 14 quarters.</t>
  </si>
  <si>
    <t>Sold within, 6 quarters 1 bushels It balances.</t>
  </si>
  <si>
    <t>Maslin</t>
  </si>
  <si>
    <t>{yield: 5.5-fold with wheat above}</t>
  </si>
  <si>
    <t>The same render account for 12 quarters 7 bushels of maslin from the issue of the grange threshed as above.</t>
  </si>
  <si>
    <t>Total, 12 quarters 7 bushels Sold within.</t>
  </si>
  <si>
    <t>Barley</t>
  </si>
  <si>
    <t>{yield: seven-fold less .5 quarters}</t>
  </si>
  <si>
    <t>The same render account for 10 quarters of barley from the issue of the grange.</t>
  </si>
  <si>
    <t>Total, 10 quarters.</t>
  </si>
  <si>
    <t>Sown over 3 acres, 7.5 bushels.</t>
  </si>
  <si>
    <t>that is, 2.5 bushels an acre.</t>
  </si>
  <si>
    <t>supporting piglets, 5 bushels Mixed for the liveries of the manorial servants, 4 quarters 3.5 bushels Sold within, 1 quarters 3 bushels Sold at the audit, 2 quarters 5 bushels It balances.</t>
  </si>
  <si>
    <t>Beans</t>
  </si>
  <si>
    <t>{yield: seven-fold less 1 quarters with 35 quarters by estimation remaining in the stack} The same render account for 1 quarters 2 bushels of beans remaining from the previous account.</t>
  </si>
  <si>
    <t>27 quarters from this year's issue.</t>
  </si>
  <si>
    <t>Total, 28 quarters 2 bushels</t>
  </si>
  <si>
    <t>Sown over 15 acres, 7 quarters 2 bushels.</t>
  </si>
  <si>
    <t>that is, .5 quarters an acre, less 2 bushels in all.</t>
  </si>
  <si>
    <t>feeding pigs, 2.5 quarters.</t>
  </si>
  <si>
    <t>Mixed for the liveries of the manorial servants, 2 quarters 2 bushels Sold within, 16 quarters 2 bushels Total as above. 35 quarters by estimation remain in a certain stack.</t>
  </si>
  <si>
    <t>Peas</t>
  </si>
  <si>
    <t>{yield: 7.5-fold less % bushels with the remainder in the stack}</t>
  </si>
  <si>
    <t>The same render account for 6 quarters of peas remaining from the previous account.</t>
  </si>
  <si>
    <t>1 quarters 5 bushels from this year's issue.</t>
  </si>
  <si>
    <t>Total, 7 quarters 5 bushels</t>
  </si>
  <si>
    <t>Sown over 2 acres, 2 bushels.</t>
  </si>
  <si>
    <t>supporting pigs in winter, 1.5 quarters.</t>
  </si>
  <si>
    <t>Sold within, 5 quarters.</t>
  </si>
  <si>
    <t>Total as above. 3 quarters by estimation remain in the stack.</t>
  </si>
  <si>
    <t>Vetches</t>
  </si>
  <si>
    <t>{yield: 10.5-fold plus 1.5 bushels}</t>
  </si>
  <si>
    <t>The same render account for 1 quarters 6 bushels of vetches from the issue.</t>
  </si>
  <si>
    <t>Total, 1 quarters 6 bushels</t>
  </si>
  <si>
    <t>Sown over 3 acres, 3 bushels Sold within, 1 quarters 3 bushels Total as above. 5 quarters by estimation remain in the stack.</t>
  </si>
  <si>
    <t>Oats</t>
  </si>
  <si>
    <t>{yield: 3-fold plus 7 quarters 6 bushels}</t>
  </si>
  <si>
    <t>The same render account for 107 quarters 7 bushels of oats froln the issue.</t>
  </si>
  <si>
    <t>Total, 107 quarters 7 bushels</t>
  </si>
  <si>
    <t>Sown over 129 acres, 48 quarters.</t>
  </si>
  <si>
    <t>that is, 3 bushels an acre.</t>
  </si>
  <si>
    <t>customary payment of the manorial servants in Lent, 1 quarters.</t>
  </si>
  <si>
    <t>fodder of the plough-horses in winter, 1.5 quarters.</t>
  </si>
  <si>
    <t>fodder of the horses of the steward and his clerk for their visits, 1 quarters, by 2 tallies of 2 bushels, within with expenses.</t>
  </si>
  <si>
    <t>a gratuity made to the beadle of the hundred of Horethorne of fodder for his horse, 1 quarters.</t>
  </si>
  <si>
    <t>Sold within, 54 quarters 6 bushels</t>
  </si>
  <si>
    <t>Issues of the mill</t>
  </si>
  <si>
    <t>The same render account for 1 quarters 5 bushels of wheat from the issue of the mill for the year.</t>
  </si>
  <si>
    <t>Total, 1 quarters 5 bushels All sold within.</t>
  </si>
  <si>
    <t>The same render account for 9 quarters 2 bushels of maslin from the issue of the mill for the year.</t>
  </si>
  <si>
    <t>Mixed for the liveries of the manorial servants, 9 quarters 2 bushels Total, 9 quarters 2 bushels It balances.The same render account for 3 quarters 5.5 bushels of first-grade and second-grade malt from the issue of the mill for the year.</t>
  </si>
  <si>
    <t>Total, 3 quarters 5.5 bushels Sold within.</t>
  </si>
  <si>
    <t>Proof of liveries</t>
  </si>
  <si>
    <t>The same render account for 14 quarters of curall, 4 quarters 3.5 bushels of barley, 2 bushels of beans, and 9 quarters 2 bushels of maslin from the mill above, mixed for the liveries of the manorial servants.</t>
  </si>
  <si>
    <t>barley, maslin, beans, curall</t>
  </si>
  <si>
    <t>Total, 29 quarters 7.5 bushels</t>
  </si>
  <si>
    <t>Delivered to 1 carter holding the place of the hayward, 2 ox-drovers, 1 miller and 1 shepherd for the year, 21 quarters 4.5 bushels, each taking 1 quarters every 12 weeks.</t>
  </si>
  <si>
    <t>Delivered to 1 woman keeping the hearth in winter, .5 quarters.</t>
  </si>
  <si>
    <t>Delivered to 1 cowherd and 1 swineherd for the year, 6.5 quarters, both taking r li quarters every 16 weeks.</t>
  </si>
  <si>
    <t>Delivered to 1 dairymaid for 22 weeks before Michaelmas, 1 quarters 3 bushels, taking 1 quarters every 16 weeks.</t>
  </si>
  <si>
    <t>Stock</t>
  </si>
  <si>
    <t>Plough-horses: 2 females remain.</t>
  </si>
  <si>
    <t>1 female from strays. 1 from strays sold within.</t>
  </si>
  <si>
    <t>Total, 1. 2 females remain.</t>
  </si>
  <si>
    <t>Colts: 2 remain, one male aged 1.5 years, the other female aged .5 year.</t>
  </si>
  <si>
    <t>1 female from this year's offspring.</t>
  </si>
  <si>
    <t>Total, 3. 1 fully-grown male aged 2 years sold within.</t>
  </si>
  <si>
    <t>2 females remain, 1 aged 1.5 years, the other .5 year.</t>
  </si>
  <si>
    <t>Oxen: 36 remain.</t>
  </si>
  <si>
    <t>2 added from steers below.</t>
  </si>
  <si>
    <t>1 from the heriot of Richard de Bosco.</t>
  </si>
  <si>
    <t>12 bought within.</t>
  </si>
  <si>
    <t>Total, 51. 3 in murrain.</t>
  </si>
  <si>
    <t>13 sold within.</t>
  </si>
  <si>
    <t>Total, 16. 35 remain.</t>
  </si>
  <si>
    <t>Bulls: 1 remains.</t>
  </si>
  <si>
    <t>Total, 1. 1 remains.</t>
  </si>
  <si>
    <t>Cows: 18 remain.</t>
  </si>
  <si>
    <t>Total, 18. 2 in murrain before calving, 2 after calving.</t>
  </si>
  <si>
    <t>Total, 4. 14 remain.</t>
  </si>
  <si>
    <t>Steers: 5 steers and heifers (juvenc') remain from the previous year's bullocks.</t>
  </si>
  <si>
    <t>Total, 5. 2 added to oxen above.</t>
  </si>
  <si>
    <t>3 in murrain.</t>
  </si>
  <si>
    <t>Total, 5. None remain.</t>
  </si>
  <si>
    <t>Bullocks: 6 remain from the previous year's yearlings, 2 of them male. 2 young heifers (bovicul' fem') in murrain.</t>
  </si>
  <si>
    <t>1 young heifer sold within.</t>
  </si>
  <si>
    <t>Total, 3. 2 bullocks and 1 heifer (juvenc') remain.</t>
  </si>
  <si>
    <t>Yearlings: 9 remain from the previous year's calves, 5 of them male.</t>
  </si>
  <si>
    <t>Total, 9. 9 remain, 5 of them male.</t>
  </si>
  <si>
    <t>Calves: 14 from the offspring of the aforesaid cows and not more because 2 cows sterile and 2 in murrain before calving.</t>
  </si>
  <si>
    <t>Total, 14. 1 in tithe.</t>
  </si>
  <si>
    <t>7 in murrain.</t>
  </si>
  <si>
    <t>Total, 8. 6 remain, 2 of them male.</t>
  </si>
  <si>
    <t>Pigs: 16 remain.</t>
  </si>
  <si>
    <t>38 added from hoggets below.</t>
  </si>
  <si>
    <t>Total, 54. 2 in murrain in autumn.</t>
  </si>
  <si>
    <t>25 sold within.</t>
  </si>
  <si>
    <t>Total, 27. 27 remain.</t>
  </si>
  <si>
    <t>Boars (Aper): 1 remains.</t>
  </si>
  <si>
    <t>Sows: 3 remain.</t>
  </si>
  <si>
    <t>Hoggets: 38 remain from the piglets of the previous account.</t>
  </si>
  <si>
    <t>Total, 38. 38 added above to pigs.</t>
  </si>
  <si>
    <t>Total as above.</t>
  </si>
  <si>
    <t>None remain.</t>
  </si>
  <si>
    <t>Piglets: 14 farrowed in October.</t>
  </si>
  <si>
    <t>13 farrowed in February.</t>
  </si>
  <si>
    <t>17 farrowed in June.</t>
  </si>
  <si>
    <t>Total, 44. 4 in tithe.</t>
  </si>
  <si>
    <t>8 in murrain.</t>
  </si>
  <si>
    <t>Total, 12. 32 remain.</t>
  </si>
  <si>
    <t>Hides: 3 from oxen, 4 from cows, 3 from heifers, 2 from bullocks and 7 from calves in murrain above.</t>
  </si>
  <si>
    <t>Total, 19. All so1pence</t>
  </si>
  <si>
    <t>Cider: 2 casks remain from the previous account.</t>
  </si>
  <si>
    <t>2 casks from the issue of the garden this year.</t>
  </si>
  <si>
    <t>Total, 4. 2 casks sold within.</t>
  </si>
  <si>
    <t>Total, 2. 2 casks remain.</t>
  </si>
  <si>
    <t>Cheese: {yield of cow 3 shilling this year and not more on account of the sickness of others this year}: 19 rowen cheeses.</t>
  </si>
  <si>
    <t>162 from the issue of the dairy between Saturday before the feast of St George (21 April) and Michaelmas (29 September), at 1 cheese a day, the first and last day includepence Total, 181. 16 in payment of tithe.</t>
  </si>
  <si>
    <t>1 in customary payment to the dairymaid.</t>
  </si>
  <si>
    <t>1 in provision of the steward.</t>
  </si>
  <si>
    <t>3 in provision of the bailiff and others at harvest-time.</t>
  </si>
  <si>
    <t>19 rowens sold within without weighing.</t>
  </si>
  <si>
    <t>141 from the issue of the summer, weighing 2.5 weys and 3 stone.</t>
  </si>
  <si>
    <t>Butter: all sold within by the dish.</t>
  </si>
  <si>
    <t>Plough feet: 1 remains.</t>
  </si>
  <si>
    <t>3 from the chevage of John Batyn, William Prigge and John Bercarius.</t>
  </si>
  <si>
    <t>Total, 4. 4 used for 4 ploughs during the year.</t>
  </si>
  <si>
    <t>Vessels and utensils: 6 casks, 4 barrels, 3 tubs, 1 brass ewer, 1 basin, 1 bucket, 4 wains (plaustr') and 1 cart with iron tyres, 5 ropes for wagons and carts.</t>
  </si>
  <si>
    <t>1 saddle for the cart with saddle-pads, 1 swingletree with 2 collars, 1 pot, 1 brass posnet, 1 .5-bushel measure, 1 winnowing-fan, 1 sack, 1 tripod, 1 trough, 5 buckets, 6 cheese-baskets, 1 large bowl and 1 basket (sporta) remain.</t>
  </si>
  <si>
    <t>1 pair of cart-wheels bought within.</t>
  </si>
  <si>
    <t>2 buckets, 2 cheese-baskets and 1 basket (sportum) used.</t>
  </si>
  <si>
    <t>all the rest remains.</t>
  </si>
  <si>
    <t>Error</t>
  </si>
  <si>
    <t>Total</t>
  </si>
  <si>
    <t>The same render account for £32 7 shilling from 121 quarters 2.5 bushels of wheat sold, at 5 shilling 4pence a qr, £1 3 shilling 5.75pence from 6 quarters 1 bushels of curall sold, at 3 shilling 10pence a qr.</t>
  </si>
  <si>
    <t>£3 1pence from 12 quarters 7 bushels of maslin sold, at 4 shilling 8pence a qr.</t>
  </si>
  <si>
    <t>11 shilling 9pence from 5 quarters 7 bushels of peas sold, at 2 shilling a qr.</t>
  </si>
  <si>
    <t>1 shilling 10pence from 1 qr 3 bushels of vetches sold, at 2pence a bushels.</t>
  </si>
  <si>
    <t>£5 18 shilling 7.5pence from 54 quarters 6 bushels of oats sold, at 2 shilling 2pence a qr.</t>
  </si>
  <si>
    <t>added</t>
  </si>
  <si>
    <t>sold</t>
  </si>
  <si>
    <t>Oxen</t>
  </si>
  <si>
    <t>Bulls</t>
  </si>
  <si>
    <t>Cows</t>
  </si>
  <si>
    <t>Steers</t>
  </si>
  <si>
    <t>Bullocks</t>
  </si>
  <si>
    <t>Yearlings</t>
  </si>
  <si>
    <t>Calves</t>
  </si>
  <si>
    <t>Pigs</t>
  </si>
  <si>
    <t>Sows</t>
  </si>
  <si>
    <t>Hoggets</t>
  </si>
  <si>
    <t>Piglets</t>
  </si>
  <si>
    <t>Cider</t>
  </si>
  <si>
    <t>Butter</t>
  </si>
  <si>
    <t>Utensils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</si>
  <si>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</si>
  <si>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</si>
  <si>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</si>
  <si>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</si>
  <si>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</si>
  <si>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</si>
  <si>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</si>
  <si>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</si>
  <si>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</si>
  <si>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</si>
  <si>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</si>
  <si>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</si>
  <si>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</si>
  <si>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</si>
  <si>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</si>
  <si>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</si>
  <si>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</si>
  <si>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</si>
  <si>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</si>
  <si>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</si>
  <si>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</si>
  <si>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</si>
  <si>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</si>
  <si>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{yield: seven-fold less .5 qr}</t>
  </si>
  <si>
    <t>supporting piglets, 5 bushels Mixed for the liveries of the manorial servants, 4 quarters 3.5 bushels Sold within, 1 qr 3 bushels Sold at the audit, 2 quarters 5 bushels It balances.</t>
  </si>
  <si>
    <t>{yield: seven-fold less 1 qr with 35 quarters by estimation remaining in the stack} The same render account for 1 qr 2 bushels of beans remaining from the previous account.</t>
  </si>
  <si>
    <t>that is, .5 qr an acre, less 2 bushels in all.</t>
  </si>
  <si>
    <t>1 qr 5 bushels from this year's issue.</t>
  </si>
  <si>
    <t>The same render account for 1 qr 6 bushels of vetches from the issue.</t>
  </si>
  <si>
    <t>Total, 1 qr 6 bushels</t>
  </si>
  <si>
    <t>Sown over 3 acres, 3 bushels Sold within, 1 qr 3 bushels Total as above. 5 quarters by estimation remain in the stack.</t>
  </si>
  <si>
    <t>customary payment of the manorial servants in Lent, 1 qr.</t>
  </si>
  <si>
    <t>fodder of the horses of the steward and his clerk for their visits, 1 qr, by 2 tallies of 2 bushels, within with expenses.</t>
  </si>
  <si>
    <t>a gratuity made to the beadle of the hundred of Horethorne of fodder for his horse, 1 qr.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</si>
  <si>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</si>
  <si>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</si>
  <si>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</si>
  <si>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</si>
  <si>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</si>
  <si>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Oatmeal</t>
  </si>
  <si>
    <t>Rye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</si>
  <si>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</si>
  <si>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</si>
  <si>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</si>
  <si>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</si>
  <si>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</si>
  <si>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</si>
  <si>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</si>
  <si>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</si>
  <si>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</si>
  <si>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</si>
  <si>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</si>
  <si>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</si>
  <si>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</si>
  <si>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</si>
  <si>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</si>
  <si>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</si>
  <si>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</si>
  <si>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</si>
  <si>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</si>
  <si>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</si>
  <si>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</si>
  <si>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</si>
  <si>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</si>
  <si>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</si>
  <si>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</si>
  <si>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</si>
  <si>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</si>
  <si>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</si>
  <si>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</si>
  <si>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</si>
  <si>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</si>
  <si>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</si>
  <si>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</si>
  <si>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</si>
  <si>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</si>
  <si>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</si>
  <si>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</si>
  <si>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</si>
  <si>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</si>
  <si>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</si>
  <si>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</si>
  <si>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</si>
  <si>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</si>
  <si>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</si>
  <si>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</si>
  <si>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</si>
  <si>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</si>
  <si>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</si>
  <si>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</si>
  <si>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</si>
  <si>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</si>
  <si>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</si>
  <si>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</si>
  <si>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</si>
  <si>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</si>
  <si>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</si>
  <si>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</si>
  <si>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</si>
  <si>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</si>
  <si>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</si>
  <si>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</si>
  <si>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</si>
  <si>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Dredge</t>
  </si>
  <si>
    <t>Total value of gross production (sum of the above)</t>
  </si>
  <si>
    <t>Total value of net production</t>
  </si>
  <si>
    <t>Value of sales</t>
  </si>
  <si>
    <t>MILL ACCOUNT</t>
  </si>
  <si>
    <t>1st grade malt</t>
  </si>
  <si>
    <t>2nd grade malt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</si>
  <si>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</si>
  <si>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</si>
  <si>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</si>
  <si>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</si>
  <si>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</si>
  <si>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</si>
  <si>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</si>
  <si>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</si>
  <si>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Foals</t>
  </si>
  <si>
    <t>Wethers</t>
  </si>
  <si>
    <t>Rams</t>
  </si>
  <si>
    <t>Ewes</t>
  </si>
  <si>
    <t>Hoggs</t>
  </si>
  <si>
    <t>Lambs</t>
  </si>
  <si>
    <t>Boars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</si>
  <si>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</si>
  <si>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</si>
  <si>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</si>
  <si>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</si>
  <si>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</si>
  <si>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</si>
  <si>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</si>
  <si>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</si>
  <si>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</si>
  <si>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</si>
  <si>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</si>
  <si>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</si>
  <si>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</si>
  <si>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</si>
  <si>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</si>
  <si>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</si>
  <si>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</si>
  <si>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</si>
  <si>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</si>
  <si>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</si>
  <si>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</si>
  <si>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</si>
  <si>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</si>
  <si>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</si>
  <si>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</si>
  <si>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</si>
  <si>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</si>
  <si>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</si>
  <si>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</si>
  <si>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</si>
  <si>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</si>
  <si>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</si>
  <si>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</si>
  <si>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</si>
  <si>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</si>
  <si>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</si>
  <si>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</si>
  <si>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</si>
  <si>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</si>
  <si>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</si>
  <si>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</si>
  <si>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</si>
  <si>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</si>
  <si>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</si>
  <si>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</si>
  <si>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</si>
  <si>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</si>
  <si>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</si>
  <si>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</si>
  <si>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</si>
  <si>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</si>
  <si>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RIMPTON</t>
  </si>
  <si>
    <t>Total in £</t>
  </si>
  <si>
    <t>Note</t>
  </si>
  <si>
    <t>RIMPTON RECEIPTS</t>
  </si>
  <si>
    <t>£</t>
  </si>
  <si>
    <t xml:space="preserve">s </t>
  </si>
  <si>
    <t>d</t>
  </si>
  <si>
    <t>Notes</t>
  </si>
  <si>
    <t xml:space="preserve">In default of the house and curtilage of John de Molendino because it is in demesne 1 shilling </t>
  </si>
  <si>
    <t>Total, 1 shilling</t>
  </si>
  <si>
    <t>Henry le Whyte and Robert Boye, reeve of Rimpton, render account for £1 4shilling 6pence for rents at Christmas.</t>
  </si>
  <si>
    <t xml:space="preserve"> £1 12 shilling 6pence from 16 quarters 2 bushels of beans sold, at 2 shilling a qr.</t>
  </si>
  <si>
    <t>6 shilling from Albreda, the relict of de Bosco, to retain 1 virgate of her husband's lanpence</t>
  </si>
  <si>
    <t>Total, £11 7 shilling 4pence</t>
  </si>
  <si>
    <t>Both</t>
  </si>
  <si>
    <t>RIMPTON EXPENSES</t>
  </si>
  <si>
    <t xml:space="preserve">stipend of 2 ox-drovers for the year 10 shilling </t>
  </si>
  <si>
    <t>Total, £8 2 shilling 0.5pence</t>
  </si>
  <si>
    <t xml:space="preserve">quittance of the tithe of the mill 2 shilling </t>
  </si>
  <si>
    <t>Total, 15 shilling 10.5pence</t>
  </si>
  <si>
    <t>Colts (unspecified years)</t>
  </si>
  <si>
    <t>Total Value</t>
  </si>
  <si>
    <t>Total wool</t>
  </si>
  <si>
    <t>calves</t>
  </si>
  <si>
    <t>pigs</t>
  </si>
  <si>
    <t>Woolskins (incl. 10 in tithe)</t>
  </si>
  <si>
    <t>wethers</t>
  </si>
  <si>
    <t>rams</t>
  </si>
  <si>
    <t>ewes</t>
  </si>
  <si>
    <t>hoggs</t>
  </si>
  <si>
    <t>Woolskins (excl. 10 in tithe)</t>
  </si>
  <si>
    <t>Bareskins</t>
  </si>
  <si>
    <t>Lambskins (excl. 8 in tithe)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</si>
  <si>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</si>
  <si>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</si>
  <si>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</si>
  <si>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</si>
  <si>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</si>
  <si>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</si>
  <si>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</si>
  <si>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Cheese</t>
  </si>
  <si>
    <t>Winter cheese</t>
  </si>
  <si>
    <t>Summer cheese</t>
  </si>
  <si>
    <t>Total Dairy Sales</t>
  </si>
  <si>
    <t>Additional Information (not necessarily useful)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</si>
  <si>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</si>
  <si>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</si>
  <si>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</si>
  <si>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</si>
  <si>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</si>
  <si>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</si>
  <si>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</si>
  <si>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</si>
  <si>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</si>
  <si>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</si>
  <si>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</si>
  <si>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</si>
  <si>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</si>
  <si>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</si>
  <si>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</si>
  <si>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</si>
  <si>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</si>
  <si>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</si>
  <si>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</si>
  <si>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</si>
  <si>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</si>
  <si>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</si>
  <si>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</si>
  <si>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</si>
  <si>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</si>
  <si>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</si>
  <si>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</si>
  <si>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</si>
  <si>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</si>
  <si>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</si>
  <si>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</si>
  <si>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</si>
  <si>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</si>
  <si>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</si>
  <si>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</si>
  <si>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</si>
  <si>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</si>
  <si>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</si>
  <si>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</si>
  <si>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</si>
  <si>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</si>
  <si>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</si>
  <si>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</si>
  <si>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</si>
  <si>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RIMPTON STOCK ACCOUNT</t>
  </si>
  <si>
    <t>4 shilling 7pence from 1 qr 3 bushels of barley sold, at 3 shilling 4pence a qr.</t>
  </si>
  <si>
    <t>Total Quantity</t>
  </si>
  <si>
    <t>Received from churchscot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</si>
  <si>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</si>
  <si>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</si>
  <si>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</si>
  <si>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</si>
  <si>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</si>
  <si>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</si>
  <si>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</si>
  <si>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</si>
  <si>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</si>
  <si>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</si>
  <si>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</si>
  <si>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</si>
  <si>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</si>
  <si>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</si>
  <si>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</si>
  <si>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</si>
  <si>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curall</t>
  </si>
  <si>
    <t>Total Production</t>
  </si>
  <si>
    <t>Sales of corn (as recorded in accounts)</t>
  </si>
  <si>
    <t>cows</t>
  </si>
  <si>
    <t>heifer</t>
  </si>
  <si>
    <t>bullocks</t>
  </si>
  <si>
    <t>mare</t>
  </si>
  <si>
    <t>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</si>
</sst>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theme="1"/>
      <name val="Calibri (Body)"/>
    </font>
    <font>
      <b/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1" fillId="0" borderId="0" xfId="0" applyFont="1"/>
    <xf numFmtId="0" fontId="6" fillId="3" borderId="2" xfId="0" applyFont="1" applyFill="1" applyBorder="1"/>
    <xf numFmtId="0" fontId="6" fillId="3" borderId="0" xfId="0" applyFont="1" applyFill="1"/>
    <xf numFmtId="0" fontId="7" fillId="2" borderId="0" xfId="0" applyFont="1" applyFill="1"/>
    <xf numFmtId="0" fontId="5" fillId="0" borderId="3" xfId="0" applyFont="1" applyBorder="1"/>
    <xf numFmtId="0" fontId="3" fillId="0" borderId="0" xfId="0" applyFont="1"/>
    <xf numFmtId="0" fontId="5" fillId="4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2" borderId="0" xfId="0" applyFont="1" applyFill="1"/>
    <xf numFmtId="0" fontId="4" fillId="6" borderId="0" xfId="0" applyFont="1" applyFill="1"/>
    <xf numFmtId="0" fontId="4" fillId="3" borderId="0" xfId="0" applyFont="1" applyFill="1"/>
    <xf numFmtId="0" fontId="5" fillId="0" borderId="0" xfId="0" applyFont="1" applyAlignment="1">
      <alignment wrapText="1"/>
    </xf>
    <xf numFmtId="0" fontId="8" fillId="6" borderId="0" xfId="0" applyFont="1" applyFill="1"/>
    <xf numFmtId="0" fontId="5" fillId="0" borderId="4" xfId="0" applyFont="1" applyBorder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left"/>
    </xf>
    <xf numFmtId="0" fontId="5" fillId="3" borderId="5" xfId="0" applyFont="1" applyFill="1" applyBorder="1"/>
    <xf numFmtId="0" fontId="8" fillId="2" borderId="6" xfId="0" applyFont="1" applyFill="1" applyBorder="1"/>
    <xf numFmtId="0" fontId="8" fillId="5" borderId="6" xfId="0" applyFont="1" applyFill="1" applyBorder="1"/>
    <xf numFmtId="0" fontId="5" fillId="0" borderId="6" xfId="0" applyFont="1" applyBorder="1"/>
    <xf numFmtId="10" fontId="8" fillId="2" borderId="6" xfId="0" applyNumberFormat="1" applyFont="1" applyFill="1" applyBorder="1"/>
    <xf numFmtId="10" fontId="8" fillId="5" borderId="7" xfId="0" applyNumberFormat="1" applyFont="1" applyFill="1" applyBorder="1"/>
    <xf numFmtId="2" fontId="4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2" fontId="0" fillId="0" borderId="0" xfId="0" applyNumberFormat="1"/>
    <xf numFmtId="2" fontId="10" fillId="0" borderId="0" xfId="0" applyNumberFormat="1" applyFont="1"/>
    <xf numFmtId="2" fontId="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4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8" borderId="0" xfId="0" applyFill="1"/>
    <xf numFmtId="0" fontId="14" fillId="3" borderId="0" xfId="0" applyFont="1" applyFill="1"/>
    <xf numFmtId="0" fontId="14" fillId="0" borderId="0" xfId="0" applyFont="1"/>
    <xf numFmtId="2" fontId="0" fillId="0" borderId="0" xfId="0" applyNumberFormat="1" applyAlignment="1">
      <alignment wrapText="1"/>
    </xf>
    <xf numFmtId="0" fontId="3" fillId="0" borderId="0" xfId="0" applyFont="1" applyAlignment="1">
      <alignment horizontal="right" wrapText="1"/>
    </xf>
    <xf numFmtId="2" fontId="3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17" fillId="0" borderId="0" xfId="0" applyFont="1"/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wrapText="1"/>
    </xf>
    <xf numFmtId="0" fontId="18" fillId="0" borderId="10" xfId="0" applyFont="1" applyBorder="1" applyAlignment="1">
      <alignment wrapText="1"/>
    </xf>
    <xf numFmtId="2" fontId="17" fillId="0" borderId="0" xfId="0" applyNumberFormat="1" applyFont="1" applyAlignment="1">
      <alignment horizontal="right" wrapText="1"/>
    </xf>
    <xf numFmtId="0" fontId="0" fillId="9" borderId="0" xfId="0" applyFill="1"/>
    <xf numFmtId="0" fontId="0" fillId="10" borderId="0" xfId="0" applyFill="1"/>
    <xf numFmtId="0" fontId="0" fillId="0" borderId="10" xfId="0" applyBorder="1"/>
    <xf numFmtId="0" fontId="0" fillId="7" borderId="0" xfId="0" applyFill="1"/>
    <xf numFmtId="2" fontId="3" fillId="0" borderId="0" xfId="0" applyNumberFormat="1" applyFont="1" applyAlignment="1">
      <alignment horizontal="right" wrapText="1"/>
    </xf>
    <xf numFmtId="2" fontId="0" fillId="7" borderId="0" xfId="0" applyNumberFormat="1" applyFill="1"/>
    <xf numFmtId="2" fontId="0" fillId="3" borderId="0" xfId="0" applyNumberFormat="1" applyFill="1"/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6" x14ac:dyDescent="0.2"/>
  <cols>
    <col min="1" max="1" width="80" style="5" bestFit="1" customWidth="1"/>
  </cols>
  <sheetData>
    <row r="1" spans="1:4" x14ac:dyDescent="0.2">
      <c r="A1" s="2" t="s">
        <v>559</v>
      </c>
      <c r="B1" s="28" t="s">
        <v>560</v>
      </c>
      <c r="C1" s="29" t="s">
        <v>360</v>
      </c>
      <c r="D1" s="10" t="s">
        <v>561</v>
      </c>
    </row>
    <row r="2" spans="1:4" x14ac:dyDescent="0.2">
      <c r="A2" s="2" t="s">
        <v>433</v>
      </c>
    </row>
    <row r="3" spans="1:4" x14ac:dyDescent="0.2">
      <c r="A3" s="3" t="s">
        <v>434</v>
      </c>
    </row>
    <row r="4" spans="1:4" x14ac:dyDescent="0.2">
      <c r="A4" s="4" t="s">
        <v>435</v>
      </c>
    </row>
    <row r="5" spans="1:4" x14ac:dyDescent="0.2">
      <c r="A5" s="4" t="s">
        <v>436</v>
      </c>
    </row>
    <row r="6" spans="1:4" x14ac:dyDescent="0.2">
      <c r="A6" s="4" t="s">
        <v>437</v>
      </c>
    </row>
    <row r="7" spans="1:4" x14ac:dyDescent="0.2">
      <c r="A7" s="4" t="s">
        <v>438</v>
      </c>
    </row>
    <row r="8" spans="1:4" x14ac:dyDescent="0.2">
      <c r="A8" s="5" t="s">
        <v>439</v>
      </c>
    </row>
    <row r="9" spans="1:4" x14ac:dyDescent="0.2">
      <c r="A9" s="5" t="s">
        <v>440</v>
      </c>
    </row>
    <row r="10" spans="1:4" x14ac:dyDescent="0.2">
      <c r="A10" s="5" t="s">
        <v>441</v>
      </c>
    </row>
    <row r="11" spans="1:4" x14ac:dyDescent="0.2">
      <c r="A11" s="5" t="s">
        <v>442</v>
      </c>
    </row>
    <row r="12" spans="1:4" x14ac:dyDescent="0.2">
      <c r="A12" s="5" t="s">
        <v>443</v>
      </c>
    </row>
    <row r="13" spans="1:4" x14ac:dyDescent="0.2">
      <c r="A13" s="5" t="s">
        <v>444</v>
      </c>
    </row>
    <row r="14" spans="1:4" x14ac:dyDescent="0.2">
      <c r="A14" s="4" t="s">
        <v>445</v>
      </c>
    </row>
    <row r="15" spans="1:4" x14ac:dyDescent="0.2">
      <c r="A15" s="4" t="s">
        <v>446</v>
      </c>
    </row>
    <row r="16" spans="1:4" x14ac:dyDescent="0.2">
      <c r="A16" s="5" t="s">
        <v>447</v>
      </c>
    </row>
    <row r="17" spans="1:1" x14ac:dyDescent="0.2">
      <c r="A17" s="5" t="s">
        <v>448</v>
      </c>
    </row>
    <row r="18" spans="1:1" x14ac:dyDescent="0.2">
      <c r="A18" s="4" t="s">
        <v>449</v>
      </c>
    </row>
    <row r="19" spans="1:1" x14ac:dyDescent="0.2">
      <c r="A19" s="4" t="s">
        <v>450</v>
      </c>
    </row>
    <row r="20" spans="1:1" x14ac:dyDescent="0.2">
      <c r="A20" s="4" t="s">
        <v>451</v>
      </c>
    </row>
    <row r="21" spans="1:1" x14ac:dyDescent="0.2">
      <c r="A21" s="5" t="s">
        <v>452</v>
      </c>
    </row>
    <row r="22" spans="1:1" x14ac:dyDescent="0.2">
      <c r="A22" s="5" t="s">
        <v>453</v>
      </c>
    </row>
    <row r="23" spans="1:1" x14ac:dyDescent="0.2">
      <c r="A23" s="6" t="s">
        <v>454</v>
      </c>
    </row>
    <row r="24" spans="1:1" x14ac:dyDescent="0.2">
      <c r="A24" s="7" t="s">
        <v>455</v>
      </c>
    </row>
    <row r="25" spans="1:1" x14ac:dyDescent="0.2">
      <c r="A25" s="8" t="s">
        <v>456</v>
      </c>
    </row>
    <row r="26" spans="1:1" x14ac:dyDescent="0.2">
      <c r="A26" s="8" t="s">
        <v>457</v>
      </c>
    </row>
    <row r="27" spans="1:1" x14ac:dyDescent="0.2">
      <c r="A27" s="4"/>
    </row>
    <row r="28" spans="1:1" x14ac:dyDescent="0.2">
      <c r="A28" s="4"/>
    </row>
    <row r="29" spans="1:1" x14ac:dyDescent="0.2">
      <c r="A29" s="3" t="s">
        <v>458</v>
      </c>
    </row>
    <row r="30" spans="1:1" x14ac:dyDescent="0.2">
      <c r="A30" s="4" t="s">
        <v>459</v>
      </c>
    </row>
    <row r="31" spans="1:1" x14ac:dyDescent="0.2">
      <c r="A31" s="4" t="s">
        <v>460</v>
      </c>
    </row>
    <row r="32" spans="1:1" x14ac:dyDescent="0.2">
      <c r="A32" s="4" t="s">
        <v>461</v>
      </c>
    </row>
    <row r="33" spans="1:1" x14ac:dyDescent="0.2">
      <c r="A33" s="4" t="s">
        <v>462</v>
      </c>
    </row>
    <row r="34" spans="1:1" x14ac:dyDescent="0.2">
      <c r="A34" s="4" t="s">
        <v>463</v>
      </c>
    </row>
    <row r="35" spans="1:1" x14ac:dyDescent="0.2">
      <c r="A35" s="4" t="s">
        <v>464</v>
      </c>
    </row>
    <row r="36" spans="1:1" x14ac:dyDescent="0.2">
      <c r="A36" s="4" t="s">
        <v>465</v>
      </c>
    </row>
    <row r="37" spans="1:1" x14ac:dyDescent="0.2">
      <c r="A37" s="4" t="s">
        <v>466</v>
      </c>
    </row>
    <row r="38" spans="1:1" x14ac:dyDescent="0.2">
      <c r="A38" s="4" t="s">
        <v>467</v>
      </c>
    </row>
    <row r="39" spans="1:1" x14ac:dyDescent="0.2">
      <c r="A39" s="4" t="s">
        <v>468</v>
      </c>
    </row>
    <row r="40" spans="1:1" x14ac:dyDescent="0.2">
      <c r="A40" s="4" t="s">
        <v>469</v>
      </c>
    </row>
    <row r="41" spans="1:1" x14ac:dyDescent="0.2">
      <c r="A41" s="4" t="s">
        <v>470</v>
      </c>
    </row>
    <row r="42" spans="1:1" x14ac:dyDescent="0.2">
      <c r="A42" s="4" t="s">
        <v>471</v>
      </c>
    </row>
    <row r="43" spans="1:1" x14ac:dyDescent="0.2">
      <c r="A43" s="9" t="s">
        <v>472</v>
      </c>
    </row>
    <row r="44" spans="1:1" x14ac:dyDescent="0.2">
      <c r="A44" s="7" t="s">
        <v>473</v>
      </c>
    </row>
    <row r="45" spans="1:1" x14ac:dyDescent="0.2">
      <c r="A45" s="7" t="s">
        <v>474</v>
      </c>
    </row>
    <row r="46" spans="1:1" x14ac:dyDescent="0.2">
      <c r="A46" s="7" t="s">
        <v>475</v>
      </c>
    </row>
    <row r="47" spans="1:1" x14ac:dyDescent="0.2">
      <c r="A47" s="7" t="s">
        <v>476</v>
      </c>
    </row>
    <row r="48" spans="1:1" x14ac:dyDescent="0.2">
      <c r="A48" s="10"/>
    </row>
    <row r="49" spans="1:1" x14ac:dyDescent="0.2">
      <c r="A49" s="11" t="s">
        <v>477</v>
      </c>
    </row>
    <row r="50" spans="1:1" x14ac:dyDescent="0.2">
      <c r="A50" s="11" t="s">
        <v>478</v>
      </c>
    </row>
    <row r="51" spans="1:1" x14ac:dyDescent="0.2">
      <c r="A51" s="4"/>
    </row>
    <row r="52" spans="1:1" x14ac:dyDescent="0.2">
      <c r="A52" s="11" t="s">
        <v>479</v>
      </c>
    </row>
    <row r="53" spans="1:1" x14ac:dyDescent="0.2">
      <c r="A53" s="11" t="s">
        <v>213</v>
      </c>
    </row>
    <row r="54" spans="1:1" x14ac:dyDescent="0.2">
      <c r="A54" s="12" t="s">
        <v>480</v>
      </c>
    </row>
    <row r="55" spans="1:1" x14ac:dyDescent="0.2">
      <c r="A55" s="13" t="s">
        <v>481</v>
      </c>
    </row>
    <row r="56" spans="1:1" x14ac:dyDescent="0.2">
      <c r="A56" s="4"/>
    </row>
    <row r="57" spans="1:1" x14ac:dyDescent="0.2">
      <c r="A57" s="11" t="s">
        <v>482</v>
      </c>
    </row>
    <row r="58" spans="1:1" x14ac:dyDescent="0.2">
      <c r="A58" s="11" t="s">
        <v>483</v>
      </c>
    </row>
    <row r="59" spans="1:1" x14ac:dyDescent="0.2">
      <c r="A59" s="4"/>
    </row>
    <row r="60" spans="1:1" x14ac:dyDescent="0.2">
      <c r="A60" s="3" t="s">
        <v>484</v>
      </c>
    </row>
    <row r="61" spans="1:1" x14ac:dyDescent="0.2">
      <c r="A61" s="2" t="s">
        <v>485</v>
      </c>
    </row>
    <row r="62" spans="1:1" x14ac:dyDescent="0.2">
      <c r="A62" s="5" t="s">
        <v>216</v>
      </c>
    </row>
    <row r="63" spans="1:1" x14ac:dyDescent="0.2">
      <c r="A63" s="5" t="s">
        <v>423</v>
      </c>
    </row>
    <row r="64" spans="1:1" x14ac:dyDescent="0.2">
      <c r="A64" s="5" t="s">
        <v>486</v>
      </c>
    </row>
    <row r="65" spans="1:1" x14ac:dyDescent="0.2">
      <c r="A65" s="5" t="s">
        <v>225</v>
      </c>
    </row>
    <row r="66" spans="1:1" x14ac:dyDescent="0.2">
      <c r="A66" s="5" t="s">
        <v>234</v>
      </c>
    </row>
    <row r="67" spans="1:1" x14ac:dyDescent="0.2">
      <c r="A67" s="5" t="s">
        <v>263</v>
      </c>
    </row>
    <row r="68" spans="1:1" x14ac:dyDescent="0.2">
      <c r="A68" s="5" t="s">
        <v>241</v>
      </c>
    </row>
    <row r="69" spans="1:1" x14ac:dyDescent="0.2">
      <c r="A69" s="5" t="s">
        <v>249</v>
      </c>
    </row>
    <row r="70" spans="1:1" x14ac:dyDescent="0.2">
      <c r="A70" s="5" t="s">
        <v>258</v>
      </c>
    </row>
    <row r="71" spans="1:1" x14ac:dyDescent="0.2">
      <c r="A71" s="14" t="s">
        <v>487</v>
      </c>
    </row>
    <row r="72" spans="1:1" x14ac:dyDescent="0.2">
      <c r="A72" s="14" t="s">
        <v>488</v>
      </c>
    </row>
    <row r="73" spans="1:1" x14ac:dyDescent="0.2">
      <c r="A73" s="14" t="s">
        <v>489</v>
      </c>
    </row>
    <row r="74" spans="1:1" x14ac:dyDescent="0.2">
      <c r="A74" s="4"/>
    </row>
    <row r="75" spans="1:1" x14ac:dyDescent="0.2">
      <c r="A75" s="3" t="s">
        <v>490</v>
      </c>
    </row>
    <row r="76" spans="1:1" x14ac:dyDescent="0.2">
      <c r="A76" s="2" t="s">
        <v>274</v>
      </c>
    </row>
    <row r="77" spans="1:1" x14ac:dyDescent="0.2">
      <c r="A77" s="4" t="s">
        <v>216</v>
      </c>
    </row>
    <row r="78" spans="1:1" x14ac:dyDescent="0.2">
      <c r="A78" s="4" t="s">
        <v>422</v>
      </c>
    </row>
    <row r="79" spans="1:1" x14ac:dyDescent="0.2">
      <c r="A79" s="4" t="s">
        <v>491</v>
      </c>
    </row>
    <row r="80" spans="1:1" x14ac:dyDescent="0.2">
      <c r="A80" s="4" t="s">
        <v>492</v>
      </c>
    </row>
    <row r="81" spans="1:1" x14ac:dyDescent="0.2">
      <c r="A81" s="4" t="s">
        <v>230</v>
      </c>
    </row>
    <row r="82" spans="1:1" x14ac:dyDescent="0.2">
      <c r="A82" s="14" t="s">
        <v>493</v>
      </c>
    </row>
    <row r="83" spans="1:1" x14ac:dyDescent="0.2">
      <c r="A83" s="14" t="s">
        <v>489</v>
      </c>
    </row>
    <row r="84" spans="1:1" x14ac:dyDescent="0.2">
      <c r="A84" s="4"/>
    </row>
    <row r="85" spans="1:1" x14ac:dyDescent="0.2">
      <c r="A85" s="15" t="s">
        <v>494</v>
      </c>
    </row>
    <row r="86" spans="1:1" x14ac:dyDescent="0.2">
      <c r="A86" s="16" t="s">
        <v>495</v>
      </c>
    </row>
    <row r="87" spans="1:1" ht="17" x14ac:dyDescent="0.2">
      <c r="A87" s="17" t="s">
        <v>496</v>
      </c>
    </row>
    <row r="88" spans="1:1" ht="17" x14ac:dyDescent="0.2">
      <c r="A88" s="17" t="s">
        <v>497</v>
      </c>
    </row>
    <row r="89" spans="1:1" x14ac:dyDescent="0.2">
      <c r="A89" s="4" t="s">
        <v>498</v>
      </c>
    </row>
    <row r="90" spans="1:1" x14ac:dyDescent="0.2">
      <c r="A90" s="4" t="s">
        <v>499</v>
      </c>
    </row>
    <row r="91" spans="1:1" x14ac:dyDescent="0.2">
      <c r="A91" s="4" t="s">
        <v>499</v>
      </c>
    </row>
    <row r="92" spans="1:1" x14ac:dyDescent="0.2">
      <c r="A92" s="4" t="s">
        <v>500</v>
      </c>
    </row>
    <row r="93" spans="1:1" x14ac:dyDescent="0.2">
      <c r="A93" s="4" t="s">
        <v>501</v>
      </c>
    </row>
    <row r="94" spans="1:1" x14ac:dyDescent="0.2">
      <c r="A94" s="4" t="s">
        <v>369</v>
      </c>
    </row>
    <row r="95" spans="1:1" x14ac:dyDescent="0.2">
      <c r="A95" s="4" t="s">
        <v>370</v>
      </c>
    </row>
    <row r="96" spans="1:1" x14ac:dyDescent="0.2">
      <c r="A96" s="4" t="s">
        <v>371</v>
      </c>
    </row>
    <row r="97" spans="1:1" x14ac:dyDescent="0.2">
      <c r="A97" s="4" t="s">
        <v>372</v>
      </c>
    </row>
    <row r="98" spans="1:1" x14ac:dyDescent="0.2">
      <c r="A98" s="4" t="s">
        <v>373</v>
      </c>
    </row>
    <row r="99" spans="1:1" x14ac:dyDescent="0.2">
      <c r="A99" s="4" t="s">
        <v>374</v>
      </c>
    </row>
    <row r="100" spans="1:1" x14ac:dyDescent="0.2">
      <c r="A100" s="4" t="s">
        <v>375</v>
      </c>
    </row>
    <row r="101" spans="1:1" x14ac:dyDescent="0.2">
      <c r="A101" s="4" t="s">
        <v>502</v>
      </c>
    </row>
    <row r="102" spans="1:1" x14ac:dyDescent="0.2">
      <c r="A102" s="4" t="s">
        <v>503</v>
      </c>
    </row>
    <row r="103" spans="1:1" x14ac:dyDescent="0.2">
      <c r="A103" s="4" t="s">
        <v>504</v>
      </c>
    </row>
    <row r="104" spans="1:1" x14ac:dyDescent="0.2">
      <c r="A104" s="4" t="s">
        <v>505</v>
      </c>
    </row>
    <row r="105" spans="1:1" x14ac:dyDescent="0.2">
      <c r="A105" s="4" t="s">
        <v>506</v>
      </c>
    </row>
    <row r="106" spans="1:1" x14ac:dyDescent="0.2">
      <c r="A106" s="4" t="s">
        <v>507</v>
      </c>
    </row>
    <row r="107" spans="1:1" x14ac:dyDescent="0.2">
      <c r="A107" s="4" t="s">
        <v>377</v>
      </c>
    </row>
    <row r="108" spans="1:1" x14ac:dyDescent="0.2">
      <c r="A108" s="4" t="s">
        <v>376</v>
      </c>
    </row>
    <row r="109" spans="1:1" x14ac:dyDescent="0.2">
      <c r="A109" s="4" t="s">
        <v>378</v>
      </c>
    </row>
    <row r="110" spans="1:1" x14ac:dyDescent="0.2">
      <c r="A110" s="4" t="s">
        <v>379</v>
      </c>
    </row>
    <row r="111" spans="1:1" x14ac:dyDescent="0.2">
      <c r="A111" s="4" t="s">
        <v>508</v>
      </c>
    </row>
    <row r="112" spans="1:1" x14ac:dyDescent="0.2">
      <c r="A112" s="4" t="s">
        <v>509</v>
      </c>
    </row>
    <row r="113" spans="1:1" x14ac:dyDescent="0.2">
      <c r="A113" s="14" t="s">
        <v>510</v>
      </c>
    </row>
    <row r="114" spans="1:1" x14ac:dyDescent="0.2">
      <c r="A114" s="14" t="s">
        <v>511</v>
      </c>
    </row>
    <row r="115" spans="1:1" x14ac:dyDescent="0.2">
      <c r="A115" s="14" t="s">
        <v>489</v>
      </c>
    </row>
    <row r="116" spans="1:1" x14ac:dyDescent="0.2">
      <c r="A116" s="4"/>
    </row>
    <row r="117" spans="1:1" x14ac:dyDescent="0.2">
      <c r="A117" s="3" t="s">
        <v>512</v>
      </c>
    </row>
    <row r="118" spans="1:1" ht="17" x14ac:dyDescent="0.2">
      <c r="A118" s="17" t="s">
        <v>513</v>
      </c>
    </row>
    <row r="119" spans="1:1" x14ac:dyDescent="0.2">
      <c r="A119" s="4" t="s">
        <v>514</v>
      </c>
    </row>
    <row r="120" spans="1:1" x14ac:dyDescent="0.2">
      <c r="A120" s="4" t="s">
        <v>515</v>
      </c>
    </row>
    <row r="121" spans="1:1" x14ac:dyDescent="0.2">
      <c r="A121" s="4" t="s">
        <v>516</v>
      </c>
    </row>
    <row r="122" spans="1:1" x14ac:dyDescent="0.2">
      <c r="A122" s="4" t="s">
        <v>517</v>
      </c>
    </row>
    <row r="123" spans="1:1" x14ac:dyDescent="0.2">
      <c r="A123" s="18" t="s">
        <v>493</v>
      </c>
    </row>
    <row r="124" spans="1:1" x14ac:dyDescent="0.2">
      <c r="A124" s="18" t="s">
        <v>489</v>
      </c>
    </row>
    <row r="125" spans="1:1" x14ac:dyDescent="0.2">
      <c r="A125" s="2"/>
    </row>
    <row r="126" spans="1:1" x14ac:dyDescent="0.2">
      <c r="A126" s="3" t="s">
        <v>518</v>
      </c>
    </row>
    <row r="127" spans="1:1" x14ac:dyDescent="0.2">
      <c r="A127" s="4" t="s">
        <v>519</v>
      </c>
    </row>
    <row r="128" spans="1:1" x14ac:dyDescent="0.2">
      <c r="A128" s="4" t="s">
        <v>520</v>
      </c>
    </row>
    <row r="129" spans="1:1" x14ac:dyDescent="0.2">
      <c r="A129" s="4" t="s">
        <v>521</v>
      </c>
    </row>
    <row r="130" spans="1:1" x14ac:dyDescent="0.2">
      <c r="A130" s="4" t="s">
        <v>522</v>
      </c>
    </row>
    <row r="131" spans="1:1" x14ac:dyDescent="0.2">
      <c r="A131" s="4" t="s">
        <v>523</v>
      </c>
    </row>
    <row r="132" spans="1:1" x14ac:dyDescent="0.2">
      <c r="A132" s="4" t="s">
        <v>524</v>
      </c>
    </row>
    <row r="133" spans="1:1" x14ac:dyDescent="0.2">
      <c r="A133" s="19" t="s">
        <v>525</v>
      </c>
    </row>
    <row r="134" spans="1:1" x14ac:dyDescent="0.2">
      <c r="A134" s="20" t="s">
        <v>526</v>
      </c>
    </row>
    <row r="135" spans="1:1" x14ac:dyDescent="0.2">
      <c r="A135" s="20" t="s">
        <v>527</v>
      </c>
    </row>
    <row r="136" spans="1:1" x14ac:dyDescent="0.2">
      <c r="A136" s="20" t="s">
        <v>528</v>
      </c>
    </row>
    <row r="137" spans="1:1" x14ac:dyDescent="0.2">
      <c r="A137" s="20" t="s">
        <v>529</v>
      </c>
    </row>
    <row r="138" spans="1:1" x14ac:dyDescent="0.2">
      <c r="A138" s="21" t="s">
        <v>530</v>
      </c>
    </row>
    <row r="139" spans="1:1" x14ac:dyDescent="0.2">
      <c r="A139" s="20" t="s">
        <v>531</v>
      </c>
    </row>
    <row r="140" spans="1:1" x14ac:dyDescent="0.2">
      <c r="A140" s="20" t="s">
        <v>532</v>
      </c>
    </row>
    <row r="141" spans="1:1" x14ac:dyDescent="0.2">
      <c r="A141" s="20" t="s">
        <v>533</v>
      </c>
    </row>
    <row r="142" spans="1:1" x14ac:dyDescent="0.2">
      <c r="A142" s="20" t="s">
        <v>534</v>
      </c>
    </row>
    <row r="143" spans="1:1" x14ac:dyDescent="0.2">
      <c r="A143" s="21" t="s">
        <v>535</v>
      </c>
    </row>
    <row r="144" spans="1:1" x14ac:dyDescent="0.2">
      <c r="A144" s="4" t="s">
        <v>536</v>
      </c>
    </row>
    <row r="145" spans="1:1" x14ac:dyDescent="0.2">
      <c r="A145" s="4" t="s">
        <v>537</v>
      </c>
    </row>
    <row r="146" spans="1:1" x14ac:dyDescent="0.2">
      <c r="A146" s="4" t="s">
        <v>538</v>
      </c>
    </row>
    <row r="147" spans="1:1" x14ac:dyDescent="0.2">
      <c r="A147" s="14" t="s">
        <v>493</v>
      </c>
    </row>
    <row r="148" spans="1:1" x14ac:dyDescent="0.2">
      <c r="A148" s="14" t="s">
        <v>489</v>
      </c>
    </row>
    <row r="149" spans="1:1" x14ac:dyDescent="0.2">
      <c r="A149" s="4"/>
    </row>
    <row r="150" spans="1:1" x14ac:dyDescent="0.2">
      <c r="A150" s="3" t="s">
        <v>539</v>
      </c>
    </row>
    <row r="151" spans="1:1" ht="17" x14ac:dyDescent="0.2">
      <c r="A151" s="17" t="s">
        <v>540</v>
      </c>
    </row>
    <row r="152" spans="1:1" x14ac:dyDescent="0.2">
      <c r="A152" s="4" t="s">
        <v>541</v>
      </c>
    </row>
    <row r="153" spans="1:1" x14ac:dyDescent="0.2">
      <c r="A153" s="4" t="s">
        <v>542</v>
      </c>
    </row>
    <row r="154" spans="1:1" x14ac:dyDescent="0.2">
      <c r="A154" s="4" t="s">
        <v>543</v>
      </c>
    </row>
    <row r="155" spans="1:1" x14ac:dyDescent="0.2">
      <c r="A155" s="18" t="s">
        <v>493</v>
      </c>
    </row>
    <row r="156" spans="1:1" x14ac:dyDescent="0.2">
      <c r="A156" s="18" t="s">
        <v>489</v>
      </c>
    </row>
    <row r="157" spans="1:1" x14ac:dyDescent="0.2">
      <c r="A157" s="4"/>
    </row>
    <row r="158" spans="1:1" x14ac:dyDescent="0.2">
      <c r="A158" s="3" t="s">
        <v>544</v>
      </c>
    </row>
    <row r="159" spans="1:1" x14ac:dyDescent="0.2">
      <c r="A159" s="4" t="s">
        <v>545</v>
      </c>
    </row>
    <row r="160" spans="1:1" x14ac:dyDescent="0.2">
      <c r="A160" s="4" t="s">
        <v>546</v>
      </c>
    </row>
    <row r="161" spans="1:1" x14ac:dyDescent="0.2">
      <c r="A161" s="4" t="s">
        <v>547</v>
      </c>
    </row>
    <row r="162" spans="1:1" x14ac:dyDescent="0.2">
      <c r="A162" s="14" t="s">
        <v>548</v>
      </c>
    </row>
    <row r="163" spans="1:1" x14ac:dyDescent="0.2">
      <c r="A163" s="14" t="s">
        <v>489</v>
      </c>
    </row>
    <row r="164" spans="1:1" x14ac:dyDescent="0.2">
      <c r="A164" s="4"/>
    </row>
    <row r="165" spans="1:1" x14ac:dyDescent="0.2">
      <c r="A165" s="3" t="s">
        <v>549</v>
      </c>
    </row>
    <row r="166" spans="1:1" x14ac:dyDescent="0.2">
      <c r="A166" s="4" t="s">
        <v>381</v>
      </c>
    </row>
    <row r="167" spans="1:1" x14ac:dyDescent="0.2">
      <c r="A167" s="4" t="s">
        <v>550</v>
      </c>
    </row>
    <row r="168" spans="1:1" x14ac:dyDescent="0.2">
      <c r="A168" s="4" t="s">
        <v>551</v>
      </c>
    </row>
    <row r="169" spans="1:1" x14ac:dyDescent="0.2">
      <c r="A169" s="14" t="s">
        <v>493</v>
      </c>
    </row>
    <row r="170" spans="1:1" x14ac:dyDescent="0.2">
      <c r="A170" s="14" t="s">
        <v>489</v>
      </c>
    </row>
    <row r="171" spans="1:1" x14ac:dyDescent="0.2">
      <c r="A171" s="4"/>
    </row>
    <row r="172" spans="1:1" x14ac:dyDescent="0.2">
      <c r="A172" s="4"/>
    </row>
    <row r="173" spans="1:1" ht="17" thickBot="1" x14ac:dyDescent="0.25"/>
    <row r="174" spans="1:1" ht="17" thickBot="1" x14ac:dyDescent="0.25">
      <c r="A174" s="22"/>
    </row>
    <row r="175" spans="1:1" x14ac:dyDescent="0.2">
      <c r="A175" s="23" t="s">
        <v>552</v>
      </c>
    </row>
    <row r="176" spans="1:1" x14ac:dyDescent="0.2">
      <c r="A176" s="24" t="s">
        <v>553</v>
      </c>
    </row>
    <row r="177" spans="1:1" x14ac:dyDescent="0.2">
      <c r="A177" s="24" t="s">
        <v>554</v>
      </c>
    </row>
    <row r="178" spans="1:1" x14ac:dyDescent="0.2">
      <c r="A178" s="24" t="s">
        <v>555</v>
      </c>
    </row>
    <row r="179" spans="1:1" x14ac:dyDescent="0.2">
      <c r="A179" s="25"/>
    </row>
    <row r="180" spans="1:1" x14ac:dyDescent="0.2">
      <c r="A180" s="26" t="s">
        <v>556</v>
      </c>
    </row>
    <row r="181" spans="1:1" x14ac:dyDescent="0.2">
      <c r="A181" s="24" t="s">
        <v>557</v>
      </c>
    </row>
    <row r="182" spans="1:1" x14ac:dyDescent="0.2">
      <c r="A182" s="25"/>
    </row>
    <row r="183" spans="1:1" ht="17" thickBot="1" x14ac:dyDescent="0.25">
      <c r="A183" s="27" t="s">
        <v>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K83" sqref="K83"/>
    </sheetView>
  </sheetViews>
  <sheetFormatPr baseColWidth="10" defaultColWidth="8.83203125" defaultRowHeight="15" x14ac:dyDescent="0.2"/>
  <cols>
    <col min="1" max="1" width="30.5" bestFit="1" customWidth="1"/>
    <col min="6" max="6" width="8.83203125" style="35"/>
    <col min="7" max="7" width="8.83203125" style="36"/>
  </cols>
  <sheetData>
    <row r="1" spans="1:8" ht="16" x14ac:dyDescent="0.2">
      <c r="A1" s="2" t="s">
        <v>562</v>
      </c>
    </row>
    <row r="2" spans="1:8" ht="16" x14ac:dyDescent="0.2">
      <c r="A2" s="31" t="s">
        <v>0</v>
      </c>
      <c r="B2" s="32" t="s">
        <v>563</v>
      </c>
      <c r="C2" s="33" t="s">
        <v>564</v>
      </c>
      <c r="D2" s="33" t="s">
        <v>565</v>
      </c>
      <c r="E2" s="33"/>
      <c r="F2" s="37" t="s">
        <v>560</v>
      </c>
      <c r="G2" s="38" t="s">
        <v>360</v>
      </c>
      <c r="H2" s="34" t="s">
        <v>566</v>
      </c>
    </row>
    <row r="3" spans="1:8" x14ac:dyDescent="0.2">
      <c r="A3" t="s">
        <v>36</v>
      </c>
      <c r="B3">
        <v>1</v>
      </c>
      <c r="C3">
        <v>4</v>
      </c>
      <c r="D3">
        <v>6</v>
      </c>
      <c r="F3" s="35">
        <f>B3+C3/20+D3/240</f>
        <v>1.2249999999999999</v>
      </c>
      <c r="H3" t="s">
        <v>569</v>
      </c>
    </row>
    <row r="4" spans="1:8" x14ac:dyDescent="0.2">
      <c r="A4" t="s">
        <v>36</v>
      </c>
      <c r="B4">
        <v>1</v>
      </c>
      <c r="C4">
        <v>4</v>
      </c>
      <c r="D4">
        <v>6</v>
      </c>
      <c r="F4" s="35">
        <v>1.22</v>
      </c>
      <c r="H4" t="s">
        <v>38</v>
      </c>
    </row>
    <row r="5" spans="1:8" x14ac:dyDescent="0.2">
      <c r="A5" t="s">
        <v>36</v>
      </c>
      <c r="B5">
        <v>1</v>
      </c>
      <c r="C5">
        <v>4</v>
      </c>
      <c r="D5">
        <v>6</v>
      </c>
      <c r="F5" s="35">
        <v>1.22</v>
      </c>
      <c r="H5" t="s">
        <v>39</v>
      </c>
    </row>
    <row r="6" spans="1:8" x14ac:dyDescent="0.2">
      <c r="A6" t="s">
        <v>36</v>
      </c>
      <c r="B6">
        <v>1</v>
      </c>
      <c r="C6">
        <v>4</v>
      </c>
      <c r="D6">
        <v>6</v>
      </c>
      <c r="F6" s="35">
        <v>1.22</v>
      </c>
      <c r="H6" t="s">
        <v>40</v>
      </c>
    </row>
    <row r="7" spans="1:8" x14ac:dyDescent="0.2">
      <c r="A7" t="s">
        <v>36</v>
      </c>
      <c r="B7">
        <v>4</v>
      </c>
      <c r="C7">
        <v>18</v>
      </c>
      <c r="D7">
        <v>0</v>
      </c>
      <c r="F7" s="35">
        <v>4.9000000000000004</v>
      </c>
      <c r="H7" t="s">
        <v>41</v>
      </c>
    </row>
    <row r="8" spans="1:8" x14ac:dyDescent="0.2">
      <c r="A8" t="s">
        <v>36</v>
      </c>
      <c r="F8" s="35">
        <f>SUM(F3:F6)</f>
        <v>4.8849999999999998</v>
      </c>
      <c r="G8" s="36">
        <f>F8-F7</f>
        <v>-1.5000000000000568E-2</v>
      </c>
      <c r="H8" t="s">
        <v>361</v>
      </c>
    </row>
    <row r="10" spans="1:8" x14ac:dyDescent="0.2">
      <c r="A10" t="s">
        <v>42</v>
      </c>
      <c r="B10">
        <v>0</v>
      </c>
      <c r="C10">
        <v>3</v>
      </c>
      <c r="D10">
        <v>0</v>
      </c>
      <c r="F10" s="35">
        <v>0.15</v>
      </c>
      <c r="H10" t="s">
        <v>43</v>
      </c>
    </row>
    <row r="11" spans="1:8" x14ac:dyDescent="0.2">
      <c r="A11" t="s">
        <v>42</v>
      </c>
      <c r="B11">
        <v>0</v>
      </c>
      <c r="C11">
        <v>12</v>
      </c>
      <c r="D11">
        <v>0</v>
      </c>
      <c r="F11" s="35">
        <v>0.6</v>
      </c>
      <c r="H11" t="s">
        <v>44</v>
      </c>
    </row>
    <row r="12" spans="1:8" x14ac:dyDescent="0.2">
      <c r="A12" t="s">
        <v>42</v>
      </c>
      <c r="B12">
        <v>1</v>
      </c>
      <c r="C12">
        <v>16</v>
      </c>
      <c r="D12">
        <v>0</v>
      </c>
      <c r="F12" s="35">
        <v>1.8</v>
      </c>
      <c r="H12" t="s">
        <v>45</v>
      </c>
    </row>
    <row r="13" spans="1:8" x14ac:dyDescent="0.2">
      <c r="A13" t="s">
        <v>42</v>
      </c>
      <c r="B13">
        <v>2</v>
      </c>
      <c r="C13">
        <v>11</v>
      </c>
      <c r="D13">
        <v>0</v>
      </c>
      <c r="F13" s="35">
        <v>2.5499999999999998</v>
      </c>
      <c r="H13" t="s">
        <v>46</v>
      </c>
    </row>
    <row r="14" spans="1:8" x14ac:dyDescent="0.2">
      <c r="A14" t="s">
        <v>42</v>
      </c>
      <c r="F14" s="35">
        <v>2.5499999999999998</v>
      </c>
      <c r="G14" s="36">
        <v>0</v>
      </c>
      <c r="H14" t="s">
        <v>361</v>
      </c>
    </row>
    <row r="16" spans="1:8" x14ac:dyDescent="0.2">
      <c r="A16" t="s">
        <v>47</v>
      </c>
      <c r="B16">
        <v>0</v>
      </c>
      <c r="C16">
        <v>1</v>
      </c>
      <c r="D16">
        <v>0</v>
      </c>
      <c r="F16" s="35">
        <v>0.05</v>
      </c>
      <c r="H16" t="s">
        <v>567</v>
      </c>
    </row>
    <row r="17" spans="1:8" x14ac:dyDescent="0.2">
      <c r="A17" t="s">
        <v>47</v>
      </c>
      <c r="B17">
        <v>0</v>
      </c>
      <c r="C17">
        <v>1</v>
      </c>
      <c r="D17">
        <v>0</v>
      </c>
      <c r="F17" s="35">
        <f>B17+C17/20+D17/240</f>
        <v>0.05</v>
      </c>
      <c r="H17" t="s">
        <v>568</v>
      </c>
    </row>
    <row r="18" spans="1:8" x14ac:dyDescent="0.2">
      <c r="A18" t="s">
        <v>47</v>
      </c>
      <c r="F18" s="35">
        <v>0.05</v>
      </c>
      <c r="G18" s="36">
        <v>0</v>
      </c>
      <c r="H18" t="s">
        <v>361</v>
      </c>
    </row>
    <row r="20" spans="1:8" x14ac:dyDescent="0.2">
      <c r="A20" t="s">
        <v>49</v>
      </c>
      <c r="B20">
        <v>2</v>
      </c>
      <c r="C20">
        <v>12</v>
      </c>
      <c r="D20">
        <v>0</v>
      </c>
      <c r="F20" s="35">
        <v>2.6</v>
      </c>
      <c r="H20" t="s">
        <v>50</v>
      </c>
    </row>
    <row r="21" spans="1:8" x14ac:dyDescent="0.2">
      <c r="A21" t="s">
        <v>49</v>
      </c>
      <c r="F21" s="35">
        <v>2.6</v>
      </c>
      <c r="G21" s="36">
        <f>F21-F20</f>
        <v>0</v>
      </c>
      <c r="H21" t="s">
        <v>361</v>
      </c>
    </row>
    <row r="23" spans="1:8" x14ac:dyDescent="0.2">
      <c r="A23" t="s">
        <v>51</v>
      </c>
      <c r="B23">
        <v>2</v>
      </c>
      <c r="C23">
        <v>6</v>
      </c>
      <c r="D23">
        <v>0</v>
      </c>
      <c r="F23" s="35">
        <v>2.2999999999999998</v>
      </c>
      <c r="H23" t="s">
        <v>52</v>
      </c>
    </row>
    <row r="24" spans="1:8" x14ac:dyDescent="0.2">
      <c r="A24" t="s">
        <v>51</v>
      </c>
      <c r="F24" s="35">
        <v>2.2999999999999998</v>
      </c>
      <c r="G24" s="36">
        <f>F24-F23</f>
        <v>0</v>
      </c>
      <c r="H24" t="s">
        <v>361</v>
      </c>
    </row>
    <row r="26" spans="1:8" x14ac:dyDescent="0.2">
      <c r="A26" t="s">
        <v>53</v>
      </c>
      <c r="B26">
        <v>0</v>
      </c>
      <c r="C26">
        <v>4</v>
      </c>
      <c r="D26">
        <v>9.5</v>
      </c>
      <c r="F26" s="35">
        <v>0.24</v>
      </c>
      <c r="H26" t="s">
        <v>54</v>
      </c>
    </row>
    <row r="27" spans="1:8" x14ac:dyDescent="0.2">
      <c r="A27" t="s">
        <v>53</v>
      </c>
      <c r="B27">
        <v>0</v>
      </c>
      <c r="C27">
        <v>3</v>
      </c>
      <c r="D27">
        <v>0</v>
      </c>
      <c r="F27" s="35">
        <v>0.15</v>
      </c>
      <c r="H27" t="s">
        <v>55</v>
      </c>
    </row>
    <row r="28" spans="1:8" x14ac:dyDescent="0.2">
      <c r="A28" t="s">
        <v>53</v>
      </c>
      <c r="B28">
        <v>0</v>
      </c>
      <c r="C28">
        <v>8</v>
      </c>
      <c r="D28">
        <v>6</v>
      </c>
      <c r="F28" s="35">
        <v>0.43</v>
      </c>
      <c r="H28" t="s">
        <v>56</v>
      </c>
    </row>
    <row r="29" spans="1:8" x14ac:dyDescent="0.2">
      <c r="A29" t="s">
        <v>53</v>
      </c>
      <c r="B29">
        <v>0</v>
      </c>
      <c r="C29">
        <v>9</v>
      </c>
      <c r="D29">
        <v>4</v>
      </c>
      <c r="F29" s="35">
        <v>0.47</v>
      </c>
      <c r="H29" t="s">
        <v>57</v>
      </c>
    </row>
    <row r="30" spans="1:8" x14ac:dyDescent="0.2">
      <c r="A30" t="s">
        <v>53</v>
      </c>
      <c r="B30">
        <v>0</v>
      </c>
      <c r="C30">
        <v>0</v>
      </c>
      <c r="D30">
        <v>0</v>
      </c>
      <c r="F30" s="35">
        <v>0</v>
      </c>
      <c r="H30" t="s">
        <v>58</v>
      </c>
    </row>
    <row r="31" spans="1:8" x14ac:dyDescent="0.2">
      <c r="A31" t="s">
        <v>53</v>
      </c>
      <c r="B31">
        <v>0</v>
      </c>
      <c r="C31">
        <v>2</v>
      </c>
      <c r="D31">
        <v>0</v>
      </c>
      <c r="F31" s="35">
        <v>0.1</v>
      </c>
      <c r="H31" t="s">
        <v>59</v>
      </c>
    </row>
    <row r="32" spans="1:8" x14ac:dyDescent="0.2">
      <c r="A32" t="s">
        <v>53</v>
      </c>
      <c r="B32">
        <v>0</v>
      </c>
      <c r="C32">
        <v>0</v>
      </c>
      <c r="D32">
        <v>6</v>
      </c>
      <c r="F32" s="35">
        <v>0.03</v>
      </c>
      <c r="H32" t="s">
        <v>60</v>
      </c>
    </row>
    <row r="33" spans="1:8" x14ac:dyDescent="0.2">
      <c r="A33" t="s">
        <v>53</v>
      </c>
      <c r="B33">
        <v>0</v>
      </c>
      <c r="C33">
        <v>1</v>
      </c>
      <c r="D33">
        <v>2</v>
      </c>
      <c r="F33" s="35">
        <v>0.06</v>
      </c>
      <c r="H33" t="s">
        <v>61</v>
      </c>
    </row>
    <row r="34" spans="1:8" x14ac:dyDescent="0.2">
      <c r="A34" t="s">
        <v>53</v>
      </c>
      <c r="B34">
        <v>0</v>
      </c>
      <c r="C34">
        <v>1</v>
      </c>
      <c r="D34">
        <v>6</v>
      </c>
      <c r="F34" s="35">
        <v>0.08</v>
      </c>
      <c r="H34" t="s">
        <v>62</v>
      </c>
    </row>
    <row r="35" spans="1:8" x14ac:dyDescent="0.2">
      <c r="A35" t="s">
        <v>53</v>
      </c>
      <c r="B35">
        <v>0</v>
      </c>
      <c r="C35">
        <v>0</v>
      </c>
      <c r="D35">
        <v>10</v>
      </c>
      <c r="F35" s="35">
        <v>0.04</v>
      </c>
      <c r="H35" t="s">
        <v>63</v>
      </c>
    </row>
    <row r="36" spans="1:8" x14ac:dyDescent="0.2">
      <c r="A36" t="s">
        <v>53</v>
      </c>
      <c r="B36">
        <v>0</v>
      </c>
      <c r="C36">
        <v>1</v>
      </c>
      <c r="D36">
        <v>2</v>
      </c>
      <c r="F36" s="35">
        <v>0.06</v>
      </c>
      <c r="H36" t="s">
        <v>64</v>
      </c>
    </row>
    <row r="37" spans="1:8" x14ac:dyDescent="0.2">
      <c r="A37" t="s">
        <v>53</v>
      </c>
      <c r="B37">
        <v>0</v>
      </c>
      <c r="C37">
        <v>0</v>
      </c>
      <c r="D37">
        <v>0</v>
      </c>
      <c r="F37" s="35">
        <v>0</v>
      </c>
      <c r="H37" t="s">
        <v>65</v>
      </c>
    </row>
    <row r="38" spans="1:8" x14ac:dyDescent="0.2">
      <c r="A38" t="s">
        <v>53</v>
      </c>
      <c r="B38">
        <v>0</v>
      </c>
      <c r="C38">
        <v>1</v>
      </c>
      <c r="D38">
        <v>4</v>
      </c>
      <c r="F38" s="35">
        <v>7.0000000000000007E-2</v>
      </c>
      <c r="H38" t="s">
        <v>66</v>
      </c>
    </row>
    <row r="39" spans="1:8" x14ac:dyDescent="0.2">
      <c r="A39" t="s">
        <v>53</v>
      </c>
      <c r="B39">
        <v>0</v>
      </c>
      <c r="C39">
        <v>0</v>
      </c>
      <c r="D39">
        <v>8</v>
      </c>
      <c r="F39" s="35">
        <v>0.03</v>
      </c>
      <c r="H39" t="s">
        <v>67</v>
      </c>
    </row>
    <row r="40" spans="1:8" x14ac:dyDescent="0.2">
      <c r="A40" t="s">
        <v>53</v>
      </c>
      <c r="B40">
        <v>0</v>
      </c>
      <c r="C40">
        <v>0</v>
      </c>
      <c r="D40">
        <v>0</v>
      </c>
      <c r="F40" s="35">
        <v>0</v>
      </c>
      <c r="H40" t="s">
        <v>68</v>
      </c>
    </row>
    <row r="41" spans="1:8" x14ac:dyDescent="0.2">
      <c r="A41" t="s">
        <v>53</v>
      </c>
      <c r="B41">
        <v>0</v>
      </c>
      <c r="C41">
        <v>0</v>
      </c>
      <c r="D41">
        <v>6</v>
      </c>
      <c r="F41" s="35">
        <v>0.03</v>
      </c>
      <c r="H41" t="s">
        <v>69</v>
      </c>
    </row>
    <row r="42" spans="1:8" x14ac:dyDescent="0.2">
      <c r="A42" t="s">
        <v>53</v>
      </c>
      <c r="B42">
        <v>0</v>
      </c>
      <c r="C42">
        <v>6</v>
      </c>
      <c r="D42">
        <v>10</v>
      </c>
      <c r="F42" s="35">
        <v>0.34</v>
      </c>
      <c r="H42" t="s">
        <v>70</v>
      </c>
    </row>
    <row r="43" spans="1:8" x14ac:dyDescent="0.2">
      <c r="A43" t="s">
        <v>53</v>
      </c>
      <c r="B43">
        <v>0</v>
      </c>
      <c r="C43">
        <v>9</v>
      </c>
      <c r="D43">
        <v>3</v>
      </c>
      <c r="F43" s="35">
        <v>0.46</v>
      </c>
      <c r="H43" t="s">
        <v>71</v>
      </c>
    </row>
    <row r="44" spans="1:8" x14ac:dyDescent="0.2">
      <c r="A44" t="s">
        <v>53</v>
      </c>
      <c r="B44">
        <v>0</v>
      </c>
      <c r="C44">
        <v>6</v>
      </c>
      <c r="D44">
        <v>4</v>
      </c>
      <c r="F44" s="35">
        <v>0.32</v>
      </c>
      <c r="H44" t="s">
        <v>72</v>
      </c>
    </row>
    <row r="45" spans="1:8" x14ac:dyDescent="0.2">
      <c r="A45" t="s">
        <v>53</v>
      </c>
      <c r="B45">
        <v>1</v>
      </c>
      <c r="C45">
        <v>14</v>
      </c>
      <c r="D45">
        <v>0</v>
      </c>
      <c r="F45" s="35">
        <v>1.7</v>
      </c>
      <c r="H45" t="s">
        <v>73</v>
      </c>
    </row>
    <row r="46" spans="1:8" x14ac:dyDescent="0.2">
      <c r="A46" t="s">
        <v>53</v>
      </c>
      <c r="B46">
        <v>1</v>
      </c>
      <c r="C46">
        <v>16</v>
      </c>
      <c r="D46">
        <v>0</v>
      </c>
      <c r="F46" s="35">
        <v>1.8</v>
      </c>
      <c r="H46" t="s">
        <v>74</v>
      </c>
    </row>
    <row r="47" spans="1:8" x14ac:dyDescent="0.2">
      <c r="A47" t="s">
        <v>53</v>
      </c>
      <c r="B47">
        <v>2</v>
      </c>
      <c r="C47">
        <v>9</v>
      </c>
      <c r="D47">
        <v>0</v>
      </c>
      <c r="F47" s="35">
        <v>2.4500000000000002</v>
      </c>
      <c r="H47" t="s">
        <v>75</v>
      </c>
    </row>
    <row r="48" spans="1:8" x14ac:dyDescent="0.2">
      <c r="A48" t="s">
        <v>53</v>
      </c>
      <c r="B48">
        <v>0</v>
      </c>
      <c r="C48">
        <v>3</v>
      </c>
      <c r="D48">
        <v>10</v>
      </c>
      <c r="F48" s="35">
        <v>0.19</v>
      </c>
      <c r="H48" t="s">
        <v>76</v>
      </c>
    </row>
    <row r="49" spans="1:8" x14ac:dyDescent="0.2">
      <c r="A49" t="s">
        <v>53</v>
      </c>
      <c r="B49">
        <v>3</v>
      </c>
      <c r="C49">
        <v>0</v>
      </c>
      <c r="D49">
        <v>0</v>
      </c>
      <c r="F49" s="35">
        <v>3</v>
      </c>
      <c r="H49" t="s">
        <v>77</v>
      </c>
    </row>
    <row r="50" spans="1:8" x14ac:dyDescent="0.2">
      <c r="A50" t="s">
        <v>53</v>
      </c>
      <c r="B50">
        <v>0</v>
      </c>
      <c r="C50">
        <v>13</v>
      </c>
      <c r="D50">
        <v>4</v>
      </c>
      <c r="F50" s="35">
        <v>0.67</v>
      </c>
      <c r="H50" t="s">
        <v>78</v>
      </c>
    </row>
    <row r="51" spans="1:8" x14ac:dyDescent="0.2">
      <c r="A51" t="s">
        <v>53</v>
      </c>
      <c r="B51">
        <v>0</v>
      </c>
      <c r="C51">
        <v>9</v>
      </c>
      <c r="D51">
        <v>4</v>
      </c>
      <c r="F51" s="35">
        <v>0.47</v>
      </c>
      <c r="H51" t="s">
        <v>79</v>
      </c>
    </row>
    <row r="52" spans="1:8" x14ac:dyDescent="0.2">
      <c r="A52" t="s">
        <v>53</v>
      </c>
      <c r="B52">
        <v>0</v>
      </c>
      <c r="C52">
        <v>5</v>
      </c>
      <c r="D52">
        <v>6</v>
      </c>
      <c r="F52" s="35">
        <v>0.28000000000000003</v>
      </c>
      <c r="H52" t="s">
        <v>80</v>
      </c>
    </row>
    <row r="53" spans="1:8" x14ac:dyDescent="0.2">
      <c r="A53" t="s">
        <v>53</v>
      </c>
      <c r="B53">
        <v>0</v>
      </c>
      <c r="C53">
        <v>3</v>
      </c>
      <c r="D53">
        <v>4</v>
      </c>
      <c r="F53" s="35">
        <v>0.17</v>
      </c>
      <c r="H53" t="s">
        <v>81</v>
      </c>
    </row>
    <row r="54" spans="1:8" x14ac:dyDescent="0.2">
      <c r="A54" t="s">
        <v>53</v>
      </c>
      <c r="B54">
        <v>0</v>
      </c>
      <c r="C54">
        <v>1</v>
      </c>
      <c r="D54">
        <v>10</v>
      </c>
      <c r="F54" s="35">
        <v>0.09</v>
      </c>
      <c r="H54" t="s">
        <v>82</v>
      </c>
    </row>
    <row r="55" spans="1:8" x14ac:dyDescent="0.2">
      <c r="A55" t="s">
        <v>53</v>
      </c>
      <c r="B55">
        <v>0</v>
      </c>
      <c r="C55">
        <v>0</v>
      </c>
      <c r="D55">
        <v>6</v>
      </c>
      <c r="F55" s="35">
        <v>0.03</v>
      </c>
      <c r="H55" t="s">
        <v>83</v>
      </c>
    </row>
    <row r="56" spans="1:8" x14ac:dyDescent="0.2">
      <c r="A56" t="s">
        <v>53</v>
      </c>
      <c r="B56">
        <v>0</v>
      </c>
      <c r="C56">
        <v>0</v>
      </c>
      <c r="D56">
        <v>6</v>
      </c>
      <c r="F56" s="35">
        <v>0.03</v>
      </c>
      <c r="H56" t="s">
        <v>84</v>
      </c>
    </row>
    <row r="57" spans="1:8" x14ac:dyDescent="0.2">
      <c r="A57" t="s">
        <v>53</v>
      </c>
      <c r="B57">
        <v>1</v>
      </c>
      <c r="C57">
        <v>0</v>
      </c>
      <c r="D57">
        <v>0</v>
      </c>
      <c r="F57" s="35">
        <v>1</v>
      </c>
      <c r="H57" t="s">
        <v>85</v>
      </c>
    </row>
    <row r="58" spans="1:8" x14ac:dyDescent="0.2">
      <c r="A58" t="s">
        <v>53</v>
      </c>
      <c r="B58">
        <v>0</v>
      </c>
      <c r="C58">
        <v>1</v>
      </c>
      <c r="D58">
        <v>2.5</v>
      </c>
      <c r="F58" s="35">
        <v>0.06</v>
      </c>
      <c r="H58" t="s">
        <v>86</v>
      </c>
    </row>
    <row r="59" spans="1:8" x14ac:dyDescent="0.2">
      <c r="A59" t="s">
        <v>53</v>
      </c>
      <c r="B59">
        <v>1</v>
      </c>
      <c r="C59">
        <v>4</v>
      </c>
      <c r="D59">
        <v>3</v>
      </c>
      <c r="F59" s="35">
        <v>1.21</v>
      </c>
      <c r="H59" t="s">
        <v>87</v>
      </c>
    </row>
    <row r="60" spans="1:8" x14ac:dyDescent="0.2">
      <c r="A60" t="s">
        <v>53</v>
      </c>
      <c r="B60">
        <v>0</v>
      </c>
      <c r="C60">
        <v>3</v>
      </c>
      <c r="D60">
        <v>2</v>
      </c>
      <c r="F60" s="35">
        <v>0.16</v>
      </c>
      <c r="H60" t="s">
        <v>88</v>
      </c>
    </row>
    <row r="61" spans="1:8" x14ac:dyDescent="0.2">
      <c r="A61" t="s">
        <v>53</v>
      </c>
      <c r="B61">
        <v>0</v>
      </c>
      <c r="C61">
        <v>1</v>
      </c>
      <c r="D61">
        <v>9</v>
      </c>
      <c r="F61" s="35">
        <v>0.09</v>
      </c>
      <c r="H61" t="s">
        <v>89</v>
      </c>
    </row>
    <row r="62" spans="1:8" x14ac:dyDescent="0.2">
      <c r="A62" t="s">
        <v>53</v>
      </c>
      <c r="B62">
        <v>0</v>
      </c>
      <c r="C62">
        <v>6</v>
      </c>
      <c r="D62">
        <v>6.5</v>
      </c>
      <c r="F62" s="35">
        <v>0.33</v>
      </c>
      <c r="H62" t="s">
        <v>90</v>
      </c>
    </row>
    <row r="63" spans="1:8" x14ac:dyDescent="0.2">
      <c r="A63" t="s">
        <v>53</v>
      </c>
      <c r="B63">
        <v>16</v>
      </c>
      <c r="C63">
        <v>11</v>
      </c>
      <c r="D63">
        <v>9.5</v>
      </c>
      <c r="F63" s="35">
        <v>16.59</v>
      </c>
      <c r="H63" t="s">
        <v>91</v>
      </c>
    </row>
    <row r="64" spans="1:8" x14ac:dyDescent="0.2">
      <c r="A64" t="s">
        <v>53</v>
      </c>
      <c r="F64" s="35">
        <v>16.64</v>
      </c>
      <c r="G64" s="36">
        <v>5.0000000000000711E-2</v>
      </c>
      <c r="H64" t="s">
        <v>361</v>
      </c>
    </row>
    <row r="66" spans="1:8" x14ac:dyDescent="0.2">
      <c r="A66" t="s">
        <v>92</v>
      </c>
      <c r="B66">
        <f>32+1</f>
        <v>33</v>
      </c>
      <c r="C66">
        <f>7+3</f>
        <v>10</v>
      </c>
      <c r="D66">
        <v>5.75</v>
      </c>
      <c r="F66" s="35">
        <f>B66+C66/12+D66/20</f>
        <v>34.120833333333337</v>
      </c>
      <c r="H66" t="s">
        <v>362</v>
      </c>
    </row>
    <row r="67" spans="1:8" x14ac:dyDescent="0.2">
      <c r="A67" t="s">
        <v>92</v>
      </c>
      <c r="B67">
        <v>3</v>
      </c>
      <c r="C67">
        <v>0</v>
      </c>
      <c r="D67">
        <v>1</v>
      </c>
      <c r="F67" s="35">
        <v>3</v>
      </c>
      <c r="H67" t="s">
        <v>363</v>
      </c>
    </row>
    <row r="68" spans="1:8" x14ac:dyDescent="0.2">
      <c r="A68" t="s">
        <v>92</v>
      </c>
      <c r="B68">
        <v>0</v>
      </c>
      <c r="C68">
        <v>4</v>
      </c>
      <c r="D68">
        <v>7</v>
      </c>
      <c r="F68" s="35">
        <f>B68+C68/20+D68/240</f>
        <v>0.22916666666666669</v>
      </c>
      <c r="H68" t="s">
        <v>649</v>
      </c>
    </row>
    <row r="69" spans="1:8" x14ac:dyDescent="0.2">
      <c r="A69" t="s">
        <v>92</v>
      </c>
      <c r="B69">
        <v>1</v>
      </c>
      <c r="C69">
        <v>12</v>
      </c>
      <c r="D69">
        <v>6</v>
      </c>
      <c r="F69" s="35">
        <f>B69+C69/20+D69/240</f>
        <v>1.625</v>
      </c>
      <c r="H69" t="s">
        <v>570</v>
      </c>
    </row>
    <row r="70" spans="1:8" x14ac:dyDescent="0.2">
      <c r="A70" t="s">
        <v>92</v>
      </c>
      <c r="B70">
        <v>0</v>
      </c>
      <c r="C70">
        <v>11</v>
      </c>
      <c r="D70">
        <v>9</v>
      </c>
      <c r="F70" s="35">
        <v>0.59</v>
      </c>
      <c r="H70" t="s">
        <v>364</v>
      </c>
    </row>
    <row r="71" spans="1:8" x14ac:dyDescent="0.2">
      <c r="A71" t="s">
        <v>92</v>
      </c>
      <c r="B71">
        <v>0</v>
      </c>
      <c r="C71">
        <v>1</v>
      </c>
      <c r="D71">
        <v>10</v>
      </c>
      <c r="F71" s="35">
        <v>0.09</v>
      </c>
      <c r="H71" t="s">
        <v>365</v>
      </c>
    </row>
    <row r="72" spans="1:8" x14ac:dyDescent="0.2">
      <c r="A72" t="s">
        <v>92</v>
      </c>
      <c r="B72">
        <v>5</v>
      </c>
      <c r="C72">
        <v>18</v>
      </c>
      <c r="D72">
        <v>7.5</v>
      </c>
      <c r="F72" s="35">
        <v>5.93</v>
      </c>
      <c r="H72" t="s">
        <v>366</v>
      </c>
    </row>
    <row r="73" spans="1:8" x14ac:dyDescent="0.2">
      <c r="A73" t="s">
        <v>92</v>
      </c>
      <c r="B73">
        <v>0</v>
      </c>
      <c r="C73">
        <v>8</v>
      </c>
      <c r="D73">
        <v>9</v>
      </c>
      <c r="F73" s="35">
        <v>0.44</v>
      </c>
      <c r="H73" t="s">
        <v>105</v>
      </c>
    </row>
    <row r="74" spans="1:8" x14ac:dyDescent="0.2">
      <c r="A74" t="s">
        <v>92</v>
      </c>
      <c r="B74">
        <v>45</v>
      </c>
      <c r="C74">
        <v>8</v>
      </c>
      <c r="D74">
        <v>7.25</v>
      </c>
      <c r="F74" s="35">
        <v>45.43</v>
      </c>
      <c r="H74" t="s">
        <v>107</v>
      </c>
    </row>
    <row r="75" spans="1:8" x14ac:dyDescent="0.2">
      <c r="A75" t="s">
        <v>92</v>
      </c>
      <c r="F75" s="35">
        <f>SUM(F66:F73)</f>
        <v>46.025000000000006</v>
      </c>
      <c r="G75" s="36">
        <f>F75-F74</f>
        <v>0.59500000000000597</v>
      </c>
      <c r="H75" t="s">
        <v>361</v>
      </c>
    </row>
    <row r="77" spans="1:8" x14ac:dyDescent="0.2">
      <c r="A77" t="s">
        <v>114</v>
      </c>
      <c r="B77">
        <v>0</v>
      </c>
      <c r="C77">
        <v>8</v>
      </c>
      <c r="D77">
        <v>0</v>
      </c>
      <c r="F77" s="35">
        <v>0.4</v>
      </c>
      <c r="H77" t="s">
        <v>115</v>
      </c>
    </row>
    <row r="78" spans="1:8" x14ac:dyDescent="0.2">
      <c r="A78" t="s">
        <v>114</v>
      </c>
      <c r="B78">
        <v>0</v>
      </c>
      <c r="C78">
        <v>13</v>
      </c>
      <c r="D78">
        <v>4</v>
      </c>
      <c r="F78" s="35">
        <v>0.67</v>
      </c>
      <c r="H78" t="s">
        <v>116</v>
      </c>
    </row>
    <row r="79" spans="1:8" x14ac:dyDescent="0.2">
      <c r="A79" t="s">
        <v>114</v>
      </c>
      <c r="B79">
        <v>5</v>
      </c>
      <c r="C79">
        <v>6</v>
      </c>
      <c r="D79">
        <v>8</v>
      </c>
      <c r="F79" s="35">
        <v>5.33</v>
      </c>
      <c r="H79" t="s">
        <v>117</v>
      </c>
    </row>
    <row r="80" spans="1:8" x14ac:dyDescent="0.2">
      <c r="A80" t="s">
        <v>114</v>
      </c>
      <c r="B80">
        <v>4</v>
      </c>
      <c r="C80">
        <v>13</v>
      </c>
      <c r="D80">
        <v>4</v>
      </c>
      <c r="F80" s="35">
        <v>4.67</v>
      </c>
      <c r="H80" t="s">
        <v>118</v>
      </c>
    </row>
    <row r="81" spans="1:8" x14ac:dyDescent="0.2">
      <c r="A81" t="s">
        <v>114</v>
      </c>
      <c r="B81">
        <v>0</v>
      </c>
      <c r="C81">
        <v>6</v>
      </c>
      <c r="D81">
        <v>0</v>
      </c>
      <c r="F81">
        <f>B81+C81/20+D81/240</f>
        <v>0.3</v>
      </c>
      <c r="H81" t="s">
        <v>571</v>
      </c>
    </row>
    <row r="82" spans="1:8" x14ac:dyDescent="0.2">
      <c r="A82" t="s">
        <v>114</v>
      </c>
      <c r="B82">
        <v>11</v>
      </c>
      <c r="C82">
        <v>7</v>
      </c>
      <c r="D82">
        <v>4</v>
      </c>
      <c r="F82" s="35">
        <v>11.37</v>
      </c>
      <c r="H82" t="s">
        <v>572</v>
      </c>
    </row>
    <row r="83" spans="1:8" x14ac:dyDescent="0.2">
      <c r="A83" t="s">
        <v>114</v>
      </c>
      <c r="F83" s="35">
        <f>SUM(F77:F81)</f>
        <v>11.370000000000001</v>
      </c>
      <c r="G83" s="36">
        <f>F83-F82</f>
        <v>0</v>
      </c>
      <c r="H83" t="s">
        <v>361</v>
      </c>
    </row>
    <row r="85" spans="1:8" x14ac:dyDescent="0.2">
      <c r="A85" t="s">
        <v>120</v>
      </c>
      <c r="B85">
        <v>0</v>
      </c>
      <c r="C85">
        <v>0</v>
      </c>
      <c r="D85">
        <v>8</v>
      </c>
      <c r="F85" s="35">
        <v>0.03</v>
      </c>
      <c r="H85" t="s">
        <v>121</v>
      </c>
    </row>
    <row r="86" spans="1:8" x14ac:dyDescent="0.2">
      <c r="A86" t="s">
        <v>120</v>
      </c>
      <c r="B86">
        <v>0</v>
      </c>
      <c r="C86">
        <v>0</v>
      </c>
      <c r="D86">
        <v>6</v>
      </c>
      <c r="F86" s="35">
        <v>0.03</v>
      </c>
      <c r="H86" t="s">
        <v>122</v>
      </c>
    </row>
    <row r="87" spans="1:8" x14ac:dyDescent="0.2">
      <c r="A87" t="s">
        <v>120</v>
      </c>
      <c r="B87">
        <v>0</v>
      </c>
      <c r="C87">
        <v>0</v>
      </c>
      <c r="D87">
        <v>3.5</v>
      </c>
      <c r="F87" s="35">
        <v>0.01</v>
      </c>
      <c r="H87" t="s">
        <v>123</v>
      </c>
    </row>
    <row r="88" spans="1:8" x14ac:dyDescent="0.2">
      <c r="A88" t="s">
        <v>120</v>
      </c>
      <c r="B88">
        <v>0</v>
      </c>
      <c r="C88">
        <v>1</v>
      </c>
      <c r="D88">
        <v>9</v>
      </c>
      <c r="F88" s="35">
        <v>0.09</v>
      </c>
      <c r="H88" t="s">
        <v>124</v>
      </c>
    </row>
    <row r="89" spans="1:8" x14ac:dyDescent="0.2">
      <c r="A89" t="s">
        <v>120</v>
      </c>
      <c r="B89">
        <v>0</v>
      </c>
      <c r="C89">
        <v>1</v>
      </c>
      <c r="D89">
        <v>0</v>
      </c>
      <c r="F89" s="35">
        <v>0.05</v>
      </c>
      <c r="H89" t="s">
        <v>125</v>
      </c>
    </row>
    <row r="90" spans="1:8" x14ac:dyDescent="0.2">
      <c r="A90" t="s">
        <v>120</v>
      </c>
      <c r="B90">
        <v>0</v>
      </c>
      <c r="C90">
        <v>2</v>
      </c>
      <c r="D90">
        <v>0</v>
      </c>
      <c r="F90" s="35">
        <v>0.1</v>
      </c>
      <c r="H90" t="s">
        <v>126</v>
      </c>
    </row>
    <row r="91" spans="1:8" x14ac:dyDescent="0.2">
      <c r="A91" t="s">
        <v>120</v>
      </c>
      <c r="B91">
        <v>0</v>
      </c>
      <c r="C91">
        <v>0</v>
      </c>
      <c r="D91">
        <v>6</v>
      </c>
      <c r="F91" s="35">
        <v>0.03</v>
      </c>
      <c r="H91" t="s">
        <v>127</v>
      </c>
    </row>
    <row r="92" spans="1:8" x14ac:dyDescent="0.2">
      <c r="A92" t="s">
        <v>120</v>
      </c>
      <c r="B92">
        <v>0</v>
      </c>
      <c r="C92">
        <v>0</v>
      </c>
      <c r="D92">
        <v>6</v>
      </c>
      <c r="F92" s="35">
        <v>0.03</v>
      </c>
      <c r="H92" t="s">
        <v>128</v>
      </c>
    </row>
    <row r="93" spans="1:8" x14ac:dyDescent="0.2">
      <c r="A93" t="s">
        <v>120</v>
      </c>
      <c r="B93">
        <v>0</v>
      </c>
      <c r="C93">
        <v>1</v>
      </c>
      <c r="D93">
        <v>0</v>
      </c>
      <c r="F93" s="35">
        <v>0.05</v>
      </c>
      <c r="H93" t="s">
        <v>129</v>
      </c>
    </row>
    <row r="94" spans="1:8" x14ac:dyDescent="0.2">
      <c r="A94" t="s">
        <v>120</v>
      </c>
      <c r="B94">
        <v>0</v>
      </c>
      <c r="C94">
        <v>2</v>
      </c>
      <c r="D94">
        <v>0</v>
      </c>
      <c r="F94" s="35">
        <v>0.1</v>
      </c>
      <c r="H94" t="s">
        <v>130</v>
      </c>
    </row>
    <row r="95" spans="1:8" x14ac:dyDescent="0.2">
      <c r="A95" t="s">
        <v>120</v>
      </c>
      <c r="B95">
        <v>0</v>
      </c>
      <c r="C95">
        <v>1</v>
      </c>
      <c r="D95">
        <v>6</v>
      </c>
      <c r="F95" s="35">
        <v>0.08</v>
      </c>
      <c r="H95" t="s">
        <v>131</v>
      </c>
    </row>
    <row r="96" spans="1:8" x14ac:dyDescent="0.2">
      <c r="A96" t="s">
        <v>120</v>
      </c>
      <c r="B96">
        <v>0</v>
      </c>
      <c r="C96">
        <v>0</v>
      </c>
      <c r="D96">
        <v>9</v>
      </c>
      <c r="F96" s="35">
        <v>0.04</v>
      </c>
      <c r="H96" t="s">
        <v>132</v>
      </c>
    </row>
    <row r="97" spans="1:8" x14ac:dyDescent="0.2">
      <c r="A97" t="s">
        <v>120</v>
      </c>
      <c r="B97">
        <v>0</v>
      </c>
      <c r="C97">
        <v>2</v>
      </c>
      <c r="D97">
        <v>0</v>
      </c>
      <c r="F97" s="35">
        <v>0.1</v>
      </c>
      <c r="H97" t="s">
        <v>133</v>
      </c>
    </row>
    <row r="98" spans="1:8" x14ac:dyDescent="0.2">
      <c r="A98" t="s">
        <v>120</v>
      </c>
      <c r="B98">
        <v>0</v>
      </c>
      <c r="C98">
        <v>1</v>
      </c>
      <c r="D98">
        <v>0</v>
      </c>
      <c r="F98" s="35">
        <v>0.05</v>
      </c>
      <c r="H98" t="s">
        <v>134</v>
      </c>
    </row>
    <row r="99" spans="1:8" x14ac:dyDescent="0.2">
      <c r="A99" t="s">
        <v>120</v>
      </c>
      <c r="B99">
        <v>0</v>
      </c>
      <c r="C99">
        <v>1</v>
      </c>
      <c r="D99">
        <v>0</v>
      </c>
      <c r="F99" s="35">
        <v>0.05</v>
      </c>
      <c r="H99" t="s">
        <v>135</v>
      </c>
    </row>
    <row r="100" spans="1:8" x14ac:dyDescent="0.2">
      <c r="A100" t="s">
        <v>120</v>
      </c>
      <c r="B100">
        <v>0</v>
      </c>
      <c r="C100">
        <v>1</v>
      </c>
      <c r="D100">
        <v>3</v>
      </c>
      <c r="F100" s="35">
        <v>0.06</v>
      </c>
      <c r="H100" t="s">
        <v>136</v>
      </c>
    </row>
    <row r="101" spans="1:8" x14ac:dyDescent="0.2">
      <c r="A101" t="s">
        <v>120</v>
      </c>
      <c r="B101">
        <v>0</v>
      </c>
      <c r="C101">
        <v>2</v>
      </c>
      <c r="D101">
        <v>3</v>
      </c>
      <c r="F101" s="35">
        <v>0.11</v>
      </c>
      <c r="H101" t="s">
        <v>137</v>
      </c>
    </row>
    <row r="102" spans="1:8" x14ac:dyDescent="0.2">
      <c r="A102" t="s">
        <v>120</v>
      </c>
      <c r="B102">
        <v>1</v>
      </c>
      <c r="C102">
        <v>0</v>
      </c>
      <c r="D102">
        <v>5.5</v>
      </c>
      <c r="F102" s="35">
        <v>1.02</v>
      </c>
      <c r="H102" t="s">
        <v>138</v>
      </c>
    </row>
    <row r="103" spans="1:8" x14ac:dyDescent="0.2">
      <c r="F103" s="35">
        <f>SUM(F85:F101)</f>
        <v>1.0100000000000002</v>
      </c>
      <c r="G103" s="36">
        <f>F103-F102</f>
        <v>-9.9999999999997868E-3</v>
      </c>
      <c r="H103" t="s">
        <v>361</v>
      </c>
    </row>
    <row r="105" spans="1:8" x14ac:dyDescent="0.2">
      <c r="A105" t="s">
        <v>573</v>
      </c>
      <c r="B105">
        <v>12</v>
      </c>
      <c r="C105">
        <v>7</v>
      </c>
      <c r="D105">
        <v>9.5</v>
      </c>
      <c r="F105" s="35">
        <v>12.39</v>
      </c>
      <c r="H105" t="s">
        <v>139</v>
      </c>
    </row>
    <row r="106" spans="1:8" x14ac:dyDescent="0.2">
      <c r="A106" t="s">
        <v>573</v>
      </c>
      <c r="F106" s="35">
        <f>F103+F83</f>
        <v>12.38</v>
      </c>
      <c r="G106" s="36">
        <f>F106-F105</f>
        <v>-9.9999999999997868E-3</v>
      </c>
      <c r="H106" t="s">
        <v>361</v>
      </c>
    </row>
    <row r="108" spans="1:8" x14ac:dyDescent="0.2">
      <c r="A108" t="s">
        <v>140</v>
      </c>
      <c r="B108">
        <v>77</v>
      </c>
      <c r="C108">
        <v>12</v>
      </c>
      <c r="D108">
        <v>9.25</v>
      </c>
      <c r="F108" s="35">
        <v>77.64</v>
      </c>
      <c r="H108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5" sqref="I35"/>
    </sheetView>
  </sheetViews>
  <sheetFormatPr baseColWidth="10" defaultColWidth="8.83203125" defaultRowHeight="15" x14ac:dyDescent="0.2"/>
  <cols>
    <col min="1" max="1" width="18.33203125" bestFit="1" customWidth="1"/>
    <col min="6" max="6" width="8.83203125" style="35"/>
    <col min="7" max="7" width="8.83203125" style="36"/>
  </cols>
  <sheetData>
    <row r="1" spans="1:8" ht="16" x14ac:dyDescent="0.2">
      <c r="A1" s="2" t="s">
        <v>574</v>
      </c>
    </row>
    <row r="2" spans="1:8" ht="16" x14ac:dyDescent="0.2">
      <c r="A2" s="31" t="s">
        <v>0</v>
      </c>
      <c r="B2" s="32" t="s">
        <v>563</v>
      </c>
      <c r="C2" s="33" t="s">
        <v>564</v>
      </c>
      <c r="D2" s="33" t="s">
        <v>565</v>
      </c>
      <c r="E2" s="33"/>
      <c r="F2" s="37" t="s">
        <v>560</v>
      </c>
      <c r="G2" s="38" t="s">
        <v>360</v>
      </c>
      <c r="H2" s="34" t="s">
        <v>566</v>
      </c>
    </row>
    <row r="3" spans="1:8" x14ac:dyDescent="0.2">
      <c r="A3" t="s">
        <v>142</v>
      </c>
      <c r="B3">
        <v>0</v>
      </c>
      <c r="C3">
        <v>4</v>
      </c>
      <c r="D3">
        <v>1.75</v>
      </c>
      <c r="F3" s="35">
        <v>0.21</v>
      </c>
      <c r="H3" t="s">
        <v>143</v>
      </c>
    </row>
    <row r="4" spans="1:8" x14ac:dyDescent="0.2">
      <c r="A4" t="s">
        <v>142</v>
      </c>
      <c r="B4">
        <v>0</v>
      </c>
      <c r="C4">
        <v>3</v>
      </c>
      <c r="D4">
        <v>6.5</v>
      </c>
      <c r="F4" s="35">
        <v>0.18</v>
      </c>
      <c r="H4" t="s">
        <v>144</v>
      </c>
    </row>
    <row r="5" spans="1:8" x14ac:dyDescent="0.2">
      <c r="A5" t="s">
        <v>142</v>
      </c>
      <c r="B5">
        <v>0</v>
      </c>
      <c r="C5">
        <v>0</v>
      </c>
      <c r="D5">
        <v>5.5</v>
      </c>
      <c r="F5" s="35">
        <v>0.02</v>
      </c>
      <c r="H5" t="s">
        <v>145</v>
      </c>
    </row>
    <row r="6" spans="1:8" x14ac:dyDescent="0.2">
      <c r="A6" t="s">
        <v>142</v>
      </c>
      <c r="B6">
        <v>0</v>
      </c>
      <c r="C6">
        <v>0</v>
      </c>
      <c r="D6">
        <v>9</v>
      </c>
      <c r="F6" s="35">
        <v>0.04</v>
      </c>
      <c r="H6" t="s">
        <v>146</v>
      </c>
    </row>
    <row r="7" spans="1:8" x14ac:dyDescent="0.2">
      <c r="A7" t="s">
        <v>142</v>
      </c>
      <c r="B7">
        <v>0</v>
      </c>
      <c r="C7">
        <v>2</v>
      </c>
      <c r="D7">
        <v>2</v>
      </c>
      <c r="F7" s="35">
        <v>0.11</v>
      </c>
      <c r="H7" t="s">
        <v>147</v>
      </c>
    </row>
    <row r="8" spans="1:8" x14ac:dyDescent="0.2">
      <c r="A8" t="s">
        <v>142</v>
      </c>
      <c r="B8">
        <v>0</v>
      </c>
      <c r="C8">
        <v>2</v>
      </c>
      <c r="D8">
        <v>3</v>
      </c>
      <c r="F8" s="35">
        <v>0.11</v>
      </c>
      <c r="H8" t="s">
        <v>148</v>
      </c>
    </row>
    <row r="9" spans="1:8" x14ac:dyDescent="0.2">
      <c r="A9" t="s">
        <v>142</v>
      </c>
      <c r="B9">
        <v>0</v>
      </c>
      <c r="C9">
        <v>0</v>
      </c>
      <c r="D9">
        <v>3</v>
      </c>
      <c r="F9" s="35">
        <v>0.01</v>
      </c>
      <c r="H9" t="s">
        <v>149</v>
      </c>
    </row>
    <row r="10" spans="1:8" x14ac:dyDescent="0.2">
      <c r="A10" t="s">
        <v>142</v>
      </c>
      <c r="B10">
        <v>0</v>
      </c>
      <c r="C10">
        <v>0</v>
      </c>
      <c r="D10">
        <v>11</v>
      </c>
      <c r="F10" s="35">
        <v>0.05</v>
      </c>
      <c r="H10" t="s">
        <v>150</v>
      </c>
    </row>
    <row r="11" spans="1:8" x14ac:dyDescent="0.2">
      <c r="A11" t="s">
        <v>142</v>
      </c>
      <c r="B11">
        <v>2</v>
      </c>
      <c r="C11">
        <v>9</v>
      </c>
      <c r="D11">
        <v>2</v>
      </c>
      <c r="F11" s="35">
        <v>2.46</v>
      </c>
      <c r="H11" t="s">
        <v>151</v>
      </c>
    </row>
    <row r="12" spans="1:8" x14ac:dyDescent="0.2">
      <c r="A12" t="s">
        <v>142</v>
      </c>
      <c r="B12">
        <v>1</v>
      </c>
      <c r="C12">
        <v>13</v>
      </c>
      <c r="D12">
        <v>0.75</v>
      </c>
      <c r="F12" s="35">
        <v>1.65</v>
      </c>
      <c r="H12" t="s">
        <v>153</v>
      </c>
    </row>
    <row r="13" spans="1:8" x14ac:dyDescent="0.2">
      <c r="A13" t="s">
        <v>142</v>
      </c>
      <c r="B13">
        <v>2</v>
      </c>
      <c r="C13">
        <v>14</v>
      </c>
      <c r="D13">
        <v>7</v>
      </c>
      <c r="F13" s="35">
        <v>2.73</v>
      </c>
      <c r="H13" t="s">
        <v>154</v>
      </c>
    </row>
    <row r="14" spans="1:8" x14ac:dyDescent="0.2">
      <c r="A14" t="s">
        <v>142</v>
      </c>
      <c r="B14">
        <v>0</v>
      </c>
      <c r="C14">
        <v>0</v>
      </c>
      <c r="D14">
        <v>3</v>
      </c>
      <c r="F14" s="35">
        <v>0.01</v>
      </c>
      <c r="H14" t="s">
        <v>155</v>
      </c>
    </row>
    <row r="15" spans="1:8" x14ac:dyDescent="0.2">
      <c r="A15" t="s">
        <v>142</v>
      </c>
      <c r="B15">
        <v>0</v>
      </c>
      <c r="C15">
        <v>0</v>
      </c>
      <c r="D15">
        <v>6</v>
      </c>
      <c r="F15" s="35">
        <v>0.03</v>
      </c>
      <c r="H15" t="s">
        <v>156</v>
      </c>
    </row>
    <row r="16" spans="1:8" x14ac:dyDescent="0.2">
      <c r="A16" t="s">
        <v>142</v>
      </c>
      <c r="B16">
        <v>0</v>
      </c>
      <c r="C16">
        <v>10</v>
      </c>
      <c r="D16">
        <v>0</v>
      </c>
      <c r="F16" s="35">
        <f>B16+C16/20+D16/240</f>
        <v>0.5</v>
      </c>
      <c r="H16" t="s">
        <v>575</v>
      </c>
    </row>
    <row r="17" spans="1:8" x14ac:dyDescent="0.2">
      <c r="A17" t="s">
        <v>142</v>
      </c>
      <c r="B17">
        <v>8</v>
      </c>
      <c r="C17">
        <v>2</v>
      </c>
      <c r="D17">
        <v>0.5</v>
      </c>
      <c r="F17" s="35">
        <v>8.1</v>
      </c>
      <c r="H17" t="s">
        <v>576</v>
      </c>
    </row>
    <row r="18" spans="1:8" x14ac:dyDescent="0.2">
      <c r="A18" t="s">
        <v>142</v>
      </c>
      <c r="F18" s="35">
        <f>SUM(F3:F16)</f>
        <v>8.11</v>
      </c>
      <c r="G18" s="36">
        <f>F18-F17</f>
        <v>9.9999999999997868E-3</v>
      </c>
      <c r="H18" t="s">
        <v>361</v>
      </c>
    </row>
    <row r="20" spans="1:8" x14ac:dyDescent="0.2">
      <c r="A20" t="s">
        <v>191</v>
      </c>
      <c r="B20">
        <v>0</v>
      </c>
      <c r="C20">
        <v>8</v>
      </c>
      <c r="D20">
        <v>3</v>
      </c>
      <c r="F20" s="35">
        <v>0.41</v>
      </c>
      <c r="H20" t="s">
        <v>192</v>
      </c>
    </row>
    <row r="21" spans="1:8" x14ac:dyDescent="0.2">
      <c r="A21" t="s">
        <v>191</v>
      </c>
      <c r="B21">
        <v>0</v>
      </c>
      <c r="C21">
        <v>0</v>
      </c>
      <c r="D21">
        <v>5</v>
      </c>
      <c r="F21" s="35">
        <v>0.02</v>
      </c>
      <c r="H21" t="s">
        <v>193</v>
      </c>
    </row>
    <row r="22" spans="1:8" x14ac:dyDescent="0.2">
      <c r="A22" t="s">
        <v>191</v>
      </c>
      <c r="B22">
        <v>0</v>
      </c>
      <c r="C22">
        <v>0</v>
      </c>
      <c r="D22">
        <v>2.5</v>
      </c>
      <c r="F22" s="35">
        <v>0.01</v>
      </c>
      <c r="H22" t="s">
        <v>194</v>
      </c>
    </row>
    <row r="23" spans="1:8" x14ac:dyDescent="0.2">
      <c r="A23" t="s">
        <v>191</v>
      </c>
      <c r="B23">
        <v>0</v>
      </c>
      <c r="C23">
        <v>5</v>
      </c>
      <c r="D23">
        <v>0</v>
      </c>
      <c r="F23" s="35">
        <v>0.25</v>
      </c>
      <c r="H23" t="s">
        <v>195</v>
      </c>
    </row>
    <row r="24" spans="1:8" x14ac:dyDescent="0.2">
      <c r="A24" t="s">
        <v>191</v>
      </c>
      <c r="B24">
        <v>0</v>
      </c>
      <c r="C24">
        <v>2</v>
      </c>
      <c r="D24">
        <v>0</v>
      </c>
      <c r="F24" s="35">
        <f>B24+C24/20+D24/240</f>
        <v>0.1</v>
      </c>
      <c r="H24" t="s">
        <v>577</v>
      </c>
    </row>
    <row r="25" spans="1:8" x14ac:dyDescent="0.2">
      <c r="A25" t="s">
        <v>191</v>
      </c>
      <c r="B25">
        <v>0</v>
      </c>
      <c r="C25">
        <v>15</v>
      </c>
      <c r="D25">
        <v>10.5</v>
      </c>
      <c r="F25" s="35">
        <f>B25+C25/20+D25/240</f>
        <v>0.79374999999999996</v>
      </c>
      <c r="H25" t="s">
        <v>578</v>
      </c>
    </row>
    <row r="26" spans="1:8" x14ac:dyDescent="0.2">
      <c r="A26" t="s">
        <v>191</v>
      </c>
      <c r="F26" s="35">
        <f>SUM(F20:F24)</f>
        <v>0.78999999999999992</v>
      </c>
      <c r="G26" s="36">
        <f>F26-F25</f>
        <v>-3.7500000000000311E-3</v>
      </c>
      <c r="H26" t="s">
        <v>361</v>
      </c>
    </row>
    <row r="28" spans="1:8" x14ac:dyDescent="0.2">
      <c r="A28" t="s">
        <v>204</v>
      </c>
      <c r="B28">
        <v>0</v>
      </c>
      <c r="C28">
        <v>8</v>
      </c>
      <c r="D28">
        <v>8</v>
      </c>
      <c r="F28" s="35">
        <v>0.43</v>
      </c>
      <c r="H28" t="s">
        <v>205</v>
      </c>
    </row>
    <row r="29" spans="1:8" x14ac:dyDescent="0.2">
      <c r="A29" t="s">
        <v>204</v>
      </c>
      <c r="B29">
        <v>0</v>
      </c>
      <c r="C29">
        <v>8</v>
      </c>
      <c r="D29">
        <v>8</v>
      </c>
      <c r="F29" s="35">
        <v>0.43</v>
      </c>
      <c r="H29" t="s">
        <v>206</v>
      </c>
    </row>
    <row r="30" spans="1:8" x14ac:dyDescent="0.2">
      <c r="A30" t="s">
        <v>204</v>
      </c>
      <c r="F30" s="35">
        <v>0.43</v>
      </c>
      <c r="G30" s="36">
        <v>0</v>
      </c>
      <c r="H30" t="s">
        <v>361</v>
      </c>
    </row>
    <row r="32" spans="1:8" x14ac:dyDescent="0.2">
      <c r="A32" t="s">
        <v>207</v>
      </c>
      <c r="B32">
        <v>3</v>
      </c>
      <c r="C32">
        <v>0</v>
      </c>
      <c r="D32">
        <v>10</v>
      </c>
      <c r="F32" s="35">
        <v>3.04</v>
      </c>
      <c r="H32" t="s">
        <v>208</v>
      </c>
    </row>
    <row r="33" spans="1:8" x14ac:dyDescent="0.2">
      <c r="A33" t="s">
        <v>207</v>
      </c>
      <c r="B33">
        <v>3</v>
      </c>
      <c r="C33">
        <v>0</v>
      </c>
      <c r="D33">
        <v>10</v>
      </c>
      <c r="F33" s="35">
        <v>3.04</v>
      </c>
      <c r="H33" t="s">
        <v>209</v>
      </c>
    </row>
    <row r="34" spans="1:8" x14ac:dyDescent="0.2">
      <c r="A34" t="s">
        <v>207</v>
      </c>
      <c r="F34" s="35">
        <v>3.04</v>
      </c>
      <c r="G34" s="36">
        <v>0</v>
      </c>
      <c r="H34" t="s">
        <v>361</v>
      </c>
    </row>
    <row r="36" spans="1:8" x14ac:dyDescent="0.2">
      <c r="A36" t="s">
        <v>210</v>
      </c>
      <c r="B36">
        <v>14</v>
      </c>
      <c r="C36">
        <v>0</v>
      </c>
      <c r="D36">
        <v>0</v>
      </c>
      <c r="F36" s="35">
        <v>14</v>
      </c>
      <c r="H36" t="s">
        <v>211</v>
      </c>
    </row>
    <row r="37" spans="1:8" x14ac:dyDescent="0.2">
      <c r="A37" t="s">
        <v>210</v>
      </c>
      <c r="B37">
        <v>63</v>
      </c>
      <c r="C37">
        <v>0</v>
      </c>
      <c r="D37">
        <v>11.75</v>
      </c>
      <c r="F37" s="35">
        <v>63.05</v>
      </c>
      <c r="H37" t="s">
        <v>212</v>
      </c>
    </row>
    <row r="38" spans="1:8" x14ac:dyDescent="0.2">
      <c r="A38" t="s">
        <v>210</v>
      </c>
      <c r="F38" s="35">
        <v>63.05</v>
      </c>
      <c r="G38" s="36">
        <v>0</v>
      </c>
      <c r="H38" t="s">
        <v>361</v>
      </c>
    </row>
    <row r="41" spans="1:8" x14ac:dyDescent="0.2">
      <c r="A41" t="s">
        <v>213</v>
      </c>
      <c r="B41">
        <v>38</v>
      </c>
      <c r="C41">
        <v>0</v>
      </c>
      <c r="D41">
        <v>0</v>
      </c>
      <c r="F41" s="35">
        <v>38</v>
      </c>
      <c r="H41" t="s">
        <v>214</v>
      </c>
    </row>
    <row r="43" spans="1:8" x14ac:dyDescent="0.2">
      <c r="A43" t="s">
        <v>213</v>
      </c>
      <c r="B43">
        <v>25</v>
      </c>
      <c r="C43">
        <v>0</v>
      </c>
      <c r="D43">
        <v>11.75</v>
      </c>
      <c r="F43" s="35">
        <v>25.05</v>
      </c>
      <c r="H43" t="s">
        <v>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P27" sqref="P27"/>
    </sheetView>
  </sheetViews>
  <sheetFormatPr baseColWidth="10" defaultColWidth="8.83203125" defaultRowHeight="15" x14ac:dyDescent="0.2"/>
  <cols>
    <col min="1" max="1" width="30" bestFit="1" customWidth="1"/>
    <col min="2" max="2" width="12.1640625" bestFit="1" customWidth="1"/>
    <col min="3" max="3" width="19.1640625" bestFit="1" customWidth="1"/>
    <col min="4" max="4" width="20" bestFit="1" customWidth="1"/>
    <col min="5" max="5" width="21.5" bestFit="1" customWidth="1"/>
    <col min="6" max="6" width="15.83203125" bestFit="1" customWidth="1"/>
    <col min="7" max="7" width="20.6640625" customWidth="1"/>
    <col min="8" max="9" width="18.83203125" customWidth="1"/>
    <col min="10" max="13" width="19.33203125" customWidth="1"/>
    <col min="14" max="14" width="8.1640625" bestFit="1" customWidth="1"/>
    <col min="15" max="15" width="15.6640625" customWidth="1"/>
    <col min="16" max="16" width="19.33203125" customWidth="1"/>
  </cols>
  <sheetData>
    <row r="1" spans="1:16" s="56" customFormat="1" ht="32" x14ac:dyDescent="0.2">
      <c r="A1" s="30" t="s">
        <v>417</v>
      </c>
      <c r="B1" s="30" t="s">
        <v>650</v>
      </c>
      <c r="C1" s="30" t="s">
        <v>402</v>
      </c>
      <c r="D1" s="30" t="s">
        <v>390</v>
      </c>
      <c r="E1" s="30" t="s">
        <v>651</v>
      </c>
      <c r="F1" s="30" t="s">
        <v>399</v>
      </c>
      <c r="G1" s="54" t="s">
        <v>418</v>
      </c>
      <c r="H1" s="54" t="s">
        <v>419</v>
      </c>
      <c r="I1" s="55" t="s">
        <v>421</v>
      </c>
    </row>
    <row r="2" spans="1:16" x14ac:dyDescent="0.2">
      <c r="A2" t="s">
        <v>110</v>
      </c>
      <c r="B2">
        <v>144.5</v>
      </c>
      <c r="C2">
        <v>144.5</v>
      </c>
      <c r="D2">
        <v>0</v>
      </c>
      <c r="F2">
        <v>121.3125</v>
      </c>
      <c r="G2">
        <f>B2-F2</f>
        <v>23.1875</v>
      </c>
      <c r="H2" s="35">
        <v>0.26666666666666672</v>
      </c>
      <c r="I2" s="35">
        <f>H2*B2</f>
        <v>38.533333333333339</v>
      </c>
    </row>
    <row r="3" spans="1:16" x14ac:dyDescent="0.2">
      <c r="A3" t="s">
        <v>668</v>
      </c>
      <c r="B3">
        <v>20.125</v>
      </c>
      <c r="C3">
        <v>20.125</v>
      </c>
      <c r="D3">
        <v>0</v>
      </c>
      <c r="F3">
        <v>6.125</v>
      </c>
      <c r="G3">
        <f t="shared" ref="G3:G9" si="0">B3-F3</f>
        <v>14</v>
      </c>
      <c r="H3" s="35">
        <v>0.19166666666666671</v>
      </c>
      <c r="I3" s="35">
        <f t="shared" ref="I3:I9" si="1">H3*B3</f>
        <v>3.8572916666666677</v>
      </c>
    </row>
    <row r="4" spans="1:16" x14ac:dyDescent="0.2">
      <c r="A4" t="s">
        <v>96</v>
      </c>
      <c r="B4">
        <v>12.875</v>
      </c>
      <c r="C4">
        <v>12.875</v>
      </c>
      <c r="D4">
        <v>0</v>
      </c>
      <c r="F4">
        <v>12.875</v>
      </c>
      <c r="G4">
        <f t="shared" si="0"/>
        <v>0</v>
      </c>
      <c r="H4" s="35">
        <v>0.23333333333333331</v>
      </c>
      <c r="I4" s="35">
        <f t="shared" si="1"/>
        <v>3.0041666666666664</v>
      </c>
    </row>
    <row r="5" spans="1:16" x14ac:dyDescent="0.2">
      <c r="A5" t="s">
        <v>106</v>
      </c>
      <c r="B5">
        <v>10</v>
      </c>
      <c r="C5">
        <v>10</v>
      </c>
      <c r="D5">
        <v>0</v>
      </c>
      <c r="F5">
        <v>4</v>
      </c>
      <c r="G5">
        <f t="shared" si="0"/>
        <v>6</v>
      </c>
      <c r="H5" s="35">
        <v>0.16666666666666671</v>
      </c>
      <c r="I5" s="35">
        <f t="shared" si="1"/>
        <v>1.6666666666666672</v>
      </c>
    </row>
    <row r="6" spans="1:16" x14ac:dyDescent="0.2">
      <c r="A6" t="s">
        <v>203</v>
      </c>
      <c r="B6">
        <v>28.25</v>
      </c>
      <c r="C6">
        <v>28.25</v>
      </c>
      <c r="D6">
        <v>0</v>
      </c>
      <c r="F6">
        <v>16.25</v>
      </c>
      <c r="G6">
        <f t="shared" si="0"/>
        <v>12</v>
      </c>
      <c r="H6" s="35">
        <v>0.1</v>
      </c>
      <c r="I6" s="35">
        <f t="shared" si="1"/>
        <v>2.8250000000000002</v>
      </c>
    </row>
    <row r="7" spans="1:16" x14ac:dyDescent="0.2">
      <c r="A7" t="s">
        <v>100</v>
      </c>
      <c r="B7">
        <v>7.625</v>
      </c>
      <c r="C7">
        <v>7.625</v>
      </c>
      <c r="D7">
        <v>0</v>
      </c>
      <c r="F7">
        <v>5.875</v>
      </c>
      <c r="G7">
        <f t="shared" si="0"/>
        <v>1.75</v>
      </c>
      <c r="H7" s="35">
        <v>0.1</v>
      </c>
      <c r="I7" s="35">
        <f t="shared" si="1"/>
        <v>0.76250000000000007</v>
      </c>
    </row>
    <row r="8" spans="1:16" x14ac:dyDescent="0.2">
      <c r="A8" t="s">
        <v>102</v>
      </c>
      <c r="B8">
        <v>1.75</v>
      </c>
      <c r="C8">
        <v>1.75</v>
      </c>
      <c r="D8">
        <v>0</v>
      </c>
      <c r="F8">
        <v>1.375</v>
      </c>
      <c r="G8">
        <f t="shared" si="0"/>
        <v>0.375</v>
      </c>
      <c r="H8" s="35">
        <v>6.6666666666666666E-2</v>
      </c>
      <c r="I8" s="35">
        <f t="shared" si="1"/>
        <v>0.11666666666666667</v>
      </c>
    </row>
    <row r="9" spans="1:16" x14ac:dyDescent="0.2">
      <c r="A9" t="s">
        <v>104</v>
      </c>
      <c r="B9">
        <v>107.875</v>
      </c>
      <c r="C9">
        <v>107.875</v>
      </c>
      <c r="D9">
        <v>0</v>
      </c>
      <c r="F9">
        <v>54.75</v>
      </c>
      <c r="G9">
        <f t="shared" si="0"/>
        <v>53.125</v>
      </c>
      <c r="H9" s="35">
        <v>0.1083333333333333</v>
      </c>
      <c r="I9" s="35">
        <f t="shared" si="1"/>
        <v>11.686458333333329</v>
      </c>
    </row>
    <row r="11" spans="1:16" x14ac:dyDescent="0.2">
      <c r="A11" s="61" t="s">
        <v>669</v>
      </c>
    </row>
    <row r="12" spans="1:16" x14ac:dyDescent="0.2">
      <c r="A12" s="61" t="s">
        <v>670</v>
      </c>
    </row>
    <row r="14" spans="1:16" ht="32" x14ac:dyDescent="0.2">
      <c r="A14" s="56" t="s">
        <v>652</v>
      </c>
      <c r="B14" s="57" t="s">
        <v>653</v>
      </c>
      <c r="C14" s="58" t="s">
        <v>654</v>
      </c>
      <c r="D14" s="58" t="s">
        <v>655</v>
      </c>
      <c r="E14" s="58" t="s">
        <v>656</v>
      </c>
      <c r="F14" s="56" t="s">
        <v>657</v>
      </c>
      <c r="G14" s="58" t="s">
        <v>658</v>
      </c>
      <c r="H14" s="58" t="s">
        <v>659</v>
      </c>
      <c r="I14" s="58" t="s">
        <v>660</v>
      </c>
      <c r="J14" s="58" t="s">
        <v>661</v>
      </c>
      <c r="K14" s="59" t="s">
        <v>662</v>
      </c>
      <c r="L14" s="58" t="s">
        <v>663</v>
      </c>
      <c r="M14" s="58" t="s">
        <v>664</v>
      </c>
      <c r="N14" s="60" t="s">
        <v>665</v>
      </c>
      <c r="O14" s="60" t="s">
        <v>666</v>
      </c>
      <c r="P14" s="57" t="s">
        <v>667</v>
      </c>
    </row>
    <row r="15" spans="1:16" x14ac:dyDescent="0.2">
      <c r="A15" t="s">
        <v>110</v>
      </c>
      <c r="B15">
        <f>B2</f>
        <v>144.5</v>
      </c>
      <c r="C15">
        <v>22</v>
      </c>
      <c r="D15">
        <v>0.5</v>
      </c>
      <c r="E15">
        <f>C15+D15/8</f>
        <v>22.0625</v>
      </c>
      <c r="J15">
        <v>3</v>
      </c>
      <c r="K15" s="63">
        <f>I15+J15/8</f>
        <v>0.375</v>
      </c>
      <c r="L15" s="35">
        <f>B15-E15-H15-K15</f>
        <v>122.0625</v>
      </c>
      <c r="N15" s="35">
        <f>H2</f>
        <v>0.26666666666666672</v>
      </c>
      <c r="O15" s="35">
        <f>N15*L15</f>
        <v>32.550000000000004</v>
      </c>
    </row>
    <row r="16" spans="1:16" x14ac:dyDescent="0.2">
      <c r="A16" t="s">
        <v>668</v>
      </c>
      <c r="B16">
        <f t="shared" ref="B16:B22" si="2">B3</f>
        <v>20.125</v>
      </c>
      <c r="E16">
        <f t="shared" ref="E16:E22" si="3">C16+D16/8</f>
        <v>0</v>
      </c>
      <c r="I16">
        <v>14</v>
      </c>
      <c r="K16" s="63">
        <f t="shared" ref="K16:K22" si="4">I16+J16/8</f>
        <v>14</v>
      </c>
      <c r="L16" s="35">
        <f t="shared" ref="L16:L22" si="5">B16-E16-H16-K16</f>
        <v>6.125</v>
      </c>
      <c r="N16" s="35">
        <f t="shared" ref="N16:N22" si="6">H3</f>
        <v>0.19166666666666671</v>
      </c>
      <c r="O16" s="35">
        <f t="shared" ref="O16:O22" si="7">N16*L16</f>
        <v>1.1739583333333337</v>
      </c>
    </row>
    <row r="17" spans="1:15" x14ac:dyDescent="0.2">
      <c r="A17" t="s">
        <v>96</v>
      </c>
      <c r="B17">
        <f t="shared" si="2"/>
        <v>12.875</v>
      </c>
      <c r="E17">
        <f t="shared" si="3"/>
        <v>0</v>
      </c>
      <c r="K17" s="63">
        <f t="shared" si="4"/>
        <v>0</v>
      </c>
      <c r="L17" s="35">
        <f t="shared" si="5"/>
        <v>12.875</v>
      </c>
      <c r="N17" s="35">
        <f t="shared" si="6"/>
        <v>0.23333333333333331</v>
      </c>
      <c r="O17" s="35">
        <f t="shared" si="7"/>
        <v>3.0041666666666664</v>
      </c>
    </row>
    <row r="18" spans="1:15" x14ac:dyDescent="0.2">
      <c r="A18" t="s">
        <v>106</v>
      </c>
      <c r="B18">
        <f t="shared" si="2"/>
        <v>10</v>
      </c>
      <c r="D18">
        <v>7.5</v>
      </c>
      <c r="E18">
        <f t="shared" si="3"/>
        <v>0.9375</v>
      </c>
      <c r="I18">
        <v>4</v>
      </c>
      <c r="J18">
        <f>5+3.5</f>
        <v>8.5</v>
      </c>
      <c r="K18" s="63">
        <f t="shared" si="4"/>
        <v>5.0625</v>
      </c>
      <c r="L18" s="35">
        <f t="shared" si="5"/>
        <v>4</v>
      </c>
      <c r="N18" s="35">
        <f t="shared" si="6"/>
        <v>0.16666666666666671</v>
      </c>
      <c r="O18" s="35">
        <f t="shared" si="7"/>
        <v>0.66666666666666685</v>
      </c>
    </row>
    <row r="19" spans="1:15" x14ac:dyDescent="0.2">
      <c r="A19" t="s">
        <v>203</v>
      </c>
      <c r="B19">
        <f t="shared" si="2"/>
        <v>28.25</v>
      </c>
      <c r="C19">
        <v>7</v>
      </c>
      <c r="D19">
        <v>2</v>
      </c>
      <c r="E19">
        <f t="shared" si="3"/>
        <v>7.25</v>
      </c>
      <c r="I19">
        <f>2.5+2</f>
        <v>4.5</v>
      </c>
      <c r="J19">
        <f>2</f>
        <v>2</v>
      </c>
      <c r="K19" s="63">
        <f t="shared" si="4"/>
        <v>4.75</v>
      </c>
      <c r="L19" s="35">
        <f t="shared" si="5"/>
        <v>16.25</v>
      </c>
      <c r="N19" s="35">
        <f t="shared" si="6"/>
        <v>0.1</v>
      </c>
      <c r="O19" s="35">
        <f t="shared" si="7"/>
        <v>1.625</v>
      </c>
    </row>
    <row r="20" spans="1:15" x14ac:dyDescent="0.2">
      <c r="A20" t="s">
        <v>100</v>
      </c>
      <c r="B20">
        <f t="shared" si="2"/>
        <v>7.625</v>
      </c>
      <c r="D20">
        <v>2</v>
      </c>
      <c r="E20">
        <f t="shared" si="3"/>
        <v>0.25</v>
      </c>
      <c r="I20">
        <f>1.5</f>
        <v>1.5</v>
      </c>
      <c r="K20" s="63">
        <f t="shared" si="4"/>
        <v>1.5</v>
      </c>
      <c r="L20" s="35">
        <f t="shared" si="5"/>
        <v>5.875</v>
      </c>
      <c r="N20" s="35">
        <f t="shared" si="6"/>
        <v>0.1</v>
      </c>
      <c r="O20" s="35">
        <f t="shared" si="7"/>
        <v>0.58750000000000002</v>
      </c>
    </row>
    <row r="21" spans="1:15" x14ac:dyDescent="0.2">
      <c r="A21" t="s">
        <v>102</v>
      </c>
      <c r="B21">
        <f t="shared" si="2"/>
        <v>1.75</v>
      </c>
      <c r="D21">
        <v>3</v>
      </c>
      <c r="E21">
        <f t="shared" si="3"/>
        <v>0.375</v>
      </c>
      <c r="K21" s="63">
        <f t="shared" si="4"/>
        <v>0</v>
      </c>
      <c r="L21" s="35">
        <f t="shared" si="5"/>
        <v>1.375</v>
      </c>
      <c r="N21" s="35">
        <f t="shared" si="6"/>
        <v>6.6666666666666666E-2</v>
      </c>
      <c r="O21" s="35">
        <f t="shared" si="7"/>
        <v>9.166666666666666E-2</v>
      </c>
    </row>
    <row r="22" spans="1:15" x14ac:dyDescent="0.2">
      <c r="A22" t="s">
        <v>104</v>
      </c>
      <c r="B22">
        <f t="shared" si="2"/>
        <v>107.875</v>
      </c>
      <c r="C22">
        <v>48</v>
      </c>
      <c r="E22">
        <f t="shared" si="3"/>
        <v>48</v>
      </c>
      <c r="I22">
        <f>1+1.5+1+1</f>
        <v>4.5</v>
      </c>
      <c r="K22" s="63">
        <f t="shared" si="4"/>
        <v>4.5</v>
      </c>
      <c r="L22" s="35">
        <f t="shared" si="5"/>
        <v>55.375</v>
      </c>
      <c r="N22" s="35">
        <f t="shared" si="6"/>
        <v>0.1083333333333333</v>
      </c>
      <c r="O22" s="35">
        <f t="shared" si="7"/>
        <v>5.9989583333333316</v>
      </c>
    </row>
    <row r="24" spans="1:15" x14ac:dyDescent="0.2">
      <c r="A24" s="62" t="s">
        <v>361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2"/>
  <sheetViews>
    <sheetView tabSelected="1" workbookViewId="0">
      <pane xSplit="1" ySplit="4" topLeftCell="B70" activePane="bottomRight" state="frozen"/>
      <selection pane="topRight" activeCell="B1" sqref="B1"/>
      <selection pane="bottomLeft" activeCell="A5" sqref="A5"/>
      <selection pane="bottomRight" activeCell="A49" sqref="A49"/>
    </sheetView>
  </sheetViews>
  <sheetFormatPr baseColWidth="10" defaultColWidth="8.83203125" defaultRowHeight="15" x14ac:dyDescent="0.2"/>
  <cols>
    <col min="1" max="1" width="44.33203125" bestFit="1" customWidth="1"/>
    <col min="10" max="10" width="21.83203125" customWidth="1"/>
    <col min="11" max="11" width="11.5" customWidth="1"/>
    <col min="14" max="14" width="11.6640625" customWidth="1"/>
    <col min="15" max="15" width="8.83203125" style="35"/>
    <col min="16" max="16" width="16.6640625" customWidth="1"/>
    <col min="17" max="17" width="19.5" customWidth="1"/>
    <col min="19" max="19" width="14" customWidth="1"/>
    <col min="20" max="20" width="19" customWidth="1"/>
  </cols>
  <sheetData>
    <row r="1" spans="1:21" ht="16" x14ac:dyDescent="0.2">
      <c r="A1" s="10" t="s">
        <v>648</v>
      </c>
      <c r="B1" s="30"/>
      <c r="C1" s="30"/>
      <c r="D1" s="30"/>
      <c r="E1" s="30"/>
      <c r="F1" s="30"/>
      <c r="G1" s="30"/>
      <c r="H1" s="30"/>
      <c r="I1" s="30"/>
    </row>
    <row r="2" spans="1:21" ht="16" x14ac:dyDescent="0.2">
      <c r="A2" s="10"/>
    </row>
    <row r="3" spans="1:21" x14ac:dyDescent="0.2">
      <c r="A3" s="39"/>
      <c r="B3" s="39"/>
      <c r="C3" s="68" t="s">
        <v>367</v>
      </c>
      <c r="D3" s="68"/>
      <c r="E3" s="68"/>
      <c r="F3" s="68"/>
      <c r="G3" s="69" t="s">
        <v>629</v>
      </c>
      <c r="H3" s="68"/>
      <c r="I3" s="68"/>
      <c r="J3" s="68"/>
      <c r="K3" s="39"/>
      <c r="L3" s="39"/>
      <c r="M3" s="39"/>
      <c r="N3" s="39"/>
      <c r="O3" s="50"/>
      <c r="P3" s="50"/>
      <c r="Q3" s="39"/>
      <c r="R3" s="39"/>
      <c r="S3" s="39"/>
      <c r="T3" s="39"/>
    </row>
    <row r="4" spans="1:21" ht="34" x14ac:dyDescent="0.2">
      <c r="A4" s="40" t="s">
        <v>495</v>
      </c>
      <c r="B4" s="51" t="s">
        <v>630</v>
      </c>
      <c r="C4" s="51" t="s">
        <v>367</v>
      </c>
      <c r="D4" s="10" t="s">
        <v>631</v>
      </c>
      <c r="E4" s="10" t="s">
        <v>632</v>
      </c>
      <c r="F4" s="10" t="s">
        <v>633</v>
      </c>
      <c r="G4" s="10" t="s">
        <v>634</v>
      </c>
      <c r="H4" s="51" t="s">
        <v>368</v>
      </c>
      <c r="I4" s="51" t="s">
        <v>635</v>
      </c>
      <c r="J4" s="51" t="s">
        <v>636</v>
      </c>
      <c r="K4" s="51" t="s">
        <v>637</v>
      </c>
      <c r="L4" s="51" t="s">
        <v>638</v>
      </c>
      <c r="M4" s="51" t="s">
        <v>639</v>
      </c>
      <c r="N4" s="51" t="s">
        <v>640</v>
      </c>
      <c r="O4" s="65" t="s">
        <v>641</v>
      </c>
      <c r="P4" s="52" t="s">
        <v>642</v>
      </c>
      <c r="Q4" s="40" t="s">
        <v>643</v>
      </c>
      <c r="R4" s="40" t="s">
        <v>644</v>
      </c>
      <c r="S4" s="40" t="s">
        <v>645</v>
      </c>
      <c r="T4" s="53" t="s">
        <v>646</v>
      </c>
      <c r="U4" s="51" t="s">
        <v>647</v>
      </c>
    </row>
    <row r="5" spans="1:21" ht="16" x14ac:dyDescent="0.2">
      <c r="A5" s="39" t="s">
        <v>496</v>
      </c>
    </row>
    <row r="6" spans="1:21" ht="16" x14ac:dyDescent="0.2">
      <c r="A6" s="39" t="s">
        <v>497</v>
      </c>
    </row>
    <row r="7" spans="1:21" x14ac:dyDescent="0.2">
      <c r="A7" t="s">
        <v>498</v>
      </c>
      <c r="B7">
        <v>2</v>
      </c>
      <c r="C7">
        <v>1</v>
      </c>
      <c r="H7">
        <v>1</v>
      </c>
      <c r="K7">
        <v>2</v>
      </c>
      <c r="O7" s="35">
        <f>R7/H7</f>
        <v>0.32</v>
      </c>
      <c r="R7" s="35">
        <f>Receipts!F44</f>
        <v>0.32</v>
      </c>
    </row>
    <row r="8" spans="1:21" x14ac:dyDescent="0.2">
      <c r="A8" t="s">
        <v>579</v>
      </c>
      <c r="B8">
        <v>2</v>
      </c>
      <c r="C8">
        <v>1</v>
      </c>
      <c r="H8">
        <v>1</v>
      </c>
      <c r="K8">
        <v>2</v>
      </c>
      <c r="O8" s="35">
        <f t="shared" ref="O8:O26" si="0">R8/H8</f>
        <v>0.46</v>
      </c>
      <c r="R8" s="35">
        <f>Receipts!F43</f>
        <v>0.46</v>
      </c>
    </row>
    <row r="9" spans="1:21" x14ac:dyDescent="0.2">
      <c r="A9" t="s">
        <v>499</v>
      </c>
    </row>
    <row r="10" spans="1:21" x14ac:dyDescent="0.2">
      <c r="A10" t="s">
        <v>500</v>
      </c>
    </row>
    <row r="11" spans="1:21" x14ac:dyDescent="0.2">
      <c r="A11" t="s">
        <v>501</v>
      </c>
    </row>
    <row r="12" spans="1:21" x14ac:dyDescent="0.2">
      <c r="A12" t="s">
        <v>369</v>
      </c>
      <c r="B12">
        <v>36</v>
      </c>
      <c r="C12">
        <f>2+1+12</f>
        <v>15</v>
      </c>
      <c r="H12">
        <v>13</v>
      </c>
      <c r="I12">
        <v>3</v>
      </c>
      <c r="K12">
        <v>35</v>
      </c>
      <c r="O12" s="35">
        <f t="shared" si="0"/>
        <v>0.45769230769230773</v>
      </c>
      <c r="R12" s="35">
        <f>Receipts!F45+Receipts!F46+Receipts!F47</f>
        <v>5.95</v>
      </c>
    </row>
    <row r="13" spans="1:21" x14ac:dyDescent="0.2">
      <c r="A13" t="s">
        <v>370</v>
      </c>
      <c r="B13">
        <v>1</v>
      </c>
      <c r="K13">
        <v>1</v>
      </c>
    </row>
    <row r="14" spans="1:21" x14ac:dyDescent="0.2">
      <c r="A14" t="s">
        <v>371</v>
      </c>
      <c r="B14">
        <v>18</v>
      </c>
      <c r="I14">
        <f>2+2</f>
        <v>4</v>
      </c>
      <c r="K14">
        <v>14</v>
      </c>
    </row>
    <row r="15" spans="1:21" x14ac:dyDescent="0.2">
      <c r="A15" t="s">
        <v>372</v>
      </c>
      <c r="B15">
        <v>5</v>
      </c>
      <c r="I15">
        <v>3</v>
      </c>
      <c r="J15">
        <v>2</v>
      </c>
      <c r="K15">
        <v>5</v>
      </c>
    </row>
    <row r="16" spans="1:21" x14ac:dyDescent="0.2">
      <c r="A16" t="s">
        <v>373</v>
      </c>
      <c r="B16">
        <v>6</v>
      </c>
      <c r="H16">
        <v>1</v>
      </c>
      <c r="I16">
        <v>2</v>
      </c>
      <c r="K16">
        <v>3</v>
      </c>
      <c r="O16" s="35">
        <f t="shared" si="0"/>
        <v>0.19</v>
      </c>
      <c r="R16" s="35">
        <f>Receipts!F48</f>
        <v>0.19</v>
      </c>
    </row>
    <row r="17" spans="1:18" x14ac:dyDescent="0.2">
      <c r="A17" t="s">
        <v>374</v>
      </c>
      <c r="B17">
        <v>9</v>
      </c>
      <c r="K17">
        <v>9</v>
      </c>
    </row>
    <row r="18" spans="1:18" x14ac:dyDescent="0.2">
      <c r="A18" t="s">
        <v>375</v>
      </c>
      <c r="B18">
        <v>14</v>
      </c>
      <c r="I18">
        <v>7</v>
      </c>
      <c r="J18">
        <v>1</v>
      </c>
      <c r="K18">
        <v>6</v>
      </c>
    </row>
    <row r="19" spans="1:18" x14ac:dyDescent="0.2">
      <c r="A19" t="s">
        <v>502</v>
      </c>
    </row>
    <row r="20" spans="1:18" x14ac:dyDescent="0.2">
      <c r="A20" t="s">
        <v>503</v>
      </c>
    </row>
    <row r="21" spans="1:18" x14ac:dyDescent="0.2">
      <c r="A21" t="s">
        <v>504</v>
      </c>
    </row>
    <row r="22" spans="1:18" x14ac:dyDescent="0.2">
      <c r="A22" t="s">
        <v>505</v>
      </c>
    </row>
    <row r="23" spans="1:18" x14ac:dyDescent="0.2">
      <c r="A23" t="s">
        <v>506</v>
      </c>
    </row>
    <row r="24" spans="1:18" x14ac:dyDescent="0.2">
      <c r="A24" t="s">
        <v>507</v>
      </c>
    </row>
    <row r="25" spans="1:18" x14ac:dyDescent="0.2">
      <c r="A25" t="s">
        <v>377</v>
      </c>
    </row>
    <row r="26" spans="1:18" x14ac:dyDescent="0.2">
      <c r="A26" t="s">
        <v>376</v>
      </c>
      <c r="B26">
        <v>16</v>
      </c>
      <c r="C26">
        <v>38</v>
      </c>
      <c r="H26">
        <v>25</v>
      </c>
      <c r="I26">
        <v>2</v>
      </c>
      <c r="K26">
        <v>27</v>
      </c>
      <c r="O26" s="35">
        <f t="shared" si="0"/>
        <v>0.14679999999999999</v>
      </c>
      <c r="R26" s="35">
        <f>Receipts!F50+Receipts!F49</f>
        <v>3.67</v>
      </c>
    </row>
    <row r="27" spans="1:18" x14ac:dyDescent="0.2">
      <c r="A27" t="s">
        <v>378</v>
      </c>
      <c r="B27">
        <v>38</v>
      </c>
      <c r="J27">
        <v>38</v>
      </c>
      <c r="K27">
        <v>0</v>
      </c>
    </row>
    <row r="28" spans="1:18" x14ac:dyDescent="0.2">
      <c r="A28" t="s">
        <v>379</v>
      </c>
      <c r="C28">
        <f>14+13+17</f>
        <v>44</v>
      </c>
      <c r="I28">
        <v>8</v>
      </c>
      <c r="J28">
        <v>4</v>
      </c>
      <c r="K28">
        <v>32</v>
      </c>
    </row>
    <row r="29" spans="1:18" x14ac:dyDescent="0.2">
      <c r="A29" t="s">
        <v>508</v>
      </c>
    </row>
    <row r="30" spans="1:18" x14ac:dyDescent="0.2">
      <c r="A30" t="s">
        <v>509</v>
      </c>
    </row>
    <row r="31" spans="1:18" s="64" customFormat="1" ht="16" x14ac:dyDescent="0.2">
      <c r="A31" s="41" t="s">
        <v>580</v>
      </c>
      <c r="O31" s="66"/>
      <c r="R31" s="64">
        <f>SUM(R6:R30)</f>
        <v>10.59</v>
      </c>
    </row>
    <row r="34" spans="1:18" ht="17" x14ac:dyDescent="0.2">
      <c r="A34" s="40" t="s">
        <v>512</v>
      </c>
    </row>
    <row r="35" spans="1:18" x14ac:dyDescent="0.2">
      <c r="A35" t="s">
        <v>514</v>
      </c>
    </row>
    <row r="36" spans="1:18" x14ac:dyDescent="0.2">
      <c r="A36" t="s">
        <v>515</v>
      </c>
    </row>
    <row r="37" spans="1:18" x14ac:dyDescent="0.2">
      <c r="A37" t="s">
        <v>516</v>
      </c>
    </row>
    <row r="38" spans="1:18" x14ac:dyDescent="0.2">
      <c r="A38" t="s">
        <v>517</v>
      </c>
    </row>
    <row r="39" spans="1:18" s="64" customFormat="1" ht="16" x14ac:dyDescent="0.2">
      <c r="A39" s="41" t="s">
        <v>581</v>
      </c>
      <c r="O39" s="66"/>
    </row>
    <row r="42" spans="1:18" ht="17" x14ac:dyDescent="0.2">
      <c r="A42" s="40" t="s">
        <v>518</v>
      </c>
    </row>
    <row r="43" spans="1:18" x14ac:dyDescent="0.2">
      <c r="A43" t="s">
        <v>519</v>
      </c>
      <c r="C43">
        <v>3</v>
      </c>
      <c r="H43">
        <v>3</v>
      </c>
      <c r="K43">
        <v>0</v>
      </c>
      <c r="O43" s="35">
        <f>R43/H43</f>
        <v>0.15666666666666665</v>
      </c>
      <c r="R43" s="35">
        <f>Receipts!F51</f>
        <v>0.47</v>
      </c>
    </row>
    <row r="44" spans="1:18" x14ac:dyDescent="0.2">
      <c r="A44" t="s">
        <v>671</v>
      </c>
      <c r="C44">
        <v>4</v>
      </c>
      <c r="H44">
        <v>4</v>
      </c>
      <c r="K44">
        <v>0</v>
      </c>
      <c r="O44" s="35">
        <f t="shared" ref="O44:O49" si="1">R44/H44</f>
        <v>7.0000000000000007E-2</v>
      </c>
      <c r="R44" s="35">
        <f>Receipts!F52</f>
        <v>0.28000000000000003</v>
      </c>
    </row>
    <row r="45" spans="1:18" x14ac:dyDescent="0.2">
      <c r="A45" t="s">
        <v>672</v>
      </c>
      <c r="C45">
        <v>3</v>
      </c>
      <c r="H45">
        <v>3</v>
      </c>
      <c r="K45">
        <v>0</v>
      </c>
      <c r="O45" s="35">
        <f t="shared" si="1"/>
        <v>5.6666666666666671E-2</v>
      </c>
      <c r="R45" s="35">
        <f>Receipts!F53</f>
        <v>0.17</v>
      </c>
    </row>
    <row r="46" spans="1:18" x14ac:dyDescent="0.2">
      <c r="A46" t="s">
        <v>673</v>
      </c>
      <c r="C46">
        <v>2</v>
      </c>
      <c r="H46">
        <v>2</v>
      </c>
      <c r="K46">
        <v>0</v>
      </c>
      <c r="O46" s="35">
        <f t="shared" si="1"/>
        <v>4.4999999999999998E-2</v>
      </c>
      <c r="R46" s="35">
        <f>Receipts!F54</f>
        <v>0.09</v>
      </c>
    </row>
    <row r="47" spans="1:18" x14ac:dyDescent="0.2">
      <c r="A47" t="s">
        <v>674</v>
      </c>
    </row>
    <row r="48" spans="1:18" x14ac:dyDescent="0.2">
      <c r="A48" t="s">
        <v>675</v>
      </c>
    </row>
    <row r="49" spans="1:18" x14ac:dyDescent="0.2">
      <c r="A49" t="s">
        <v>582</v>
      </c>
      <c r="C49">
        <v>7</v>
      </c>
      <c r="H49">
        <v>7</v>
      </c>
      <c r="K49">
        <v>0</v>
      </c>
      <c r="O49" s="35">
        <f t="shared" si="1"/>
        <v>8.5714285714285719E-3</v>
      </c>
      <c r="R49" s="35">
        <f>Receipts!F55+Receipts!F56</f>
        <v>0.06</v>
      </c>
    </row>
    <row r="50" spans="1:18" x14ac:dyDescent="0.2">
      <c r="A50" s="42" t="s">
        <v>583</v>
      </c>
    </row>
    <row r="51" spans="1:18" x14ac:dyDescent="0.2">
      <c r="A51" t="s">
        <v>584</v>
      </c>
    </row>
    <row r="52" spans="1:18" x14ac:dyDescent="0.2">
      <c r="A52" s="43" t="s">
        <v>585</v>
      </c>
    </row>
    <row r="53" spans="1:18" x14ac:dyDescent="0.2">
      <c r="A53" s="43" t="s">
        <v>586</v>
      </c>
    </row>
    <row r="54" spans="1:18" x14ac:dyDescent="0.2">
      <c r="A54" s="43" t="s">
        <v>587</v>
      </c>
    </row>
    <row r="55" spans="1:18" x14ac:dyDescent="0.2">
      <c r="A55" s="43" t="s">
        <v>588</v>
      </c>
    </row>
    <row r="56" spans="1:18" x14ac:dyDescent="0.2">
      <c r="A56" s="44" t="s">
        <v>589</v>
      </c>
    </row>
    <row r="57" spans="1:18" x14ac:dyDescent="0.2">
      <c r="A57" s="45" t="s">
        <v>590</v>
      </c>
    </row>
    <row r="58" spans="1:18" x14ac:dyDescent="0.2">
      <c r="A58" s="43" t="s">
        <v>585</v>
      </c>
    </row>
    <row r="59" spans="1:18" x14ac:dyDescent="0.2">
      <c r="A59" s="43" t="s">
        <v>586</v>
      </c>
    </row>
    <row r="60" spans="1:18" x14ac:dyDescent="0.2">
      <c r="A60" s="43" t="s">
        <v>587</v>
      </c>
    </row>
    <row r="61" spans="1:18" x14ac:dyDescent="0.2">
      <c r="A61" s="43" t="s">
        <v>588</v>
      </c>
    </row>
    <row r="62" spans="1:18" x14ac:dyDescent="0.2">
      <c r="A62" s="44" t="s">
        <v>535</v>
      </c>
    </row>
    <row r="63" spans="1:18" x14ac:dyDescent="0.2">
      <c r="A63" t="s">
        <v>591</v>
      </c>
    </row>
    <row r="64" spans="1:18" x14ac:dyDescent="0.2">
      <c r="A64" t="s">
        <v>537</v>
      </c>
    </row>
    <row r="65" spans="1:18" x14ac:dyDescent="0.2">
      <c r="A65" t="s">
        <v>538</v>
      </c>
    </row>
    <row r="66" spans="1:18" s="64" customFormat="1" x14ac:dyDescent="0.2">
      <c r="A66" s="64" t="s">
        <v>592</v>
      </c>
      <c r="O66" s="66"/>
      <c r="R66" s="66">
        <f>SUM(R43:R65)</f>
        <v>1.07</v>
      </c>
    </row>
    <row r="69" spans="1:18" ht="17" x14ac:dyDescent="0.2">
      <c r="A69" s="40" t="s">
        <v>539</v>
      </c>
    </row>
    <row r="70" spans="1:18" ht="16" x14ac:dyDescent="0.2">
      <c r="A70" s="39" t="s">
        <v>540</v>
      </c>
    </row>
    <row r="71" spans="1:18" x14ac:dyDescent="0.2">
      <c r="A71" t="s">
        <v>541</v>
      </c>
    </row>
    <row r="72" spans="1:18" x14ac:dyDescent="0.2">
      <c r="A72" t="s">
        <v>542</v>
      </c>
    </row>
    <row r="73" spans="1:18" x14ac:dyDescent="0.2">
      <c r="A73" t="s">
        <v>543</v>
      </c>
    </row>
    <row r="74" spans="1:18" x14ac:dyDescent="0.2">
      <c r="A74" s="46" t="s">
        <v>593</v>
      </c>
    </row>
    <row r="75" spans="1:18" x14ac:dyDescent="0.2">
      <c r="A75" s="47" t="s">
        <v>594</v>
      </c>
    </row>
    <row r="77" spans="1:18" ht="16" x14ac:dyDescent="0.2">
      <c r="A77" s="10" t="s">
        <v>544</v>
      </c>
    </row>
    <row r="78" spans="1:18" x14ac:dyDescent="0.2">
      <c r="A78" t="s">
        <v>545</v>
      </c>
    </row>
    <row r="79" spans="1:18" x14ac:dyDescent="0.2">
      <c r="A79" t="s">
        <v>546</v>
      </c>
    </row>
    <row r="80" spans="1:18" x14ac:dyDescent="0.2">
      <c r="A80" t="s">
        <v>547</v>
      </c>
    </row>
    <row r="81" spans="1:18" x14ac:dyDescent="0.2">
      <c r="A81" s="46" t="s">
        <v>361</v>
      </c>
    </row>
    <row r="84" spans="1:18" ht="16" x14ac:dyDescent="0.2">
      <c r="A84" s="10" t="s">
        <v>595</v>
      </c>
    </row>
    <row r="85" spans="1:18" x14ac:dyDescent="0.2">
      <c r="A85" t="s">
        <v>596</v>
      </c>
    </row>
    <row r="86" spans="1:18" x14ac:dyDescent="0.2">
      <c r="A86" t="s">
        <v>597</v>
      </c>
    </row>
    <row r="87" spans="1:18" x14ac:dyDescent="0.2">
      <c r="A87" t="s">
        <v>598</v>
      </c>
    </row>
    <row r="88" spans="1:18" ht="16" x14ac:dyDescent="0.2">
      <c r="A88" s="48" t="s">
        <v>592</v>
      </c>
    </row>
    <row r="90" spans="1:18" ht="16" x14ac:dyDescent="0.2">
      <c r="A90" s="10" t="s">
        <v>599</v>
      </c>
    </row>
    <row r="91" spans="1:18" x14ac:dyDescent="0.2">
      <c r="A91" t="s">
        <v>600</v>
      </c>
      <c r="C91">
        <v>19</v>
      </c>
      <c r="H91">
        <v>19</v>
      </c>
      <c r="K91">
        <v>0</v>
      </c>
      <c r="R91" s="35">
        <f>Receipts!F58</f>
        <v>0.06</v>
      </c>
    </row>
    <row r="92" spans="1:18" x14ac:dyDescent="0.2">
      <c r="A92" t="s">
        <v>601</v>
      </c>
      <c r="C92">
        <v>162</v>
      </c>
      <c r="H92">
        <v>141</v>
      </c>
      <c r="J92">
        <f>16+1+1+3</f>
        <v>21</v>
      </c>
      <c r="K92">
        <v>0</v>
      </c>
      <c r="R92" s="35">
        <f>Receipts!F59</f>
        <v>1.21</v>
      </c>
    </row>
    <row r="93" spans="1:18" s="64" customFormat="1" ht="16" x14ac:dyDescent="0.2">
      <c r="A93" s="41" t="s">
        <v>361</v>
      </c>
      <c r="O93" s="66"/>
      <c r="R93" s="66">
        <f>SUM(R91:R92)</f>
        <v>1.27</v>
      </c>
    </row>
    <row r="95" spans="1:18" ht="16" x14ac:dyDescent="0.2">
      <c r="A95" s="10" t="s">
        <v>381</v>
      </c>
    </row>
    <row r="96" spans="1:18" x14ac:dyDescent="0.2">
      <c r="A96" t="s">
        <v>381</v>
      </c>
      <c r="R96" s="35">
        <f>Receipts!F60</f>
        <v>0.16</v>
      </c>
    </row>
    <row r="97" spans="1:18" s="64" customFormat="1" ht="16" x14ac:dyDescent="0.2">
      <c r="A97" s="41" t="s">
        <v>361</v>
      </c>
      <c r="O97" s="66"/>
      <c r="R97" s="66">
        <f>SUM(R96)</f>
        <v>0.16</v>
      </c>
    </row>
    <row r="98" spans="1:18" ht="16" x14ac:dyDescent="0.2">
      <c r="A98" s="49"/>
    </row>
    <row r="99" spans="1:18" s="46" customFormat="1" ht="16" x14ac:dyDescent="0.2">
      <c r="A99" s="48" t="s">
        <v>602</v>
      </c>
      <c r="O99" s="67"/>
    </row>
    <row r="102" spans="1:18" ht="16" x14ac:dyDescent="0.2">
      <c r="A102" s="10" t="s">
        <v>380</v>
      </c>
    </row>
    <row r="103" spans="1:18" x14ac:dyDescent="0.2">
      <c r="A103" t="s">
        <v>380</v>
      </c>
      <c r="B103">
        <v>2</v>
      </c>
      <c r="C103">
        <v>2</v>
      </c>
      <c r="H103">
        <v>2</v>
      </c>
      <c r="K103">
        <v>2</v>
      </c>
      <c r="R103" s="35">
        <f>Receipts!F57</f>
        <v>1</v>
      </c>
    </row>
    <row r="104" spans="1:18" s="64" customFormat="1" x14ac:dyDescent="0.2">
      <c r="A104" s="64" t="s">
        <v>361</v>
      </c>
      <c r="O104" s="66"/>
      <c r="R104" s="66">
        <f>SUM(R103)</f>
        <v>1</v>
      </c>
    </row>
    <row r="106" spans="1:18" ht="16" x14ac:dyDescent="0.2">
      <c r="A106" s="49" t="s">
        <v>603</v>
      </c>
    </row>
    <row r="107" spans="1:18" ht="16" x14ac:dyDescent="0.2">
      <c r="A107" s="10" t="s">
        <v>382</v>
      </c>
    </row>
    <row r="108" spans="1:18" x14ac:dyDescent="0.2">
      <c r="A108" t="s">
        <v>604</v>
      </c>
    </row>
    <row r="109" spans="1:18" x14ac:dyDescent="0.2">
      <c r="A109" t="s">
        <v>605</v>
      </c>
    </row>
    <row r="110" spans="1:18" x14ac:dyDescent="0.2">
      <c r="A110" t="s">
        <v>606</v>
      </c>
    </row>
    <row r="111" spans="1:18" x14ac:dyDescent="0.2">
      <c r="A111" t="s">
        <v>607</v>
      </c>
    </row>
    <row r="112" spans="1:18" x14ac:dyDescent="0.2">
      <c r="A112" t="s">
        <v>608</v>
      </c>
    </row>
    <row r="113" spans="1:1" x14ac:dyDescent="0.2">
      <c r="A113" t="s">
        <v>609</v>
      </c>
    </row>
    <row r="114" spans="1:1" x14ac:dyDescent="0.2">
      <c r="A114" t="s">
        <v>610</v>
      </c>
    </row>
    <row r="115" spans="1:1" x14ac:dyDescent="0.2">
      <c r="A115" t="s">
        <v>611</v>
      </c>
    </row>
    <row r="116" spans="1:1" x14ac:dyDescent="0.2">
      <c r="A116" t="s">
        <v>612</v>
      </c>
    </row>
    <row r="117" spans="1:1" x14ac:dyDescent="0.2">
      <c r="A117" t="s">
        <v>613</v>
      </c>
    </row>
    <row r="118" spans="1:1" x14ac:dyDescent="0.2">
      <c r="A118" t="s">
        <v>614</v>
      </c>
    </row>
    <row r="119" spans="1:1" x14ac:dyDescent="0.2">
      <c r="A119" t="s">
        <v>615</v>
      </c>
    </row>
    <row r="120" spans="1:1" x14ac:dyDescent="0.2">
      <c r="A120" t="s">
        <v>616</v>
      </c>
    </row>
    <row r="121" spans="1:1" x14ac:dyDescent="0.2">
      <c r="A121" t="s">
        <v>617</v>
      </c>
    </row>
    <row r="122" spans="1:1" x14ac:dyDescent="0.2">
      <c r="A122" t="s">
        <v>618</v>
      </c>
    </row>
    <row r="123" spans="1:1" x14ac:dyDescent="0.2">
      <c r="A123" t="s">
        <v>619</v>
      </c>
    </row>
    <row r="124" spans="1:1" x14ac:dyDescent="0.2">
      <c r="A124" t="s">
        <v>620</v>
      </c>
    </row>
    <row r="125" spans="1:1" x14ac:dyDescent="0.2">
      <c r="A125" t="s">
        <v>621</v>
      </c>
    </row>
    <row r="126" spans="1:1" x14ac:dyDescent="0.2">
      <c r="A126" t="s">
        <v>622</v>
      </c>
    </row>
    <row r="127" spans="1:1" x14ac:dyDescent="0.2">
      <c r="A127" t="s">
        <v>623</v>
      </c>
    </row>
    <row r="128" spans="1:1" x14ac:dyDescent="0.2">
      <c r="A128" t="s">
        <v>624</v>
      </c>
    </row>
    <row r="129" spans="1:1" x14ac:dyDescent="0.2">
      <c r="A129" t="s">
        <v>625</v>
      </c>
    </row>
    <row r="130" spans="1:1" x14ac:dyDescent="0.2">
      <c r="A130" t="s">
        <v>626</v>
      </c>
    </row>
    <row r="131" spans="1:1" x14ac:dyDescent="0.2">
      <c r="A131" t="s">
        <v>627</v>
      </c>
    </row>
    <row r="132" spans="1:1" x14ac:dyDescent="0.2">
      <c r="A132" t="s">
        <v>628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8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>
        <v>14</v>
      </c>
      <c r="D2">
        <v>14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6" x14ac:dyDescent="0.2">
      <c r="A3" t="s">
        <v>36</v>
      </c>
      <c r="B3" t="s">
        <v>38</v>
      </c>
      <c r="C3">
        <v>1.22</v>
      </c>
      <c r="D3">
        <v>1</v>
      </c>
      <c r="E3">
        <v>4</v>
      </c>
      <c r="F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6" x14ac:dyDescent="0.2">
      <c r="A4" t="s">
        <v>36</v>
      </c>
      <c r="B4" t="s">
        <v>39</v>
      </c>
      <c r="C4">
        <v>1.22</v>
      </c>
      <c r="D4">
        <v>1</v>
      </c>
      <c r="E4">
        <v>4</v>
      </c>
      <c r="F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6" x14ac:dyDescent="0.2">
      <c r="A5" t="s">
        <v>36</v>
      </c>
      <c r="B5" t="s">
        <v>40</v>
      </c>
      <c r="C5">
        <v>1.22</v>
      </c>
      <c r="D5">
        <v>1</v>
      </c>
      <c r="E5">
        <v>4</v>
      </c>
      <c r="F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6" x14ac:dyDescent="0.2">
      <c r="A6" t="s">
        <v>36</v>
      </c>
      <c r="B6" t="s">
        <v>41</v>
      </c>
      <c r="C6">
        <v>4.9000000000000004</v>
      </c>
      <c r="D6">
        <v>4</v>
      </c>
      <c r="E6">
        <v>18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6" x14ac:dyDescent="0.2">
      <c r="A7" t="s">
        <v>42</v>
      </c>
      <c r="B7" t="s">
        <v>43</v>
      </c>
      <c r="C7">
        <v>0.15</v>
      </c>
      <c r="D7">
        <v>0</v>
      </c>
      <c r="E7">
        <v>3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6" x14ac:dyDescent="0.2">
      <c r="A8" t="s">
        <v>42</v>
      </c>
      <c r="B8" t="s">
        <v>44</v>
      </c>
      <c r="C8">
        <v>0.6</v>
      </c>
      <c r="D8">
        <v>0</v>
      </c>
      <c r="E8">
        <v>12</v>
      </c>
      <c r="F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6" x14ac:dyDescent="0.2">
      <c r="A9" t="s">
        <v>42</v>
      </c>
      <c r="B9" t="s">
        <v>45</v>
      </c>
      <c r="C9">
        <v>1.8</v>
      </c>
      <c r="D9">
        <v>1</v>
      </c>
      <c r="E9">
        <v>16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6" x14ac:dyDescent="0.2">
      <c r="A10" t="s">
        <v>42</v>
      </c>
      <c r="B10" t="s">
        <v>46</v>
      </c>
      <c r="C10">
        <v>2.5499999999999998</v>
      </c>
      <c r="D10">
        <v>2</v>
      </c>
      <c r="E10">
        <v>11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6" x14ac:dyDescent="0.2">
      <c r="A11" t="s">
        <v>47</v>
      </c>
      <c r="B11" t="s">
        <v>48</v>
      </c>
      <c r="C11">
        <v>0.05</v>
      </c>
      <c r="D11">
        <v>0</v>
      </c>
      <c r="E11">
        <v>1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6" x14ac:dyDescent="0.2">
      <c r="A12" t="s">
        <v>49</v>
      </c>
      <c r="B12" t="s">
        <v>50</v>
      </c>
      <c r="C12">
        <v>2.6</v>
      </c>
      <c r="D12">
        <v>2</v>
      </c>
      <c r="E12">
        <v>12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6" x14ac:dyDescent="0.2">
      <c r="A13" t="s">
        <v>51</v>
      </c>
      <c r="B13" t="s">
        <v>52</v>
      </c>
      <c r="C13">
        <v>2.2999999999999998</v>
      </c>
      <c r="D13">
        <v>2</v>
      </c>
      <c r="E13">
        <v>6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6" x14ac:dyDescent="0.2">
      <c r="A14" t="s">
        <v>53</v>
      </c>
      <c r="B14" t="s">
        <v>54</v>
      </c>
      <c r="C14">
        <v>0.24</v>
      </c>
      <c r="D14">
        <v>0</v>
      </c>
      <c r="E14">
        <v>4</v>
      </c>
      <c r="F14">
        <v>9.5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6" x14ac:dyDescent="0.2">
      <c r="A15" t="s">
        <v>53</v>
      </c>
      <c r="B15" t="s">
        <v>55</v>
      </c>
      <c r="C15">
        <v>0.15</v>
      </c>
      <c r="D15">
        <v>0</v>
      </c>
      <c r="E15">
        <v>3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6" x14ac:dyDescent="0.2">
      <c r="A16" t="s">
        <v>53</v>
      </c>
      <c r="B16" t="s">
        <v>56</v>
      </c>
      <c r="C16">
        <v>0.43</v>
      </c>
      <c r="D16">
        <v>0</v>
      </c>
      <c r="E16">
        <v>8</v>
      </c>
      <c r="F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53</v>
      </c>
      <c r="B17" t="s">
        <v>57</v>
      </c>
      <c r="C17">
        <v>0.47</v>
      </c>
      <c r="D17">
        <v>0</v>
      </c>
      <c r="E17">
        <v>9</v>
      </c>
      <c r="F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53</v>
      </c>
      <c r="B18" t="s">
        <v>58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53</v>
      </c>
      <c r="B19" t="s">
        <v>59</v>
      </c>
      <c r="C19">
        <v>0.1</v>
      </c>
      <c r="D19">
        <v>0</v>
      </c>
      <c r="E19">
        <v>2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53</v>
      </c>
      <c r="B20" t="s">
        <v>60</v>
      </c>
      <c r="C20">
        <v>0.03</v>
      </c>
      <c r="D20">
        <v>0</v>
      </c>
      <c r="E20">
        <v>0</v>
      </c>
      <c r="F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53</v>
      </c>
      <c r="B21" t="s">
        <v>61</v>
      </c>
      <c r="C21">
        <v>0.06</v>
      </c>
      <c r="D21">
        <v>0</v>
      </c>
      <c r="E21">
        <v>1</v>
      </c>
      <c r="F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53</v>
      </c>
      <c r="B22" t="s">
        <v>62</v>
      </c>
      <c r="C22">
        <v>0.08</v>
      </c>
      <c r="D22">
        <v>0</v>
      </c>
      <c r="E22">
        <v>1</v>
      </c>
      <c r="F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53</v>
      </c>
      <c r="B23" t="s">
        <v>63</v>
      </c>
      <c r="C23">
        <v>0.04</v>
      </c>
      <c r="D23">
        <v>0</v>
      </c>
      <c r="E23">
        <v>0</v>
      </c>
      <c r="F23">
        <v>10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53</v>
      </c>
      <c r="B24" t="s">
        <v>64</v>
      </c>
      <c r="C24">
        <v>0.06</v>
      </c>
      <c r="D24">
        <v>0</v>
      </c>
      <c r="E24">
        <v>1</v>
      </c>
      <c r="F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53</v>
      </c>
      <c r="B25" t="s">
        <v>65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53</v>
      </c>
      <c r="B26" t="s">
        <v>66</v>
      </c>
      <c r="C26">
        <v>7.0000000000000007E-2</v>
      </c>
      <c r="D26">
        <v>0</v>
      </c>
      <c r="E26">
        <v>1</v>
      </c>
      <c r="F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53</v>
      </c>
      <c r="B27" t="s">
        <v>67</v>
      </c>
      <c r="C27">
        <v>0.03</v>
      </c>
      <c r="D27">
        <v>0</v>
      </c>
      <c r="E27">
        <v>0</v>
      </c>
      <c r="F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53</v>
      </c>
      <c r="B28" t="s">
        <v>68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53</v>
      </c>
      <c r="B29" t="s">
        <v>69</v>
      </c>
      <c r="C29">
        <v>0.03</v>
      </c>
      <c r="D29">
        <v>0</v>
      </c>
      <c r="E29">
        <v>0</v>
      </c>
      <c r="F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53</v>
      </c>
      <c r="B30" t="s">
        <v>70</v>
      </c>
      <c r="C30">
        <v>0.34</v>
      </c>
      <c r="D30">
        <v>0</v>
      </c>
      <c r="E30">
        <v>6</v>
      </c>
      <c r="F30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53</v>
      </c>
      <c r="B31" t="s">
        <v>71</v>
      </c>
      <c r="C31">
        <v>0.46</v>
      </c>
      <c r="D31">
        <v>0</v>
      </c>
      <c r="E31">
        <v>9</v>
      </c>
      <c r="F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53</v>
      </c>
      <c r="B32" t="s">
        <v>72</v>
      </c>
      <c r="C32">
        <v>0.32</v>
      </c>
      <c r="D32">
        <v>0</v>
      </c>
      <c r="E32">
        <v>6</v>
      </c>
      <c r="F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53</v>
      </c>
      <c r="B33" t="s">
        <v>73</v>
      </c>
      <c r="C33">
        <v>1.7</v>
      </c>
      <c r="D33">
        <v>1</v>
      </c>
      <c r="E33">
        <v>14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53</v>
      </c>
      <c r="B34" t="s">
        <v>74</v>
      </c>
      <c r="C34">
        <v>1.8</v>
      </c>
      <c r="D34">
        <v>1</v>
      </c>
      <c r="E34">
        <v>16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53</v>
      </c>
      <c r="B35" t="s">
        <v>75</v>
      </c>
      <c r="C35">
        <v>2.4500000000000002</v>
      </c>
      <c r="D35">
        <v>2</v>
      </c>
      <c r="E35">
        <v>9</v>
      </c>
      <c r="F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53</v>
      </c>
      <c r="B36" t="s">
        <v>76</v>
      </c>
      <c r="C36">
        <v>0.19</v>
      </c>
      <c r="D36">
        <v>0</v>
      </c>
      <c r="E36">
        <v>3</v>
      </c>
      <c r="F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53</v>
      </c>
      <c r="B37" t="s">
        <v>77</v>
      </c>
      <c r="C37">
        <v>3</v>
      </c>
      <c r="D37">
        <v>3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53</v>
      </c>
      <c r="B38" t="s">
        <v>78</v>
      </c>
      <c r="C38">
        <v>0.67</v>
      </c>
      <c r="D38">
        <v>0</v>
      </c>
      <c r="E38">
        <v>13</v>
      </c>
      <c r="F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53</v>
      </c>
      <c r="B39" t="s">
        <v>79</v>
      </c>
      <c r="C39">
        <v>0.47</v>
      </c>
      <c r="D39">
        <v>0</v>
      </c>
      <c r="E39">
        <v>9</v>
      </c>
      <c r="F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53</v>
      </c>
      <c r="B40" t="s">
        <v>80</v>
      </c>
      <c r="C40">
        <v>0.28000000000000003</v>
      </c>
      <c r="D40">
        <v>0</v>
      </c>
      <c r="E40">
        <v>5</v>
      </c>
      <c r="F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53</v>
      </c>
      <c r="B41" t="s">
        <v>81</v>
      </c>
      <c r="C41">
        <v>0.17</v>
      </c>
      <c r="D41">
        <v>0</v>
      </c>
      <c r="E41">
        <v>3</v>
      </c>
      <c r="F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53</v>
      </c>
      <c r="B42" t="s">
        <v>82</v>
      </c>
      <c r="C42">
        <v>0.09</v>
      </c>
      <c r="D42">
        <v>0</v>
      </c>
      <c r="E42">
        <v>1</v>
      </c>
      <c r="F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53</v>
      </c>
      <c r="B43" t="s">
        <v>83</v>
      </c>
      <c r="C43">
        <v>0.03</v>
      </c>
      <c r="D43">
        <v>0</v>
      </c>
      <c r="E43">
        <v>0</v>
      </c>
      <c r="F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53</v>
      </c>
      <c r="B44" t="s">
        <v>84</v>
      </c>
      <c r="C44">
        <v>0.03</v>
      </c>
      <c r="D44">
        <v>0</v>
      </c>
      <c r="E44">
        <v>0</v>
      </c>
      <c r="F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53</v>
      </c>
      <c r="B45" t="s">
        <v>85</v>
      </c>
      <c r="C45">
        <v>1</v>
      </c>
      <c r="D45">
        <v>1</v>
      </c>
      <c r="E45">
        <v>0</v>
      </c>
      <c r="F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53</v>
      </c>
      <c r="B46" t="s">
        <v>86</v>
      </c>
      <c r="C46">
        <v>0.06</v>
      </c>
      <c r="D46">
        <v>0</v>
      </c>
      <c r="E46">
        <v>1</v>
      </c>
      <c r="F46">
        <v>2.5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53</v>
      </c>
      <c r="B47" t="s">
        <v>87</v>
      </c>
      <c r="C47">
        <v>1.21</v>
      </c>
      <c r="D47">
        <v>1</v>
      </c>
      <c r="E47">
        <v>4</v>
      </c>
      <c r="F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53</v>
      </c>
      <c r="B48" t="s">
        <v>88</v>
      </c>
      <c r="C48">
        <v>0.16</v>
      </c>
      <c r="D48">
        <v>0</v>
      </c>
      <c r="E48">
        <v>3</v>
      </c>
      <c r="F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30" x14ac:dyDescent="0.2">
      <c r="A49" t="s">
        <v>53</v>
      </c>
      <c r="B49" t="s">
        <v>89</v>
      </c>
      <c r="C49">
        <v>0.09</v>
      </c>
      <c r="D49">
        <v>0</v>
      </c>
      <c r="E49">
        <v>1</v>
      </c>
      <c r="F49">
        <v>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30" x14ac:dyDescent="0.2">
      <c r="A50" t="s">
        <v>53</v>
      </c>
      <c r="B50" t="s">
        <v>90</v>
      </c>
      <c r="C50">
        <v>0.33</v>
      </c>
      <c r="D50">
        <v>0</v>
      </c>
      <c r="E50">
        <v>6</v>
      </c>
      <c r="F50">
        <v>6.5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30" x14ac:dyDescent="0.2">
      <c r="A51" t="s">
        <v>53</v>
      </c>
      <c r="B51" t="s">
        <v>91</v>
      </c>
      <c r="C51">
        <v>16.59</v>
      </c>
      <c r="D51">
        <v>16</v>
      </c>
      <c r="E51">
        <v>11</v>
      </c>
      <c r="F51">
        <v>9.5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30" x14ac:dyDescent="0.2">
      <c r="A52" t="s">
        <v>92</v>
      </c>
      <c r="B52" t="s">
        <v>93</v>
      </c>
      <c r="C52">
        <v>32.35</v>
      </c>
      <c r="D52">
        <v>32</v>
      </c>
      <c r="E52">
        <v>7</v>
      </c>
      <c r="F52">
        <v>0</v>
      </c>
      <c r="G52" t="s">
        <v>94</v>
      </c>
      <c r="H52">
        <v>6</v>
      </c>
      <c r="I52">
        <v>1</v>
      </c>
      <c r="J52">
        <v>6.125</v>
      </c>
      <c r="K52">
        <v>121.3125</v>
      </c>
      <c r="L52">
        <v>-115.1875</v>
      </c>
      <c r="M52">
        <v>121</v>
      </c>
      <c r="N52">
        <v>2.5</v>
      </c>
      <c r="O52">
        <v>6</v>
      </c>
      <c r="P52">
        <v>1</v>
      </c>
      <c r="U52">
        <v>5</v>
      </c>
      <c r="V52">
        <v>4</v>
      </c>
      <c r="W52">
        <v>3</v>
      </c>
      <c r="X52">
        <v>10</v>
      </c>
    </row>
    <row r="53" spans="1:30" x14ac:dyDescent="0.2">
      <c r="A53" t="s">
        <v>92</v>
      </c>
      <c r="B53" t="s">
        <v>95</v>
      </c>
      <c r="C53">
        <v>3</v>
      </c>
      <c r="D53">
        <v>3</v>
      </c>
      <c r="E53">
        <v>0</v>
      </c>
      <c r="F53">
        <v>1</v>
      </c>
      <c r="G53" t="s">
        <v>96</v>
      </c>
      <c r="H53">
        <v>12</v>
      </c>
      <c r="I53">
        <v>7</v>
      </c>
      <c r="J53">
        <v>12.875</v>
      </c>
      <c r="K53">
        <v>12.875</v>
      </c>
      <c r="L53">
        <v>0</v>
      </c>
      <c r="M53">
        <v>12</v>
      </c>
      <c r="N53">
        <v>7</v>
      </c>
      <c r="U53">
        <v>4</v>
      </c>
      <c r="V53">
        <v>8</v>
      </c>
    </row>
    <row r="54" spans="1:30" x14ac:dyDescent="0.2">
      <c r="A54" t="s">
        <v>92</v>
      </c>
      <c r="B54" t="s">
        <v>97</v>
      </c>
      <c r="C54">
        <v>1.62</v>
      </c>
      <c r="D54">
        <v>1</v>
      </c>
      <c r="E54">
        <v>12</v>
      </c>
      <c r="F54">
        <v>6</v>
      </c>
      <c r="G54" t="s">
        <v>98</v>
      </c>
      <c r="H54">
        <v>16</v>
      </c>
      <c r="I54">
        <v>2</v>
      </c>
      <c r="J54">
        <v>16.25</v>
      </c>
      <c r="K54">
        <v>1.375</v>
      </c>
      <c r="L54">
        <v>14.875</v>
      </c>
      <c r="M54">
        <v>1</v>
      </c>
      <c r="N54">
        <v>3</v>
      </c>
      <c r="O54">
        <v>16</v>
      </c>
      <c r="P54">
        <v>2</v>
      </c>
      <c r="U54">
        <v>3</v>
      </c>
      <c r="V54">
        <v>4</v>
      </c>
      <c r="W54">
        <v>2</v>
      </c>
      <c r="X54">
        <v>0</v>
      </c>
    </row>
    <row r="55" spans="1:30" x14ac:dyDescent="0.2">
      <c r="A55" t="s">
        <v>92</v>
      </c>
      <c r="B55" t="s">
        <v>99</v>
      </c>
      <c r="C55">
        <v>0.59</v>
      </c>
      <c r="D55">
        <v>0</v>
      </c>
      <c r="E55">
        <v>11</v>
      </c>
      <c r="F55">
        <v>9</v>
      </c>
      <c r="G55" t="s">
        <v>100</v>
      </c>
      <c r="H55">
        <v>5</v>
      </c>
      <c r="I55">
        <v>7</v>
      </c>
      <c r="J55">
        <v>5.875</v>
      </c>
      <c r="K55">
        <v>5.875</v>
      </c>
      <c r="L55">
        <v>0</v>
      </c>
      <c r="M55">
        <v>5</v>
      </c>
      <c r="N55">
        <v>7</v>
      </c>
      <c r="U55">
        <v>2</v>
      </c>
      <c r="V55">
        <v>0</v>
      </c>
    </row>
    <row r="56" spans="1:30" x14ac:dyDescent="0.2">
      <c r="A56" t="s">
        <v>92</v>
      </c>
      <c r="B56" t="s">
        <v>101</v>
      </c>
      <c r="C56">
        <v>0.09</v>
      </c>
      <c r="D56">
        <v>0</v>
      </c>
      <c r="E56">
        <v>1</v>
      </c>
      <c r="F56">
        <v>10</v>
      </c>
      <c r="G56" t="s">
        <v>102</v>
      </c>
      <c r="H56">
        <v>1</v>
      </c>
      <c r="I56">
        <v>3</v>
      </c>
      <c r="J56">
        <v>1.375</v>
      </c>
      <c r="K56">
        <v>1.375</v>
      </c>
      <c r="L56">
        <v>0</v>
      </c>
      <c r="M56">
        <v>1</v>
      </c>
      <c r="N56">
        <v>3</v>
      </c>
      <c r="AC56">
        <v>0</v>
      </c>
      <c r="AD56">
        <v>2</v>
      </c>
    </row>
    <row r="57" spans="1:30" x14ac:dyDescent="0.2">
      <c r="A57" t="s">
        <v>92</v>
      </c>
      <c r="B57" t="s">
        <v>103</v>
      </c>
      <c r="C57">
        <v>5.93</v>
      </c>
      <c r="D57">
        <v>5</v>
      </c>
      <c r="E57">
        <v>18</v>
      </c>
      <c r="F57">
        <v>7.5</v>
      </c>
      <c r="G57" t="s">
        <v>104</v>
      </c>
      <c r="H57">
        <v>54</v>
      </c>
      <c r="I57">
        <v>6</v>
      </c>
      <c r="J57">
        <v>54.75</v>
      </c>
      <c r="K57">
        <v>54.75</v>
      </c>
      <c r="L57">
        <v>0</v>
      </c>
      <c r="M57">
        <v>54</v>
      </c>
      <c r="N57">
        <v>6</v>
      </c>
      <c r="U57">
        <v>2</v>
      </c>
      <c r="V57">
        <v>2</v>
      </c>
    </row>
    <row r="58" spans="1:30" x14ac:dyDescent="0.2">
      <c r="A58" t="s">
        <v>92</v>
      </c>
      <c r="B58" t="s">
        <v>105</v>
      </c>
      <c r="C58">
        <v>0.44</v>
      </c>
      <c r="D58">
        <v>0</v>
      </c>
      <c r="E58">
        <v>8</v>
      </c>
      <c r="F58">
        <v>9</v>
      </c>
      <c r="G58" t="s">
        <v>106</v>
      </c>
      <c r="H58">
        <v>2</v>
      </c>
      <c r="I58">
        <v>5</v>
      </c>
      <c r="J58">
        <v>2.625</v>
      </c>
      <c r="K58">
        <v>2.625</v>
      </c>
      <c r="L58">
        <v>0</v>
      </c>
      <c r="M58">
        <v>2</v>
      </c>
      <c r="N58">
        <v>5</v>
      </c>
    </row>
    <row r="59" spans="1:30" x14ac:dyDescent="0.2">
      <c r="A59" t="s">
        <v>92</v>
      </c>
      <c r="B59" t="s">
        <v>107</v>
      </c>
      <c r="C59">
        <v>45.43</v>
      </c>
      <c r="D59">
        <v>45</v>
      </c>
      <c r="E59">
        <v>8</v>
      </c>
      <c r="F59">
        <v>7.25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30" x14ac:dyDescent="0.2">
      <c r="A60" t="s">
        <v>108</v>
      </c>
      <c r="B60" t="s">
        <v>109</v>
      </c>
      <c r="C60">
        <v>0.41</v>
      </c>
      <c r="D60">
        <v>0</v>
      </c>
      <c r="E60">
        <v>8</v>
      </c>
      <c r="F60">
        <v>1.5</v>
      </c>
      <c r="G60" t="s">
        <v>110</v>
      </c>
      <c r="H60">
        <v>1</v>
      </c>
      <c r="I60">
        <v>5</v>
      </c>
      <c r="J60">
        <v>1.625</v>
      </c>
      <c r="K60">
        <v>1.625</v>
      </c>
      <c r="L60">
        <v>0</v>
      </c>
      <c r="M60">
        <v>1</v>
      </c>
      <c r="N60">
        <v>5</v>
      </c>
    </row>
    <row r="61" spans="1:30" x14ac:dyDescent="0.2">
      <c r="A61" t="s">
        <v>108</v>
      </c>
      <c r="B61" t="s">
        <v>111</v>
      </c>
      <c r="C61">
        <v>0.52</v>
      </c>
      <c r="D61">
        <v>0</v>
      </c>
      <c r="E61">
        <v>10</v>
      </c>
      <c r="F61">
        <v>5.5</v>
      </c>
      <c r="G61" t="s">
        <v>112</v>
      </c>
      <c r="H61">
        <v>3</v>
      </c>
      <c r="I61">
        <v>5.5</v>
      </c>
      <c r="J61">
        <v>3.6875</v>
      </c>
      <c r="K61">
        <v>3.6875</v>
      </c>
      <c r="L61">
        <v>0</v>
      </c>
      <c r="M61">
        <v>3</v>
      </c>
      <c r="N61">
        <v>5.5</v>
      </c>
      <c r="U61">
        <v>2</v>
      </c>
      <c r="V61">
        <v>10</v>
      </c>
    </row>
    <row r="62" spans="1:30" x14ac:dyDescent="0.2">
      <c r="A62" t="s">
        <v>108</v>
      </c>
      <c r="B62" t="s">
        <v>113</v>
      </c>
      <c r="C62">
        <v>0.93</v>
      </c>
      <c r="D62">
        <v>0</v>
      </c>
      <c r="E62">
        <v>18</v>
      </c>
      <c r="F62">
        <v>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30" x14ac:dyDescent="0.2">
      <c r="A63" t="s">
        <v>114</v>
      </c>
      <c r="B63" t="s">
        <v>115</v>
      </c>
      <c r="C63">
        <v>0.4</v>
      </c>
      <c r="D63">
        <v>0</v>
      </c>
      <c r="E63">
        <v>8</v>
      </c>
      <c r="F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30" x14ac:dyDescent="0.2">
      <c r="A64" t="s">
        <v>114</v>
      </c>
      <c r="B64" t="s">
        <v>116</v>
      </c>
      <c r="C64">
        <v>0.67</v>
      </c>
      <c r="D64">
        <v>0</v>
      </c>
      <c r="E64">
        <v>13</v>
      </c>
      <c r="F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114</v>
      </c>
      <c r="B65" t="s">
        <v>117</v>
      </c>
      <c r="C65">
        <v>5.33</v>
      </c>
      <c r="D65">
        <v>5</v>
      </c>
      <c r="E65">
        <v>6</v>
      </c>
      <c r="F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114</v>
      </c>
      <c r="B66" t="s">
        <v>118</v>
      </c>
      <c r="C66">
        <v>4.67</v>
      </c>
      <c r="D66">
        <v>4</v>
      </c>
      <c r="E66">
        <v>13</v>
      </c>
      <c r="F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114</v>
      </c>
      <c r="B67" t="s">
        <v>119</v>
      </c>
      <c r="C67">
        <v>11.37</v>
      </c>
      <c r="D67">
        <v>11</v>
      </c>
      <c r="E67">
        <v>7</v>
      </c>
      <c r="F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120</v>
      </c>
      <c r="B68" t="s">
        <v>121</v>
      </c>
      <c r="C68">
        <v>0.03</v>
      </c>
      <c r="D68">
        <v>0</v>
      </c>
      <c r="E68">
        <v>0</v>
      </c>
      <c r="F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120</v>
      </c>
      <c r="B69" t="s">
        <v>122</v>
      </c>
      <c r="C69">
        <v>0.03</v>
      </c>
      <c r="D69">
        <v>0</v>
      </c>
      <c r="E69">
        <v>0</v>
      </c>
      <c r="F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120</v>
      </c>
      <c r="B70" t="s">
        <v>123</v>
      </c>
      <c r="C70">
        <v>0.01</v>
      </c>
      <c r="D70">
        <v>0</v>
      </c>
      <c r="E70">
        <v>0</v>
      </c>
      <c r="F70">
        <v>3.5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120</v>
      </c>
      <c r="B71" t="s">
        <v>124</v>
      </c>
      <c r="C71">
        <v>0.09</v>
      </c>
      <c r="D71">
        <v>0</v>
      </c>
      <c r="E71">
        <v>1</v>
      </c>
      <c r="F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120</v>
      </c>
      <c r="B72" t="s">
        <v>125</v>
      </c>
      <c r="C72">
        <v>0.05</v>
      </c>
      <c r="D72">
        <v>0</v>
      </c>
      <c r="E72">
        <v>1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120</v>
      </c>
      <c r="B73" t="s">
        <v>126</v>
      </c>
      <c r="C73">
        <v>0.1</v>
      </c>
      <c r="D73">
        <v>0</v>
      </c>
      <c r="E73">
        <v>2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120</v>
      </c>
      <c r="B74" t="s">
        <v>127</v>
      </c>
      <c r="C74">
        <v>0.03</v>
      </c>
      <c r="D74">
        <v>0</v>
      </c>
      <c r="E74">
        <v>0</v>
      </c>
      <c r="F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120</v>
      </c>
      <c r="B75" t="s">
        <v>128</v>
      </c>
      <c r="C75">
        <v>0.03</v>
      </c>
      <c r="D75">
        <v>0</v>
      </c>
      <c r="E75">
        <v>0</v>
      </c>
      <c r="F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120</v>
      </c>
      <c r="B76" t="s">
        <v>129</v>
      </c>
      <c r="C76">
        <v>0.05</v>
      </c>
      <c r="D76">
        <v>0</v>
      </c>
      <c r="E76">
        <v>1</v>
      </c>
      <c r="F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120</v>
      </c>
      <c r="B77" t="s">
        <v>130</v>
      </c>
      <c r="C77">
        <v>0.1</v>
      </c>
      <c r="D77">
        <v>0</v>
      </c>
      <c r="E77">
        <v>2</v>
      </c>
      <c r="F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120</v>
      </c>
      <c r="B78" t="s">
        <v>131</v>
      </c>
      <c r="C78">
        <v>0.08</v>
      </c>
      <c r="D78">
        <v>0</v>
      </c>
      <c r="E78">
        <v>1</v>
      </c>
      <c r="F78">
        <v>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120</v>
      </c>
      <c r="B79" t="s">
        <v>132</v>
      </c>
      <c r="C79">
        <v>0.04</v>
      </c>
      <c r="D79">
        <v>0</v>
      </c>
      <c r="E79">
        <v>0</v>
      </c>
      <c r="F79">
        <v>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120</v>
      </c>
      <c r="B80" t="s">
        <v>133</v>
      </c>
      <c r="C80">
        <v>0.1</v>
      </c>
      <c r="D80">
        <v>0</v>
      </c>
      <c r="E80">
        <v>2</v>
      </c>
      <c r="F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120</v>
      </c>
      <c r="B81" t="s">
        <v>134</v>
      </c>
      <c r="C81">
        <v>0.05</v>
      </c>
      <c r="D81">
        <v>0</v>
      </c>
      <c r="E81">
        <v>1</v>
      </c>
      <c r="F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120</v>
      </c>
      <c r="B82" t="s">
        <v>135</v>
      </c>
      <c r="C82">
        <v>0.05</v>
      </c>
      <c r="D82">
        <v>0</v>
      </c>
      <c r="E82">
        <v>1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120</v>
      </c>
      <c r="B83" t="s">
        <v>136</v>
      </c>
      <c r="C83">
        <v>0.06</v>
      </c>
      <c r="D83">
        <v>0</v>
      </c>
      <c r="E83">
        <v>1</v>
      </c>
      <c r="F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120</v>
      </c>
      <c r="B84" t="s">
        <v>137</v>
      </c>
      <c r="C84">
        <v>0.11</v>
      </c>
      <c r="D84">
        <v>0</v>
      </c>
      <c r="E84">
        <v>2</v>
      </c>
      <c r="F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120</v>
      </c>
      <c r="B85" t="s">
        <v>138</v>
      </c>
      <c r="C85">
        <v>1.02</v>
      </c>
      <c r="D85">
        <v>1</v>
      </c>
      <c r="E85">
        <v>0</v>
      </c>
      <c r="F85">
        <v>5.5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120</v>
      </c>
      <c r="B86" t="s">
        <v>139</v>
      </c>
      <c r="C86">
        <v>12.39</v>
      </c>
      <c r="D86">
        <v>12</v>
      </c>
      <c r="E86">
        <v>7</v>
      </c>
      <c r="F86">
        <v>9.5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140</v>
      </c>
      <c r="B87" t="s">
        <v>141</v>
      </c>
      <c r="C87">
        <v>77.64</v>
      </c>
      <c r="D87">
        <v>77</v>
      </c>
      <c r="E87">
        <v>12</v>
      </c>
      <c r="F87">
        <v>9.25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142</v>
      </c>
      <c r="B88" t="s">
        <v>143</v>
      </c>
      <c r="C88">
        <v>0.21</v>
      </c>
      <c r="D88">
        <v>0</v>
      </c>
      <c r="E88">
        <v>4</v>
      </c>
      <c r="F88">
        <v>1.75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142</v>
      </c>
      <c r="B89" t="s">
        <v>144</v>
      </c>
      <c r="C89">
        <v>0.18</v>
      </c>
      <c r="D89">
        <v>0</v>
      </c>
      <c r="E89">
        <v>3</v>
      </c>
      <c r="F89">
        <v>6.5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142</v>
      </c>
      <c r="B90" t="s">
        <v>145</v>
      </c>
      <c r="C90">
        <v>0.02</v>
      </c>
      <c r="D90">
        <v>0</v>
      </c>
      <c r="E90">
        <v>0</v>
      </c>
      <c r="F90">
        <v>5.5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142</v>
      </c>
      <c r="B91" t="s">
        <v>146</v>
      </c>
      <c r="C91">
        <v>0.04</v>
      </c>
      <c r="D91">
        <v>0</v>
      </c>
      <c r="E91">
        <v>0</v>
      </c>
      <c r="F91">
        <v>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142</v>
      </c>
      <c r="B92" t="s">
        <v>147</v>
      </c>
      <c r="C92">
        <v>0.11</v>
      </c>
      <c r="D92">
        <v>0</v>
      </c>
      <c r="E92">
        <v>2</v>
      </c>
      <c r="F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142</v>
      </c>
      <c r="B93" t="s">
        <v>148</v>
      </c>
      <c r="C93">
        <v>0.11</v>
      </c>
      <c r="D93">
        <v>0</v>
      </c>
      <c r="E93">
        <v>2</v>
      </c>
      <c r="F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142</v>
      </c>
      <c r="B94" t="s">
        <v>149</v>
      </c>
      <c r="C94">
        <v>0.01</v>
      </c>
      <c r="D94">
        <v>0</v>
      </c>
      <c r="E94">
        <v>0</v>
      </c>
      <c r="F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142</v>
      </c>
      <c r="B95" t="s">
        <v>150</v>
      </c>
      <c r="C95">
        <v>0.05</v>
      </c>
      <c r="D95">
        <v>0</v>
      </c>
      <c r="E95">
        <v>0</v>
      </c>
      <c r="F95">
        <v>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142</v>
      </c>
      <c r="B96" t="s">
        <v>151</v>
      </c>
      <c r="C96">
        <v>2.46</v>
      </c>
      <c r="D96">
        <v>2</v>
      </c>
      <c r="E96">
        <v>9</v>
      </c>
      <c r="F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142</v>
      </c>
      <c r="B97" t="s">
        <v>152</v>
      </c>
      <c r="C97">
        <v>0</v>
      </c>
      <c r="D97">
        <v>0</v>
      </c>
      <c r="E97">
        <v>0</v>
      </c>
      <c r="F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142</v>
      </c>
      <c r="B98" t="s">
        <v>153</v>
      </c>
      <c r="C98">
        <v>1.65</v>
      </c>
      <c r="D98">
        <v>1</v>
      </c>
      <c r="E98">
        <v>13</v>
      </c>
      <c r="F98">
        <v>0.75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142</v>
      </c>
      <c r="B99" t="s">
        <v>152</v>
      </c>
      <c r="C99">
        <v>0</v>
      </c>
      <c r="D99">
        <v>0</v>
      </c>
      <c r="E99">
        <v>0</v>
      </c>
      <c r="F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142</v>
      </c>
      <c r="B100" t="s">
        <v>154</v>
      </c>
      <c r="C100">
        <v>2.73</v>
      </c>
      <c r="D100">
        <v>2</v>
      </c>
      <c r="E100">
        <v>14</v>
      </c>
      <c r="F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142</v>
      </c>
      <c r="B101" t="s">
        <v>152</v>
      </c>
      <c r="C101">
        <v>0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142</v>
      </c>
      <c r="B102" t="s">
        <v>155</v>
      </c>
      <c r="C102">
        <v>0.01</v>
      </c>
      <c r="D102">
        <v>0</v>
      </c>
      <c r="E102">
        <v>0</v>
      </c>
      <c r="F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142</v>
      </c>
      <c r="B103" t="s">
        <v>156</v>
      </c>
      <c r="C103">
        <v>0.03</v>
      </c>
      <c r="D103">
        <v>0</v>
      </c>
      <c r="E103">
        <v>0</v>
      </c>
      <c r="F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142</v>
      </c>
      <c r="B104" t="s">
        <v>157</v>
      </c>
      <c r="C104">
        <v>8.1</v>
      </c>
      <c r="D104">
        <v>8</v>
      </c>
      <c r="E104">
        <v>2</v>
      </c>
      <c r="F104">
        <v>0.5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158</v>
      </c>
      <c r="B105" t="s">
        <v>159</v>
      </c>
      <c r="C105">
        <v>0.03</v>
      </c>
      <c r="D105">
        <v>0</v>
      </c>
      <c r="E105">
        <v>0</v>
      </c>
      <c r="F105">
        <v>6.5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158</v>
      </c>
      <c r="B106" t="s">
        <v>160</v>
      </c>
      <c r="C106">
        <v>0.04</v>
      </c>
      <c r="D106">
        <v>0</v>
      </c>
      <c r="E106">
        <v>0</v>
      </c>
      <c r="F106">
        <v>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158</v>
      </c>
      <c r="B107" t="s">
        <v>161</v>
      </c>
      <c r="C107">
        <v>0.14000000000000001</v>
      </c>
      <c r="D107">
        <v>0</v>
      </c>
      <c r="E107">
        <v>2</v>
      </c>
      <c r="F107">
        <v>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158</v>
      </c>
      <c r="B108" t="s">
        <v>162</v>
      </c>
      <c r="C108">
        <v>0.02</v>
      </c>
      <c r="D108">
        <v>0</v>
      </c>
      <c r="E108">
        <v>0</v>
      </c>
      <c r="F108">
        <v>4.5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158</v>
      </c>
      <c r="B109" t="s">
        <v>163</v>
      </c>
      <c r="C109">
        <v>0.02</v>
      </c>
      <c r="D109">
        <v>0</v>
      </c>
      <c r="E109">
        <v>0</v>
      </c>
      <c r="F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158</v>
      </c>
      <c r="B110" t="s">
        <v>164</v>
      </c>
      <c r="C110">
        <v>7.0000000000000007E-2</v>
      </c>
      <c r="D110">
        <v>0</v>
      </c>
      <c r="E110">
        <v>1</v>
      </c>
      <c r="F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158</v>
      </c>
      <c r="B111" t="s">
        <v>165</v>
      </c>
      <c r="C111">
        <v>0.01</v>
      </c>
      <c r="D111">
        <v>0</v>
      </c>
      <c r="E111">
        <v>0</v>
      </c>
      <c r="F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158</v>
      </c>
      <c r="B112" t="s">
        <v>166</v>
      </c>
      <c r="C112">
        <v>0.27</v>
      </c>
      <c r="D112">
        <v>0</v>
      </c>
      <c r="E112">
        <v>5</v>
      </c>
      <c r="F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167</v>
      </c>
      <c r="B113" t="s">
        <v>168</v>
      </c>
      <c r="C113">
        <v>0.03</v>
      </c>
      <c r="D113">
        <v>0</v>
      </c>
      <c r="E113">
        <v>0</v>
      </c>
      <c r="F113">
        <v>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167</v>
      </c>
      <c r="B114" t="s">
        <v>169</v>
      </c>
      <c r="C114">
        <v>0.03</v>
      </c>
      <c r="D114">
        <v>0</v>
      </c>
      <c r="E114">
        <v>0</v>
      </c>
      <c r="F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167</v>
      </c>
      <c r="B115" t="s">
        <v>170</v>
      </c>
      <c r="C115">
        <v>0.01</v>
      </c>
      <c r="D115">
        <v>0</v>
      </c>
      <c r="E115">
        <v>0</v>
      </c>
      <c r="F115">
        <v>1.75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167</v>
      </c>
      <c r="B116" t="s">
        <v>171</v>
      </c>
      <c r="C116">
        <v>0.03</v>
      </c>
      <c r="D116">
        <v>0</v>
      </c>
      <c r="E116">
        <v>0</v>
      </c>
      <c r="F116">
        <v>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167</v>
      </c>
      <c r="B117" t="s">
        <v>172</v>
      </c>
      <c r="C117">
        <v>0.03</v>
      </c>
      <c r="D117">
        <v>0</v>
      </c>
      <c r="E117">
        <v>0</v>
      </c>
      <c r="F117">
        <v>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167</v>
      </c>
      <c r="B118" t="s">
        <v>173</v>
      </c>
      <c r="C118">
        <v>0.12</v>
      </c>
      <c r="D118">
        <v>0</v>
      </c>
      <c r="E118">
        <v>2</v>
      </c>
      <c r="F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167</v>
      </c>
      <c r="B119" t="s">
        <v>174</v>
      </c>
      <c r="C119">
        <v>0.25</v>
      </c>
      <c r="D119">
        <v>0</v>
      </c>
      <c r="E119">
        <v>4</v>
      </c>
      <c r="F119">
        <v>11.75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175</v>
      </c>
      <c r="B120" t="s">
        <v>176</v>
      </c>
      <c r="C120">
        <v>0.06</v>
      </c>
      <c r="D120">
        <v>0</v>
      </c>
      <c r="E120">
        <v>1</v>
      </c>
      <c r="F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175</v>
      </c>
      <c r="B121" t="s">
        <v>177</v>
      </c>
      <c r="C121">
        <v>0.2</v>
      </c>
      <c r="D121">
        <v>0</v>
      </c>
      <c r="E121">
        <v>4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175</v>
      </c>
      <c r="B122" t="s">
        <v>178</v>
      </c>
      <c r="C122">
        <v>0.06</v>
      </c>
      <c r="D122">
        <v>0</v>
      </c>
      <c r="E122">
        <v>1</v>
      </c>
      <c r="F122">
        <v>3</v>
      </c>
      <c r="H122">
        <v>0</v>
      </c>
      <c r="I122">
        <v>4</v>
      </c>
      <c r="J122">
        <v>0.5</v>
      </c>
      <c r="K122">
        <v>0.5</v>
      </c>
      <c r="L122">
        <v>0</v>
      </c>
      <c r="M122">
        <v>0</v>
      </c>
      <c r="N122">
        <v>4</v>
      </c>
    </row>
    <row r="123" spans="1:14" x14ac:dyDescent="0.2">
      <c r="A123" t="s">
        <v>175</v>
      </c>
      <c r="B123" t="s">
        <v>179</v>
      </c>
      <c r="C123">
        <v>0.01</v>
      </c>
      <c r="D123">
        <v>0</v>
      </c>
      <c r="E123">
        <v>0</v>
      </c>
      <c r="F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175</v>
      </c>
      <c r="B124" t="s">
        <v>180</v>
      </c>
      <c r="C124">
        <v>0.01</v>
      </c>
      <c r="D124">
        <v>0</v>
      </c>
      <c r="E124">
        <v>0</v>
      </c>
      <c r="F124">
        <v>2.25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175</v>
      </c>
      <c r="B125" t="s">
        <v>181</v>
      </c>
      <c r="C125">
        <v>0.12</v>
      </c>
      <c r="D125">
        <v>0</v>
      </c>
      <c r="E125">
        <v>2</v>
      </c>
      <c r="F125">
        <v>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175</v>
      </c>
      <c r="B126" t="s">
        <v>182</v>
      </c>
      <c r="C126">
        <v>0.12</v>
      </c>
      <c r="D126">
        <v>0</v>
      </c>
      <c r="E126">
        <v>2</v>
      </c>
      <c r="F126">
        <v>4.25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183</v>
      </c>
      <c r="B127" t="s">
        <v>184</v>
      </c>
      <c r="C127">
        <v>0.02</v>
      </c>
      <c r="D127">
        <v>0</v>
      </c>
      <c r="E127">
        <v>0</v>
      </c>
      <c r="F127">
        <v>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183</v>
      </c>
      <c r="B128" t="s">
        <v>185</v>
      </c>
      <c r="C128">
        <v>0</v>
      </c>
      <c r="D128">
        <v>0</v>
      </c>
      <c r="E128">
        <v>0</v>
      </c>
      <c r="F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183</v>
      </c>
      <c r="B129" t="s">
        <v>186</v>
      </c>
      <c r="C129">
        <v>0</v>
      </c>
      <c r="D129">
        <v>0</v>
      </c>
      <c r="E129">
        <v>0</v>
      </c>
      <c r="F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183</v>
      </c>
      <c r="B130" t="s">
        <v>187</v>
      </c>
      <c r="C130">
        <v>0.04</v>
      </c>
      <c r="D130">
        <v>0</v>
      </c>
      <c r="E130">
        <v>0</v>
      </c>
      <c r="F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183</v>
      </c>
      <c r="B131" t="s">
        <v>188</v>
      </c>
      <c r="C131">
        <v>0</v>
      </c>
      <c r="D131">
        <v>0</v>
      </c>
      <c r="E131">
        <v>0</v>
      </c>
      <c r="F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183</v>
      </c>
      <c r="B132" t="s">
        <v>189</v>
      </c>
      <c r="C132">
        <v>0.04</v>
      </c>
      <c r="D132">
        <v>0</v>
      </c>
      <c r="E132">
        <v>0</v>
      </c>
      <c r="F132">
        <v>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t="s">
        <v>183</v>
      </c>
      <c r="B133" t="s">
        <v>190</v>
      </c>
      <c r="C133">
        <v>0.19</v>
      </c>
      <c r="D133">
        <v>0</v>
      </c>
      <c r="E133">
        <v>3</v>
      </c>
      <c r="F133">
        <v>10.5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191</v>
      </c>
      <c r="B134" t="s">
        <v>192</v>
      </c>
      <c r="C134">
        <v>0.41</v>
      </c>
      <c r="D134">
        <v>0</v>
      </c>
      <c r="E134">
        <v>8</v>
      </c>
      <c r="F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191</v>
      </c>
      <c r="B135" t="s">
        <v>193</v>
      </c>
      <c r="C135">
        <v>0.02</v>
      </c>
      <c r="D135">
        <v>0</v>
      </c>
      <c r="E135">
        <v>0</v>
      </c>
      <c r="F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191</v>
      </c>
      <c r="B136" t="s">
        <v>194</v>
      </c>
      <c r="C136">
        <v>0.01</v>
      </c>
      <c r="D136">
        <v>0</v>
      </c>
      <c r="E136">
        <v>0</v>
      </c>
      <c r="F136">
        <v>2.5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191</v>
      </c>
      <c r="B137" t="s">
        <v>195</v>
      </c>
      <c r="C137">
        <v>0.25</v>
      </c>
      <c r="D137">
        <v>0</v>
      </c>
      <c r="E137">
        <v>5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191</v>
      </c>
      <c r="B138" t="s">
        <v>196</v>
      </c>
      <c r="C138">
        <v>0.14000000000000001</v>
      </c>
      <c r="D138">
        <v>0</v>
      </c>
      <c r="E138">
        <v>2</v>
      </c>
      <c r="F138">
        <v>10.5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197</v>
      </c>
      <c r="B139" t="s">
        <v>198</v>
      </c>
      <c r="C139">
        <v>0.17</v>
      </c>
      <c r="D139">
        <v>0</v>
      </c>
      <c r="E139">
        <v>3</v>
      </c>
      <c r="F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197</v>
      </c>
      <c r="B140" t="s">
        <v>199</v>
      </c>
      <c r="C140">
        <v>0.01</v>
      </c>
      <c r="D140">
        <v>0</v>
      </c>
      <c r="E140">
        <v>0</v>
      </c>
      <c r="F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197</v>
      </c>
      <c r="B141" t="s">
        <v>200</v>
      </c>
      <c r="C141">
        <v>0.17</v>
      </c>
      <c r="D141">
        <v>0</v>
      </c>
      <c r="E141">
        <v>3</v>
      </c>
      <c r="F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197</v>
      </c>
      <c r="B142" t="s">
        <v>152</v>
      </c>
      <c r="C142">
        <v>0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197</v>
      </c>
      <c r="B143" t="s">
        <v>201</v>
      </c>
      <c r="C143">
        <v>0.1</v>
      </c>
      <c r="D143">
        <v>0</v>
      </c>
      <c r="E143">
        <v>2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197</v>
      </c>
      <c r="B144" t="s">
        <v>202</v>
      </c>
      <c r="C144">
        <v>0.47</v>
      </c>
      <c r="D144">
        <v>0</v>
      </c>
      <c r="E144">
        <v>9</v>
      </c>
      <c r="F144">
        <v>4</v>
      </c>
      <c r="G144" t="s">
        <v>203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6" x14ac:dyDescent="0.2">
      <c r="A145" t="s">
        <v>204</v>
      </c>
      <c r="B145" t="s">
        <v>205</v>
      </c>
      <c r="C145">
        <v>0.43</v>
      </c>
      <c r="D145">
        <v>0</v>
      </c>
      <c r="E145">
        <v>8</v>
      </c>
      <c r="F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6" x14ac:dyDescent="0.2">
      <c r="A146" t="s">
        <v>204</v>
      </c>
      <c r="B146" t="s">
        <v>206</v>
      </c>
      <c r="C146">
        <v>0.43</v>
      </c>
      <c r="D146">
        <v>0</v>
      </c>
      <c r="E146">
        <v>8</v>
      </c>
      <c r="F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6" x14ac:dyDescent="0.2">
      <c r="A147" t="s">
        <v>207</v>
      </c>
      <c r="B147" t="s">
        <v>208</v>
      </c>
      <c r="C147">
        <v>3.04</v>
      </c>
      <c r="D147">
        <v>3</v>
      </c>
      <c r="E147">
        <v>0</v>
      </c>
      <c r="F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6" x14ac:dyDescent="0.2">
      <c r="A148" t="s">
        <v>207</v>
      </c>
      <c r="B148" t="s">
        <v>209</v>
      </c>
      <c r="C148">
        <v>3.04</v>
      </c>
      <c r="D148">
        <v>3</v>
      </c>
      <c r="E148">
        <v>0</v>
      </c>
      <c r="F148">
        <v>10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6" x14ac:dyDescent="0.2">
      <c r="A149" t="s">
        <v>210</v>
      </c>
      <c r="B149" t="s">
        <v>211</v>
      </c>
      <c r="C149">
        <v>14</v>
      </c>
      <c r="D149">
        <v>14</v>
      </c>
      <c r="E149">
        <v>0</v>
      </c>
      <c r="F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6" x14ac:dyDescent="0.2">
      <c r="A150" t="s">
        <v>210</v>
      </c>
      <c r="B150" t="s">
        <v>212</v>
      </c>
      <c r="C150">
        <v>63.05</v>
      </c>
      <c r="D150">
        <v>63</v>
      </c>
      <c r="E150">
        <v>0</v>
      </c>
      <c r="F150">
        <v>11.75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6" x14ac:dyDescent="0.2">
      <c r="A151" t="s">
        <v>213</v>
      </c>
      <c r="B151" t="s">
        <v>214</v>
      </c>
      <c r="C151">
        <v>38</v>
      </c>
      <c r="D151">
        <v>38</v>
      </c>
      <c r="E151">
        <v>0</v>
      </c>
      <c r="F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6" x14ac:dyDescent="0.2">
      <c r="A152" t="s">
        <v>213</v>
      </c>
      <c r="B152" t="s">
        <v>215</v>
      </c>
      <c r="C152">
        <v>25.05</v>
      </c>
      <c r="D152">
        <v>25</v>
      </c>
      <c r="E152">
        <v>0</v>
      </c>
      <c r="F152">
        <v>11.75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6" x14ac:dyDescent="0.2">
      <c r="A153" t="s">
        <v>216</v>
      </c>
      <c r="B153" t="s">
        <v>217</v>
      </c>
      <c r="C153">
        <v>0</v>
      </c>
      <c r="D153">
        <v>0</v>
      </c>
      <c r="E153">
        <v>0</v>
      </c>
      <c r="F153">
        <v>0</v>
      </c>
      <c r="G153" t="s">
        <v>96</v>
      </c>
      <c r="H153">
        <v>0</v>
      </c>
      <c r="I153">
        <v>6.5</v>
      </c>
      <c r="J153">
        <v>0.8125</v>
      </c>
      <c r="K153">
        <v>0.8125</v>
      </c>
      <c r="L153">
        <v>0</v>
      </c>
      <c r="M153">
        <v>0</v>
      </c>
      <c r="N153">
        <v>6.5</v>
      </c>
    </row>
    <row r="154" spans="1:16" x14ac:dyDescent="0.2">
      <c r="A154" t="s">
        <v>216</v>
      </c>
      <c r="B154" t="s">
        <v>218</v>
      </c>
      <c r="C154">
        <v>0</v>
      </c>
      <c r="D154">
        <v>0</v>
      </c>
      <c r="E154">
        <v>0</v>
      </c>
      <c r="F154">
        <v>0</v>
      </c>
      <c r="G154" t="s">
        <v>110</v>
      </c>
      <c r="H154">
        <v>144.5</v>
      </c>
      <c r="I154">
        <v>0</v>
      </c>
      <c r="J154">
        <v>144.5</v>
      </c>
      <c r="K154">
        <v>144.5</v>
      </c>
      <c r="L154">
        <v>0</v>
      </c>
      <c r="M154">
        <v>144.5</v>
      </c>
      <c r="N154">
        <v>0</v>
      </c>
    </row>
    <row r="155" spans="1:16" x14ac:dyDescent="0.2">
      <c r="A155" t="s">
        <v>216</v>
      </c>
      <c r="B155" t="s">
        <v>219</v>
      </c>
      <c r="C155">
        <v>0</v>
      </c>
      <c r="D155">
        <v>0</v>
      </c>
      <c r="E155">
        <v>0</v>
      </c>
      <c r="F155">
        <v>0</v>
      </c>
      <c r="H155">
        <v>144.5</v>
      </c>
      <c r="I155">
        <v>0</v>
      </c>
      <c r="J155">
        <v>144.5</v>
      </c>
      <c r="K155">
        <v>144.5</v>
      </c>
      <c r="L155">
        <v>0</v>
      </c>
      <c r="M155">
        <v>144.5</v>
      </c>
      <c r="N155">
        <v>0</v>
      </c>
    </row>
    <row r="156" spans="1:16" x14ac:dyDescent="0.2">
      <c r="A156" t="s">
        <v>216</v>
      </c>
      <c r="B156" t="s">
        <v>220</v>
      </c>
      <c r="C156">
        <v>0</v>
      </c>
      <c r="D156">
        <v>0</v>
      </c>
      <c r="E156">
        <v>0</v>
      </c>
      <c r="F156">
        <v>0</v>
      </c>
      <c r="H156">
        <v>22</v>
      </c>
      <c r="I156">
        <v>5</v>
      </c>
      <c r="J156">
        <v>22.625</v>
      </c>
      <c r="K156">
        <v>22</v>
      </c>
      <c r="L156">
        <v>0.625</v>
      </c>
      <c r="M156">
        <v>22</v>
      </c>
      <c r="N156">
        <v>0</v>
      </c>
      <c r="O156">
        <v>0</v>
      </c>
      <c r="P156">
        <v>5</v>
      </c>
    </row>
    <row r="157" spans="1:16" x14ac:dyDescent="0.2">
      <c r="A157" t="s">
        <v>216</v>
      </c>
      <c r="B157" t="s">
        <v>221</v>
      </c>
      <c r="C157">
        <v>0</v>
      </c>
      <c r="D157">
        <v>0</v>
      </c>
      <c r="E157">
        <v>0</v>
      </c>
      <c r="F157">
        <v>0</v>
      </c>
      <c r="H157">
        <v>0</v>
      </c>
      <c r="I157">
        <v>1</v>
      </c>
      <c r="J157">
        <v>0.125</v>
      </c>
      <c r="K157">
        <v>0.1875</v>
      </c>
      <c r="L157">
        <v>-6.25E-2</v>
      </c>
      <c r="M157">
        <v>0</v>
      </c>
      <c r="N157">
        <v>1.5</v>
      </c>
      <c r="O157">
        <v>0</v>
      </c>
      <c r="P157">
        <v>1</v>
      </c>
    </row>
    <row r="158" spans="1:16" x14ac:dyDescent="0.2">
      <c r="A158" t="s">
        <v>216</v>
      </c>
      <c r="B158" t="s">
        <v>152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6" x14ac:dyDescent="0.2">
      <c r="A159" t="s">
        <v>216</v>
      </c>
      <c r="B159" t="s">
        <v>222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6</v>
      </c>
      <c r="J159">
        <v>0.75</v>
      </c>
      <c r="K159">
        <v>0.75</v>
      </c>
      <c r="L159">
        <v>0</v>
      </c>
      <c r="M159">
        <v>0</v>
      </c>
      <c r="N159">
        <v>6</v>
      </c>
    </row>
    <row r="160" spans="1:16" x14ac:dyDescent="0.2">
      <c r="A160" t="s">
        <v>216</v>
      </c>
      <c r="B160" t="s">
        <v>223</v>
      </c>
      <c r="C160">
        <v>0</v>
      </c>
      <c r="D160">
        <v>0</v>
      </c>
      <c r="E160">
        <v>0</v>
      </c>
      <c r="F160">
        <v>0</v>
      </c>
      <c r="H160">
        <v>121</v>
      </c>
      <c r="I160">
        <v>2.5</v>
      </c>
      <c r="J160">
        <v>121.3125</v>
      </c>
      <c r="K160">
        <v>0.375</v>
      </c>
      <c r="L160">
        <v>120.9375</v>
      </c>
      <c r="M160">
        <v>0</v>
      </c>
      <c r="N160">
        <v>3</v>
      </c>
      <c r="O160">
        <v>121</v>
      </c>
      <c r="P160">
        <v>2.5</v>
      </c>
    </row>
    <row r="161" spans="1:20" x14ac:dyDescent="0.2">
      <c r="A161" t="s">
        <v>216</v>
      </c>
      <c r="B161" t="s">
        <v>224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20" x14ac:dyDescent="0.2">
      <c r="A162" t="s">
        <v>225</v>
      </c>
      <c r="B162" t="s">
        <v>226</v>
      </c>
      <c r="C162">
        <v>0</v>
      </c>
      <c r="D162">
        <v>0</v>
      </c>
      <c r="E162">
        <v>0</v>
      </c>
      <c r="F162">
        <v>0</v>
      </c>
      <c r="G162" t="s">
        <v>94</v>
      </c>
      <c r="H162">
        <v>20</v>
      </c>
      <c r="I162">
        <v>1</v>
      </c>
      <c r="J162">
        <v>20.125</v>
      </c>
      <c r="K162">
        <v>20.125</v>
      </c>
      <c r="L162">
        <v>0</v>
      </c>
      <c r="M162">
        <v>20</v>
      </c>
      <c r="N162">
        <v>1</v>
      </c>
    </row>
    <row r="163" spans="1:20" x14ac:dyDescent="0.2">
      <c r="A163" t="s">
        <v>225</v>
      </c>
      <c r="B163" t="s">
        <v>227</v>
      </c>
      <c r="C163">
        <v>0</v>
      </c>
      <c r="D163">
        <v>0</v>
      </c>
      <c r="E163">
        <v>0</v>
      </c>
      <c r="F163">
        <v>0</v>
      </c>
      <c r="H163">
        <v>20</v>
      </c>
      <c r="I163">
        <v>1</v>
      </c>
      <c r="J163">
        <v>20.125</v>
      </c>
      <c r="K163">
        <v>20.125</v>
      </c>
      <c r="L163">
        <v>0</v>
      </c>
      <c r="M163">
        <v>20</v>
      </c>
      <c r="N163">
        <v>1</v>
      </c>
    </row>
    <row r="164" spans="1:20" x14ac:dyDescent="0.2">
      <c r="A164" t="s">
        <v>225</v>
      </c>
      <c r="B164" t="s">
        <v>228</v>
      </c>
      <c r="C164">
        <v>0</v>
      </c>
      <c r="D164">
        <v>0</v>
      </c>
      <c r="E164">
        <v>0</v>
      </c>
      <c r="F164">
        <v>0</v>
      </c>
      <c r="H164">
        <v>14</v>
      </c>
      <c r="I164">
        <v>0</v>
      </c>
      <c r="J164">
        <v>14</v>
      </c>
      <c r="K164">
        <v>14</v>
      </c>
      <c r="L164">
        <v>0</v>
      </c>
      <c r="M164">
        <v>14</v>
      </c>
      <c r="N164">
        <v>0</v>
      </c>
    </row>
    <row r="165" spans="1:20" x14ac:dyDescent="0.2">
      <c r="A165" t="s">
        <v>225</v>
      </c>
      <c r="B165" t="s">
        <v>229</v>
      </c>
      <c r="C165">
        <v>0</v>
      </c>
      <c r="D165">
        <v>0</v>
      </c>
      <c r="E165">
        <v>0</v>
      </c>
      <c r="F165">
        <v>0</v>
      </c>
      <c r="H165">
        <v>6</v>
      </c>
      <c r="I165">
        <v>1</v>
      </c>
      <c r="J165">
        <v>6.125</v>
      </c>
      <c r="K165">
        <v>6.125</v>
      </c>
      <c r="L165">
        <v>0</v>
      </c>
      <c r="M165">
        <v>6</v>
      </c>
      <c r="N165">
        <v>1</v>
      </c>
    </row>
    <row r="166" spans="1:20" x14ac:dyDescent="0.2">
      <c r="A166" t="s">
        <v>230</v>
      </c>
      <c r="B166" t="s">
        <v>231</v>
      </c>
      <c r="C166">
        <v>0</v>
      </c>
      <c r="D166">
        <v>0</v>
      </c>
      <c r="E166">
        <v>0</v>
      </c>
      <c r="F166">
        <v>0</v>
      </c>
      <c r="G166" t="s">
        <v>110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20" x14ac:dyDescent="0.2">
      <c r="A167" t="s">
        <v>230</v>
      </c>
      <c r="B167" t="s">
        <v>232</v>
      </c>
      <c r="C167">
        <v>0</v>
      </c>
      <c r="D167">
        <v>0</v>
      </c>
      <c r="E167">
        <v>0</v>
      </c>
      <c r="F167">
        <v>0</v>
      </c>
      <c r="G167" t="s">
        <v>96</v>
      </c>
      <c r="H167">
        <v>12</v>
      </c>
      <c r="I167">
        <v>7</v>
      </c>
      <c r="J167">
        <v>12.875</v>
      </c>
      <c r="K167">
        <v>12.875</v>
      </c>
      <c r="L167">
        <v>0</v>
      </c>
      <c r="M167">
        <v>12</v>
      </c>
      <c r="N167">
        <v>7</v>
      </c>
    </row>
    <row r="168" spans="1:20" x14ac:dyDescent="0.2">
      <c r="A168" t="s">
        <v>230</v>
      </c>
      <c r="B168" t="s">
        <v>233</v>
      </c>
      <c r="C168">
        <v>0</v>
      </c>
      <c r="D168">
        <v>0</v>
      </c>
      <c r="E168">
        <v>0</v>
      </c>
      <c r="F168">
        <v>0</v>
      </c>
      <c r="H168">
        <v>12</v>
      </c>
      <c r="I168">
        <v>7</v>
      </c>
      <c r="J168">
        <v>12.875</v>
      </c>
      <c r="K168">
        <v>12.875</v>
      </c>
      <c r="L168">
        <v>0</v>
      </c>
      <c r="M168">
        <v>12</v>
      </c>
      <c r="N168">
        <v>7</v>
      </c>
    </row>
    <row r="169" spans="1:20" x14ac:dyDescent="0.2">
      <c r="A169" t="s">
        <v>230</v>
      </c>
      <c r="B169" t="s">
        <v>224</v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20" x14ac:dyDescent="0.2">
      <c r="A170" t="s">
        <v>234</v>
      </c>
      <c r="B170" t="s">
        <v>235</v>
      </c>
      <c r="C170">
        <v>0</v>
      </c>
      <c r="D170">
        <v>0</v>
      </c>
      <c r="E170">
        <v>0</v>
      </c>
      <c r="F170">
        <v>0</v>
      </c>
      <c r="H170">
        <v>5</v>
      </c>
      <c r="I170">
        <v>0</v>
      </c>
      <c r="J170">
        <v>5</v>
      </c>
      <c r="K170">
        <v>5</v>
      </c>
      <c r="L170">
        <v>0</v>
      </c>
      <c r="M170">
        <v>5</v>
      </c>
      <c r="N170">
        <v>0</v>
      </c>
    </row>
    <row r="171" spans="1:20" x14ac:dyDescent="0.2">
      <c r="A171" t="s">
        <v>234</v>
      </c>
      <c r="B171" t="s">
        <v>236</v>
      </c>
      <c r="C171">
        <v>0</v>
      </c>
      <c r="D171">
        <v>0</v>
      </c>
      <c r="E171">
        <v>0</v>
      </c>
      <c r="F171">
        <v>0</v>
      </c>
      <c r="G171" t="s">
        <v>106</v>
      </c>
      <c r="H171">
        <v>10</v>
      </c>
      <c r="I171">
        <v>0</v>
      </c>
      <c r="J171">
        <v>10</v>
      </c>
      <c r="K171">
        <v>10</v>
      </c>
      <c r="L171">
        <v>0</v>
      </c>
      <c r="M171">
        <v>10</v>
      </c>
      <c r="N171">
        <v>0</v>
      </c>
    </row>
    <row r="172" spans="1:20" x14ac:dyDescent="0.2">
      <c r="A172" t="s">
        <v>234</v>
      </c>
      <c r="B172" t="s">
        <v>237</v>
      </c>
      <c r="C172">
        <v>0</v>
      </c>
      <c r="D172">
        <v>0</v>
      </c>
      <c r="E172">
        <v>0</v>
      </c>
      <c r="F172">
        <v>0</v>
      </c>
      <c r="H172">
        <v>10</v>
      </c>
      <c r="I172">
        <v>0</v>
      </c>
      <c r="J172">
        <v>10</v>
      </c>
      <c r="K172">
        <v>10</v>
      </c>
      <c r="L172">
        <v>0</v>
      </c>
      <c r="M172">
        <v>10</v>
      </c>
      <c r="N172">
        <v>0</v>
      </c>
    </row>
    <row r="173" spans="1:20" x14ac:dyDescent="0.2">
      <c r="A173" t="s">
        <v>234</v>
      </c>
      <c r="B173" t="s">
        <v>238</v>
      </c>
      <c r="C173">
        <v>0</v>
      </c>
      <c r="D173">
        <v>0</v>
      </c>
      <c r="E173">
        <v>0</v>
      </c>
      <c r="F173">
        <v>0</v>
      </c>
      <c r="H173">
        <v>0</v>
      </c>
      <c r="I173">
        <v>7.5</v>
      </c>
      <c r="J173">
        <v>0.9375</v>
      </c>
      <c r="K173">
        <v>0.9375</v>
      </c>
      <c r="L173">
        <v>0</v>
      </c>
      <c r="M173">
        <v>0</v>
      </c>
      <c r="N173">
        <v>7.5</v>
      </c>
    </row>
    <row r="174" spans="1:20" x14ac:dyDescent="0.2">
      <c r="A174" t="s">
        <v>234</v>
      </c>
      <c r="B174" t="s">
        <v>239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2.5</v>
      </c>
      <c r="J174">
        <v>0.3125</v>
      </c>
      <c r="K174">
        <v>0.3125</v>
      </c>
      <c r="L174">
        <v>0</v>
      </c>
      <c r="M174">
        <v>0</v>
      </c>
      <c r="N174">
        <v>2.5</v>
      </c>
    </row>
    <row r="175" spans="1:20" x14ac:dyDescent="0.2">
      <c r="A175" t="s">
        <v>234</v>
      </c>
      <c r="B175" t="s">
        <v>152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20" x14ac:dyDescent="0.2">
      <c r="A176" t="s">
        <v>234</v>
      </c>
      <c r="B176" t="s">
        <v>240</v>
      </c>
      <c r="C176">
        <v>0</v>
      </c>
      <c r="D176">
        <v>0</v>
      </c>
      <c r="E176">
        <v>0</v>
      </c>
      <c r="F176">
        <v>0</v>
      </c>
      <c r="H176">
        <v>7</v>
      </c>
      <c r="I176">
        <v>11.5</v>
      </c>
      <c r="J176">
        <v>8.4375</v>
      </c>
      <c r="K176">
        <v>0.625</v>
      </c>
      <c r="L176">
        <v>7.8125</v>
      </c>
      <c r="M176">
        <v>0</v>
      </c>
      <c r="N176">
        <v>5</v>
      </c>
      <c r="O176">
        <v>4</v>
      </c>
      <c r="P176">
        <v>3.5</v>
      </c>
      <c r="Q176">
        <v>1</v>
      </c>
      <c r="R176">
        <v>3</v>
      </c>
      <c r="S176">
        <v>2</v>
      </c>
      <c r="T176">
        <v>5</v>
      </c>
    </row>
    <row r="177" spans="1:18" x14ac:dyDescent="0.2">
      <c r="A177" t="s">
        <v>241</v>
      </c>
      <c r="B177" t="s">
        <v>242</v>
      </c>
      <c r="C177">
        <v>0</v>
      </c>
      <c r="D177">
        <v>0</v>
      </c>
      <c r="E177">
        <v>0</v>
      </c>
      <c r="F177">
        <v>0</v>
      </c>
      <c r="G177" t="s">
        <v>203</v>
      </c>
      <c r="H177">
        <v>36</v>
      </c>
      <c r="I177">
        <v>2</v>
      </c>
      <c r="J177">
        <v>36.25</v>
      </c>
      <c r="K177">
        <v>1</v>
      </c>
      <c r="L177">
        <v>35.25</v>
      </c>
      <c r="M177">
        <v>1</v>
      </c>
      <c r="N177">
        <v>0</v>
      </c>
      <c r="O177">
        <v>35</v>
      </c>
      <c r="P177">
        <v>0</v>
      </c>
      <c r="Q177">
        <v>1</v>
      </c>
      <c r="R177">
        <v>2</v>
      </c>
    </row>
    <row r="178" spans="1:18" x14ac:dyDescent="0.2">
      <c r="A178" t="s">
        <v>241</v>
      </c>
      <c r="B178" t="s">
        <v>243</v>
      </c>
      <c r="C178">
        <v>0</v>
      </c>
      <c r="D178">
        <v>0</v>
      </c>
      <c r="E178">
        <v>0</v>
      </c>
      <c r="F178">
        <v>0</v>
      </c>
      <c r="H178">
        <v>27</v>
      </c>
      <c r="I178">
        <v>0</v>
      </c>
      <c r="J178">
        <v>27</v>
      </c>
      <c r="K178">
        <v>27</v>
      </c>
      <c r="L178">
        <v>0</v>
      </c>
      <c r="M178">
        <v>27</v>
      </c>
      <c r="N178">
        <v>0</v>
      </c>
    </row>
    <row r="179" spans="1:18" x14ac:dyDescent="0.2">
      <c r="A179" t="s">
        <v>241</v>
      </c>
      <c r="B179" t="s">
        <v>244</v>
      </c>
      <c r="C179">
        <v>0</v>
      </c>
      <c r="D179">
        <v>0</v>
      </c>
      <c r="E179">
        <v>0</v>
      </c>
      <c r="F179">
        <v>0</v>
      </c>
      <c r="H179">
        <v>28</v>
      </c>
      <c r="I179">
        <v>2</v>
      </c>
      <c r="J179">
        <v>28.25</v>
      </c>
      <c r="K179">
        <v>28.25</v>
      </c>
      <c r="L179">
        <v>0</v>
      </c>
      <c r="M179">
        <v>28</v>
      </c>
      <c r="N179">
        <v>2</v>
      </c>
    </row>
    <row r="180" spans="1:18" x14ac:dyDescent="0.2">
      <c r="A180" t="s">
        <v>241</v>
      </c>
      <c r="B180" t="s">
        <v>245</v>
      </c>
      <c r="C180">
        <v>0</v>
      </c>
      <c r="D180">
        <v>0</v>
      </c>
      <c r="E180">
        <v>0</v>
      </c>
      <c r="F180">
        <v>0</v>
      </c>
      <c r="H180">
        <v>7</v>
      </c>
      <c r="I180">
        <v>2</v>
      </c>
      <c r="J180">
        <v>7.25</v>
      </c>
      <c r="K180">
        <v>7.25</v>
      </c>
      <c r="L180">
        <v>0</v>
      </c>
      <c r="M180">
        <v>7</v>
      </c>
      <c r="N180">
        <v>2</v>
      </c>
    </row>
    <row r="181" spans="1:18" x14ac:dyDescent="0.2">
      <c r="A181" t="s">
        <v>241</v>
      </c>
      <c r="B181" t="s">
        <v>246</v>
      </c>
      <c r="C181">
        <v>0</v>
      </c>
      <c r="D181">
        <v>0</v>
      </c>
      <c r="E181">
        <v>0</v>
      </c>
      <c r="F181">
        <v>0</v>
      </c>
      <c r="H181">
        <v>5</v>
      </c>
      <c r="I181">
        <v>2</v>
      </c>
      <c r="J181">
        <v>5.25</v>
      </c>
      <c r="K181">
        <v>5</v>
      </c>
      <c r="L181">
        <v>0.25</v>
      </c>
      <c r="M181">
        <v>5</v>
      </c>
      <c r="N181">
        <v>0</v>
      </c>
      <c r="O181">
        <v>0</v>
      </c>
      <c r="P181">
        <v>2</v>
      </c>
    </row>
    <row r="182" spans="1:18" x14ac:dyDescent="0.2">
      <c r="A182" t="s">
        <v>241</v>
      </c>
      <c r="B182" t="s">
        <v>152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8" x14ac:dyDescent="0.2">
      <c r="A183" t="s">
        <v>241</v>
      </c>
      <c r="B183" t="s">
        <v>247</v>
      </c>
      <c r="C183">
        <v>0</v>
      </c>
      <c r="D183">
        <v>0</v>
      </c>
      <c r="E183">
        <v>0</v>
      </c>
      <c r="F183">
        <v>0</v>
      </c>
      <c r="H183">
        <v>2.5</v>
      </c>
      <c r="I183">
        <v>0</v>
      </c>
      <c r="J183">
        <v>2.5</v>
      </c>
      <c r="K183">
        <v>2.5</v>
      </c>
      <c r="L183">
        <v>0</v>
      </c>
      <c r="M183">
        <v>2.5</v>
      </c>
      <c r="N183">
        <v>0</v>
      </c>
    </row>
    <row r="184" spans="1:18" x14ac:dyDescent="0.2">
      <c r="A184" t="s">
        <v>241</v>
      </c>
      <c r="B184" t="s">
        <v>248</v>
      </c>
      <c r="C184">
        <v>0</v>
      </c>
      <c r="D184">
        <v>0</v>
      </c>
      <c r="E184">
        <v>0</v>
      </c>
      <c r="F184">
        <v>0</v>
      </c>
      <c r="H184">
        <v>51</v>
      </c>
      <c r="I184">
        <v>2</v>
      </c>
      <c r="J184">
        <v>51.25</v>
      </c>
      <c r="K184">
        <v>2.25</v>
      </c>
      <c r="L184">
        <v>49</v>
      </c>
      <c r="M184">
        <v>2</v>
      </c>
      <c r="N184">
        <v>2</v>
      </c>
      <c r="O184">
        <v>16</v>
      </c>
      <c r="P184">
        <v>2</v>
      </c>
      <c r="Q184">
        <v>35</v>
      </c>
      <c r="R184">
        <v>0</v>
      </c>
    </row>
    <row r="185" spans="1:18" x14ac:dyDescent="0.2">
      <c r="A185" t="s">
        <v>249</v>
      </c>
      <c r="B185" t="s">
        <v>250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8" x14ac:dyDescent="0.2">
      <c r="A186" t="s">
        <v>249</v>
      </c>
      <c r="B186" t="s">
        <v>251</v>
      </c>
      <c r="C186">
        <v>0</v>
      </c>
      <c r="D186">
        <v>0</v>
      </c>
      <c r="E186">
        <v>0</v>
      </c>
      <c r="F186">
        <v>0</v>
      </c>
      <c r="G186" t="s">
        <v>100</v>
      </c>
      <c r="H186">
        <v>6</v>
      </c>
      <c r="I186">
        <v>0</v>
      </c>
      <c r="J186">
        <v>6</v>
      </c>
      <c r="K186">
        <v>6</v>
      </c>
      <c r="L186">
        <v>0</v>
      </c>
      <c r="M186">
        <v>6</v>
      </c>
      <c r="N186">
        <v>0</v>
      </c>
    </row>
    <row r="187" spans="1:18" x14ac:dyDescent="0.2">
      <c r="A187" t="s">
        <v>249</v>
      </c>
      <c r="B187" t="s">
        <v>252</v>
      </c>
      <c r="C187">
        <v>0</v>
      </c>
      <c r="D187">
        <v>0</v>
      </c>
      <c r="E187">
        <v>0</v>
      </c>
      <c r="F187">
        <v>0</v>
      </c>
      <c r="H187">
        <v>1</v>
      </c>
      <c r="I187">
        <v>5</v>
      </c>
      <c r="J187">
        <v>1.625</v>
      </c>
      <c r="K187">
        <v>1.625</v>
      </c>
      <c r="L187">
        <v>0</v>
      </c>
      <c r="M187">
        <v>1</v>
      </c>
      <c r="N187">
        <v>5</v>
      </c>
    </row>
    <row r="188" spans="1:18" x14ac:dyDescent="0.2">
      <c r="A188" t="s">
        <v>249</v>
      </c>
      <c r="B188" t="s">
        <v>253</v>
      </c>
      <c r="C188">
        <v>0</v>
      </c>
      <c r="D188">
        <v>0</v>
      </c>
      <c r="E188">
        <v>0</v>
      </c>
      <c r="F188">
        <v>0</v>
      </c>
      <c r="H188">
        <v>7</v>
      </c>
      <c r="I188">
        <v>5</v>
      </c>
      <c r="J188">
        <v>7.625</v>
      </c>
      <c r="K188">
        <v>7.625</v>
      </c>
      <c r="L188">
        <v>0</v>
      </c>
      <c r="M188">
        <v>7</v>
      </c>
      <c r="N188">
        <v>5</v>
      </c>
    </row>
    <row r="189" spans="1:18" x14ac:dyDescent="0.2">
      <c r="A189" t="s">
        <v>249</v>
      </c>
      <c r="B189" t="s">
        <v>254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2</v>
      </c>
      <c r="J189">
        <v>0.25</v>
      </c>
      <c r="K189">
        <v>0.25</v>
      </c>
      <c r="L189">
        <v>0</v>
      </c>
      <c r="M189">
        <v>0</v>
      </c>
      <c r="N189">
        <v>2</v>
      </c>
    </row>
    <row r="190" spans="1:18" x14ac:dyDescent="0.2">
      <c r="A190" t="s">
        <v>249</v>
      </c>
      <c r="B190" t="s">
        <v>255</v>
      </c>
      <c r="C190">
        <v>0</v>
      </c>
      <c r="D190">
        <v>0</v>
      </c>
      <c r="E190">
        <v>0</v>
      </c>
      <c r="F190">
        <v>0</v>
      </c>
      <c r="H190">
        <v>1.5</v>
      </c>
      <c r="I190">
        <v>0</v>
      </c>
      <c r="J190">
        <v>1.5</v>
      </c>
      <c r="K190">
        <v>1.5</v>
      </c>
      <c r="L190">
        <v>0</v>
      </c>
      <c r="M190">
        <v>1.5</v>
      </c>
      <c r="N190">
        <v>0</v>
      </c>
    </row>
    <row r="191" spans="1:18" x14ac:dyDescent="0.2">
      <c r="A191" t="s">
        <v>249</v>
      </c>
      <c r="B191" t="s">
        <v>256</v>
      </c>
      <c r="C191">
        <v>0</v>
      </c>
      <c r="D191">
        <v>0</v>
      </c>
      <c r="E191">
        <v>0</v>
      </c>
      <c r="F191">
        <v>0</v>
      </c>
      <c r="H191">
        <v>5</v>
      </c>
      <c r="I191">
        <v>0</v>
      </c>
      <c r="J191">
        <v>5</v>
      </c>
      <c r="K191">
        <v>5</v>
      </c>
      <c r="L191">
        <v>0</v>
      </c>
      <c r="M191">
        <v>5</v>
      </c>
      <c r="N191">
        <v>0</v>
      </c>
    </row>
    <row r="192" spans="1:18" x14ac:dyDescent="0.2">
      <c r="A192" t="s">
        <v>249</v>
      </c>
      <c r="B192" t="s">
        <v>257</v>
      </c>
      <c r="C192">
        <v>0</v>
      </c>
      <c r="D192">
        <v>0</v>
      </c>
      <c r="E192">
        <v>0</v>
      </c>
      <c r="F192">
        <v>0</v>
      </c>
      <c r="H192">
        <v>3</v>
      </c>
      <c r="I192">
        <v>0</v>
      </c>
      <c r="J192">
        <v>3</v>
      </c>
      <c r="K192">
        <v>3</v>
      </c>
      <c r="L192">
        <v>0</v>
      </c>
      <c r="M192">
        <v>3</v>
      </c>
      <c r="N192">
        <v>0</v>
      </c>
    </row>
    <row r="193" spans="1:18" x14ac:dyDescent="0.2">
      <c r="A193" t="s">
        <v>258</v>
      </c>
      <c r="B193" t="s">
        <v>259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1.5</v>
      </c>
      <c r="J193">
        <v>0.1875</v>
      </c>
      <c r="K193">
        <v>0.1875</v>
      </c>
      <c r="L193">
        <v>0</v>
      </c>
      <c r="M193">
        <v>0</v>
      </c>
      <c r="N193">
        <v>1.5</v>
      </c>
    </row>
    <row r="194" spans="1:18" x14ac:dyDescent="0.2">
      <c r="A194" t="s">
        <v>258</v>
      </c>
      <c r="B194" t="s">
        <v>260</v>
      </c>
      <c r="C194">
        <v>0</v>
      </c>
      <c r="D194">
        <v>0</v>
      </c>
      <c r="E194">
        <v>0</v>
      </c>
      <c r="F194">
        <v>0</v>
      </c>
      <c r="G194" t="s">
        <v>102</v>
      </c>
      <c r="H194">
        <v>1</v>
      </c>
      <c r="I194">
        <v>6</v>
      </c>
      <c r="J194">
        <v>1.75</v>
      </c>
      <c r="K194">
        <v>1.75</v>
      </c>
      <c r="L194">
        <v>0</v>
      </c>
      <c r="M194">
        <v>1</v>
      </c>
      <c r="N194">
        <v>6</v>
      </c>
    </row>
    <row r="195" spans="1:18" x14ac:dyDescent="0.2">
      <c r="A195" t="s">
        <v>258</v>
      </c>
      <c r="B195" t="s">
        <v>261</v>
      </c>
      <c r="C195">
        <v>0</v>
      </c>
      <c r="D195">
        <v>0</v>
      </c>
      <c r="E195">
        <v>0</v>
      </c>
      <c r="F195">
        <v>0</v>
      </c>
      <c r="H195">
        <v>1</v>
      </c>
      <c r="I195">
        <v>6</v>
      </c>
      <c r="J195">
        <v>1.75</v>
      </c>
      <c r="K195">
        <v>1.75</v>
      </c>
      <c r="L195">
        <v>0</v>
      </c>
      <c r="M195">
        <v>1</v>
      </c>
      <c r="N195">
        <v>6</v>
      </c>
    </row>
    <row r="196" spans="1:18" x14ac:dyDescent="0.2">
      <c r="A196" t="s">
        <v>258</v>
      </c>
      <c r="B196" t="s">
        <v>262</v>
      </c>
      <c r="C196">
        <v>0</v>
      </c>
      <c r="D196">
        <v>0</v>
      </c>
      <c r="E196">
        <v>0</v>
      </c>
      <c r="F196">
        <v>0</v>
      </c>
      <c r="H196">
        <v>6</v>
      </c>
      <c r="I196">
        <v>3</v>
      </c>
      <c r="J196">
        <v>6.375</v>
      </c>
      <c r="K196">
        <v>0.375</v>
      </c>
      <c r="L196">
        <v>6</v>
      </c>
      <c r="M196">
        <v>0</v>
      </c>
      <c r="N196">
        <v>3</v>
      </c>
      <c r="O196">
        <v>1</v>
      </c>
      <c r="P196">
        <v>3</v>
      </c>
      <c r="Q196">
        <v>5</v>
      </c>
      <c r="R196">
        <v>0</v>
      </c>
    </row>
    <row r="197" spans="1:18" x14ac:dyDescent="0.2">
      <c r="A197" t="s">
        <v>263</v>
      </c>
      <c r="B197" t="s">
        <v>264</v>
      </c>
      <c r="C197">
        <v>0</v>
      </c>
      <c r="D197">
        <v>0</v>
      </c>
      <c r="E197">
        <v>0</v>
      </c>
      <c r="F197">
        <v>0</v>
      </c>
      <c r="H197">
        <v>7</v>
      </c>
      <c r="I197">
        <v>6</v>
      </c>
      <c r="J197">
        <v>7.75</v>
      </c>
      <c r="K197">
        <v>7.75</v>
      </c>
      <c r="L197">
        <v>0</v>
      </c>
      <c r="M197">
        <v>7</v>
      </c>
      <c r="N197">
        <v>6</v>
      </c>
    </row>
    <row r="198" spans="1:18" x14ac:dyDescent="0.2">
      <c r="A198" t="s">
        <v>263</v>
      </c>
      <c r="B198" t="s">
        <v>265</v>
      </c>
      <c r="C198">
        <v>0</v>
      </c>
      <c r="D198">
        <v>0</v>
      </c>
      <c r="E198">
        <v>0</v>
      </c>
      <c r="F198">
        <v>0</v>
      </c>
      <c r="G198" t="s">
        <v>104</v>
      </c>
      <c r="H198">
        <v>107</v>
      </c>
      <c r="I198">
        <v>7</v>
      </c>
      <c r="J198">
        <v>107.875</v>
      </c>
      <c r="K198">
        <v>107.875</v>
      </c>
      <c r="L198">
        <v>0</v>
      </c>
      <c r="M198">
        <v>107</v>
      </c>
      <c r="N198">
        <v>7</v>
      </c>
    </row>
    <row r="199" spans="1:18" x14ac:dyDescent="0.2">
      <c r="A199" t="s">
        <v>263</v>
      </c>
      <c r="B199" t="s">
        <v>266</v>
      </c>
      <c r="C199">
        <v>0</v>
      </c>
      <c r="D199">
        <v>0</v>
      </c>
      <c r="E199">
        <v>0</v>
      </c>
      <c r="F199">
        <v>0</v>
      </c>
      <c r="H199">
        <v>107</v>
      </c>
      <c r="I199">
        <v>7</v>
      </c>
      <c r="J199">
        <v>107.875</v>
      </c>
      <c r="K199">
        <v>107.875</v>
      </c>
      <c r="L199">
        <v>0</v>
      </c>
      <c r="M199">
        <v>107</v>
      </c>
      <c r="N199">
        <v>7</v>
      </c>
    </row>
    <row r="200" spans="1:18" x14ac:dyDescent="0.2">
      <c r="A200" t="s">
        <v>263</v>
      </c>
      <c r="B200" t="s">
        <v>267</v>
      </c>
      <c r="C200">
        <v>0</v>
      </c>
      <c r="D200">
        <v>0</v>
      </c>
      <c r="E200">
        <v>0</v>
      </c>
      <c r="F200">
        <v>0</v>
      </c>
      <c r="H200">
        <v>48</v>
      </c>
      <c r="I200">
        <v>0</v>
      </c>
      <c r="J200">
        <v>48</v>
      </c>
      <c r="K200">
        <v>48</v>
      </c>
      <c r="L200">
        <v>0</v>
      </c>
      <c r="M200">
        <v>48</v>
      </c>
      <c r="N200">
        <v>0</v>
      </c>
    </row>
    <row r="201" spans="1:18" x14ac:dyDescent="0.2">
      <c r="A201" t="s">
        <v>263</v>
      </c>
      <c r="B201" t="s">
        <v>268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3</v>
      </c>
      <c r="J201">
        <v>0.375</v>
      </c>
      <c r="K201">
        <v>0.375</v>
      </c>
      <c r="L201">
        <v>0</v>
      </c>
      <c r="M201">
        <v>0</v>
      </c>
      <c r="N201">
        <v>3</v>
      </c>
    </row>
    <row r="202" spans="1:18" x14ac:dyDescent="0.2">
      <c r="A202" t="s">
        <v>263</v>
      </c>
      <c r="B202" t="s">
        <v>152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8" x14ac:dyDescent="0.2">
      <c r="A203" t="s">
        <v>263</v>
      </c>
      <c r="B203" t="s">
        <v>269</v>
      </c>
      <c r="C203">
        <v>0</v>
      </c>
      <c r="D203">
        <v>0</v>
      </c>
      <c r="E203">
        <v>0</v>
      </c>
      <c r="F203">
        <v>0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0</v>
      </c>
    </row>
    <row r="204" spans="1:18" x14ac:dyDescent="0.2">
      <c r="A204" t="s">
        <v>263</v>
      </c>
      <c r="B204" t="s">
        <v>152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8" x14ac:dyDescent="0.2">
      <c r="A205" t="s">
        <v>263</v>
      </c>
      <c r="B205" t="s">
        <v>270</v>
      </c>
      <c r="C205">
        <v>0</v>
      </c>
      <c r="D205">
        <v>0</v>
      </c>
      <c r="E205">
        <v>0</v>
      </c>
      <c r="F205">
        <v>0</v>
      </c>
      <c r="H205">
        <v>1.5</v>
      </c>
      <c r="I205">
        <v>0</v>
      </c>
      <c r="J205">
        <v>1.5</v>
      </c>
      <c r="K205">
        <v>1.5</v>
      </c>
      <c r="L205">
        <v>0</v>
      </c>
      <c r="M205">
        <v>1.5</v>
      </c>
      <c r="N205">
        <v>0</v>
      </c>
    </row>
    <row r="206" spans="1:18" x14ac:dyDescent="0.2">
      <c r="A206" t="s">
        <v>263</v>
      </c>
      <c r="B206" t="s">
        <v>152</v>
      </c>
      <c r="C206">
        <v>0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8" x14ac:dyDescent="0.2">
      <c r="A207" t="s">
        <v>263</v>
      </c>
      <c r="B207" t="s">
        <v>271</v>
      </c>
      <c r="C207">
        <v>0</v>
      </c>
      <c r="D207">
        <v>0</v>
      </c>
      <c r="E207">
        <v>0</v>
      </c>
      <c r="F207">
        <v>0</v>
      </c>
      <c r="H207">
        <v>1</v>
      </c>
      <c r="I207">
        <v>2</v>
      </c>
      <c r="J207">
        <v>1.25</v>
      </c>
      <c r="K207">
        <v>1</v>
      </c>
      <c r="L207">
        <v>0.25</v>
      </c>
      <c r="M207">
        <v>1</v>
      </c>
      <c r="N207">
        <v>0</v>
      </c>
      <c r="O207">
        <v>0</v>
      </c>
      <c r="P207">
        <v>2</v>
      </c>
    </row>
    <row r="208" spans="1:18" x14ac:dyDescent="0.2">
      <c r="A208" t="s">
        <v>263</v>
      </c>
      <c r="B208" t="s">
        <v>152</v>
      </c>
      <c r="C208">
        <v>0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20" x14ac:dyDescent="0.2">
      <c r="A209" t="s">
        <v>263</v>
      </c>
      <c r="B209" t="s">
        <v>272</v>
      </c>
      <c r="C209">
        <v>0</v>
      </c>
      <c r="D209">
        <v>0</v>
      </c>
      <c r="E209">
        <v>0</v>
      </c>
      <c r="F209">
        <v>0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0</v>
      </c>
    </row>
    <row r="210" spans="1:20" x14ac:dyDescent="0.2">
      <c r="A210" t="s">
        <v>263</v>
      </c>
      <c r="B210" t="s">
        <v>273</v>
      </c>
      <c r="C210">
        <v>0</v>
      </c>
      <c r="D210">
        <v>0</v>
      </c>
      <c r="E210">
        <v>0</v>
      </c>
      <c r="F210">
        <v>0</v>
      </c>
      <c r="H210">
        <v>54</v>
      </c>
      <c r="I210">
        <v>6</v>
      </c>
      <c r="J210">
        <v>54.75</v>
      </c>
      <c r="K210">
        <v>54.75</v>
      </c>
      <c r="L210">
        <v>0</v>
      </c>
      <c r="M210">
        <v>54</v>
      </c>
      <c r="N210">
        <v>6</v>
      </c>
    </row>
    <row r="211" spans="1:20" x14ac:dyDescent="0.2">
      <c r="A211" t="s">
        <v>274</v>
      </c>
      <c r="B211" t="s">
        <v>275</v>
      </c>
      <c r="C211">
        <v>0</v>
      </c>
      <c r="D211">
        <v>0</v>
      </c>
      <c r="E211">
        <v>0</v>
      </c>
      <c r="F211">
        <v>0</v>
      </c>
      <c r="G211" t="s">
        <v>110</v>
      </c>
      <c r="H211">
        <v>1</v>
      </c>
      <c r="I211">
        <v>5</v>
      </c>
      <c r="J211">
        <v>1.625</v>
      </c>
      <c r="K211">
        <v>1.625</v>
      </c>
      <c r="L211">
        <v>0</v>
      </c>
      <c r="M211">
        <v>1</v>
      </c>
      <c r="N211">
        <v>5</v>
      </c>
    </row>
    <row r="212" spans="1:20" x14ac:dyDescent="0.2">
      <c r="A212" t="s">
        <v>274</v>
      </c>
      <c r="B212" t="s">
        <v>276</v>
      </c>
      <c r="C212">
        <v>0</v>
      </c>
      <c r="D212">
        <v>0</v>
      </c>
      <c r="E212">
        <v>0</v>
      </c>
      <c r="F212">
        <v>0</v>
      </c>
      <c r="H212">
        <v>1</v>
      </c>
      <c r="I212">
        <v>5</v>
      </c>
      <c r="J212">
        <v>1.625</v>
      </c>
      <c r="K212">
        <v>1.625</v>
      </c>
      <c r="L212">
        <v>0</v>
      </c>
      <c r="M212">
        <v>1</v>
      </c>
      <c r="N212">
        <v>5</v>
      </c>
    </row>
    <row r="213" spans="1:20" x14ac:dyDescent="0.2">
      <c r="A213" t="s">
        <v>274</v>
      </c>
      <c r="B213" t="s">
        <v>224</v>
      </c>
      <c r="C213">
        <v>0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20" x14ac:dyDescent="0.2">
      <c r="A214" t="s">
        <v>274</v>
      </c>
      <c r="B214" t="s">
        <v>277</v>
      </c>
      <c r="C214">
        <v>0</v>
      </c>
      <c r="D214">
        <v>0</v>
      </c>
      <c r="E214">
        <v>0</v>
      </c>
      <c r="F214">
        <v>0</v>
      </c>
      <c r="G214" t="s">
        <v>96</v>
      </c>
      <c r="H214">
        <v>9</v>
      </c>
      <c r="I214">
        <v>2</v>
      </c>
      <c r="J214">
        <v>9.25</v>
      </c>
      <c r="K214">
        <v>9.25</v>
      </c>
      <c r="L214">
        <v>0</v>
      </c>
      <c r="M214">
        <v>9</v>
      </c>
      <c r="N214">
        <v>2</v>
      </c>
    </row>
    <row r="215" spans="1:20" x14ac:dyDescent="0.2">
      <c r="A215" t="s">
        <v>274</v>
      </c>
      <c r="B215" t="s">
        <v>278</v>
      </c>
      <c r="C215">
        <v>0</v>
      </c>
      <c r="D215">
        <v>0</v>
      </c>
      <c r="E215">
        <v>0</v>
      </c>
      <c r="F215">
        <v>0</v>
      </c>
      <c r="G215" t="s">
        <v>112</v>
      </c>
      <c r="H215">
        <v>12</v>
      </c>
      <c r="I215">
        <v>7.5</v>
      </c>
      <c r="J215">
        <v>12.9375</v>
      </c>
      <c r="K215">
        <v>9.25</v>
      </c>
      <c r="L215">
        <v>3.6875</v>
      </c>
      <c r="M215">
        <v>9</v>
      </c>
      <c r="N215">
        <v>2</v>
      </c>
      <c r="O215">
        <v>9</v>
      </c>
      <c r="P215">
        <v>2</v>
      </c>
      <c r="Q215">
        <v>3</v>
      </c>
      <c r="R215">
        <v>5.5</v>
      </c>
    </row>
    <row r="216" spans="1:20" x14ac:dyDescent="0.2">
      <c r="A216" t="s">
        <v>274</v>
      </c>
      <c r="B216" t="s">
        <v>279</v>
      </c>
      <c r="C216">
        <v>0</v>
      </c>
      <c r="D216">
        <v>0</v>
      </c>
      <c r="E216">
        <v>0</v>
      </c>
      <c r="F216">
        <v>0</v>
      </c>
      <c r="H216">
        <v>3</v>
      </c>
      <c r="I216">
        <v>5.5</v>
      </c>
      <c r="J216">
        <v>3.6875</v>
      </c>
      <c r="K216">
        <v>3.6875</v>
      </c>
      <c r="L216">
        <v>0</v>
      </c>
      <c r="M216">
        <v>3</v>
      </c>
      <c r="N216">
        <v>5.5</v>
      </c>
    </row>
    <row r="217" spans="1:20" x14ac:dyDescent="0.2">
      <c r="A217" t="s">
        <v>280</v>
      </c>
      <c r="B217" t="s">
        <v>281</v>
      </c>
      <c r="C217">
        <v>0</v>
      </c>
      <c r="D217">
        <v>0</v>
      </c>
      <c r="E217">
        <v>0</v>
      </c>
      <c r="F217">
        <v>0</v>
      </c>
      <c r="G217" t="s">
        <v>282</v>
      </c>
      <c r="H217">
        <v>13</v>
      </c>
      <c r="I217">
        <v>7.5</v>
      </c>
      <c r="J217">
        <v>13.9375</v>
      </c>
      <c r="K217">
        <v>14</v>
      </c>
      <c r="L217">
        <v>-6.25E-2</v>
      </c>
      <c r="M217">
        <v>14</v>
      </c>
      <c r="N217">
        <v>0</v>
      </c>
      <c r="O217">
        <v>4</v>
      </c>
      <c r="P217">
        <v>3.5</v>
      </c>
      <c r="Q217">
        <v>0</v>
      </c>
      <c r="R217">
        <v>2</v>
      </c>
      <c r="S217">
        <v>9</v>
      </c>
      <c r="T217">
        <v>2</v>
      </c>
    </row>
    <row r="218" spans="1:20" x14ac:dyDescent="0.2">
      <c r="A218" t="s">
        <v>280</v>
      </c>
      <c r="B218" t="s">
        <v>283</v>
      </c>
      <c r="C218">
        <v>0</v>
      </c>
      <c r="D218">
        <v>0</v>
      </c>
      <c r="E218">
        <v>0</v>
      </c>
      <c r="F218">
        <v>0</v>
      </c>
      <c r="H218">
        <v>29</v>
      </c>
      <c r="I218">
        <v>7.5</v>
      </c>
      <c r="J218">
        <v>29.9375</v>
      </c>
      <c r="K218">
        <v>29.9375</v>
      </c>
      <c r="L218">
        <v>0</v>
      </c>
      <c r="M218">
        <v>29</v>
      </c>
      <c r="N218">
        <v>7.5</v>
      </c>
    </row>
    <row r="219" spans="1:20" x14ac:dyDescent="0.2">
      <c r="A219" t="s">
        <v>280</v>
      </c>
      <c r="B219" t="s">
        <v>284</v>
      </c>
      <c r="C219">
        <v>0</v>
      </c>
      <c r="D219">
        <v>0</v>
      </c>
      <c r="E219">
        <v>0</v>
      </c>
      <c r="F219">
        <v>0</v>
      </c>
      <c r="H219">
        <v>1</v>
      </c>
      <c r="I219">
        <v>4.5</v>
      </c>
      <c r="J219">
        <v>1.5625</v>
      </c>
      <c r="K219">
        <v>21.5625</v>
      </c>
      <c r="L219">
        <v>-20</v>
      </c>
      <c r="M219">
        <v>21</v>
      </c>
      <c r="N219">
        <v>4.5</v>
      </c>
      <c r="O219">
        <v>1</v>
      </c>
      <c r="P219">
        <v>0</v>
      </c>
    </row>
    <row r="220" spans="1:20" x14ac:dyDescent="0.2">
      <c r="A220" t="s">
        <v>280</v>
      </c>
      <c r="B220" t="s">
        <v>285</v>
      </c>
      <c r="C220">
        <v>0</v>
      </c>
      <c r="D220">
        <v>0</v>
      </c>
      <c r="E220">
        <v>0</v>
      </c>
      <c r="F220">
        <v>0</v>
      </c>
      <c r="H220">
        <v>5</v>
      </c>
      <c r="I220">
        <v>0</v>
      </c>
      <c r="J220">
        <v>5</v>
      </c>
      <c r="K220">
        <v>5</v>
      </c>
      <c r="L220">
        <v>0</v>
      </c>
      <c r="M220">
        <v>5</v>
      </c>
      <c r="N220">
        <v>0</v>
      </c>
    </row>
    <row r="221" spans="1:20" x14ac:dyDescent="0.2">
      <c r="A221" t="s">
        <v>280</v>
      </c>
      <c r="B221" t="s">
        <v>286</v>
      </c>
      <c r="C221">
        <v>0</v>
      </c>
      <c r="D221">
        <v>0</v>
      </c>
      <c r="E221">
        <v>0</v>
      </c>
      <c r="F221">
        <v>0</v>
      </c>
      <c r="H221">
        <v>6.5</v>
      </c>
      <c r="I221">
        <v>0</v>
      </c>
      <c r="J221">
        <v>6.5</v>
      </c>
      <c r="K221">
        <v>6.5</v>
      </c>
      <c r="L221">
        <v>0</v>
      </c>
      <c r="M221">
        <v>6.5</v>
      </c>
      <c r="N221">
        <v>0</v>
      </c>
    </row>
    <row r="222" spans="1:20" x14ac:dyDescent="0.2">
      <c r="A222" t="s">
        <v>280</v>
      </c>
      <c r="B222" t="s">
        <v>287</v>
      </c>
      <c r="C222">
        <v>0</v>
      </c>
      <c r="D222">
        <v>0</v>
      </c>
      <c r="E222">
        <v>0</v>
      </c>
      <c r="F222">
        <v>0</v>
      </c>
      <c r="H222">
        <v>1</v>
      </c>
      <c r="I222">
        <v>3</v>
      </c>
      <c r="J222">
        <v>1.375</v>
      </c>
      <c r="K222">
        <v>1.375</v>
      </c>
      <c r="L222">
        <v>0</v>
      </c>
      <c r="M222">
        <v>1</v>
      </c>
      <c r="N222">
        <v>3</v>
      </c>
      <c r="O222">
        <v>1</v>
      </c>
      <c r="P222">
        <v>0</v>
      </c>
    </row>
    <row r="223" spans="1:20" x14ac:dyDescent="0.2">
      <c r="A223" t="s">
        <v>280</v>
      </c>
      <c r="B223" t="s">
        <v>283</v>
      </c>
      <c r="C223">
        <v>0</v>
      </c>
      <c r="D223">
        <v>0</v>
      </c>
      <c r="E223">
        <v>0</v>
      </c>
      <c r="F223">
        <v>0</v>
      </c>
      <c r="H223">
        <v>29</v>
      </c>
      <c r="I223">
        <v>7.5</v>
      </c>
      <c r="J223">
        <v>29.9375</v>
      </c>
      <c r="K223">
        <v>29.9375</v>
      </c>
      <c r="L223">
        <v>0</v>
      </c>
      <c r="M223">
        <v>29</v>
      </c>
      <c r="N223">
        <v>7.5</v>
      </c>
    </row>
    <row r="224" spans="1:20" x14ac:dyDescent="0.2">
      <c r="A224" t="s">
        <v>288</v>
      </c>
      <c r="B224" t="s">
        <v>289</v>
      </c>
      <c r="C224">
        <v>0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288</v>
      </c>
      <c r="B225" t="s">
        <v>290</v>
      </c>
      <c r="C225">
        <v>0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288</v>
      </c>
      <c r="B226" t="s">
        <v>291</v>
      </c>
      <c r="C226">
        <v>0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288</v>
      </c>
      <c r="B227" t="s">
        <v>292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288</v>
      </c>
      <c r="B228" t="s">
        <v>293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288</v>
      </c>
      <c r="B229" t="s">
        <v>294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288</v>
      </c>
      <c r="B230" t="s">
        <v>295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288</v>
      </c>
      <c r="B231" t="s">
        <v>296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288</v>
      </c>
      <c r="B232" t="s">
        <v>297</v>
      </c>
      <c r="C232">
        <v>0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288</v>
      </c>
      <c r="B233" t="s">
        <v>298</v>
      </c>
      <c r="C233">
        <v>0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288</v>
      </c>
      <c r="B234" t="s">
        <v>299</v>
      </c>
      <c r="C234">
        <v>0</v>
      </c>
      <c r="D234">
        <v>0</v>
      </c>
      <c r="E234">
        <v>0</v>
      </c>
      <c r="F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288</v>
      </c>
      <c r="B235" t="s">
        <v>300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288</v>
      </c>
      <c r="B236" t="s">
        <v>301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288</v>
      </c>
      <c r="B237" t="s">
        <v>302</v>
      </c>
      <c r="C237">
        <v>0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288</v>
      </c>
      <c r="B238" t="s">
        <v>303</v>
      </c>
      <c r="C238">
        <v>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288</v>
      </c>
      <c r="B239" t="s">
        <v>304</v>
      </c>
      <c r="C239">
        <v>0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288</v>
      </c>
      <c r="B240" t="s">
        <v>305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288</v>
      </c>
      <c r="B241" t="s">
        <v>306</v>
      </c>
      <c r="C241">
        <v>0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288</v>
      </c>
      <c r="B242" t="s">
        <v>307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288</v>
      </c>
      <c r="B243" t="s">
        <v>308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288</v>
      </c>
      <c r="B244" t="s">
        <v>309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288</v>
      </c>
      <c r="B245" t="s">
        <v>310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288</v>
      </c>
      <c r="B246" t="s">
        <v>311</v>
      </c>
      <c r="C246">
        <v>0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288</v>
      </c>
      <c r="B247" t="s">
        <v>312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288</v>
      </c>
      <c r="B248" t="s">
        <v>313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288</v>
      </c>
      <c r="B249" t="s">
        <v>314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288</v>
      </c>
      <c r="B250" t="s">
        <v>315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288</v>
      </c>
      <c r="B251" t="s">
        <v>316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288</v>
      </c>
      <c r="B252" t="s">
        <v>317</v>
      </c>
      <c r="C252">
        <v>0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288</v>
      </c>
      <c r="B253" t="s">
        <v>318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288</v>
      </c>
      <c r="B254" t="s">
        <v>319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288</v>
      </c>
      <c r="B255" t="s">
        <v>320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288</v>
      </c>
      <c r="B256" t="s">
        <v>321</v>
      </c>
      <c r="C256">
        <v>0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288</v>
      </c>
      <c r="B257" t="s">
        <v>322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288</v>
      </c>
      <c r="B258" t="s">
        <v>323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288</v>
      </c>
      <c r="B259" t="s">
        <v>324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288</v>
      </c>
      <c r="B260" t="s">
        <v>325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288</v>
      </c>
      <c r="B261" t="s">
        <v>326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288</v>
      </c>
      <c r="B262" t="s">
        <v>327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288</v>
      </c>
      <c r="B263" t="s">
        <v>328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288</v>
      </c>
      <c r="B264" t="s">
        <v>329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288</v>
      </c>
      <c r="B265" t="s">
        <v>330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288</v>
      </c>
      <c r="B266" t="s">
        <v>331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288</v>
      </c>
      <c r="B267" t="s">
        <v>332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288</v>
      </c>
      <c r="B268" t="s">
        <v>333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288</v>
      </c>
      <c r="B269" t="s">
        <v>334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288</v>
      </c>
      <c r="B270" t="s">
        <v>335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288</v>
      </c>
      <c r="B271" t="s">
        <v>336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288</v>
      </c>
      <c r="B272" t="s">
        <v>337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288</v>
      </c>
      <c r="B273" t="s">
        <v>338</v>
      </c>
      <c r="C273">
        <v>0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288</v>
      </c>
      <c r="B274" t="s">
        <v>339</v>
      </c>
      <c r="C274">
        <v>0</v>
      </c>
      <c r="D274">
        <v>0</v>
      </c>
      <c r="E274">
        <v>0</v>
      </c>
      <c r="F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288</v>
      </c>
      <c r="B275" t="s">
        <v>340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288</v>
      </c>
      <c r="B276" t="s">
        <v>341</v>
      </c>
      <c r="C276">
        <v>0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288</v>
      </c>
      <c r="B277" t="s">
        <v>342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288</v>
      </c>
      <c r="B278" t="s">
        <v>343</v>
      </c>
      <c r="C278">
        <v>0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288</v>
      </c>
      <c r="B279" t="s">
        <v>344</v>
      </c>
      <c r="C279">
        <v>0.15</v>
      </c>
      <c r="D279">
        <v>0</v>
      </c>
      <c r="E279">
        <v>3</v>
      </c>
      <c r="F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288</v>
      </c>
      <c r="B280" t="s">
        <v>345</v>
      </c>
      <c r="C280">
        <v>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288</v>
      </c>
      <c r="B281" t="s">
        <v>346</v>
      </c>
      <c r="C281">
        <v>0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288</v>
      </c>
      <c r="B282" t="s">
        <v>347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288</v>
      </c>
      <c r="B283" t="s">
        <v>348</v>
      </c>
      <c r="C283">
        <v>0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288</v>
      </c>
      <c r="B284" t="s">
        <v>349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288</v>
      </c>
      <c r="B285" t="s">
        <v>350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288</v>
      </c>
      <c r="B286" t="s">
        <v>330</v>
      </c>
      <c r="C286">
        <v>0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288</v>
      </c>
      <c r="B287" t="s">
        <v>331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288</v>
      </c>
      <c r="B288" t="s">
        <v>351</v>
      </c>
      <c r="C288">
        <v>0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288</v>
      </c>
      <c r="B289" t="s">
        <v>352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288</v>
      </c>
      <c r="B290" t="s">
        <v>353</v>
      </c>
      <c r="C290">
        <v>0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288</v>
      </c>
      <c r="B291" t="s">
        <v>354</v>
      </c>
      <c r="C291">
        <v>0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288</v>
      </c>
      <c r="B292" t="s">
        <v>330</v>
      </c>
      <c r="C292">
        <v>0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288</v>
      </c>
      <c r="B293" t="s">
        <v>331</v>
      </c>
      <c r="C293">
        <v>0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288</v>
      </c>
      <c r="B294" t="s">
        <v>355</v>
      </c>
      <c r="C294">
        <v>0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288</v>
      </c>
      <c r="B295" t="s">
        <v>356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288</v>
      </c>
      <c r="B296" t="s">
        <v>357</v>
      </c>
      <c r="C296">
        <v>0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288</v>
      </c>
      <c r="B297" t="s">
        <v>358</v>
      </c>
      <c r="C297">
        <v>0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288</v>
      </c>
      <c r="B298" t="s">
        <v>359</v>
      </c>
      <c r="C298">
        <v>0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9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400</v>
      </c>
      <c r="U1" s="1" t="s">
        <v>401</v>
      </c>
      <c r="V1" s="1" t="s">
        <v>402</v>
      </c>
      <c r="W1" s="1" t="s">
        <v>403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404</v>
      </c>
      <c r="AD1" s="1" t="s">
        <v>405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</row>
    <row r="2" spans="1:36" x14ac:dyDescent="0.2">
      <c r="A2" t="s">
        <v>213</v>
      </c>
      <c r="B2" t="s">
        <v>361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6" x14ac:dyDescent="0.2">
      <c r="A3" t="s">
        <v>216</v>
      </c>
      <c r="B3" t="s">
        <v>217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6.5</v>
      </c>
      <c r="Z3">
        <v>0.8125</v>
      </c>
      <c r="AA3">
        <v>0.8125</v>
      </c>
      <c r="AB3">
        <v>0</v>
      </c>
      <c r="AC3">
        <v>0</v>
      </c>
      <c r="AD3">
        <v>6.5</v>
      </c>
    </row>
    <row r="4" spans="1:36" x14ac:dyDescent="0.2">
      <c r="A4" t="s">
        <v>216</v>
      </c>
      <c r="B4" t="s">
        <v>218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144.5</v>
      </c>
      <c r="U4">
        <v>0</v>
      </c>
      <c r="V4">
        <v>144.5</v>
      </c>
      <c r="W4">
        <v>0</v>
      </c>
      <c r="X4">
        <v>144.5</v>
      </c>
      <c r="Y4">
        <v>0</v>
      </c>
      <c r="Z4">
        <v>144.5</v>
      </c>
      <c r="AA4">
        <v>144.5</v>
      </c>
      <c r="AB4">
        <v>0</v>
      </c>
      <c r="AC4">
        <v>144.5</v>
      </c>
      <c r="AD4">
        <v>0</v>
      </c>
    </row>
    <row r="5" spans="1:36" x14ac:dyDescent="0.2">
      <c r="A5" t="s">
        <v>216</v>
      </c>
      <c r="B5" t="s">
        <v>219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144.5</v>
      </c>
      <c r="Y5">
        <v>0</v>
      </c>
      <c r="Z5">
        <v>144.5</v>
      </c>
      <c r="AA5">
        <v>144.5</v>
      </c>
      <c r="AB5">
        <v>0</v>
      </c>
      <c r="AC5">
        <v>144.5</v>
      </c>
      <c r="AD5">
        <v>0</v>
      </c>
    </row>
    <row r="6" spans="1:36" x14ac:dyDescent="0.2">
      <c r="A6" t="s">
        <v>216</v>
      </c>
      <c r="B6" t="s">
        <v>220</v>
      </c>
      <c r="C6">
        <v>0</v>
      </c>
      <c r="D6">
        <v>0</v>
      </c>
      <c r="E6">
        <v>22</v>
      </c>
      <c r="F6">
        <v>0</v>
      </c>
      <c r="G6">
        <v>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22</v>
      </c>
      <c r="Y6">
        <v>5</v>
      </c>
      <c r="Z6">
        <v>22.625</v>
      </c>
      <c r="AA6">
        <v>22</v>
      </c>
      <c r="AB6">
        <v>0.625</v>
      </c>
      <c r="AC6">
        <v>22</v>
      </c>
      <c r="AD6">
        <v>0</v>
      </c>
      <c r="AE6">
        <v>0</v>
      </c>
      <c r="AF6">
        <v>5</v>
      </c>
    </row>
    <row r="7" spans="1:36" x14ac:dyDescent="0.2">
      <c r="A7" t="s">
        <v>216</v>
      </c>
      <c r="B7" t="s">
        <v>221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0.125</v>
      </c>
      <c r="AA7">
        <v>0.1875</v>
      </c>
      <c r="AB7">
        <v>-6.25E-2</v>
      </c>
      <c r="AC7">
        <v>0</v>
      </c>
      <c r="AD7">
        <v>1.5</v>
      </c>
      <c r="AE7">
        <v>0</v>
      </c>
      <c r="AF7">
        <v>1</v>
      </c>
    </row>
    <row r="8" spans="1:36" x14ac:dyDescent="0.2">
      <c r="A8" t="s">
        <v>216</v>
      </c>
      <c r="B8" t="s">
        <v>152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6" x14ac:dyDescent="0.2">
      <c r="A9" t="s">
        <v>216</v>
      </c>
      <c r="B9" t="s">
        <v>222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0.75</v>
      </c>
      <c r="AA9">
        <v>0.75</v>
      </c>
      <c r="AB9">
        <v>0</v>
      </c>
      <c r="AC9">
        <v>0</v>
      </c>
      <c r="AD9">
        <v>6</v>
      </c>
    </row>
    <row r="10" spans="1:36" x14ac:dyDescent="0.2">
      <c r="A10" t="s">
        <v>216</v>
      </c>
      <c r="B10" t="s">
        <v>223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121</v>
      </c>
      <c r="O10">
        <v>2.5</v>
      </c>
      <c r="P10">
        <v>121.3125</v>
      </c>
      <c r="Q10">
        <v>121</v>
      </c>
      <c r="R10">
        <v>2.5</v>
      </c>
      <c r="S10">
        <v>121.3125</v>
      </c>
      <c r="T10">
        <v>0</v>
      </c>
      <c r="U10">
        <v>0</v>
      </c>
      <c r="V10">
        <v>0</v>
      </c>
      <c r="W10">
        <v>0</v>
      </c>
      <c r="X10">
        <v>121</v>
      </c>
      <c r="Y10">
        <v>2.5</v>
      </c>
      <c r="Z10">
        <v>121.3125</v>
      </c>
      <c r="AA10">
        <v>0.375</v>
      </c>
      <c r="AB10">
        <v>120.9375</v>
      </c>
      <c r="AC10">
        <v>0</v>
      </c>
      <c r="AD10">
        <v>3</v>
      </c>
      <c r="AE10">
        <v>121</v>
      </c>
      <c r="AF10">
        <v>2.5</v>
      </c>
    </row>
    <row r="11" spans="1:36" x14ac:dyDescent="0.2">
      <c r="A11" t="s">
        <v>216</v>
      </c>
      <c r="B11" t="s">
        <v>224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6" x14ac:dyDescent="0.2">
      <c r="A12" t="s">
        <v>216</v>
      </c>
      <c r="B12" t="s">
        <v>361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6" x14ac:dyDescent="0.2">
      <c r="A13" t="s">
        <v>225</v>
      </c>
      <c r="B13" t="s">
        <v>226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20</v>
      </c>
      <c r="U13">
        <v>1</v>
      </c>
      <c r="V13">
        <v>20.125</v>
      </c>
      <c r="W13">
        <v>0</v>
      </c>
      <c r="X13">
        <v>20</v>
      </c>
      <c r="Y13">
        <v>1</v>
      </c>
      <c r="Z13">
        <v>20.125</v>
      </c>
      <c r="AA13">
        <v>20.125</v>
      </c>
      <c r="AB13">
        <v>0</v>
      </c>
      <c r="AC13">
        <v>20</v>
      </c>
      <c r="AD13">
        <v>1</v>
      </c>
    </row>
    <row r="14" spans="1:36" x14ac:dyDescent="0.2">
      <c r="A14" t="s">
        <v>225</v>
      </c>
      <c r="B14" t="s">
        <v>227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1</v>
      </c>
      <c r="Z14">
        <v>20.125</v>
      </c>
      <c r="AA14">
        <v>20.125</v>
      </c>
      <c r="AB14">
        <v>0</v>
      </c>
      <c r="AC14">
        <v>20</v>
      </c>
      <c r="AD14">
        <v>1</v>
      </c>
    </row>
    <row r="15" spans="1:36" x14ac:dyDescent="0.2">
      <c r="A15" t="s">
        <v>225</v>
      </c>
      <c r="B15" t="s">
        <v>228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14</v>
      </c>
      <c r="O15">
        <v>0</v>
      </c>
      <c r="P15">
        <v>14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14</v>
      </c>
      <c r="Y15">
        <v>0</v>
      </c>
      <c r="Z15">
        <v>14</v>
      </c>
      <c r="AA15">
        <v>14</v>
      </c>
      <c r="AB15">
        <v>0</v>
      </c>
      <c r="AC15">
        <v>14</v>
      </c>
      <c r="AD15">
        <v>0</v>
      </c>
    </row>
    <row r="16" spans="1:36" x14ac:dyDescent="0.2">
      <c r="A16" t="s">
        <v>225</v>
      </c>
      <c r="B16" t="s">
        <v>229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</v>
      </c>
      <c r="R16">
        <v>1</v>
      </c>
      <c r="S16">
        <v>6.125</v>
      </c>
      <c r="T16">
        <v>0</v>
      </c>
      <c r="U16">
        <v>0</v>
      </c>
      <c r="V16">
        <v>0</v>
      </c>
      <c r="W16">
        <v>0</v>
      </c>
      <c r="X16">
        <v>6</v>
      </c>
      <c r="Y16">
        <v>1</v>
      </c>
      <c r="Z16">
        <v>6.125</v>
      </c>
      <c r="AA16">
        <v>6.125</v>
      </c>
      <c r="AB16">
        <v>0</v>
      </c>
      <c r="AC16">
        <v>6</v>
      </c>
      <c r="AD16">
        <v>1</v>
      </c>
    </row>
    <row r="17" spans="1:30" x14ac:dyDescent="0.2">
      <c r="A17" t="s">
        <v>225</v>
      </c>
      <c r="B17" t="s">
        <v>361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30" x14ac:dyDescent="0.2">
      <c r="A18" t="s">
        <v>230</v>
      </c>
      <c r="B18" t="s">
        <v>231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230</v>
      </c>
      <c r="B19" t="s">
        <v>232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12</v>
      </c>
      <c r="U19">
        <v>7</v>
      </c>
      <c r="V19">
        <v>12.875</v>
      </c>
      <c r="W19">
        <v>0</v>
      </c>
      <c r="X19">
        <v>12</v>
      </c>
      <c r="Y19">
        <v>7</v>
      </c>
      <c r="Z19">
        <v>12.875</v>
      </c>
      <c r="AA19">
        <v>12.875</v>
      </c>
      <c r="AB19">
        <v>0</v>
      </c>
      <c r="AC19">
        <v>12</v>
      </c>
      <c r="AD19">
        <v>7</v>
      </c>
    </row>
    <row r="20" spans="1:30" x14ac:dyDescent="0.2">
      <c r="A20" t="s">
        <v>230</v>
      </c>
      <c r="B20" t="s">
        <v>233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12</v>
      </c>
      <c r="R20">
        <v>7</v>
      </c>
      <c r="S20">
        <v>12.875</v>
      </c>
      <c r="T20">
        <v>0</v>
      </c>
      <c r="U20">
        <v>0</v>
      </c>
      <c r="V20">
        <v>0</v>
      </c>
      <c r="W20">
        <v>0</v>
      </c>
      <c r="X20">
        <v>12</v>
      </c>
      <c r="Y20">
        <v>7</v>
      </c>
      <c r="Z20">
        <v>12.875</v>
      </c>
      <c r="AA20">
        <v>12.875</v>
      </c>
      <c r="AB20">
        <v>0</v>
      </c>
      <c r="AC20">
        <v>12</v>
      </c>
      <c r="AD20">
        <v>7</v>
      </c>
    </row>
    <row r="21" spans="1:30" x14ac:dyDescent="0.2">
      <c r="A21" t="s">
        <v>230</v>
      </c>
      <c r="B21" t="s">
        <v>224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230</v>
      </c>
      <c r="B22" t="s">
        <v>361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30" x14ac:dyDescent="0.2">
      <c r="A23" t="s">
        <v>234</v>
      </c>
      <c r="B23" t="s">
        <v>406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30" x14ac:dyDescent="0.2">
      <c r="A24" t="s">
        <v>234</v>
      </c>
      <c r="B24" t="s">
        <v>236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  <c r="U24">
        <v>0</v>
      </c>
      <c r="V24">
        <v>10</v>
      </c>
      <c r="W24">
        <v>0</v>
      </c>
      <c r="X24">
        <v>10</v>
      </c>
      <c r="Y24">
        <v>0</v>
      </c>
      <c r="Z24">
        <v>10</v>
      </c>
      <c r="AA24">
        <v>10</v>
      </c>
      <c r="AB24">
        <v>0</v>
      </c>
      <c r="AC24">
        <v>10</v>
      </c>
      <c r="AD24">
        <v>0</v>
      </c>
    </row>
    <row r="25" spans="1:30" x14ac:dyDescent="0.2">
      <c r="A25" t="s">
        <v>234</v>
      </c>
      <c r="B25" t="s">
        <v>237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</v>
      </c>
      <c r="Y25">
        <v>0</v>
      </c>
      <c r="Z25">
        <v>10</v>
      </c>
      <c r="AA25">
        <v>10</v>
      </c>
      <c r="AB25">
        <v>0</v>
      </c>
      <c r="AC25">
        <v>10</v>
      </c>
      <c r="AD25">
        <v>0</v>
      </c>
    </row>
    <row r="26" spans="1:30" x14ac:dyDescent="0.2">
      <c r="A26" t="s">
        <v>234</v>
      </c>
      <c r="B26" t="s">
        <v>238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7.5</v>
      </c>
      <c r="Z26">
        <v>0.9375</v>
      </c>
      <c r="AA26">
        <v>0.9375</v>
      </c>
      <c r="AB26">
        <v>0</v>
      </c>
      <c r="AC26">
        <v>0</v>
      </c>
      <c r="AD26">
        <v>7.5</v>
      </c>
    </row>
    <row r="27" spans="1:30" x14ac:dyDescent="0.2">
      <c r="A27" t="s">
        <v>234</v>
      </c>
      <c r="B27" t="s">
        <v>239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2.5</v>
      </c>
      <c r="Z27">
        <v>0.3125</v>
      </c>
      <c r="AA27">
        <v>0.3125</v>
      </c>
      <c r="AB27">
        <v>0</v>
      </c>
      <c r="AC27">
        <v>0</v>
      </c>
      <c r="AD27">
        <v>2.5</v>
      </c>
    </row>
    <row r="28" spans="1:30" x14ac:dyDescent="0.2">
      <c r="A28" t="s">
        <v>234</v>
      </c>
      <c r="B28" t="s">
        <v>152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234</v>
      </c>
      <c r="B29" t="s">
        <v>407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8.5</v>
      </c>
      <c r="P29">
        <v>7.0625</v>
      </c>
      <c r="Q29">
        <v>6</v>
      </c>
      <c r="R29">
        <v>8.5</v>
      </c>
      <c r="S29">
        <v>7.0625</v>
      </c>
      <c r="T29">
        <v>0</v>
      </c>
      <c r="U29">
        <v>0</v>
      </c>
      <c r="V29">
        <v>0</v>
      </c>
      <c r="W29">
        <v>0</v>
      </c>
    </row>
    <row r="30" spans="1:30" x14ac:dyDescent="0.2">
      <c r="A30" t="s">
        <v>234</v>
      </c>
      <c r="B30" t="s">
        <v>361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30" x14ac:dyDescent="0.2">
      <c r="A31" t="s">
        <v>241</v>
      </c>
      <c r="B31" t="s">
        <v>408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35</v>
      </c>
      <c r="U31">
        <v>0</v>
      </c>
      <c r="V31">
        <v>35</v>
      </c>
      <c r="W31">
        <v>0</v>
      </c>
    </row>
    <row r="32" spans="1:30" x14ac:dyDescent="0.2">
      <c r="A32" t="s">
        <v>241</v>
      </c>
      <c r="B32" t="s">
        <v>243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27</v>
      </c>
      <c r="Y32">
        <v>0</v>
      </c>
      <c r="Z32">
        <v>27</v>
      </c>
      <c r="AA32">
        <v>27</v>
      </c>
      <c r="AB32">
        <v>0</v>
      </c>
      <c r="AC32">
        <v>27</v>
      </c>
      <c r="AD32">
        <v>0</v>
      </c>
    </row>
    <row r="33" spans="1:34" x14ac:dyDescent="0.2">
      <c r="A33" t="s">
        <v>241</v>
      </c>
      <c r="B33" t="s">
        <v>244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28</v>
      </c>
      <c r="Y33">
        <v>2</v>
      </c>
      <c r="Z33">
        <v>28.25</v>
      </c>
      <c r="AA33">
        <v>28.25</v>
      </c>
      <c r="AB33">
        <v>0</v>
      </c>
      <c r="AC33">
        <v>28</v>
      </c>
      <c r="AD33">
        <v>2</v>
      </c>
    </row>
    <row r="34" spans="1:34" x14ac:dyDescent="0.2">
      <c r="A34" t="s">
        <v>241</v>
      </c>
      <c r="B34" t="s">
        <v>245</v>
      </c>
      <c r="C34">
        <v>0</v>
      </c>
      <c r="D34">
        <v>0</v>
      </c>
      <c r="E34">
        <v>7</v>
      </c>
      <c r="F34">
        <v>2</v>
      </c>
      <c r="G34">
        <v>7.25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</v>
      </c>
      <c r="Y34">
        <v>2</v>
      </c>
      <c r="Z34">
        <v>7.25</v>
      </c>
      <c r="AA34">
        <v>7.25</v>
      </c>
      <c r="AB34">
        <v>0</v>
      </c>
      <c r="AC34">
        <v>7</v>
      </c>
      <c r="AD34">
        <v>2</v>
      </c>
    </row>
    <row r="35" spans="1:34" x14ac:dyDescent="0.2">
      <c r="A35" t="s">
        <v>241</v>
      </c>
      <c r="B35" t="s">
        <v>409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34" x14ac:dyDescent="0.2">
      <c r="A36" t="s">
        <v>241</v>
      </c>
      <c r="B36" t="s">
        <v>152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4" x14ac:dyDescent="0.2">
      <c r="A37" t="s">
        <v>241</v>
      </c>
      <c r="B37" t="s">
        <v>247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2.5</v>
      </c>
      <c r="Y37">
        <v>0</v>
      </c>
      <c r="Z37">
        <v>2.5</v>
      </c>
      <c r="AA37">
        <v>2.5</v>
      </c>
      <c r="AB37">
        <v>0</v>
      </c>
      <c r="AC37">
        <v>2.5</v>
      </c>
      <c r="AD37">
        <v>0</v>
      </c>
    </row>
    <row r="38" spans="1:34" x14ac:dyDescent="0.2">
      <c r="A38" t="s">
        <v>241</v>
      </c>
      <c r="B38" t="s">
        <v>248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53</v>
      </c>
      <c r="O38">
        <v>4</v>
      </c>
      <c r="P38">
        <v>53.5</v>
      </c>
      <c r="Q38">
        <v>53</v>
      </c>
      <c r="R38">
        <v>4</v>
      </c>
      <c r="S38">
        <v>53.5</v>
      </c>
      <c r="T38">
        <v>0</v>
      </c>
      <c r="U38">
        <v>0</v>
      </c>
      <c r="V38">
        <v>0</v>
      </c>
      <c r="W38">
        <v>0</v>
      </c>
      <c r="X38">
        <v>51</v>
      </c>
      <c r="Y38">
        <v>2</v>
      </c>
      <c r="Z38">
        <v>51.25</v>
      </c>
      <c r="AA38">
        <v>2.25</v>
      </c>
      <c r="AB38">
        <v>49</v>
      </c>
      <c r="AC38">
        <v>2</v>
      </c>
      <c r="AD38">
        <v>2</v>
      </c>
      <c r="AE38">
        <v>16</v>
      </c>
      <c r="AF38">
        <v>2</v>
      </c>
      <c r="AG38">
        <v>35</v>
      </c>
      <c r="AH38">
        <v>0</v>
      </c>
    </row>
    <row r="39" spans="1:34" x14ac:dyDescent="0.2">
      <c r="A39" t="s">
        <v>241</v>
      </c>
      <c r="B39" t="s">
        <v>361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34" x14ac:dyDescent="0.2">
      <c r="A40" t="s">
        <v>249</v>
      </c>
      <c r="B40" t="s">
        <v>250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4" x14ac:dyDescent="0.2">
      <c r="A41" t="s">
        <v>249</v>
      </c>
      <c r="B41" t="s">
        <v>251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</v>
      </c>
      <c r="U41">
        <v>0</v>
      </c>
      <c r="V41">
        <v>6</v>
      </c>
      <c r="W41">
        <v>0</v>
      </c>
      <c r="X41">
        <v>6</v>
      </c>
      <c r="Y41">
        <v>0</v>
      </c>
      <c r="Z41">
        <v>6</v>
      </c>
      <c r="AA41">
        <v>6</v>
      </c>
      <c r="AB41">
        <v>0</v>
      </c>
      <c r="AC41">
        <v>6</v>
      </c>
      <c r="AD41">
        <v>0</v>
      </c>
    </row>
    <row r="42" spans="1:34" x14ac:dyDescent="0.2">
      <c r="A42" t="s">
        <v>249</v>
      </c>
      <c r="B42" t="s">
        <v>410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34" x14ac:dyDescent="0.2">
      <c r="A43" t="s">
        <v>249</v>
      </c>
      <c r="B43" t="s">
        <v>253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</v>
      </c>
      <c r="Y43">
        <v>5</v>
      </c>
      <c r="Z43">
        <v>7.625</v>
      </c>
      <c r="AA43">
        <v>7.625</v>
      </c>
      <c r="AB43">
        <v>0</v>
      </c>
      <c r="AC43">
        <v>7</v>
      </c>
      <c r="AD43">
        <v>5</v>
      </c>
    </row>
    <row r="44" spans="1:34" x14ac:dyDescent="0.2">
      <c r="A44" t="s">
        <v>249</v>
      </c>
      <c r="B44" t="s">
        <v>254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0.25</v>
      </c>
      <c r="AA44">
        <v>0.25</v>
      </c>
      <c r="AB44">
        <v>0</v>
      </c>
      <c r="AC44">
        <v>0</v>
      </c>
      <c r="AD44">
        <v>2</v>
      </c>
    </row>
    <row r="45" spans="1:34" x14ac:dyDescent="0.2">
      <c r="A45" t="s">
        <v>249</v>
      </c>
      <c r="B45" t="s">
        <v>255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1.5</v>
      </c>
      <c r="Y45">
        <v>0</v>
      </c>
      <c r="Z45">
        <v>1.5</v>
      </c>
      <c r="AA45">
        <v>1.5</v>
      </c>
      <c r="AB45">
        <v>0</v>
      </c>
      <c r="AC45">
        <v>1.5</v>
      </c>
      <c r="AD45">
        <v>0</v>
      </c>
    </row>
    <row r="46" spans="1:34" x14ac:dyDescent="0.2">
      <c r="A46" t="s">
        <v>249</v>
      </c>
      <c r="B46" t="s">
        <v>256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5</v>
      </c>
      <c r="AA46">
        <v>5</v>
      </c>
      <c r="AB46">
        <v>0</v>
      </c>
      <c r="AC46">
        <v>5</v>
      </c>
      <c r="AD46">
        <v>0</v>
      </c>
    </row>
    <row r="47" spans="1:34" x14ac:dyDescent="0.2">
      <c r="A47" t="s">
        <v>249</v>
      </c>
      <c r="B47" t="s">
        <v>257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0</v>
      </c>
      <c r="Z47">
        <v>3</v>
      </c>
      <c r="AA47">
        <v>3</v>
      </c>
      <c r="AB47">
        <v>0</v>
      </c>
      <c r="AC47">
        <v>3</v>
      </c>
      <c r="AD47">
        <v>0</v>
      </c>
    </row>
    <row r="48" spans="1:34" x14ac:dyDescent="0.2">
      <c r="A48" t="s">
        <v>249</v>
      </c>
      <c r="B48" t="s">
        <v>361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30" x14ac:dyDescent="0.2">
      <c r="A49" t="s">
        <v>258</v>
      </c>
      <c r="B49" t="s">
        <v>259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1.5</v>
      </c>
      <c r="Z49">
        <v>0.1875</v>
      </c>
      <c r="AA49">
        <v>0.1875</v>
      </c>
      <c r="AB49">
        <v>0</v>
      </c>
      <c r="AC49">
        <v>0</v>
      </c>
      <c r="AD49">
        <v>1.5</v>
      </c>
    </row>
    <row r="50" spans="1:30" x14ac:dyDescent="0.2">
      <c r="A50" t="s">
        <v>258</v>
      </c>
      <c r="B50" t="s">
        <v>411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30" x14ac:dyDescent="0.2">
      <c r="A51" t="s">
        <v>258</v>
      </c>
      <c r="B51" t="s">
        <v>412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30" x14ac:dyDescent="0.2">
      <c r="A52" t="s">
        <v>258</v>
      </c>
      <c r="B52" t="s">
        <v>413</v>
      </c>
      <c r="C52">
        <v>0</v>
      </c>
      <c r="D52">
        <v>0</v>
      </c>
      <c r="E52">
        <v>5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5</v>
      </c>
      <c r="T52">
        <v>0</v>
      </c>
      <c r="U52">
        <v>0</v>
      </c>
      <c r="V52">
        <v>0</v>
      </c>
      <c r="W52">
        <v>0</v>
      </c>
    </row>
    <row r="53" spans="1:30" x14ac:dyDescent="0.2">
      <c r="A53" t="s">
        <v>258</v>
      </c>
      <c r="B53" t="s">
        <v>361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30" x14ac:dyDescent="0.2">
      <c r="A54" t="s">
        <v>263</v>
      </c>
      <c r="B54" t="s">
        <v>264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</v>
      </c>
      <c r="Y54">
        <v>6</v>
      </c>
      <c r="Z54">
        <v>7.75</v>
      </c>
      <c r="AA54">
        <v>7.75</v>
      </c>
      <c r="AB54">
        <v>0</v>
      </c>
      <c r="AC54">
        <v>7</v>
      </c>
      <c r="AD54">
        <v>6</v>
      </c>
    </row>
    <row r="55" spans="1:30" x14ac:dyDescent="0.2">
      <c r="A55" t="s">
        <v>263</v>
      </c>
      <c r="B55" t="s">
        <v>265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107</v>
      </c>
      <c r="U55">
        <v>7</v>
      </c>
      <c r="V55">
        <v>107.875</v>
      </c>
      <c r="W55">
        <v>0</v>
      </c>
      <c r="X55">
        <v>107</v>
      </c>
      <c r="Y55">
        <v>7</v>
      </c>
      <c r="Z55">
        <v>107.875</v>
      </c>
      <c r="AA55">
        <v>107.875</v>
      </c>
      <c r="AB55">
        <v>0</v>
      </c>
      <c r="AC55">
        <v>107</v>
      </c>
      <c r="AD55">
        <v>7</v>
      </c>
    </row>
    <row r="56" spans="1:30" x14ac:dyDescent="0.2">
      <c r="A56" t="s">
        <v>263</v>
      </c>
      <c r="B56" t="s">
        <v>266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107</v>
      </c>
      <c r="Y56">
        <v>7</v>
      </c>
      <c r="Z56">
        <v>107.875</v>
      </c>
      <c r="AA56">
        <v>107.875</v>
      </c>
      <c r="AB56">
        <v>0</v>
      </c>
      <c r="AC56">
        <v>107</v>
      </c>
      <c r="AD56">
        <v>7</v>
      </c>
    </row>
    <row r="57" spans="1:30" x14ac:dyDescent="0.2">
      <c r="A57" t="s">
        <v>263</v>
      </c>
      <c r="B57" t="s">
        <v>267</v>
      </c>
      <c r="C57">
        <v>0</v>
      </c>
      <c r="D57">
        <v>0</v>
      </c>
      <c r="E57">
        <v>48</v>
      </c>
      <c r="F57">
        <v>0</v>
      </c>
      <c r="G57">
        <v>48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48</v>
      </c>
      <c r="Y57">
        <v>0</v>
      </c>
      <c r="Z57">
        <v>48</v>
      </c>
      <c r="AA57">
        <v>48</v>
      </c>
      <c r="AB57">
        <v>0</v>
      </c>
      <c r="AC57">
        <v>48</v>
      </c>
      <c r="AD57">
        <v>0</v>
      </c>
    </row>
    <row r="58" spans="1:30" x14ac:dyDescent="0.2">
      <c r="A58" t="s">
        <v>263</v>
      </c>
      <c r="B58" t="s">
        <v>268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0.375</v>
      </c>
      <c r="AA58">
        <v>0.375</v>
      </c>
      <c r="AB58">
        <v>0</v>
      </c>
      <c r="AC58">
        <v>0</v>
      </c>
      <c r="AD58">
        <v>3</v>
      </c>
    </row>
    <row r="59" spans="1:30" x14ac:dyDescent="0.2">
      <c r="A59" t="s">
        <v>263</v>
      </c>
      <c r="B59" t="s">
        <v>152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 t="s">
        <v>263</v>
      </c>
      <c r="B60" t="s">
        <v>152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">
      <c r="A61" t="s">
        <v>263</v>
      </c>
      <c r="B61" t="s">
        <v>152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 t="s">
        <v>263</v>
      </c>
      <c r="B62" t="s">
        <v>152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263</v>
      </c>
      <c r="B63" t="s">
        <v>414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30" x14ac:dyDescent="0.2">
      <c r="A64" t="s">
        <v>263</v>
      </c>
      <c r="B64" t="s">
        <v>152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263</v>
      </c>
      <c r="B65" t="s">
        <v>152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263</v>
      </c>
      <c r="B66" t="s">
        <v>152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">
      <c r="A67" t="s">
        <v>263</v>
      </c>
      <c r="B67" t="s">
        <v>152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">
      <c r="A68" t="s">
        <v>263</v>
      </c>
      <c r="B68" t="s">
        <v>270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1.5</v>
      </c>
      <c r="O68">
        <v>0</v>
      </c>
      <c r="P68">
        <v>1.5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1.5</v>
      </c>
      <c r="Y68">
        <v>0</v>
      </c>
      <c r="Z68">
        <v>1.5</v>
      </c>
      <c r="AA68">
        <v>1.5</v>
      </c>
      <c r="AB68">
        <v>0</v>
      </c>
      <c r="AC68">
        <v>1.5</v>
      </c>
      <c r="AD68">
        <v>0</v>
      </c>
    </row>
    <row r="69" spans="1:30" x14ac:dyDescent="0.2">
      <c r="A69" t="s">
        <v>263</v>
      </c>
      <c r="B69" t="s">
        <v>152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">
      <c r="A70" t="s">
        <v>263</v>
      </c>
      <c r="B70" t="s">
        <v>152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">
      <c r="A71" t="s">
        <v>263</v>
      </c>
      <c r="B71" t="s">
        <v>152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 t="s">
        <v>263</v>
      </c>
      <c r="B72" t="s">
        <v>152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263</v>
      </c>
      <c r="B73" t="s">
        <v>415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30" x14ac:dyDescent="0.2">
      <c r="A74" t="s">
        <v>263</v>
      </c>
      <c r="B74" t="s">
        <v>152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 t="s">
        <v>263</v>
      </c>
      <c r="B75" t="s">
        <v>152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 t="s">
        <v>263</v>
      </c>
      <c r="B76" t="s">
        <v>152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 t="s">
        <v>263</v>
      </c>
      <c r="B77" t="s">
        <v>152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">
      <c r="A78" t="s">
        <v>263</v>
      </c>
      <c r="B78" t="s">
        <v>416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30" x14ac:dyDescent="0.2">
      <c r="A79" t="s">
        <v>263</v>
      </c>
      <c r="B79" t="s">
        <v>273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54</v>
      </c>
      <c r="R79">
        <v>6</v>
      </c>
      <c r="S79">
        <v>54.75</v>
      </c>
      <c r="T79">
        <v>0</v>
      </c>
      <c r="U79">
        <v>0</v>
      </c>
      <c r="V79">
        <v>0</v>
      </c>
      <c r="W79">
        <v>0</v>
      </c>
      <c r="X79">
        <v>54</v>
      </c>
      <c r="Y79">
        <v>6</v>
      </c>
      <c r="Z79">
        <v>54.75</v>
      </c>
      <c r="AA79">
        <v>54.75</v>
      </c>
      <c r="AB79">
        <v>0</v>
      </c>
      <c r="AC79">
        <v>54</v>
      </c>
      <c r="AD79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9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424</v>
      </c>
      <c r="N1" s="1" t="s">
        <v>425</v>
      </c>
      <c r="O1" s="1" t="s">
        <v>20</v>
      </c>
      <c r="P1" s="1" t="s">
        <v>21</v>
      </c>
      <c r="Q1" s="1" t="s">
        <v>12</v>
      </c>
      <c r="R1" s="1" t="s">
        <v>13</v>
      </c>
      <c r="S1" s="1" t="s">
        <v>22</v>
      </c>
      <c r="T1" s="1" t="s">
        <v>23</v>
      </c>
      <c r="U1" s="1" t="s">
        <v>14</v>
      </c>
      <c r="V1" s="1" t="s">
        <v>15</v>
      </c>
      <c r="W1" s="1" t="s">
        <v>24</v>
      </c>
      <c r="X1" s="1" t="s">
        <v>25</v>
      </c>
      <c r="Y1" s="1" t="s">
        <v>16</v>
      </c>
      <c r="Z1" s="1" t="s">
        <v>17</v>
      </c>
      <c r="AA1" s="1" t="s">
        <v>26</v>
      </c>
      <c r="AB1" s="1" t="s">
        <v>27</v>
      </c>
      <c r="AC1" s="1" t="s">
        <v>426</v>
      </c>
      <c r="AD1" s="1" t="s">
        <v>427</v>
      </c>
      <c r="AE1" s="1" t="s">
        <v>428</v>
      </c>
      <c r="AF1" s="1" t="s">
        <v>429</v>
      </c>
      <c r="AG1" s="1" t="s">
        <v>430</v>
      </c>
      <c r="AH1" s="1" t="s">
        <v>419</v>
      </c>
      <c r="AI1" s="1" t="s">
        <v>420</v>
      </c>
      <c r="AJ1" s="1" t="s">
        <v>431</v>
      </c>
    </row>
    <row r="2" spans="1:36" x14ac:dyDescent="0.2">
      <c r="A2" t="s">
        <v>92</v>
      </c>
      <c r="B2" t="s">
        <v>93</v>
      </c>
      <c r="C2">
        <v>32.35</v>
      </c>
      <c r="D2">
        <v>32</v>
      </c>
      <c r="E2">
        <v>7</v>
      </c>
      <c r="F2">
        <v>0</v>
      </c>
      <c r="G2" t="s">
        <v>94</v>
      </c>
      <c r="H2">
        <v>6</v>
      </c>
      <c r="I2">
        <v>1</v>
      </c>
      <c r="J2">
        <v>6.125</v>
      </c>
      <c r="K2">
        <v>121.3125</v>
      </c>
      <c r="L2">
        <v>-115.1875</v>
      </c>
      <c r="M2">
        <v>121</v>
      </c>
      <c r="N2">
        <v>2.5</v>
      </c>
      <c r="O2">
        <v>5</v>
      </c>
      <c r="P2">
        <v>4</v>
      </c>
      <c r="Q2">
        <v>6</v>
      </c>
      <c r="R2">
        <v>1</v>
      </c>
      <c r="S2">
        <v>3</v>
      </c>
      <c r="T2">
        <v>10</v>
      </c>
      <c r="AC2">
        <v>0.26666666666666672</v>
      </c>
      <c r="AD2">
        <v>0.19166666666666671</v>
      </c>
      <c r="AG2">
        <v>121.3125</v>
      </c>
      <c r="AI2">
        <v>0.22916666666666671</v>
      </c>
      <c r="AJ2" t="s">
        <v>94</v>
      </c>
    </row>
    <row r="3" spans="1:36" x14ac:dyDescent="0.2">
      <c r="A3" t="s">
        <v>92</v>
      </c>
      <c r="B3" t="s">
        <v>95</v>
      </c>
      <c r="C3">
        <v>3</v>
      </c>
      <c r="D3">
        <v>3</v>
      </c>
      <c r="E3">
        <v>0</v>
      </c>
      <c r="F3">
        <v>1</v>
      </c>
      <c r="G3" t="s">
        <v>96</v>
      </c>
      <c r="H3">
        <v>12</v>
      </c>
      <c r="I3">
        <v>7</v>
      </c>
      <c r="J3">
        <v>12.875</v>
      </c>
      <c r="K3">
        <v>12.875</v>
      </c>
      <c r="L3">
        <v>0</v>
      </c>
      <c r="M3">
        <v>12</v>
      </c>
      <c r="N3">
        <v>7</v>
      </c>
      <c r="O3">
        <v>4</v>
      </c>
      <c r="P3">
        <v>8</v>
      </c>
      <c r="AC3">
        <v>0.23333333333333331</v>
      </c>
      <c r="AG3">
        <v>12.875</v>
      </c>
      <c r="AH3">
        <v>0.23333333333333331</v>
      </c>
      <c r="AI3">
        <v>0.23333333333333331</v>
      </c>
      <c r="AJ3" t="s">
        <v>96</v>
      </c>
    </row>
    <row r="4" spans="1:36" x14ac:dyDescent="0.2">
      <c r="A4" t="s">
        <v>92</v>
      </c>
      <c r="B4" t="s">
        <v>97</v>
      </c>
      <c r="C4">
        <v>1.62</v>
      </c>
      <c r="D4">
        <v>1</v>
      </c>
      <c r="E4">
        <v>12</v>
      </c>
      <c r="F4">
        <v>6</v>
      </c>
      <c r="G4" t="s">
        <v>98</v>
      </c>
      <c r="H4">
        <v>16</v>
      </c>
      <c r="I4">
        <v>2</v>
      </c>
      <c r="J4">
        <v>16.25</v>
      </c>
      <c r="K4">
        <v>1.375</v>
      </c>
      <c r="L4">
        <v>14.875</v>
      </c>
      <c r="M4">
        <v>1</v>
      </c>
      <c r="N4">
        <v>3</v>
      </c>
      <c r="O4">
        <v>3</v>
      </c>
      <c r="P4">
        <v>4</v>
      </c>
      <c r="Q4">
        <v>16</v>
      </c>
      <c r="R4">
        <v>2</v>
      </c>
      <c r="S4">
        <v>2</v>
      </c>
      <c r="T4">
        <v>0</v>
      </c>
      <c r="AC4">
        <v>0.16666666666666671</v>
      </c>
      <c r="AD4">
        <v>0.1</v>
      </c>
      <c r="AG4">
        <v>1.375</v>
      </c>
      <c r="AI4">
        <v>0.1333333333333333</v>
      </c>
      <c r="AJ4" t="s">
        <v>98</v>
      </c>
    </row>
    <row r="5" spans="1:36" x14ac:dyDescent="0.2">
      <c r="A5" t="s">
        <v>92</v>
      </c>
      <c r="B5" t="s">
        <v>99</v>
      </c>
      <c r="C5">
        <v>0.59</v>
      </c>
      <c r="D5">
        <v>0</v>
      </c>
      <c r="E5">
        <v>11</v>
      </c>
      <c r="F5">
        <v>9</v>
      </c>
      <c r="G5" t="s">
        <v>100</v>
      </c>
      <c r="H5">
        <v>5</v>
      </c>
      <c r="I5">
        <v>7</v>
      </c>
      <c r="J5">
        <v>5.875</v>
      </c>
      <c r="K5">
        <v>5.875</v>
      </c>
      <c r="L5">
        <v>0</v>
      </c>
      <c r="M5">
        <v>5</v>
      </c>
      <c r="N5">
        <v>7</v>
      </c>
      <c r="O5">
        <v>2</v>
      </c>
      <c r="P5">
        <v>0</v>
      </c>
      <c r="AC5">
        <v>0.1</v>
      </c>
      <c r="AG5">
        <v>5.875</v>
      </c>
      <c r="AH5">
        <v>0.1</v>
      </c>
      <c r="AI5">
        <v>0.1</v>
      </c>
      <c r="AJ5" t="s">
        <v>100</v>
      </c>
    </row>
    <row r="6" spans="1:36" x14ac:dyDescent="0.2">
      <c r="A6" t="s">
        <v>92</v>
      </c>
      <c r="B6" t="s">
        <v>101</v>
      </c>
      <c r="C6">
        <v>0.09</v>
      </c>
      <c r="D6">
        <v>0</v>
      </c>
      <c r="E6">
        <v>1</v>
      </c>
      <c r="F6">
        <v>10</v>
      </c>
      <c r="G6" t="s">
        <v>102</v>
      </c>
      <c r="H6">
        <v>1</v>
      </c>
      <c r="I6">
        <v>3</v>
      </c>
      <c r="J6">
        <v>1.375</v>
      </c>
      <c r="K6">
        <v>1.375</v>
      </c>
      <c r="L6">
        <v>0</v>
      </c>
      <c r="M6">
        <v>1</v>
      </c>
      <c r="N6">
        <v>3</v>
      </c>
      <c r="AC6">
        <v>6.5454545454545446E-2</v>
      </c>
      <c r="AG6">
        <v>1.375</v>
      </c>
      <c r="AH6">
        <v>6.5454545454545446E-2</v>
      </c>
      <c r="AI6">
        <v>6.5454545454545446E-2</v>
      </c>
      <c r="AJ6" t="s">
        <v>102</v>
      </c>
    </row>
    <row r="7" spans="1:36" x14ac:dyDescent="0.2">
      <c r="A7" t="s">
        <v>92</v>
      </c>
      <c r="B7" t="s">
        <v>103</v>
      </c>
      <c r="C7">
        <v>5.93</v>
      </c>
      <c r="D7">
        <v>5</v>
      </c>
      <c r="E7">
        <v>18</v>
      </c>
      <c r="F7">
        <v>7.5</v>
      </c>
      <c r="G7" t="s">
        <v>104</v>
      </c>
      <c r="H7">
        <v>54</v>
      </c>
      <c r="I7">
        <v>6</v>
      </c>
      <c r="J7">
        <v>54.75</v>
      </c>
      <c r="K7">
        <v>54.75</v>
      </c>
      <c r="L7">
        <v>0</v>
      </c>
      <c r="M7">
        <v>54</v>
      </c>
      <c r="N7">
        <v>6</v>
      </c>
      <c r="O7">
        <v>2</v>
      </c>
      <c r="P7">
        <v>2</v>
      </c>
      <c r="AC7">
        <v>0.1083333333333333</v>
      </c>
      <c r="AG7">
        <v>54.75</v>
      </c>
      <c r="AH7">
        <v>0.1083333333333333</v>
      </c>
      <c r="AI7">
        <v>0.1083333333333333</v>
      </c>
      <c r="AJ7" t="s">
        <v>104</v>
      </c>
    </row>
    <row r="8" spans="1:36" x14ac:dyDescent="0.2">
      <c r="A8" t="s">
        <v>92</v>
      </c>
      <c r="B8" t="s">
        <v>105</v>
      </c>
      <c r="C8">
        <v>0.44</v>
      </c>
      <c r="D8">
        <v>0</v>
      </c>
      <c r="E8">
        <v>8</v>
      </c>
      <c r="F8">
        <v>9</v>
      </c>
      <c r="G8" t="s">
        <v>106</v>
      </c>
      <c r="H8">
        <v>2</v>
      </c>
      <c r="I8">
        <v>5</v>
      </c>
      <c r="J8">
        <v>2.625</v>
      </c>
      <c r="K8">
        <v>2.625</v>
      </c>
      <c r="L8">
        <v>0</v>
      </c>
      <c r="M8">
        <v>2</v>
      </c>
      <c r="N8">
        <v>5</v>
      </c>
      <c r="AC8">
        <v>0.16761904761904761</v>
      </c>
      <c r="AG8">
        <v>2.625</v>
      </c>
      <c r="AH8">
        <v>0.16761904761904761</v>
      </c>
      <c r="AI8">
        <v>0.16761904761904761</v>
      </c>
      <c r="AJ8" t="s">
        <v>106</v>
      </c>
    </row>
    <row r="9" spans="1:36" x14ac:dyDescent="0.2">
      <c r="A9" t="s">
        <v>92</v>
      </c>
      <c r="B9" t="s">
        <v>107</v>
      </c>
      <c r="C9">
        <v>45.43</v>
      </c>
      <c r="D9">
        <v>45</v>
      </c>
      <c r="E9">
        <v>8</v>
      </c>
      <c r="F9">
        <v>7.25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C9" t="s">
        <v>432</v>
      </c>
      <c r="AG9">
        <v>0</v>
      </c>
      <c r="AH9" t="s">
        <v>432</v>
      </c>
      <c r="AI9" t="s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2024-04-19T11:10:16Z</dcterms:created>
  <dcterms:modified xsi:type="dcterms:W3CDTF">2025-09-02T18:59:30Z</dcterms:modified>
</cp:coreProperties>
</file>
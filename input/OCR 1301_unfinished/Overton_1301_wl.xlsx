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iagierok/Dropbox/Physical Capital England/Decennial 2018/Detailed Estimates/Winchester Pipe Rolls/1301-1302/final new agricultural production/"/>
    </mc:Choice>
  </mc:AlternateContent>
  <xr:revisionPtr revIDLastSave="0" documentId="13_ncr:1_{EDDF6C21-29A5-A04B-BD29-3AC2A16BB6D1}" xr6:coauthVersionLast="47" xr6:coauthVersionMax="47" xr10:uidLastSave="{00000000-0000-0000-0000-000000000000}"/>
  <bookViews>
    <workbookView xWindow="10100" yWindow="500" windowWidth="18640" windowHeight="16620" activeTab="5" xr2:uid="{23B83A58-82C6-F74F-B690-D0207AADBAFA}"/>
  </bookViews>
  <sheets>
    <sheet name="Overton Overview" sheetId="5" r:id="rId1"/>
    <sheet name="Overton Receipts" sheetId="1" r:id="rId2"/>
    <sheet name="Overton Expenses" sheetId="2" r:id="rId3"/>
    <sheet name="Issues of the Grange" sheetId="4" r:id="rId4"/>
    <sheet name="Issues of the Mill" sheetId="8" r:id="rId5"/>
    <sheet name="Stock" sheetId="6" r:id="rId6"/>
    <sheet name="Assumption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9" i="6" l="1"/>
  <c r="Q35" i="6"/>
  <c r="R35" i="6"/>
  <c r="S35" i="6"/>
  <c r="S37" i="6"/>
  <c r="H45" i="5"/>
  <c r="H46" i="5"/>
  <c r="H47" i="5"/>
  <c r="H48" i="5"/>
  <c r="H49" i="5"/>
  <c r="H44" i="5"/>
  <c r="G50" i="5" s="1"/>
  <c r="F157" i="2"/>
  <c r="G31" i="5" s="1"/>
  <c r="G13" i="5" l="1"/>
  <c r="F156" i="2"/>
  <c r="K108" i="2"/>
  <c r="K109" i="2"/>
  <c r="K110" i="2"/>
  <c r="K111" i="2"/>
  <c r="K112" i="2"/>
  <c r="K114" i="2"/>
  <c r="K116" i="2"/>
  <c r="K117" i="2"/>
  <c r="K107" i="2"/>
  <c r="J117" i="2"/>
  <c r="J116" i="2"/>
  <c r="J107" i="2"/>
  <c r="J108" i="2"/>
  <c r="J109" i="2"/>
  <c r="J110" i="2"/>
  <c r="J111" i="2"/>
  <c r="J112" i="2"/>
  <c r="J114" i="2"/>
  <c r="J106" i="2"/>
  <c r="K84" i="2"/>
  <c r="K85" i="2"/>
  <c r="K86" i="2"/>
  <c r="K87" i="2"/>
  <c r="K88" i="2"/>
  <c r="K89" i="2"/>
  <c r="K90" i="2"/>
  <c r="K93" i="2"/>
  <c r="K94" i="2"/>
  <c r="K95" i="2"/>
  <c r="K96" i="2"/>
  <c r="K97" i="2"/>
  <c r="K98" i="2"/>
  <c r="K99" i="2"/>
  <c r="K83" i="2"/>
  <c r="J94" i="2"/>
  <c r="J95" i="2"/>
  <c r="J96" i="2"/>
  <c r="J97" i="2"/>
  <c r="J98" i="2"/>
  <c r="J99" i="2"/>
  <c r="J93" i="2"/>
  <c r="J84" i="2"/>
  <c r="J85" i="2"/>
  <c r="J86" i="2"/>
  <c r="J87" i="2"/>
  <c r="J88" i="2"/>
  <c r="J89" i="2"/>
  <c r="J90" i="2"/>
  <c r="J83" i="2"/>
  <c r="K56" i="2"/>
  <c r="J56" i="2"/>
  <c r="K50" i="2"/>
  <c r="K51" i="2"/>
  <c r="K52" i="2"/>
  <c r="K53" i="2"/>
  <c r="K49" i="2"/>
  <c r="J50" i="2"/>
  <c r="J51" i="2"/>
  <c r="J52" i="2"/>
  <c r="J53" i="2"/>
  <c r="J49" i="2"/>
  <c r="K32" i="2"/>
  <c r="K33" i="2"/>
  <c r="K34" i="2"/>
  <c r="K35" i="2"/>
  <c r="K36" i="2"/>
  <c r="K37" i="2"/>
  <c r="K38" i="2"/>
  <c r="K39" i="2"/>
  <c r="K40" i="2"/>
  <c r="K41" i="2"/>
  <c r="K31" i="2"/>
  <c r="J32" i="2"/>
  <c r="J33" i="2"/>
  <c r="J34" i="2"/>
  <c r="J35" i="2"/>
  <c r="J36" i="2"/>
  <c r="J37" i="2"/>
  <c r="J38" i="2"/>
  <c r="J39" i="2"/>
  <c r="J40" i="2"/>
  <c r="J41" i="2"/>
  <c r="J31" i="2"/>
  <c r="K5" i="2"/>
  <c r="K6" i="2"/>
  <c r="K7" i="2"/>
  <c r="K8" i="2"/>
  <c r="K9" i="2"/>
  <c r="K10" i="2"/>
  <c r="K11" i="2"/>
  <c r="K12" i="2"/>
  <c r="K13" i="2"/>
  <c r="K4" i="2"/>
  <c r="G61" i="5"/>
  <c r="G57" i="5"/>
  <c r="G58" i="5"/>
  <c r="G59" i="5"/>
  <c r="G56" i="5"/>
  <c r="G60" i="5" s="1"/>
  <c r="B57" i="5"/>
  <c r="B58" i="5"/>
  <c r="B59" i="5"/>
  <c r="B56" i="5"/>
  <c r="Q88" i="6"/>
  <c r="Q89" i="6"/>
  <c r="Q90" i="6"/>
  <c r="S91" i="6"/>
  <c r="S87" i="6"/>
  <c r="Q87" i="6" s="1"/>
  <c r="S86" i="6"/>
  <c r="S68" i="6"/>
  <c r="R68" i="6" s="1"/>
  <c r="G128" i="5" s="1"/>
  <c r="S62" i="6"/>
  <c r="S59" i="6"/>
  <c r="Q59" i="6" s="1"/>
  <c r="S52" i="6"/>
  <c r="Q52" i="6" s="1"/>
  <c r="S21" i="6"/>
  <c r="Q5" i="6"/>
  <c r="Q6" i="6"/>
  <c r="Q7" i="6"/>
  <c r="Q8" i="6"/>
  <c r="Q9" i="6"/>
  <c r="Q10" i="6"/>
  <c r="L21" i="6"/>
  <c r="Q21" i="6" s="1"/>
  <c r="R21" i="6" s="1"/>
  <c r="K87" i="6"/>
  <c r="D86" i="6"/>
  <c r="K86" i="6" s="1"/>
  <c r="B62" i="6"/>
  <c r="K68" i="6"/>
  <c r="G62" i="6"/>
  <c r="K59" i="6"/>
  <c r="K54" i="6"/>
  <c r="S25" i="6"/>
  <c r="L25" i="6" s="1"/>
  <c r="Q25" i="6" s="1"/>
  <c r="R25" i="6" s="1"/>
  <c r="S20" i="6"/>
  <c r="L20" i="6" s="1"/>
  <c r="Q20" i="6" s="1"/>
  <c r="R20" i="6" s="1"/>
  <c r="S17" i="6"/>
  <c r="L17" i="6" s="1"/>
  <c r="Q17" i="6" s="1"/>
  <c r="R17" i="6" s="1"/>
  <c r="S12" i="6"/>
  <c r="L12" i="6" s="1"/>
  <c r="Q12" i="6" s="1"/>
  <c r="R12" i="6" s="1"/>
  <c r="S13" i="6"/>
  <c r="L13" i="6" s="1"/>
  <c r="Q13" i="6" s="1"/>
  <c r="R13" i="6" s="1"/>
  <c r="S14" i="6"/>
  <c r="L14" i="6" s="1"/>
  <c r="Q14" i="6" s="1"/>
  <c r="R14" i="6" s="1"/>
  <c r="S11" i="6"/>
  <c r="L11" i="6" s="1"/>
  <c r="Q11" i="6" s="1"/>
  <c r="R11" i="6" s="1"/>
  <c r="S4" i="6"/>
  <c r="C23" i="2"/>
  <c r="D23" i="2"/>
  <c r="B23" i="2"/>
  <c r="F16" i="2"/>
  <c r="F17" i="2"/>
  <c r="F18" i="2"/>
  <c r="F19" i="2"/>
  <c r="F20" i="2"/>
  <c r="F21" i="2"/>
  <c r="C129" i="2"/>
  <c r="D129" i="2"/>
  <c r="B129" i="2"/>
  <c r="F169" i="1"/>
  <c r="F168" i="1"/>
  <c r="M6" i="8"/>
  <c r="R12" i="8"/>
  <c r="R11" i="8"/>
  <c r="E6" i="8"/>
  <c r="O6" i="8"/>
  <c r="Q6" i="8" s="1"/>
  <c r="R6" i="8" s="1"/>
  <c r="N5" i="8"/>
  <c r="P5" i="8" s="1"/>
  <c r="L5" i="8"/>
  <c r="B45" i="5"/>
  <c r="B46" i="5"/>
  <c r="B47" i="5"/>
  <c r="B48" i="5"/>
  <c r="B49" i="5"/>
  <c r="B44" i="5"/>
  <c r="G52" i="5"/>
  <c r="G45" i="5"/>
  <c r="G46" i="5"/>
  <c r="G47" i="5"/>
  <c r="G48" i="5"/>
  <c r="G49" i="5"/>
  <c r="G44" i="5"/>
  <c r="P87" i="6"/>
  <c r="P86" i="6"/>
  <c r="I34" i="6"/>
  <c r="K34" i="6" s="1"/>
  <c r="I22" i="6"/>
  <c r="H22" i="6"/>
  <c r="I21" i="6"/>
  <c r="K21" i="6" s="1"/>
  <c r="H20" i="6"/>
  <c r="K20" i="6" s="1"/>
  <c r="K43" i="6"/>
  <c r="K44" i="6"/>
  <c r="K45" i="6"/>
  <c r="K46" i="6"/>
  <c r="K47" i="6"/>
  <c r="K48" i="6"/>
  <c r="K49" i="6"/>
  <c r="K50" i="6"/>
  <c r="K51" i="6"/>
  <c r="K52" i="6"/>
  <c r="K53" i="6"/>
  <c r="K14" i="6"/>
  <c r="K15" i="6"/>
  <c r="K16" i="6"/>
  <c r="K17" i="6"/>
  <c r="K18" i="6"/>
  <c r="K19" i="6"/>
  <c r="K23" i="6"/>
  <c r="K24" i="6"/>
  <c r="K25" i="6"/>
  <c r="K26" i="6"/>
  <c r="K27" i="6"/>
  <c r="K28" i="6"/>
  <c r="K29" i="6"/>
  <c r="K33" i="6"/>
  <c r="K35" i="6"/>
  <c r="K36" i="6"/>
  <c r="K37" i="6"/>
  <c r="K38" i="6"/>
  <c r="K5" i="6"/>
  <c r="K6" i="6"/>
  <c r="K7" i="6"/>
  <c r="K8" i="6"/>
  <c r="K9" i="6"/>
  <c r="K10" i="6"/>
  <c r="K11" i="6"/>
  <c r="K12" i="6"/>
  <c r="K13" i="6"/>
  <c r="K4" i="6"/>
  <c r="J22" i="4"/>
  <c r="I22" i="4"/>
  <c r="I21" i="4"/>
  <c r="J21" i="4"/>
  <c r="I19" i="4"/>
  <c r="T14" i="4"/>
  <c r="H14" i="4"/>
  <c r="T5" i="4"/>
  <c r="P25" i="4"/>
  <c r="M11" i="4"/>
  <c r="S5" i="4"/>
  <c r="M10" i="4"/>
  <c r="O9" i="4"/>
  <c r="M9" i="4"/>
  <c r="O8" i="4"/>
  <c r="M8" i="4"/>
  <c r="M7" i="4"/>
  <c r="M6" i="4"/>
  <c r="Q5" i="4"/>
  <c r="O5" i="4"/>
  <c r="M5" i="4"/>
  <c r="F142" i="1"/>
  <c r="D7" i="8"/>
  <c r="D8" i="8"/>
  <c r="D6" i="8"/>
  <c r="D5" i="8"/>
  <c r="M5" i="8" s="1"/>
  <c r="N8" i="8"/>
  <c r="P8" i="8" s="1"/>
  <c r="R8" i="8" s="1"/>
  <c r="L8" i="8"/>
  <c r="N7" i="8"/>
  <c r="P7" i="8" s="1"/>
  <c r="L7" i="8"/>
  <c r="L6" i="8"/>
  <c r="R62" i="6" l="1"/>
  <c r="Q91" i="6"/>
  <c r="S92" i="6"/>
  <c r="Q86" i="6"/>
  <c r="S88" i="6"/>
  <c r="L4" i="6"/>
  <c r="Q4" i="6" s="1"/>
  <c r="R4" i="6" s="1"/>
  <c r="F142" i="5"/>
  <c r="G51" i="5"/>
  <c r="K62" i="6"/>
  <c r="R5" i="8"/>
  <c r="R7" i="8"/>
  <c r="M7" i="8"/>
  <c r="M8" i="8"/>
  <c r="K22" i="6"/>
  <c r="B7" i="4" l="1"/>
  <c r="H6" i="4"/>
  <c r="H7" i="4"/>
  <c r="H8" i="4"/>
  <c r="H9" i="4"/>
  <c r="H10" i="4"/>
  <c r="H11" i="4"/>
  <c r="H5" i="4"/>
  <c r="S7" i="4"/>
  <c r="K7" i="4"/>
  <c r="L7" i="4" l="1"/>
  <c r="T7" i="4"/>
  <c r="F153" i="2" l="1"/>
  <c r="G36" i="5" s="1"/>
  <c r="G37" i="5" s="1"/>
  <c r="C146" i="2"/>
  <c r="D146" i="2"/>
  <c r="B146" i="2"/>
  <c r="C145" i="2"/>
  <c r="C72" i="2"/>
  <c r="D71" i="2"/>
  <c r="C71" i="2"/>
  <c r="F66" i="2"/>
  <c r="F67" i="2"/>
  <c r="F68" i="2"/>
  <c r="F69" i="2"/>
  <c r="F70" i="2"/>
  <c r="D72" i="2"/>
  <c r="B72" i="2"/>
  <c r="F62" i="2"/>
  <c r="F63" i="2"/>
  <c r="F64" i="2"/>
  <c r="F65" i="2"/>
  <c r="D102" i="2"/>
  <c r="C101" i="2"/>
  <c r="C102" i="2"/>
  <c r="B102" i="2"/>
  <c r="F100" i="2"/>
  <c r="F99" i="2"/>
  <c r="F88" i="2"/>
  <c r="F95" i="2"/>
  <c r="F96" i="2"/>
  <c r="F97" i="2"/>
  <c r="F86" i="2"/>
  <c r="F87" i="2"/>
  <c r="F89" i="2"/>
  <c r="F90" i="2"/>
  <c r="F91" i="2"/>
  <c r="F92" i="2"/>
  <c r="D58" i="2"/>
  <c r="C58" i="2"/>
  <c r="B58" i="2"/>
  <c r="F55" i="2"/>
  <c r="F56" i="2"/>
  <c r="F85" i="2"/>
  <c r="F93" i="2"/>
  <c r="F94" i="2"/>
  <c r="F98" i="2"/>
  <c r="C120" i="2"/>
  <c r="D120" i="2"/>
  <c r="B120" i="2"/>
  <c r="D119" i="2"/>
  <c r="F117" i="2"/>
  <c r="G166" i="1"/>
  <c r="C166" i="1"/>
  <c r="D166" i="1"/>
  <c r="B166" i="1"/>
  <c r="F158" i="1"/>
  <c r="F159" i="1"/>
  <c r="F160" i="1"/>
  <c r="F161" i="1"/>
  <c r="F162" i="1"/>
  <c r="F163" i="1"/>
  <c r="F164" i="1"/>
  <c r="F165" i="1"/>
  <c r="C156" i="1"/>
  <c r="D156" i="1"/>
  <c r="B156" i="1"/>
  <c r="F151" i="1"/>
  <c r="F152" i="1"/>
  <c r="F153" i="1"/>
  <c r="F154" i="1"/>
  <c r="F155" i="1"/>
  <c r="D139" i="1"/>
  <c r="C139" i="1"/>
  <c r="B139" i="1"/>
  <c r="F139" i="1" s="1"/>
  <c r="F138" i="1"/>
  <c r="F137" i="1"/>
  <c r="C134" i="1"/>
  <c r="D134" i="1"/>
  <c r="B134" i="1"/>
  <c r="F133" i="1"/>
  <c r="F132" i="1"/>
  <c r="F130" i="1"/>
  <c r="F131" i="1"/>
  <c r="F129" i="1"/>
  <c r="F121" i="1"/>
  <c r="F123" i="1"/>
  <c r="C126" i="1"/>
  <c r="D126" i="1"/>
  <c r="B126" i="1"/>
  <c r="F124" i="1"/>
  <c r="C115" i="1"/>
  <c r="B115" i="1"/>
  <c r="F114" i="1"/>
  <c r="F81" i="1"/>
  <c r="D115" i="1"/>
  <c r="F111" i="1"/>
  <c r="F112" i="1"/>
  <c r="F113" i="1"/>
  <c r="F66" i="1"/>
  <c r="F67" i="1"/>
  <c r="B68" i="1"/>
  <c r="C68" i="1"/>
  <c r="D68" i="1"/>
  <c r="F71" i="2" l="1"/>
  <c r="F72" i="2"/>
  <c r="G72" i="2" s="1"/>
  <c r="F134" i="1"/>
  <c r="G134" i="1" s="1"/>
  <c r="G139" i="1"/>
  <c r="F115" i="1"/>
  <c r="F68" i="1"/>
  <c r="G68" i="1" s="1"/>
  <c r="F60" i="1" l="1"/>
  <c r="C61" i="1"/>
  <c r="D61" i="1"/>
  <c r="B61" i="1"/>
  <c r="F58" i="1"/>
  <c r="F59" i="1"/>
  <c r="F57" i="1"/>
  <c r="F56" i="1"/>
  <c r="F52" i="1"/>
  <c r="F53" i="1"/>
  <c r="F54" i="1"/>
  <c r="F49" i="1"/>
  <c r="F50" i="1"/>
  <c r="F51" i="1"/>
  <c r="F43" i="1"/>
  <c r="F44" i="1"/>
  <c r="F45" i="1"/>
  <c r="F61" i="1" l="1"/>
  <c r="C28" i="1"/>
  <c r="B28" i="1"/>
  <c r="C14" i="1"/>
  <c r="D14" i="1"/>
  <c r="B14" i="1"/>
  <c r="K24" i="4"/>
  <c r="D28" i="1"/>
  <c r="C144" i="5"/>
  <c r="B144" i="5"/>
  <c r="C143" i="5"/>
  <c r="B143" i="5"/>
  <c r="C142" i="5"/>
  <c r="B142" i="5"/>
  <c r="C137" i="5"/>
  <c r="B137" i="5"/>
  <c r="C136" i="5"/>
  <c r="B136" i="5"/>
  <c r="C131" i="5"/>
  <c r="B131" i="5"/>
  <c r="C130" i="5"/>
  <c r="B130" i="5"/>
  <c r="C129" i="5"/>
  <c r="B129" i="5"/>
  <c r="C128" i="5"/>
  <c r="B128" i="5"/>
  <c r="C123" i="5"/>
  <c r="B123" i="5"/>
  <c r="C122" i="5"/>
  <c r="B122" i="5"/>
  <c r="C121" i="5"/>
  <c r="B121" i="5"/>
  <c r="C120" i="5"/>
  <c r="B120" i="5"/>
  <c r="C119" i="5"/>
  <c r="B119" i="5"/>
  <c r="C118" i="5"/>
  <c r="B118" i="5"/>
  <c r="C117" i="5"/>
  <c r="B117" i="5"/>
  <c r="C116" i="5"/>
  <c r="B116" i="5"/>
  <c r="C115" i="5"/>
  <c r="B115" i="5"/>
  <c r="C114" i="5"/>
  <c r="B114" i="5"/>
  <c r="C113" i="5"/>
  <c r="B113" i="5"/>
  <c r="C112" i="5"/>
  <c r="B112" i="5"/>
  <c r="C111" i="5"/>
  <c r="B111" i="5"/>
  <c r="C110" i="5"/>
  <c r="B110" i="5"/>
  <c r="C109" i="5"/>
  <c r="B109" i="5"/>
  <c r="C108" i="5"/>
  <c r="B108" i="5"/>
  <c r="C107" i="5"/>
  <c r="B107" i="5"/>
  <c r="C106" i="5"/>
  <c r="B106" i="5"/>
  <c r="C105" i="5"/>
  <c r="B105" i="5"/>
  <c r="C104" i="5"/>
  <c r="B104" i="5"/>
  <c r="C99" i="5"/>
  <c r="B99" i="5"/>
  <c r="C98" i="5"/>
  <c r="B98" i="5"/>
  <c r="C97" i="5"/>
  <c r="B97" i="5"/>
  <c r="C96" i="5"/>
  <c r="B96" i="5"/>
  <c r="C95" i="5"/>
  <c r="B95" i="5"/>
  <c r="C90" i="5"/>
  <c r="B90" i="5"/>
  <c r="C89" i="5"/>
  <c r="B89" i="5"/>
  <c r="C88" i="5"/>
  <c r="B88" i="5"/>
  <c r="C87" i="5"/>
  <c r="B87" i="5"/>
  <c r="C86" i="5"/>
  <c r="B86" i="5"/>
  <c r="C85" i="5"/>
  <c r="B85" i="5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68" i="5"/>
  <c r="B68" i="5"/>
  <c r="C67" i="5"/>
  <c r="B67" i="5"/>
  <c r="C66" i="5"/>
  <c r="B66" i="5"/>
  <c r="C65" i="5"/>
  <c r="B65" i="5"/>
  <c r="F171" i="1"/>
  <c r="G15" i="5" s="1"/>
  <c r="G73" i="5"/>
  <c r="F75" i="5"/>
  <c r="F82" i="5"/>
  <c r="Q33" i="6"/>
  <c r="S33" i="6" s="1"/>
  <c r="S34" i="6"/>
  <c r="F95" i="5" s="1"/>
  <c r="F96" i="5"/>
  <c r="R36" i="6"/>
  <c r="G97" i="5" s="1"/>
  <c r="Q37" i="6"/>
  <c r="Q38" i="6"/>
  <c r="S38" i="6" s="1"/>
  <c r="F99" i="5" s="1"/>
  <c r="Q42" i="6"/>
  <c r="S42" i="6" s="1"/>
  <c r="Q43" i="6"/>
  <c r="Q44" i="6"/>
  <c r="Q45" i="6"/>
  <c r="R45" i="6" s="1"/>
  <c r="G106" i="5" s="1"/>
  <c r="Q46" i="6"/>
  <c r="Q47" i="6"/>
  <c r="Q48" i="6"/>
  <c r="S48" i="6" s="1"/>
  <c r="F109" i="5" s="1"/>
  <c r="Q49" i="6"/>
  <c r="R49" i="6" s="1"/>
  <c r="G110" i="5" s="1"/>
  <c r="Q50" i="6"/>
  <c r="F111" i="5" s="1"/>
  <c r="Q51" i="6"/>
  <c r="S51" i="6" s="1"/>
  <c r="F112" i="5" s="1"/>
  <c r="Q53" i="6"/>
  <c r="S53" i="6" s="1"/>
  <c r="F114" i="5" s="1"/>
  <c r="Q54" i="6"/>
  <c r="R54" i="6" s="1"/>
  <c r="Q55" i="6"/>
  <c r="R55" i="6" s="1"/>
  <c r="G116" i="5" s="1"/>
  <c r="Q56" i="6"/>
  <c r="S56" i="6" s="1"/>
  <c r="F117" i="5" s="1"/>
  <c r="Q57" i="6"/>
  <c r="S57" i="6" s="1"/>
  <c r="F118" i="5" s="1"/>
  <c r="Q58" i="6"/>
  <c r="S58" i="6" s="1"/>
  <c r="F119" i="5" s="1"/>
  <c r="Q62" i="6"/>
  <c r="Q63" i="6"/>
  <c r="S63" i="6" s="1"/>
  <c r="F122" i="5" s="1"/>
  <c r="Q64" i="6"/>
  <c r="S64" i="6" s="1"/>
  <c r="F123" i="5" s="1"/>
  <c r="Q65" i="6"/>
  <c r="Q66" i="6"/>
  <c r="S66" i="6" s="1"/>
  <c r="Q67" i="6"/>
  <c r="S67" i="6" s="1"/>
  <c r="Q68" i="6"/>
  <c r="Q69" i="6"/>
  <c r="Q70" i="6"/>
  <c r="Q71" i="6"/>
  <c r="S71" i="6" s="1"/>
  <c r="F131" i="5" s="1"/>
  <c r="Q72" i="6"/>
  <c r="Q73" i="6"/>
  <c r="S73" i="6" s="1"/>
  <c r="Q74" i="6"/>
  <c r="S74" i="6" s="1"/>
  <c r="Q75" i="6"/>
  <c r="S75" i="6" s="1"/>
  <c r="F136" i="5" s="1"/>
  <c r="Q76" i="6"/>
  <c r="R76" i="6" s="1"/>
  <c r="G137" i="5" s="1"/>
  <c r="Q77" i="6"/>
  <c r="Q78" i="6"/>
  <c r="Q79" i="6"/>
  <c r="S79" i="6" s="1"/>
  <c r="Q80" i="6"/>
  <c r="S80" i="6" s="1"/>
  <c r="Q81" i="6"/>
  <c r="S81" i="6" s="1"/>
  <c r="Q82" i="6"/>
  <c r="R82" i="6" s="1"/>
  <c r="Q83" i="6"/>
  <c r="S83" i="6" s="1"/>
  <c r="Q84" i="6"/>
  <c r="S84" i="6" s="1"/>
  <c r="Q85" i="6"/>
  <c r="S85" i="6" s="1"/>
  <c r="Q93" i="6"/>
  <c r="S93" i="6" s="1"/>
  <c r="Q94" i="6"/>
  <c r="S94" i="6" s="1"/>
  <c r="Q95" i="6"/>
  <c r="S95" i="6" s="1"/>
  <c r="Q96" i="6"/>
  <c r="S96" i="6" s="1"/>
  <c r="Q97" i="6"/>
  <c r="S97" i="6" s="1"/>
  <c r="S11" i="4"/>
  <c r="S6" i="4"/>
  <c r="S8" i="4"/>
  <c r="S9" i="4"/>
  <c r="S10" i="4"/>
  <c r="E6" i="7"/>
  <c r="E5" i="7"/>
  <c r="E4" i="7"/>
  <c r="D6" i="7"/>
  <c r="D4" i="7"/>
  <c r="C7" i="7"/>
  <c r="F4" i="7" s="1"/>
  <c r="F78" i="5"/>
  <c r="R52" i="6"/>
  <c r="G113" i="5" s="1"/>
  <c r="S69" i="6"/>
  <c r="F129" i="5" s="1"/>
  <c r="S70" i="6"/>
  <c r="F130" i="5" s="1"/>
  <c r="S77" i="6"/>
  <c r="R78" i="6"/>
  <c r="R86" i="6"/>
  <c r="G143" i="5" s="1"/>
  <c r="Q98" i="6"/>
  <c r="S98" i="6" s="1"/>
  <c r="Q99" i="6"/>
  <c r="S99" i="6" s="1"/>
  <c r="F65" i="5"/>
  <c r="C45" i="2"/>
  <c r="D45" i="2"/>
  <c r="K23" i="4"/>
  <c r="E20" i="4"/>
  <c r="E21" i="4"/>
  <c r="E22" i="4"/>
  <c r="E23" i="4"/>
  <c r="E24" i="4"/>
  <c r="B20" i="4"/>
  <c r="B21" i="4"/>
  <c r="B22" i="4"/>
  <c r="B23" i="4"/>
  <c r="B24" i="4"/>
  <c r="B19" i="4"/>
  <c r="K6" i="4"/>
  <c r="K8" i="4"/>
  <c r="K9" i="4"/>
  <c r="K10" i="4"/>
  <c r="K11" i="4"/>
  <c r="K22" i="4"/>
  <c r="K20" i="4"/>
  <c r="K5" i="4"/>
  <c r="F154" i="2"/>
  <c r="G40" i="5" s="1"/>
  <c r="F152" i="2"/>
  <c r="F151" i="2"/>
  <c r="G34" i="5" s="1"/>
  <c r="G39" i="5" s="1"/>
  <c r="F148" i="2"/>
  <c r="G30" i="5" s="1"/>
  <c r="F145" i="2"/>
  <c r="F143" i="2"/>
  <c r="F142" i="2"/>
  <c r="F141" i="2"/>
  <c r="F137" i="2"/>
  <c r="F136" i="2"/>
  <c r="F135" i="2"/>
  <c r="F134" i="2"/>
  <c r="F133" i="2"/>
  <c r="F132" i="2"/>
  <c r="C138" i="2"/>
  <c r="D138" i="2"/>
  <c r="B138" i="2"/>
  <c r="F128" i="2"/>
  <c r="F127" i="2"/>
  <c r="F126" i="2"/>
  <c r="F125" i="2"/>
  <c r="F124" i="2"/>
  <c r="F123" i="2"/>
  <c r="F118" i="2"/>
  <c r="F116" i="2"/>
  <c r="F115" i="2"/>
  <c r="F114" i="2"/>
  <c r="F113" i="2"/>
  <c r="F112" i="2"/>
  <c r="F111" i="2"/>
  <c r="F110" i="2"/>
  <c r="F109" i="2"/>
  <c r="F108" i="2"/>
  <c r="F107" i="2"/>
  <c r="F106" i="2"/>
  <c r="C119" i="2"/>
  <c r="B119" i="2"/>
  <c r="F101" i="2"/>
  <c r="F84" i="2"/>
  <c r="F83" i="2"/>
  <c r="F79" i="2"/>
  <c r="C80" i="2"/>
  <c r="D80" i="2"/>
  <c r="B80" i="2"/>
  <c r="F78" i="2"/>
  <c r="F77" i="2"/>
  <c r="F76" i="2"/>
  <c r="F57" i="2"/>
  <c r="F50" i="2"/>
  <c r="F51" i="2"/>
  <c r="F52" i="2"/>
  <c r="F53" i="2"/>
  <c r="F54" i="2"/>
  <c r="F49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31" i="2"/>
  <c r="B45" i="2"/>
  <c r="F27" i="2"/>
  <c r="C28" i="2"/>
  <c r="D28" i="2"/>
  <c r="B28" i="2"/>
  <c r="F26" i="2"/>
  <c r="F15" i="2"/>
  <c r="F14" i="2"/>
  <c r="F13" i="2"/>
  <c r="J13" i="2" s="1"/>
  <c r="F12" i="2"/>
  <c r="J12" i="2" s="1"/>
  <c r="F11" i="2"/>
  <c r="J11" i="2" s="1"/>
  <c r="F10" i="2"/>
  <c r="J10" i="2" s="1"/>
  <c r="F9" i="2"/>
  <c r="J9" i="2" s="1"/>
  <c r="F8" i="2"/>
  <c r="J8" i="2" s="1"/>
  <c r="F7" i="2"/>
  <c r="J7" i="2" s="1"/>
  <c r="F6" i="2"/>
  <c r="J6" i="2" s="1"/>
  <c r="F5" i="2"/>
  <c r="J5" i="2" s="1"/>
  <c r="F4" i="2"/>
  <c r="J4" i="2" s="1"/>
  <c r="F22" i="2"/>
  <c r="F170" i="1"/>
  <c r="F166" i="1"/>
  <c r="G12" i="5" s="1"/>
  <c r="F143" i="1"/>
  <c r="F144" i="1"/>
  <c r="F145" i="1"/>
  <c r="F146" i="1"/>
  <c r="F147" i="1"/>
  <c r="F148" i="1"/>
  <c r="F149" i="1"/>
  <c r="F150" i="1"/>
  <c r="F119" i="1"/>
  <c r="F120" i="1"/>
  <c r="F122" i="1"/>
  <c r="F125" i="1"/>
  <c r="F118" i="1"/>
  <c r="F77" i="1"/>
  <c r="F78" i="1"/>
  <c r="F79" i="1"/>
  <c r="F80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20" i="5" s="1"/>
  <c r="F100" i="1"/>
  <c r="F101" i="1"/>
  <c r="F102" i="1"/>
  <c r="F103" i="1"/>
  <c r="F104" i="1"/>
  <c r="F105" i="1"/>
  <c r="F106" i="1"/>
  <c r="F107" i="1"/>
  <c r="F108" i="1"/>
  <c r="F109" i="1"/>
  <c r="F110" i="1"/>
  <c r="F76" i="1"/>
  <c r="F72" i="1"/>
  <c r="F71" i="1"/>
  <c r="C73" i="1"/>
  <c r="D73" i="1"/>
  <c r="B73" i="1"/>
  <c r="F63" i="1"/>
  <c r="F32" i="1"/>
  <c r="F33" i="1"/>
  <c r="F34" i="1"/>
  <c r="F35" i="1"/>
  <c r="F36" i="1"/>
  <c r="F37" i="1"/>
  <c r="F38" i="1"/>
  <c r="F39" i="1"/>
  <c r="F40" i="1"/>
  <c r="F41" i="1"/>
  <c r="F42" i="1"/>
  <c r="F46" i="1"/>
  <c r="F47" i="1"/>
  <c r="F48" i="1"/>
  <c r="F55" i="1"/>
  <c r="F31" i="1"/>
  <c r="F18" i="1"/>
  <c r="F19" i="1"/>
  <c r="F20" i="1"/>
  <c r="F21" i="1"/>
  <c r="F22" i="1"/>
  <c r="F23" i="1"/>
  <c r="F24" i="1"/>
  <c r="F25" i="1"/>
  <c r="F26" i="1"/>
  <c r="F27" i="1"/>
  <c r="F17" i="1"/>
  <c r="S72" i="6" l="1"/>
  <c r="P23" i="4"/>
  <c r="P19" i="4"/>
  <c r="L20" i="4"/>
  <c r="P22" i="4"/>
  <c r="P20" i="4"/>
  <c r="P24" i="4"/>
  <c r="G14" i="5"/>
  <c r="E7" i="7"/>
  <c r="P21" i="4"/>
  <c r="D67" i="5"/>
  <c r="D71" i="5"/>
  <c r="D75" i="5"/>
  <c r="D79" i="5"/>
  <c r="D83" i="5"/>
  <c r="D87" i="5"/>
  <c r="D95" i="5"/>
  <c r="F5" i="7"/>
  <c r="F6" i="7"/>
  <c r="L24" i="4"/>
  <c r="D7" i="7"/>
  <c r="D65" i="5"/>
  <c r="D69" i="5"/>
  <c r="D73" i="5"/>
  <c r="D77" i="5"/>
  <c r="D81" i="5"/>
  <c r="D85" i="5"/>
  <c r="D89" i="5"/>
  <c r="D97" i="5"/>
  <c r="N24" i="4"/>
  <c r="H13" i="4"/>
  <c r="D99" i="5"/>
  <c r="D105" i="5"/>
  <c r="D107" i="5"/>
  <c r="D109" i="5"/>
  <c r="D111" i="5"/>
  <c r="D113" i="5"/>
  <c r="D142" i="5"/>
  <c r="D144" i="5"/>
  <c r="D115" i="5"/>
  <c r="D117" i="5"/>
  <c r="D119" i="5"/>
  <c r="D121" i="5"/>
  <c r="D123" i="5"/>
  <c r="D129" i="5"/>
  <c r="D131" i="5"/>
  <c r="D137" i="5"/>
  <c r="D143" i="5"/>
  <c r="D66" i="5"/>
  <c r="D68" i="5"/>
  <c r="D70" i="5"/>
  <c r="D72" i="5"/>
  <c r="D74" i="5"/>
  <c r="D76" i="5"/>
  <c r="D78" i="5"/>
  <c r="D80" i="5"/>
  <c r="D82" i="5"/>
  <c r="D84" i="5"/>
  <c r="D86" i="5"/>
  <c r="D88" i="5"/>
  <c r="D90" i="5"/>
  <c r="D96" i="5"/>
  <c r="D98" i="5"/>
  <c r="D104" i="5"/>
  <c r="D106" i="5"/>
  <c r="D108" i="5"/>
  <c r="D110" i="5"/>
  <c r="D112" i="5"/>
  <c r="D114" i="5"/>
  <c r="D116" i="5"/>
  <c r="D118" i="5"/>
  <c r="D120" i="5"/>
  <c r="D122" i="5"/>
  <c r="D128" i="5"/>
  <c r="D130" i="5"/>
  <c r="D136" i="5"/>
  <c r="F28" i="1"/>
  <c r="F73" i="1"/>
  <c r="F126" i="1"/>
  <c r="G126" i="1" s="1"/>
  <c r="F120" i="2"/>
  <c r="G115" i="1"/>
  <c r="F156" i="1"/>
  <c r="T11" i="4"/>
  <c r="R34" i="6"/>
  <c r="G95" i="5" s="1"/>
  <c r="R72" i="6"/>
  <c r="F121" i="5"/>
  <c r="G72" i="5"/>
  <c r="T8" i="4"/>
  <c r="L10" i="4"/>
  <c r="L6" i="4"/>
  <c r="L11" i="4"/>
  <c r="N21" i="4"/>
  <c r="F129" i="2"/>
  <c r="S46" i="6"/>
  <c r="F107" i="5" s="1"/>
  <c r="G115" i="5"/>
  <c r="R59" i="6"/>
  <c r="G120" i="5" s="1"/>
  <c r="H40" i="5"/>
  <c r="F74" i="5"/>
  <c r="G74" i="5"/>
  <c r="S44" i="6"/>
  <c r="F105" i="5" s="1"/>
  <c r="R44" i="6"/>
  <c r="G105" i="5" s="1"/>
  <c r="F128" i="5"/>
  <c r="G133" i="5" s="1"/>
  <c r="F86" i="5"/>
  <c r="G86" i="5"/>
  <c r="F144" i="5"/>
  <c r="R87" i="6"/>
  <c r="G144" i="5" s="1"/>
  <c r="G81" i="5"/>
  <c r="F81" i="5"/>
  <c r="S43" i="6"/>
  <c r="R43" i="6"/>
  <c r="G104" i="5" s="1"/>
  <c r="S47" i="6"/>
  <c r="F108" i="5" s="1"/>
  <c r="R47" i="6"/>
  <c r="G108" i="5" s="1"/>
  <c r="R99" i="6"/>
  <c r="R95" i="6"/>
  <c r="R85" i="6"/>
  <c r="R81" i="6"/>
  <c r="R75" i="6"/>
  <c r="G136" i="5" s="1"/>
  <c r="G138" i="5" s="1"/>
  <c r="R71" i="6"/>
  <c r="G131" i="5" s="1"/>
  <c r="R67" i="6"/>
  <c r="R64" i="6"/>
  <c r="G123" i="5" s="1"/>
  <c r="R58" i="6"/>
  <c r="G119" i="5" s="1"/>
  <c r="R51" i="6"/>
  <c r="G112" i="5" s="1"/>
  <c r="R48" i="6"/>
  <c r="G109" i="5" s="1"/>
  <c r="G96" i="5"/>
  <c r="F143" i="5"/>
  <c r="S82" i="6"/>
  <c r="S78" i="6"/>
  <c r="S76" i="6"/>
  <c r="F137" i="5" s="1"/>
  <c r="G139" i="5" s="1"/>
  <c r="S55" i="6"/>
  <c r="F116" i="5" s="1"/>
  <c r="F113" i="5"/>
  <c r="S49" i="6"/>
  <c r="F110" i="5" s="1"/>
  <c r="S45" i="6"/>
  <c r="F106" i="5" s="1"/>
  <c r="S36" i="6"/>
  <c r="F97" i="5" s="1"/>
  <c r="F73" i="5"/>
  <c r="R98" i="6"/>
  <c r="R94" i="6"/>
  <c r="R84" i="6"/>
  <c r="R80" i="6"/>
  <c r="R77" i="6"/>
  <c r="R74" i="6"/>
  <c r="R70" i="6"/>
  <c r="G130" i="5" s="1"/>
  <c r="R66" i="6"/>
  <c r="R63" i="6"/>
  <c r="G122" i="5" s="1"/>
  <c r="R57" i="6"/>
  <c r="G118" i="5" s="1"/>
  <c r="R50" i="6"/>
  <c r="G111" i="5" s="1"/>
  <c r="G75" i="5"/>
  <c r="R97" i="6"/>
  <c r="R93" i="6"/>
  <c r="R83" i="6"/>
  <c r="R79" i="6"/>
  <c r="R73" i="6"/>
  <c r="R69" i="6"/>
  <c r="G129" i="5" s="1"/>
  <c r="R65" i="6"/>
  <c r="R56" i="6"/>
  <c r="G117" i="5" s="1"/>
  <c r="R53" i="6"/>
  <c r="G114" i="5" s="1"/>
  <c r="R42" i="6"/>
  <c r="R38" i="6"/>
  <c r="G99" i="5" s="1"/>
  <c r="R33" i="6"/>
  <c r="G82" i="5"/>
  <c r="G78" i="5"/>
  <c r="G65" i="5"/>
  <c r="R96" i="6"/>
  <c r="R91" i="6"/>
  <c r="G142" i="5" s="1"/>
  <c r="F98" i="5"/>
  <c r="R37" i="6"/>
  <c r="G98" i="5" s="1"/>
  <c r="F23" i="2"/>
  <c r="F28" i="2"/>
  <c r="F58" i="2"/>
  <c r="G58" i="2" s="1"/>
  <c r="F119" i="2"/>
  <c r="G25" i="5" s="1"/>
  <c r="F138" i="2"/>
  <c r="G27" i="5" s="1"/>
  <c r="F102" i="2"/>
  <c r="G24" i="5" s="1"/>
  <c r="F146" i="2"/>
  <c r="G28" i="5" s="1"/>
  <c r="F45" i="2"/>
  <c r="G21" i="5" s="1"/>
  <c r="F80" i="2"/>
  <c r="G23" i="5" s="1"/>
  <c r="K21" i="4"/>
  <c r="L21" i="4" s="1"/>
  <c r="B25" i="4"/>
  <c r="L23" i="4"/>
  <c r="L8" i="4"/>
  <c r="L9" i="4"/>
  <c r="K19" i="4"/>
  <c r="E19" i="4"/>
  <c r="E25" i="4" s="1"/>
  <c r="L22" i="4"/>
  <c r="L5" i="4"/>
  <c r="F104" i="5" l="1"/>
  <c r="S54" i="6"/>
  <c r="G145" i="5"/>
  <c r="G132" i="5"/>
  <c r="G146" i="5"/>
  <c r="F149" i="2"/>
  <c r="O24" i="4"/>
  <c r="G23" i="2"/>
  <c r="G19" i="5"/>
  <c r="G28" i="1"/>
  <c r="G6" i="5"/>
  <c r="G156" i="1"/>
  <c r="G11" i="5"/>
  <c r="G9" i="5"/>
  <c r="G10" i="5"/>
  <c r="G22" i="5"/>
  <c r="G28" i="2"/>
  <c r="G20" i="5"/>
  <c r="G129" i="2"/>
  <c r="G26" i="5"/>
  <c r="G73" i="1"/>
  <c r="G8" i="5"/>
  <c r="G61" i="1"/>
  <c r="G7" i="5"/>
  <c r="G101" i="5"/>
  <c r="G100" i="5"/>
  <c r="F72" i="5"/>
  <c r="R46" i="6"/>
  <c r="G107" i="5" s="1"/>
  <c r="G121" i="5"/>
  <c r="O21" i="4"/>
  <c r="T6" i="4"/>
  <c r="N20" i="4"/>
  <c r="O20" i="4" s="1"/>
  <c r="N19" i="4"/>
  <c r="T9" i="4"/>
  <c r="N22" i="4"/>
  <c r="O22" i="4" s="1"/>
  <c r="T10" i="4"/>
  <c r="N23" i="4"/>
  <c r="O23" i="4" s="1"/>
  <c r="G102" i="2"/>
  <c r="G80" i="2"/>
  <c r="G138" i="2"/>
  <c r="G146" i="2"/>
  <c r="G45" i="2"/>
  <c r="G119" i="2"/>
  <c r="L19" i="4"/>
  <c r="S65" i="6" l="1"/>
  <c r="F115" i="5"/>
  <c r="G125" i="5" s="1"/>
  <c r="G149" i="2"/>
  <c r="G29" i="5"/>
  <c r="B152" i="5"/>
  <c r="L25" i="4"/>
  <c r="G124" i="5"/>
  <c r="T13" i="4"/>
  <c r="O19" i="4"/>
  <c r="O25" i="4" s="1"/>
  <c r="H30" i="5" l="1"/>
  <c r="F13" i="1"/>
  <c r="F12" i="1"/>
  <c r="F11" i="1"/>
  <c r="F10" i="1"/>
  <c r="F9" i="1"/>
  <c r="F6" i="1"/>
  <c r="F5" i="1"/>
  <c r="G4" i="5" s="1"/>
  <c r="G33" i="5" s="1"/>
  <c r="H34" i="5" s="1"/>
  <c r="F14" i="1" l="1"/>
  <c r="G14" i="1" s="1"/>
  <c r="G5" i="5" l="1"/>
  <c r="G170" i="1"/>
  <c r="H14" i="5" l="1"/>
  <c r="G66" i="5" l="1"/>
  <c r="S5" i="6"/>
  <c r="G84" i="5"/>
  <c r="G83" i="5"/>
  <c r="S8" i="6"/>
  <c r="G71" i="5"/>
  <c r="G79" i="5"/>
  <c r="G70" i="5"/>
  <c r="S9" i="6"/>
  <c r="F70" i="5" s="1"/>
  <c r="F85" i="5"/>
  <c r="Q28" i="6"/>
  <c r="R28" i="6" s="1"/>
  <c r="G89" i="5" s="1"/>
  <c r="Q27" i="6"/>
  <c r="R27" i="6" s="1"/>
  <c r="G88" i="5" s="1"/>
  <c r="G80" i="5"/>
  <c r="F80" i="5"/>
  <c r="S7" i="6"/>
  <c r="F69" i="5" s="1"/>
  <c r="S10" i="6"/>
  <c r="F71" i="5" s="1"/>
  <c r="G77" i="5"/>
  <c r="F77" i="5"/>
  <c r="G76" i="5"/>
  <c r="F76" i="5"/>
  <c r="F83" i="5"/>
  <c r="G67" i="5"/>
  <c r="S6" i="6"/>
  <c r="F67" i="5" s="1"/>
  <c r="Q26" i="6"/>
  <c r="R26" i="6" s="1"/>
  <c r="G87" i="5" s="1"/>
  <c r="F84" i="5"/>
  <c r="Q29" i="6"/>
  <c r="R29" i="6" s="1"/>
  <c r="G90" i="5" s="1"/>
  <c r="S29" i="6"/>
  <c r="F90" i="5" s="1"/>
  <c r="S28" i="6" l="1"/>
  <c r="F89" i="5" s="1"/>
  <c r="F66" i="5"/>
  <c r="S27" i="6"/>
  <c r="F88" i="5" s="1"/>
  <c r="F68" i="5"/>
  <c r="G68" i="5"/>
  <c r="G69" i="5"/>
  <c r="S26" i="6"/>
  <c r="F87" i="5" s="1"/>
  <c r="G85" i="5"/>
  <c r="F79" i="5"/>
  <c r="S30" i="6" l="1"/>
  <c r="G92" i="5"/>
  <c r="G91" i="5"/>
  <c r="R90" i="6"/>
  <c r="R88" i="6"/>
  <c r="S89" i="6"/>
  <c r="R89" i="6"/>
  <c r="S90" i="6"/>
  <c r="B151" i="5" l="1"/>
  <c r="B150" i="5"/>
  <c r="B155" i="5" l="1"/>
  <c r="B153" i="5"/>
  <c r="B156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</authors>
  <commentList>
    <comment ref="C17" authorId="0" shapeId="0" xr:uid="{838A28F8-15BC-FC46-8A52-201F99D3D8F8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from Issue of the grange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</authors>
  <commentList>
    <comment ref="M5" authorId="0" shapeId="0" xr:uid="{B2153D92-4484-1C45-A31F-94B0A44E9843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one more qrs sold than produced - must be a recording error by the scribe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</authors>
  <commentList>
    <comment ref="D86" authorId="0" shapeId="0" xr:uid="{926DB942-A4C8-2948-9520-6029FD914E6A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 cloves</t>
        </r>
      </text>
    </comment>
  </commentList>
</comments>
</file>

<file path=xl/sharedStrings.xml><?xml version="1.0" encoding="utf-8"?>
<sst xmlns="http://schemas.openxmlformats.org/spreadsheetml/2006/main" count="727" uniqueCount="460">
  <si>
    <t>£</t>
  </si>
  <si>
    <t xml:space="preserve">s </t>
  </si>
  <si>
    <t>d</t>
  </si>
  <si>
    <t>Total in £</t>
  </si>
  <si>
    <t>Notes</t>
  </si>
  <si>
    <t>Error</t>
  </si>
  <si>
    <t>Arrears</t>
  </si>
  <si>
    <t>of which delivered to treasurer of Wolvesey</t>
  </si>
  <si>
    <t>Total recorded in accounts</t>
  </si>
  <si>
    <t>Total</t>
  </si>
  <si>
    <t>Quittances</t>
  </si>
  <si>
    <t>Defaults of rent</t>
  </si>
  <si>
    <t>Total of rents remaining</t>
  </si>
  <si>
    <t>Wax</t>
  </si>
  <si>
    <t>Annual recognizances</t>
  </si>
  <si>
    <t>Issues of the manor</t>
  </si>
  <si>
    <t>Sale of corn</t>
  </si>
  <si>
    <t>Entry and marriage fines</t>
  </si>
  <si>
    <t>Pleas and perquisites</t>
  </si>
  <si>
    <t>Total of all receipts (sum of above excl. arrears)</t>
  </si>
  <si>
    <t>Total of all receipts (sum of above incl. arrears)</t>
  </si>
  <si>
    <t>not included in receipts</t>
  </si>
  <si>
    <t>Cost of Ploughs</t>
  </si>
  <si>
    <t>Purchase of Corn</t>
  </si>
  <si>
    <t>Cost of Carts and Wagons</t>
  </si>
  <si>
    <t>Cost of Dairy</t>
  </si>
  <si>
    <t>Purchase of Stock</t>
  </si>
  <si>
    <t>Cost of Buildings</t>
  </si>
  <si>
    <t>Threshing</t>
  </si>
  <si>
    <t>Expenses of the Harvest</t>
  </si>
  <si>
    <t>Total of all Expenses</t>
  </si>
  <si>
    <t>And thus he owes</t>
  </si>
  <si>
    <t>Delivered to Sir Geoffrey, treasurer of Wolvesey</t>
  </si>
  <si>
    <t>and thus he owes clear</t>
  </si>
  <si>
    <t>Total of all Expenses (calculated)</t>
  </si>
  <si>
    <t>The issue of the grange account gives the total "yield" at the top of each heading in curly brackets, measurements used: fold, qrs, bus</t>
  </si>
  <si>
    <t>Value of Total Production</t>
  </si>
  <si>
    <t>Gross output</t>
  </si>
  <si>
    <t>Quantity</t>
  </si>
  <si>
    <t>Additional bought-in</t>
  </si>
  <si>
    <t>Quantity noted as sold</t>
  </si>
  <si>
    <t>Difference Produced vs. Sold</t>
  </si>
  <si>
    <t>Price 1</t>
  </si>
  <si>
    <t>Quantity 1</t>
  </si>
  <si>
    <t>Price 2</t>
  </si>
  <si>
    <t>Quantity 2</t>
  </si>
  <si>
    <t>Value</t>
  </si>
  <si>
    <t>qrs</t>
  </si>
  <si>
    <t>bus</t>
  </si>
  <si>
    <t>£ per qr</t>
  </si>
  <si>
    <t>Wheat</t>
  </si>
  <si>
    <t>Curall</t>
  </si>
  <si>
    <t>Barley</t>
  </si>
  <si>
    <t>Oats</t>
  </si>
  <si>
    <t>Peas</t>
  </si>
  <si>
    <t>Vetches</t>
  </si>
  <si>
    <t>Total Production</t>
  </si>
  <si>
    <t>Production value is significantly more, as much less was sold than what was produced</t>
  </si>
  <si>
    <t>Sales of corn (as recorded in accounts)</t>
  </si>
  <si>
    <t>Net output</t>
  </si>
  <si>
    <t>Seed</t>
  </si>
  <si>
    <t>tithe</t>
  </si>
  <si>
    <t>to manorial servants &amp; livestock</t>
  </si>
  <si>
    <t>Output net of tithe &amp; seed &amp; liveries to manorial servants</t>
  </si>
  <si>
    <t>in stock from last year</t>
  </si>
  <si>
    <t xml:space="preserve">Price </t>
  </si>
  <si>
    <t>Value of net output</t>
  </si>
  <si>
    <t>Value of sales (in "Sale of Corn")</t>
  </si>
  <si>
    <t>CASH ACCOUNT</t>
  </si>
  <si>
    <t>RECEIPTS</t>
  </si>
  <si>
    <t>Sum of the above (incl. arrears)</t>
  </si>
  <si>
    <t>EXPENSES</t>
  </si>
  <si>
    <t>Sum of the above</t>
  </si>
  <si>
    <t>Total of all expenses</t>
  </si>
  <si>
    <t>Capital Expenses</t>
  </si>
  <si>
    <t>Owed by the reeve</t>
  </si>
  <si>
    <t>From accounts</t>
  </si>
  <si>
    <t>Total of all allowances and cash deliveries in accounts</t>
  </si>
  <si>
    <t>Net amount owed</t>
  </si>
  <si>
    <t>Net amount owed in accounts</t>
  </si>
  <si>
    <t xml:space="preserve">GRANGE ACCOUNT </t>
  </si>
  <si>
    <t>Grange</t>
  </si>
  <si>
    <t>Total value of production (sum of the above)</t>
  </si>
  <si>
    <t>Value of sales</t>
  </si>
  <si>
    <t>MILL ACCOUNT</t>
  </si>
  <si>
    <t>Issues of the mill</t>
  </si>
  <si>
    <t>STOCK ACCOUNT</t>
  </si>
  <si>
    <t>Livestock</t>
  </si>
  <si>
    <t>Stockbuilding</t>
  </si>
  <si>
    <t>Cart-horses</t>
  </si>
  <si>
    <t>Mares</t>
  </si>
  <si>
    <t>Plough horses</t>
  </si>
  <si>
    <t>Colts (2 years)</t>
  </si>
  <si>
    <t>Colts (1 year)</t>
  </si>
  <si>
    <t>Foals</t>
  </si>
  <si>
    <t>Oxen</t>
  </si>
  <si>
    <t>Bulls</t>
  </si>
  <si>
    <t>Cows</t>
  </si>
  <si>
    <t>Steers</t>
  </si>
  <si>
    <t>Bullocks</t>
  </si>
  <si>
    <t>Yearlings</t>
  </si>
  <si>
    <t>Calves</t>
  </si>
  <si>
    <t>Wethers</t>
  </si>
  <si>
    <t>Rams</t>
  </si>
  <si>
    <t>Ewes</t>
  </si>
  <si>
    <t>Hoggs</t>
  </si>
  <si>
    <t>Lambs</t>
  </si>
  <si>
    <t>Boars</t>
  </si>
  <si>
    <t>Sows</t>
  </si>
  <si>
    <t>Pigs</t>
  </si>
  <si>
    <t>Hoggets</t>
  </si>
  <si>
    <t>Piglets</t>
  </si>
  <si>
    <t>Swans</t>
  </si>
  <si>
    <t>Peacocks</t>
  </si>
  <si>
    <t>Wool</t>
  </si>
  <si>
    <t>Coarse wool</t>
  </si>
  <si>
    <t>Lamb's wool</t>
  </si>
  <si>
    <t>Wool locks</t>
  </si>
  <si>
    <t>Hides</t>
  </si>
  <si>
    <t>Ox hides</t>
  </si>
  <si>
    <t>Bareskins (total)</t>
  </si>
  <si>
    <t>Rotted skins</t>
  </si>
  <si>
    <t>Shorn skins</t>
  </si>
  <si>
    <t>Poultry stock</t>
  </si>
  <si>
    <t>Hens</t>
  </si>
  <si>
    <t>Geese</t>
  </si>
  <si>
    <t>Capons (from chickens)</t>
  </si>
  <si>
    <t>Cocks &amp; hens</t>
  </si>
  <si>
    <t>Poultry production</t>
  </si>
  <si>
    <t>Eggs</t>
  </si>
  <si>
    <t>Cocks &amp; hens from churchscot of customary tenants</t>
  </si>
  <si>
    <t>Dairy Production</t>
  </si>
  <si>
    <t>Butter</t>
  </si>
  <si>
    <t>Winter Cheese</t>
  </si>
  <si>
    <t>Summer Cheese</t>
  </si>
  <si>
    <t>% of capital expenses in terms of total production</t>
  </si>
  <si>
    <t>% of capital expenses in terms of total production + cash receipts</t>
  </si>
  <si>
    <r>
      <t xml:space="preserve">% of capital expenses as </t>
    </r>
    <r>
      <rPr>
        <b/>
        <i/>
        <sz val="12"/>
        <color rgb="FF000000"/>
        <rFont val="Calibri"/>
        <family val="2"/>
        <scheme val="minor"/>
      </rPr>
      <t>calculated previously</t>
    </r>
  </si>
  <si>
    <t>Inherited stock</t>
  </si>
  <si>
    <t>strays</t>
  </si>
  <si>
    <t>herbage</t>
  </si>
  <si>
    <t>sold</t>
  </si>
  <si>
    <t>in murrain</t>
  </si>
  <si>
    <t>accounted for elsewhere</t>
  </si>
  <si>
    <t>End-period  stock</t>
  </si>
  <si>
    <t>cross-check</t>
  </si>
  <si>
    <t>Unit price (£)</t>
  </si>
  <si>
    <t>Sales in (£)</t>
  </si>
  <si>
    <t>Details</t>
  </si>
  <si>
    <t>Wool sold at shearing</t>
  </si>
  <si>
    <t>Meat</t>
  </si>
  <si>
    <t>Beef</t>
  </si>
  <si>
    <t>Mutton</t>
  </si>
  <si>
    <t>Pork</t>
  </si>
  <si>
    <t>Cheese</t>
  </si>
  <si>
    <t>Winter cheese</t>
  </si>
  <si>
    <t>Summer cheese</t>
  </si>
  <si>
    <t>Cider</t>
  </si>
  <si>
    <t>EAST KNOYLE STOCK ACCOUNT</t>
  </si>
  <si>
    <t>Fleeces</t>
  </si>
  <si>
    <t>Woolskins (total)</t>
  </si>
  <si>
    <t>Lambskins</t>
  </si>
  <si>
    <t>Value of production (£) at sales prices</t>
  </si>
  <si>
    <t>price 1</t>
  </si>
  <si>
    <t>units 1</t>
  </si>
  <si>
    <t>price 2</t>
  </si>
  <si>
    <t>units 2</t>
  </si>
  <si>
    <t>Weights</t>
  </si>
  <si>
    <t>Weight (weys)</t>
  </si>
  <si>
    <t>Rents of assize</t>
  </si>
  <si>
    <t>n/a</t>
  </si>
  <si>
    <t>Total capital expenses</t>
  </si>
  <si>
    <t>Cash deliveries</t>
  </si>
  <si>
    <t>ASSUMPTIONS</t>
  </si>
  <si>
    <t>Value (in lbs)</t>
  </si>
  <si>
    <t>Lbs</t>
  </si>
  <si>
    <t>Cloves</t>
  </si>
  <si>
    <t>Wey</t>
  </si>
  <si>
    <t>Value (in cloves)</t>
  </si>
  <si>
    <t>Stone</t>
  </si>
  <si>
    <t>Value (in weys)</t>
  </si>
  <si>
    <t>Value (in stone)</t>
  </si>
  <si>
    <t>Unit price</t>
  </si>
  <si>
    <t>Cow hides</t>
  </si>
  <si>
    <t>Mare hides</t>
  </si>
  <si>
    <t>Steer hides</t>
  </si>
  <si>
    <t>Yearling Calf hides</t>
  </si>
  <si>
    <t>Calf hides</t>
  </si>
  <si>
    <t>Pig hides</t>
  </si>
  <si>
    <t>Weather woolskins</t>
  </si>
  <si>
    <t>Ram woolskins</t>
  </si>
  <si>
    <t>Ewe woolskins</t>
  </si>
  <si>
    <t>Hogg woolskins</t>
  </si>
  <si>
    <t>Wether bareskins</t>
  </si>
  <si>
    <t>Ram bareskins</t>
  </si>
  <si>
    <t>Ewe bareskins</t>
  </si>
  <si>
    <t>Hogg bareskins</t>
  </si>
  <si>
    <t>Total recorded in the accounts excl. arrears</t>
  </si>
  <si>
    <t>Total recorded in the accounts incl. arrears</t>
  </si>
  <si>
    <t>Total of all receipts in account incl. arrears</t>
  </si>
  <si>
    <t>Total of all receipts in account excl.  arrears</t>
  </si>
  <si>
    <t>Net Production</t>
  </si>
  <si>
    <t>Bought</t>
  </si>
  <si>
    <t>Produced</t>
  </si>
  <si>
    <t>Arrears total</t>
  </si>
  <si>
    <t>Rents of assize total</t>
  </si>
  <si>
    <t>Quittances total</t>
  </si>
  <si>
    <t>Defaults of rent total</t>
  </si>
  <si>
    <t>Issues of the Manor total</t>
  </si>
  <si>
    <t>Sale of corn total</t>
  </si>
  <si>
    <t>Entry and marriage fines total</t>
  </si>
  <si>
    <t>Cost of ploughs total</t>
  </si>
  <si>
    <t>Purchase of corn total</t>
  </si>
  <si>
    <t>Cost of carts and wagons total</t>
  </si>
  <si>
    <t>Cost of dairy total</t>
  </si>
  <si>
    <t>Purchase of stock total</t>
  </si>
  <si>
    <t>Sheepcote total</t>
  </si>
  <si>
    <t>Cost of buildings total</t>
  </si>
  <si>
    <t>Threshing total</t>
  </si>
  <si>
    <t>Expenses of the harvest total</t>
  </si>
  <si>
    <t>Wax total</t>
  </si>
  <si>
    <t>Annual recognizances total</t>
  </si>
  <si>
    <t>Issues of the manor total</t>
  </si>
  <si>
    <t>Steward's expenses total</t>
  </si>
  <si>
    <t>Pleas &amp; perquisites total</t>
  </si>
  <si>
    <t>Net wheat</t>
  </si>
  <si>
    <t>Net curall</t>
  </si>
  <si>
    <t>Net barley</t>
  </si>
  <si>
    <t>Net oats</t>
  </si>
  <si>
    <t>Net peas</t>
  </si>
  <si>
    <t>Net vetches</t>
  </si>
  <si>
    <t>Note: Columns indexed are hardcoded, do not alter number of columns in issues of grange</t>
  </si>
  <si>
    <t>Overton RECEIPTS</t>
  </si>
  <si>
    <t>rents of assize Christmas</t>
  </si>
  <si>
    <t>Easter</t>
  </si>
  <si>
    <t>Nativity</t>
  </si>
  <si>
    <t>Michaelmas</t>
  </si>
  <si>
    <t>quittance for 1 reeve for the year</t>
  </si>
  <si>
    <t>1 bartoner for the year</t>
  </si>
  <si>
    <t>2 haywards</t>
  </si>
  <si>
    <t>3 ploughmen for the year</t>
  </si>
  <si>
    <t>1 ploughman</t>
  </si>
  <si>
    <t>1 smith for the year</t>
  </si>
  <si>
    <t>2 shepherds for the year</t>
  </si>
  <si>
    <t>1 keeper of hoggs</t>
  </si>
  <si>
    <t>1 cowherd</t>
  </si>
  <si>
    <t>default of the mill of Lynch</t>
  </si>
  <si>
    <t>the land of Bascon drawn</t>
  </si>
  <si>
    <t>land of Strockyng drawn</t>
  </si>
  <si>
    <t>the land of le Cran</t>
  </si>
  <si>
    <t>land of William</t>
  </si>
  <si>
    <t>land of Codeboye</t>
  </si>
  <si>
    <t>Nicholas</t>
  </si>
  <si>
    <t>Thurbun</t>
  </si>
  <si>
    <t>Bovette</t>
  </si>
  <si>
    <t>land of le Ber</t>
  </si>
  <si>
    <t>Tadley</t>
  </si>
  <si>
    <t>the mill which belonged to Ralph Othyn</t>
  </si>
  <si>
    <t>nothing</t>
  </si>
  <si>
    <t>total not recorded in accounts</t>
  </si>
  <si>
    <t>...</t>
  </si>
  <si>
    <t>release from winter-ploughing</t>
  </si>
  <si>
    <t>from pannage of the pigs</t>
  </si>
  <si>
    <t>nothing from foreign pannage for a want of mast</t>
  </si>
  <si>
    <t>from 9 pigs and 11 piglets</t>
  </si>
  <si>
    <t>nothing from coarse wool or lambs wool because it was sent to Wolvesey</t>
  </si>
  <si>
    <t>foreign pannage</t>
  </si>
  <si>
    <t>1 old feeble and blind cart-horse sold</t>
  </si>
  <si>
    <t>2 oxen sold</t>
  </si>
  <si>
    <t>1 bull sold</t>
  </si>
  <si>
    <t>2 cows sold</t>
  </si>
  <si>
    <t>1 female steer</t>
  </si>
  <si>
    <t>11 calves sold</t>
  </si>
  <si>
    <t>29 ewes sold</t>
  </si>
  <si>
    <t>24 wethers sold</t>
  </si>
  <si>
    <t>12 hoggs</t>
  </si>
  <si>
    <t>2 pigs</t>
  </si>
  <si>
    <t>16 cloves of wool locks sold</t>
  </si>
  <si>
    <t>hide of a cow in murrain sold</t>
  </si>
  <si>
    <t>hide of 1 yearling in murrain</t>
  </si>
  <si>
    <t>hides of 3 calves in murrain</t>
  </si>
  <si>
    <t>skins of 19 ewes sold</t>
  </si>
  <si>
    <t>skins sold wholesale of 12 ewes, 4 wethers and 2 hoggs</t>
  </si>
  <si>
    <t>skins of 61 lambs</t>
  </si>
  <si>
    <t>herbage of the cottars</t>
  </si>
  <si>
    <t>winter pasturage</t>
  </si>
  <si>
    <t>summer pasturage</t>
  </si>
  <si>
    <t>from the heath at Tadley, no honey</t>
  </si>
  <si>
    <t>10 weyes of summer cheese</t>
  </si>
  <si>
    <t>from 1 wey 4 cloves of winter cheese</t>
  </si>
  <si>
    <t>1 wey of butter</t>
  </si>
  <si>
    <t>from 72 hens from churchscot</t>
  </si>
  <si>
    <t>from 10 dozen pigeons</t>
  </si>
  <si>
    <t>from the feathers and tails of 4 peackocks</t>
  </si>
  <si>
    <t>customary tenants for realse from harrowing this year</t>
  </si>
  <si>
    <t>from dairy produce sold at audit</t>
  </si>
  <si>
    <t>wheat sold</t>
  </si>
  <si>
    <t>curall sold</t>
  </si>
  <si>
    <t>bere sold</t>
  </si>
  <si>
    <t>barley sold</t>
  </si>
  <si>
    <t>oats sold</t>
  </si>
  <si>
    <t>peas sold</t>
  </si>
  <si>
    <t>vetches sold</t>
  </si>
  <si>
    <t>Town Mill</t>
  </si>
  <si>
    <t>wheat from the issue of the town mill sold</t>
  </si>
  <si>
    <t>maslin sold</t>
  </si>
  <si>
    <t>coarse-ground corn sold</t>
  </si>
  <si>
    <t>malt sold</t>
  </si>
  <si>
    <t>Sale of total</t>
  </si>
  <si>
    <t>Mills of Lynch and Subhurn</t>
  </si>
  <si>
    <t>from the mills let at farm</t>
  </si>
  <si>
    <t>from tithing ...</t>
  </si>
  <si>
    <t>to have Agnes with 1.5 virgates of her land</t>
  </si>
  <si>
    <t>for various transgressions</t>
  </si>
  <si>
    <t>from William Pyris, bartoner, for not doing his office well for trespass</t>
  </si>
  <si>
    <t>OVERTON EXPENSES</t>
  </si>
  <si>
    <t>iron and steel</t>
  </si>
  <si>
    <t>2 plougshares</t>
  </si>
  <si>
    <t>plough feet</t>
  </si>
  <si>
    <t>2 ploughs made anew</t>
  </si>
  <si>
    <t>fitting the same and others with iron tyres</t>
  </si>
  <si>
    <t>7 pairs of wheels</t>
  </si>
  <si>
    <t>old ploughs fitted with share-beams</t>
  </si>
  <si>
    <t>14 halters made</t>
  </si>
  <si>
    <t>shoeing 9 plough-horses</t>
  </si>
  <si>
    <t>shoeing horses</t>
  </si>
  <si>
    <t>in ale and relish for boon-works</t>
  </si>
  <si>
    <t>stipend of 3 oxherds</t>
  </si>
  <si>
    <t>2 oxen bought</t>
  </si>
  <si>
    <t>wheat bought</t>
  </si>
  <si>
    <t>bere bought</t>
  </si>
  <si>
    <t>barly bought</t>
  </si>
  <si>
    <t>peas bought</t>
  </si>
  <si>
    <t>vetches bought</t>
  </si>
  <si>
    <t>1 pair of wheels</t>
  </si>
  <si>
    <t>fitting an old binding incl. stipend of smith</t>
  </si>
  <si>
    <t>in hooping the felloes of the cart</t>
  </si>
  <si>
    <t>clouts, nails, grease and white leather</t>
  </si>
  <si>
    <t>fitting the cart with axles</t>
  </si>
  <si>
    <t>mending the old cart</t>
  </si>
  <si>
    <t>1 pair of traces bought</t>
  </si>
  <si>
    <t>in 1 collar and 1 pair of tie-beams</t>
  </si>
  <si>
    <t>in 1 halter bought</t>
  </si>
  <si>
    <t>in 1 pair of wheels made for dung</t>
  </si>
  <si>
    <t>in shoeing 2 cart-horses</t>
  </si>
  <si>
    <t>in 1 cart-horse bought</t>
  </si>
  <si>
    <t>in stipend of 1 carter</t>
  </si>
  <si>
    <t>1200 new shingles on the hall + nails</t>
  </si>
  <si>
    <t>re-roofing the wheat and oat barns</t>
  </si>
  <si>
    <t>roofing and mending the bake house</t>
  </si>
  <si>
    <t>collecting stubble for the same</t>
  </si>
  <si>
    <t>re-roofing the dovecot and kitchen, covering the wall between hall and dairy</t>
  </si>
  <si>
    <t>4,000 tiles for the same</t>
  </si>
  <si>
    <t>enclosing 76 perches around the curia and garden with hedges</t>
  </si>
  <si>
    <t>in wheel for the wheelbarrow</t>
  </si>
  <si>
    <t>in 2 pigs bought</t>
  </si>
  <si>
    <t>in 2 pots and 2 brass pans bought</t>
  </si>
  <si>
    <t>in 2 cider casks made</t>
  </si>
  <si>
    <t>in forage bought</t>
  </si>
  <si>
    <t>24 ells of canvas bought for putting the wool in</t>
  </si>
  <si>
    <t>making sacks and packing said wool</t>
  </si>
  <si>
    <t>ale and relish</t>
  </si>
  <si>
    <t>reaping of bere and barley</t>
  </si>
  <si>
    <t>threshing and winnowing</t>
  </si>
  <si>
    <t>basket bought</t>
  </si>
  <si>
    <t>salt for salting cheese</t>
  </si>
  <si>
    <t>in linen and woolen cloth</t>
  </si>
  <si>
    <t>pots and pans</t>
  </si>
  <si>
    <t>press</t>
  </si>
  <si>
    <t>mending utensils</t>
  </si>
  <si>
    <t>stipend of dairymaid</t>
  </si>
  <si>
    <t>stipend keeper of hoggs and lambs</t>
  </si>
  <si>
    <t>2 sacks bough</t>
  </si>
  <si>
    <t>Sheepcote and Wool</t>
  </si>
  <si>
    <t>re-roofing sheepcotes</t>
  </si>
  <si>
    <t>carpenter mending the sheepcote</t>
  </si>
  <si>
    <t>roofing one part of the sheepcote</t>
  </si>
  <si>
    <t>hurdles made</t>
  </si>
  <si>
    <t>wattling hurdles</t>
  </si>
  <si>
    <t>in 39 ewes bought</t>
  </si>
  <si>
    <t>1 ram bought</t>
  </si>
  <si>
    <t>carpenter rebuilding anew 1 sheepcote</t>
  </si>
  <si>
    <t>roofing the same</t>
  </si>
  <si>
    <t>in 4000 nails bought for laths</t>
  </si>
  <si>
    <t>iron for the door</t>
  </si>
  <si>
    <t>plastering the walls</t>
  </si>
  <si>
    <t>collecting stubble for roofing</t>
  </si>
  <si>
    <t>hay bought</t>
  </si>
  <si>
    <t>grease, copperas, vinegar and tar</t>
  </si>
  <si>
    <t>hooks and hinges</t>
  </si>
  <si>
    <t>Cost of mills</t>
  </si>
  <si>
    <t>Cost of mills total</t>
  </si>
  <si>
    <t>roofing</t>
  </si>
  <si>
    <t>repairing broken spindles with iron</t>
  </si>
  <si>
    <t>sharpening and steeling bills</t>
  </si>
  <si>
    <t>stopping and drawing the water up to renew sluice</t>
  </si>
  <si>
    <t>timber for new sluice</t>
  </si>
  <si>
    <t>roofing the buildings of the town mill</t>
  </si>
  <si>
    <t>hooping the driving-shaft and wheels</t>
  </si>
  <si>
    <t>steeling and sharpening bills</t>
  </si>
  <si>
    <t>stipend of 1 miller for the year</t>
  </si>
  <si>
    <t>Martinmas</t>
  </si>
  <si>
    <t>St Barnabas</t>
  </si>
  <si>
    <t>Master Richard for 1 visit</t>
  </si>
  <si>
    <t>Steward's Expenses + Bailiff</t>
  </si>
  <si>
    <t>bailiff for his visit</t>
  </si>
  <si>
    <t>Total of allowances and cash deliveries</t>
  </si>
  <si>
    <t>Bere</t>
  </si>
  <si>
    <t>from previous year</t>
  </si>
  <si>
    <t>Quantity (produced)</t>
  </si>
  <si>
    <t>Prices per qr</t>
  </si>
  <si>
    <t>Prices per bus</t>
  </si>
  <si>
    <t>Quantities (noted as sold)</t>
  </si>
  <si>
    <t>Difference produced vs. sold</t>
  </si>
  <si>
    <t>Price</t>
  </si>
  <si>
    <t>Value avg price</t>
  </si>
  <si>
    <t>s</t>
  </si>
  <si>
    <t xml:space="preserve">d </t>
  </si>
  <si>
    <t>£ per bus</t>
  </si>
  <si>
    <t>OVERTON MILL ACCOUNT</t>
  </si>
  <si>
    <t>In "Issue of the Mill" (p.98)</t>
  </si>
  <si>
    <t>In "Mills" (p.95)</t>
  </si>
  <si>
    <t>Wheat - Town Mill</t>
  </si>
  <si>
    <t>Maslin - Town Mill</t>
  </si>
  <si>
    <t>Malt - Town Hill</t>
  </si>
  <si>
    <t>Coarse-ground corn - Town Mill</t>
  </si>
  <si>
    <t>Total production value - average</t>
  </si>
  <si>
    <t>Sale of mill corn (as noted in Mill Account)</t>
  </si>
  <si>
    <t>In "Issues of the grange" (p.96ff)</t>
  </si>
  <si>
    <t>In "Sale of Corn" (p.93)</t>
  </si>
  <si>
    <t>Price 3</t>
  </si>
  <si>
    <t>Quantity 3</t>
  </si>
  <si>
    <t>ewes</t>
  </si>
  <si>
    <t>wethers</t>
  </si>
  <si>
    <t>all sold</t>
  </si>
  <si>
    <t>153 cheeses sold, 10 weys</t>
  </si>
  <si>
    <t>Production Value + Cash Receipts (excl. Arrears, Issues, Corn and Mill)</t>
  </si>
  <si>
    <t>Value of net production</t>
  </si>
  <si>
    <t>Mills of Lynch &amp; Subhurn</t>
  </si>
  <si>
    <t>nothing because at farm</t>
  </si>
  <si>
    <t>Value avg price (busel)</t>
  </si>
  <si>
    <t>Value of production</t>
  </si>
  <si>
    <t>difference is arrears</t>
  </si>
  <si>
    <t>not recorded</t>
  </si>
  <si>
    <t>issues of the manor only records sale of 29 ewes</t>
  </si>
  <si>
    <t>Wether woolskins</t>
  </si>
  <si>
    <t>skins sold wholesale of 14 lambs</t>
  </si>
  <si>
    <t>in issues of manor woollocks sold</t>
  </si>
  <si>
    <t>OVERTON OVERVIEW</t>
  </si>
  <si>
    <t xml:space="preserve">fixed investment </t>
  </si>
  <si>
    <t>demesne investment</t>
  </si>
  <si>
    <t>Total fixed capital expenses</t>
  </si>
  <si>
    <t>Total demesne capital expenses</t>
  </si>
  <si>
    <t>Value of total gross production in £</t>
  </si>
  <si>
    <t>Total value of gross production (sum of the above)</t>
  </si>
  <si>
    <t>Total value of net production</t>
  </si>
  <si>
    <t>Total Production Value of all Output (Grange, Dairy, Livestock Sales, Wools, Skins - NO Mill)</t>
  </si>
  <si>
    <t>Total Sales Value of all Output as defined above</t>
  </si>
  <si>
    <t>Total Sales of Corn + Issues of the Manor as recorded in account</t>
  </si>
  <si>
    <t>no mills in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</si>
</sst>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A6A6A6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4" fontId="0" fillId="0" borderId="0" xfId="0" applyNumberFormat="1"/>
    <xf numFmtId="0" fontId="1" fillId="0" borderId="0" xfId="0" applyFont="1"/>
    <xf numFmtId="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4" fontId="2" fillId="0" borderId="0" xfId="0" applyNumberFormat="1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4" fontId="0" fillId="0" borderId="0" xfId="0" applyNumberFormat="1" applyAlignment="1">
      <alignment horizontal="right"/>
    </xf>
    <xf numFmtId="4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0" fillId="4" borderId="0" xfId="0" applyFill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Border="1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0" fillId="5" borderId="0" xfId="0" applyFill="1"/>
    <xf numFmtId="0" fontId="0" fillId="6" borderId="0" xfId="0" applyFill="1"/>
    <xf numFmtId="2" fontId="0" fillId="6" borderId="0" xfId="0" applyNumberFormat="1" applyFill="1"/>
    <xf numFmtId="0" fontId="8" fillId="5" borderId="0" xfId="0" applyFont="1" applyFill="1"/>
    <xf numFmtId="0" fontId="0" fillId="0" borderId="0" xfId="0" applyAlignment="1">
      <alignment horizontal="right" wrapText="1"/>
    </xf>
    <xf numFmtId="4" fontId="0" fillId="0" borderId="0" xfId="0" applyNumberFormat="1" applyAlignment="1">
      <alignment horizontal="right" wrapText="1"/>
    </xf>
    <xf numFmtId="164" fontId="0" fillId="0" borderId="0" xfId="0" applyNumberFormat="1"/>
    <xf numFmtId="0" fontId="0" fillId="3" borderId="0" xfId="0" applyFill="1"/>
    <xf numFmtId="0" fontId="0" fillId="3" borderId="1" xfId="0" applyFill="1" applyBorder="1"/>
    <xf numFmtId="0" fontId="0" fillId="2" borderId="0" xfId="0" applyFill="1"/>
    <xf numFmtId="0" fontId="11" fillId="0" borderId="0" xfId="0" applyFont="1"/>
    <xf numFmtId="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7" borderId="0" xfId="0" applyFont="1" applyFill="1"/>
    <xf numFmtId="0" fontId="5" fillId="7" borderId="0" xfId="0" applyFont="1" applyFill="1"/>
    <xf numFmtId="4" fontId="5" fillId="0" borderId="0" xfId="0" applyNumberFormat="1" applyFont="1"/>
    <xf numFmtId="0" fontId="14" fillId="7" borderId="0" xfId="0" applyFont="1" applyFill="1"/>
    <xf numFmtId="0" fontId="14" fillId="0" borderId="0" xfId="0" applyFont="1"/>
    <xf numFmtId="4" fontId="1" fillId="0" borderId="0" xfId="0" applyNumberFormat="1" applyFont="1"/>
    <xf numFmtId="2" fontId="5" fillId="0" borderId="0" xfId="0" applyNumberFormat="1" applyFont="1"/>
    <xf numFmtId="2" fontId="5" fillId="7" borderId="0" xfId="0" applyNumberFormat="1" applyFont="1" applyFill="1"/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2" fontId="4" fillId="0" borderId="0" xfId="0" applyNumberFormat="1" applyFont="1" applyAlignment="1">
      <alignment horizontal="right" wrapText="1"/>
    </xf>
    <xf numFmtId="2" fontId="5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right" wrapText="1"/>
    </xf>
    <xf numFmtId="0" fontId="5" fillId="0" borderId="4" xfId="0" applyFont="1" applyBorder="1"/>
    <xf numFmtId="0" fontId="5" fillId="0" borderId="0" xfId="0" applyFont="1" applyAlignment="1">
      <alignment horizontal="right"/>
    </xf>
    <xf numFmtId="0" fontId="5" fillId="0" borderId="4" xfId="0" applyFont="1" applyBorder="1" applyAlignment="1">
      <alignment horizontal="left"/>
    </xf>
    <xf numFmtId="2" fontId="4" fillId="0" borderId="0" xfId="0" applyNumberFormat="1" applyFont="1" applyAlignment="1">
      <alignment wrapText="1"/>
    </xf>
    <xf numFmtId="2" fontId="11" fillId="0" borderId="0" xfId="0" applyNumberFormat="1" applyFont="1" applyAlignment="1">
      <alignment horizontal="right"/>
    </xf>
    <xf numFmtId="2" fontId="14" fillId="7" borderId="0" xfId="0" applyNumberFormat="1" applyFont="1" applyFill="1"/>
    <xf numFmtId="2" fontId="4" fillId="0" borderId="0" xfId="0" applyNumberFormat="1" applyFont="1" applyAlignment="1">
      <alignment horizontal="right"/>
    </xf>
    <xf numFmtId="0" fontId="4" fillId="6" borderId="0" xfId="0" applyFont="1" applyFill="1" applyAlignment="1">
      <alignment horizontal="right" wrapText="1"/>
    </xf>
    <xf numFmtId="0" fontId="4" fillId="6" borderId="0" xfId="0" applyFont="1" applyFill="1" applyAlignment="1">
      <alignment horizontal="right"/>
    </xf>
    <xf numFmtId="0" fontId="5" fillId="6" borderId="0" xfId="0" applyFont="1" applyFill="1"/>
    <xf numFmtId="2" fontId="4" fillId="6" borderId="0" xfId="0" applyNumberFormat="1" applyFont="1" applyFill="1" applyAlignment="1">
      <alignment wrapText="1"/>
    </xf>
    <xf numFmtId="0" fontId="4" fillId="6" borderId="0" xfId="0" applyFont="1" applyFill="1"/>
    <xf numFmtId="0" fontId="5" fillId="3" borderId="0" xfId="0" applyFont="1" applyFill="1"/>
    <xf numFmtId="2" fontId="5" fillId="3" borderId="0" xfId="0" applyNumberFormat="1" applyFont="1" applyFill="1"/>
    <xf numFmtId="2" fontId="0" fillId="3" borderId="0" xfId="0" applyNumberFormat="1" applyFill="1"/>
    <xf numFmtId="0" fontId="14" fillId="8" borderId="0" xfId="0" applyFont="1" applyFill="1"/>
    <xf numFmtId="0" fontId="5" fillId="8" borderId="0" xfId="0" applyFont="1" applyFill="1"/>
    <xf numFmtId="2" fontId="5" fillId="8" borderId="0" xfId="0" applyNumberFormat="1" applyFont="1" applyFill="1"/>
    <xf numFmtId="2" fontId="5" fillId="9" borderId="0" xfId="0" applyNumberFormat="1" applyFont="1" applyFill="1"/>
    <xf numFmtId="4" fontId="4" fillId="6" borderId="0" xfId="0" applyNumberFormat="1" applyFont="1" applyFill="1" applyAlignment="1">
      <alignment horizontal="right"/>
    </xf>
    <xf numFmtId="2" fontId="4" fillId="6" borderId="0" xfId="0" applyNumberFormat="1" applyFont="1" applyFill="1" applyAlignment="1">
      <alignment horizontal="right"/>
    </xf>
    <xf numFmtId="0" fontId="8" fillId="0" borderId="0" xfId="0" applyFont="1"/>
    <xf numFmtId="2" fontId="2" fillId="0" borderId="0" xfId="0" applyNumberFormat="1" applyFont="1" applyAlignment="1">
      <alignment horizontal="center"/>
    </xf>
    <xf numFmtId="2" fontId="2" fillId="0" borderId="0" xfId="0" applyNumberFormat="1" applyFont="1"/>
    <xf numFmtId="2" fontId="1" fillId="0" borderId="0" xfId="0" applyNumberFormat="1" applyFont="1"/>
    <xf numFmtId="0" fontId="0" fillId="0" borderId="0" xfId="0" applyAlignment="1">
      <alignment horizontal="center" wrapText="1"/>
    </xf>
    <xf numFmtId="2" fontId="0" fillId="0" borderId="5" xfId="0" applyNumberFormat="1" applyBorder="1"/>
    <xf numFmtId="0" fontId="0" fillId="10" borderId="0" xfId="0" applyFill="1"/>
    <xf numFmtId="0" fontId="0" fillId="0" borderId="1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2" fontId="0" fillId="6" borderId="5" xfId="0" applyNumberFormat="1" applyFill="1" applyBorder="1"/>
    <xf numFmtId="2" fontId="0" fillId="0" borderId="5" xfId="0" applyNumberFormat="1" applyBorder="1" applyAlignment="1">
      <alignment horizontal="left"/>
    </xf>
    <xf numFmtId="0" fontId="0" fillId="0" borderId="0" xfId="0" applyAlignment="1">
      <alignment horizontal="left"/>
    </xf>
    <xf numFmtId="0" fontId="2" fillId="6" borderId="0" xfId="0" applyFont="1" applyFill="1"/>
    <xf numFmtId="2" fontId="5" fillId="6" borderId="0" xfId="0" applyNumberFormat="1" applyFont="1" applyFill="1"/>
    <xf numFmtId="0" fontId="5" fillId="0" borderId="0" xfId="0" applyFont="1" applyAlignment="1">
      <alignment horizontal="left"/>
    </xf>
    <xf numFmtId="0" fontId="0" fillId="2" borderId="0" xfId="0" applyFill="1" applyAlignment="1">
      <alignment horizontal="center"/>
    </xf>
    <xf numFmtId="0" fontId="5" fillId="6" borderId="6" xfId="0" applyFont="1" applyFill="1" applyBorder="1"/>
    <xf numFmtId="2" fontId="4" fillId="6" borderId="7" xfId="0" applyNumberFormat="1" applyFont="1" applyFill="1" applyBorder="1" applyAlignment="1">
      <alignment horizontal="right"/>
    </xf>
    <xf numFmtId="0" fontId="1" fillId="6" borderId="7" xfId="0" applyFont="1" applyFill="1" applyBorder="1"/>
    <xf numFmtId="0" fontId="16" fillId="6" borderId="7" xfId="0" applyFont="1" applyFill="1" applyBorder="1"/>
    <xf numFmtId="0" fontId="16" fillId="6" borderId="8" xfId="0" applyFont="1" applyFill="1" applyBorder="1"/>
    <xf numFmtId="0" fontId="14" fillId="7" borderId="9" xfId="0" applyFont="1" applyFill="1" applyBorder="1"/>
    <xf numFmtId="2" fontId="16" fillId="0" borderId="0" xfId="0" applyNumberFormat="1" applyFont="1"/>
    <xf numFmtId="0" fontId="16" fillId="0" borderId="0" xfId="0" applyFont="1"/>
    <xf numFmtId="0" fontId="16" fillId="0" borderId="10" xfId="0" applyFont="1" applyBorder="1"/>
    <xf numFmtId="0" fontId="14" fillId="8" borderId="9" xfId="0" applyFont="1" applyFill="1" applyBorder="1"/>
    <xf numFmtId="0" fontId="5" fillId="0" borderId="9" xfId="0" applyFont="1" applyBorder="1"/>
    <xf numFmtId="10" fontId="14" fillId="7" borderId="9" xfId="0" applyNumberFormat="1" applyFont="1" applyFill="1" applyBorder="1"/>
    <xf numFmtId="10" fontId="16" fillId="0" borderId="0" xfId="0" applyNumberFormat="1" applyFont="1"/>
    <xf numFmtId="10" fontId="14" fillId="8" borderId="11" xfId="0" applyNumberFormat="1" applyFont="1" applyFill="1" applyBorder="1"/>
    <xf numFmtId="10" fontId="16" fillId="0" borderId="12" xfId="0" applyNumberFormat="1" applyFont="1" applyBorder="1"/>
    <xf numFmtId="0" fontId="1" fillId="0" borderId="12" xfId="0" applyFont="1" applyBorder="1"/>
    <xf numFmtId="0" fontId="16" fillId="0" borderId="12" xfId="0" applyFont="1" applyBorder="1"/>
    <xf numFmtId="0" fontId="16" fillId="0" borderId="13" xfId="0" applyFont="1" applyBorder="1"/>
    <xf numFmtId="2" fontId="4" fillId="7" borderId="0" xfId="0" applyNumberFormat="1" applyFont="1" applyFill="1"/>
    <xf numFmtId="4" fontId="0" fillId="6" borderId="0" xfId="0" applyNumberFormat="1" applyFill="1"/>
    <xf numFmtId="2" fontId="2" fillId="6" borderId="0" xfId="0" applyNumberFormat="1" applyFont="1" applyFill="1"/>
    <xf numFmtId="0" fontId="1" fillId="6" borderId="0" xfId="0" applyFont="1" applyFill="1"/>
    <xf numFmtId="0" fontId="5" fillId="4" borderId="0" xfId="0" applyFont="1" applyFill="1"/>
    <xf numFmtId="0" fontId="4" fillId="4" borderId="0" xfId="0" applyFont="1" applyFill="1" applyAlignment="1">
      <alignment horizontal="right" wrapText="1"/>
    </xf>
    <xf numFmtId="2" fontId="5" fillId="4" borderId="0" xfId="0" applyNumberFormat="1" applyFont="1" applyFill="1"/>
    <xf numFmtId="0" fontId="5" fillId="4" borderId="4" xfId="0" applyFont="1" applyFill="1" applyBorder="1" applyAlignment="1">
      <alignment horizontal="left"/>
    </xf>
    <xf numFmtId="0" fontId="4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87B49-6531-AD40-B4B6-936B083C300F}">
  <dimension ref="A1:I158"/>
  <sheetViews>
    <sheetView zoomScale="86" zoomScaleNormal="86" workbookViewId="0">
      <pane xSplit="1" ySplit="3" topLeftCell="B128" activePane="bottomRight" state="frozen"/>
      <selection pane="topRight" activeCell="B1" sqref="B1"/>
      <selection pane="bottomLeft" activeCell="A4" sqref="A4"/>
      <selection pane="bottomRight" activeCell="B151" sqref="B151"/>
    </sheetView>
  </sheetViews>
  <sheetFormatPr baseColWidth="10" defaultRowHeight="16" x14ac:dyDescent="0.2"/>
  <cols>
    <col min="1" max="1" width="80" bestFit="1" customWidth="1"/>
    <col min="7" max="7" width="20.5" style="25" bestFit="1" customWidth="1"/>
    <col min="8" max="8" width="30.83203125" bestFit="1" customWidth="1"/>
  </cols>
  <sheetData>
    <row r="1" spans="1:9" ht="19" x14ac:dyDescent="0.25">
      <c r="A1" s="38" t="s">
        <v>448</v>
      </c>
      <c r="B1" s="39" t="s">
        <v>0</v>
      </c>
      <c r="C1" s="40" t="s">
        <v>1</v>
      </c>
      <c r="D1" s="40" t="s">
        <v>2</v>
      </c>
      <c r="E1" s="41"/>
      <c r="F1" s="41"/>
      <c r="G1" s="61" t="s">
        <v>3</v>
      </c>
      <c r="H1" s="42" t="s">
        <v>5</v>
      </c>
    </row>
    <row r="2" spans="1:9" x14ac:dyDescent="0.2">
      <c r="A2" s="8" t="s">
        <v>68</v>
      </c>
      <c r="B2" s="9"/>
      <c r="C2" s="9"/>
      <c r="D2" s="9"/>
      <c r="E2" s="9"/>
      <c r="F2" s="9"/>
      <c r="G2" s="49"/>
      <c r="H2" s="2"/>
    </row>
    <row r="3" spans="1:9" x14ac:dyDescent="0.2">
      <c r="A3" s="43" t="s">
        <v>69</v>
      </c>
      <c r="B3" s="44"/>
      <c r="C3" s="44"/>
      <c r="D3" s="44"/>
      <c r="E3" s="44"/>
      <c r="F3" s="44"/>
      <c r="G3" s="75"/>
      <c r="H3" s="2"/>
    </row>
    <row r="4" spans="1:9" x14ac:dyDescent="0.2">
      <c r="A4" s="9" t="s">
        <v>204</v>
      </c>
      <c r="C4" s="9"/>
      <c r="D4" s="9"/>
      <c r="E4" s="9"/>
      <c r="F4" s="9"/>
      <c r="G4" s="93">
        <f>IF(INDEX('Overton Receipts'!$A$4:$F$171,MATCH('Overton Overview'!$A4,'Overton Receipts'!$A$4:$A$171,0),6)=0,"",INDEX('Overton Receipts'!$A$4:$F$171,MATCH('Overton Overview'!$A4,'Overton Receipts'!$A$4:$A$171,0),6))</f>
        <v>17.214583333333334</v>
      </c>
      <c r="H4" s="2"/>
    </row>
    <row r="5" spans="1:9" x14ac:dyDescent="0.2">
      <c r="A5" s="9" t="s">
        <v>205</v>
      </c>
      <c r="B5" s="9"/>
      <c r="C5" s="9"/>
      <c r="D5" s="9"/>
      <c r="E5" s="9"/>
      <c r="F5" s="9"/>
      <c r="G5" s="93">
        <f>IF(INDEX('Overton Receipts'!$A$4:$F$171,MATCH('Overton Overview'!$A5,'Overton Receipts'!$A$4:$A$171,0),6)=0,"",INDEX('Overton Receipts'!$A$4:$F$171,MATCH('Overton Overview'!$A5,'Overton Receipts'!$A$4:$A$171,0),6))</f>
        <v>30.992708333333333</v>
      </c>
      <c r="H5" s="2"/>
    </row>
    <row r="6" spans="1:9" x14ac:dyDescent="0.2">
      <c r="A6" s="9" t="s">
        <v>206</v>
      </c>
      <c r="B6" s="9"/>
      <c r="C6" s="9"/>
      <c r="D6" s="9"/>
      <c r="E6" s="9"/>
      <c r="F6" s="9"/>
      <c r="G6" s="93">
        <f>IF(INDEX('Overton Receipts'!$A$4:$F$171,MATCH('Overton Overview'!$A6,'Overton Receipts'!$A$4:$A$171,0),6)=0,"",INDEX('Overton Receipts'!$A$4:$F$171,MATCH('Overton Overview'!$A6,'Overton Receipts'!$A$4:$A$171,0),6))</f>
        <v>1.85</v>
      </c>
      <c r="H6" s="2"/>
    </row>
    <row r="7" spans="1:9" x14ac:dyDescent="0.2">
      <c r="A7" s="9" t="s">
        <v>207</v>
      </c>
      <c r="B7" s="9"/>
      <c r="C7" s="9"/>
      <c r="D7" s="9"/>
      <c r="E7" s="9"/>
      <c r="F7" s="9"/>
      <c r="G7" s="93">
        <f>IF(INDEX('Overton Receipts'!$A$4:$F$171,MATCH('Overton Overview'!$A7,'Overton Receipts'!$A$4:$A$171,0),6)=0,"",INDEX('Overton Receipts'!$A$4:$F$171,MATCH('Overton Overview'!$A7,'Overton Receipts'!$A$4:$A$171,0),6))</f>
        <v>5.4625000000000004</v>
      </c>
      <c r="H7" s="2"/>
    </row>
    <row r="8" spans="1:9" x14ac:dyDescent="0.2">
      <c r="A8" s="9" t="s">
        <v>221</v>
      </c>
      <c r="B8" s="9"/>
      <c r="C8" s="9"/>
      <c r="D8" s="9"/>
      <c r="E8" s="9"/>
      <c r="F8" s="9"/>
      <c r="G8" s="93" t="str">
        <f>IF(INDEX('Overton Receipts'!$A$4:$F$171,MATCH('Overton Overview'!$A8,'Overton Receipts'!$A$4:$A$171,0),6)=0,"",INDEX('Overton Receipts'!$A$4:$F$171,MATCH('Overton Overview'!$A8,'Overton Receipts'!$A$4:$A$171,0),6))</f>
        <v/>
      </c>
      <c r="H8" s="2"/>
    </row>
    <row r="9" spans="1:9" x14ac:dyDescent="0.2">
      <c r="A9" s="9" t="s">
        <v>208</v>
      </c>
      <c r="B9" s="9"/>
      <c r="C9" s="9"/>
      <c r="D9" s="9"/>
      <c r="E9" s="9"/>
      <c r="F9" s="9"/>
      <c r="G9" s="93">
        <f>IF(INDEX('Overton Receipts'!$A$4:$F$171,MATCH('Overton Overview'!$A9,'Overton Receipts'!$A$4:$A$171,0),6)=0,"",INDEX('Overton Receipts'!$A$4:$F$171,MATCH('Overton Overview'!$A9,'Overton Receipts'!$A$4:$A$171,0),6))</f>
        <v>23.012499999999999</v>
      </c>
      <c r="H9" s="2"/>
    </row>
    <row r="10" spans="1:9" x14ac:dyDescent="0.2">
      <c r="A10" s="9" t="s">
        <v>209</v>
      </c>
      <c r="B10" s="9"/>
      <c r="C10" s="9"/>
      <c r="D10" s="9"/>
      <c r="E10" s="9"/>
      <c r="F10" s="9"/>
      <c r="G10" s="93">
        <f>IF(INDEX('Overton Receipts'!$A$4:$F$171,MATCH('Overton Overview'!$A10,'Overton Receipts'!$A$4:$A$171,0),6)=0,"",INDEX('Overton Receipts'!$A$4:$F$171,MATCH('Overton Overview'!$A10,'Overton Receipts'!$A$4:$A$171,0),6))</f>
        <v>41.472916666666663</v>
      </c>
      <c r="H10" s="2"/>
    </row>
    <row r="11" spans="1:9" x14ac:dyDescent="0.2">
      <c r="A11" s="9" t="s">
        <v>210</v>
      </c>
      <c r="B11" s="9"/>
      <c r="C11" s="9"/>
      <c r="D11" s="9"/>
      <c r="E11" s="9"/>
      <c r="F11" s="9"/>
      <c r="G11" s="93">
        <f>IF(INDEX('Overton Receipts'!$A$4:$F$171,MATCH('Overton Overview'!$A11,'Overton Receipts'!$A$4:$A$171,0),6)=0,"",INDEX('Overton Receipts'!$A$4:$F$171,MATCH('Overton Overview'!$A11,'Overton Receipts'!$A$4:$A$171,0),6))</f>
        <v>4.8</v>
      </c>
      <c r="H11" s="2"/>
    </row>
    <row r="12" spans="1:9" x14ac:dyDescent="0.2">
      <c r="A12" s="9" t="s">
        <v>224</v>
      </c>
      <c r="B12" s="9"/>
      <c r="C12" s="9"/>
      <c r="D12" s="9"/>
      <c r="E12" s="9"/>
      <c r="F12" s="9"/>
      <c r="G12" s="93">
        <f>IF(INDEX('Overton Receipts'!$A$4:$F$171,MATCH('Overton Overview'!$A12,'Overton Receipts'!$A$4:$A$171,0),6)=0,"",INDEX('Overton Receipts'!$A$4:$F$171,MATCH('Overton Overview'!$A12,'Overton Receipts'!$A$4:$A$171,0),6))</f>
        <v>4.9625000000000004</v>
      </c>
      <c r="H12" s="2"/>
    </row>
    <row r="13" spans="1:9" x14ac:dyDescent="0.2">
      <c r="A13" s="46" t="s">
        <v>70</v>
      </c>
      <c r="B13" s="46"/>
      <c r="C13" s="46"/>
      <c r="D13" s="46"/>
      <c r="E13" s="46"/>
      <c r="F13" s="46"/>
      <c r="G13" s="62">
        <f>'Overton Receipts'!F169</f>
        <v>126.49479166666667</v>
      </c>
      <c r="H13" s="2"/>
    </row>
    <row r="14" spans="1:9" x14ac:dyDescent="0.2">
      <c r="A14" s="46" t="s">
        <v>197</v>
      </c>
      <c r="B14" s="46"/>
      <c r="C14" s="46"/>
      <c r="D14" s="46"/>
      <c r="E14" s="46"/>
      <c r="F14" s="46"/>
      <c r="G14" s="62">
        <f>'Overton Receipts'!F170</f>
        <v>109.28229166666667</v>
      </c>
      <c r="H14" s="48">
        <f>G13-G14</f>
        <v>17.212500000000006</v>
      </c>
      <c r="I14" s="17" t="s">
        <v>442</v>
      </c>
    </row>
    <row r="15" spans="1:9" x14ac:dyDescent="0.2">
      <c r="A15" s="46" t="s">
        <v>198</v>
      </c>
      <c r="B15" s="46"/>
      <c r="C15" s="46"/>
      <c r="D15" s="46"/>
      <c r="E15" s="46"/>
      <c r="F15" s="46"/>
      <c r="G15" s="62">
        <f>'Overton Receipts'!F171</f>
        <v>0</v>
      </c>
      <c r="H15" s="48"/>
      <c r="I15" s="17" t="s">
        <v>443</v>
      </c>
    </row>
    <row r="16" spans="1:9" x14ac:dyDescent="0.2">
      <c r="A16" s="9"/>
      <c r="B16" s="9"/>
      <c r="C16" s="9"/>
      <c r="D16" s="9"/>
      <c r="E16" s="9"/>
      <c r="F16" s="9"/>
      <c r="G16" s="49"/>
      <c r="H16" s="2"/>
    </row>
    <row r="17" spans="1:8" x14ac:dyDescent="0.2">
      <c r="A17" s="9"/>
      <c r="B17" s="9"/>
      <c r="C17" s="9"/>
      <c r="D17" s="9"/>
      <c r="E17" s="9"/>
      <c r="F17" s="9"/>
      <c r="G17" s="49"/>
      <c r="H17" s="2"/>
    </row>
    <row r="18" spans="1:8" x14ac:dyDescent="0.2">
      <c r="A18" s="43" t="s">
        <v>71</v>
      </c>
      <c r="B18" s="44"/>
      <c r="C18" s="44"/>
      <c r="D18" s="44"/>
      <c r="E18" s="44"/>
      <c r="F18" s="44"/>
      <c r="G18" s="75"/>
      <c r="H18" s="2"/>
    </row>
    <row r="19" spans="1:8" x14ac:dyDescent="0.2">
      <c r="A19" s="9" t="s">
        <v>211</v>
      </c>
      <c r="C19" s="9"/>
      <c r="D19" s="9"/>
      <c r="E19" s="9"/>
      <c r="F19" s="9"/>
      <c r="G19" s="93">
        <f>IF(INDEX('Overton Expenses'!$A$2:$F$156,MATCH('Overton Overview'!$A19,'Overton Expenses'!$A$2:$A$156,0),6)=0,"",INDEX('Overton Expenses'!$A$2:$F$156,MATCH('Overton Overview'!$A19,'Overton Expenses'!$A$2:$A$156,0),6))</f>
        <v>6.2604166666666661</v>
      </c>
      <c r="H19" s="2"/>
    </row>
    <row r="20" spans="1:8" x14ac:dyDescent="0.2">
      <c r="A20" s="9" t="s">
        <v>212</v>
      </c>
      <c r="B20" s="9"/>
      <c r="C20" s="9"/>
      <c r="D20" s="9"/>
      <c r="E20" s="9"/>
      <c r="F20" s="9"/>
      <c r="G20" s="93" t="str">
        <f>IF(INDEX('Overton Expenses'!$A$2:$F$156,MATCH('Overton Overview'!$A20,'Overton Expenses'!$A$2:$A$156,0),6)=0,"",INDEX('Overton Expenses'!$A$2:$F$156,MATCH('Overton Overview'!$A20,'Overton Expenses'!$A$2:$A$156,0),6))</f>
        <v/>
      </c>
      <c r="H20" s="2"/>
    </row>
    <row r="21" spans="1:8" x14ac:dyDescent="0.2">
      <c r="A21" s="9" t="s">
        <v>213</v>
      </c>
      <c r="B21" s="9"/>
      <c r="C21" s="9"/>
      <c r="D21" s="9"/>
      <c r="E21" s="9"/>
      <c r="F21" s="9"/>
      <c r="G21" s="93">
        <f>IF(INDEX('Overton Expenses'!$A$2:$F$156,MATCH('Overton Overview'!$A21,'Overton Expenses'!$A$2:$A$156,0),6)=0,"",INDEX('Overton Expenses'!$A$2:$F$156,MATCH('Overton Overview'!$A21,'Overton Expenses'!$A$2:$A$156,0),6))</f>
        <v>1.7750000000000001</v>
      </c>
      <c r="H21" s="2"/>
    </row>
    <row r="22" spans="1:8" x14ac:dyDescent="0.2">
      <c r="A22" s="9" t="s">
        <v>214</v>
      </c>
      <c r="B22" s="9"/>
      <c r="C22" s="9"/>
      <c r="D22" s="9"/>
      <c r="E22" s="9"/>
      <c r="F22" s="9"/>
      <c r="G22" s="93">
        <f>IF(INDEX('Overton Expenses'!$A$2:$F$156,MATCH('Overton Overview'!$A22,'Overton Expenses'!$A$2:$A$156,0),6)=0,"",INDEX('Overton Expenses'!$A$2:$F$156,MATCH('Overton Overview'!$A22,'Overton Expenses'!$A$2:$A$156,0),6))</f>
        <v>0.54583333333333339</v>
      </c>
      <c r="H22" s="2"/>
    </row>
    <row r="23" spans="1:8" x14ac:dyDescent="0.2">
      <c r="A23" s="9" t="s">
        <v>215</v>
      </c>
      <c r="B23" s="9"/>
      <c r="C23" s="9"/>
      <c r="D23" s="9"/>
      <c r="E23" s="9"/>
      <c r="F23" s="9"/>
      <c r="G23" s="93" t="str">
        <f>IF(INDEX('Overton Expenses'!$A$2:$F$156,MATCH('Overton Overview'!$A23,'Overton Expenses'!$A$2:$A$156,0),6)=0,"",INDEX('Overton Expenses'!$A$2:$F$156,MATCH('Overton Overview'!$A23,'Overton Expenses'!$A$2:$A$156,0),6))</f>
        <v/>
      </c>
      <c r="H23" s="2"/>
    </row>
    <row r="24" spans="1:8" x14ac:dyDescent="0.2">
      <c r="A24" s="9" t="s">
        <v>216</v>
      </c>
      <c r="B24" s="9"/>
      <c r="C24" s="9"/>
      <c r="D24" s="9"/>
      <c r="E24" s="9"/>
      <c r="F24" s="9"/>
      <c r="G24" s="93">
        <f>IF(INDEX('Overton Expenses'!$A$2:$F$156,MATCH('Overton Overview'!$A24,'Overton Expenses'!$A$2:$A$156,0),6)=0,"",INDEX('Overton Expenses'!$A$2:$F$156,MATCH('Overton Overview'!$A24,'Overton Expenses'!$A$2:$A$156,0),6))</f>
        <v>7.270833333333333</v>
      </c>
      <c r="H24" s="2"/>
    </row>
    <row r="25" spans="1:8" x14ac:dyDescent="0.2">
      <c r="A25" s="9" t="s">
        <v>217</v>
      </c>
      <c r="B25" s="9"/>
      <c r="C25" s="9"/>
      <c r="D25" s="9"/>
      <c r="E25" s="9"/>
      <c r="F25" s="9"/>
      <c r="G25" s="93">
        <f>IF(INDEX('Overton Expenses'!$A$2:$F$156,MATCH('Overton Overview'!$A25,'Overton Expenses'!$A$2:$A$156,0),6)=0,"",INDEX('Overton Expenses'!$A$2:$F$156,MATCH('Overton Overview'!$A25,'Overton Expenses'!$A$2:$A$156,0),6))</f>
        <v>2.4874999999999998</v>
      </c>
      <c r="H25" s="2"/>
    </row>
    <row r="26" spans="1:8" x14ac:dyDescent="0.2">
      <c r="A26" s="9" t="s">
        <v>218</v>
      </c>
      <c r="B26" s="9"/>
      <c r="C26" s="9"/>
      <c r="D26" s="9"/>
      <c r="E26" s="9"/>
      <c r="F26" s="9"/>
      <c r="G26" s="93">
        <f>IF(INDEX('Overton Expenses'!$A$2:$F$156,MATCH('Overton Overview'!$A26,'Overton Expenses'!$A$2:$A$156,0),6)=0,"",INDEX('Overton Expenses'!$A$2:$F$156,MATCH('Overton Overview'!$A26,'Overton Expenses'!$A$2:$A$156,0),6))</f>
        <v>1.5083333333333333</v>
      </c>
      <c r="H26" s="2"/>
    </row>
    <row r="27" spans="1:8" x14ac:dyDescent="0.2">
      <c r="A27" s="9" t="s">
        <v>219</v>
      </c>
      <c r="B27" s="9"/>
      <c r="C27" s="9"/>
      <c r="D27" s="9"/>
      <c r="E27" s="9"/>
      <c r="F27" s="9"/>
      <c r="G27" s="93">
        <f>IF(INDEX('Overton Expenses'!$A$2:$F$156,MATCH('Overton Overview'!$A27,'Overton Expenses'!$A$2:$A$156,0),6)=0,"",INDEX('Overton Expenses'!$A$2:$F$156,MATCH('Overton Overview'!$A27,'Overton Expenses'!$A$2:$A$156,0),6))</f>
        <v>1.2239583333333333</v>
      </c>
      <c r="H27" s="2"/>
    </row>
    <row r="28" spans="1:8" x14ac:dyDescent="0.2">
      <c r="A28" s="9" t="s">
        <v>223</v>
      </c>
      <c r="B28" s="9"/>
      <c r="C28" s="9"/>
      <c r="D28" s="9"/>
      <c r="E28" s="9"/>
      <c r="F28" s="9"/>
      <c r="G28" s="93">
        <f>IF(INDEX('Overton Expenses'!$A$2:$F$156,MATCH('Overton Overview'!$A28,'Overton Expenses'!$A$2:$A$156,0),6)=0,"",INDEX('Overton Expenses'!$A$2:$F$156,MATCH('Overton Overview'!$A28,'Overton Expenses'!$A$2:$A$156,0),6))</f>
        <v>2.2208333333333337</v>
      </c>
      <c r="H28" s="2"/>
    </row>
    <row r="29" spans="1:8" x14ac:dyDescent="0.2">
      <c r="A29" s="46" t="s">
        <v>72</v>
      </c>
      <c r="B29" s="44"/>
      <c r="C29" s="44"/>
      <c r="D29" s="44"/>
      <c r="E29" s="44"/>
      <c r="F29" s="44"/>
      <c r="G29" s="50">
        <f>'Overton Expenses'!F149</f>
        <v>23.844791666666666</v>
      </c>
      <c r="H29" s="2"/>
    </row>
    <row r="30" spans="1:8" x14ac:dyDescent="0.2">
      <c r="A30" s="46" t="s">
        <v>73</v>
      </c>
      <c r="B30" s="44"/>
      <c r="C30" s="44"/>
      <c r="D30" s="44"/>
      <c r="E30" s="44"/>
      <c r="F30" s="44"/>
      <c r="G30" s="50">
        <f>'Overton Expenses'!F148</f>
        <v>25.926041666666666</v>
      </c>
      <c r="H30" s="48">
        <f>G29-G30</f>
        <v>-2.0812500000000007</v>
      </c>
    </row>
    <row r="31" spans="1:8" x14ac:dyDescent="0.2">
      <c r="A31" s="46" t="s">
        <v>74</v>
      </c>
      <c r="B31" s="44"/>
      <c r="C31" s="44"/>
      <c r="D31" s="44"/>
      <c r="E31" s="44"/>
      <c r="F31" s="44"/>
      <c r="G31" s="50">
        <f>'Overton Expenses'!F157</f>
        <v>8.5708333333333346</v>
      </c>
      <c r="H31" s="2"/>
    </row>
    <row r="32" spans="1:8" x14ac:dyDescent="0.2">
      <c r="A32" s="9"/>
      <c r="B32" s="9"/>
      <c r="C32" s="9"/>
      <c r="D32" s="9"/>
      <c r="E32" s="9"/>
      <c r="F32" s="9"/>
      <c r="G32" s="49"/>
      <c r="H32" s="2"/>
    </row>
    <row r="33" spans="1:9" x14ac:dyDescent="0.2">
      <c r="A33" s="69" t="s">
        <v>75</v>
      </c>
      <c r="B33" s="69"/>
      <c r="C33" s="69"/>
      <c r="D33" s="69"/>
      <c r="E33" s="69"/>
      <c r="F33" s="69"/>
      <c r="G33" s="70">
        <f>G13-G29-G4</f>
        <v>85.435416666666669</v>
      </c>
      <c r="H33" s="2"/>
    </row>
    <row r="34" spans="1:9" x14ac:dyDescent="0.2">
      <c r="A34" s="69" t="s">
        <v>76</v>
      </c>
      <c r="B34" s="69"/>
      <c r="C34" s="69"/>
      <c r="D34" s="69"/>
      <c r="E34" s="69"/>
      <c r="F34" s="69"/>
      <c r="G34" s="70">
        <f>'Overton Expenses'!F151</f>
        <v>83.356249999999989</v>
      </c>
      <c r="H34" s="48">
        <f>G34-G33</f>
        <v>-2.0791666666666799</v>
      </c>
    </row>
    <row r="35" spans="1:9" x14ac:dyDescent="0.2">
      <c r="A35" s="9"/>
      <c r="B35" s="9"/>
      <c r="C35" s="9"/>
      <c r="D35" s="9"/>
      <c r="E35" s="9"/>
      <c r="F35" s="9"/>
      <c r="G35" s="49"/>
      <c r="H35" s="2"/>
    </row>
    <row r="36" spans="1:9" x14ac:dyDescent="0.2">
      <c r="A36" s="69" t="s">
        <v>172</v>
      </c>
      <c r="B36" s="69"/>
      <c r="C36" s="69"/>
      <c r="D36" s="69"/>
      <c r="E36" s="69"/>
      <c r="F36" s="69"/>
      <c r="G36" s="71">
        <f>'Overton Expenses'!F153</f>
        <v>40.450000000000003</v>
      </c>
      <c r="H36" s="2"/>
    </row>
    <row r="37" spans="1:9" x14ac:dyDescent="0.2">
      <c r="A37" s="72" t="s">
        <v>77</v>
      </c>
      <c r="B37" s="73" t="s">
        <v>170</v>
      </c>
      <c r="C37" s="73"/>
      <c r="D37" s="73"/>
      <c r="E37" s="73"/>
      <c r="F37" s="73"/>
      <c r="G37" s="74">
        <f>G36</f>
        <v>40.450000000000003</v>
      </c>
      <c r="H37" s="2"/>
    </row>
    <row r="38" spans="1:9" x14ac:dyDescent="0.2">
      <c r="A38" s="9"/>
      <c r="B38" s="9"/>
      <c r="C38" s="9"/>
      <c r="D38" s="9"/>
      <c r="E38" s="9"/>
      <c r="F38" s="9"/>
      <c r="G38" s="49"/>
      <c r="H38" s="2"/>
    </row>
    <row r="39" spans="1:9" x14ac:dyDescent="0.2">
      <c r="A39" s="69" t="s">
        <v>78</v>
      </c>
      <c r="B39" s="69"/>
      <c r="C39" s="69"/>
      <c r="D39" s="69"/>
      <c r="E39" s="69"/>
      <c r="F39" s="69"/>
      <c r="G39" s="71">
        <f>G34-G37</f>
        <v>42.906249999999986</v>
      </c>
      <c r="H39" s="2"/>
    </row>
    <row r="40" spans="1:9" x14ac:dyDescent="0.2">
      <c r="A40" s="69" t="s">
        <v>79</v>
      </c>
      <c r="B40" s="69"/>
      <c r="C40" s="69"/>
      <c r="D40" s="69"/>
      <c r="E40" s="69"/>
      <c r="F40" s="69"/>
      <c r="G40" s="71">
        <f>'Overton Expenses'!F154</f>
        <v>42.90625</v>
      </c>
      <c r="H40" s="48">
        <f>G39-G40</f>
        <v>0</v>
      </c>
    </row>
    <row r="41" spans="1:9" x14ac:dyDescent="0.2">
      <c r="A41" s="9"/>
      <c r="B41" s="9"/>
      <c r="C41" s="9"/>
      <c r="D41" s="9"/>
      <c r="E41" s="9"/>
      <c r="F41" s="9"/>
      <c r="G41" s="49"/>
      <c r="H41" s="2"/>
    </row>
    <row r="42" spans="1:9" x14ac:dyDescent="0.2">
      <c r="A42" s="43" t="s">
        <v>80</v>
      </c>
      <c r="B42" s="122" t="s">
        <v>201</v>
      </c>
      <c r="C42" s="122"/>
      <c r="D42" s="44"/>
      <c r="E42" s="44"/>
      <c r="F42" s="44"/>
      <c r="G42" s="114" t="s">
        <v>437</v>
      </c>
      <c r="H42" s="116" t="s">
        <v>453</v>
      </c>
    </row>
    <row r="43" spans="1:9" x14ac:dyDescent="0.2">
      <c r="A43" s="8" t="s">
        <v>81</v>
      </c>
      <c r="B43" s="76" t="s">
        <v>47</v>
      </c>
      <c r="C43" s="14"/>
      <c r="D43" s="9"/>
      <c r="E43" s="9"/>
      <c r="F43" s="9"/>
      <c r="G43" s="77" t="s">
        <v>0</v>
      </c>
      <c r="H43" s="77" t="s">
        <v>0</v>
      </c>
      <c r="I43" t="s">
        <v>231</v>
      </c>
    </row>
    <row r="44" spans="1:9" x14ac:dyDescent="0.2">
      <c r="A44" t="s">
        <v>225</v>
      </c>
      <c r="B44" s="49">
        <f>'Issues of the Grange'!L19</f>
        <v>45.75</v>
      </c>
      <c r="C44" s="9"/>
      <c r="D44" s="9"/>
      <c r="E44" s="9"/>
      <c r="F44" s="9"/>
      <c r="G44" s="49">
        <f>'Issues of the Grange'!O19</f>
        <v>12.390625000000002</v>
      </c>
      <c r="H44" s="25">
        <f>'Issues of the Grange'!T5</f>
        <v>17.908854166666668</v>
      </c>
    </row>
    <row r="45" spans="1:9" x14ac:dyDescent="0.2">
      <c r="A45" t="s">
        <v>226</v>
      </c>
      <c r="B45" s="49">
        <f>'Issues of the Grange'!L20</f>
        <v>2</v>
      </c>
      <c r="C45" s="9"/>
      <c r="D45" s="9"/>
      <c r="E45" s="9"/>
      <c r="F45" s="9"/>
      <c r="G45" s="49">
        <f>'Issues of the Grange'!O20</f>
        <v>0.4</v>
      </c>
      <c r="H45" s="25">
        <f>'Issues of the Grange'!T6</f>
        <v>0.45</v>
      </c>
    </row>
    <row r="46" spans="1:9" x14ac:dyDescent="0.2">
      <c r="A46" t="s">
        <v>227</v>
      </c>
      <c r="B46" s="49">
        <f>'Issues of the Grange'!L21</f>
        <v>17</v>
      </c>
      <c r="C46" s="9"/>
      <c r="D46" s="9"/>
      <c r="E46" s="9"/>
      <c r="F46" s="9"/>
      <c r="G46" s="49">
        <f>'Issues of the Grange'!O21</f>
        <v>2.9749999999999996</v>
      </c>
      <c r="H46" s="25">
        <f>'Issues of the Grange'!T7</f>
        <v>17.118749999999999</v>
      </c>
    </row>
    <row r="47" spans="1:9" x14ac:dyDescent="0.2">
      <c r="A47" t="s">
        <v>228</v>
      </c>
      <c r="B47" s="49">
        <f>'Issues of the Grange'!L22</f>
        <v>36.5625</v>
      </c>
      <c r="C47" s="9"/>
      <c r="D47" s="9"/>
      <c r="E47" s="9"/>
      <c r="F47" s="9"/>
      <c r="G47" s="49">
        <f>'Issues of the Grange'!O22</f>
        <v>4.11328125</v>
      </c>
      <c r="H47" s="25">
        <f>'Issues of the Grange'!T8</f>
        <v>15.509374999999999</v>
      </c>
    </row>
    <row r="48" spans="1:9" x14ac:dyDescent="0.2">
      <c r="A48" t="s">
        <v>229</v>
      </c>
      <c r="B48" s="49">
        <f>'Issues of the Grange'!L23</f>
        <v>0.5</v>
      </c>
      <c r="C48" s="9"/>
      <c r="D48" s="9"/>
      <c r="E48" s="9"/>
      <c r="F48" s="9"/>
      <c r="G48" s="49">
        <f>'Issues of the Grange'!O23</f>
        <v>7.4999999999999997E-2</v>
      </c>
      <c r="H48" s="25">
        <f>'Issues of the Grange'!T9</f>
        <v>16.249218750000001</v>
      </c>
    </row>
    <row r="49" spans="1:8" x14ac:dyDescent="0.2">
      <c r="A49" t="s">
        <v>230</v>
      </c>
      <c r="B49" s="49">
        <f>'Issues of the Grange'!L24</f>
        <v>1.875</v>
      </c>
      <c r="C49" s="9"/>
      <c r="D49" s="9"/>
      <c r="E49" s="9"/>
      <c r="F49" s="9"/>
      <c r="G49" s="49">
        <f>'Issues of the Grange'!O24</f>
        <v>9.375E-2</v>
      </c>
      <c r="H49" s="25">
        <f>'Issues of the Grange'!T10</f>
        <v>0.24374999999999999</v>
      </c>
    </row>
    <row r="50" spans="1:8" x14ac:dyDescent="0.2">
      <c r="A50" s="46" t="s">
        <v>454</v>
      </c>
      <c r="B50" s="44"/>
      <c r="C50" s="44"/>
      <c r="D50" s="44"/>
      <c r="E50" s="44"/>
      <c r="F50" s="44"/>
      <c r="G50" s="30">
        <f>SUM(H44:H49)</f>
        <v>67.479947916666674</v>
      </c>
      <c r="H50" s="117"/>
    </row>
    <row r="51" spans="1:8" x14ac:dyDescent="0.2">
      <c r="A51" s="46" t="s">
        <v>455</v>
      </c>
      <c r="B51" s="44"/>
      <c r="C51" s="44"/>
      <c r="D51" s="44"/>
      <c r="E51" s="44"/>
      <c r="F51" s="44"/>
      <c r="G51" s="75">
        <f>SUM(G44:G49)</f>
        <v>20.047656249999999</v>
      </c>
      <c r="H51" s="117"/>
    </row>
    <row r="52" spans="1:8" x14ac:dyDescent="0.2">
      <c r="A52" s="46" t="s">
        <v>83</v>
      </c>
      <c r="B52" s="44"/>
      <c r="C52" s="44"/>
      <c r="D52" s="44"/>
      <c r="E52" s="44"/>
      <c r="F52" s="44"/>
      <c r="G52" s="50">
        <f>'Issues of the Grange'!P25</f>
        <v>31.911458333333336</v>
      </c>
      <c r="H52" s="117"/>
    </row>
    <row r="53" spans="1:8" x14ac:dyDescent="0.2">
      <c r="A53" s="9"/>
      <c r="B53" s="9"/>
      <c r="C53" s="9"/>
      <c r="D53" s="9"/>
      <c r="E53" s="9"/>
      <c r="F53" s="9"/>
      <c r="G53" s="49"/>
      <c r="H53" s="2"/>
    </row>
    <row r="54" spans="1:8" x14ac:dyDescent="0.2">
      <c r="A54" s="43" t="s">
        <v>84</v>
      </c>
      <c r="B54" s="44" t="s">
        <v>170</v>
      </c>
      <c r="C54" s="44"/>
      <c r="D54" s="44"/>
      <c r="E54" s="44"/>
      <c r="F54" s="44"/>
      <c r="G54" s="114" t="s">
        <v>437</v>
      </c>
      <c r="H54" s="2"/>
    </row>
    <row r="55" spans="1:8" x14ac:dyDescent="0.2">
      <c r="A55" s="8" t="s">
        <v>85</v>
      </c>
      <c r="B55" s="12" t="s">
        <v>47</v>
      </c>
      <c r="C55" s="14"/>
      <c r="D55" s="9"/>
      <c r="E55" s="9"/>
      <c r="F55" s="9"/>
      <c r="G55" s="63" t="s">
        <v>0</v>
      </c>
      <c r="H55" s="2"/>
    </row>
    <row r="56" spans="1:8" x14ac:dyDescent="0.2">
      <c r="A56" t="s">
        <v>422</v>
      </c>
      <c r="B56" s="9">
        <f>'Issues of the Mill'!L5</f>
        <v>3</v>
      </c>
      <c r="C56" s="9"/>
      <c r="D56" s="9"/>
      <c r="E56" s="9"/>
      <c r="F56" s="9"/>
      <c r="G56" s="49">
        <f>'Issues of the Mill'!R5</f>
        <v>0.8</v>
      </c>
      <c r="H56" s="2"/>
    </row>
    <row r="57" spans="1:8" x14ac:dyDescent="0.2">
      <c r="A57" s="91" t="s">
        <v>423</v>
      </c>
      <c r="B57" s="9">
        <f>'Issues of the Mill'!L6</f>
        <v>0.625</v>
      </c>
      <c r="C57" s="9"/>
      <c r="D57" s="9"/>
      <c r="E57" s="9"/>
      <c r="F57" s="9"/>
      <c r="G57" s="49">
        <f>'Issues of the Mill'!R6</f>
        <v>0.92500000000000004</v>
      </c>
      <c r="H57" s="2"/>
    </row>
    <row r="58" spans="1:8" x14ac:dyDescent="0.2">
      <c r="A58" s="91" t="s">
        <v>425</v>
      </c>
      <c r="B58" s="9">
        <f>'Issues of the Mill'!L7</f>
        <v>5.875</v>
      </c>
      <c r="C58" s="9"/>
      <c r="D58" s="9"/>
      <c r="E58" s="9"/>
      <c r="F58" s="9"/>
      <c r="G58" s="49">
        <f>'Issues of the Mill'!R7</f>
        <v>1.7625</v>
      </c>
      <c r="H58" s="2"/>
    </row>
    <row r="59" spans="1:8" x14ac:dyDescent="0.2">
      <c r="A59" s="91" t="s">
        <v>424</v>
      </c>
      <c r="B59" s="9">
        <f>'Issues of the Mill'!L8</f>
        <v>24.125</v>
      </c>
      <c r="C59" s="9"/>
      <c r="D59" s="9"/>
      <c r="E59" s="9"/>
      <c r="F59" s="9"/>
      <c r="G59" s="49">
        <f>'Issues of the Mill'!R8</f>
        <v>2.8145833333333332</v>
      </c>
      <c r="H59" s="2"/>
    </row>
    <row r="60" spans="1:8" x14ac:dyDescent="0.2">
      <c r="A60" s="46" t="s">
        <v>82</v>
      </c>
      <c r="B60" s="44"/>
      <c r="C60" s="44"/>
      <c r="D60" s="44"/>
      <c r="E60" s="44"/>
      <c r="F60" s="44"/>
      <c r="G60" s="75">
        <f>SUM(G56:G59)</f>
        <v>6.302083333333333</v>
      </c>
      <c r="H60" s="2"/>
    </row>
    <row r="61" spans="1:8" x14ac:dyDescent="0.2">
      <c r="A61" s="46" t="s">
        <v>83</v>
      </c>
      <c r="B61" s="44"/>
      <c r="C61" s="44"/>
      <c r="D61" s="44"/>
      <c r="E61" s="44"/>
      <c r="F61" s="44"/>
      <c r="G61" s="75">
        <f>'Issues of the Mill'!R12</f>
        <v>5.5020833333333332</v>
      </c>
      <c r="H61" s="2"/>
    </row>
    <row r="62" spans="1:8" x14ac:dyDescent="0.2">
      <c r="A62" s="9"/>
      <c r="B62" s="9"/>
      <c r="C62" s="9"/>
      <c r="D62" s="9"/>
      <c r="E62" s="9"/>
      <c r="F62" s="9"/>
      <c r="G62" s="49"/>
      <c r="H62" s="2"/>
    </row>
    <row r="63" spans="1:8" x14ac:dyDescent="0.2">
      <c r="A63" s="43" t="s">
        <v>86</v>
      </c>
      <c r="B63" s="44"/>
      <c r="C63" s="44"/>
      <c r="D63" s="44"/>
      <c r="E63" s="44"/>
      <c r="F63" s="44"/>
      <c r="G63" s="50"/>
      <c r="H63" s="2"/>
    </row>
    <row r="64" spans="1:8" ht="34" x14ac:dyDescent="0.2">
      <c r="A64" s="68" t="s">
        <v>87</v>
      </c>
      <c r="B64" s="64" t="s">
        <v>138</v>
      </c>
      <c r="C64" s="64" t="s">
        <v>144</v>
      </c>
      <c r="D64" s="65" t="s">
        <v>88</v>
      </c>
      <c r="E64" s="66"/>
      <c r="F64" s="67" t="s">
        <v>147</v>
      </c>
      <c r="G64" s="67" t="s">
        <v>162</v>
      </c>
      <c r="H64" s="2"/>
    </row>
    <row r="65" spans="1:8" ht="17" x14ac:dyDescent="0.2">
      <c r="A65" s="51" t="s">
        <v>89</v>
      </c>
      <c r="B65" s="9">
        <f>IFERROR(INDEX(Stock!$A$3:$T$94,MATCH('Overton Overview'!$A65,Stock!$A$3:$A$94,0),MATCH('Overton Overview'!B$64,Stock!$A$3:$T$3,0)),0)</f>
        <v>2</v>
      </c>
      <c r="C65" s="9">
        <f>IFERROR(INDEX(Stock!$A$3:$T$94,MATCH('Overton Overview'!$A65,Stock!$A$3:$A$94,0),MATCH('Overton Overview'!C$64,Stock!$A$3:$T$3,0)),0)</f>
        <v>2</v>
      </c>
      <c r="D65" s="9">
        <f>C65-B65</f>
        <v>0</v>
      </c>
      <c r="E65" s="49"/>
      <c r="F65" s="9">
        <f>IFERROR(INDEX(Stock!$A$3:$T$94,MATCH('Overton Overview'!$A65,Stock!$A$3:$A$94,0),MATCH('Overton Overview'!F$64,Stock!$A$3:$T$3,0)),0)</f>
        <v>0.3</v>
      </c>
      <c r="G65" s="49">
        <f>IFERROR(INDEX(Stock!$A$3:$T$94,MATCH('Overton Overview'!$A65,Stock!$A$3:$A$94,0),MATCH('Overton Overview'!G$64,Stock!$A$3:$T$3,0)),0)</f>
        <v>0</v>
      </c>
      <c r="H65" s="2"/>
    </row>
    <row r="66" spans="1:8" ht="17" x14ac:dyDescent="0.2">
      <c r="A66" s="51" t="s">
        <v>90</v>
      </c>
      <c r="B66" s="9">
        <f>IFERROR(INDEX(Stock!$A$3:$T$94,MATCH('Overton Overview'!$A66,Stock!$A$3:$A$94,0),MATCH('Overton Overview'!B$64,Stock!$A$3:$T$3,0)),0)</f>
        <v>0</v>
      </c>
      <c r="C66" s="9">
        <f>IFERROR(INDEX(Stock!$A$3:$T$94,MATCH('Overton Overview'!$A66,Stock!$A$3:$A$94,0),MATCH('Overton Overview'!C$64,Stock!$A$3:$T$3,0)),0)</f>
        <v>0</v>
      </c>
      <c r="D66" s="9">
        <f t="shared" ref="D66:D90" si="0">C66-B66</f>
        <v>0</v>
      </c>
      <c r="E66" s="49"/>
      <c r="F66" s="9" t="str">
        <f>IFERROR(INDEX(Stock!$A$3:$T$94,MATCH('Overton Overview'!$A66,Stock!$A$3:$A$94,0),MATCH('Overton Overview'!F$64,Stock!$A$3:$T$3,0)),0)</f>
        <v/>
      </c>
      <c r="G66" s="49">
        <f>IFERROR(INDEX(Stock!$A$3:$T$94,MATCH('Overton Overview'!$A66,Stock!$A$3:$A$94,0),MATCH('Overton Overview'!G$64,Stock!$A$3:$T$3,0)),0)</f>
        <v>0</v>
      </c>
      <c r="H66" s="2"/>
    </row>
    <row r="67" spans="1:8" x14ac:dyDescent="0.2">
      <c r="A67" s="9" t="s">
        <v>91</v>
      </c>
      <c r="B67" s="9">
        <f>IFERROR(INDEX(Stock!$A$3:$T$94,MATCH('Overton Overview'!$A67,Stock!$A$3:$A$94,0),MATCH('Overton Overview'!B$64,Stock!$A$3:$T$3,0)),0)</f>
        <v>9</v>
      </c>
      <c r="C67" s="9">
        <f>IFERROR(INDEX(Stock!$A$3:$T$94,MATCH('Overton Overview'!$A67,Stock!$A$3:$A$94,0),MATCH('Overton Overview'!C$64,Stock!$A$3:$T$3,0)),0)</f>
        <v>10</v>
      </c>
      <c r="D67" s="9">
        <f t="shared" si="0"/>
        <v>1</v>
      </c>
      <c r="E67" s="49"/>
      <c r="F67" s="9" t="str">
        <f>IFERROR(INDEX(Stock!$A$3:$T$94,MATCH('Overton Overview'!$A67,Stock!$A$3:$A$94,0),MATCH('Overton Overview'!F$64,Stock!$A$3:$T$3,0)),0)</f>
        <v/>
      </c>
      <c r="G67" s="49">
        <f>IFERROR(INDEX(Stock!$A$3:$T$94,MATCH('Overton Overview'!$A67,Stock!$A$3:$A$94,0),MATCH('Overton Overview'!G$64,Stock!$A$3:$T$3,0)),0)</f>
        <v>0</v>
      </c>
      <c r="H67" s="2"/>
    </row>
    <row r="68" spans="1:8" x14ac:dyDescent="0.2">
      <c r="A68" s="9" t="s">
        <v>92</v>
      </c>
      <c r="B68" s="9">
        <f>IFERROR(INDEX(Stock!$A$3:$T$94,MATCH('Overton Overview'!$A68,Stock!$A$3:$A$94,0),MATCH('Overton Overview'!B$64,Stock!$A$3:$T$3,0)),0)</f>
        <v>0</v>
      </c>
      <c r="C68" s="9">
        <f>IFERROR(INDEX(Stock!$A$3:$T$94,MATCH('Overton Overview'!$A68,Stock!$A$3:$A$94,0),MATCH('Overton Overview'!C$64,Stock!$A$3:$T$3,0)),0)</f>
        <v>0</v>
      </c>
      <c r="D68" s="9">
        <f t="shared" si="0"/>
        <v>0</v>
      </c>
      <c r="E68" s="49"/>
      <c r="F68" s="9" t="str">
        <f>IFERROR(INDEX(Stock!$A$3:$T$94,MATCH('Overton Overview'!$A68,Stock!$A$3:$A$94,0),MATCH('Overton Overview'!F$64,Stock!$A$3:$T$3,0)),0)</f>
        <v/>
      </c>
      <c r="G68" s="49">
        <f>IFERROR(INDEX(Stock!$A$3:$T$94,MATCH('Overton Overview'!$A68,Stock!$A$3:$A$94,0),MATCH('Overton Overview'!G$64,Stock!$A$3:$T$3,0)),0)</f>
        <v>0</v>
      </c>
      <c r="H68" s="2"/>
    </row>
    <row r="69" spans="1:8" x14ac:dyDescent="0.2">
      <c r="A69" s="9" t="s">
        <v>92</v>
      </c>
      <c r="B69" s="9">
        <f>IFERROR(INDEX(Stock!$A$3:$T$94,MATCH('Overton Overview'!$A69,Stock!$A$3:$A$94,0),MATCH('Overton Overview'!B$64,Stock!$A$3:$T$3,0)),0)</f>
        <v>0</v>
      </c>
      <c r="C69" s="9">
        <f>IFERROR(INDEX(Stock!$A$3:$T$94,MATCH('Overton Overview'!$A69,Stock!$A$3:$A$94,0),MATCH('Overton Overview'!C$64,Stock!$A$3:$T$3,0)),0)</f>
        <v>0</v>
      </c>
      <c r="D69" s="9">
        <f t="shared" si="0"/>
        <v>0</v>
      </c>
      <c r="E69" s="49"/>
      <c r="F69" s="9" t="str">
        <f>IFERROR(INDEX(Stock!$A$3:$T$94,MATCH('Overton Overview'!$A69,Stock!$A$3:$A$94,0),MATCH('Overton Overview'!F$64,Stock!$A$3:$T$3,0)),0)</f>
        <v/>
      </c>
      <c r="G69" s="49">
        <f>IFERROR(INDEX(Stock!$A$3:$T$94,MATCH('Overton Overview'!$A69,Stock!$A$3:$A$94,0),MATCH('Overton Overview'!G$64,Stock!$A$3:$T$3,0)),0)</f>
        <v>0</v>
      </c>
      <c r="H69" s="2"/>
    </row>
    <row r="70" spans="1:8" x14ac:dyDescent="0.2">
      <c r="A70" s="9" t="s">
        <v>93</v>
      </c>
      <c r="B70" s="9">
        <f>IFERROR(INDEX(Stock!$A$3:$T$94,MATCH('Overton Overview'!$A70,Stock!$A$3:$A$94,0),MATCH('Overton Overview'!B$64,Stock!$A$3:$T$3,0)),0)</f>
        <v>0</v>
      </c>
      <c r="C70" s="9">
        <f>IFERROR(INDEX(Stock!$A$3:$T$94,MATCH('Overton Overview'!$A70,Stock!$A$3:$A$94,0),MATCH('Overton Overview'!C$64,Stock!$A$3:$T$3,0)),0)</f>
        <v>0</v>
      </c>
      <c r="D70" s="9">
        <f t="shared" si="0"/>
        <v>0</v>
      </c>
      <c r="E70" s="49"/>
      <c r="F70" s="9" t="str">
        <f>IFERROR(INDEX(Stock!$A$3:$T$94,MATCH('Overton Overview'!$A70,Stock!$A$3:$A$94,0),MATCH('Overton Overview'!F$64,Stock!$A$3:$T$3,0)),0)</f>
        <v/>
      </c>
      <c r="G70" s="49">
        <f>IFERROR(INDEX(Stock!$A$3:$T$94,MATCH('Overton Overview'!$A70,Stock!$A$3:$A$94,0),MATCH('Overton Overview'!G$64,Stock!$A$3:$T$3,0)),0)</f>
        <v>0</v>
      </c>
      <c r="H70" s="2"/>
    </row>
    <row r="71" spans="1:8" x14ac:dyDescent="0.2">
      <c r="A71" s="9" t="s">
        <v>94</v>
      </c>
      <c r="B71" s="9">
        <f>IFERROR(INDEX(Stock!$A$3:$T$94,MATCH('Overton Overview'!$A71,Stock!$A$3:$A$94,0),MATCH('Overton Overview'!B$64,Stock!$A$3:$T$3,0)),0)</f>
        <v>0</v>
      </c>
      <c r="C71" s="9">
        <f>IFERROR(INDEX(Stock!$A$3:$T$94,MATCH('Overton Overview'!$A71,Stock!$A$3:$A$94,0),MATCH('Overton Overview'!C$64,Stock!$A$3:$T$3,0)),0)</f>
        <v>0</v>
      </c>
      <c r="D71" s="9">
        <f t="shared" si="0"/>
        <v>0</v>
      </c>
      <c r="E71" s="49"/>
      <c r="F71" s="9" t="str">
        <f>IFERROR(INDEX(Stock!$A$3:$T$94,MATCH('Overton Overview'!$A71,Stock!$A$3:$A$94,0),MATCH('Overton Overview'!F$64,Stock!$A$3:$T$3,0)),0)</f>
        <v/>
      </c>
      <c r="G71" s="49">
        <f>IFERROR(INDEX(Stock!$A$3:$T$94,MATCH('Overton Overview'!$A71,Stock!$A$3:$A$94,0),MATCH('Overton Overview'!G$64,Stock!$A$3:$T$3,0)),0)</f>
        <v>0</v>
      </c>
      <c r="H71" s="2"/>
    </row>
    <row r="72" spans="1:8" x14ac:dyDescent="0.2">
      <c r="A72" s="9" t="s">
        <v>95</v>
      </c>
      <c r="B72" s="9">
        <f>IFERROR(INDEX(Stock!$A$3:$T$94,MATCH('Overton Overview'!$A72,Stock!$A$3:$A$94,0),MATCH('Overton Overview'!B$64,Stock!$A$3:$T$3,0)),0)</f>
        <v>20</v>
      </c>
      <c r="C72" s="9">
        <f>IFERROR(INDEX(Stock!$A$3:$T$94,MATCH('Overton Overview'!$A72,Stock!$A$3:$A$94,0),MATCH('Overton Overview'!C$64,Stock!$A$3:$T$3,0)),0)</f>
        <v>20</v>
      </c>
      <c r="D72" s="9">
        <f t="shared" si="0"/>
        <v>0</v>
      </c>
      <c r="E72" s="49"/>
      <c r="F72" s="9">
        <f>IFERROR(INDEX(Stock!$A$3:$T$94,MATCH('Overton Overview'!$A72,Stock!$A$3:$A$94,0),MATCH('Overton Overview'!F$64,Stock!$A$3:$T$3,0)),0)</f>
        <v>0.97499999999999998</v>
      </c>
      <c r="G72" s="49">
        <f>IFERROR(INDEX(Stock!$A$3:$T$94,MATCH('Overton Overview'!$A72,Stock!$A$3:$A$94,0),MATCH('Overton Overview'!G$64,Stock!$A$3:$T$3,0)),0)</f>
        <v>0</v>
      </c>
      <c r="H72" s="2"/>
    </row>
    <row r="73" spans="1:8" x14ac:dyDescent="0.2">
      <c r="A73" s="9" t="s">
        <v>96</v>
      </c>
      <c r="B73" s="9">
        <f>IFERROR(INDEX(Stock!$A$3:$T$94,MATCH('Overton Overview'!$A73,Stock!$A$3:$A$94,0),MATCH('Overton Overview'!B$64,Stock!$A$3:$T$3,0)),0)</f>
        <v>1</v>
      </c>
      <c r="C73" s="9">
        <f>IFERROR(INDEX(Stock!$A$3:$T$94,MATCH('Overton Overview'!$A73,Stock!$A$3:$A$94,0),MATCH('Overton Overview'!C$64,Stock!$A$3:$T$3,0)),0)</f>
        <v>1</v>
      </c>
      <c r="D73" s="9">
        <f t="shared" si="0"/>
        <v>0</v>
      </c>
      <c r="E73" s="49"/>
      <c r="F73" s="9">
        <f>IFERROR(INDEX(Stock!$A$3:$T$94,MATCH('Overton Overview'!$A73,Stock!$A$3:$A$94,0),MATCH('Overton Overview'!F$64,Stock!$A$3:$T$3,0)),0)</f>
        <v>0.5</v>
      </c>
      <c r="G73" s="49">
        <f>IFERROR(INDEX(Stock!$A$3:$T$94,MATCH('Overton Overview'!$A73,Stock!$A$3:$A$94,0),MATCH('Overton Overview'!G$64,Stock!$A$3:$T$3,0)),0)</f>
        <v>0.5</v>
      </c>
      <c r="H73" s="2"/>
    </row>
    <row r="74" spans="1:8" x14ac:dyDescent="0.2">
      <c r="A74" s="9" t="s">
        <v>97</v>
      </c>
      <c r="B74" s="9">
        <f>IFERROR(INDEX(Stock!$A$3:$T$94,MATCH('Overton Overview'!$A74,Stock!$A$3:$A$94,0),MATCH('Overton Overview'!B$64,Stock!$A$3:$T$3,0)),0)</f>
        <v>25</v>
      </c>
      <c r="C74" s="9">
        <f>IFERROR(INDEX(Stock!$A$3:$T$94,MATCH('Overton Overview'!$A74,Stock!$A$3:$A$94,0),MATCH('Overton Overview'!C$64,Stock!$A$3:$T$3,0)),0)</f>
        <v>26</v>
      </c>
      <c r="D74" s="9">
        <f t="shared" si="0"/>
        <v>1</v>
      </c>
      <c r="E74" s="49"/>
      <c r="F74" s="9">
        <f>IFERROR(INDEX(Stock!$A$3:$T$94,MATCH('Overton Overview'!$A74,Stock!$A$3:$A$94,0),MATCH('Overton Overview'!F$64,Stock!$A$3:$T$3,0)),0)</f>
        <v>0.8</v>
      </c>
      <c r="G74" s="49">
        <f>IFERROR(INDEX(Stock!$A$3:$T$94,MATCH('Overton Overview'!$A74,Stock!$A$3:$A$94,0),MATCH('Overton Overview'!G$64,Stock!$A$3:$T$3,0)),0)</f>
        <v>1.2000000000000002</v>
      </c>
      <c r="H74" s="2"/>
    </row>
    <row r="75" spans="1:8" x14ac:dyDescent="0.2">
      <c r="A75" s="9" t="s">
        <v>98</v>
      </c>
      <c r="B75" s="9">
        <f>IFERROR(INDEX(Stock!$A$3:$T$94,MATCH('Overton Overview'!$A75,Stock!$A$3:$A$94,0),MATCH('Overton Overview'!B$64,Stock!$A$3:$T$3,0)),0)</f>
        <v>5</v>
      </c>
      <c r="C75" s="9">
        <f>IFERROR(INDEX(Stock!$A$3:$T$94,MATCH('Overton Overview'!$A75,Stock!$A$3:$A$94,0),MATCH('Overton Overview'!C$64,Stock!$A$3:$T$3,0)),0)</f>
        <v>0</v>
      </c>
      <c r="D75" s="9">
        <f t="shared" si="0"/>
        <v>-5</v>
      </c>
      <c r="E75" s="49"/>
      <c r="F75" s="9">
        <f>IFERROR(INDEX(Stock!$A$3:$T$94,MATCH('Overton Overview'!$A75,Stock!$A$3:$A$94,0),MATCH('Overton Overview'!F$64,Stock!$A$3:$T$3,0)),0)</f>
        <v>0.35</v>
      </c>
      <c r="G75" s="49">
        <f>IFERROR(INDEX(Stock!$A$3:$T$94,MATCH('Overton Overview'!$A75,Stock!$A$3:$A$94,0),MATCH('Overton Overview'!G$64,Stock!$A$3:$T$3,0)),0)</f>
        <v>0</v>
      </c>
      <c r="H75" s="2"/>
    </row>
    <row r="76" spans="1:8" x14ac:dyDescent="0.2">
      <c r="A76" s="9" t="s">
        <v>99</v>
      </c>
      <c r="B76" s="9">
        <f>IFERROR(INDEX(Stock!$A$3:$T$94,MATCH('Overton Overview'!$A76,Stock!$A$3:$A$94,0),MATCH('Overton Overview'!B$64,Stock!$A$3:$T$3,0)),0)</f>
        <v>9</v>
      </c>
      <c r="C76" s="9">
        <f>IFERROR(INDEX(Stock!$A$3:$T$94,MATCH('Overton Overview'!$A76,Stock!$A$3:$A$94,0),MATCH('Overton Overview'!C$64,Stock!$A$3:$T$3,0)),0)</f>
        <v>9</v>
      </c>
      <c r="D76" s="9">
        <f t="shared" si="0"/>
        <v>0</v>
      </c>
      <c r="E76" s="49"/>
      <c r="F76" s="9">
        <f>IFERROR(INDEX(Stock!$A$3:$T$94,MATCH('Overton Overview'!$A76,Stock!$A$3:$A$94,0),MATCH('Overton Overview'!F$64,Stock!$A$3:$T$3,0)),0)</f>
        <v>0</v>
      </c>
      <c r="G76" s="49">
        <f>IFERROR(INDEX(Stock!$A$3:$T$94,MATCH('Overton Overview'!$A76,Stock!$A$3:$A$94,0),MATCH('Overton Overview'!G$64,Stock!$A$3:$T$3,0)),0)</f>
        <v>0</v>
      </c>
      <c r="H76" s="2"/>
    </row>
    <row r="77" spans="1:8" x14ac:dyDescent="0.2">
      <c r="A77" s="9" t="s">
        <v>100</v>
      </c>
      <c r="B77" s="9">
        <f>IFERROR(INDEX(Stock!$A$3:$T$94,MATCH('Overton Overview'!$A77,Stock!$A$3:$A$94,0),MATCH('Overton Overview'!B$64,Stock!$A$3:$T$3,0)),0)</f>
        <v>10</v>
      </c>
      <c r="C77" s="9">
        <f>IFERROR(INDEX(Stock!$A$3:$T$94,MATCH('Overton Overview'!$A77,Stock!$A$3:$A$94,0),MATCH('Overton Overview'!C$64,Stock!$A$3:$T$3,0)),0)</f>
        <v>9</v>
      </c>
      <c r="D77" s="9">
        <f t="shared" si="0"/>
        <v>-1</v>
      </c>
      <c r="E77" s="49"/>
      <c r="F77" s="9">
        <f>IFERROR(INDEX(Stock!$A$3:$T$94,MATCH('Overton Overview'!$A77,Stock!$A$3:$A$94,0),MATCH('Overton Overview'!F$64,Stock!$A$3:$T$3,0)),0)</f>
        <v>0</v>
      </c>
      <c r="G77" s="49">
        <f>IFERROR(INDEX(Stock!$A$3:$T$94,MATCH('Overton Overview'!$A77,Stock!$A$3:$A$94,0),MATCH('Overton Overview'!G$64,Stock!$A$3:$T$3,0)),0)</f>
        <v>0</v>
      </c>
      <c r="H77" s="2"/>
    </row>
    <row r="78" spans="1:8" x14ac:dyDescent="0.2">
      <c r="A78" s="9" t="s">
        <v>101</v>
      </c>
      <c r="B78" s="9">
        <f>IFERROR(INDEX(Stock!$A$3:$T$94,MATCH('Overton Overview'!$A78,Stock!$A$3:$A$94,0),MATCH('Overton Overview'!B$64,Stock!$A$3:$T$3,0)),0)</f>
        <v>25</v>
      </c>
      <c r="C78" s="9">
        <f>IFERROR(INDEX(Stock!$A$3:$T$94,MATCH('Overton Overview'!$A78,Stock!$A$3:$A$94,0),MATCH('Overton Overview'!C$64,Stock!$A$3:$T$3,0)),0)</f>
        <v>9</v>
      </c>
      <c r="D78" s="9">
        <f t="shared" si="0"/>
        <v>-16</v>
      </c>
      <c r="E78" s="49"/>
      <c r="F78" s="9">
        <f>IFERROR(INDEX(Stock!$A$3:$T$94,MATCH('Overton Overview'!$A78,Stock!$A$3:$A$94,0),MATCH('Overton Overview'!F$64,Stock!$A$3:$T$3,0)),0)</f>
        <v>0.4916666666666667</v>
      </c>
      <c r="G78" s="49">
        <f>IFERROR(INDEX(Stock!$A$3:$T$94,MATCH('Overton Overview'!$A78,Stock!$A$3:$A$94,0),MATCH('Overton Overview'!G$64,Stock!$A$3:$T$3,0)),0)</f>
        <v>0</v>
      </c>
      <c r="H78" s="2"/>
    </row>
    <row r="79" spans="1:8" x14ac:dyDescent="0.2">
      <c r="A79" s="9" t="s">
        <v>102</v>
      </c>
      <c r="B79" s="9">
        <f>IFERROR(INDEX(Stock!$A$3:$T$94,MATCH('Overton Overview'!$A79,Stock!$A$3:$A$94,0),MATCH('Overton Overview'!B$64,Stock!$A$3:$T$3,0)),0)</f>
        <v>0</v>
      </c>
      <c r="C79" s="9">
        <f>IFERROR(INDEX(Stock!$A$3:$T$94,MATCH('Overton Overview'!$A79,Stock!$A$3:$A$94,0),MATCH('Overton Overview'!C$64,Stock!$A$3:$T$3,0)),0)</f>
        <v>0</v>
      </c>
      <c r="D79" s="9">
        <f t="shared" si="0"/>
        <v>0</v>
      </c>
      <c r="E79" s="49"/>
      <c r="F79" s="9">
        <f>IFERROR(INDEX(Stock!$A$3:$T$94,MATCH('Overton Overview'!$A79,Stock!$A$3:$A$94,0),MATCH('Overton Overview'!F$64,Stock!$A$3:$T$3,0)),0)</f>
        <v>0</v>
      </c>
      <c r="G79" s="49">
        <f>IFERROR(INDEX(Stock!$A$3:$T$94,MATCH('Overton Overview'!$A79,Stock!$A$3:$A$94,0),MATCH('Overton Overview'!G$64,Stock!$A$3:$T$3,0)),0)</f>
        <v>0</v>
      </c>
      <c r="H79" s="2"/>
    </row>
    <row r="80" spans="1:8" x14ac:dyDescent="0.2">
      <c r="A80" s="9" t="s">
        <v>103</v>
      </c>
      <c r="B80" s="9">
        <f>IFERROR(INDEX(Stock!$A$3:$T$94,MATCH('Overton Overview'!$A80,Stock!$A$3:$A$94,0),MATCH('Overton Overview'!B$64,Stock!$A$3:$T$3,0)),0)</f>
        <v>20</v>
      </c>
      <c r="C80" s="9">
        <f>IFERROR(INDEX(Stock!$A$3:$T$94,MATCH('Overton Overview'!$A80,Stock!$A$3:$A$94,0),MATCH('Overton Overview'!C$64,Stock!$A$3:$T$3,0)),0)</f>
        <v>17</v>
      </c>
      <c r="D80" s="9">
        <f t="shared" si="0"/>
        <v>-3</v>
      </c>
      <c r="E80" s="49"/>
      <c r="F80" s="9">
        <f>IFERROR(INDEX(Stock!$A$3:$T$94,MATCH('Overton Overview'!$A80,Stock!$A$3:$A$94,0),MATCH('Overton Overview'!F$64,Stock!$A$3:$T$3,0)),0)</f>
        <v>0</v>
      </c>
      <c r="G80" s="49">
        <f>IFERROR(INDEX(Stock!$A$3:$T$94,MATCH('Overton Overview'!$A80,Stock!$A$3:$A$94,0),MATCH('Overton Overview'!G$64,Stock!$A$3:$T$3,0)),0)</f>
        <v>0</v>
      </c>
      <c r="H80" s="2"/>
    </row>
    <row r="81" spans="1:8" x14ac:dyDescent="0.2">
      <c r="A81" s="9" t="s">
        <v>104</v>
      </c>
      <c r="B81" s="9">
        <f>IFERROR(INDEX(Stock!$A$3:$T$94,MATCH('Overton Overview'!$A81,Stock!$A$3:$A$94,0),MATCH('Overton Overview'!B$64,Stock!$A$3:$T$3,0)),0)</f>
        <v>495</v>
      </c>
      <c r="C81" s="9">
        <f>IFERROR(INDEX(Stock!$A$3:$T$94,MATCH('Overton Overview'!$A81,Stock!$A$3:$A$94,0),MATCH('Overton Overview'!C$64,Stock!$A$3:$T$3,0)),0)</f>
        <v>631</v>
      </c>
      <c r="D81" s="9">
        <f t="shared" si="0"/>
        <v>136</v>
      </c>
      <c r="E81" s="49"/>
      <c r="F81" s="9">
        <f>IFERROR(INDEX(Stock!$A$3:$T$94,MATCH('Overton Overview'!$A81,Stock!$A$3:$A$94,0),MATCH('Overton Overview'!F$64,Stock!$A$3:$T$3,0)),0)</f>
        <v>1.4624999999999999</v>
      </c>
      <c r="G81" s="49">
        <f>IFERROR(INDEX(Stock!$A$3:$T$94,MATCH('Overton Overview'!$A81,Stock!$A$3:$A$94,0),MATCH('Overton Overview'!G$64,Stock!$A$3:$T$3,0)),0)</f>
        <v>3.8249999999999997</v>
      </c>
      <c r="H81" s="2"/>
    </row>
    <row r="82" spans="1:8" x14ac:dyDescent="0.2">
      <c r="A82" s="9" t="s">
        <v>105</v>
      </c>
      <c r="B82" s="9">
        <f>IFERROR(INDEX(Stock!$A$3:$T$94,MATCH('Overton Overview'!$A82,Stock!$A$3:$A$94,0),MATCH('Overton Overview'!B$64,Stock!$A$3:$T$3,0)),0)</f>
        <v>234</v>
      </c>
      <c r="C82" s="9">
        <f>IFERROR(INDEX(Stock!$A$3:$T$94,MATCH('Overton Overview'!$A82,Stock!$A$3:$A$94,0),MATCH('Overton Overview'!C$64,Stock!$A$3:$T$3,0)),0)</f>
        <v>0</v>
      </c>
      <c r="D82" s="9">
        <f t="shared" si="0"/>
        <v>-234</v>
      </c>
      <c r="E82" s="49"/>
      <c r="F82" s="9">
        <f>IFERROR(INDEX(Stock!$A$3:$T$94,MATCH('Overton Overview'!$A82,Stock!$A$3:$A$94,0),MATCH('Overton Overview'!F$64,Stock!$A$3:$T$3,0)),0)</f>
        <v>0.3</v>
      </c>
      <c r="G82" s="49">
        <f>IFERROR(INDEX(Stock!$A$3:$T$94,MATCH('Overton Overview'!$A82,Stock!$A$3:$A$94,0),MATCH('Overton Overview'!G$64,Stock!$A$3:$T$3,0)),0)</f>
        <v>0</v>
      </c>
      <c r="H82" s="2"/>
    </row>
    <row r="83" spans="1:8" x14ac:dyDescent="0.2">
      <c r="A83" s="9" t="s">
        <v>106</v>
      </c>
      <c r="B83" s="9">
        <f>IFERROR(INDEX(Stock!$A$3:$T$94,MATCH('Overton Overview'!$A83,Stock!$A$3:$A$94,0),MATCH('Overton Overview'!B$64,Stock!$A$3:$T$3,0)),0)</f>
        <v>401</v>
      </c>
      <c r="C83" s="9">
        <f>IFERROR(INDEX(Stock!$A$3:$T$94,MATCH('Overton Overview'!$A83,Stock!$A$3:$A$94,0),MATCH('Overton Overview'!C$64,Stock!$A$3:$T$3,0)),0)</f>
        <v>280</v>
      </c>
      <c r="D83" s="9">
        <f t="shared" si="0"/>
        <v>-121</v>
      </c>
      <c r="E83" s="49"/>
      <c r="F83" s="9">
        <f>IFERROR(INDEX(Stock!$A$3:$T$94,MATCH('Overton Overview'!$A83,Stock!$A$3:$A$94,0),MATCH('Overton Overview'!F$64,Stock!$A$3:$T$3,0)),0)</f>
        <v>0</v>
      </c>
      <c r="G83" s="49">
        <f>IFERROR(INDEX(Stock!$A$3:$T$94,MATCH('Overton Overview'!$A83,Stock!$A$3:$A$94,0),MATCH('Overton Overview'!G$64,Stock!$A$3:$T$3,0)),0)</f>
        <v>0</v>
      </c>
      <c r="H83" s="2"/>
    </row>
    <row r="84" spans="1:8" x14ac:dyDescent="0.2">
      <c r="A84" s="9" t="s">
        <v>107</v>
      </c>
      <c r="B84" s="9">
        <f>IFERROR(INDEX(Stock!$A$3:$T$94,MATCH('Overton Overview'!$A84,Stock!$A$3:$A$94,0),MATCH('Overton Overview'!B$64,Stock!$A$3:$T$3,0)),0)</f>
        <v>0</v>
      </c>
      <c r="C84" s="9">
        <f>IFERROR(INDEX(Stock!$A$3:$T$94,MATCH('Overton Overview'!$A84,Stock!$A$3:$A$94,0),MATCH('Overton Overview'!C$64,Stock!$A$3:$T$3,0)),0)</f>
        <v>0</v>
      </c>
      <c r="D84" s="9">
        <f t="shared" si="0"/>
        <v>0</v>
      </c>
      <c r="E84" s="49"/>
      <c r="F84" s="9">
        <f>IFERROR(INDEX(Stock!$A$3:$T$94,MATCH('Overton Overview'!$A84,Stock!$A$3:$A$94,0),MATCH('Overton Overview'!F$64,Stock!$A$3:$T$3,0)),0)</f>
        <v>0</v>
      </c>
      <c r="G84" s="49">
        <f>IFERROR(INDEX(Stock!$A$3:$T$94,MATCH('Overton Overview'!$A84,Stock!$A$3:$A$94,0),MATCH('Overton Overview'!G$64,Stock!$A$3:$T$3,0)),0)</f>
        <v>0</v>
      </c>
      <c r="H84" s="2"/>
    </row>
    <row r="85" spans="1:8" x14ac:dyDescent="0.2">
      <c r="A85" s="9" t="s">
        <v>108</v>
      </c>
      <c r="B85" s="9">
        <f>IFERROR(INDEX(Stock!$A$3:$T$94,MATCH('Overton Overview'!$A85,Stock!$A$3:$A$94,0),MATCH('Overton Overview'!B$64,Stock!$A$3:$T$3,0)),0)</f>
        <v>0</v>
      </c>
      <c r="C85" s="9">
        <f>IFERROR(INDEX(Stock!$A$3:$T$94,MATCH('Overton Overview'!$A85,Stock!$A$3:$A$94,0),MATCH('Overton Overview'!C$64,Stock!$A$3:$T$3,0)),0)</f>
        <v>0</v>
      </c>
      <c r="D85" s="9">
        <f t="shared" si="0"/>
        <v>0</v>
      </c>
      <c r="E85" s="49"/>
      <c r="F85" s="9">
        <f>IFERROR(INDEX(Stock!$A$3:$T$94,MATCH('Overton Overview'!$A85,Stock!$A$3:$A$94,0),MATCH('Overton Overview'!F$64,Stock!$A$3:$T$3,0)),0)</f>
        <v>0</v>
      </c>
      <c r="G85" s="49">
        <f>IFERROR(INDEX(Stock!$A$3:$T$94,MATCH('Overton Overview'!$A85,Stock!$A$3:$A$94,0),MATCH('Overton Overview'!G$64,Stock!$A$3:$T$3,0)),0)</f>
        <v>0</v>
      </c>
      <c r="H85" s="2"/>
    </row>
    <row r="86" spans="1:8" x14ac:dyDescent="0.2">
      <c r="A86" s="9" t="s">
        <v>109</v>
      </c>
      <c r="B86" s="9">
        <f>IFERROR(INDEX(Stock!$A$3:$T$94,MATCH('Overton Overview'!$A86,Stock!$A$3:$A$94,0),MATCH('Overton Overview'!B$64,Stock!$A$3:$T$3,0)),0)</f>
        <v>0</v>
      </c>
      <c r="C86" s="9">
        <f>IFERROR(INDEX(Stock!$A$3:$T$94,MATCH('Overton Overview'!$A86,Stock!$A$3:$A$94,0),MATCH('Overton Overview'!C$64,Stock!$A$3:$T$3,0)),0)</f>
        <v>0</v>
      </c>
      <c r="D86" s="9">
        <f t="shared" si="0"/>
        <v>0</v>
      </c>
      <c r="E86" s="49"/>
      <c r="F86" s="9">
        <f>IFERROR(INDEX(Stock!$A$3:$T$94,MATCH('Overton Overview'!$A86,Stock!$A$3:$A$94,0),MATCH('Overton Overview'!F$64,Stock!$A$3:$T$3,0)),0)</f>
        <v>0.37916666666666665</v>
      </c>
      <c r="G86" s="49">
        <f>IFERROR(INDEX(Stock!$A$3:$T$94,MATCH('Overton Overview'!$A86,Stock!$A$3:$A$94,0),MATCH('Overton Overview'!G$64,Stock!$A$3:$T$3,0)),0)</f>
        <v>0</v>
      </c>
      <c r="H86" s="2"/>
    </row>
    <row r="87" spans="1:8" x14ac:dyDescent="0.2">
      <c r="A87" s="9" t="s">
        <v>110</v>
      </c>
      <c r="B87" s="9">
        <f>IFERROR(INDEX(Stock!$A$3:$T$94,MATCH('Overton Overview'!$A87,Stock!$A$3:$A$94,0),MATCH('Overton Overview'!B$64,Stock!$A$3:$T$3,0)),0)</f>
        <v>0</v>
      </c>
      <c r="C87" s="9">
        <f>IFERROR(INDEX(Stock!$A$3:$T$94,MATCH('Overton Overview'!$A87,Stock!$A$3:$A$94,0),MATCH('Overton Overview'!C$64,Stock!$A$3:$T$3,0)),0)</f>
        <v>0</v>
      </c>
      <c r="D87" s="9">
        <f t="shared" si="0"/>
        <v>0</v>
      </c>
      <c r="E87" s="49"/>
      <c r="F87" s="9" t="str">
        <f>IFERROR(INDEX(Stock!$A$3:$T$94,MATCH('Overton Overview'!$A87,Stock!$A$3:$A$94,0),MATCH('Overton Overview'!F$64,Stock!$A$3:$T$3,0)),0)</f>
        <v/>
      </c>
      <c r="G87" s="49" t="str">
        <f>IFERROR(INDEX(Stock!$A$3:$T$94,MATCH('Overton Overview'!$A87,Stock!$A$3:$A$94,0),MATCH('Overton Overview'!G$64,Stock!$A$3:$T$3,0)),0)</f>
        <v/>
      </c>
      <c r="H87" s="2"/>
    </row>
    <row r="88" spans="1:8" x14ac:dyDescent="0.2">
      <c r="A88" s="9" t="s">
        <v>111</v>
      </c>
      <c r="B88" s="9">
        <f>IFERROR(INDEX(Stock!$A$3:$T$94,MATCH('Overton Overview'!$A88,Stock!$A$3:$A$94,0),MATCH('Overton Overview'!B$64,Stock!$A$3:$T$3,0)),0)</f>
        <v>0</v>
      </c>
      <c r="C88" s="9">
        <f>IFERROR(INDEX(Stock!$A$3:$T$94,MATCH('Overton Overview'!$A88,Stock!$A$3:$A$94,0),MATCH('Overton Overview'!C$64,Stock!$A$3:$T$3,0)),0)</f>
        <v>0</v>
      </c>
      <c r="D88" s="9">
        <f t="shared" si="0"/>
        <v>0</v>
      </c>
      <c r="E88" s="49"/>
      <c r="F88" s="9" t="str">
        <f>IFERROR(INDEX(Stock!$A$3:$T$94,MATCH('Overton Overview'!$A88,Stock!$A$3:$A$94,0),MATCH('Overton Overview'!F$64,Stock!$A$3:$T$3,0)),0)</f>
        <v/>
      </c>
      <c r="G88" s="49" t="str">
        <f>IFERROR(INDEX(Stock!$A$3:$T$94,MATCH('Overton Overview'!$A88,Stock!$A$3:$A$94,0),MATCH('Overton Overview'!G$64,Stock!$A$3:$T$3,0)),0)</f>
        <v/>
      </c>
      <c r="H88" s="2"/>
    </row>
    <row r="89" spans="1:8" x14ac:dyDescent="0.2">
      <c r="A89" s="9" t="s">
        <v>112</v>
      </c>
      <c r="B89" s="9">
        <f>IFERROR(INDEX(Stock!$A$3:$T$94,MATCH('Overton Overview'!$A89,Stock!$A$3:$A$94,0),MATCH('Overton Overview'!B$64,Stock!$A$3:$T$3,0)),0)</f>
        <v>0</v>
      </c>
      <c r="C89" s="9">
        <f>IFERROR(INDEX(Stock!$A$3:$T$94,MATCH('Overton Overview'!$A89,Stock!$A$3:$A$94,0),MATCH('Overton Overview'!C$64,Stock!$A$3:$T$3,0)),0)</f>
        <v>0</v>
      </c>
      <c r="D89" s="9">
        <f t="shared" si="0"/>
        <v>0</v>
      </c>
      <c r="E89" s="49"/>
      <c r="F89" s="9" t="str">
        <f>IFERROR(INDEX(Stock!$A$3:$T$94,MATCH('Overton Overview'!$A89,Stock!$A$3:$A$94,0),MATCH('Overton Overview'!F$64,Stock!$A$3:$T$3,0)),0)</f>
        <v/>
      </c>
      <c r="G89" s="49" t="str">
        <f>IFERROR(INDEX(Stock!$A$3:$T$94,MATCH('Overton Overview'!$A89,Stock!$A$3:$A$94,0),MATCH('Overton Overview'!G$64,Stock!$A$3:$T$3,0)),0)</f>
        <v/>
      </c>
      <c r="H89" s="2"/>
    </row>
    <row r="90" spans="1:8" x14ac:dyDescent="0.2">
      <c r="A90" s="9" t="s">
        <v>113</v>
      </c>
      <c r="B90" s="9">
        <f>IFERROR(INDEX(Stock!$A$3:$T$94,MATCH('Overton Overview'!$A90,Stock!$A$3:$A$94,0),MATCH('Overton Overview'!B$64,Stock!$A$3:$T$3,0)),0)</f>
        <v>10</v>
      </c>
      <c r="C90" s="9">
        <f>IFERROR(INDEX(Stock!$A$3:$T$94,MATCH('Overton Overview'!$A90,Stock!$A$3:$A$94,0),MATCH('Overton Overview'!C$64,Stock!$A$3:$T$3,0)),0)</f>
        <v>11</v>
      </c>
      <c r="D90" s="9">
        <f t="shared" si="0"/>
        <v>1</v>
      </c>
      <c r="E90" s="49"/>
      <c r="F90" s="9" t="str">
        <f>IFERROR(INDEX(Stock!$A$3:$T$94,MATCH('Overton Overview'!$A90,Stock!$A$3:$A$94,0),MATCH('Overton Overview'!F$64,Stock!$A$3:$T$3,0)),0)</f>
        <v/>
      </c>
      <c r="G90" s="49" t="str">
        <f>IFERROR(INDEX(Stock!$A$3:$T$94,MATCH('Overton Overview'!$A90,Stock!$A$3:$A$94,0),MATCH('Overton Overview'!G$64,Stock!$A$3:$T$3,0)),0)</f>
        <v/>
      </c>
      <c r="H90" s="2"/>
    </row>
    <row r="91" spans="1:8" x14ac:dyDescent="0.2">
      <c r="A91" s="46" t="s">
        <v>9</v>
      </c>
      <c r="B91" s="44"/>
      <c r="C91" s="44"/>
      <c r="D91" s="44"/>
      <c r="E91" s="44"/>
      <c r="F91" s="44"/>
      <c r="G91" s="50">
        <f>SUM(G65:G90)</f>
        <v>5.5250000000000004</v>
      </c>
      <c r="H91" s="2"/>
    </row>
    <row r="92" spans="1:8" x14ac:dyDescent="0.2">
      <c r="A92" s="46" t="s">
        <v>83</v>
      </c>
      <c r="B92" s="44"/>
      <c r="C92" s="44"/>
      <c r="D92" s="44"/>
      <c r="E92" s="44"/>
      <c r="F92" s="44"/>
      <c r="G92" s="50">
        <f>SUM(F65:F90)</f>
        <v>5.5583333333333327</v>
      </c>
      <c r="H92" s="2"/>
    </row>
    <row r="93" spans="1:8" x14ac:dyDescent="0.2">
      <c r="A93" s="9"/>
      <c r="B93" s="9"/>
      <c r="C93" s="9"/>
      <c r="D93" s="9"/>
      <c r="E93" s="9"/>
      <c r="F93" s="9"/>
      <c r="G93" s="49"/>
      <c r="H93" s="2"/>
    </row>
    <row r="94" spans="1:8" ht="34" x14ac:dyDescent="0.2">
      <c r="A94" s="43" t="s">
        <v>114</v>
      </c>
      <c r="B94" s="64" t="s">
        <v>138</v>
      </c>
      <c r="C94" s="64" t="s">
        <v>144</v>
      </c>
      <c r="D94" s="65" t="s">
        <v>88</v>
      </c>
      <c r="E94" s="66"/>
      <c r="F94" s="67" t="s">
        <v>147</v>
      </c>
      <c r="G94" s="67" t="s">
        <v>162</v>
      </c>
      <c r="H94" s="2"/>
    </row>
    <row r="95" spans="1:8" ht="17" x14ac:dyDescent="0.2">
      <c r="A95" s="51" t="s">
        <v>159</v>
      </c>
      <c r="B95" s="9">
        <f>IFERROR(INDEX(Stock!$A$3:$T$94,MATCH('Overton Overview'!$A95,Stock!$A$3:$A$94,0),MATCH('Overton Overview'!B$64,Stock!$A$3:$T$3,0)),0)</f>
        <v>0</v>
      </c>
      <c r="C95" s="9">
        <f>IFERROR(INDEX(Stock!$A$3:$T$94,MATCH('Overton Overview'!$A95,Stock!$A$3:$A$94,0),MATCH('Overton Overview'!C$64,Stock!$A$3:$T$3,0)),0)</f>
        <v>0</v>
      </c>
      <c r="D95" s="9">
        <f t="shared" ref="D95:D99" si="1">C95-B95</f>
        <v>0</v>
      </c>
      <c r="F95" s="9">
        <f>IFERROR(INDEX(Stock!$A$3:$T$94,MATCH('Overton Overview'!$A95,Stock!$A$3:$A$94,0),MATCH('Overton Overview'!F$64,Stock!$A$3:$T$3,0)),0)</f>
        <v>0</v>
      </c>
      <c r="G95" s="49">
        <f>IFERROR(INDEX(Stock!$A$3:$T$94,MATCH('Overton Overview'!$A95,Stock!$A$3:$A$94,0),MATCH('Overton Overview'!G$64,Stock!$A$3:$T$3,0)),0)</f>
        <v>20.260000000000002</v>
      </c>
      <c r="H95" s="2"/>
    </row>
    <row r="96" spans="1:8" x14ac:dyDescent="0.2">
      <c r="A96" s="9" t="s">
        <v>115</v>
      </c>
      <c r="B96" s="9">
        <f>IFERROR(INDEX(Stock!$A$3:$T$94,MATCH('Overton Overview'!$A96,Stock!$A$3:$A$94,0),MATCH('Overton Overview'!B$64,Stock!$A$3:$T$3,0)),0)</f>
        <v>0</v>
      </c>
      <c r="C96" s="9">
        <f>IFERROR(INDEX(Stock!$A$3:$T$94,MATCH('Overton Overview'!$A96,Stock!$A$3:$A$94,0),MATCH('Overton Overview'!C$64,Stock!$A$3:$T$3,0)),0)</f>
        <v>0</v>
      </c>
      <c r="D96" s="9">
        <f t="shared" si="1"/>
        <v>0</v>
      </c>
      <c r="F96" s="9" t="str">
        <f>IFERROR(INDEX(Stock!$A$3:$T$94,MATCH('Overton Overview'!$A96,Stock!$A$3:$A$94,0),MATCH('Overton Overview'!F$64,Stock!$A$3:$T$3,0)),0)</f>
        <v/>
      </c>
      <c r="G96" s="49" t="str">
        <f>IFERROR(INDEX(Stock!$A$3:$T$94,MATCH('Overton Overview'!$A96,Stock!$A$3:$A$94,0),MATCH('Overton Overview'!G$64,Stock!$A$3:$T$3,0)),0)</f>
        <v/>
      </c>
      <c r="H96" s="2"/>
    </row>
    <row r="97" spans="1:8" x14ac:dyDescent="0.2">
      <c r="A97" s="9" t="s">
        <v>116</v>
      </c>
      <c r="B97" s="9">
        <f>IFERROR(INDEX(Stock!$A$3:$T$94,MATCH('Overton Overview'!$A97,Stock!$A$3:$A$94,0),MATCH('Overton Overview'!B$64,Stock!$A$3:$T$3,0)),0)</f>
        <v>0</v>
      </c>
      <c r="C97" s="9">
        <f>IFERROR(INDEX(Stock!$A$3:$T$94,MATCH('Overton Overview'!$A97,Stock!$A$3:$A$94,0),MATCH('Overton Overview'!C$64,Stock!$A$3:$T$3,0)),0)</f>
        <v>0</v>
      </c>
      <c r="D97" s="9">
        <f t="shared" si="1"/>
        <v>0</v>
      </c>
      <c r="F97" s="9">
        <f>IFERROR(INDEX(Stock!$A$3:$T$94,MATCH('Overton Overview'!$A97,Stock!$A$3:$A$94,0),MATCH('Overton Overview'!F$64,Stock!$A$3:$T$3,0)),0)</f>
        <v>0</v>
      </c>
      <c r="G97" s="49">
        <f>IFERROR(INDEX(Stock!$A$3:$T$94,MATCH('Overton Overview'!$A97,Stock!$A$3:$A$94,0),MATCH('Overton Overview'!G$64,Stock!$A$3:$T$3,0)),0)</f>
        <v>2.94</v>
      </c>
      <c r="H97" s="2"/>
    </row>
    <row r="98" spans="1:8" x14ac:dyDescent="0.2">
      <c r="A98" s="9" t="s">
        <v>117</v>
      </c>
      <c r="B98" s="9">
        <f>IFERROR(INDEX(Stock!$A$3:$T$94,MATCH('Overton Overview'!$A98,Stock!$A$3:$A$94,0),MATCH('Overton Overview'!B$64,Stock!$A$3:$T$3,0)),0)</f>
        <v>0</v>
      </c>
      <c r="C98" s="9">
        <f>IFERROR(INDEX(Stock!$A$3:$T$94,MATCH('Overton Overview'!$A98,Stock!$A$3:$A$94,0),MATCH('Overton Overview'!C$64,Stock!$A$3:$T$3,0)),0)</f>
        <v>0</v>
      </c>
      <c r="D98" s="9">
        <f t="shared" si="1"/>
        <v>0</v>
      </c>
      <c r="F98" s="9">
        <f>IFERROR(INDEX(Stock!$A$3:$T$94,MATCH('Overton Overview'!$A98,Stock!$A$3:$A$94,0),MATCH('Overton Overview'!F$64,Stock!$A$3:$T$3,0)),0)</f>
        <v>0.46666666666666667</v>
      </c>
      <c r="G98" s="49" t="str">
        <f>IFERROR(INDEX(Stock!$A$3:$T$94,MATCH('Overton Overview'!$A98,Stock!$A$3:$A$94,0),MATCH('Overton Overview'!G$64,Stock!$A$3:$T$3,0)),0)</f>
        <v/>
      </c>
      <c r="H98" s="2"/>
    </row>
    <row r="99" spans="1:8" x14ac:dyDescent="0.2">
      <c r="A99" s="9" t="s">
        <v>149</v>
      </c>
      <c r="B99" s="9">
        <f>IFERROR(INDEX(Stock!$A$3:$T$94,MATCH('Overton Overview'!$A99,Stock!$A$3:$A$94,0),MATCH('Overton Overview'!B$64,Stock!$A$3:$T$3,0)),0)</f>
        <v>0</v>
      </c>
      <c r="C99" s="9">
        <f>IFERROR(INDEX(Stock!$A$3:$T$94,MATCH('Overton Overview'!$A99,Stock!$A$3:$A$94,0),MATCH('Overton Overview'!C$64,Stock!$A$3:$T$3,0)),0)</f>
        <v>0</v>
      </c>
      <c r="D99" s="9">
        <f t="shared" si="1"/>
        <v>0</v>
      </c>
      <c r="F99" s="9" t="str">
        <f>IFERROR(INDEX(Stock!$A$3:$T$94,MATCH('Overton Overview'!$A99,Stock!$A$3:$A$94,0),MATCH('Overton Overview'!F$64,Stock!$A$3:$T$3,0)),0)</f>
        <v/>
      </c>
      <c r="G99" s="49" t="str">
        <f>IFERROR(INDEX(Stock!$A$3:$T$94,MATCH('Overton Overview'!$A99,Stock!$A$3:$A$94,0),MATCH('Overton Overview'!G$64,Stock!$A$3:$T$3,0)),0)</f>
        <v/>
      </c>
      <c r="H99" s="2"/>
    </row>
    <row r="100" spans="1:8" x14ac:dyDescent="0.2">
      <c r="A100" s="46" t="s">
        <v>82</v>
      </c>
      <c r="B100" s="44"/>
      <c r="C100" s="44"/>
      <c r="D100" s="44"/>
      <c r="E100" s="44"/>
      <c r="F100" s="44"/>
      <c r="G100" s="50">
        <f>SUM(G95:G99)</f>
        <v>23.200000000000003</v>
      </c>
      <c r="H100" s="2"/>
    </row>
    <row r="101" spans="1:8" x14ac:dyDescent="0.2">
      <c r="A101" s="46" t="s">
        <v>83</v>
      </c>
      <c r="B101" s="44"/>
      <c r="C101" s="44"/>
      <c r="D101" s="44"/>
      <c r="E101" s="44"/>
      <c r="F101" s="44"/>
      <c r="G101" s="50">
        <f>SUM(F95:F99)</f>
        <v>0.46666666666666667</v>
      </c>
      <c r="H101" s="2"/>
    </row>
    <row r="102" spans="1:8" x14ac:dyDescent="0.2">
      <c r="A102" s="8"/>
      <c r="B102" s="9"/>
      <c r="C102" s="9"/>
      <c r="D102" s="9"/>
      <c r="E102" s="9"/>
      <c r="F102" s="9"/>
      <c r="G102" s="49"/>
      <c r="H102" s="2"/>
    </row>
    <row r="103" spans="1:8" ht="34" x14ac:dyDescent="0.2">
      <c r="A103" s="43" t="s">
        <v>118</v>
      </c>
      <c r="B103" s="64" t="s">
        <v>138</v>
      </c>
      <c r="C103" s="64" t="s">
        <v>144</v>
      </c>
      <c r="D103" s="65" t="s">
        <v>88</v>
      </c>
      <c r="E103" s="66"/>
      <c r="F103" s="67" t="s">
        <v>147</v>
      </c>
      <c r="G103" s="67" t="s">
        <v>162</v>
      </c>
      <c r="H103" s="2"/>
    </row>
    <row r="104" spans="1:8" x14ac:dyDescent="0.2">
      <c r="A104" s="9" t="s">
        <v>119</v>
      </c>
      <c r="B104" s="9">
        <f>IFERROR(INDEX(Stock!$A$3:$T$94,MATCH('Overton Overview'!$A104,Stock!$A$3:$A$94,0),MATCH('Overton Overview'!B$64,Stock!$A$3:$T$3,0)),0)</f>
        <v>0</v>
      </c>
      <c r="C104" s="9">
        <f>IFERROR(INDEX(Stock!$A$3:$T$94,MATCH('Overton Overview'!$A104,Stock!$A$3:$A$94,0),MATCH('Overton Overview'!C$64,Stock!$A$3:$T$3,0)),0)</f>
        <v>0</v>
      </c>
      <c r="D104" s="9">
        <f t="shared" ref="D104:D123" si="2">C104-B104</f>
        <v>0</v>
      </c>
      <c r="E104" s="9"/>
      <c r="F104" s="9" t="str">
        <f>IFERROR(INDEX(Stock!$A$3:$T$94,MATCH('Overton Overview'!$A104,Stock!$A$3:$A$94,0),MATCH('Overton Overview'!F$64,Stock!$A$3:$T$3,0)),0)</f>
        <v/>
      </c>
      <c r="G104" s="49" t="str">
        <f>IFERROR(INDEX(Stock!$A$3:$T$94,MATCH('Overton Overview'!$A104,Stock!$A$3:$A$94,0),MATCH('Overton Overview'!G$64,Stock!$A$3:$T$3,0)),0)</f>
        <v/>
      </c>
      <c r="H104" s="2"/>
    </row>
    <row r="105" spans="1:8" x14ac:dyDescent="0.2">
      <c r="A105" s="9" t="s">
        <v>183</v>
      </c>
      <c r="B105" s="9">
        <f>IFERROR(INDEX(Stock!$A$3:$T$94,MATCH('Overton Overview'!$A105,Stock!$A$3:$A$94,0),MATCH('Overton Overview'!B$64,Stock!$A$3:$T$3,0)),0)</f>
        <v>0</v>
      </c>
      <c r="C105" s="9">
        <f>IFERROR(INDEX(Stock!$A$3:$T$94,MATCH('Overton Overview'!$A105,Stock!$A$3:$A$94,0),MATCH('Overton Overview'!C$64,Stock!$A$3:$T$3,0)),0)</f>
        <v>0</v>
      </c>
      <c r="D105" s="9">
        <f t="shared" si="2"/>
        <v>0</v>
      </c>
      <c r="E105" s="9"/>
      <c r="F105" s="9" t="str">
        <f>IFERROR(INDEX(Stock!$A$3:$T$94,MATCH('Overton Overview'!$A105,Stock!$A$3:$A$94,0),MATCH('Overton Overview'!F$64,Stock!$A$3:$T$3,0)),0)</f>
        <v/>
      </c>
      <c r="G105" s="49" t="str">
        <f>IFERROR(INDEX(Stock!$A$3:$T$94,MATCH('Overton Overview'!$A105,Stock!$A$3:$A$94,0),MATCH('Overton Overview'!G$64,Stock!$A$3:$T$3,0)),0)</f>
        <v/>
      </c>
      <c r="H105" s="2"/>
    </row>
    <row r="106" spans="1:8" x14ac:dyDescent="0.2">
      <c r="A106" s="9" t="s">
        <v>184</v>
      </c>
      <c r="B106" s="9">
        <f>IFERROR(INDEX(Stock!$A$3:$T$94,MATCH('Overton Overview'!$A106,Stock!$A$3:$A$94,0),MATCH('Overton Overview'!B$64,Stock!$A$3:$T$3,0)),0)</f>
        <v>0</v>
      </c>
      <c r="C106" s="9">
        <f>IFERROR(INDEX(Stock!$A$3:$T$94,MATCH('Overton Overview'!$A106,Stock!$A$3:$A$94,0),MATCH('Overton Overview'!C$64,Stock!$A$3:$T$3,0)),0)</f>
        <v>0</v>
      </c>
      <c r="D106" s="9">
        <f t="shared" si="2"/>
        <v>0</v>
      </c>
      <c r="E106" s="9"/>
      <c r="F106" s="9" t="str">
        <f>IFERROR(INDEX(Stock!$A$3:$T$94,MATCH('Overton Overview'!$A106,Stock!$A$3:$A$94,0),MATCH('Overton Overview'!F$64,Stock!$A$3:$T$3,0)),0)</f>
        <v/>
      </c>
      <c r="G106" s="49" t="str">
        <f>IFERROR(INDEX(Stock!$A$3:$T$94,MATCH('Overton Overview'!$A106,Stock!$A$3:$A$94,0),MATCH('Overton Overview'!G$64,Stock!$A$3:$T$3,0)),0)</f>
        <v/>
      </c>
      <c r="H106" s="2"/>
    </row>
    <row r="107" spans="1:8" x14ac:dyDescent="0.2">
      <c r="A107" s="9" t="s">
        <v>185</v>
      </c>
      <c r="B107" s="9">
        <f>IFERROR(INDEX(Stock!$A$3:$T$94,MATCH('Overton Overview'!$A107,Stock!$A$3:$A$94,0),MATCH('Overton Overview'!B$64,Stock!$A$3:$T$3,0)),0)</f>
        <v>0</v>
      </c>
      <c r="C107" s="9">
        <f>IFERROR(INDEX(Stock!$A$3:$T$94,MATCH('Overton Overview'!$A107,Stock!$A$3:$A$94,0),MATCH('Overton Overview'!C$64,Stock!$A$3:$T$3,0)),0)</f>
        <v>0</v>
      </c>
      <c r="D107" s="9">
        <f t="shared" si="2"/>
        <v>0</v>
      </c>
      <c r="E107" s="9"/>
      <c r="F107" s="9" t="str">
        <f>IFERROR(INDEX(Stock!$A$3:$T$94,MATCH('Overton Overview'!$A107,Stock!$A$3:$A$94,0),MATCH('Overton Overview'!F$64,Stock!$A$3:$T$3,0)),0)</f>
        <v/>
      </c>
      <c r="G107" s="49" t="str">
        <f>IFERROR(INDEX(Stock!$A$3:$T$94,MATCH('Overton Overview'!$A107,Stock!$A$3:$A$94,0),MATCH('Overton Overview'!G$64,Stock!$A$3:$T$3,0)),0)</f>
        <v/>
      </c>
      <c r="H107" s="2"/>
    </row>
    <row r="108" spans="1:8" x14ac:dyDescent="0.2">
      <c r="A108" s="9" t="s">
        <v>186</v>
      </c>
      <c r="B108" s="9">
        <f>IFERROR(INDEX(Stock!$A$3:$T$94,MATCH('Overton Overview'!$A108,Stock!$A$3:$A$94,0),MATCH('Overton Overview'!B$64,Stock!$A$3:$T$3,0)),0)</f>
        <v>0</v>
      </c>
      <c r="C108" s="9">
        <f>IFERROR(INDEX(Stock!$A$3:$T$94,MATCH('Overton Overview'!$A108,Stock!$A$3:$A$94,0),MATCH('Overton Overview'!C$64,Stock!$A$3:$T$3,0)),0)</f>
        <v>0</v>
      </c>
      <c r="D108" s="9">
        <f t="shared" si="2"/>
        <v>0</v>
      </c>
      <c r="E108" s="9"/>
      <c r="F108" s="9" t="str">
        <f>IFERROR(INDEX(Stock!$A$3:$T$94,MATCH('Overton Overview'!$A108,Stock!$A$3:$A$94,0),MATCH('Overton Overview'!F$64,Stock!$A$3:$T$3,0)),0)</f>
        <v/>
      </c>
      <c r="G108" s="49" t="str">
        <f>IFERROR(INDEX(Stock!$A$3:$T$94,MATCH('Overton Overview'!$A108,Stock!$A$3:$A$94,0),MATCH('Overton Overview'!G$64,Stock!$A$3:$T$3,0)),0)</f>
        <v/>
      </c>
      <c r="H108" s="2"/>
    </row>
    <row r="109" spans="1:8" x14ac:dyDescent="0.2">
      <c r="A109" s="9" t="s">
        <v>187</v>
      </c>
      <c r="B109" s="9">
        <f>IFERROR(INDEX(Stock!$A$3:$T$94,MATCH('Overton Overview'!$A109,Stock!$A$3:$A$94,0),MATCH('Overton Overview'!B$64,Stock!$A$3:$T$3,0)),0)</f>
        <v>0</v>
      </c>
      <c r="C109" s="9">
        <f>IFERROR(INDEX(Stock!$A$3:$T$94,MATCH('Overton Overview'!$A109,Stock!$A$3:$A$94,0),MATCH('Overton Overview'!C$64,Stock!$A$3:$T$3,0)),0)</f>
        <v>0</v>
      </c>
      <c r="D109" s="9">
        <f t="shared" si="2"/>
        <v>0</v>
      </c>
      <c r="E109" s="9"/>
      <c r="F109" s="9" t="str">
        <f>IFERROR(INDEX(Stock!$A$3:$T$94,MATCH('Overton Overview'!$A109,Stock!$A$3:$A$94,0),MATCH('Overton Overview'!F$64,Stock!$A$3:$T$3,0)),0)</f>
        <v/>
      </c>
      <c r="G109" s="49" t="str">
        <f>IFERROR(INDEX(Stock!$A$3:$T$94,MATCH('Overton Overview'!$A109,Stock!$A$3:$A$94,0),MATCH('Overton Overview'!G$64,Stock!$A$3:$T$3,0)),0)</f>
        <v/>
      </c>
      <c r="H109" s="2"/>
    </row>
    <row r="110" spans="1:8" x14ac:dyDescent="0.2">
      <c r="A110" s="57" t="s">
        <v>188</v>
      </c>
      <c r="B110" s="9">
        <f>IFERROR(INDEX(Stock!$A$3:$T$94,MATCH('Overton Overview'!$A110,Stock!$A$3:$A$94,0),MATCH('Overton Overview'!B$64,Stock!$A$3:$T$3,0)),0)</f>
        <v>0</v>
      </c>
      <c r="C110" s="9">
        <f>IFERROR(INDEX(Stock!$A$3:$T$94,MATCH('Overton Overview'!$A110,Stock!$A$3:$A$94,0),MATCH('Overton Overview'!C$64,Stock!$A$3:$T$3,0)),0)</f>
        <v>0</v>
      </c>
      <c r="D110" s="9">
        <f t="shared" si="2"/>
        <v>0</v>
      </c>
      <c r="E110" s="9"/>
      <c r="F110" s="9" t="str">
        <f>IFERROR(INDEX(Stock!$A$3:$T$94,MATCH('Overton Overview'!$A110,Stock!$A$3:$A$94,0),MATCH('Overton Overview'!F$64,Stock!$A$3:$T$3,0)),0)</f>
        <v/>
      </c>
      <c r="G110" s="49" t="str">
        <f>IFERROR(INDEX(Stock!$A$3:$T$94,MATCH('Overton Overview'!$A110,Stock!$A$3:$A$94,0),MATCH('Overton Overview'!G$64,Stock!$A$3:$T$3,0)),0)</f>
        <v/>
      </c>
      <c r="H110" s="2"/>
    </row>
    <row r="111" spans="1:8" x14ac:dyDescent="0.2">
      <c r="A111" s="58" t="s">
        <v>189</v>
      </c>
      <c r="B111" s="9">
        <f>IFERROR(INDEX(Stock!$A$3:$T$94,MATCH('Overton Overview'!$A111,Stock!$A$3:$A$94,0),MATCH('Overton Overview'!B$64,Stock!$A$3:$T$3,0)),0)</f>
        <v>0</v>
      </c>
      <c r="C111" s="9">
        <f>IFERROR(INDEX(Stock!$A$3:$T$94,MATCH('Overton Overview'!$A111,Stock!$A$3:$A$94,0),MATCH('Overton Overview'!C$64,Stock!$A$3:$T$3,0)),0)</f>
        <v>0</v>
      </c>
      <c r="D111" s="9">
        <f t="shared" si="2"/>
        <v>0</v>
      </c>
      <c r="E111" s="9"/>
      <c r="F111" s="9">
        <f>IFERROR(INDEX(Stock!$A$3:$T$94,MATCH('Overton Overview'!$A111,Stock!$A$3:$A$94,0),MATCH('Overton Overview'!F$64,Stock!$A$3:$T$3,0)),0)</f>
        <v>0</v>
      </c>
      <c r="G111" s="49">
        <f>IFERROR(INDEX(Stock!$A$3:$T$94,MATCH('Overton Overview'!$A111,Stock!$A$3:$A$94,0),MATCH('Overton Overview'!G$64,Stock!$A$3:$T$3,0)),0)</f>
        <v>0</v>
      </c>
      <c r="H111" s="2"/>
    </row>
    <row r="112" spans="1:8" x14ac:dyDescent="0.2">
      <c r="A112" s="58" t="s">
        <v>190</v>
      </c>
      <c r="B112" s="9">
        <f>IFERROR(INDEX(Stock!$A$3:$T$94,MATCH('Overton Overview'!$A112,Stock!$A$3:$A$94,0),MATCH('Overton Overview'!B$64,Stock!$A$3:$T$3,0)),0)</f>
        <v>0</v>
      </c>
      <c r="C112" s="9">
        <f>IFERROR(INDEX(Stock!$A$3:$T$94,MATCH('Overton Overview'!$A112,Stock!$A$3:$A$94,0),MATCH('Overton Overview'!C$64,Stock!$A$3:$T$3,0)),0)</f>
        <v>0</v>
      </c>
      <c r="D112" s="9">
        <f t="shared" si="2"/>
        <v>0</v>
      </c>
      <c r="E112" s="9"/>
      <c r="F112" s="9" t="str">
        <f>IFERROR(INDEX(Stock!$A$3:$T$94,MATCH('Overton Overview'!$A112,Stock!$A$3:$A$94,0),MATCH('Overton Overview'!F$64,Stock!$A$3:$T$3,0)),0)</f>
        <v/>
      </c>
      <c r="G112" s="49" t="str">
        <f>IFERROR(INDEX(Stock!$A$3:$T$94,MATCH('Overton Overview'!$A112,Stock!$A$3:$A$94,0),MATCH('Overton Overview'!G$64,Stock!$A$3:$T$3,0)),0)</f>
        <v/>
      </c>
      <c r="H112" s="2"/>
    </row>
    <row r="113" spans="1:8" x14ac:dyDescent="0.2">
      <c r="A113" s="58" t="s">
        <v>191</v>
      </c>
      <c r="B113" s="9">
        <f>IFERROR(INDEX(Stock!$A$3:$T$94,MATCH('Overton Overview'!$A113,Stock!$A$3:$A$94,0),MATCH('Overton Overview'!B$64,Stock!$A$3:$T$3,0)),0)</f>
        <v>0</v>
      </c>
      <c r="C113" s="9">
        <f>IFERROR(INDEX(Stock!$A$3:$T$94,MATCH('Overton Overview'!$A113,Stock!$A$3:$A$94,0),MATCH('Overton Overview'!C$64,Stock!$A$3:$T$3,0)),0)</f>
        <v>0</v>
      </c>
      <c r="D113" s="9">
        <f t="shared" si="2"/>
        <v>0</v>
      </c>
      <c r="E113" s="9"/>
      <c r="F113" s="9">
        <f>IFERROR(INDEX(Stock!$A$3:$T$94,MATCH('Overton Overview'!$A113,Stock!$A$3:$A$94,0),MATCH('Overton Overview'!F$64,Stock!$A$3:$T$3,0)),0)</f>
        <v>0.31666666666666665</v>
      </c>
      <c r="G113" s="49">
        <f>IFERROR(INDEX(Stock!$A$3:$T$94,MATCH('Overton Overview'!$A113,Stock!$A$3:$A$94,0),MATCH('Overton Overview'!G$64,Stock!$A$3:$T$3,0)),0)</f>
        <v>0.31666666666666665</v>
      </c>
      <c r="H113" s="2"/>
    </row>
    <row r="114" spans="1:8" x14ac:dyDescent="0.2">
      <c r="A114" s="58" t="s">
        <v>192</v>
      </c>
      <c r="B114" s="9">
        <f>IFERROR(INDEX(Stock!$A$3:$T$94,MATCH('Overton Overview'!$A114,Stock!$A$3:$A$94,0),MATCH('Overton Overview'!B$64,Stock!$A$3:$T$3,0)),0)</f>
        <v>0</v>
      </c>
      <c r="C114" s="9">
        <f>IFERROR(INDEX(Stock!$A$3:$T$94,MATCH('Overton Overview'!$A114,Stock!$A$3:$A$94,0),MATCH('Overton Overview'!C$64,Stock!$A$3:$T$3,0)),0)</f>
        <v>0</v>
      </c>
      <c r="D114" s="9">
        <f t="shared" si="2"/>
        <v>0</v>
      </c>
      <c r="E114" s="9"/>
      <c r="F114" s="9" t="str">
        <f>IFERROR(INDEX(Stock!$A$3:$T$94,MATCH('Overton Overview'!$A114,Stock!$A$3:$A$94,0),MATCH('Overton Overview'!F$64,Stock!$A$3:$T$3,0)),0)</f>
        <v/>
      </c>
      <c r="G114" s="49" t="str">
        <f>IFERROR(INDEX(Stock!$A$3:$T$94,MATCH('Overton Overview'!$A114,Stock!$A$3:$A$94,0),MATCH('Overton Overview'!G$64,Stock!$A$3:$T$3,0)),0)</f>
        <v/>
      </c>
      <c r="H114" s="2"/>
    </row>
    <row r="115" spans="1:8" x14ac:dyDescent="0.2">
      <c r="A115" s="59" t="s">
        <v>160</v>
      </c>
      <c r="B115" s="9">
        <f>IFERROR(INDEX(Stock!$A$3:$T$94,MATCH('Overton Overview'!$A115,Stock!$A$3:$A$94,0),MATCH('Overton Overview'!B$64,Stock!$A$3:$T$3,0)),0)</f>
        <v>0</v>
      </c>
      <c r="C115" s="9">
        <f>IFERROR(INDEX(Stock!$A$3:$T$94,MATCH('Overton Overview'!$A115,Stock!$A$3:$A$94,0),MATCH('Overton Overview'!C$64,Stock!$A$3:$T$3,0)),0)</f>
        <v>0</v>
      </c>
      <c r="D115" s="9">
        <f t="shared" si="2"/>
        <v>0</v>
      </c>
      <c r="E115" s="9"/>
      <c r="F115" s="9">
        <f>IFERROR(INDEX(Stock!$A$3:$T$94,MATCH('Overton Overview'!$A115,Stock!$A$3:$A$94,0),MATCH('Overton Overview'!F$64,Stock!$A$3:$T$3,0)),0)</f>
        <v>0.31666666666666665</v>
      </c>
      <c r="G115" s="49" t="str">
        <f>IFERROR(INDEX(Stock!$A$3:$T$94,MATCH('Overton Overview'!$A115,Stock!$A$3:$A$94,0),MATCH('Overton Overview'!G$64,Stock!$A$3:$T$3,0)),0)</f>
        <v/>
      </c>
      <c r="H115" s="2"/>
    </row>
    <row r="116" spans="1:8" x14ac:dyDescent="0.2">
      <c r="A116" s="58" t="s">
        <v>193</v>
      </c>
      <c r="B116" s="9">
        <f>IFERROR(INDEX(Stock!$A$3:$T$94,MATCH('Overton Overview'!$A116,Stock!$A$3:$A$94,0),MATCH('Overton Overview'!B$64,Stock!$A$3:$T$3,0)),0)</f>
        <v>0</v>
      </c>
      <c r="C116" s="9">
        <f>IFERROR(INDEX(Stock!$A$3:$T$94,MATCH('Overton Overview'!$A116,Stock!$A$3:$A$94,0),MATCH('Overton Overview'!C$64,Stock!$A$3:$T$3,0)),0)</f>
        <v>0</v>
      </c>
      <c r="D116" s="9">
        <f t="shared" si="2"/>
        <v>0</v>
      </c>
      <c r="E116" s="9"/>
      <c r="F116" s="9" t="str">
        <f>IFERROR(INDEX(Stock!$A$3:$T$94,MATCH('Overton Overview'!$A116,Stock!$A$3:$A$94,0),MATCH('Overton Overview'!F$64,Stock!$A$3:$T$3,0)),0)</f>
        <v/>
      </c>
      <c r="G116" s="49" t="str">
        <f>IFERROR(INDEX(Stock!$A$3:$T$94,MATCH('Overton Overview'!$A116,Stock!$A$3:$A$94,0),MATCH('Overton Overview'!G$64,Stock!$A$3:$T$3,0)),0)</f>
        <v/>
      </c>
      <c r="H116" s="2"/>
    </row>
    <row r="117" spans="1:8" x14ac:dyDescent="0.2">
      <c r="A117" s="58" t="s">
        <v>194</v>
      </c>
      <c r="B117" s="9">
        <f>IFERROR(INDEX(Stock!$A$3:$T$94,MATCH('Overton Overview'!$A117,Stock!$A$3:$A$94,0),MATCH('Overton Overview'!B$64,Stock!$A$3:$T$3,0)),0)</f>
        <v>0</v>
      </c>
      <c r="C117" s="9">
        <f>IFERROR(INDEX(Stock!$A$3:$T$94,MATCH('Overton Overview'!$A117,Stock!$A$3:$A$94,0),MATCH('Overton Overview'!C$64,Stock!$A$3:$T$3,0)),0)</f>
        <v>0</v>
      </c>
      <c r="D117" s="9">
        <f t="shared" si="2"/>
        <v>0</v>
      </c>
      <c r="E117" s="9"/>
      <c r="F117" s="9" t="str">
        <f>IFERROR(INDEX(Stock!$A$3:$T$94,MATCH('Overton Overview'!$A117,Stock!$A$3:$A$94,0),MATCH('Overton Overview'!F$64,Stock!$A$3:$T$3,0)),0)</f>
        <v/>
      </c>
      <c r="G117" s="49" t="str">
        <f>IFERROR(INDEX(Stock!$A$3:$T$94,MATCH('Overton Overview'!$A117,Stock!$A$3:$A$94,0),MATCH('Overton Overview'!G$64,Stock!$A$3:$T$3,0)),0)</f>
        <v/>
      </c>
      <c r="H117" s="2"/>
    </row>
    <row r="118" spans="1:8" x14ac:dyDescent="0.2">
      <c r="A118" s="58" t="s">
        <v>195</v>
      </c>
      <c r="B118" s="9">
        <f>IFERROR(INDEX(Stock!$A$3:$T$94,MATCH('Overton Overview'!$A118,Stock!$A$3:$A$94,0),MATCH('Overton Overview'!B$64,Stock!$A$3:$T$3,0)),0)</f>
        <v>0</v>
      </c>
      <c r="C118" s="9">
        <f>IFERROR(INDEX(Stock!$A$3:$T$94,MATCH('Overton Overview'!$A118,Stock!$A$3:$A$94,0),MATCH('Overton Overview'!C$64,Stock!$A$3:$T$3,0)),0)</f>
        <v>0</v>
      </c>
      <c r="D118" s="9">
        <f t="shared" si="2"/>
        <v>0</v>
      </c>
      <c r="E118" s="9"/>
      <c r="F118" s="9" t="str">
        <f>IFERROR(INDEX(Stock!$A$3:$T$94,MATCH('Overton Overview'!$A118,Stock!$A$3:$A$94,0),MATCH('Overton Overview'!F$64,Stock!$A$3:$T$3,0)),0)</f>
        <v/>
      </c>
      <c r="G118" s="49" t="str">
        <f>IFERROR(INDEX(Stock!$A$3:$T$94,MATCH('Overton Overview'!$A118,Stock!$A$3:$A$94,0),MATCH('Overton Overview'!G$64,Stock!$A$3:$T$3,0)),0)</f>
        <v/>
      </c>
      <c r="H118" s="2"/>
    </row>
    <row r="119" spans="1:8" x14ac:dyDescent="0.2">
      <c r="A119" s="58" t="s">
        <v>196</v>
      </c>
      <c r="B119" s="9">
        <f>IFERROR(INDEX(Stock!$A$3:$T$94,MATCH('Overton Overview'!$A119,Stock!$A$3:$A$94,0),MATCH('Overton Overview'!B$64,Stock!$A$3:$T$3,0)),0)</f>
        <v>0</v>
      </c>
      <c r="C119" s="9">
        <f>IFERROR(INDEX(Stock!$A$3:$T$94,MATCH('Overton Overview'!$A119,Stock!$A$3:$A$94,0),MATCH('Overton Overview'!C$64,Stock!$A$3:$T$3,0)),0)</f>
        <v>0</v>
      </c>
      <c r="D119" s="9">
        <f t="shared" si="2"/>
        <v>0</v>
      </c>
      <c r="E119" s="9"/>
      <c r="F119" s="9" t="str">
        <f>IFERROR(INDEX(Stock!$A$3:$T$94,MATCH('Overton Overview'!$A119,Stock!$A$3:$A$94,0),MATCH('Overton Overview'!F$64,Stock!$A$3:$T$3,0)),0)</f>
        <v/>
      </c>
      <c r="G119" s="49" t="str">
        <f>IFERROR(INDEX(Stock!$A$3:$T$94,MATCH('Overton Overview'!$A119,Stock!$A$3:$A$94,0),MATCH('Overton Overview'!G$64,Stock!$A$3:$T$3,0)),0)</f>
        <v/>
      </c>
      <c r="H119" s="2"/>
    </row>
    <row r="120" spans="1:8" x14ac:dyDescent="0.2">
      <c r="A120" s="59" t="s">
        <v>120</v>
      </c>
      <c r="B120" s="9">
        <f>IFERROR(INDEX(Stock!$A$3:$T$94,MATCH('Overton Overview'!$A120,Stock!$A$3:$A$94,0),MATCH('Overton Overview'!B$64,Stock!$A$3:$T$3,0)),0)</f>
        <v>0</v>
      </c>
      <c r="C120" s="9">
        <f>IFERROR(INDEX(Stock!$A$3:$T$94,MATCH('Overton Overview'!$A120,Stock!$A$3:$A$94,0),MATCH('Overton Overview'!C$64,Stock!$A$3:$T$3,0)),0)</f>
        <v>0</v>
      </c>
      <c r="D120" s="9">
        <f t="shared" si="2"/>
        <v>0</v>
      </c>
      <c r="E120" s="9"/>
      <c r="F120" s="9">
        <f>IFERROR(INDEX(Stock!$A$3:$T$94,MATCH('Overton Overview'!$A120,Stock!$A$3:$A$94,0),MATCH('Overton Overview'!F$64,Stock!$A$3:$T$3,0)),0)</f>
        <v>7.5000000000000011E-2</v>
      </c>
      <c r="G120" s="49">
        <f>IFERROR(INDEX(Stock!$A$3:$T$94,MATCH('Overton Overview'!$A120,Stock!$A$3:$A$94,0),MATCH('Overton Overview'!G$64,Stock!$A$3:$T$3,0)),0)</f>
        <v>7.5000000000000011E-2</v>
      </c>
      <c r="H120" s="2"/>
    </row>
    <row r="121" spans="1:8" x14ac:dyDescent="0.2">
      <c r="A121" s="9" t="s">
        <v>161</v>
      </c>
      <c r="B121" s="9">
        <f>IFERROR(INDEX(Stock!$A$3:$T$94,MATCH('Overton Overview'!$A121,Stock!$A$3:$A$94,0),MATCH('Overton Overview'!B$64,Stock!$A$3:$T$3,0)),0)</f>
        <v>88</v>
      </c>
      <c r="C121" s="9">
        <f>IFERROR(INDEX(Stock!$A$3:$T$94,MATCH('Overton Overview'!$A121,Stock!$A$3:$A$94,0),MATCH('Overton Overview'!C$64,Stock!$A$3:$T$3,0)),0)</f>
        <v>0</v>
      </c>
      <c r="D121" s="9">
        <f t="shared" si="2"/>
        <v>-88</v>
      </c>
      <c r="E121" s="9"/>
      <c r="F121" s="9">
        <f>IFERROR(INDEX(Stock!$A$3:$T$94,MATCH('Overton Overview'!$A121,Stock!$A$3:$A$94,0),MATCH('Overton Overview'!F$64,Stock!$A$3:$T$3,0)),0)</f>
        <v>0.27291666666666664</v>
      </c>
      <c r="G121" s="49">
        <f>IFERROR(INDEX(Stock!$A$3:$T$94,MATCH('Overton Overview'!$A121,Stock!$A$3:$A$94,0),MATCH('Overton Overview'!G$64,Stock!$A$3:$T$3,0)),0)</f>
        <v>3.3282520325203248E-3</v>
      </c>
      <c r="H121" s="2"/>
    </row>
    <row r="122" spans="1:8" x14ac:dyDescent="0.2">
      <c r="A122" s="9" t="s">
        <v>121</v>
      </c>
      <c r="B122" s="9">
        <f>IFERROR(INDEX(Stock!$A$3:$T$94,MATCH('Overton Overview'!$A122,Stock!$A$3:$A$94,0),MATCH('Overton Overview'!B$64,Stock!$A$3:$T$3,0)),0)</f>
        <v>0</v>
      </c>
      <c r="C122" s="9">
        <f>IFERROR(INDEX(Stock!$A$3:$T$94,MATCH('Overton Overview'!$A122,Stock!$A$3:$A$94,0),MATCH('Overton Overview'!C$64,Stock!$A$3:$T$3,0)),0)</f>
        <v>0</v>
      </c>
      <c r="D122" s="9">
        <f t="shared" si="2"/>
        <v>0</v>
      </c>
      <c r="E122" s="9"/>
      <c r="F122" s="9" t="str">
        <f>IFERROR(INDEX(Stock!$A$3:$T$94,MATCH('Overton Overview'!$A122,Stock!$A$3:$A$94,0),MATCH('Overton Overview'!F$64,Stock!$A$3:$T$3,0)),0)</f>
        <v/>
      </c>
      <c r="G122" s="49" t="str">
        <f>IFERROR(INDEX(Stock!$A$3:$T$94,MATCH('Overton Overview'!$A122,Stock!$A$3:$A$94,0),MATCH('Overton Overview'!G$64,Stock!$A$3:$T$3,0)),0)</f>
        <v/>
      </c>
      <c r="H122" s="2"/>
    </row>
    <row r="123" spans="1:8" x14ac:dyDescent="0.2">
      <c r="A123" s="9" t="s">
        <v>122</v>
      </c>
      <c r="B123" s="9">
        <f>IFERROR(INDEX(Stock!$A$3:$T$94,MATCH('Overton Overview'!$A123,Stock!$A$3:$A$94,0),MATCH('Overton Overview'!B$64,Stock!$A$3:$T$3,0)),0)</f>
        <v>0</v>
      </c>
      <c r="C123" s="9">
        <f>IFERROR(INDEX(Stock!$A$3:$T$94,MATCH('Overton Overview'!$A123,Stock!$A$3:$A$94,0),MATCH('Overton Overview'!C$64,Stock!$A$3:$T$3,0)),0)</f>
        <v>0</v>
      </c>
      <c r="D123" s="9">
        <f t="shared" si="2"/>
        <v>0</v>
      </c>
      <c r="E123" s="9"/>
      <c r="F123" s="9" t="str">
        <f>IFERROR(INDEX(Stock!$A$3:$T$94,MATCH('Overton Overview'!$A123,Stock!$A$3:$A$94,0),MATCH('Overton Overview'!F$64,Stock!$A$3:$T$3,0)),0)</f>
        <v/>
      </c>
      <c r="G123" s="49" t="str">
        <f>IFERROR(INDEX(Stock!$A$3:$T$94,MATCH('Overton Overview'!$A123,Stock!$A$3:$A$94,0),MATCH('Overton Overview'!G$64,Stock!$A$3:$T$3,0)),0)</f>
        <v/>
      </c>
      <c r="H123" s="2"/>
    </row>
    <row r="124" spans="1:8" x14ac:dyDescent="0.2">
      <c r="A124" s="46" t="s">
        <v>82</v>
      </c>
      <c r="B124" s="44"/>
      <c r="C124" s="44"/>
      <c r="D124" s="44"/>
      <c r="E124" s="44"/>
      <c r="F124" s="44"/>
      <c r="G124" s="50">
        <f>SUM(G104:G123)</f>
        <v>0.39499491869918701</v>
      </c>
      <c r="H124" s="2"/>
    </row>
    <row r="125" spans="1:8" x14ac:dyDescent="0.2">
      <c r="A125" s="46" t="s">
        <v>83</v>
      </c>
      <c r="B125" s="44"/>
      <c r="C125" s="44"/>
      <c r="D125" s="44"/>
      <c r="E125" s="44"/>
      <c r="F125" s="44"/>
      <c r="G125" s="50">
        <f>SUM(F104:F123)</f>
        <v>0.98124999999999996</v>
      </c>
      <c r="H125" s="2"/>
    </row>
    <row r="126" spans="1:8" x14ac:dyDescent="0.2">
      <c r="A126" s="9"/>
      <c r="B126" s="9"/>
      <c r="C126" s="9"/>
      <c r="D126" s="9"/>
      <c r="E126" s="9"/>
      <c r="F126" s="9"/>
      <c r="G126" s="49"/>
      <c r="H126" s="2"/>
    </row>
    <row r="127" spans="1:8" ht="34" x14ac:dyDescent="0.2">
      <c r="A127" s="43" t="s">
        <v>123</v>
      </c>
      <c r="B127" s="64" t="s">
        <v>138</v>
      </c>
      <c r="C127" s="64" t="s">
        <v>144</v>
      </c>
      <c r="D127" s="65" t="s">
        <v>88</v>
      </c>
      <c r="E127" s="66"/>
      <c r="F127" s="67" t="s">
        <v>147</v>
      </c>
      <c r="G127" s="67" t="s">
        <v>162</v>
      </c>
      <c r="H127" s="2"/>
    </row>
    <row r="128" spans="1:8" ht="17" x14ac:dyDescent="0.2">
      <c r="A128" s="51" t="s">
        <v>124</v>
      </c>
      <c r="B128" s="9">
        <f>IFERROR(INDEX(Stock!$A$3:$T$94,MATCH('Overton Overview'!$A128,Stock!$A$3:$A$94,0),MATCH('Overton Overview'!B$64,Stock!$A$3:$T$3,0)),0)</f>
        <v>88</v>
      </c>
      <c r="C128" s="9">
        <f>IFERROR(INDEX(Stock!$A$3:$T$94,MATCH('Overton Overview'!$A128,Stock!$A$3:$A$94,0),MATCH('Overton Overview'!C$64,Stock!$A$3:$T$3,0)),0)</f>
        <v>0</v>
      </c>
      <c r="D128" s="9">
        <f t="shared" ref="D128:D131" si="3">C128-B128</f>
        <v>-88</v>
      </c>
      <c r="E128" s="9"/>
      <c r="F128" s="9">
        <f>IFERROR(INDEX(Stock!$A$3:$T$94,MATCH('Overton Overview'!$A128,Stock!$A$3:$A$94,0),MATCH('Overton Overview'!F$64,Stock!$A$3:$T$3,0)),0)</f>
        <v>0.3</v>
      </c>
      <c r="G128" s="49">
        <f>Stock!R68</f>
        <v>4.1666666666666666E-3</v>
      </c>
      <c r="H128" s="2"/>
    </row>
    <row r="129" spans="1:8" x14ac:dyDescent="0.2">
      <c r="A129" s="9" t="s">
        <v>125</v>
      </c>
      <c r="B129" s="9">
        <f>IFERROR(INDEX(Stock!$A$3:$T$94,MATCH('Overton Overview'!$A129,Stock!$A$3:$A$94,0),MATCH('Overton Overview'!B$64,Stock!$A$3:$T$3,0)),0)</f>
        <v>0</v>
      </c>
      <c r="C129" s="9">
        <f>IFERROR(INDEX(Stock!$A$3:$T$94,MATCH('Overton Overview'!$A129,Stock!$A$3:$A$94,0),MATCH('Overton Overview'!C$64,Stock!$A$3:$T$3,0)),0)</f>
        <v>0</v>
      </c>
      <c r="D129" s="9">
        <f t="shared" si="3"/>
        <v>0</v>
      </c>
      <c r="E129" s="9"/>
      <c r="F129" s="9" t="str">
        <f>IFERROR(INDEX(Stock!$A$3:$T$94,MATCH('Overton Overview'!$A129,Stock!$A$3:$A$94,0),MATCH('Overton Overview'!F$64,Stock!$A$3:$T$3,0)),0)</f>
        <v/>
      </c>
      <c r="G129" s="49" t="str">
        <f>IFERROR(INDEX(Stock!$A$3:$T$94,MATCH('Overton Overview'!$A129,Stock!$A$3:$A$94,0),MATCH('Overton Overview'!G$64,Stock!$A$3:$T$3,0)),0)</f>
        <v/>
      </c>
      <c r="H129" s="2"/>
    </row>
    <row r="130" spans="1:8" x14ac:dyDescent="0.2">
      <c r="A130" s="9" t="s">
        <v>126</v>
      </c>
      <c r="B130" s="9">
        <f>IFERROR(INDEX(Stock!$A$3:$T$94,MATCH('Overton Overview'!$A130,Stock!$A$3:$A$94,0),MATCH('Overton Overview'!B$64,Stock!$A$3:$T$3,0)),0)</f>
        <v>0</v>
      </c>
      <c r="C130" s="9">
        <f>IFERROR(INDEX(Stock!$A$3:$T$94,MATCH('Overton Overview'!$A130,Stock!$A$3:$A$94,0),MATCH('Overton Overview'!C$64,Stock!$A$3:$T$3,0)),0)</f>
        <v>0</v>
      </c>
      <c r="D130" s="9">
        <f t="shared" si="3"/>
        <v>0</v>
      </c>
      <c r="E130" s="9"/>
      <c r="F130" s="9" t="str">
        <f>IFERROR(INDEX(Stock!$A$3:$T$94,MATCH('Overton Overview'!$A130,Stock!$A$3:$A$94,0),MATCH('Overton Overview'!F$64,Stock!$A$3:$T$3,0)),0)</f>
        <v/>
      </c>
      <c r="G130" s="49" t="str">
        <f>IFERROR(INDEX(Stock!$A$3:$T$94,MATCH('Overton Overview'!$A130,Stock!$A$3:$A$94,0),MATCH('Overton Overview'!G$64,Stock!$A$3:$T$3,0)),0)</f>
        <v/>
      </c>
      <c r="H130" s="2"/>
    </row>
    <row r="131" spans="1:8" x14ac:dyDescent="0.2">
      <c r="A131" s="9" t="s">
        <v>127</v>
      </c>
      <c r="B131" s="9">
        <f>IFERROR(INDEX(Stock!$A$3:$T$94,MATCH('Overton Overview'!$A131,Stock!$A$3:$A$94,0),MATCH('Overton Overview'!B$64,Stock!$A$3:$T$3,0)),0)</f>
        <v>0</v>
      </c>
      <c r="C131" s="9">
        <f>IFERROR(INDEX(Stock!$A$3:$T$94,MATCH('Overton Overview'!$A131,Stock!$A$3:$A$94,0),MATCH('Overton Overview'!C$64,Stock!$A$3:$T$3,0)),0)</f>
        <v>0</v>
      </c>
      <c r="D131" s="9">
        <f t="shared" si="3"/>
        <v>0</v>
      </c>
      <c r="E131" s="9"/>
      <c r="F131" s="9" t="str">
        <f>IFERROR(INDEX(Stock!$A$3:$T$94,MATCH('Overton Overview'!$A131,Stock!$A$3:$A$94,0),MATCH('Overton Overview'!F$64,Stock!$A$3:$T$3,0)),0)</f>
        <v/>
      </c>
      <c r="G131" s="49" t="str">
        <f>IFERROR(INDEX(Stock!$A$3:$T$94,MATCH('Overton Overview'!$A131,Stock!$A$3:$A$94,0),MATCH('Overton Overview'!G$64,Stock!$A$3:$T$3,0)),0)</f>
        <v/>
      </c>
      <c r="H131" s="2"/>
    </row>
    <row r="132" spans="1:8" x14ac:dyDescent="0.2">
      <c r="A132" s="46" t="s">
        <v>82</v>
      </c>
      <c r="B132" s="44"/>
      <c r="C132" s="44"/>
      <c r="D132" s="44"/>
      <c r="E132" s="44"/>
      <c r="F132" s="44"/>
      <c r="G132" s="50">
        <f>SUM(G128:G131)</f>
        <v>4.1666666666666666E-3</v>
      </c>
      <c r="H132" s="2"/>
    </row>
    <row r="133" spans="1:8" x14ac:dyDescent="0.2">
      <c r="A133" s="46" t="s">
        <v>83</v>
      </c>
      <c r="B133" s="44"/>
      <c r="C133" s="44"/>
      <c r="D133" s="44"/>
      <c r="E133" s="44"/>
      <c r="F133" s="44"/>
      <c r="G133" s="50">
        <f>SUM(F128:F131)</f>
        <v>0.3</v>
      </c>
      <c r="H133" s="2"/>
    </row>
    <row r="134" spans="1:8" x14ac:dyDescent="0.2">
      <c r="A134" s="9"/>
      <c r="B134" s="9"/>
      <c r="C134" s="9"/>
      <c r="D134" s="9"/>
      <c r="E134" s="9"/>
      <c r="F134" s="9"/>
      <c r="G134" s="49"/>
      <c r="H134" s="2"/>
    </row>
    <row r="135" spans="1:8" ht="34" x14ac:dyDescent="0.2">
      <c r="A135" s="43" t="s">
        <v>128</v>
      </c>
      <c r="B135" s="64" t="s">
        <v>138</v>
      </c>
      <c r="C135" s="64" t="s">
        <v>144</v>
      </c>
      <c r="D135" s="65" t="s">
        <v>88</v>
      </c>
      <c r="E135" s="66"/>
      <c r="F135" s="67" t="s">
        <v>147</v>
      </c>
      <c r="G135" s="67" t="s">
        <v>162</v>
      </c>
      <c r="H135" s="2"/>
    </row>
    <row r="136" spans="1:8" x14ac:dyDescent="0.2">
      <c r="A136" s="9" t="s">
        <v>129</v>
      </c>
      <c r="B136" s="9">
        <f>IFERROR(INDEX(Stock!$A$3:$T$94,MATCH('Overton Overview'!$A136,Stock!$A$3:$A$94,0),MATCH('Overton Overview'!B$64,Stock!$A$3:$T$3,0)),0)</f>
        <v>0</v>
      </c>
      <c r="C136" s="9">
        <f>IFERROR(INDEX(Stock!$A$3:$T$94,MATCH('Overton Overview'!$A136,Stock!$A$3:$A$94,0),MATCH('Overton Overview'!C$64,Stock!$A$3:$T$3,0)),0)</f>
        <v>0</v>
      </c>
      <c r="D136" s="9">
        <f t="shared" ref="D136:D137" si="4">C136-B136</f>
        <v>0</v>
      </c>
      <c r="E136" s="9"/>
      <c r="F136" s="9" t="str">
        <f>IFERROR(INDEX(Stock!$A$3:$T$94,MATCH('Overton Overview'!$A136,Stock!$A$3:$A$94,0),MATCH('Overton Overview'!F$64,Stock!$A$3:$T$3,0)),0)</f>
        <v/>
      </c>
      <c r="G136" s="49" t="str">
        <f>Stock!R75</f>
        <v/>
      </c>
      <c r="H136" s="2"/>
    </row>
    <row r="137" spans="1:8" x14ac:dyDescent="0.2">
      <c r="A137" s="9" t="s">
        <v>130</v>
      </c>
      <c r="B137" s="9">
        <f>IFERROR(INDEX(Stock!$A$3:$T$94,MATCH('Overton Overview'!$A137,Stock!$A$3:$A$94,0),MATCH('Overton Overview'!B$64,Stock!$A$3:$T$3,0)),0)</f>
        <v>0</v>
      </c>
      <c r="C137" s="9">
        <f>IFERROR(INDEX(Stock!$A$3:$T$94,MATCH('Overton Overview'!$A137,Stock!$A$3:$A$94,0),MATCH('Overton Overview'!C$64,Stock!$A$3:$T$3,0)),0)</f>
        <v>0</v>
      </c>
      <c r="D137" s="9">
        <f t="shared" si="4"/>
        <v>0</v>
      </c>
      <c r="E137" s="9"/>
      <c r="F137" s="9" t="str">
        <f>IFERROR(INDEX(Stock!$A$3:$T$94,MATCH('Overton Overview'!$A137,Stock!$A$3:$A$94,0),MATCH('Overton Overview'!F$64,Stock!$A$3:$T$3,0)),0)</f>
        <v/>
      </c>
      <c r="G137" s="49" t="str">
        <f>Stock!R76</f>
        <v/>
      </c>
      <c r="H137" s="2"/>
    </row>
    <row r="138" spans="1:8" x14ac:dyDescent="0.2">
      <c r="A138" s="46" t="s">
        <v>82</v>
      </c>
      <c r="B138" s="44"/>
      <c r="C138" s="44"/>
      <c r="D138" s="44"/>
      <c r="E138" s="44"/>
      <c r="F138" s="44"/>
      <c r="G138" s="50">
        <f>SUM(G136:G137)</f>
        <v>0</v>
      </c>
      <c r="H138" s="2"/>
    </row>
    <row r="139" spans="1:8" x14ac:dyDescent="0.2">
      <c r="A139" s="46" t="s">
        <v>83</v>
      </c>
      <c r="B139" s="44"/>
      <c r="C139" s="44"/>
      <c r="D139" s="44"/>
      <c r="E139" s="44"/>
      <c r="F139" s="44"/>
      <c r="G139" s="50">
        <f>SUM(F136:F137)</f>
        <v>0</v>
      </c>
      <c r="H139" s="2"/>
    </row>
    <row r="140" spans="1:8" x14ac:dyDescent="0.2">
      <c r="A140" s="9"/>
      <c r="B140" s="9"/>
      <c r="C140" s="9"/>
      <c r="D140" s="9"/>
      <c r="E140" s="9"/>
      <c r="F140" s="9"/>
      <c r="G140" s="49"/>
      <c r="H140" s="2"/>
    </row>
    <row r="141" spans="1:8" ht="34" x14ac:dyDescent="0.2">
      <c r="A141" s="43" t="s">
        <v>131</v>
      </c>
      <c r="B141" s="64" t="s">
        <v>138</v>
      </c>
      <c r="C141" s="64" t="s">
        <v>144</v>
      </c>
      <c r="D141" s="65" t="s">
        <v>88</v>
      </c>
      <c r="E141" s="66"/>
      <c r="F141" s="67" t="s">
        <v>147</v>
      </c>
      <c r="G141" s="67" t="s">
        <v>162</v>
      </c>
      <c r="H141" s="2"/>
    </row>
    <row r="142" spans="1:8" x14ac:dyDescent="0.2">
      <c r="A142" s="9" t="s">
        <v>132</v>
      </c>
      <c r="B142" s="9">
        <f>IFERROR(INDEX(Stock!$A$3:$T$94,MATCH('Overton Overview'!$A142,Stock!$A$3:$A$94,0),MATCH('Overton Overview'!B$64,Stock!$A$3:$T$3,0)),0)</f>
        <v>0</v>
      </c>
      <c r="C142" s="9">
        <f>IFERROR(INDEX(Stock!$A$3:$T$94,MATCH('Overton Overview'!$A142,Stock!$A$3:$A$94,0),MATCH('Overton Overview'!C$64,Stock!$A$3:$T$3,0)),0)</f>
        <v>0</v>
      </c>
      <c r="D142" s="9">
        <f t="shared" ref="D142:D144" si="5">C142-B142</f>
        <v>0</v>
      </c>
      <c r="E142" s="9"/>
      <c r="F142" s="49">
        <f>Stock!S91</f>
        <v>0.45</v>
      </c>
      <c r="G142" s="49">
        <f>Stock!R91</f>
        <v>0.45000000000000007</v>
      </c>
      <c r="H142" s="2"/>
    </row>
    <row r="143" spans="1:8" x14ac:dyDescent="0.2">
      <c r="A143" s="9" t="s">
        <v>133</v>
      </c>
      <c r="B143" s="9">
        <f>IFERROR(INDEX(Stock!$A$3:$T$94,MATCH('Overton Overview'!$A143,Stock!$A$3:$A$94,0),MATCH('Overton Overview'!B$64,Stock!$A$3:$T$3,0)),0)</f>
        <v>0</v>
      </c>
      <c r="C143" s="9">
        <f>IFERROR(INDEX(Stock!$A$3:$T$94,MATCH('Overton Overview'!$A143,Stock!$A$3:$A$94,0),MATCH('Overton Overview'!C$64,Stock!$A$3:$T$3,0)),0)</f>
        <v>0</v>
      </c>
      <c r="D143" s="9">
        <f t="shared" si="5"/>
        <v>0</v>
      </c>
      <c r="E143" s="9"/>
      <c r="F143" s="9">
        <f>IFERROR(INDEX(Stock!$A$3:$T$94,MATCH('Overton Overview'!$A143,Stock!$A$3:$A$94,0),MATCH('Overton Overview'!F$64,Stock!$A$3:$T$3,0)),0)</f>
        <v>0.51666666666666672</v>
      </c>
      <c r="G143" s="49">
        <f>IFERROR(INDEX(Stock!$A$3:$T$94,MATCH('Overton Overview'!$A143,Stock!$A$3:$A$94,0),MATCH('Overton Overview'!G$64,Stock!$A$3:$T$3,0)),0)</f>
        <v>0.51666666666666672</v>
      </c>
      <c r="H143" s="2"/>
    </row>
    <row r="144" spans="1:8" x14ac:dyDescent="0.2">
      <c r="A144" s="9" t="s">
        <v>134</v>
      </c>
      <c r="B144" s="9">
        <f>IFERROR(INDEX(Stock!$A$3:$T$94,MATCH('Overton Overview'!$A144,Stock!$A$3:$A$94,0),MATCH('Overton Overview'!B$64,Stock!$A$3:$T$3,0)),0)</f>
        <v>0</v>
      </c>
      <c r="C144" s="9">
        <f>IFERROR(INDEX(Stock!$A$3:$T$94,MATCH('Overton Overview'!$A144,Stock!$A$3:$A$94,0),MATCH('Overton Overview'!C$64,Stock!$A$3:$T$3,0)),0)</f>
        <v>0</v>
      </c>
      <c r="D144" s="9">
        <f t="shared" si="5"/>
        <v>0</v>
      </c>
      <c r="E144" s="9"/>
      <c r="F144" s="9">
        <f>IFERROR(INDEX(Stock!$A$3:$T$94,MATCH('Overton Overview'!$A144,Stock!$A$3:$A$94,0),MATCH('Overton Overview'!F$64,Stock!$A$3:$T$3,0)),0)</f>
        <v>4.5</v>
      </c>
      <c r="G144" s="49">
        <f>IFERROR(INDEX(Stock!$A$3:$T$94,MATCH('Overton Overview'!$A144,Stock!$A$3:$A$94,0),MATCH('Overton Overview'!G$64,Stock!$A$3:$T$3,0)),0)</f>
        <v>5.0882352941176467</v>
      </c>
      <c r="H144" s="2"/>
    </row>
    <row r="145" spans="1:8" x14ac:dyDescent="0.2">
      <c r="A145" s="46" t="s">
        <v>82</v>
      </c>
      <c r="B145" s="44"/>
      <c r="C145" s="44"/>
      <c r="D145" s="44"/>
      <c r="E145" s="44"/>
      <c r="F145" s="44"/>
      <c r="G145" s="50">
        <f>SUM(G142:G144)</f>
        <v>6.0549019607843135</v>
      </c>
      <c r="H145" s="2"/>
    </row>
    <row r="146" spans="1:8" x14ac:dyDescent="0.2">
      <c r="A146" s="46" t="s">
        <v>83</v>
      </c>
      <c r="B146" s="44"/>
      <c r="C146" s="44"/>
      <c r="D146" s="44"/>
      <c r="E146" s="44"/>
      <c r="F146" s="44"/>
      <c r="G146" s="50">
        <f>SUM(F142:F144)</f>
        <v>5.4666666666666668</v>
      </c>
      <c r="H146" s="2"/>
    </row>
    <row r="147" spans="1:8" x14ac:dyDescent="0.2">
      <c r="A147" s="9"/>
      <c r="B147" s="9"/>
      <c r="C147" s="9"/>
      <c r="D147" s="9"/>
      <c r="E147" s="9"/>
      <c r="F147" s="9"/>
      <c r="G147" s="49"/>
      <c r="H147" s="2"/>
    </row>
    <row r="148" spans="1:8" ht="17" thickBot="1" x14ac:dyDescent="0.25">
      <c r="A148" s="9"/>
      <c r="B148" s="9"/>
      <c r="C148" s="9"/>
      <c r="D148" s="9"/>
      <c r="E148" s="9"/>
      <c r="F148" s="9"/>
      <c r="G148" s="49"/>
      <c r="H148" s="2"/>
    </row>
    <row r="149" spans="1:8" ht="17" thickBot="1" x14ac:dyDescent="0.25">
      <c r="A149" s="96"/>
      <c r="B149" s="97" t="s">
        <v>3</v>
      </c>
      <c r="C149" s="98"/>
      <c r="D149" s="99"/>
      <c r="E149" s="100"/>
      <c r="F149" s="9"/>
      <c r="G149" s="49"/>
      <c r="H149" s="2"/>
    </row>
    <row r="150" spans="1:8" x14ac:dyDescent="0.2">
      <c r="A150" s="101" t="s">
        <v>456</v>
      </c>
      <c r="B150" s="102">
        <f>G145+G139+G132+G124+G100+G92+G51</f>
        <v>55.260053129483495</v>
      </c>
      <c r="C150" s="2"/>
      <c r="D150" s="103"/>
      <c r="E150" s="104"/>
      <c r="F150" s="9"/>
      <c r="G150" s="81"/>
      <c r="H150" s="2"/>
    </row>
    <row r="151" spans="1:8" x14ac:dyDescent="0.2">
      <c r="A151" s="105" t="s">
        <v>457</v>
      </c>
      <c r="B151" s="102">
        <f>G146+G139+G133+G125+G101+G92+G52</f>
        <v>44.684375000000003</v>
      </c>
      <c r="C151" s="2"/>
      <c r="D151" s="103"/>
      <c r="E151" s="104"/>
      <c r="F151" s="9"/>
      <c r="G151" s="81"/>
      <c r="H151" s="2"/>
    </row>
    <row r="152" spans="1:8" x14ac:dyDescent="0.2">
      <c r="A152" s="105" t="s">
        <v>458</v>
      </c>
      <c r="B152" s="102">
        <f>G9+G10</f>
        <v>64.485416666666666</v>
      </c>
      <c r="C152" s="2"/>
      <c r="D152" s="103"/>
      <c r="E152" s="104"/>
      <c r="F152" s="9"/>
      <c r="G152" s="49"/>
      <c r="H152" s="2"/>
    </row>
    <row r="153" spans="1:8" x14ac:dyDescent="0.2">
      <c r="A153" s="105" t="s">
        <v>436</v>
      </c>
      <c r="B153" s="102">
        <f>B150+G5-G6-G7+G12+G11</f>
        <v>88.702761462816838</v>
      </c>
      <c r="C153" s="2"/>
      <c r="D153" s="103"/>
      <c r="E153" s="104"/>
      <c r="F153" s="9"/>
      <c r="G153" s="49"/>
      <c r="H153" s="2"/>
    </row>
    <row r="154" spans="1:8" x14ac:dyDescent="0.2">
      <c r="A154" s="106"/>
      <c r="B154" s="103"/>
      <c r="C154" s="2"/>
      <c r="D154" s="103"/>
      <c r="E154" s="104"/>
      <c r="F154" s="9"/>
      <c r="G154" s="81"/>
      <c r="H154" s="2"/>
    </row>
    <row r="155" spans="1:8" x14ac:dyDescent="0.2">
      <c r="A155" s="107" t="s">
        <v>135</v>
      </c>
      <c r="B155" s="108">
        <f>G31/B150</f>
        <v>0.15509998358580016</v>
      </c>
      <c r="C155" s="17"/>
      <c r="D155" s="103"/>
      <c r="E155" s="104"/>
      <c r="F155" s="9"/>
      <c r="G155" s="49"/>
      <c r="H155" s="2"/>
    </row>
    <row r="156" spans="1:8" x14ac:dyDescent="0.2">
      <c r="A156" s="105" t="s">
        <v>136</v>
      </c>
      <c r="B156" s="108">
        <f>G31/B153</f>
        <v>9.6624199652748446E-2</v>
      </c>
      <c r="C156" s="2"/>
      <c r="D156" s="103"/>
      <c r="E156" s="104"/>
      <c r="F156" s="9"/>
      <c r="G156" s="81"/>
      <c r="H156" s="2"/>
    </row>
    <row r="157" spans="1:8" x14ac:dyDescent="0.2">
      <c r="A157" s="106"/>
      <c r="B157" s="103"/>
      <c r="C157" s="2"/>
      <c r="D157" s="103"/>
      <c r="E157" s="104"/>
    </row>
    <row r="158" spans="1:8" ht="17" thickBot="1" x14ac:dyDescent="0.25">
      <c r="A158" s="109" t="s">
        <v>137</v>
      </c>
      <c r="B158" s="110">
        <v>6.59E-2</v>
      </c>
      <c r="C158" s="111"/>
      <c r="D158" s="112"/>
      <c r="E158" s="113"/>
    </row>
  </sheetData>
  <mergeCells count="1">
    <mergeCell ref="B42:C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4F2A-D2BD-6446-A288-C72FADFABF96}">
  <dimension ref="A1:H171"/>
  <sheetViews>
    <sheetView zoomScale="84" workbookViewId="0">
      <pane xSplit="1" ySplit="2" topLeftCell="B73" activePane="bottomRight" state="frozen"/>
      <selection pane="topRight" activeCell="B1" sqref="B1"/>
      <selection pane="bottomLeft" activeCell="A3" sqref="A3"/>
      <selection pane="bottomRight" activeCell="A101" sqref="A101"/>
    </sheetView>
  </sheetViews>
  <sheetFormatPr baseColWidth="10" defaultRowHeight="16" x14ac:dyDescent="0.2"/>
  <cols>
    <col min="1" max="1" width="63.1640625" bestFit="1" customWidth="1"/>
    <col min="6" max="6" width="10.83203125" style="25"/>
    <col min="7" max="7" width="10.83203125" style="2"/>
  </cols>
  <sheetData>
    <row r="1" spans="1:8" x14ac:dyDescent="0.2">
      <c r="A1" t="s">
        <v>232</v>
      </c>
      <c r="H1" s="2"/>
    </row>
    <row r="2" spans="1:8" x14ac:dyDescent="0.2">
      <c r="B2" s="3" t="s">
        <v>0</v>
      </c>
      <c r="C2" s="4" t="s">
        <v>1</v>
      </c>
      <c r="D2" s="4" t="s">
        <v>2</v>
      </c>
      <c r="E2" s="5"/>
      <c r="F2" s="79" t="s">
        <v>3</v>
      </c>
      <c r="G2" s="6" t="s">
        <v>5</v>
      </c>
      <c r="H2" s="5" t="s">
        <v>4</v>
      </c>
    </row>
    <row r="3" spans="1:8" x14ac:dyDescent="0.2">
      <c r="H3" s="2"/>
    </row>
    <row r="4" spans="1:8" x14ac:dyDescent="0.2">
      <c r="A4" s="5" t="s">
        <v>6</v>
      </c>
      <c r="H4" s="2"/>
    </row>
    <row r="5" spans="1:8" x14ac:dyDescent="0.2">
      <c r="A5" t="s">
        <v>204</v>
      </c>
      <c r="B5">
        <v>17</v>
      </c>
      <c r="C5">
        <v>4</v>
      </c>
      <c r="D5">
        <v>3.5</v>
      </c>
      <c r="F5" s="80">
        <f t="shared" ref="F5:F6" si="0">B5+C5/20+D5/240</f>
        <v>17.214583333333334</v>
      </c>
      <c r="H5" s="2"/>
    </row>
    <row r="6" spans="1:8" x14ac:dyDescent="0.2">
      <c r="A6" t="s">
        <v>7</v>
      </c>
      <c r="B6">
        <v>17</v>
      </c>
      <c r="C6">
        <v>4</v>
      </c>
      <c r="D6">
        <v>3.5</v>
      </c>
      <c r="F6" s="80">
        <f t="shared" si="0"/>
        <v>17.214583333333334</v>
      </c>
      <c r="H6" s="2"/>
    </row>
    <row r="8" spans="1:8" x14ac:dyDescent="0.2">
      <c r="A8" s="5" t="s">
        <v>169</v>
      </c>
    </row>
    <row r="9" spans="1:8" x14ac:dyDescent="0.2">
      <c r="A9" t="s">
        <v>233</v>
      </c>
      <c r="B9">
        <v>6</v>
      </c>
      <c r="C9">
        <v>6</v>
      </c>
      <c r="F9" s="80">
        <f t="shared" ref="F9:F14" si="1">B9+C9/20+D9/240</f>
        <v>6.3</v>
      </c>
    </row>
    <row r="10" spans="1:8" x14ac:dyDescent="0.2">
      <c r="A10" t="s">
        <v>234</v>
      </c>
      <c r="B10">
        <v>6</v>
      </c>
      <c r="C10">
        <v>11</v>
      </c>
      <c r="D10">
        <v>4</v>
      </c>
      <c r="F10" s="80">
        <f t="shared" si="1"/>
        <v>6.5666666666666664</v>
      </c>
    </row>
    <row r="11" spans="1:8" x14ac:dyDescent="0.2">
      <c r="A11" t="s">
        <v>235</v>
      </c>
      <c r="B11">
        <v>6</v>
      </c>
      <c r="C11">
        <v>3</v>
      </c>
      <c r="D11">
        <v>4</v>
      </c>
      <c r="F11" s="80">
        <f t="shared" si="1"/>
        <v>6.166666666666667</v>
      </c>
    </row>
    <row r="12" spans="1:8" x14ac:dyDescent="0.2">
      <c r="A12" t="s">
        <v>236</v>
      </c>
      <c r="B12">
        <v>11</v>
      </c>
      <c r="C12">
        <v>19</v>
      </c>
      <c r="D12">
        <v>2.25</v>
      </c>
      <c r="F12" s="80">
        <f t="shared" si="1"/>
        <v>11.959375</v>
      </c>
    </row>
    <row r="13" spans="1:8" x14ac:dyDescent="0.2">
      <c r="A13" s="5" t="s">
        <v>8</v>
      </c>
      <c r="B13">
        <v>30</v>
      </c>
      <c r="C13">
        <v>19</v>
      </c>
      <c r="D13">
        <v>10.25</v>
      </c>
      <c r="F13" s="80">
        <f t="shared" si="1"/>
        <v>30.992708333333333</v>
      </c>
    </row>
    <row r="14" spans="1:8" x14ac:dyDescent="0.2">
      <c r="A14" s="5" t="s">
        <v>205</v>
      </c>
      <c r="B14">
        <f>SUM(B9:B12)</f>
        <v>29</v>
      </c>
      <c r="C14">
        <f t="shared" ref="C14:D14" si="2">SUM(C9:C12)</f>
        <v>39</v>
      </c>
      <c r="D14">
        <f t="shared" si="2"/>
        <v>10.25</v>
      </c>
      <c r="F14" s="80">
        <f t="shared" si="1"/>
        <v>30.992708333333333</v>
      </c>
      <c r="G14" s="48">
        <f>F14-F13</f>
        <v>0</v>
      </c>
    </row>
    <row r="16" spans="1:8" x14ac:dyDescent="0.2">
      <c r="A16" s="5" t="s">
        <v>10</v>
      </c>
    </row>
    <row r="17" spans="1:7" x14ac:dyDescent="0.2">
      <c r="A17" t="s">
        <v>237</v>
      </c>
      <c r="C17">
        <v>5</v>
      </c>
      <c r="F17" s="80">
        <f t="shared" ref="F17:F28" si="3">B17+C17/20+D17/240</f>
        <v>0.25</v>
      </c>
    </row>
    <row r="18" spans="1:7" x14ac:dyDescent="0.2">
      <c r="A18" t="s">
        <v>238</v>
      </c>
      <c r="C18">
        <v>3</v>
      </c>
      <c r="F18" s="80">
        <f t="shared" si="3"/>
        <v>0.15</v>
      </c>
    </row>
    <row r="19" spans="1:7" x14ac:dyDescent="0.2">
      <c r="A19" t="s">
        <v>239</v>
      </c>
      <c r="C19">
        <v>6</v>
      </c>
      <c r="F19" s="80">
        <f t="shared" si="3"/>
        <v>0.3</v>
      </c>
    </row>
    <row r="20" spans="1:7" x14ac:dyDescent="0.2">
      <c r="A20" t="s">
        <v>240</v>
      </c>
      <c r="C20">
        <v>9</v>
      </c>
      <c r="F20" s="80">
        <f t="shared" si="3"/>
        <v>0.45</v>
      </c>
    </row>
    <row r="21" spans="1:7" x14ac:dyDescent="0.2">
      <c r="A21" t="s">
        <v>241</v>
      </c>
      <c r="C21">
        <v>1</v>
      </c>
      <c r="D21">
        <v>6</v>
      </c>
      <c r="F21" s="80">
        <f t="shared" si="3"/>
        <v>7.5000000000000011E-2</v>
      </c>
    </row>
    <row r="22" spans="1:7" x14ac:dyDescent="0.2">
      <c r="A22" t="s">
        <v>242</v>
      </c>
      <c r="C22">
        <v>3</v>
      </c>
      <c r="F22" s="80">
        <f t="shared" si="3"/>
        <v>0.15</v>
      </c>
    </row>
    <row r="23" spans="1:7" x14ac:dyDescent="0.2">
      <c r="A23" t="s">
        <v>243</v>
      </c>
      <c r="C23">
        <v>6</v>
      </c>
      <c r="F23" s="80">
        <f t="shared" si="3"/>
        <v>0.3</v>
      </c>
    </row>
    <row r="24" spans="1:7" x14ac:dyDescent="0.2">
      <c r="A24" t="s">
        <v>244</v>
      </c>
      <c r="D24">
        <v>6</v>
      </c>
      <c r="F24" s="80">
        <f t="shared" si="3"/>
        <v>2.5000000000000001E-2</v>
      </c>
    </row>
    <row r="25" spans="1:7" x14ac:dyDescent="0.2">
      <c r="A25" t="s">
        <v>245</v>
      </c>
      <c r="C25">
        <v>3</v>
      </c>
      <c r="F25" s="80">
        <f t="shared" si="3"/>
        <v>0.15</v>
      </c>
    </row>
    <row r="26" spans="1:7" x14ac:dyDescent="0.2">
      <c r="F26" s="80">
        <f t="shared" si="3"/>
        <v>0</v>
      </c>
    </row>
    <row r="27" spans="1:7" x14ac:dyDescent="0.2">
      <c r="A27" s="5" t="s">
        <v>8</v>
      </c>
      <c r="B27">
        <v>1</v>
      </c>
      <c r="C27">
        <v>17</v>
      </c>
      <c r="F27" s="80">
        <f t="shared" si="3"/>
        <v>1.85</v>
      </c>
    </row>
    <row r="28" spans="1:7" x14ac:dyDescent="0.2">
      <c r="A28" s="5" t="s">
        <v>206</v>
      </c>
      <c r="B28">
        <f>SUM(B17:B26)</f>
        <v>0</v>
      </c>
      <c r="C28">
        <f>SUM(C17:C26)</f>
        <v>36</v>
      </c>
      <c r="D28">
        <f>SUM(D17:D26)</f>
        <v>12</v>
      </c>
      <c r="F28" s="80">
        <f t="shared" si="3"/>
        <v>1.85</v>
      </c>
      <c r="G28" s="48">
        <f>F28-F27</f>
        <v>0</v>
      </c>
    </row>
    <row r="30" spans="1:7" x14ac:dyDescent="0.2">
      <c r="A30" s="5" t="s">
        <v>11</v>
      </c>
    </row>
    <row r="31" spans="1:7" x14ac:dyDescent="0.2">
      <c r="A31" t="s">
        <v>246</v>
      </c>
      <c r="B31">
        <v>1</v>
      </c>
      <c r="F31" s="80">
        <f t="shared" ref="F31:F68" si="4">B31+C31/20+D31/240</f>
        <v>1</v>
      </c>
    </row>
    <row r="32" spans="1:7" x14ac:dyDescent="0.2">
      <c r="A32" t="s">
        <v>247</v>
      </c>
      <c r="C32">
        <v>3</v>
      </c>
      <c r="F32" s="80">
        <f t="shared" si="4"/>
        <v>0.15</v>
      </c>
    </row>
    <row r="33" spans="1:6" x14ac:dyDescent="0.2">
      <c r="A33" t="s">
        <v>248</v>
      </c>
      <c r="C33">
        <v>3</v>
      </c>
      <c r="F33" s="80">
        <f t="shared" si="4"/>
        <v>0.15</v>
      </c>
    </row>
    <row r="34" spans="1:6" x14ac:dyDescent="0.2">
      <c r="A34" t="s">
        <v>260</v>
      </c>
      <c r="C34">
        <v>3</v>
      </c>
      <c r="F34" s="80">
        <f t="shared" si="4"/>
        <v>0.15</v>
      </c>
    </row>
    <row r="35" spans="1:6" x14ac:dyDescent="0.2">
      <c r="A35" t="s">
        <v>260</v>
      </c>
      <c r="C35">
        <v>1</v>
      </c>
      <c r="F35" s="80">
        <f t="shared" si="4"/>
        <v>0.05</v>
      </c>
    </row>
    <row r="36" spans="1:6" x14ac:dyDescent="0.2">
      <c r="A36" t="s">
        <v>260</v>
      </c>
      <c r="C36">
        <v>1</v>
      </c>
      <c r="D36">
        <v>6</v>
      </c>
      <c r="F36" s="80">
        <f t="shared" si="4"/>
        <v>7.5000000000000011E-2</v>
      </c>
    </row>
    <row r="37" spans="1:6" x14ac:dyDescent="0.2">
      <c r="A37" t="s">
        <v>260</v>
      </c>
      <c r="C37">
        <v>1</v>
      </c>
      <c r="D37">
        <v>6</v>
      </c>
      <c r="F37" s="80">
        <f t="shared" si="4"/>
        <v>7.5000000000000011E-2</v>
      </c>
    </row>
    <row r="38" spans="1:6" x14ac:dyDescent="0.2">
      <c r="A38" t="s">
        <v>249</v>
      </c>
      <c r="C38">
        <v>2</v>
      </c>
      <c r="F38" s="80">
        <f t="shared" si="4"/>
        <v>0.1</v>
      </c>
    </row>
    <row r="39" spans="1:6" x14ac:dyDescent="0.2">
      <c r="A39" t="s">
        <v>260</v>
      </c>
      <c r="C39">
        <v>2</v>
      </c>
      <c r="F39" s="80">
        <f t="shared" si="4"/>
        <v>0.1</v>
      </c>
    </row>
    <row r="40" spans="1:6" x14ac:dyDescent="0.2">
      <c r="A40" t="s">
        <v>250</v>
      </c>
      <c r="C40">
        <v>1</v>
      </c>
      <c r="D40">
        <v>6</v>
      </c>
      <c r="F40" s="80">
        <f t="shared" si="4"/>
        <v>7.5000000000000011E-2</v>
      </c>
    </row>
    <row r="41" spans="1:6" x14ac:dyDescent="0.2">
      <c r="A41" t="s">
        <v>260</v>
      </c>
      <c r="C41">
        <v>2</v>
      </c>
      <c r="F41" s="80">
        <f t="shared" si="4"/>
        <v>0.1</v>
      </c>
    </row>
    <row r="42" spans="1:6" x14ac:dyDescent="0.2">
      <c r="A42" t="s">
        <v>251</v>
      </c>
      <c r="C42">
        <v>2</v>
      </c>
      <c r="F42" s="80">
        <f t="shared" si="4"/>
        <v>0.1</v>
      </c>
    </row>
    <row r="43" spans="1:6" x14ac:dyDescent="0.2">
      <c r="A43" t="s">
        <v>260</v>
      </c>
      <c r="C43">
        <v>2</v>
      </c>
      <c r="F43" s="80">
        <f t="shared" si="4"/>
        <v>0.1</v>
      </c>
    </row>
    <row r="44" spans="1:6" x14ac:dyDescent="0.2">
      <c r="A44" t="s">
        <v>260</v>
      </c>
      <c r="C44">
        <v>1</v>
      </c>
      <c r="D44">
        <v>10</v>
      </c>
      <c r="F44" s="80">
        <f t="shared" si="4"/>
        <v>9.1666666666666674E-2</v>
      </c>
    </row>
    <row r="45" spans="1:6" x14ac:dyDescent="0.2">
      <c r="A45" t="s">
        <v>252</v>
      </c>
      <c r="C45">
        <v>1</v>
      </c>
      <c r="F45" s="80">
        <f t="shared" si="4"/>
        <v>0.05</v>
      </c>
    </row>
    <row r="46" spans="1:6" x14ac:dyDescent="0.2">
      <c r="A46" t="s">
        <v>260</v>
      </c>
      <c r="C46">
        <v>2</v>
      </c>
      <c r="F46" s="80">
        <f t="shared" si="4"/>
        <v>0.1</v>
      </c>
    </row>
    <row r="47" spans="1:6" x14ac:dyDescent="0.2">
      <c r="A47" t="s">
        <v>260</v>
      </c>
      <c r="C47">
        <v>1</v>
      </c>
      <c r="F47" s="80">
        <f t="shared" si="4"/>
        <v>0.05</v>
      </c>
    </row>
    <row r="48" spans="1:6" x14ac:dyDescent="0.2">
      <c r="A48" t="s">
        <v>253</v>
      </c>
      <c r="C48">
        <v>1</v>
      </c>
      <c r="D48">
        <v>6</v>
      </c>
      <c r="F48" s="80">
        <f t="shared" si="4"/>
        <v>7.5000000000000011E-2</v>
      </c>
    </row>
    <row r="49" spans="1:8" x14ac:dyDescent="0.2">
      <c r="A49" t="s">
        <v>254</v>
      </c>
      <c r="C49">
        <v>2</v>
      </c>
      <c r="F49" s="80">
        <f t="shared" si="4"/>
        <v>0.1</v>
      </c>
    </row>
    <row r="50" spans="1:8" x14ac:dyDescent="0.2">
      <c r="A50" t="s">
        <v>260</v>
      </c>
      <c r="C50">
        <v>3</v>
      </c>
      <c r="F50" s="80">
        <f t="shared" si="4"/>
        <v>0.15</v>
      </c>
    </row>
    <row r="51" spans="1:8" x14ac:dyDescent="0.2">
      <c r="A51" t="s">
        <v>260</v>
      </c>
      <c r="D51">
        <v>6</v>
      </c>
      <c r="F51" s="80">
        <f t="shared" si="4"/>
        <v>2.5000000000000001E-2</v>
      </c>
    </row>
    <row r="52" spans="1:8" x14ac:dyDescent="0.2">
      <c r="A52" t="s">
        <v>260</v>
      </c>
      <c r="C52">
        <v>1</v>
      </c>
      <c r="F52" s="80">
        <f t="shared" si="4"/>
        <v>0.05</v>
      </c>
    </row>
    <row r="53" spans="1:8" x14ac:dyDescent="0.2">
      <c r="A53" t="s">
        <v>260</v>
      </c>
      <c r="C53">
        <v>2</v>
      </c>
      <c r="F53" s="80">
        <f t="shared" si="4"/>
        <v>0.1</v>
      </c>
    </row>
    <row r="54" spans="1:8" x14ac:dyDescent="0.2">
      <c r="A54" t="s">
        <v>260</v>
      </c>
      <c r="C54">
        <v>3</v>
      </c>
      <c r="D54">
        <v>6</v>
      </c>
      <c r="F54" s="80">
        <f t="shared" si="4"/>
        <v>0.17499999999999999</v>
      </c>
    </row>
    <row r="55" spans="1:8" x14ac:dyDescent="0.2">
      <c r="A55" t="s">
        <v>255</v>
      </c>
      <c r="C55">
        <v>3</v>
      </c>
      <c r="F55" s="80">
        <f t="shared" si="4"/>
        <v>0.15</v>
      </c>
    </row>
    <row r="56" spans="1:8" x14ac:dyDescent="0.2">
      <c r="A56" t="s">
        <v>260</v>
      </c>
      <c r="C56">
        <v>6</v>
      </c>
      <c r="F56" s="80">
        <f t="shared" si="4"/>
        <v>0.3</v>
      </c>
    </row>
    <row r="57" spans="1:8" x14ac:dyDescent="0.2">
      <c r="A57" t="s">
        <v>260</v>
      </c>
      <c r="C57">
        <v>12</v>
      </c>
      <c r="F57" s="80">
        <f t="shared" si="4"/>
        <v>0.6</v>
      </c>
    </row>
    <row r="58" spans="1:8" x14ac:dyDescent="0.2">
      <c r="A58" t="s">
        <v>256</v>
      </c>
      <c r="C58">
        <v>4</v>
      </c>
      <c r="D58">
        <v>5</v>
      </c>
      <c r="F58" s="80">
        <f t="shared" si="4"/>
        <v>0.22083333333333335</v>
      </c>
    </row>
    <row r="59" spans="1:8" x14ac:dyDescent="0.2">
      <c r="A59" t="s">
        <v>257</v>
      </c>
      <c r="B59">
        <v>1</v>
      </c>
      <c r="F59" s="80">
        <f t="shared" si="4"/>
        <v>1</v>
      </c>
    </row>
    <row r="60" spans="1:8" x14ac:dyDescent="0.2">
      <c r="A60" s="5" t="s">
        <v>8</v>
      </c>
      <c r="B60">
        <v>5</v>
      </c>
      <c r="C60">
        <v>12</v>
      </c>
      <c r="D60">
        <v>3</v>
      </c>
      <c r="F60" s="80">
        <f>B60+C60/20+D60/240</f>
        <v>5.6124999999999998</v>
      </c>
    </row>
    <row r="61" spans="1:8" x14ac:dyDescent="0.2">
      <c r="A61" s="5" t="s">
        <v>207</v>
      </c>
      <c r="B61">
        <f>SUM(B31:B59)</f>
        <v>2</v>
      </c>
      <c r="C61">
        <f t="shared" ref="C61:D61" si="5">SUM(C31:C59)</f>
        <v>65</v>
      </c>
      <c r="D61">
        <f t="shared" si="5"/>
        <v>51</v>
      </c>
      <c r="F61" s="80">
        <f>B61+C61/20+D61/240</f>
        <v>5.4625000000000004</v>
      </c>
      <c r="G61" s="48">
        <f>F61-F60</f>
        <v>-0.14999999999999947</v>
      </c>
    </row>
    <row r="63" spans="1:8" x14ac:dyDescent="0.2">
      <c r="A63" s="5" t="s">
        <v>12</v>
      </c>
      <c r="B63">
        <v>23</v>
      </c>
      <c r="C63">
        <v>10</v>
      </c>
      <c r="D63">
        <v>7.25</v>
      </c>
      <c r="F63" s="80">
        <f t="shared" si="4"/>
        <v>23.530208333333334</v>
      </c>
      <c r="H63" t="s">
        <v>21</v>
      </c>
    </row>
    <row r="64" spans="1:8" x14ac:dyDescent="0.2">
      <c r="F64" s="80"/>
    </row>
    <row r="65" spans="1:8" x14ac:dyDescent="0.2">
      <c r="A65" s="5" t="s">
        <v>13</v>
      </c>
      <c r="B65">
        <v>0</v>
      </c>
      <c r="C65">
        <v>0</v>
      </c>
      <c r="D65">
        <v>0</v>
      </c>
      <c r="F65" s="80"/>
    </row>
    <row r="66" spans="1:8" x14ac:dyDescent="0.2">
      <c r="A66" s="78" t="s">
        <v>258</v>
      </c>
      <c r="F66" s="80">
        <f t="shared" si="4"/>
        <v>0</v>
      </c>
    </row>
    <row r="67" spans="1:8" x14ac:dyDescent="0.2">
      <c r="A67" s="5" t="s">
        <v>8</v>
      </c>
      <c r="F67" s="80">
        <f t="shared" si="4"/>
        <v>0</v>
      </c>
      <c r="H67" t="s">
        <v>259</v>
      </c>
    </row>
    <row r="68" spans="1:8" x14ac:dyDescent="0.2">
      <c r="A68" s="5" t="s">
        <v>220</v>
      </c>
      <c r="B68">
        <f>SUM(B66)</f>
        <v>0</v>
      </c>
      <c r="C68">
        <f t="shared" ref="C68:D68" si="6">SUM(C66)</f>
        <v>0</v>
      </c>
      <c r="D68">
        <f t="shared" si="6"/>
        <v>0</v>
      </c>
      <c r="F68" s="80">
        <f t="shared" si="4"/>
        <v>0</v>
      </c>
      <c r="G68" s="48">
        <f>F68-F67</f>
        <v>0</v>
      </c>
    </row>
    <row r="70" spans="1:8" x14ac:dyDescent="0.2">
      <c r="A70" s="5" t="s">
        <v>14</v>
      </c>
    </row>
    <row r="71" spans="1:8" x14ac:dyDescent="0.2">
      <c r="A71" s="78" t="s">
        <v>258</v>
      </c>
      <c r="F71" s="80">
        <f t="shared" ref="F71:F73" si="7">B71+C71/20+D71/240</f>
        <v>0</v>
      </c>
    </row>
    <row r="72" spans="1:8" x14ac:dyDescent="0.2">
      <c r="A72" s="5" t="s">
        <v>8</v>
      </c>
      <c r="F72" s="80">
        <f t="shared" si="7"/>
        <v>0</v>
      </c>
    </row>
    <row r="73" spans="1:8" x14ac:dyDescent="0.2">
      <c r="A73" s="5" t="s">
        <v>221</v>
      </c>
      <c r="B73">
        <f>SUM(B71:B71)</f>
        <v>0</v>
      </c>
      <c r="C73">
        <f>SUM(C71:C71)</f>
        <v>0</v>
      </c>
      <c r="D73">
        <f>SUM(D71:D71)</f>
        <v>0</v>
      </c>
      <c r="F73" s="80">
        <f t="shared" si="7"/>
        <v>0</v>
      </c>
      <c r="G73" s="48">
        <f>F73-F72</f>
        <v>0</v>
      </c>
    </row>
    <row r="74" spans="1:8" x14ac:dyDescent="0.2">
      <c r="A74" s="1"/>
    </row>
    <row r="75" spans="1:8" x14ac:dyDescent="0.2">
      <c r="A75" s="5" t="s">
        <v>15</v>
      </c>
    </row>
    <row r="76" spans="1:8" x14ac:dyDescent="0.2">
      <c r="A76" t="s">
        <v>261</v>
      </c>
      <c r="B76">
        <v>2</v>
      </c>
      <c r="C76">
        <v>15</v>
      </c>
      <c r="D76">
        <v>9</v>
      </c>
      <c r="F76" s="80">
        <f t="shared" ref="F76:F113" si="8">B76+C76/20+D76/240</f>
        <v>2.7875000000000001</v>
      </c>
    </row>
    <row r="77" spans="1:8" x14ac:dyDescent="0.2">
      <c r="A77" t="s">
        <v>262</v>
      </c>
      <c r="B77">
        <v>1</v>
      </c>
      <c r="C77">
        <v>1</v>
      </c>
      <c r="D77">
        <v>5</v>
      </c>
      <c r="F77" s="80">
        <f t="shared" si="8"/>
        <v>1.0708333333333333</v>
      </c>
    </row>
    <row r="78" spans="1:8" x14ac:dyDescent="0.2">
      <c r="A78" t="s">
        <v>263</v>
      </c>
      <c r="F78" s="80">
        <f t="shared" si="8"/>
        <v>0</v>
      </c>
    </row>
    <row r="79" spans="1:8" x14ac:dyDescent="0.2">
      <c r="A79" t="s">
        <v>264</v>
      </c>
      <c r="C79">
        <v>1</v>
      </c>
      <c r="D79">
        <v>2.5</v>
      </c>
      <c r="F79" s="80">
        <f t="shared" si="8"/>
        <v>6.0416666666666667E-2</v>
      </c>
    </row>
    <row r="80" spans="1:8" x14ac:dyDescent="0.2">
      <c r="A80" t="s">
        <v>266</v>
      </c>
      <c r="C80">
        <v>15</v>
      </c>
      <c r="D80">
        <v>9</v>
      </c>
      <c r="F80" s="80">
        <f t="shared" si="8"/>
        <v>0.78749999999999998</v>
      </c>
    </row>
    <row r="81" spans="1:6" x14ac:dyDescent="0.2">
      <c r="A81" t="s">
        <v>267</v>
      </c>
      <c r="C81">
        <v>6</v>
      </c>
      <c r="F81" s="80">
        <f t="shared" si="8"/>
        <v>0.3</v>
      </c>
    </row>
    <row r="82" spans="1:6" x14ac:dyDescent="0.2">
      <c r="A82" t="s">
        <v>268</v>
      </c>
      <c r="C82">
        <v>19</v>
      </c>
      <c r="D82">
        <v>6</v>
      </c>
      <c r="F82" s="80">
        <f t="shared" si="8"/>
        <v>0.97499999999999998</v>
      </c>
    </row>
    <row r="83" spans="1:6" x14ac:dyDescent="0.2">
      <c r="A83" t="s">
        <v>269</v>
      </c>
      <c r="C83">
        <v>10</v>
      </c>
      <c r="F83" s="80">
        <f t="shared" si="8"/>
        <v>0.5</v>
      </c>
    </row>
    <row r="84" spans="1:6" x14ac:dyDescent="0.2">
      <c r="A84" t="s">
        <v>270</v>
      </c>
      <c r="C84">
        <v>16</v>
      </c>
      <c r="F84" s="80">
        <f t="shared" si="8"/>
        <v>0.8</v>
      </c>
    </row>
    <row r="85" spans="1:6" x14ac:dyDescent="0.2">
      <c r="A85" t="s">
        <v>271</v>
      </c>
      <c r="C85">
        <v>7</v>
      </c>
      <c r="F85" s="80">
        <f t="shared" si="8"/>
        <v>0.35</v>
      </c>
    </row>
    <row r="86" spans="1:6" x14ac:dyDescent="0.2">
      <c r="A86" t="s">
        <v>272</v>
      </c>
      <c r="C86">
        <v>9</v>
      </c>
      <c r="D86">
        <v>10</v>
      </c>
      <c r="F86" s="80">
        <f t="shared" si="8"/>
        <v>0.4916666666666667</v>
      </c>
    </row>
    <row r="87" spans="1:6" x14ac:dyDescent="0.2">
      <c r="A87" t="s">
        <v>273</v>
      </c>
      <c r="B87">
        <v>1</v>
      </c>
      <c r="C87">
        <v>9</v>
      </c>
      <c r="D87">
        <v>3</v>
      </c>
      <c r="F87" s="80">
        <f t="shared" si="8"/>
        <v>1.4624999999999999</v>
      </c>
    </row>
    <row r="88" spans="1:6" x14ac:dyDescent="0.2">
      <c r="A88" t="s">
        <v>274</v>
      </c>
      <c r="B88">
        <v>1</v>
      </c>
      <c r="C88">
        <v>12</v>
      </c>
      <c r="D88">
        <v>8</v>
      </c>
      <c r="F88" s="80">
        <f t="shared" si="8"/>
        <v>1.6333333333333335</v>
      </c>
    </row>
    <row r="89" spans="1:6" x14ac:dyDescent="0.2">
      <c r="A89" t="s">
        <v>275</v>
      </c>
      <c r="C89">
        <v>6</v>
      </c>
      <c r="F89" s="80">
        <f t="shared" si="8"/>
        <v>0.3</v>
      </c>
    </row>
    <row r="90" spans="1:6" x14ac:dyDescent="0.2">
      <c r="A90" t="s">
        <v>276</v>
      </c>
      <c r="C90">
        <v>7</v>
      </c>
      <c r="D90">
        <v>7</v>
      </c>
      <c r="F90" s="80">
        <f t="shared" si="8"/>
        <v>0.37916666666666665</v>
      </c>
    </row>
    <row r="91" spans="1:6" x14ac:dyDescent="0.2">
      <c r="A91" t="s">
        <v>277</v>
      </c>
      <c r="C91">
        <v>9</v>
      </c>
      <c r="D91">
        <v>4</v>
      </c>
      <c r="F91" s="80">
        <f t="shared" si="8"/>
        <v>0.46666666666666667</v>
      </c>
    </row>
    <row r="92" spans="1:6" x14ac:dyDescent="0.2">
      <c r="A92" t="s">
        <v>265</v>
      </c>
      <c r="F92" s="80">
        <f t="shared" si="8"/>
        <v>0</v>
      </c>
    </row>
    <row r="93" spans="1:6" x14ac:dyDescent="0.2">
      <c r="A93" t="s">
        <v>278</v>
      </c>
      <c r="C93">
        <v>1</v>
      </c>
      <c r="D93">
        <v>8</v>
      </c>
      <c r="F93" s="80">
        <f t="shared" si="8"/>
        <v>8.3333333333333343E-2</v>
      </c>
    </row>
    <row r="94" spans="1:6" x14ac:dyDescent="0.2">
      <c r="A94" t="s">
        <v>279</v>
      </c>
      <c r="D94">
        <v>10</v>
      </c>
      <c r="F94" s="80">
        <f t="shared" si="8"/>
        <v>4.1666666666666664E-2</v>
      </c>
    </row>
    <row r="95" spans="1:6" x14ac:dyDescent="0.2">
      <c r="A95" t="s">
        <v>280</v>
      </c>
      <c r="D95">
        <v>3</v>
      </c>
      <c r="F95" s="80">
        <f t="shared" si="8"/>
        <v>1.2500000000000001E-2</v>
      </c>
    </row>
    <row r="96" spans="1:6" x14ac:dyDescent="0.2">
      <c r="A96" t="s">
        <v>281</v>
      </c>
      <c r="C96">
        <v>6</v>
      </c>
      <c r="D96">
        <v>4</v>
      </c>
      <c r="F96" s="80">
        <f t="shared" si="8"/>
        <v>0.31666666666666665</v>
      </c>
    </row>
    <row r="97" spans="1:6" x14ac:dyDescent="0.2">
      <c r="A97" t="s">
        <v>282</v>
      </c>
      <c r="C97">
        <v>1</v>
      </c>
      <c r="D97">
        <v>6</v>
      </c>
      <c r="F97" s="80">
        <f t="shared" si="8"/>
        <v>7.5000000000000011E-2</v>
      </c>
    </row>
    <row r="98" spans="1:6" x14ac:dyDescent="0.2">
      <c r="A98" t="s">
        <v>283</v>
      </c>
      <c r="C98">
        <v>5</v>
      </c>
      <c r="D98">
        <v>1</v>
      </c>
      <c r="F98" s="80">
        <f t="shared" si="8"/>
        <v>0.25416666666666665</v>
      </c>
    </row>
    <row r="99" spans="1:6" x14ac:dyDescent="0.2">
      <c r="A99" t="s">
        <v>446</v>
      </c>
      <c r="D99">
        <v>4.5</v>
      </c>
      <c r="F99" s="80">
        <f t="shared" si="8"/>
        <v>1.8749999999999999E-2</v>
      </c>
    </row>
    <row r="100" spans="1:6" x14ac:dyDescent="0.2">
      <c r="A100" t="s">
        <v>284</v>
      </c>
      <c r="C100">
        <v>7</v>
      </c>
      <c r="D100">
        <v>3</v>
      </c>
      <c r="F100" s="80">
        <f t="shared" si="8"/>
        <v>0.36249999999999999</v>
      </c>
    </row>
    <row r="101" spans="1:6" x14ac:dyDescent="0.2">
      <c r="A101" t="s">
        <v>285</v>
      </c>
      <c r="C101">
        <v>3</v>
      </c>
      <c r="F101" s="80">
        <f t="shared" si="8"/>
        <v>0.15</v>
      </c>
    </row>
    <row r="102" spans="1:6" x14ac:dyDescent="0.2">
      <c r="A102" t="s">
        <v>285</v>
      </c>
      <c r="C102">
        <v>2</v>
      </c>
      <c r="F102" s="80">
        <f t="shared" si="8"/>
        <v>0.1</v>
      </c>
    </row>
    <row r="103" spans="1:6" x14ac:dyDescent="0.2">
      <c r="A103" t="s">
        <v>285</v>
      </c>
      <c r="C103">
        <v>3</v>
      </c>
      <c r="D103">
        <v>6</v>
      </c>
      <c r="F103" s="80">
        <f t="shared" si="8"/>
        <v>0.17499999999999999</v>
      </c>
    </row>
    <row r="104" spans="1:6" x14ac:dyDescent="0.2">
      <c r="A104" t="s">
        <v>286</v>
      </c>
      <c r="C104">
        <v>6</v>
      </c>
      <c r="F104" s="80">
        <f t="shared" si="8"/>
        <v>0.3</v>
      </c>
    </row>
    <row r="105" spans="1:6" x14ac:dyDescent="0.2">
      <c r="A105" t="s">
        <v>287</v>
      </c>
      <c r="C105">
        <v>2</v>
      </c>
      <c r="F105" s="80">
        <f t="shared" si="8"/>
        <v>0.1</v>
      </c>
    </row>
    <row r="106" spans="1:6" x14ac:dyDescent="0.2">
      <c r="A106" t="s">
        <v>289</v>
      </c>
      <c r="C106">
        <v>10</v>
      </c>
      <c r="D106">
        <v>4</v>
      </c>
      <c r="F106" s="80">
        <f t="shared" si="8"/>
        <v>0.51666666666666672</v>
      </c>
    </row>
    <row r="107" spans="1:6" x14ac:dyDescent="0.2">
      <c r="A107" t="s">
        <v>288</v>
      </c>
      <c r="B107">
        <v>4</v>
      </c>
      <c r="C107">
        <v>10</v>
      </c>
      <c r="F107" s="80">
        <f t="shared" si="8"/>
        <v>4.5</v>
      </c>
    </row>
    <row r="108" spans="1:6" x14ac:dyDescent="0.2">
      <c r="A108" t="s">
        <v>290</v>
      </c>
      <c r="C108">
        <v>9</v>
      </c>
      <c r="F108" s="80">
        <f t="shared" si="8"/>
        <v>0.45</v>
      </c>
    </row>
    <row r="109" spans="1:6" x14ac:dyDescent="0.2">
      <c r="A109" t="s">
        <v>291</v>
      </c>
      <c r="C109">
        <v>6</v>
      </c>
      <c r="F109" s="80">
        <f t="shared" si="8"/>
        <v>0.3</v>
      </c>
    </row>
    <row r="110" spans="1:6" x14ac:dyDescent="0.2">
      <c r="A110" t="s">
        <v>292</v>
      </c>
      <c r="C110">
        <v>3</v>
      </c>
      <c r="D110">
        <v>4</v>
      </c>
      <c r="F110" s="80">
        <f t="shared" si="8"/>
        <v>0.16666666666666666</v>
      </c>
    </row>
    <row r="111" spans="1:6" x14ac:dyDescent="0.2">
      <c r="A111" t="s">
        <v>293</v>
      </c>
      <c r="D111">
        <v>10</v>
      </c>
      <c r="F111" s="80">
        <f t="shared" si="8"/>
        <v>4.1666666666666664E-2</v>
      </c>
    </row>
    <row r="112" spans="1:6" x14ac:dyDescent="0.2">
      <c r="A112" t="s">
        <v>294</v>
      </c>
      <c r="B112">
        <v>2</v>
      </c>
      <c r="C112">
        <v>6</v>
      </c>
      <c r="D112">
        <v>8</v>
      </c>
      <c r="F112" s="80">
        <f t="shared" si="8"/>
        <v>2.333333333333333</v>
      </c>
    </row>
    <row r="113" spans="1:7" x14ac:dyDescent="0.2">
      <c r="A113" t="s">
        <v>295</v>
      </c>
      <c r="C113">
        <v>7</v>
      </c>
      <c r="F113" s="80">
        <f t="shared" si="8"/>
        <v>0.35</v>
      </c>
    </row>
    <row r="114" spans="1:7" x14ac:dyDescent="0.2">
      <c r="A114" s="5" t="s">
        <v>8</v>
      </c>
      <c r="B114">
        <v>23</v>
      </c>
      <c r="C114">
        <v>3</v>
      </c>
      <c r="F114" s="80">
        <f>B114+C114/20+D114/240</f>
        <v>23.15</v>
      </c>
    </row>
    <row r="115" spans="1:7" x14ac:dyDescent="0.2">
      <c r="A115" s="5" t="s">
        <v>222</v>
      </c>
      <c r="B115">
        <f>SUM(B76:B113)</f>
        <v>11</v>
      </c>
      <c r="C115">
        <f>SUM(C76:C113)</f>
        <v>229</v>
      </c>
      <c r="D115">
        <f t="shared" ref="D115" si="9">SUM(D76:D113)</f>
        <v>135</v>
      </c>
      <c r="F115" s="80">
        <f>B115+C115/20+D115/240</f>
        <v>23.012499999999999</v>
      </c>
      <c r="G115" s="48">
        <f>F115-F114</f>
        <v>-0.13749999999999929</v>
      </c>
    </row>
    <row r="117" spans="1:7" x14ac:dyDescent="0.2">
      <c r="A117" s="5" t="s">
        <v>16</v>
      </c>
    </row>
    <row r="118" spans="1:7" x14ac:dyDescent="0.2">
      <c r="A118" t="s">
        <v>296</v>
      </c>
      <c r="B118">
        <v>14</v>
      </c>
      <c r="C118">
        <v>16</v>
      </c>
      <c r="D118">
        <v>4</v>
      </c>
      <c r="F118" s="25">
        <f t="shared" ref="F118:F126" si="10">B118+C118/20+D118/240</f>
        <v>14.816666666666668</v>
      </c>
    </row>
    <row r="119" spans="1:7" x14ac:dyDescent="0.2">
      <c r="A119" t="s">
        <v>297</v>
      </c>
      <c r="C119">
        <v>9</v>
      </c>
      <c r="F119" s="25">
        <f t="shared" si="10"/>
        <v>0.45</v>
      </c>
    </row>
    <row r="120" spans="1:7" x14ac:dyDescent="0.2">
      <c r="A120" t="s">
        <v>298</v>
      </c>
      <c r="B120">
        <v>7</v>
      </c>
      <c r="C120">
        <v>4</v>
      </c>
      <c r="D120">
        <v>9</v>
      </c>
      <c r="F120" s="25">
        <f t="shared" si="10"/>
        <v>7.2374999999999998</v>
      </c>
    </row>
    <row r="121" spans="1:7" x14ac:dyDescent="0.2">
      <c r="A121" t="s">
        <v>299</v>
      </c>
      <c r="B121">
        <v>14</v>
      </c>
      <c r="C121">
        <v>9</v>
      </c>
      <c r="F121" s="25">
        <f>B121+C121/20+D121/240</f>
        <v>14.45</v>
      </c>
    </row>
    <row r="122" spans="1:7" x14ac:dyDescent="0.2">
      <c r="A122" t="s">
        <v>300</v>
      </c>
      <c r="B122">
        <v>4</v>
      </c>
      <c r="C122">
        <v>3</v>
      </c>
      <c r="F122" s="25">
        <f t="shared" si="10"/>
        <v>4.1500000000000004</v>
      </c>
    </row>
    <row r="123" spans="1:7" x14ac:dyDescent="0.2">
      <c r="A123" t="s">
        <v>301</v>
      </c>
      <c r="C123">
        <v>3</v>
      </c>
      <c r="F123" s="25">
        <f>B123+C123/20+D123/240</f>
        <v>0.15</v>
      </c>
    </row>
    <row r="124" spans="1:7" x14ac:dyDescent="0.2">
      <c r="A124" t="s">
        <v>302</v>
      </c>
      <c r="C124">
        <v>4</v>
      </c>
      <c r="D124">
        <v>4.5</v>
      </c>
      <c r="F124" s="25">
        <f t="shared" si="10"/>
        <v>0.21875</v>
      </c>
    </row>
    <row r="125" spans="1:7" x14ac:dyDescent="0.2">
      <c r="A125" s="5" t="s">
        <v>8</v>
      </c>
      <c r="B125">
        <v>41</v>
      </c>
      <c r="C125">
        <v>9</v>
      </c>
      <c r="D125">
        <v>5.5</v>
      </c>
      <c r="F125" s="80">
        <f t="shared" si="10"/>
        <v>41.47291666666667</v>
      </c>
    </row>
    <row r="126" spans="1:7" x14ac:dyDescent="0.2">
      <c r="A126" s="5" t="s">
        <v>209</v>
      </c>
      <c r="B126">
        <f>SUM(B118:B124)</f>
        <v>39</v>
      </c>
      <c r="C126">
        <f t="shared" ref="C126:D126" si="11">SUM(C118:C124)</f>
        <v>48</v>
      </c>
      <c r="D126">
        <f t="shared" si="11"/>
        <v>17.5</v>
      </c>
      <c r="F126" s="80">
        <f t="shared" si="10"/>
        <v>41.472916666666663</v>
      </c>
      <c r="G126" s="48">
        <f>F126-F125</f>
        <v>0</v>
      </c>
    </row>
    <row r="128" spans="1:7" x14ac:dyDescent="0.2">
      <c r="A128" s="5" t="s">
        <v>303</v>
      </c>
    </row>
    <row r="129" spans="1:7" x14ac:dyDescent="0.2">
      <c r="A129" t="s">
        <v>304</v>
      </c>
      <c r="C129">
        <v>16</v>
      </c>
      <c r="F129" s="25">
        <f>B129+C129/20+D129/240</f>
        <v>0.8</v>
      </c>
    </row>
    <row r="130" spans="1:7" x14ac:dyDescent="0.2">
      <c r="A130" t="s">
        <v>305</v>
      </c>
      <c r="C130">
        <v>2</v>
      </c>
      <c r="D130">
        <v>6</v>
      </c>
      <c r="F130" s="25">
        <f t="shared" ref="F130:F131" si="12">B130+C130/20+D130/240</f>
        <v>0.125</v>
      </c>
    </row>
    <row r="131" spans="1:7" x14ac:dyDescent="0.2">
      <c r="A131" t="s">
        <v>306</v>
      </c>
      <c r="B131">
        <v>1</v>
      </c>
      <c r="C131">
        <v>15</v>
      </c>
      <c r="D131">
        <v>3</v>
      </c>
      <c r="F131" s="25">
        <f t="shared" si="12"/>
        <v>1.7625</v>
      </c>
    </row>
    <row r="132" spans="1:7" x14ac:dyDescent="0.2">
      <c r="A132" t="s">
        <v>307</v>
      </c>
      <c r="B132">
        <v>2</v>
      </c>
      <c r="C132">
        <v>16</v>
      </c>
      <c r="D132">
        <v>3.5</v>
      </c>
      <c r="F132" s="25">
        <f>B132+C132/20+D132/240</f>
        <v>2.8145833333333332</v>
      </c>
    </row>
    <row r="133" spans="1:7" x14ac:dyDescent="0.2">
      <c r="A133" s="5" t="s">
        <v>8</v>
      </c>
      <c r="B133">
        <v>5</v>
      </c>
      <c r="C133">
        <v>10</v>
      </c>
      <c r="D133">
        <v>0.5</v>
      </c>
      <c r="F133" s="25">
        <f>B133+C133/20+D133/240</f>
        <v>5.5020833333333332</v>
      </c>
    </row>
    <row r="134" spans="1:7" x14ac:dyDescent="0.2">
      <c r="A134" s="5" t="s">
        <v>308</v>
      </c>
      <c r="B134">
        <f>SUM(B129:B132)</f>
        <v>3</v>
      </c>
      <c r="C134">
        <f t="shared" ref="C134:D134" si="13">SUM(C129:C132)</f>
        <v>49</v>
      </c>
      <c r="D134">
        <f t="shared" si="13"/>
        <v>12.5</v>
      </c>
      <c r="F134" s="25">
        <f>B134+C134/20+D134/240</f>
        <v>5.5020833333333332</v>
      </c>
      <c r="G134" s="81">
        <f>F134-F133</f>
        <v>0</v>
      </c>
    </row>
    <row r="136" spans="1:7" x14ac:dyDescent="0.2">
      <c r="A136" s="5" t="s">
        <v>309</v>
      </c>
    </row>
    <row r="137" spans="1:7" x14ac:dyDescent="0.2">
      <c r="A137" t="s">
        <v>310</v>
      </c>
      <c r="B137">
        <v>6</v>
      </c>
      <c r="F137" s="25">
        <f>B137+C137/20+D137/240</f>
        <v>6</v>
      </c>
    </row>
    <row r="138" spans="1:7" x14ac:dyDescent="0.2">
      <c r="A138" s="5" t="s">
        <v>8</v>
      </c>
      <c r="B138">
        <v>6</v>
      </c>
      <c r="C138">
        <v>0</v>
      </c>
      <c r="D138">
        <v>0</v>
      </c>
      <c r="F138" s="25">
        <f>B138+C138/20+D138/240</f>
        <v>6</v>
      </c>
    </row>
    <row r="139" spans="1:7" x14ac:dyDescent="0.2">
      <c r="A139" s="5" t="s">
        <v>308</v>
      </c>
      <c r="B139">
        <f>SUM(B137:B137)</f>
        <v>6</v>
      </c>
      <c r="C139">
        <f>SUM(C137:C137)</f>
        <v>0</v>
      </c>
      <c r="D139">
        <f>SUM(D137:D137)</f>
        <v>0</v>
      </c>
      <c r="F139" s="25">
        <f>B139+C139/20+D139/240</f>
        <v>6</v>
      </c>
      <c r="G139" s="81">
        <f>F139-F138</f>
        <v>0</v>
      </c>
    </row>
    <row r="141" spans="1:7" x14ac:dyDescent="0.2">
      <c r="A141" s="5" t="s">
        <v>17</v>
      </c>
    </row>
    <row r="142" spans="1:7" x14ac:dyDescent="0.2">
      <c r="A142" t="s">
        <v>311</v>
      </c>
      <c r="C142">
        <v>2</v>
      </c>
      <c r="F142" s="80">
        <f>B142+C142/20+D142/240</f>
        <v>0.1</v>
      </c>
    </row>
    <row r="143" spans="1:7" x14ac:dyDescent="0.2">
      <c r="A143" t="s">
        <v>311</v>
      </c>
      <c r="C143">
        <v>6</v>
      </c>
      <c r="F143" s="80">
        <f t="shared" ref="F143:F165" si="14">B143+C143/20+D143/240</f>
        <v>0.3</v>
      </c>
    </row>
    <row r="144" spans="1:7" x14ac:dyDescent="0.2">
      <c r="A144" t="s">
        <v>311</v>
      </c>
      <c r="C144">
        <v>4</v>
      </c>
      <c r="F144" s="80">
        <f t="shared" si="14"/>
        <v>0.2</v>
      </c>
    </row>
    <row r="145" spans="1:7" x14ac:dyDescent="0.2">
      <c r="A145" t="s">
        <v>311</v>
      </c>
      <c r="C145">
        <v>4</v>
      </c>
      <c r="F145" s="80">
        <f t="shared" si="14"/>
        <v>0.2</v>
      </c>
    </row>
    <row r="146" spans="1:7" x14ac:dyDescent="0.2">
      <c r="A146" t="s">
        <v>311</v>
      </c>
      <c r="C146">
        <v>6</v>
      </c>
      <c r="F146" s="80">
        <f t="shared" si="14"/>
        <v>0.3</v>
      </c>
    </row>
    <row r="147" spans="1:7" x14ac:dyDescent="0.2">
      <c r="A147" t="s">
        <v>311</v>
      </c>
      <c r="C147">
        <v>4</v>
      </c>
      <c r="F147" s="80">
        <f t="shared" si="14"/>
        <v>0.2</v>
      </c>
    </row>
    <row r="148" spans="1:7" x14ac:dyDescent="0.2">
      <c r="A148" t="s">
        <v>311</v>
      </c>
      <c r="C148">
        <v>4</v>
      </c>
      <c r="F148" s="80">
        <f t="shared" si="14"/>
        <v>0.2</v>
      </c>
    </row>
    <row r="149" spans="1:7" x14ac:dyDescent="0.2">
      <c r="A149" t="s">
        <v>311</v>
      </c>
      <c r="C149">
        <v>10</v>
      </c>
      <c r="F149" s="80">
        <f t="shared" si="14"/>
        <v>0.5</v>
      </c>
    </row>
    <row r="150" spans="1:7" x14ac:dyDescent="0.2">
      <c r="A150" t="s">
        <v>260</v>
      </c>
      <c r="C150">
        <v>10</v>
      </c>
      <c r="F150" s="80">
        <f t="shared" si="14"/>
        <v>0.5</v>
      </c>
    </row>
    <row r="151" spans="1:7" x14ac:dyDescent="0.2">
      <c r="A151" t="s">
        <v>312</v>
      </c>
      <c r="B151">
        <v>1</v>
      </c>
      <c r="F151" s="80">
        <f t="shared" si="14"/>
        <v>1</v>
      </c>
    </row>
    <row r="152" spans="1:7" x14ac:dyDescent="0.2">
      <c r="A152" t="s">
        <v>260</v>
      </c>
      <c r="B152">
        <v>1</v>
      </c>
      <c r="F152" s="80">
        <f t="shared" si="14"/>
        <v>1</v>
      </c>
    </row>
    <row r="153" spans="1:7" x14ac:dyDescent="0.2">
      <c r="A153" t="s">
        <v>260</v>
      </c>
      <c r="C153">
        <v>1</v>
      </c>
      <c r="F153" s="80">
        <f t="shared" si="14"/>
        <v>0.05</v>
      </c>
    </row>
    <row r="154" spans="1:7" x14ac:dyDescent="0.2">
      <c r="A154" t="s">
        <v>260</v>
      </c>
      <c r="C154">
        <v>5</v>
      </c>
      <c r="F154" s="80">
        <f t="shared" si="14"/>
        <v>0.25</v>
      </c>
    </row>
    <row r="155" spans="1:7" x14ac:dyDescent="0.2">
      <c r="A155" s="5" t="s">
        <v>8</v>
      </c>
      <c r="B155">
        <v>4</v>
      </c>
      <c r="C155">
        <v>16</v>
      </c>
      <c r="F155" s="80">
        <f t="shared" si="14"/>
        <v>4.8</v>
      </c>
    </row>
    <row r="156" spans="1:7" x14ac:dyDescent="0.2">
      <c r="A156" s="5" t="s">
        <v>210</v>
      </c>
      <c r="B156">
        <f>SUM(B142:B154)</f>
        <v>2</v>
      </c>
      <c r="C156">
        <f t="shared" ref="C156:D156" si="15">SUM(C142:C154)</f>
        <v>56</v>
      </c>
      <c r="D156">
        <f t="shared" si="15"/>
        <v>0</v>
      </c>
      <c r="F156" s="80">
        <f t="shared" si="14"/>
        <v>4.8</v>
      </c>
      <c r="G156" s="48">
        <f>F156-F155</f>
        <v>0</v>
      </c>
    </row>
    <row r="157" spans="1:7" x14ac:dyDescent="0.2">
      <c r="F157" s="80"/>
    </row>
    <row r="158" spans="1:7" x14ac:dyDescent="0.2">
      <c r="A158" s="5" t="s">
        <v>18</v>
      </c>
      <c r="F158" s="80">
        <f t="shared" si="14"/>
        <v>0</v>
      </c>
    </row>
    <row r="159" spans="1:7" x14ac:dyDescent="0.2">
      <c r="A159" t="s">
        <v>313</v>
      </c>
      <c r="B159">
        <v>2</v>
      </c>
      <c r="C159">
        <v>18</v>
      </c>
      <c r="F159" s="80">
        <f t="shared" si="14"/>
        <v>2.9</v>
      </c>
    </row>
    <row r="160" spans="1:7" x14ac:dyDescent="0.2">
      <c r="A160" t="s">
        <v>260</v>
      </c>
      <c r="C160">
        <v>4</v>
      </c>
      <c r="F160" s="80">
        <f t="shared" si="14"/>
        <v>0.2</v>
      </c>
    </row>
    <row r="161" spans="1:7" x14ac:dyDescent="0.2">
      <c r="A161" t="s">
        <v>260</v>
      </c>
      <c r="B161">
        <v>1</v>
      </c>
      <c r="C161">
        <v>3</v>
      </c>
      <c r="D161">
        <v>3</v>
      </c>
      <c r="F161" s="80">
        <f t="shared" si="14"/>
        <v>1.1624999999999999</v>
      </c>
    </row>
    <row r="162" spans="1:7" x14ac:dyDescent="0.2">
      <c r="A162" t="s">
        <v>260</v>
      </c>
      <c r="C162">
        <v>2</v>
      </c>
      <c r="F162" s="80">
        <f t="shared" si="14"/>
        <v>0.1</v>
      </c>
    </row>
    <row r="163" spans="1:7" x14ac:dyDescent="0.2">
      <c r="A163" t="s">
        <v>260</v>
      </c>
      <c r="C163">
        <v>10</v>
      </c>
      <c r="F163" s="80">
        <f t="shared" si="14"/>
        <v>0.5</v>
      </c>
    </row>
    <row r="164" spans="1:7" x14ac:dyDescent="0.2">
      <c r="A164" t="s">
        <v>314</v>
      </c>
      <c r="C164">
        <v>2</v>
      </c>
      <c r="F164" s="80">
        <f t="shared" si="14"/>
        <v>0.1</v>
      </c>
    </row>
    <row r="165" spans="1:7" x14ac:dyDescent="0.2">
      <c r="A165" s="5" t="s">
        <v>8</v>
      </c>
      <c r="B165">
        <v>4</v>
      </c>
      <c r="C165">
        <v>19</v>
      </c>
      <c r="D165">
        <v>3</v>
      </c>
      <c r="F165" s="80">
        <f t="shared" si="14"/>
        <v>4.9625000000000004</v>
      </c>
    </row>
    <row r="166" spans="1:7" x14ac:dyDescent="0.2">
      <c r="A166" s="5" t="s">
        <v>224</v>
      </c>
      <c r="B166">
        <f>SUM(B159:B164)</f>
        <v>3</v>
      </c>
      <c r="C166">
        <f t="shared" ref="C166:D166" si="16">SUM(C159:C164)</f>
        <v>39</v>
      </c>
      <c r="D166">
        <f t="shared" si="16"/>
        <v>3</v>
      </c>
      <c r="F166" s="80">
        <f t="shared" ref="F166:F171" si="17">B166+C166/20+D166/240</f>
        <v>4.9625000000000004</v>
      </c>
      <c r="G166" s="81">
        <f>F166-F165</f>
        <v>0</v>
      </c>
    </row>
    <row r="168" spans="1:7" x14ac:dyDescent="0.2">
      <c r="A168" s="8" t="s">
        <v>19</v>
      </c>
      <c r="F168" s="80">
        <f>F166+F156+F139+F134+F126+F115+F73+F68+F63</f>
        <v>109.28020833333333</v>
      </c>
    </row>
    <row r="169" spans="1:7" x14ac:dyDescent="0.2">
      <c r="A169" s="8" t="s">
        <v>20</v>
      </c>
      <c r="F169" s="80">
        <f>F168+F5</f>
        <v>126.49479166666667</v>
      </c>
    </row>
    <row r="170" spans="1:7" x14ac:dyDescent="0.2">
      <c r="A170" s="8" t="s">
        <v>200</v>
      </c>
      <c r="B170">
        <v>109</v>
      </c>
      <c r="C170">
        <v>5</v>
      </c>
      <c r="D170">
        <v>7.75</v>
      </c>
      <c r="F170" s="80">
        <f t="shared" si="17"/>
        <v>109.28229166666667</v>
      </c>
      <c r="G170" s="48">
        <f>F170-F168</f>
        <v>2.0833333333314386E-3</v>
      </c>
    </row>
    <row r="171" spans="1:7" x14ac:dyDescent="0.2">
      <c r="A171" s="8" t="s">
        <v>199</v>
      </c>
      <c r="F171" s="80">
        <f t="shared" si="17"/>
        <v>0</v>
      </c>
      <c r="G171" s="4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5817-ABDF-584A-A7B1-8E576446668F}">
  <dimension ref="A1:K157"/>
  <sheetViews>
    <sheetView workbookViewId="0">
      <pane xSplit="1" ySplit="2" topLeftCell="E3" activePane="bottomRight" state="frozen"/>
      <selection pane="topRight" activeCell="B1" sqref="B1"/>
      <selection pane="bottomLeft" activeCell="A3" sqref="A3"/>
      <selection pane="bottomRight" activeCell="J62" sqref="J62"/>
    </sheetView>
  </sheetViews>
  <sheetFormatPr baseColWidth="10" defaultRowHeight="16" x14ac:dyDescent="0.2"/>
  <cols>
    <col min="1" max="1" width="49.83203125" customWidth="1"/>
    <col min="7" max="7" width="10.83203125" style="2"/>
    <col min="10" max="10" width="15.33203125" bestFit="1" customWidth="1"/>
    <col min="11" max="11" width="18.5" bestFit="1" customWidth="1"/>
  </cols>
  <sheetData>
    <row r="1" spans="1:11" x14ac:dyDescent="0.2">
      <c r="A1" s="9" t="s">
        <v>315</v>
      </c>
      <c r="B1" s="9"/>
      <c r="C1" s="9"/>
      <c r="D1" s="9"/>
      <c r="E1" s="9"/>
      <c r="F1" s="10"/>
      <c r="H1" s="2"/>
    </row>
    <row r="2" spans="1:11" x14ac:dyDescent="0.2">
      <c r="A2" s="9"/>
      <c r="B2" s="12" t="s">
        <v>0</v>
      </c>
      <c r="C2" s="14" t="s">
        <v>1</v>
      </c>
      <c r="D2" s="14" t="s">
        <v>2</v>
      </c>
      <c r="E2" s="8"/>
      <c r="F2" s="15" t="s">
        <v>3</v>
      </c>
      <c r="G2" s="6" t="s">
        <v>5</v>
      </c>
      <c r="H2" s="5" t="s">
        <v>4</v>
      </c>
      <c r="J2" s="5" t="s">
        <v>449</v>
      </c>
      <c r="K2" s="5" t="s">
        <v>450</v>
      </c>
    </row>
    <row r="3" spans="1:11" x14ac:dyDescent="0.2">
      <c r="A3" s="5" t="s">
        <v>22</v>
      </c>
    </row>
    <row r="4" spans="1:11" x14ac:dyDescent="0.2">
      <c r="A4" t="s">
        <v>316</v>
      </c>
      <c r="C4">
        <v>10</v>
      </c>
      <c r="D4">
        <v>6</v>
      </c>
      <c r="F4" s="1">
        <f t="shared" ref="F4:F21" si="0">B4+C4/20+D4/240</f>
        <v>0.52500000000000002</v>
      </c>
      <c r="J4" s="1">
        <f>F4</f>
        <v>0.52500000000000002</v>
      </c>
      <c r="K4" s="1">
        <f>J4</f>
        <v>0.52500000000000002</v>
      </c>
    </row>
    <row r="5" spans="1:11" x14ac:dyDescent="0.2">
      <c r="A5" t="s">
        <v>317</v>
      </c>
      <c r="C5">
        <v>1</v>
      </c>
      <c r="D5">
        <v>8</v>
      </c>
      <c r="F5" s="1">
        <f t="shared" si="0"/>
        <v>8.3333333333333343E-2</v>
      </c>
      <c r="J5" s="1">
        <f t="shared" ref="J5:J13" si="1">F5</f>
        <v>8.3333333333333343E-2</v>
      </c>
      <c r="K5" s="1">
        <f t="shared" ref="K5:K13" si="2">J5</f>
        <v>8.3333333333333343E-2</v>
      </c>
    </row>
    <row r="6" spans="1:11" x14ac:dyDescent="0.2">
      <c r="A6" t="s">
        <v>318</v>
      </c>
      <c r="C6">
        <v>1</v>
      </c>
      <c r="D6">
        <v>9</v>
      </c>
      <c r="F6" s="1">
        <f t="shared" si="0"/>
        <v>8.7499999999999994E-2</v>
      </c>
      <c r="J6" s="1">
        <f t="shared" si="1"/>
        <v>8.7499999999999994E-2</v>
      </c>
      <c r="K6" s="1">
        <f t="shared" si="2"/>
        <v>8.7499999999999994E-2</v>
      </c>
    </row>
    <row r="7" spans="1:11" x14ac:dyDescent="0.2">
      <c r="A7" t="s">
        <v>319</v>
      </c>
      <c r="D7">
        <v>6</v>
      </c>
      <c r="F7" s="1">
        <f t="shared" si="0"/>
        <v>2.5000000000000001E-2</v>
      </c>
      <c r="J7" s="1">
        <f t="shared" si="1"/>
        <v>2.5000000000000001E-2</v>
      </c>
      <c r="K7" s="1">
        <f t="shared" si="2"/>
        <v>2.5000000000000001E-2</v>
      </c>
    </row>
    <row r="8" spans="1:11" x14ac:dyDescent="0.2">
      <c r="A8" t="s">
        <v>320</v>
      </c>
      <c r="D8">
        <v>6.5</v>
      </c>
      <c r="F8" s="1">
        <f t="shared" si="0"/>
        <v>2.7083333333333334E-2</v>
      </c>
      <c r="J8" s="1">
        <f t="shared" si="1"/>
        <v>2.7083333333333334E-2</v>
      </c>
      <c r="K8" s="1">
        <f t="shared" si="2"/>
        <v>2.7083333333333334E-2</v>
      </c>
    </row>
    <row r="9" spans="1:11" x14ac:dyDescent="0.2">
      <c r="A9" t="s">
        <v>321</v>
      </c>
      <c r="D9">
        <v>7</v>
      </c>
      <c r="F9" s="1">
        <f t="shared" si="0"/>
        <v>2.9166666666666667E-2</v>
      </c>
      <c r="J9" s="1">
        <f t="shared" si="1"/>
        <v>2.9166666666666667E-2</v>
      </c>
      <c r="K9" s="1">
        <f t="shared" si="2"/>
        <v>2.9166666666666667E-2</v>
      </c>
    </row>
    <row r="10" spans="1:11" x14ac:dyDescent="0.2">
      <c r="A10" t="s">
        <v>322</v>
      </c>
      <c r="D10">
        <v>6</v>
      </c>
      <c r="F10" s="1">
        <f t="shared" si="0"/>
        <v>2.5000000000000001E-2</v>
      </c>
      <c r="J10" s="1">
        <f t="shared" si="1"/>
        <v>2.5000000000000001E-2</v>
      </c>
      <c r="K10" s="1">
        <f t="shared" si="2"/>
        <v>2.5000000000000001E-2</v>
      </c>
    </row>
    <row r="11" spans="1:11" x14ac:dyDescent="0.2">
      <c r="A11" t="s">
        <v>323</v>
      </c>
      <c r="D11">
        <v>3.5</v>
      </c>
      <c r="F11" s="1">
        <f t="shared" si="0"/>
        <v>1.4583333333333334E-2</v>
      </c>
      <c r="J11" s="1">
        <f t="shared" si="1"/>
        <v>1.4583333333333334E-2</v>
      </c>
      <c r="K11" s="1">
        <f t="shared" si="2"/>
        <v>1.4583333333333334E-2</v>
      </c>
    </row>
    <row r="12" spans="1:11" x14ac:dyDescent="0.2">
      <c r="A12" t="s">
        <v>324</v>
      </c>
      <c r="C12">
        <v>9</v>
      </c>
      <c r="F12" s="1">
        <f t="shared" si="0"/>
        <v>0.45</v>
      </c>
      <c r="J12" s="1">
        <f t="shared" si="1"/>
        <v>0.45</v>
      </c>
      <c r="K12" s="1">
        <f t="shared" si="2"/>
        <v>0.45</v>
      </c>
    </row>
    <row r="13" spans="1:11" x14ac:dyDescent="0.2">
      <c r="A13" t="s">
        <v>325</v>
      </c>
      <c r="D13">
        <v>11</v>
      </c>
      <c r="F13" s="1">
        <f t="shared" si="0"/>
        <v>4.583333333333333E-2</v>
      </c>
      <c r="J13" s="1">
        <f t="shared" si="1"/>
        <v>4.583333333333333E-2</v>
      </c>
      <c r="K13" s="1">
        <f t="shared" si="2"/>
        <v>4.583333333333333E-2</v>
      </c>
    </row>
    <row r="14" spans="1:11" x14ac:dyDescent="0.2">
      <c r="A14" t="s">
        <v>326</v>
      </c>
      <c r="C14">
        <v>6</v>
      </c>
      <c r="D14">
        <v>8</v>
      </c>
      <c r="F14" s="1">
        <f t="shared" si="0"/>
        <v>0.33333333333333331</v>
      </c>
    </row>
    <row r="15" spans="1:11" x14ac:dyDescent="0.2">
      <c r="A15" t="s">
        <v>327</v>
      </c>
      <c r="C15">
        <v>9</v>
      </c>
      <c r="F15" s="1">
        <f t="shared" si="0"/>
        <v>0.45</v>
      </c>
    </row>
    <row r="16" spans="1:11" x14ac:dyDescent="0.2">
      <c r="A16" t="s">
        <v>328</v>
      </c>
      <c r="B16">
        <v>1</v>
      </c>
      <c r="C16">
        <v>2</v>
      </c>
      <c r="D16">
        <v>8</v>
      </c>
      <c r="F16" s="1">
        <f t="shared" si="0"/>
        <v>1.1333333333333335</v>
      </c>
    </row>
    <row r="17" spans="1:11" x14ac:dyDescent="0.2">
      <c r="A17" t="s">
        <v>329</v>
      </c>
      <c r="C17">
        <v>6</v>
      </c>
      <c r="D17">
        <v>3</v>
      </c>
      <c r="F17" s="1">
        <f t="shared" si="0"/>
        <v>0.3125</v>
      </c>
    </row>
    <row r="18" spans="1:11" x14ac:dyDescent="0.2">
      <c r="A18" t="s">
        <v>330</v>
      </c>
      <c r="B18">
        <v>1</v>
      </c>
      <c r="C18">
        <v>4</v>
      </c>
      <c r="D18">
        <v>8.5</v>
      </c>
      <c r="F18" s="1">
        <f t="shared" si="0"/>
        <v>1.2354166666666666</v>
      </c>
    </row>
    <row r="19" spans="1:11" x14ac:dyDescent="0.2">
      <c r="A19" t="s">
        <v>331</v>
      </c>
      <c r="B19">
        <v>1</v>
      </c>
      <c r="C19">
        <v>6</v>
      </c>
      <c r="D19">
        <v>1.5</v>
      </c>
      <c r="F19" s="1">
        <f t="shared" si="0"/>
        <v>1.3062500000000001</v>
      </c>
    </row>
    <row r="20" spans="1:11" x14ac:dyDescent="0.2">
      <c r="A20" t="s">
        <v>332</v>
      </c>
      <c r="C20">
        <v>1</v>
      </c>
      <c r="D20">
        <v>8</v>
      </c>
      <c r="F20" s="1">
        <f t="shared" si="0"/>
        <v>8.3333333333333343E-2</v>
      </c>
    </row>
    <row r="21" spans="1:11" x14ac:dyDescent="0.2">
      <c r="A21" t="s">
        <v>333</v>
      </c>
      <c r="C21">
        <v>1</v>
      </c>
      <c r="D21">
        <v>10.5</v>
      </c>
      <c r="F21" s="1">
        <f t="shared" si="0"/>
        <v>9.375E-2</v>
      </c>
    </row>
    <row r="22" spans="1:11" x14ac:dyDescent="0.2">
      <c r="A22" s="5" t="s">
        <v>8</v>
      </c>
      <c r="B22">
        <v>6</v>
      </c>
      <c r="C22">
        <v>5</v>
      </c>
      <c r="D22">
        <v>2.5</v>
      </c>
      <c r="F22" s="7">
        <f t="shared" ref="F22:F23" si="3">B22+C22/20+D22/240</f>
        <v>6.260416666666667</v>
      </c>
    </row>
    <row r="23" spans="1:11" x14ac:dyDescent="0.2">
      <c r="A23" s="5" t="s">
        <v>211</v>
      </c>
      <c r="B23">
        <f>SUM(B3:B21)</f>
        <v>3</v>
      </c>
      <c r="C23">
        <f t="shared" ref="C23:D23" si="4">SUM(C3:C21)</f>
        <v>56</v>
      </c>
      <c r="D23">
        <f t="shared" si="4"/>
        <v>110.5</v>
      </c>
      <c r="F23" s="7">
        <f t="shared" si="3"/>
        <v>6.2604166666666661</v>
      </c>
      <c r="G23" s="48">
        <f>F23-F22</f>
        <v>0</v>
      </c>
    </row>
    <row r="25" spans="1:11" x14ac:dyDescent="0.2">
      <c r="A25" s="5" t="s">
        <v>23</v>
      </c>
    </row>
    <row r="26" spans="1:11" x14ac:dyDescent="0.2">
      <c r="A26" s="78" t="s">
        <v>258</v>
      </c>
      <c r="F26" s="1">
        <f t="shared" ref="F26:F28" si="5">B26+C26/20+D26/240</f>
        <v>0</v>
      </c>
    </row>
    <row r="27" spans="1:11" x14ac:dyDescent="0.2">
      <c r="A27" s="5" t="s">
        <v>8</v>
      </c>
      <c r="F27" s="7">
        <f t="shared" si="5"/>
        <v>0</v>
      </c>
    </row>
    <row r="28" spans="1:11" x14ac:dyDescent="0.2">
      <c r="A28" s="5" t="s">
        <v>212</v>
      </c>
      <c r="B28">
        <f>SUM(B26)</f>
        <v>0</v>
      </c>
      <c r="C28">
        <f t="shared" ref="C28:D28" si="6">SUM(C26)</f>
        <v>0</v>
      </c>
      <c r="D28">
        <f t="shared" si="6"/>
        <v>0</v>
      </c>
      <c r="F28" s="7">
        <f t="shared" si="5"/>
        <v>0</v>
      </c>
      <c r="G28" s="48">
        <f>F28-F27</f>
        <v>0</v>
      </c>
    </row>
    <row r="30" spans="1:11" x14ac:dyDescent="0.2">
      <c r="A30" s="5" t="s">
        <v>24</v>
      </c>
    </row>
    <row r="31" spans="1:11" x14ac:dyDescent="0.2">
      <c r="A31" t="s">
        <v>334</v>
      </c>
      <c r="C31">
        <v>2</v>
      </c>
      <c r="F31" s="1">
        <f t="shared" ref="F31:F44" si="7">B31+C31/20+D31/240</f>
        <v>0.1</v>
      </c>
      <c r="J31" s="1">
        <f>F31</f>
        <v>0.1</v>
      </c>
      <c r="K31" s="1">
        <f>J31</f>
        <v>0.1</v>
      </c>
    </row>
    <row r="32" spans="1:11" x14ac:dyDescent="0.2">
      <c r="A32" t="s">
        <v>335</v>
      </c>
      <c r="C32">
        <v>3</v>
      </c>
      <c r="D32">
        <v>4</v>
      </c>
      <c r="F32" s="1">
        <f t="shared" si="7"/>
        <v>0.16666666666666666</v>
      </c>
      <c r="J32" s="1">
        <f t="shared" ref="J32:J41" si="8">F32</f>
        <v>0.16666666666666666</v>
      </c>
      <c r="K32" s="1">
        <f t="shared" ref="K32:K41" si="9">J32</f>
        <v>0.16666666666666666</v>
      </c>
    </row>
    <row r="33" spans="1:11" x14ac:dyDescent="0.2">
      <c r="A33" t="s">
        <v>336</v>
      </c>
      <c r="D33">
        <v>3</v>
      </c>
      <c r="F33" s="1">
        <f t="shared" si="7"/>
        <v>1.2500000000000001E-2</v>
      </c>
      <c r="J33" s="1">
        <f t="shared" si="8"/>
        <v>1.2500000000000001E-2</v>
      </c>
      <c r="K33" s="1">
        <f t="shared" si="9"/>
        <v>1.2500000000000001E-2</v>
      </c>
    </row>
    <row r="34" spans="1:11" x14ac:dyDescent="0.2">
      <c r="A34" t="s">
        <v>337</v>
      </c>
      <c r="C34">
        <v>1</v>
      </c>
      <c r="D34">
        <v>0.5</v>
      </c>
      <c r="F34" s="1">
        <f t="shared" si="7"/>
        <v>5.2083333333333336E-2</v>
      </c>
      <c r="J34" s="1">
        <f t="shared" si="8"/>
        <v>5.2083333333333336E-2</v>
      </c>
      <c r="K34" s="1">
        <f t="shared" si="9"/>
        <v>5.2083333333333336E-2</v>
      </c>
    </row>
    <row r="35" spans="1:11" x14ac:dyDescent="0.2">
      <c r="A35" t="s">
        <v>338</v>
      </c>
      <c r="D35">
        <v>6</v>
      </c>
      <c r="F35" s="1">
        <f t="shared" si="7"/>
        <v>2.5000000000000001E-2</v>
      </c>
      <c r="J35" s="1">
        <f t="shared" si="8"/>
        <v>2.5000000000000001E-2</v>
      </c>
      <c r="K35" s="1">
        <f t="shared" si="9"/>
        <v>2.5000000000000001E-2</v>
      </c>
    </row>
    <row r="36" spans="1:11" x14ac:dyDescent="0.2">
      <c r="A36" t="s">
        <v>339</v>
      </c>
      <c r="D36">
        <v>9</v>
      </c>
      <c r="F36" s="1">
        <f t="shared" si="7"/>
        <v>3.7499999999999999E-2</v>
      </c>
      <c r="J36" s="1">
        <f t="shared" si="8"/>
        <v>3.7499999999999999E-2</v>
      </c>
      <c r="K36" s="1">
        <f t="shared" si="9"/>
        <v>3.7499999999999999E-2</v>
      </c>
    </row>
    <row r="37" spans="1:11" x14ac:dyDescent="0.2">
      <c r="A37" t="s">
        <v>340</v>
      </c>
      <c r="D37">
        <v>4</v>
      </c>
      <c r="F37" s="1">
        <f t="shared" si="7"/>
        <v>1.6666666666666666E-2</v>
      </c>
      <c r="J37" s="1">
        <f t="shared" si="8"/>
        <v>1.6666666666666666E-2</v>
      </c>
      <c r="K37" s="1">
        <f t="shared" si="9"/>
        <v>1.6666666666666666E-2</v>
      </c>
    </row>
    <row r="38" spans="1:11" x14ac:dyDescent="0.2">
      <c r="A38" t="s">
        <v>341</v>
      </c>
      <c r="C38">
        <v>1</v>
      </c>
      <c r="F38" s="1">
        <f t="shared" si="7"/>
        <v>0.05</v>
      </c>
      <c r="J38" s="1">
        <f t="shared" si="8"/>
        <v>0.05</v>
      </c>
      <c r="K38" s="1">
        <f t="shared" si="9"/>
        <v>0.05</v>
      </c>
    </row>
    <row r="39" spans="1:11" x14ac:dyDescent="0.2">
      <c r="A39" t="s">
        <v>342</v>
      </c>
      <c r="D39">
        <v>0.5</v>
      </c>
      <c r="F39" s="1">
        <f t="shared" si="7"/>
        <v>2.0833333333333333E-3</v>
      </c>
      <c r="J39" s="1">
        <f t="shared" si="8"/>
        <v>2.0833333333333333E-3</v>
      </c>
      <c r="K39" s="1">
        <f t="shared" si="9"/>
        <v>2.0833333333333333E-3</v>
      </c>
    </row>
    <row r="40" spans="1:11" x14ac:dyDescent="0.2">
      <c r="A40" t="s">
        <v>343</v>
      </c>
      <c r="D40">
        <v>9</v>
      </c>
      <c r="F40" s="1">
        <f t="shared" si="7"/>
        <v>3.7499999999999999E-2</v>
      </c>
      <c r="J40" s="1">
        <f t="shared" si="8"/>
        <v>3.7499999999999999E-2</v>
      </c>
      <c r="K40" s="1">
        <f t="shared" si="9"/>
        <v>3.7499999999999999E-2</v>
      </c>
    </row>
    <row r="41" spans="1:11" x14ac:dyDescent="0.2">
      <c r="A41" t="s">
        <v>344</v>
      </c>
      <c r="C41">
        <v>2</v>
      </c>
      <c r="D41">
        <v>6</v>
      </c>
      <c r="F41" s="1">
        <f t="shared" si="7"/>
        <v>0.125</v>
      </c>
      <c r="J41" s="1">
        <f t="shared" si="8"/>
        <v>0.125</v>
      </c>
      <c r="K41" s="1">
        <f t="shared" si="9"/>
        <v>0.125</v>
      </c>
    </row>
    <row r="42" spans="1:11" x14ac:dyDescent="0.2">
      <c r="A42" t="s">
        <v>345</v>
      </c>
      <c r="B42">
        <v>1</v>
      </c>
      <c r="F42" s="1">
        <f t="shared" si="7"/>
        <v>1</v>
      </c>
      <c r="J42" s="1"/>
    </row>
    <row r="43" spans="1:11" x14ac:dyDescent="0.2">
      <c r="A43" t="s">
        <v>346</v>
      </c>
      <c r="C43">
        <v>3</v>
      </c>
      <c r="F43" s="1">
        <f t="shared" si="7"/>
        <v>0.15</v>
      </c>
    </row>
    <row r="44" spans="1:11" x14ac:dyDescent="0.2">
      <c r="A44" s="5" t="s">
        <v>8</v>
      </c>
      <c r="B44">
        <v>1</v>
      </c>
      <c r="C44">
        <v>15</v>
      </c>
      <c r="D44">
        <v>10</v>
      </c>
      <c r="F44" s="7">
        <f t="shared" si="7"/>
        <v>1.7916666666666667</v>
      </c>
    </row>
    <row r="45" spans="1:11" x14ac:dyDescent="0.2">
      <c r="A45" s="5" t="s">
        <v>213</v>
      </c>
      <c r="B45">
        <f>SUM(B31:B43)</f>
        <v>1</v>
      </c>
      <c r="C45">
        <f>SUM(C31:C43)</f>
        <v>12</v>
      </c>
      <c r="D45">
        <f>SUM(D31:D43)</f>
        <v>42</v>
      </c>
      <c r="F45" s="7">
        <f t="shared" ref="F45" si="10">B45+C45/20+D45/240</f>
        <v>1.7750000000000001</v>
      </c>
      <c r="G45" s="48">
        <f>F45-F44</f>
        <v>-1.6666666666666607E-2</v>
      </c>
    </row>
    <row r="46" spans="1:11" x14ac:dyDescent="0.2">
      <c r="A46" s="5"/>
      <c r="F46" s="7"/>
      <c r="G46" s="48"/>
    </row>
    <row r="48" spans="1:11" x14ac:dyDescent="0.2">
      <c r="A48" s="5" t="s">
        <v>25</v>
      </c>
    </row>
    <row r="49" spans="1:11" x14ac:dyDescent="0.2">
      <c r="A49" t="s">
        <v>365</v>
      </c>
      <c r="C49">
        <v>3</v>
      </c>
      <c r="D49">
        <v>6</v>
      </c>
      <c r="F49" s="1">
        <f t="shared" ref="F49:F58" si="11">B49+C49/20+D49/240</f>
        <v>0.17499999999999999</v>
      </c>
      <c r="J49" s="1">
        <f>F49</f>
        <v>0.17499999999999999</v>
      </c>
      <c r="K49" s="1">
        <f>J49</f>
        <v>0.17499999999999999</v>
      </c>
    </row>
    <row r="50" spans="1:11" x14ac:dyDescent="0.2">
      <c r="A50" t="s">
        <v>366</v>
      </c>
      <c r="D50">
        <v>8</v>
      </c>
      <c r="F50" s="1">
        <f t="shared" si="11"/>
        <v>3.3333333333333333E-2</v>
      </c>
      <c r="J50" s="1">
        <f t="shared" ref="J50:J53" si="12">F50</f>
        <v>3.3333333333333333E-2</v>
      </c>
      <c r="K50" s="1">
        <f t="shared" ref="K50:K53" si="13">J50</f>
        <v>3.3333333333333333E-2</v>
      </c>
    </row>
    <row r="51" spans="1:11" x14ac:dyDescent="0.2">
      <c r="A51" t="s">
        <v>367</v>
      </c>
      <c r="D51">
        <v>6</v>
      </c>
      <c r="F51" s="1">
        <f t="shared" si="11"/>
        <v>2.5000000000000001E-2</v>
      </c>
      <c r="J51" s="1">
        <f t="shared" si="12"/>
        <v>2.5000000000000001E-2</v>
      </c>
      <c r="K51" s="1">
        <f t="shared" si="13"/>
        <v>2.5000000000000001E-2</v>
      </c>
    </row>
    <row r="52" spans="1:11" x14ac:dyDescent="0.2">
      <c r="A52" t="s">
        <v>368</v>
      </c>
      <c r="D52">
        <v>6</v>
      </c>
      <c r="F52" s="1">
        <f t="shared" si="11"/>
        <v>2.5000000000000001E-2</v>
      </c>
      <c r="J52" s="1">
        <f t="shared" si="12"/>
        <v>2.5000000000000001E-2</v>
      </c>
      <c r="K52" s="1">
        <f t="shared" si="13"/>
        <v>2.5000000000000001E-2</v>
      </c>
    </row>
    <row r="53" spans="1:11" x14ac:dyDescent="0.2">
      <c r="A53" t="s">
        <v>369</v>
      </c>
      <c r="D53">
        <v>4</v>
      </c>
      <c r="F53" s="1">
        <f t="shared" si="11"/>
        <v>1.6666666666666666E-2</v>
      </c>
      <c r="J53" s="1">
        <f t="shared" si="12"/>
        <v>1.6666666666666666E-2</v>
      </c>
      <c r="K53" s="1">
        <f t="shared" si="13"/>
        <v>1.6666666666666666E-2</v>
      </c>
    </row>
    <row r="54" spans="1:11" x14ac:dyDescent="0.2">
      <c r="A54" t="s">
        <v>370</v>
      </c>
      <c r="C54">
        <v>2</v>
      </c>
      <c r="F54" s="1">
        <f t="shared" si="11"/>
        <v>0.1</v>
      </c>
    </row>
    <row r="55" spans="1:11" x14ac:dyDescent="0.2">
      <c r="A55" t="s">
        <v>371</v>
      </c>
      <c r="C55">
        <v>2</v>
      </c>
      <c r="F55" s="1">
        <f t="shared" si="11"/>
        <v>0.1</v>
      </c>
    </row>
    <row r="56" spans="1:11" x14ac:dyDescent="0.2">
      <c r="A56" t="s">
        <v>372</v>
      </c>
      <c r="C56">
        <v>1</v>
      </c>
      <c r="D56">
        <v>5</v>
      </c>
      <c r="F56" s="1">
        <f t="shared" si="11"/>
        <v>7.0833333333333331E-2</v>
      </c>
      <c r="J56" s="1">
        <f>F56</f>
        <v>7.0833333333333331E-2</v>
      </c>
      <c r="K56" s="1">
        <f>J56</f>
        <v>7.0833333333333331E-2</v>
      </c>
    </row>
    <row r="57" spans="1:11" x14ac:dyDescent="0.2">
      <c r="A57" s="5" t="s">
        <v>8</v>
      </c>
      <c r="C57">
        <v>11</v>
      </c>
      <c r="D57">
        <v>2</v>
      </c>
      <c r="F57" s="7">
        <f t="shared" si="11"/>
        <v>0.55833333333333335</v>
      </c>
    </row>
    <row r="58" spans="1:11" x14ac:dyDescent="0.2">
      <c r="A58" s="5" t="s">
        <v>214</v>
      </c>
      <c r="B58">
        <f>SUM(B49:B56)</f>
        <v>0</v>
      </c>
      <c r="C58">
        <f>SUM(C49:C56)</f>
        <v>8</v>
      </c>
      <c r="D58">
        <f>SUM(D49:D56)</f>
        <v>35</v>
      </c>
      <c r="F58" s="7">
        <f t="shared" si="11"/>
        <v>0.54583333333333339</v>
      </c>
      <c r="G58" s="48">
        <f>F58-F57</f>
        <v>-1.2499999999999956E-2</v>
      </c>
    </row>
    <row r="59" spans="1:11" x14ac:dyDescent="0.2">
      <c r="A59" s="5"/>
      <c r="F59" s="7"/>
      <c r="G59" s="48"/>
    </row>
    <row r="61" spans="1:11" x14ac:dyDescent="0.2">
      <c r="A61" s="5" t="s">
        <v>390</v>
      </c>
      <c r="F61" s="1"/>
    </row>
    <row r="62" spans="1:11" x14ac:dyDescent="0.2">
      <c r="A62" t="s">
        <v>392</v>
      </c>
      <c r="D62">
        <v>6</v>
      </c>
      <c r="F62" s="1">
        <f t="shared" ref="F62:F64" si="14">B62+C62/20+D62/240</f>
        <v>2.5000000000000001E-2</v>
      </c>
      <c r="J62" s="48" t="s">
        <v>459</v>
      </c>
      <c r="K62" s="1"/>
    </row>
    <row r="63" spans="1:11" x14ac:dyDescent="0.2">
      <c r="A63" t="s">
        <v>393</v>
      </c>
      <c r="D63">
        <v>4</v>
      </c>
      <c r="F63" s="1">
        <f t="shared" si="14"/>
        <v>1.6666666666666666E-2</v>
      </c>
      <c r="J63" s="1"/>
      <c r="K63" s="1"/>
    </row>
    <row r="64" spans="1:11" x14ac:dyDescent="0.2">
      <c r="A64" t="s">
        <v>394</v>
      </c>
      <c r="D64">
        <v>3.5</v>
      </c>
      <c r="F64" s="1">
        <f t="shared" si="14"/>
        <v>1.4583333333333334E-2</v>
      </c>
      <c r="J64" s="1"/>
      <c r="K64" s="1"/>
    </row>
    <row r="65" spans="1:11" x14ac:dyDescent="0.2">
      <c r="A65" t="s">
        <v>395</v>
      </c>
      <c r="D65">
        <v>10</v>
      </c>
      <c r="F65" s="1">
        <f t="shared" ref="F65:F72" si="15">B65+C65/20+D65/240</f>
        <v>4.1666666666666664E-2</v>
      </c>
      <c r="J65" s="1"/>
      <c r="K65" s="1"/>
    </row>
    <row r="66" spans="1:11" x14ac:dyDescent="0.2">
      <c r="A66" t="s">
        <v>396</v>
      </c>
      <c r="C66">
        <v>3</v>
      </c>
      <c r="F66" s="1">
        <f t="shared" si="15"/>
        <v>0.15</v>
      </c>
      <c r="J66" s="1"/>
      <c r="K66" s="1"/>
    </row>
    <row r="67" spans="1:11" x14ac:dyDescent="0.2">
      <c r="A67" t="s">
        <v>397</v>
      </c>
      <c r="C67">
        <v>1</v>
      </c>
      <c r="D67">
        <v>4</v>
      </c>
      <c r="F67" s="1">
        <f t="shared" si="15"/>
        <v>6.6666666666666666E-2</v>
      </c>
      <c r="J67" s="1"/>
      <c r="K67" s="1"/>
    </row>
    <row r="68" spans="1:11" x14ac:dyDescent="0.2">
      <c r="A68" t="s">
        <v>398</v>
      </c>
      <c r="C68">
        <v>1</v>
      </c>
      <c r="D68">
        <v>3</v>
      </c>
      <c r="F68" s="1">
        <f t="shared" si="15"/>
        <v>6.25E-2</v>
      </c>
      <c r="J68" s="1"/>
      <c r="K68" s="1"/>
    </row>
    <row r="69" spans="1:11" x14ac:dyDescent="0.2">
      <c r="A69" t="s">
        <v>399</v>
      </c>
      <c r="D69">
        <v>6</v>
      </c>
      <c r="F69" s="1">
        <f t="shared" si="15"/>
        <v>2.5000000000000001E-2</v>
      </c>
      <c r="J69" s="1"/>
      <c r="K69" s="1"/>
    </row>
    <row r="70" spans="1:11" x14ac:dyDescent="0.2">
      <c r="A70" t="s">
        <v>400</v>
      </c>
      <c r="C70">
        <v>3</v>
      </c>
      <c r="F70" s="1">
        <f t="shared" si="15"/>
        <v>0.15</v>
      </c>
    </row>
    <row r="71" spans="1:11" x14ac:dyDescent="0.2">
      <c r="A71" s="5" t="s">
        <v>8</v>
      </c>
      <c r="C71">
        <f>4+6</f>
        <v>10</v>
      </c>
      <c r="D71">
        <f>11.5+1</f>
        <v>12.5</v>
      </c>
      <c r="F71" s="7">
        <f t="shared" si="15"/>
        <v>0.55208333333333337</v>
      </c>
    </row>
    <row r="72" spans="1:11" x14ac:dyDescent="0.2">
      <c r="A72" s="5" t="s">
        <v>391</v>
      </c>
      <c r="B72">
        <f>SUM(B62:B70)</f>
        <v>0</v>
      </c>
      <c r="C72">
        <f>SUM(C62:C70)</f>
        <v>8</v>
      </c>
      <c r="D72">
        <f t="shared" ref="D72" si="16">SUM(D62:D70)</f>
        <v>36.5</v>
      </c>
      <c r="F72" s="7">
        <f t="shared" si="15"/>
        <v>0.55208333333333337</v>
      </c>
      <c r="G72" s="48">
        <f>F72-F71</f>
        <v>0</v>
      </c>
    </row>
    <row r="73" spans="1:11" x14ac:dyDescent="0.2">
      <c r="A73" s="5"/>
      <c r="F73" s="7"/>
      <c r="G73" s="48"/>
    </row>
    <row r="75" spans="1:11" x14ac:dyDescent="0.2">
      <c r="A75" s="5" t="s">
        <v>26</v>
      </c>
    </row>
    <row r="76" spans="1:11" x14ac:dyDescent="0.2">
      <c r="F76" s="1">
        <f t="shared" ref="F76:F80" si="17">B76+C76/20+D76/240</f>
        <v>0</v>
      </c>
    </row>
    <row r="77" spans="1:11" x14ac:dyDescent="0.2">
      <c r="F77" s="1">
        <f t="shared" si="17"/>
        <v>0</v>
      </c>
    </row>
    <row r="78" spans="1:11" x14ac:dyDescent="0.2">
      <c r="F78" s="1">
        <f t="shared" si="17"/>
        <v>0</v>
      </c>
    </row>
    <row r="79" spans="1:11" x14ac:dyDescent="0.2">
      <c r="A79" s="5" t="s">
        <v>8</v>
      </c>
      <c r="F79" s="7">
        <f t="shared" si="17"/>
        <v>0</v>
      </c>
    </row>
    <row r="80" spans="1:11" x14ac:dyDescent="0.2">
      <c r="A80" s="5" t="s">
        <v>215</v>
      </c>
      <c r="B80">
        <f>SUM(B76:B78)</f>
        <v>0</v>
      </c>
      <c r="C80">
        <f t="shared" ref="C80:D80" si="18">SUM(C76:C78)</f>
        <v>0</v>
      </c>
      <c r="D80">
        <f t="shared" si="18"/>
        <v>0</v>
      </c>
      <c r="F80" s="7">
        <f t="shared" si="17"/>
        <v>0</v>
      </c>
      <c r="G80" s="48">
        <f>F80-F79</f>
        <v>0</v>
      </c>
    </row>
    <row r="82" spans="1:11" x14ac:dyDescent="0.2">
      <c r="A82" s="5" t="s">
        <v>373</v>
      </c>
    </row>
    <row r="83" spans="1:11" x14ac:dyDescent="0.2">
      <c r="A83" t="s">
        <v>359</v>
      </c>
      <c r="C83">
        <v>7</v>
      </c>
      <c r="D83">
        <v>3</v>
      </c>
      <c r="F83" s="1">
        <f t="shared" ref="F83:F102" si="19">B83+C83/20+D83/240</f>
        <v>0.36249999999999999</v>
      </c>
      <c r="J83" s="1">
        <f>F83</f>
        <v>0.36249999999999999</v>
      </c>
      <c r="K83" s="1">
        <f>J83</f>
        <v>0.36249999999999999</v>
      </c>
    </row>
    <row r="84" spans="1:11" x14ac:dyDescent="0.2">
      <c r="A84" t="s">
        <v>360</v>
      </c>
      <c r="C84">
        <v>1</v>
      </c>
      <c r="F84" s="1">
        <f t="shared" si="19"/>
        <v>0.05</v>
      </c>
      <c r="J84" s="1">
        <f t="shared" ref="J84:J90" si="20">F84</f>
        <v>0.05</v>
      </c>
      <c r="K84" s="1">
        <f t="shared" ref="K84:K99" si="21">J84</f>
        <v>0.05</v>
      </c>
    </row>
    <row r="85" spans="1:11" x14ac:dyDescent="0.2">
      <c r="A85" t="s">
        <v>374</v>
      </c>
      <c r="C85">
        <v>2</v>
      </c>
      <c r="D85">
        <v>6</v>
      </c>
      <c r="F85" s="1">
        <f t="shared" si="19"/>
        <v>0.125</v>
      </c>
      <c r="J85" s="1">
        <f t="shared" si="20"/>
        <v>0.125</v>
      </c>
      <c r="K85" s="1">
        <f t="shared" si="21"/>
        <v>0.125</v>
      </c>
    </row>
    <row r="86" spans="1:11" x14ac:dyDescent="0.2">
      <c r="A86" t="s">
        <v>375</v>
      </c>
      <c r="D86">
        <v>6</v>
      </c>
      <c r="F86" s="1">
        <f t="shared" si="19"/>
        <v>2.5000000000000001E-2</v>
      </c>
      <c r="J86" s="1">
        <f t="shared" si="20"/>
        <v>2.5000000000000001E-2</v>
      </c>
      <c r="K86" s="1">
        <f t="shared" si="21"/>
        <v>2.5000000000000001E-2</v>
      </c>
    </row>
    <row r="87" spans="1:11" x14ac:dyDescent="0.2">
      <c r="A87" t="s">
        <v>376</v>
      </c>
      <c r="C87">
        <v>3</v>
      </c>
      <c r="D87">
        <v>2</v>
      </c>
      <c r="F87" s="1">
        <f t="shared" si="19"/>
        <v>0.15833333333333333</v>
      </c>
      <c r="J87" s="1">
        <f t="shared" si="20"/>
        <v>0.15833333333333333</v>
      </c>
      <c r="K87" s="1">
        <f t="shared" si="21"/>
        <v>0.15833333333333333</v>
      </c>
    </row>
    <row r="88" spans="1:11" x14ac:dyDescent="0.2">
      <c r="A88" t="s">
        <v>388</v>
      </c>
      <c r="B88">
        <v>1</v>
      </c>
      <c r="C88">
        <v>16</v>
      </c>
      <c r="D88">
        <v>9</v>
      </c>
      <c r="F88" s="1">
        <f t="shared" si="19"/>
        <v>1.8375000000000001</v>
      </c>
      <c r="J88" s="1">
        <f t="shared" si="20"/>
        <v>1.8375000000000001</v>
      </c>
      <c r="K88" s="1">
        <f t="shared" si="21"/>
        <v>1.8375000000000001</v>
      </c>
    </row>
    <row r="89" spans="1:11" x14ac:dyDescent="0.2">
      <c r="A89" t="s">
        <v>377</v>
      </c>
      <c r="C89">
        <v>2</v>
      </c>
      <c r="F89" s="1">
        <f t="shared" si="19"/>
        <v>0.1</v>
      </c>
      <c r="J89" s="1">
        <f t="shared" si="20"/>
        <v>0.1</v>
      </c>
      <c r="K89" s="1">
        <f t="shared" si="21"/>
        <v>0.1</v>
      </c>
    </row>
    <row r="90" spans="1:11" x14ac:dyDescent="0.2">
      <c r="A90" t="s">
        <v>378</v>
      </c>
      <c r="C90">
        <v>1</v>
      </c>
      <c r="D90">
        <v>10</v>
      </c>
      <c r="F90" s="1">
        <f t="shared" si="19"/>
        <v>9.1666666666666674E-2</v>
      </c>
      <c r="J90" s="1">
        <f t="shared" si="20"/>
        <v>9.1666666666666674E-2</v>
      </c>
      <c r="K90" s="1">
        <f t="shared" si="21"/>
        <v>9.1666666666666674E-2</v>
      </c>
    </row>
    <row r="91" spans="1:11" x14ac:dyDescent="0.2">
      <c r="A91" t="s">
        <v>379</v>
      </c>
      <c r="B91">
        <v>1</v>
      </c>
      <c r="C91">
        <v>19</v>
      </c>
      <c r="F91" s="1">
        <f t="shared" si="19"/>
        <v>1.95</v>
      </c>
      <c r="K91" s="1"/>
    </row>
    <row r="92" spans="1:11" x14ac:dyDescent="0.2">
      <c r="A92" t="s">
        <v>380</v>
      </c>
      <c r="C92">
        <v>1</v>
      </c>
      <c r="F92" s="1">
        <f t="shared" si="19"/>
        <v>0.05</v>
      </c>
      <c r="K92" s="1"/>
    </row>
    <row r="93" spans="1:11" x14ac:dyDescent="0.2">
      <c r="A93" t="s">
        <v>381</v>
      </c>
      <c r="B93">
        <v>1</v>
      </c>
      <c r="D93">
        <v>6</v>
      </c>
      <c r="F93" s="1">
        <f t="shared" si="19"/>
        <v>1.0249999999999999</v>
      </c>
      <c r="J93" s="1">
        <f>F93</f>
        <v>1.0249999999999999</v>
      </c>
      <c r="K93" s="1">
        <f t="shared" si="21"/>
        <v>1.0249999999999999</v>
      </c>
    </row>
    <row r="94" spans="1:11" x14ac:dyDescent="0.2">
      <c r="A94" t="s">
        <v>382</v>
      </c>
      <c r="C94">
        <v>5</v>
      </c>
      <c r="D94">
        <v>2</v>
      </c>
      <c r="F94" s="1">
        <f t="shared" si="19"/>
        <v>0.25833333333333336</v>
      </c>
      <c r="J94" s="1">
        <f t="shared" ref="J94:J99" si="22">F94</f>
        <v>0.25833333333333336</v>
      </c>
      <c r="K94" s="1">
        <f t="shared" si="21"/>
        <v>0.25833333333333336</v>
      </c>
    </row>
    <row r="95" spans="1:11" x14ac:dyDescent="0.2">
      <c r="A95" t="s">
        <v>383</v>
      </c>
      <c r="C95">
        <v>3</v>
      </c>
      <c r="F95" s="1">
        <f t="shared" si="19"/>
        <v>0.15</v>
      </c>
      <c r="J95" s="1">
        <f t="shared" si="22"/>
        <v>0.15</v>
      </c>
      <c r="K95" s="1">
        <f t="shared" si="21"/>
        <v>0.15</v>
      </c>
    </row>
    <row r="96" spans="1:11" x14ac:dyDescent="0.2">
      <c r="A96" t="s">
        <v>389</v>
      </c>
      <c r="C96">
        <v>1</v>
      </c>
      <c r="D96">
        <v>8</v>
      </c>
      <c r="F96" s="1">
        <f t="shared" si="19"/>
        <v>8.3333333333333343E-2</v>
      </c>
      <c r="J96" s="1">
        <f t="shared" si="22"/>
        <v>8.3333333333333343E-2</v>
      </c>
      <c r="K96" s="1">
        <f t="shared" si="21"/>
        <v>8.3333333333333343E-2</v>
      </c>
    </row>
    <row r="97" spans="1:11" x14ac:dyDescent="0.2">
      <c r="A97" t="s">
        <v>384</v>
      </c>
      <c r="D97">
        <v>5</v>
      </c>
      <c r="F97" s="1">
        <f t="shared" si="19"/>
        <v>2.0833333333333332E-2</v>
      </c>
      <c r="J97" s="1">
        <f t="shared" si="22"/>
        <v>2.0833333333333332E-2</v>
      </c>
      <c r="K97" s="1">
        <f t="shared" si="21"/>
        <v>2.0833333333333332E-2</v>
      </c>
    </row>
    <row r="98" spans="1:11" x14ac:dyDescent="0.2">
      <c r="A98" t="s">
        <v>385</v>
      </c>
      <c r="C98">
        <v>5</v>
      </c>
      <c r="F98" s="1">
        <f t="shared" si="19"/>
        <v>0.25</v>
      </c>
      <c r="J98" s="1">
        <f t="shared" si="22"/>
        <v>0.25</v>
      </c>
      <c r="K98" s="1">
        <f t="shared" si="21"/>
        <v>0.25</v>
      </c>
    </row>
    <row r="99" spans="1:11" x14ac:dyDescent="0.2">
      <c r="A99" t="s">
        <v>386</v>
      </c>
      <c r="C99">
        <v>2</v>
      </c>
      <c r="D99">
        <v>7</v>
      </c>
      <c r="F99" s="1">
        <f t="shared" si="19"/>
        <v>0.12916666666666668</v>
      </c>
      <c r="J99" s="1">
        <f t="shared" si="22"/>
        <v>0.12916666666666668</v>
      </c>
      <c r="K99" s="1">
        <f t="shared" si="21"/>
        <v>0.12916666666666668</v>
      </c>
    </row>
    <row r="100" spans="1:11" x14ac:dyDescent="0.2">
      <c r="A100" t="s">
        <v>387</v>
      </c>
      <c r="C100">
        <v>12</v>
      </c>
      <c r="F100" s="1">
        <f t="shared" si="19"/>
        <v>0.6</v>
      </c>
    </row>
    <row r="101" spans="1:11" x14ac:dyDescent="0.2">
      <c r="A101" s="5" t="s">
        <v>8</v>
      </c>
      <c r="B101">
        <v>6</v>
      </c>
      <c r="C101">
        <f>17+8</f>
        <v>25</v>
      </c>
      <c r="D101">
        <v>1</v>
      </c>
      <c r="F101" s="7">
        <f t="shared" si="19"/>
        <v>7.2541666666666664</v>
      </c>
    </row>
    <row r="102" spans="1:11" x14ac:dyDescent="0.2">
      <c r="A102" s="5" t="s">
        <v>216</v>
      </c>
      <c r="B102">
        <f>SUM(B83:B100)</f>
        <v>3</v>
      </c>
      <c r="C102">
        <f t="shared" ref="C102" si="23">SUM(C83:C100)</f>
        <v>80</v>
      </c>
      <c r="D102">
        <f>SUM(D83:D101)</f>
        <v>65</v>
      </c>
      <c r="F102" s="7">
        <f t="shared" si="19"/>
        <v>7.270833333333333</v>
      </c>
      <c r="G102" s="48">
        <f>F102-F101</f>
        <v>1.6666666666666607E-2</v>
      </c>
    </row>
    <row r="103" spans="1:11" x14ac:dyDescent="0.2">
      <c r="A103" s="5"/>
      <c r="F103" s="7"/>
      <c r="G103" s="48"/>
    </row>
    <row r="105" spans="1:11" x14ac:dyDescent="0.2">
      <c r="A105" s="5" t="s">
        <v>27</v>
      </c>
    </row>
    <row r="106" spans="1:11" x14ac:dyDescent="0.2">
      <c r="A106" t="s">
        <v>347</v>
      </c>
      <c r="C106">
        <v>4</v>
      </c>
      <c r="D106">
        <v>9.5</v>
      </c>
      <c r="F106" s="1">
        <f t="shared" ref="F106:F120" si="24">B106+C106/20+D106/240</f>
        <v>0.23958333333333334</v>
      </c>
      <c r="J106" s="1">
        <f>F106</f>
        <v>0.23958333333333334</v>
      </c>
      <c r="K106" s="1"/>
    </row>
    <row r="107" spans="1:11" x14ac:dyDescent="0.2">
      <c r="A107" t="s">
        <v>348</v>
      </c>
      <c r="C107">
        <v>3</v>
      </c>
      <c r="D107">
        <v>9</v>
      </c>
      <c r="F107" s="1">
        <f t="shared" si="24"/>
        <v>0.1875</v>
      </c>
      <c r="J107" s="1">
        <f t="shared" ref="J107:J114" si="25">F107</f>
        <v>0.1875</v>
      </c>
      <c r="K107" s="1">
        <f>J107</f>
        <v>0.1875</v>
      </c>
    </row>
    <row r="108" spans="1:11" x14ac:dyDescent="0.2">
      <c r="A108" t="s">
        <v>349</v>
      </c>
      <c r="C108">
        <v>1</v>
      </c>
      <c r="D108">
        <v>6</v>
      </c>
      <c r="F108" s="1">
        <f t="shared" si="24"/>
        <v>7.5000000000000011E-2</v>
      </c>
      <c r="J108" s="1">
        <f t="shared" si="25"/>
        <v>7.5000000000000011E-2</v>
      </c>
      <c r="K108" s="1">
        <f t="shared" ref="K108:K117" si="26">J108</f>
        <v>7.5000000000000011E-2</v>
      </c>
    </row>
    <row r="109" spans="1:11" x14ac:dyDescent="0.2">
      <c r="A109" t="s">
        <v>350</v>
      </c>
      <c r="C109">
        <v>5</v>
      </c>
      <c r="D109">
        <v>10</v>
      </c>
      <c r="F109" s="1">
        <f t="shared" si="24"/>
        <v>0.29166666666666669</v>
      </c>
      <c r="J109" s="1">
        <f t="shared" si="25"/>
        <v>0.29166666666666669</v>
      </c>
      <c r="K109" s="1">
        <f t="shared" si="26"/>
        <v>0.29166666666666669</v>
      </c>
    </row>
    <row r="110" spans="1:11" x14ac:dyDescent="0.2">
      <c r="A110" t="s">
        <v>351</v>
      </c>
      <c r="C110">
        <v>1</v>
      </c>
      <c r="D110">
        <v>5</v>
      </c>
      <c r="F110" s="1">
        <f t="shared" si="24"/>
        <v>7.0833333333333331E-2</v>
      </c>
      <c r="J110" s="1">
        <f t="shared" si="25"/>
        <v>7.0833333333333331E-2</v>
      </c>
      <c r="K110" s="1">
        <f t="shared" si="26"/>
        <v>7.0833333333333331E-2</v>
      </c>
    </row>
    <row r="111" spans="1:11" x14ac:dyDescent="0.2">
      <c r="A111" t="s">
        <v>352</v>
      </c>
      <c r="C111">
        <v>4</v>
      </c>
      <c r="D111">
        <v>4</v>
      </c>
      <c r="F111" s="1">
        <f t="shared" si="24"/>
        <v>0.21666666666666667</v>
      </c>
      <c r="J111" s="1">
        <f t="shared" si="25"/>
        <v>0.21666666666666667</v>
      </c>
      <c r="K111" s="1">
        <f t="shared" si="26"/>
        <v>0.21666666666666667</v>
      </c>
    </row>
    <row r="112" spans="1:11" x14ac:dyDescent="0.2">
      <c r="A112" t="s">
        <v>353</v>
      </c>
      <c r="C112">
        <v>1</v>
      </c>
      <c r="D112">
        <v>7</v>
      </c>
      <c r="F112" s="1">
        <f t="shared" si="24"/>
        <v>7.9166666666666663E-2</v>
      </c>
      <c r="J112" s="1">
        <f t="shared" si="25"/>
        <v>7.9166666666666663E-2</v>
      </c>
      <c r="K112" s="1">
        <f t="shared" si="26"/>
        <v>7.9166666666666663E-2</v>
      </c>
    </row>
    <row r="113" spans="1:11" x14ac:dyDescent="0.2">
      <c r="A113" t="s">
        <v>358</v>
      </c>
      <c r="C113">
        <v>7</v>
      </c>
      <c r="D113">
        <v>8</v>
      </c>
      <c r="F113" s="1">
        <f t="shared" si="24"/>
        <v>0.3833333333333333</v>
      </c>
      <c r="J113" s="1"/>
      <c r="K113" s="1"/>
    </row>
    <row r="114" spans="1:11" x14ac:dyDescent="0.2">
      <c r="A114" t="s">
        <v>354</v>
      </c>
      <c r="D114">
        <v>2</v>
      </c>
      <c r="F114" s="1">
        <f t="shared" si="24"/>
        <v>8.3333333333333332E-3</v>
      </c>
      <c r="J114" s="1">
        <f t="shared" si="25"/>
        <v>8.3333333333333332E-3</v>
      </c>
      <c r="K114" s="1">
        <f t="shared" si="26"/>
        <v>8.3333333333333332E-3</v>
      </c>
    </row>
    <row r="115" spans="1:11" x14ac:dyDescent="0.2">
      <c r="A115" t="s">
        <v>355</v>
      </c>
      <c r="C115">
        <v>4</v>
      </c>
      <c r="D115">
        <v>6</v>
      </c>
      <c r="F115" s="1">
        <f t="shared" si="24"/>
        <v>0.22500000000000001</v>
      </c>
      <c r="K115" s="1"/>
    </row>
    <row r="116" spans="1:11" x14ac:dyDescent="0.2">
      <c r="A116" t="s">
        <v>356</v>
      </c>
      <c r="C116">
        <v>13</v>
      </c>
      <c r="D116">
        <v>6</v>
      </c>
      <c r="F116" s="1">
        <f t="shared" si="24"/>
        <v>0.67500000000000004</v>
      </c>
      <c r="J116" s="1">
        <f>F116</f>
        <v>0.67500000000000004</v>
      </c>
      <c r="K116" s="1">
        <f t="shared" si="26"/>
        <v>0.67500000000000004</v>
      </c>
    </row>
    <row r="117" spans="1:11" x14ac:dyDescent="0.2">
      <c r="A117" t="s">
        <v>357</v>
      </c>
      <c r="D117">
        <v>4</v>
      </c>
      <c r="F117" s="1">
        <f t="shared" si="24"/>
        <v>1.6666666666666666E-2</v>
      </c>
      <c r="J117" s="1">
        <f>F117</f>
        <v>1.6666666666666666E-2</v>
      </c>
      <c r="K117" s="1">
        <f t="shared" si="26"/>
        <v>1.6666666666666666E-2</v>
      </c>
    </row>
    <row r="118" spans="1:11" x14ac:dyDescent="0.2">
      <c r="A118" s="5" t="s">
        <v>8</v>
      </c>
      <c r="B118">
        <v>2</v>
      </c>
      <c r="C118">
        <v>9</v>
      </c>
      <c r="D118">
        <v>4.5</v>
      </c>
      <c r="F118" s="7">
        <f t="shared" si="24"/>
        <v>2.46875</v>
      </c>
    </row>
    <row r="119" spans="1:11" x14ac:dyDescent="0.2">
      <c r="A119" s="5" t="s">
        <v>217</v>
      </c>
      <c r="B119">
        <f>SUM(B106:B116)</f>
        <v>0</v>
      </c>
      <c r="C119">
        <f t="shared" ref="C119" si="27">SUM(C106:C116)</f>
        <v>43</v>
      </c>
      <c r="D119">
        <f>SUM(D106:D118)</f>
        <v>81</v>
      </c>
      <c r="F119" s="7">
        <f t="shared" si="24"/>
        <v>2.4874999999999998</v>
      </c>
      <c r="G119" s="48">
        <f>F119-F118</f>
        <v>1.8749999999999822E-2</v>
      </c>
    </row>
    <row r="120" spans="1:11" x14ac:dyDescent="0.2">
      <c r="A120" s="5" t="s">
        <v>171</v>
      </c>
      <c r="B120">
        <f>B106+B107+B108+B109+B110+B111+B114</f>
        <v>0</v>
      </c>
      <c r="C120">
        <f t="shared" ref="C120:D120" si="28">C106+C107+C108+C109+C110+C111+C114</f>
        <v>18</v>
      </c>
      <c r="D120">
        <f t="shared" si="28"/>
        <v>45.5</v>
      </c>
      <c r="F120" s="7">
        <f t="shared" si="24"/>
        <v>1.0895833333333333</v>
      </c>
      <c r="G120" s="48"/>
    </row>
    <row r="122" spans="1:11" x14ac:dyDescent="0.2">
      <c r="A122" s="5" t="s">
        <v>28</v>
      </c>
    </row>
    <row r="123" spans="1:11" x14ac:dyDescent="0.2">
      <c r="A123" t="s">
        <v>363</v>
      </c>
      <c r="C123">
        <v>8</v>
      </c>
      <c r="D123">
        <v>11.5</v>
      </c>
      <c r="F123" s="1">
        <f t="shared" ref="F123:F129" si="29">B123+C123/20+D123/240</f>
        <v>0.44791666666666669</v>
      </c>
    </row>
    <row r="124" spans="1:11" x14ac:dyDescent="0.2">
      <c r="A124" t="s">
        <v>363</v>
      </c>
      <c r="C124">
        <v>8</v>
      </c>
      <c r="D124">
        <v>9</v>
      </c>
      <c r="F124" s="1">
        <f t="shared" si="29"/>
        <v>0.4375</v>
      </c>
    </row>
    <row r="125" spans="1:11" x14ac:dyDescent="0.2">
      <c r="A125" t="s">
        <v>363</v>
      </c>
      <c r="C125">
        <v>6</v>
      </c>
      <c r="D125">
        <v>9.5</v>
      </c>
      <c r="F125" s="1">
        <f t="shared" si="29"/>
        <v>0.33958333333333335</v>
      </c>
    </row>
    <row r="126" spans="1:11" x14ac:dyDescent="0.2">
      <c r="A126" t="s">
        <v>363</v>
      </c>
      <c r="C126">
        <v>5</v>
      </c>
      <c r="D126">
        <v>4</v>
      </c>
      <c r="F126" s="1">
        <f t="shared" si="29"/>
        <v>0.26666666666666666</v>
      </c>
    </row>
    <row r="127" spans="1:11" x14ac:dyDescent="0.2">
      <c r="A127" t="s">
        <v>364</v>
      </c>
      <c r="D127">
        <v>4</v>
      </c>
      <c r="F127" s="1">
        <f t="shared" si="29"/>
        <v>1.6666666666666666E-2</v>
      </c>
    </row>
    <row r="128" spans="1:11" x14ac:dyDescent="0.2">
      <c r="A128" s="5" t="s">
        <v>8</v>
      </c>
      <c r="B128">
        <v>1</v>
      </c>
      <c r="C128">
        <v>10</v>
      </c>
      <c r="D128">
        <v>2</v>
      </c>
      <c r="F128" s="7">
        <f t="shared" si="29"/>
        <v>1.5083333333333333</v>
      </c>
    </row>
    <row r="129" spans="1:7" x14ac:dyDescent="0.2">
      <c r="A129" s="5" t="s">
        <v>218</v>
      </c>
      <c r="B129">
        <f>SUM(B123:B127)</f>
        <v>0</v>
      </c>
      <c r="C129">
        <f t="shared" ref="C129:D129" si="30">SUM(C123:C127)</f>
        <v>27</v>
      </c>
      <c r="D129">
        <f t="shared" si="30"/>
        <v>38</v>
      </c>
      <c r="F129" s="7">
        <f t="shared" si="29"/>
        <v>1.5083333333333333</v>
      </c>
      <c r="G129" s="48">
        <f>F129-F128</f>
        <v>0</v>
      </c>
    </row>
    <row r="131" spans="1:7" x14ac:dyDescent="0.2">
      <c r="A131" s="5" t="s">
        <v>29</v>
      </c>
    </row>
    <row r="132" spans="1:7" x14ac:dyDescent="0.2">
      <c r="A132" t="s">
        <v>361</v>
      </c>
      <c r="C132">
        <v>13</v>
      </c>
      <c r="D132">
        <v>4</v>
      </c>
      <c r="F132" s="1">
        <f t="shared" ref="F132:F138" si="31">B132+C132/20+D132/240</f>
        <v>0.66666666666666674</v>
      </c>
    </row>
    <row r="133" spans="1:7" x14ac:dyDescent="0.2">
      <c r="A133" t="s">
        <v>362</v>
      </c>
      <c r="C133">
        <v>11</v>
      </c>
      <c r="D133">
        <v>1.75</v>
      </c>
      <c r="F133" s="1">
        <f t="shared" si="31"/>
        <v>0.55729166666666674</v>
      </c>
    </row>
    <row r="134" spans="1:7" x14ac:dyDescent="0.2">
      <c r="F134" s="1">
        <f t="shared" si="31"/>
        <v>0</v>
      </c>
    </row>
    <row r="135" spans="1:7" x14ac:dyDescent="0.2">
      <c r="F135" s="1">
        <f t="shared" si="31"/>
        <v>0</v>
      </c>
    </row>
    <row r="136" spans="1:7" x14ac:dyDescent="0.2">
      <c r="F136" s="1">
        <f t="shared" si="31"/>
        <v>0</v>
      </c>
    </row>
    <row r="137" spans="1:7" x14ac:dyDescent="0.2">
      <c r="A137" s="5" t="s">
        <v>8</v>
      </c>
      <c r="B137">
        <v>1</v>
      </c>
      <c r="C137">
        <v>4</v>
      </c>
      <c r="D137">
        <v>5.75</v>
      </c>
      <c r="F137" s="7">
        <f t="shared" si="31"/>
        <v>1.2239583333333333</v>
      </c>
    </row>
    <row r="138" spans="1:7" x14ac:dyDescent="0.2">
      <c r="A138" s="5" t="s">
        <v>219</v>
      </c>
      <c r="B138">
        <f>SUM(B132:B136)</f>
        <v>0</v>
      </c>
      <c r="C138">
        <f t="shared" ref="C138:D138" si="32">SUM(C132:C136)</f>
        <v>24</v>
      </c>
      <c r="D138">
        <f t="shared" si="32"/>
        <v>5.75</v>
      </c>
      <c r="F138" s="7">
        <f t="shared" si="31"/>
        <v>1.2239583333333333</v>
      </c>
      <c r="G138" s="48">
        <f>F138-F137</f>
        <v>0</v>
      </c>
    </row>
    <row r="140" spans="1:7" x14ac:dyDescent="0.2">
      <c r="A140" s="5" t="s">
        <v>404</v>
      </c>
    </row>
    <row r="141" spans="1:7" x14ac:dyDescent="0.2">
      <c r="A141" t="s">
        <v>401</v>
      </c>
      <c r="C141">
        <v>7</v>
      </c>
      <c r="F141" s="1">
        <f t="shared" ref="F141:F154" si="33">B141+C141/20+D141/240</f>
        <v>0.35</v>
      </c>
    </row>
    <row r="142" spans="1:7" x14ac:dyDescent="0.2">
      <c r="A142" t="s">
        <v>402</v>
      </c>
      <c r="C142">
        <v>1</v>
      </c>
      <c r="D142">
        <v>5</v>
      </c>
      <c r="F142" s="1">
        <f t="shared" si="33"/>
        <v>7.0833333333333331E-2</v>
      </c>
    </row>
    <row r="143" spans="1:7" x14ac:dyDescent="0.2">
      <c r="A143" t="s">
        <v>403</v>
      </c>
      <c r="C143">
        <v>6</v>
      </c>
      <c r="F143" s="1">
        <f t="shared" si="33"/>
        <v>0.3</v>
      </c>
    </row>
    <row r="144" spans="1:7" x14ac:dyDescent="0.2">
      <c r="A144" t="s">
        <v>405</v>
      </c>
      <c r="B144">
        <v>1</v>
      </c>
      <c r="C144">
        <v>10</v>
      </c>
      <c r="F144" s="1"/>
    </row>
    <row r="145" spans="1:7" x14ac:dyDescent="0.2">
      <c r="A145" s="5" t="s">
        <v>8</v>
      </c>
      <c r="B145">
        <v>1</v>
      </c>
      <c r="C145">
        <f>14+10</f>
        <v>24</v>
      </c>
      <c r="D145">
        <v>5</v>
      </c>
      <c r="F145" s="7">
        <f t="shared" si="33"/>
        <v>2.2208333333333337</v>
      </c>
    </row>
    <row r="146" spans="1:7" x14ac:dyDescent="0.2">
      <c r="A146" s="5" t="s">
        <v>223</v>
      </c>
      <c r="B146">
        <f>SUM(B141:B144)</f>
        <v>1</v>
      </c>
      <c r="C146">
        <f t="shared" ref="C146:D146" si="34">SUM(C141:C144)</f>
        <v>24</v>
      </c>
      <c r="D146">
        <f t="shared" si="34"/>
        <v>5</v>
      </c>
      <c r="F146" s="7">
        <f t="shared" si="33"/>
        <v>2.2208333333333337</v>
      </c>
      <c r="G146" s="48">
        <f>F146-F145</f>
        <v>0</v>
      </c>
    </row>
    <row r="148" spans="1:7" x14ac:dyDescent="0.2">
      <c r="A148" s="29" t="s">
        <v>30</v>
      </c>
      <c r="B148" s="29">
        <v>25</v>
      </c>
      <c r="C148" s="29">
        <v>18</v>
      </c>
      <c r="D148" s="29">
        <v>6.25</v>
      </c>
      <c r="E148" s="29"/>
      <c r="F148" s="115">
        <f t="shared" si="33"/>
        <v>25.926041666666666</v>
      </c>
    </row>
    <row r="149" spans="1:7" x14ac:dyDescent="0.2">
      <c r="A149" s="29" t="s">
        <v>34</v>
      </c>
      <c r="B149" s="29"/>
      <c r="C149" s="29"/>
      <c r="D149" s="29"/>
      <c r="E149" s="29"/>
      <c r="F149" s="115">
        <f>F146+F138+F129+F119+F102+F80+F72+F58+F45+F28+F23</f>
        <v>23.844791666666666</v>
      </c>
      <c r="G149" s="48">
        <f>F149-F148</f>
        <v>-2.0812500000000007</v>
      </c>
    </row>
    <row r="150" spans="1:7" x14ac:dyDescent="0.2">
      <c r="F150" s="1"/>
      <c r="G150" s="48"/>
    </row>
    <row r="151" spans="1:7" x14ac:dyDescent="0.2">
      <c r="A151" s="29" t="s">
        <v>31</v>
      </c>
      <c r="B151" s="29">
        <v>83</v>
      </c>
      <c r="C151" s="29">
        <v>7</v>
      </c>
      <c r="D151" s="29">
        <v>1.5</v>
      </c>
      <c r="E151" s="29"/>
      <c r="F151" s="115">
        <f t="shared" si="33"/>
        <v>83.356249999999989</v>
      </c>
    </row>
    <row r="152" spans="1:7" x14ac:dyDescent="0.2">
      <c r="A152" s="29" t="s">
        <v>32</v>
      </c>
      <c r="B152" s="29">
        <v>36</v>
      </c>
      <c r="C152" s="29">
        <v>15</v>
      </c>
      <c r="D152" s="29"/>
      <c r="E152" s="29"/>
      <c r="F152" s="115">
        <f t="shared" si="33"/>
        <v>36.75</v>
      </c>
    </row>
    <row r="153" spans="1:7" x14ac:dyDescent="0.2">
      <c r="A153" s="29" t="s">
        <v>406</v>
      </c>
      <c r="B153" s="29">
        <v>40</v>
      </c>
      <c r="C153" s="29">
        <v>9</v>
      </c>
      <c r="D153" s="29"/>
      <c r="E153" s="29"/>
      <c r="F153" s="115">
        <f t="shared" si="33"/>
        <v>40.450000000000003</v>
      </c>
    </row>
    <row r="154" spans="1:7" x14ac:dyDescent="0.2">
      <c r="A154" s="29" t="s">
        <v>33</v>
      </c>
      <c r="B154" s="29">
        <v>42</v>
      </c>
      <c r="C154" s="29">
        <v>18</v>
      </c>
      <c r="D154" s="29">
        <v>1.5</v>
      </c>
      <c r="E154" s="29"/>
      <c r="F154" s="115">
        <f t="shared" si="33"/>
        <v>42.90625</v>
      </c>
    </row>
    <row r="155" spans="1:7" x14ac:dyDescent="0.2">
      <c r="F155" s="1"/>
    </row>
    <row r="156" spans="1:7" x14ac:dyDescent="0.2">
      <c r="A156" s="29" t="s">
        <v>451</v>
      </c>
      <c r="B156" s="29"/>
      <c r="C156" s="29"/>
      <c r="D156" s="29"/>
      <c r="E156" s="29"/>
      <c r="F156" s="115">
        <f>SUM(J3:J119)</f>
        <v>8.8104166666666668</v>
      </c>
    </row>
    <row r="157" spans="1:7" x14ac:dyDescent="0.2">
      <c r="A157" s="29" t="s">
        <v>452</v>
      </c>
      <c r="B157" s="29"/>
      <c r="C157" s="29"/>
      <c r="D157" s="29"/>
      <c r="E157" s="29"/>
      <c r="F157" s="115">
        <f>SUM(K4:K119)</f>
        <v>8.5708333333333346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51F45-F51F-F14B-BED0-85E1B2A14898}">
  <dimension ref="A1:U25"/>
  <sheetViews>
    <sheetView workbookViewId="0">
      <selection activeCell="A19" sqref="A19:A24"/>
    </sheetView>
  </sheetViews>
  <sheetFormatPr baseColWidth="10" defaultRowHeight="16" x14ac:dyDescent="0.2"/>
  <cols>
    <col min="12" max="12" width="24.6640625" bestFit="1" customWidth="1"/>
    <col min="13" max="13" width="19.5" bestFit="1" customWidth="1"/>
  </cols>
  <sheetData>
    <row r="1" spans="1:21" x14ac:dyDescent="0.2">
      <c r="A1" s="16"/>
      <c r="B1" s="17" t="s">
        <v>35</v>
      </c>
      <c r="K1" s="13"/>
      <c r="L1" s="13"/>
      <c r="S1" s="18"/>
      <c r="T1" s="18"/>
      <c r="U1" s="18"/>
    </row>
    <row r="2" spans="1:21" x14ac:dyDescent="0.2">
      <c r="A2" s="16"/>
      <c r="B2" s="37" t="s">
        <v>428</v>
      </c>
      <c r="C2" s="37"/>
      <c r="D2" s="37"/>
      <c r="E2" s="37"/>
      <c r="F2" s="37"/>
      <c r="G2" s="37"/>
      <c r="H2" s="37"/>
      <c r="I2" s="35" t="s">
        <v>429</v>
      </c>
      <c r="J2" s="35"/>
      <c r="K2" s="35"/>
      <c r="L2" s="35"/>
      <c r="M2" s="35"/>
      <c r="N2" s="35"/>
      <c r="O2" s="35"/>
      <c r="P2" s="35"/>
      <c r="Q2" s="35"/>
      <c r="R2" s="35"/>
      <c r="S2" s="36"/>
      <c r="T2" s="19" t="s">
        <v>36</v>
      </c>
      <c r="U2" s="19"/>
    </row>
    <row r="3" spans="1:21" x14ac:dyDescent="0.2">
      <c r="A3" s="16" t="s">
        <v>37</v>
      </c>
      <c r="B3" s="123" t="s">
        <v>38</v>
      </c>
      <c r="C3" s="123"/>
      <c r="D3" s="123" t="s">
        <v>39</v>
      </c>
      <c r="E3" s="123"/>
      <c r="F3" s="123" t="s">
        <v>408</v>
      </c>
      <c r="G3" s="123"/>
      <c r="H3" s="20" t="s">
        <v>38</v>
      </c>
      <c r="I3" s="123" t="s">
        <v>40</v>
      </c>
      <c r="J3" s="123"/>
      <c r="K3" s="123"/>
      <c r="L3" s="85" t="s">
        <v>41</v>
      </c>
      <c r="M3" s="13" t="s">
        <v>42</v>
      </c>
      <c r="N3" s="13" t="s">
        <v>43</v>
      </c>
      <c r="O3" s="13" t="s">
        <v>44</v>
      </c>
      <c r="P3" s="13" t="s">
        <v>45</v>
      </c>
      <c r="Q3" s="13" t="s">
        <v>430</v>
      </c>
      <c r="R3" s="13" t="s">
        <v>431</v>
      </c>
      <c r="S3" s="20" t="s">
        <v>182</v>
      </c>
      <c r="T3" s="18" t="s">
        <v>46</v>
      </c>
    </row>
    <row r="4" spans="1:21" x14ac:dyDescent="0.2">
      <c r="B4" s="21" t="s">
        <v>47</v>
      </c>
      <c r="C4" s="21" t="s">
        <v>48</v>
      </c>
      <c r="D4" s="21" t="s">
        <v>47</v>
      </c>
      <c r="E4" s="21" t="s">
        <v>48</v>
      </c>
      <c r="F4" s="21" t="s">
        <v>47</v>
      </c>
      <c r="G4" s="21" t="s">
        <v>48</v>
      </c>
      <c r="H4" s="22" t="s">
        <v>47</v>
      </c>
      <c r="I4" s="21" t="s">
        <v>47</v>
      </c>
      <c r="J4" s="21" t="s">
        <v>48</v>
      </c>
      <c r="K4" s="21" t="s">
        <v>47</v>
      </c>
      <c r="L4" s="22"/>
      <c r="M4" s="21" t="s">
        <v>0</v>
      </c>
      <c r="N4" s="21" t="s">
        <v>47</v>
      </c>
      <c r="O4" s="21" t="s">
        <v>0</v>
      </c>
      <c r="P4" s="21" t="s">
        <v>47</v>
      </c>
      <c r="Q4" s="21" t="s">
        <v>0</v>
      </c>
      <c r="R4" s="21" t="s">
        <v>47</v>
      </c>
      <c r="S4" s="22" t="s">
        <v>49</v>
      </c>
      <c r="T4" s="23" t="s">
        <v>0</v>
      </c>
      <c r="U4" s="24"/>
    </row>
    <row r="5" spans="1:21" x14ac:dyDescent="0.2">
      <c r="A5" t="s">
        <v>50</v>
      </c>
      <c r="B5">
        <v>64</v>
      </c>
      <c r="C5">
        <v>7</v>
      </c>
      <c r="D5">
        <v>1</v>
      </c>
      <c r="E5">
        <v>2</v>
      </c>
      <c r="H5" s="27">
        <f>B5+D5+F5+C5/8+E5/8+G5/8</f>
        <v>66.125</v>
      </c>
      <c r="I5">
        <v>50.5</v>
      </c>
      <c r="K5">
        <f>I5+J5/8</f>
        <v>50.5</v>
      </c>
      <c r="L5" s="27">
        <f>H5-K5</f>
        <v>15.625</v>
      </c>
      <c r="M5">
        <f>5/20+6/240</f>
        <v>0.27500000000000002</v>
      </c>
      <c r="N5">
        <v>1</v>
      </c>
      <c r="O5">
        <f>5/20+4/240</f>
        <v>0.26666666666666666</v>
      </c>
      <c r="P5">
        <v>1</v>
      </c>
      <c r="Q5">
        <f>6/20</f>
        <v>0.3</v>
      </c>
      <c r="R5">
        <v>1</v>
      </c>
      <c r="S5" s="26">
        <f>IFERROR((M5+O5)/(N5+P5),0)</f>
        <v>0.27083333333333337</v>
      </c>
      <c r="T5" s="25">
        <f>S5*H5</f>
        <v>17.908854166666668</v>
      </c>
    </row>
    <row r="6" spans="1:21" x14ac:dyDescent="0.2">
      <c r="A6" t="s">
        <v>51</v>
      </c>
      <c r="B6">
        <v>2</v>
      </c>
      <c r="C6">
        <v>2</v>
      </c>
      <c r="H6" s="27">
        <f t="shared" ref="H6:H11" si="0">B6+D6+F6+C6/8+E6/8+G6/8</f>
        <v>2.25</v>
      </c>
      <c r="I6">
        <v>2</v>
      </c>
      <c r="J6">
        <v>2</v>
      </c>
      <c r="K6">
        <f t="shared" ref="K6:K11" si="1">I6+J6/8</f>
        <v>2.25</v>
      </c>
      <c r="L6" s="27">
        <f t="shared" ref="L6:L11" si="2">H6-K6</f>
        <v>0</v>
      </c>
      <c r="M6">
        <f>4/20</f>
        <v>0.2</v>
      </c>
      <c r="N6">
        <v>1</v>
      </c>
      <c r="S6" s="26">
        <f t="shared" ref="S6:S10" si="3">IFERROR((M6+O6)/(N6+P6),0)</f>
        <v>0.2</v>
      </c>
      <c r="T6" s="25">
        <f t="shared" ref="T6:T11" si="4">S6*H6</f>
        <v>0.45</v>
      </c>
    </row>
    <row r="7" spans="1:21" x14ac:dyDescent="0.2">
      <c r="A7" t="s">
        <v>407</v>
      </c>
      <c r="B7">
        <f>83+2+1+2</f>
        <v>88</v>
      </c>
      <c r="C7">
        <v>3</v>
      </c>
      <c r="D7">
        <v>12</v>
      </c>
      <c r="E7">
        <v>2</v>
      </c>
      <c r="F7">
        <v>13.5</v>
      </c>
      <c r="H7" s="27">
        <f t="shared" si="0"/>
        <v>114.125</v>
      </c>
      <c r="I7">
        <v>48</v>
      </c>
      <c r="J7">
        <v>2</v>
      </c>
      <c r="K7">
        <f t="shared" si="1"/>
        <v>48.25</v>
      </c>
      <c r="L7" s="27">
        <f t="shared" si="2"/>
        <v>65.875</v>
      </c>
      <c r="M7">
        <f>3/20</f>
        <v>0.15</v>
      </c>
      <c r="N7">
        <v>1</v>
      </c>
      <c r="S7" s="26">
        <f t="shared" ref="S7" si="5">IFERROR((M7+O7)/(N7+P7),0)</f>
        <v>0.15</v>
      </c>
      <c r="T7" s="25">
        <f t="shared" ref="T7" si="6">S7*H7</f>
        <v>17.118749999999999</v>
      </c>
    </row>
    <row r="8" spans="1:21" x14ac:dyDescent="0.2">
      <c r="A8" t="s">
        <v>52</v>
      </c>
      <c r="B8">
        <v>81.5</v>
      </c>
      <c r="D8">
        <v>7</v>
      </c>
      <c r="E8">
        <v>1</v>
      </c>
      <c r="H8" s="27">
        <f t="shared" si="0"/>
        <v>88.625</v>
      </c>
      <c r="I8">
        <v>75</v>
      </c>
      <c r="J8">
        <v>5</v>
      </c>
      <c r="K8">
        <f t="shared" si="1"/>
        <v>75.625</v>
      </c>
      <c r="L8" s="27">
        <f t="shared" si="2"/>
        <v>13</v>
      </c>
      <c r="M8">
        <f>3/20</f>
        <v>0.15</v>
      </c>
      <c r="N8">
        <v>1</v>
      </c>
      <c r="O8">
        <f>4/20</f>
        <v>0.2</v>
      </c>
      <c r="P8">
        <v>1</v>
      </c>
      <c r="S8" s="26">
        <f t="shared" si="3"/>
        <v>0.17499999999999999</v>
      </c>
      <c r="T8" s="25">
        <f t="shared" si="4"/>
        <v>15.509374999999999</v>
      </c>
    </row>
    <row r="9" spans="1:21" x14ac:dyDescent="0.2">
      <c r="A9" t="s">
        <v>53</v>
      </c>
      <c r="B9">
        <v>144</v>
      </c>
      <c r="C9">
        <v>3.5</v>
      </c>
      <c r="H9" s="27">
        <f t="shared" si="0"/>
        <v>144.4375</v>
      </c>
      <c r="I9">
        <v>37</v>
      </c>
      <c r="K9">
        <f t="shared" si="1"/>
        <v>37</v>
      </c>
      <c r="L9" s="27">
        <f t="shared" si="2"/>
        <v>107.4375</v>
      </c>
      <c r="M9">
        <f>2/20</f>
        <v>0.1</v>
      </c>
      <c r="N9">
        <v>1</v>
      </c>
      <c r="O9">
        <f>2/20+6/240</f>
        <v>0.125</v>
      </c>
      <c r="P9">
        <v>1</v>
      </c>
      <c r="S9" s="26">
        <f t="shared" si="3"/>
        <v>0.1125</v>
      </c>
      <c r="T9" s="25">
        <f t="shared" si="4"/>
        <v>16.249218750000001</v>
      </c>
    </row>
    <row r="10" spans="1:21" x14ac:dyDescent="0.2">
      <c r="A10" t="s">
        <v>54</v>
      </c>
      <c r="B10">
        <v>1</v>
      </c>
      <c r="C10">
        <v>5</v>
      </c>
      <c r="H10" s="27">
        <f t="shared" si="0"/>
        <v>1.625</v>
      </c>
      <c r="I10">
        <v>1</v>
      </c>
      <c r="J10">
        <v>1</v>
      </c>
      <c r="K10">
        <f t="shared" si="1"/>
        <v>1.125</v>
      </c>
      <c r="L10" s="27">
        <f t="shared" si="2"/>
        <v>0.5</v>
      </c>
      <c r="M10">
        <f>3/20</f>
        <v>0.15</v>
      </c>
      <c r="N10">
        <v>1</v>
      </c>
      <c r="S10" s="26">
        <f t="shared" si="3"/>
        <v>0.15</v>
      </c>
      <c r="T10" s="25">
        <f t="shared" si="4"/>
        <v>0.24374999999999999</v>
      </c>
    </row>
    <row r="11" spans="1:21" x14ac:dyDescent="0.2">
      <c r="A11" t="s">
        <v>55</v>
      </c>
      <c r="B11">
        <v>3</v>
      </c>
      <c r="C11">
        <v>3</v>
      </c>
      <c r="D11">
        <v>1</v>
      </c>
      <c r="E11">
        <v>1</v>
      </c>
      <c r="F11">
        <v>1</v>
      </c>
      <c r="H11" s="27">
        <f t="shared" si="0"/>
        <v>5.5</v>
      </c>
      <c r="I11">
        <v>4</v>
      </c>
      <c r="J11">
        <v>3</v>
      </c>
      <c r="K11">
        <f t="shared" si="1"/>
        <v>4.375</v>
      </c>
      <c r="L11" s="27">
        <f t="shared" si="2"/>
        <v>1.125</v>
      </c>
      <c r="M11">
        <f>1/20</f>
        <v>0.05</v>
      </c>
      <c r="N11">
        <v>1</v>
      </c>
      <c r="S11" s="26">
        <f t="shared" ref="S11" si="7">IFERROR((M11+O11)/(N11+P11),0)</f>
        <v>0.05</v>
      </c>
      <c r="T11" s="25">
        <f t="shared" si="4"/>
        <v>0.27500000000000002</v>
      </c>
    </row>
    <row r="13" spans="1:21" x14ac:dyDescent="0.2">
      <c r="A13" s="28" t="s">
        <v>56</v>
      </c>
      <c r="B13" s="29"/>
      <c r="C13" s="29"/>
      <c r="D13" s="29"/>
      <c r="E13" s="29"/>
      <c r="F13" s="29"/>
      <c r="G13" s="29"/>
      <c r="H13" s="30">
        <f>SUM(H5:H11)</f>
        <v>422.6875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30">
        <f>SUM(T5:T11)</f>
        <v>67.75494791666668</v>
      </c>
      <c r="U13" s="31" t="s">
        <v>57</v>
      </c>
    </row>
    <row r="14" spans="1:21" x14ac:dyDescent="0.2">
      <c r="A14" s="28" t="s">
        <v>58</v>
      </c>
      <c r="B14" s="29"/>
      <c r="C14" s="29"/>
      <c r="D14" s="29"/>
      <c r="E14" s="29"/>
      <c r="F14" s="29"/>
      <c r="G14" s="29"/>
      <c r="H14" s="29">
        <f>SUM(K5:K11)</f>
        <v>219.125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30">
        <f>41+9/20+5.5/240</f>
        <v>41.47291666666667</v>
      </c>
      <c r="U14" s="29"/>
    </row>
    <row r="17" spans="1:18" ht="68" x14ac:dyDescent="0.2">
      <c r="A17" s="16" t="s">
        <v>59</v>
      </c>
      <c r="B17" s="32" t="s">
        <v>37</v>
      </c>
      <c r="C17" s="124" t="s">
        <v>60</v>
      </c>
      <c r="D17" s="124"/>
      <c r="E17" s="124"/>
      <c r="F17" s="82"/>
      <c r="G17" s="82"/>
      <c r="H17" t="s">
        <v>61</v>
      </c>
      <c r="I17" s="124" t="s">
        <v>62</v>
      </c>
      <c r="J17" s="124"/>
      <c r="K17" s="125"/>
      <c r="L17" s="32" t="s">
        <v>63</v>
      </c>
      <c r="M17" t="s">
        <v>64</v>
      </c>
      <c r="N17" s="33" t="s">
        <v>65</v>
      </c>
      <c r="O17" s="32" t="s">
        <v>66</v>
      </c>
      <c r="P17" s="32" t="s">
        <v>67</v>
      </c>
      <c r="Q17" s="32"/>
      <c r="R17" s="32"/>
    </row>
    <row r="18" spans="1:18" x14ac:dyDescent="0.2">
      <c r="B18" s="13" t="s">
        <v>47</v>
      </c>
      <c r="C18" s="13" t="s">
        <v>47</v>
      </c>
      <c r="D18" t="s">
        <v>48</v>
      </c>
      <c r="E18" t="s">
        <v>47</v>
      </c>
      <c r="H18" t="s">
        <v>47</v>
      </c>
      <c r="I18" t="s">
        <v>47</v>
      </c>
      <c r="J18" t="s">
        <v>48</v>
      </c>
      <c r="K18" s="26" t="s">
        <v>47</v>
      </c>
      <c r="L18" s="13" t="s">
        <v>47</v>
      </c>
      <c r="M18" s="26" t="s">
        <v>47</v>
      </c>
      <c r="N18" s="11" t="s">
        <v>49</v>
      </c>
      <c r="O18" s="13" t="s">
        <v>0</v>
      </c>
      <c r="P18" s="13" t="s">
        <v>0</v>
      </c>
      <c r="Q18" s="13"/>
      <c r="R18" s="13"/>
    </row>
    <row r="19" spans="1:18" x14ac:dyDescent="0.2">
      <c r="A19" t="s">
        <v>225</v>
      </c>
      <c r="B19" s="25">
        <f>B5</f>
        <v>64</v>
      </c>
      <c r="C19">
        <v>11</v>
      </c>
      <c r="D19">
        <v>2</v>
      </c>
      <c r="E19">
        <f>C19+D19/8</f>
        <v>11.25</v>
      </c>
      <c r="I19">
        <f>3+4</f>
        <v>7</v>
      </c>
      <c r="K19" s="26">
        <f>I19+J19/8</f>
        <v>7</v>
      </c>
      <c r="L19" s="25">
        <f t="shared" ref="L19:L24" si="8">B19-(E19+H19+K19)</f>
        <v>45.75</v>
      </c>
      <c r="M19" s="26"/>
      <c r="N19" s="34">
        <f>S5</f>
        <v>0.27083333333333337</v>
      </c>
      <c r="O19" s="25">
        <f>N19*L19</f>
        <v>12.390625000000002</v>
      </c>
      <c r="P19" s="25">
        <f>S5*K5</f>
        <v>13.677083333333336</v>
      </c>
      <c r="Q19" s="25"/>
      <c r="R19" s="25"/>
    </row>
    <row r="20" spans="1:18" x14ac:dyDescent="0.2">
      <c r="A20" t="s">
        <v>226</v>
      </c>
      <c r="B20" s="25">
        <f>B6</f>
        <v>2</v>
      </c>
      <c r="E20">
        <f t="shared" ref="E20:E24" si="9">C20+D20/8</f>
        <v>0</v>
      </c>
      <c r="K20" s="26">
        <f t="shared" ref="K20:K24" si="10">I20+J20/8</f>
        <v>0</v>
      </c>
      <c r="L20" s="25">
        <f t="shared" si="8"/>
        <v>2</v>
      </c>
      <c r="M20" s="26"/>
      <c r="N20" s="34">
        <f>S6</f>
        <v>0.2</v>
      </c>
      <c r="O20" s="25">
        <f t="shared" ref="O20:O24" si="11">N20*L20</f>
        <v>0.4</v>
      </c>
      <c r="P20" s="25">
        <f>S6*K6</f>
        <v>0.45</v>
      </c>
      <c r="Q20" s="25"/>
      <c r="R20" s="25"/>
    </row>
    <row r="21" spans="1:18" x14ac:dyDescent="0.2">
      <c r="A21" t="s">
        <v>227</v>
      </c>
      <c r="B21" s="25">
        <f>B8</f>
        <v>81.5</v>
      </c>
      <c r="C21">
        <v>20</v>
      </c>
      <c r="D21">
        <v>1</v>
      </c>
      <c r="E21">
        <f t="shared" si="9"/>
        <v>20.125</v>
      </c>
      <c r="I21">
        <f>26+4+4+1.5+3+2+1+2</f>
        <v>43.5</v>
      </c>
      <c r="J21">
        <f>7</f>
        <v>7</v>
      </c>
      <c r="K21" s="26">
        <f t="shared" si="10"/>
        <v>44.375</v>
      </c>
      <c r="L21" s="25">
        <f t="shared" si="8"/>
        <v>17</v>
      </c>
      <c r="M21" s="26"/>
      <c r="N21" s="34">
        <f>S8</f>
        <v>0.17499999999999999</v>
      </c>
      <c r="O21" s="25">
        <f t="shared" si="11"/>
        <v>2.9749999999999996</v>
      </c>
      <c r="P21" s="25">
        <f t="shared" ref="P21:P24" si="12">S8*K8</f>
        <v>13.234375</v>
      </c>
      <c r="Q21" s="25"/>
      <c r="R21" s="25"/>
    </row>
    <row r="22" spans="1:18" x14ac:dyDescent="0.2">
      <c r="A22" t="s">
        <v>228</v>
      </c>
      <c r="B22" s="25">
        <f>B9</f>
        <v>144</v>
      </c>
      <c r="C22">
        <v>65</v>
      </c>
      <c r="E22">
        <f t="shared" si="9"/>
        <v>65</v>
      </c>
      <c r="I22">
        <f>15+12+10+1+4</f>
        <v>42</v>
      </c>
      <c r="J22">
        <f>2+1.5</f>
        <v>3.5</v>
      </c>
      <c r="K22" s="26">
        <f t="shared" si="10"/>
        <v>42.4375</v>
      </c>
      <c r="L22" s="25">
        <f t="shared" si="8"/>
        <v>36.5625</v>
      </c>
      <c r="M22" s="26"/>
      <c r="N22" s="34">
        <f>S9</f>
        <v>0.1125</v>
      </c>
      <c r="O22" s="25">
        <f t="shared" si="11"/>
        <v>4.11328125</v>
      </c>
      <c r="P22" s="25">
        <f t="shared" si="12"/>
        <v>4.1625000000000005</v>
      </c>
      <c r="Q22" s="25"/>
      <c r="R22" s="25"/>
    </row>
    <row r="23" spans="1:18" x14ac:dyDescent="0.2">
      <c r="A23" t="s">
        <v>229</v>
      </c>
      <c r="B23" s="25">
        <f>B10</f>
        <v>1</v>
      </c>
      <c r="D23">
        <v>4</v>
      </c>
      <c r="E23">
        <f t="shared" si="9"/>
        <v>0.5</v>
      </c>
      <c r="K23" s="26">
        <f t="shared" si="10"/>
        <v>0</v>
      </c>
      <c r="L23" s="25">
        <f t="shared" si="8"/>
        <v>0.5</v>
      </c>
      <c r="M23" s="26"/>
      <c r="N23" s="34">
        <f>S10</f>
        <v>0.15</v>
      </c>
      <c r="O23" s="25">
        <f t="shared" si="11"/>
        <v>7.4999999999999997E-2</v>
      </c>
      <c r="P23" s="25">
        <f t="shared" si="12"/>
        <v>0.16874999999999998</v>
      </c>
      <c r="Q23" s="25"/>
      <c r="R23" s="25"/>
    </row>
    <row r="24" spans="1:18" x14ac:dyDescent="0.2">
      <c r="A24" t="s">
        <v>230</v>
      </c>
      <c r="B24" s="25">
        <f>B11</f>
        <v>3</v>
      </c>
      <c r="C24">
        <v>1</v>
      </c>
      <c r="D24">
        <v>1</v>
      </c>
      <c r="E24">
        <f t="shared" si="9"/>
        <v>1.125</v>
      </c>
      <c r="K24" s="26">
        <f t="shared" si="10"/>
        <v>0</v>
      </c>
      <c r="L24" s="25">
        <f t="shared" si="8"/>
        <v>1.875</v>
      </c>
      <c r="M24" s="26"/>
      <c r="N24" s="34">
        <f>S11</f>
        <v>0.05</v>
      </c>
      <c r="O24" s="25">
        <f t="shared" si="11"/>
        <v>9.375E-2</v>
      </c>
      <c r="P24" s="25">
        <f t="shared" si="12"/>
        <v>0.21875</v>
      </c>
      <c r="Q24" s="25"/>
      <c r="R24" s="25"/>
    </row>
    <row r="25" spans="1:18" x14ac:dyDescent="0.2">
      <c r="A25" s="28" t="s">
        <v>9</v>
      </c>
      <c r="B25" s="30">
        <f>SUM(B19:B24)</f>
        <v>295.5</v>
      </c>
      <c r="C25" s="29"/>
      <c r="D25" s="29"/>
      <c r="E25" s="29">
        <f>SUM(E19:E24)</f>
        <v>98</v>
      </c>
      <c r="F25" s="29"/>
      <c r="G25" s="29"/>
      <c r="H25" s="29"/>
      <c r="I25" s="29"/>
      <c r="J25" s="29"/>
      <c r="K25" s="29"/>
      <c r="L25" s="30">
        <f>SUM(L19:L24)</f>
        <v>103.6875</v>
      </c>
      <c r="M25" s="29"/>
      <c r="N25" s="29"/>
      <c r="O25" s="30">
        <f>SUM(O19:O24)</f>
        <v>20.047656249999999</v>
      </c>
      <c r="P25" s="30">
        <f>SUM(P19:P24)</f>
        <v>31.911458333333336</v>
      </c>
      <c r="Q25" s="30"/>
      <c r="R25" s="30"/>
    </row>
  </sheetData>
  <mergeCells count="6">
    <mergeCell ref="B3:C3"/>
    <mergeCell ref="D3:E3"/>
    <mergeCell ref="I3:K3"/>
    <mergeCell ref="C17:E17"/>
    <mergeCell ref="I17:K17"/>
    <mergeCell ref="F3:G3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8B3FD-99C8-CF46-ACC2-CB2B79553FD3}">
  <dimension ref="A1:Z12"/>
  <sheetViews>
    <sheetView workbookViewId="0">
      <pane xSplit="1" ySplit="4" topLeftCell="H5" activePane="bottomRight" state="frozen"/>
      <selection pane="topRight" activeCell="B1" sqref="B1"/>
      <selection pane="bottomLeft" activeCell="A5" sqref="A5"/>
      <selection pane="bottomRight" activeCell="A5" sqref="A5:A8"/>
    </sheetView>
  </sheetViews>
  <sheetFormatPr baseColWidth="10" defaultRowHeight="16" x14ac:dyDescent="0.2"/>
  <cols>
    <col min="1" max="1" width="36.6640625" bestFit="1" customWidth="1"/>
    <col min="4" max="4" width="17.6640625" bestFit="1" customWidth="1"/>
    <col min="5" max="5" width="17.6640625" customWidth="1"/>
    <col min="13" max="13" width="24.5" bestFit="1" customWidth="1"/>
    <col min="16" max="16" width="13.6640625" bestFit="1" customWidth="1"/>
    <col min="17" max="17" width="20" bestFit="1" customWidth="1"/>
    <col min="18" max="18" width="21.1640625" bestFit="1" customWidth="1"/>
  </cols>
  <sheetData>
    <row r="1" spans="1:26" x14ac:dyDescent="0.2">
      <c r="A1" s="16" t="s">
        <v>419</v>
      </c>
      <c r="P1" s="83"/>
      <c r="Q1" s="25"/>
      <c r="R1" s="25"/>
    </row>
    <row r="2" spans="1:26" x14ac:dyDescent="0.2">
      <c r="A2" s="16"/>
      <c r="B2" s="126" t="s">
        <v>420</v>
      </c>
      <c r="C2" s="126"/>
      <c r="D2" s="127"/>
      <c r="E2" s="95"/>
      <c r="F2" s="128" t="s">
        <v>421</v>
      </c>
      <c r="G2" s="128"/>
      <c r="H2" s="128"/>
      <c r="I2" s="128"/>
      <c r="J2" s="128"/>
      <c r="K2" s="128"/>
      <c r="L2" s="128"/>
      <c r="M2" s="84"/>
      <c r="N2" s="84"/>
      <c r="O2" s="84"/>
      <c r="P2" s="129" t="s">
        <v>36</v>
      </c>
      <c r="Q2" s="129"/>
      <c r="R2" s="129"/>
    </row>
    <row r="3" spans="1:26" x14ac:dyDescent="0.2">
      <c r="B3" s="123" t="s">
        <v>38</v>
      </c>
      <c r="C3" s="123"/>
      <c r="D3" s="85" t="s">
        <v>409</v>
      </c>
      <c r="E3" s="85" t="s">
        <v>409</v>
      </c>
      <c r="F3" s="130" t="s">
        <v>410</v>
      </c>
      <c r="G3" s="123"/>
      <c r="H3" s="123" t="s">
        <v>411</v>
      </c>
      <c r="I3" s="123"/>
      <c r="J3" s="123" t="s">
        <v>412</v>
      </c>
      <c r="K3" s="123"/>
      <c r="L3" s="123"/>
      <c r="M3" s="18" t="s">
        <v>413</v>
      </c>
      <c r="N3" s="18" t="s">
        <v>414</v>
      </c>
      <c r="O3" s="18" t="s">
        <v>414</v>
      </c>
      <c r="P3" s="90" t="s">
        <v>415</v>
      </c>
      <c r="Q3" s="88" t="s">
        <v>440</v>
      </c>
      <c r="R3" s="88" t="s">
        <v>441</v>
      </c>
      <c r="S3" s="13"/>
    </row>
    <row r="4" spans="1:26" x14ac:dyDescent="0.2">
      <c r="B4" s="18" t="s">
        <v>47</v>
      </c>
      <c r="C4" s="18" t="s">
        <v>48</v>
      </c>
      <c r="D4" s="85" t="s">
        <v>47</v>
      </c>
      <c r="E4" s="18" t="s">
        <v>48</v>
      </c>
      <c r="F4" s="18" t="s">
        <v>416</v>
      </c>
      <c r="G4" s="18" t="s">
        <v>417</v>
      </c>
      <c r="H4" s="18" t="s">
        <v>416</v>
      </c>
      <c r="I4" s="18" t="s">
        <v>2</v>
      </c>
      <c r="J4" s="18" t="s">
        <v>47</v>
      </c>
      <c r="K4" s="18" t="s">
        <v>48</v>
      </c>
      <c r="L4" s="18" t="s">
        <v>47</v>
      </c>
      <c r="M4" s="18" t="s">
        <v>47</v>
      </c>
      <c r="N4" s="18" t="s">
        <v>49</v>
      </c>
      <c r="O4" s="18" t="s">
        <v>418</v>
      </c>
      <c r="P4" s="86" t="s">
        <v>0</v>
      </c>
      <c r="Q4" s="87"/>
      <c r="R4" s="87"/>
    </row>
    <row r="5" spans="1:26" x14ac:dyDescent="0.2">
      <c r="A5" t="s">
        <v>422</v>
      </c>
      <c r="B5">
        <v>3</v>
      </c>
      <c r="D5" s="26">
        <f>B5+C5/8</f>
        <v>3</v>
      </c>
      <c r="F5">
        <v>5</v>
      </c>
      <c r="G5">
        <v>4</v>
      </c>
      <c r="J5">
        <v>3</v>
      </c>
      <c r="L5">
        <f t="shared" ref="L5:L6" si="0">J5+K5/8</f>
        <v>3</v>
      </c>
      <c r="M5">
        <f>D5-L5</f>
        <v>0</v>
      </c>
      <c r="N5" s="25">
        <f>F5/20+G5/240</f>
        <v>0.26666666666666666</v>
      </c>
      <c r="O5" s="25"/>
      <c r="P5" s="83">
        <f>N5</f>
        <v>0.26666666666666666</v>
      </c>
      <c r="Q5" s="25"/>
      <c r="R5" s="25">
        <f>P5*D5</f>
        <v>0.8</v>
      </c>
      <c r="S5" s="25"/>
    </row>
    <row r="6" spans="1:26" x14ac:dyDescent="0.2">
      <c r="A6" s="91" t="s">
        <v>423</v>
      </c>
      <c r="B6">
        <v>4</v>
      </c>
      <c r="C6">
        <v>5</v>
      </c>
      <c r="D6" s="26">
        <f>B6+C6/8</f>
        <v>4.625</v>
      </c>
      <c r="E6">
        <f>C6+B6*8</f>
        <v>37</v>
      </c>
      <c r="I6">
        <v>6</v>
      </c>
      <c r="K6">
        <v>5</v>
      </c>
      <c r="L6">
        <f t="shared" si="0"/>
        <v>0.625</v>
      </c>
      <c r="M6">
        <f>D6-L6</f>
        <v>4</v>
      </c>
      <c r="N6" s="25"/>
      <c r="O6" s="25">
        <f t="shared" ref="O6" si="1">H6/20+I6/240</f>
        <v>2.5000000000000001E-2</v>
      </c>
      <c r="P6" s="83"/>
      <c r="Q6" s="25">
        <f>O6</f>
        <v>2.5000000000000001E-2</v>
      </c>
      <c r="R6" s="25">
        <f>Q6*E6</f>
        <v>0.92500000000000004</v>
      </c>
    </row>
    <row r="7" spans="1:26" x14ac:dyDescent="0.2">
      <c r="A7" s="91" t="s">
        <v>425</v>
      </c>
      <c r="B7">
        <v>5</v>
      </c>
      <c r="C7">
        <v>7</v>
      </c>
      <c r="D7" s="26">
        <f t="shared" ref="D7:D8" si="2">B7+C7/8</f>
        <v>5.875</v>
      </c>
      <c r="F7">
        <v>6</v>
      </c>
      <c r="J7">
        <v>5</v>
      </c>
      <c r="K7">
        <v>7</v>
      </c>
      <c r="L7">
        <f>J7+K7/8</f>
        <v>5.875</v>
      </c>
      <c r="M7">
        <f t="shared" ref="M7:M8" si="3">D7-L7</f>
        <v>0</v>
      </c>
      <c r="N7" s="25">
        <f t="shared" ref="N7:N8" si="4">F7/20+G7/240</f>
        <v>0.3</v>
      </c>
      <c r="O7" s="25"/>
      <c r="P7" s="83">
        <f t="shared" ref="P7:P8" si="5">N7</f>
        <v>0.3</v>
      </c>
      <c r="Q7" s="25"/>
      <c r="R7" s="25">
        <f>P7*D7</f>
        <v>1.7625</v>
      </c>
    </row>
    <row r="8" spans="1:26" x14ac:dyDescent="0.2">
      <c r="A8" s="91" t="s">
        <v>424</v>
      </c>
      <c r="B8">
        <v>24</v>
      </c>
      <c r="C8">
        <v>1</v>
      </c>
      <c r="D8" s="26">
        <f t="shared" si="2"/>
        <v>24.125</v>
      </c>
      <c r="F8">
        <v>2</v>
      </c>
      <c r="G8">
        <v>4</v>
      </c>
      <c r="J8">
        <v>24</v>
      </c>
      <c r="K8">
        <v>1</v>
      </c>
      <c r="L8">
        <f t="shared" ref="L8" si="6">J8+K8/8</f>
        <v>24.125</v>
      </c>
      <c r="M8">
        <f t="shared" si="3"/>
        <v>0</v>
      </c>
      <c r="N8" s="25">
        <f t="shared" si="4"/>
        <v>0.11666666666666667</v>
      </c>
      <c r="O8" s="25"/>
      <c r="P8" s="83">
        <f t="shared" si="5"/>
        <v>0.11666666666666667</v>
      </c>
      <c r="Q8" s="25"/>
      <c r="R8" s="25">
        <f>P8*D8</f>
        <v>2.8145833333333332</v>
      </c>
    </row>
    <row r="9" spans="1:26" x14ac:dyDescent="0.2">
      <c r="A9" s="91" t="s">
        <v>438</v>
      </c>
      <c r="B9" t="s">
        <v>439</v>
      </c>
      <c r="N9" s="25"/>
      <c r="O9" s="25"/>
      <c r="P9" s="25"/>
      <c r="Q9" s="25"/>
      <c r="R9" s="25"/>
    </row>
    <row r="11" spans="1:26" x14ac:dyDescent="0.2">
      <c r="A11" s="92" t="s">
        <v>426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89"/>
      <c r="Q11" s="30"/>
      <c r="R11" s="30">
        <f>SUM(R5:R8)</f>
        <v>6.302083333333333</v>
      </c>
      <c r="S11" s="29"/>
      <c r="T11" s="29"/>
      <c r="U11" s="29"/>
      <c r="V11" s="29"/>
    </row>
    <row r="12" spans="1:26" x14ac:dyDescent="0.2">
      <c r="A12" s="92" t="s">
        <v>427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89"/>
      <c r="Q12" s="30"/>
      <c r="R12" s="30">
        <f>5+10/20+0.5/240</f>
        <v>5.5020833333333332</v>
      </c>
      <c r="S12" s="29"/>
      <c r="T12" s="29"/>
      <c r="U12" s="29"/>
      <c r="V12" s="29"/>
      <c r="Z12" s="25"/>
    </row>
  </sheetData>
  <mergeCells count="7">
    <mergeCell ref="B2:D2"/>
    <mergeCell ref="F2:L2"/>
    <mergeCell ref="P2:R2"/>
    <mergeCell ref="B3:C3"/>
    <mergeCell ref="F3:G3"/>
    <mergeCell ref="H3:I3"/>
    <mergeCell ref="J3:L3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22C11-BF1A-A14E-A04C-F93A502BB0C7}">
  <dimension ref="A1:T100"/>
  <sheetViews>
    <sheetView tabSelected="1" topLeftCell="A2" zoomScale="85" workbookViewId="0">
      <pane xSplit="1" ySplit="2" topLeftCell="L19" activePane="bottomRight" state="frozen"/>
      <selection activeCell="A2" sqref="A2"/>
      <selection pane="topRight" activeCell="B2" sqref="B2"/>
      <selection pane="bottomLeft" activeCell="A4" sqref="A4"/>
      <selection pane="bottomRight" activeCell="R40" sqref="R40"/>
    </sheetView>
  </sheetViews>
  <sheetFormatPr baseColWidth="10" defaultRowHeight="16" x14ac:dyDescent="0.2"/>
  <cols>
    <col min="1" max="1" width="44.33203125" bestFit="1" customWidth="1"/>
    <col min="2" max="2" width="8.5" bestFit="1" customWidth="1"/>
    <col min="14" max="14" width="11.6640625" bestFit="1" customWidth="1"/>
    <col min="17" max="17" width="10.83203125" style="25"/>
    <col min="18" max="18" width="17.5" style="25" customWidth="1"/>
    <col min="19" max="19" width="10.83203125" style="25"/>
  </cols>
  <sheetData>
    <row r="1" spans="1:20" x14ac:dyDescent="0.2">
      <c r="A1" s="8" t="s">
        <v>158</v>
      </c>
      <c r="B1" s="9"/>
      <c r="C1" s="9"/>
      <c r="D1" s="9"/>
      <c r="E1" s="9"/>
      <c r="F1" s="9"/>
      <c r="G1" s="9"/>
      <c r="H1" s="9"/>
      <c r="I1" s="9"/>
      <c r="J1" s="9"/>
      <c r="K1" s="9"/>
      <c r="L1" s="49"/>
      <c r="M1" s="49"/>
      <c r="N1" s="9"/>
      <c r="O1" s="9"/>
      <c r="P1" s="9"/>
      <c r="Q1" s="49"/>
      <c r="R1" s="49"/>
      <c r="S1" s="49"/>
      <c r="T1" s="9"/>
    </row>
    <row r="2" spans="1:20" x14ac:dyDescent="0.2">
      <c r="A2" s="51"/>
      <c r="B2" s="9"/>
      <c r="C2" s="9"/>
      <c r="D2" s="9"/>
      <c r="E2" s="9"/>
      <c r="F2" s="9"/>
      <c r="G2" s="9"/>
      <c r="H2" s="9"/>
      <c r="I2" s="9"/>
      <c r="J2" s="9"/>
      <c r="K2" s="9"/>
      <c r="L2" s="49"/>
      <c r="M2" s="49"/>
      <c r="N2" s="9"/>
      <c r="O2" s="9"/>
      <c r="P2" s="9"/>
      <c r="Q2" s="49"/>
      <c r="R2" s="49"/>
      <c r="S2" s="49"/>
      <c r="T2" s="9"/>
    </row>
    <row r="3" spans="1:20" ht="51" x14ac:dyDescent="0.2">
      <c r="A3" s="52" t="s">
        <v>87</v>
      </c>
      <c r="B3" s="53" t="s">
        <v>138</v>
      </c>
      <c r="C3" s="53" t="s">
        <v>202</v>
      </c>
      <c r="D3" s="53" t="s">
        <v>203</v>
      </c>
      <c r="E3" s="8" t="s">
        <v>139</v>
      </c>
      <c r="F3" s="8" t="s">
        <v>140</v>
      </c>
      <c r="G3" s="53" t="s">
        <v>141</v>
      </c>
      <c r="H3" s="53" t="s">
        <v>142</v>
      </c>
      <c r="I3" s="53" t="s">
        <v>143</v>
      </c>
      <c r="J3" s="53" t="s">
        <v>144</v>
      </c>
      <c r="K3" s="53" t="s">
        <v>145</v>
      </c>
      <c r="L3" s="54" t="s">
        <v>163</v>
      </c>
      <c r="M3" s="54" t="s">
        <v>164</v>
      </c>
      <c r="N3" s="53" t="s">
        <v>165</v>
      </c>
      <c r="O3" s="53" t="s">
        <v>166</v>
      </c>
      <c r="P3" s="53" t="s">
        <v>168</v>
      </c>
      <c r="Q3" s="54" t="s">
        <v>146</v>
      </c>
      <c r="R3" s="60" t="s">
        <v>162</v>
      </c>
      <c r="S3" s="60" t="s">
        <v>147</v>
      </c>
      <c r="T3" s="53" t="s">
        <v>148</v>
      </c>
    </row>
    <row r="4" spans="1:20" ht="17" x14ac:dyDescent="0.2">
      <c r="A4" s="51" t="s">
        <v>89</v>
      </c>
      <c r="B4" s="9">
        <v>2</v>
      </c>
      <c r="C4" s="9">
        <v>1</v>
      </c>
      <c r="D4" s="9"/>
      <c r="E4" s="9"/>
      <c r="F4" s="9"/>
      <c r="G4" s="9">
        <v>1</v>
      </c>
      <c r="H4" s="9"/>
      <c r="I4" s="9"/>
      <c r="J4" s="9">
        <v>2</v>
      </c>
      <c r="K4" s="53">
        <f>B4+C4+D4+E4-F4-G4-H4-I4</f>
        <v>2</v>
      </c>
      <c r="L4">
        <f>S4/G4</f>
        <v>0.3</v>
      </c>
      <c r="Q4" s="49">
        <f>L4</f>
        <v>0.3</v>
      </c>
      <c r="R4" s="49">
        <f>D4*Q4</f>
        <v>0</v>
      </c>
      <c r="S4" s="49">
        <f>'Overton Receipts'!F81</f>
        <v>0.3</v>
      </c>
      <c r="T4" s="9"/>
    </row>
    <row r="5" spans="1:20" ht="17" x14ac:dyDescent="0.2">
      <c r="A5" s="51" t="s">
        <v>90</v>
      </c>
      <c r="B5" s="9"/>
      <c r="C5" s="9"/>
      <c r="D5" s="9"/>
      <c r="E5" s="9"/>
      <c r="F5" s="9"/>
      <c r="G5" s="9"/>
      <c r="H5" s="9"/>
      <c r="I5" s="9"/>
      <c r="J5" s="9"/>
      <c r="K5" s="53">
        <f t="shared" ref="K5:K68" si="0">B5+C5+D5+E5-F5-G5-H5-I5</f>
        <v>0</v>
      </c>
      <c r="M5" s="54"/>
      <c r="N5" s="53"/>
      <c r="O5" s="53"/>
      <c r="P5" s="53"/>
      <c r="Q5" s="49" t="str">
        <f t="shared" ref="Q5:Q66" si="1">IFERROR((L5+N5)/(M5+O5),"")</f>
        <v/>
      </c>
      <c r="R5" s="49"/>
      <c r="S5" s="49" t="str">
        <f t="shared" ref="S5:S66" si="2">IFERROR(Q5*G5,"")</f>
        <v/>
      </c>
      <c r="T5" s="9"/>
    </row>
    <row r="6" spans="1:20" x14ac:dyDescent="0.2">
      <c r="A6" s="9" t="s">
        <v>91</v>
      </c>
      <c r="B6" s="9">
        <v>9</v>
      </c>
      <c r="C6" s="9"/>
      <c r="D6" s="9"/>
      <c r="E6" s="9">
        <v>1</v>
      </c>
      <c r="F6" s="9"/>
      <c r="G6" s="9"/>
      <c r="H6" s="9"/>
      <c r="I6" s="9"/>
      <c r="J6" s="9">
        <v>10</v>
      </c>
      <c r="K6" s="53">
        <f t="shared" si="0"/>
        <v>10</v>
      </c>
      <c r="M6" s="54"/>
      <c r="N6" s="53"/>
      <c r="O6" s="53"/>
      <c r="P6" s="53"/>
      <c r="Q6" s="49" t="str">
        <f t="shared" si="1"/>
        <v/>
      </c>
      <c r="R6" s="49"/>
      <c r="S6" s="49" t="str">
        <f t="shared" si="2"/>
        <v/>
      </c>
      <c r="T6" s="9"/>
    </row>
    <row r="7" spans="1:20" x14ac:dyDescent="0.2">
      <c r="A7" s="9" t="s">
        <v>92</v>
      </c>
      <c r="B7" s="9"/>
      <c r="C7" s="9"/>
      <c r="D7" s="9"/>
      <c r="E7" s="9"/>
      <c r="F7" s="9"/>
      <c r="G7" s="9"/>
      <c r="H7" s="9"/>
      <c r="I7" s="9"/>
      <c r="J7" s="9"/>
      <c r="K7" s="53">
        <f t="shared" si="0"/>
        <v>0</v>
      </c>
      <c r="M7" s="54"/>
      <c r="N7" s="53"/>
      <c r="O7" s="53"/>
      <c r="P7" s="53"/>
      <c r="Q7" s="49" t="str">
        <f t="shared" si="1"/>
        <v/>
      </c>
      <c r="R7" s="49"/>
      <c r="S7" s="49" t="str">
        <f t="shared" si="2"/>
        <v/>
      </c>
      <c r="T7" s="9"/>
    </row>
    <row r="8" spans="1:20" x14ac:dyDescent="0.2">
      <c r="A8" s="9" t="s">
        <v>92</v>
      </c>
      <c r="B8" s="9"/>
      <c r="C8" s="9"/>
      <c r="D8" s="9"/>
      <c r="E8" s="9"/>
      <c r="F8" s="9"/>
      <c r="G8" s="9"/>
      <c r="H8" s="9"/>
      <c r="I8" s="9"/>
      <c r="J8" s="9"/>
      <c r="K8" s="53">
        <f t="shared" si="0"/>
        <v>0</v>
      </c>
      <c r="M8" s="54"/>
      <c r="N8" s="53"/>
      <c r="O8" s="53"/>
      <c r="P8" s="53"/>
      <c r="Q8" s="49" t="str">
        <f t="shared" si="1"/>
        <v/>
      </c>
      <c r="R8" s="49"/>
      <c r="S8" s="49" t="str">
        <f t="shared" si="2"/>
        <v/>
      </c>
      <c r="T8" s="9"/>
    </row>
    <row r="9" spans="1:20" x14ac:dyDescent="0.2">
      <c r="A9" s="9" t="s">
        <v>93</v>
      </c>
      <c r="B9" s="9"/>
      <c r="C9" s="9"/>
      <c r="D9" s="9"/>
      <c r="E9" s="9"/>
      <c r="F9" s="9"/>
      <c r="G9" s="9"/>
      <c r="H9" s="9"/>
      <c r="I9" s="9"/>
      <c r="J9" s="9"/>
      <c r="K9" s="53">
        <f t="shared" si="0"/>
        <v>0</v>
      </c>
      <c r="M9" s="54"/>
      <c r="N9" s="53"/>
      <c r="O9" s="53"/>
      <c r="P9" s="53"/>
      <c r="Q9" s="49" t="str">
        <f t="shared" si="1"/>
        <v/>
      </c>
      <c r="R9" s="49"/>
      <c r="S9" s="49" t="str">
        <f t="shared" si="2"/>
        <v/>
      </c>
      <c r="T9" s="9"/>
    </row>
    <row r="10" spans="1:20" x14ac:dyDescent="0.2">
      <c r="A10" s="9" t="s">
        <v>94</v>
      </c>
      <c r="B10" s="9"/>
      <c r="C10" s="9"/>
      <c r="D10" s="9"/>
      <c r="E10" s="9"/>
      <c r="F10" s="9"/>
      <c r="G10" s="9"/>
      <c r="H10" s="9"/>
      <c r="I10" s="9"/>
      <c r="J10" s="9"/>
      <c r="K10" s="53">
        <f t="shared" si="0"/>
        <v>0</v>
      </c>
      <c r="M10" s="54"/>
      <c r="N10" s="53"/>
      <c r="O10" s="53"/>
      <c r="P10" s="53"/>
      <c r="Q10" s="49" t="str">
        <f t="shared" si="1"/>
        <v/>
      </c>
      <c r="R10" s="49"/>
      <c r="S10" s="49" t="str">
        <f t="shared" si="2"/>
        <v/>
      </c>
      <c r="T10" s="9"/>
    </row>
    <row r="11" spans="1:20" x14ac:dyDescent="0.2">
      <c r="A11" s="9" t="s">
        <v>95</v>
      </c>
      <c r="B11" s="9">
        <v>20</v>
      </c>
      <c r="C11" s="9">
        <v>2</v>
      </c>
      <c r="D11" s="9"/>
      <c r="E11" s="9"/>
      <c r="F11" s="9"/>
      <c r="G11" s="9">
        <v>2</v>
      </c>
      <c r="H11" s="9"/>
      <c r="I11" s="9"/>
      <c r="J11" s="9">
        <v>20</v>
      </c>
      <c r="K11" s="53">
        <f t="shared" si="0"/>
        <v>20</v>
      </c>
      <c r="L11" s="25">
        <f>S11/G11</f>
        <v>0.48749999999999999</v>
      </c>
      <c r="M11" s="55"/>
      <c r="N11" s="56"/>
      <c r="O11" s="56"/>
      <c r="P11" s="56"/>
      <c r="Q11" s="49">
        <f>L11</f>
        <v>0.48749999999999999</v>
      </c>
      <c r="R11" s="49">
        <f t="shared" ref="R11:R25" si="3">D11*Q11</f>
        <v>0</v>
      </c>
      <c r="S11" s="49">
        <f>'Overton Receipts'!F82</f>
        <v>0.97499999999999998</v>
      </c>
      <c r="T11" s="9"/>
    </row>
    <row r="12" spans="1:20" x14ac:dyDescent="0.2">
      <c r="A12" s="9" t="s">
        <v>96</v>
      </c>
      <c r="B12" s="9">
        <v>1</v>
      </c>
      <c r="C12" s="9"/>
      <c r="D12" s="9">
        <v>1</v>
      </c>
      <c r="E12" s="9"/>
      <c r="F12" s="9"/>
      <c r="G12" s="9">
        <v>1</v>
      </c>
      <c r="H12" s="9"/>
      <c r="I12" s="9"/>
      <c r="J12" s="9">
        <v>1</v>
      </c>
      <c r="K12" s="53">
        <f t="shared" si="0"/>
        <v>1</v>
      </c>
      <c r="L12" s="25">
        <f t="shared" ref="L12:L14" si="4">S12/G12</f>
        <v>0.5</v>
      </c>
      <c r="M12" s="55"/>
      <c r="N12" s="56"/>
      <c r="O12" s="56"/>
      <c r="P12" s="56"/>
      <c r="Q12" s="49">
        <f t="shared" ref="Q12:Q25" si="5">L12</f>
        <v>0.5</v>
      </c>
      <c r="R12" s="49">
        <f t="shared" si="3"/>
        <v>0.5</v>
      </c>
      <c r="S12" s="49">
        <f>'Overton Receipts'!F83</f>
        <v>0.5</v>
      </c>
      <c r="T12" s="9"/>
    </row>
    <row r="13" spans="1:20" x14ac:dyDescent="0.2">
      <c r="A13" s="9" t="s">
        <v>97</v>
      </c>
      <c r="B13" s="9">
        <v>25</v>
      </c>
      <c r="C13" s="9"/>
      <c r="D13" s="9">
        <v>3</v>
      </c>
      <c r="E13" s="9">
        <v>1</v>
      </c>
      <c r="F13" s="9"/>
      <c r="G13" s="9">
        <v>2</v>
      </c>
      <c r="H13" s="9">
        <v>1</v>
      </c>
      <c r="I13" s="9"/>
      <c r="J13" s="9">
        <v>26</v>
      </c>
      <c r="K13" s="53">
        <f t="shared" si="0"/>
        <v>26</v>
      </c>
      <c r="L13" s="25">
        <f t="shared" si="4"/>
        <v>0.4</v>
      </c>
      <c r="M13" s="55"/>
      <c r="N13" s="56"/>
      <c r="O13" s="56"/>
      <c r="P13" s="56"/>
      <c r="Q13" s="49">
        <f t="shared" si="5"/>
        <v>0.4</v>
      </c>
      <c r="R13" s="49">
        <f t="shared" si="3"/>
        <v>1.2000000000000002</v>
      </c>
      <c r="S13" s="49">
        <f>'Overton Receipts'!F84</f>
        <v>0.8</v>
      </c>
      <c r="T13" s="9"/>
    </row>
    <row r="14" spans="1:20" x14ac:dyDescent="0.2">
      <c r="A14" s="9" t="s">
        <v>98</v>
      </c>
      <c r="B14" s="9">
        <v>5</v>
      </c>
      <c r="C14" s="9"/>
      <c r="D14" s="9"/>
      <c r="E14" s="9"/>
      <c r="F14" s="9"/>
      <c r="G14" s="9">
        <v>1</v>
      </c>
      <c r="H14" s="9"/>
      <c r="I14" s="9">
        <v>4</v>
      </c>
      <c r="J14" s="9">
        <v>0</v>
      </c>
      <c r="K14" s="53">
        <f t="shared" si="0"/>
        <v>0</v>
      </c>
      <c r="L14" s="25">
        <f t="shared" si="4"/>
        <v>0.35</v>
      </c>
      <c r="M14" s="55"/>
      <c r="N14" s="56"/>
      <c r="O14" s="56"/>
      <c r="P14" s="56"/>
      <c r="Q14" s="49">
        <f t="shared" si="5"/>
        <v>0.35</v>
      </c>
      <c r="R14" s="49">
        <f t="shared" si="3"/>
        <v>0</v>
      </c>
      <c r="S14" s="49">
        <f>'Overton Receipts'!F85</f>
        <v>0.35</v>
      </c>
      <c r="T14" s="9"/>
    </row>
    <row r="15" spans="1:20" x14ac:dyDescent="0.2">
      <c r="A15" s="9" t="s">
        <v>99</v>
      </c>
      <c r="B15" s="9">
        <v>9</v>
      </c>
      <c r="C15" s="9"/>
      <c r="D15" s="9"/>
      <c r="E15" s="9"/>
      <c r="F15" s="9"/>
      <c r="G15" s="9"/>
      <c r="H15" s="9"/>
      <c r="I15" s="9"/>
      <c r="J15" s="9">
        <v>9</v>
      </c>
      <c r="K15" s="53">
        <f t="shared" si="0"/>
        <v>9</v>
      </c>
      <c r="L15" s="25"/>
      <c r="M15" s="55"/>
      <c r="N15" s="56"/>
      <c r="O15" s="56"/>
      <c r="P15" s="56"/>
      <c r="Q15" s="49"/>
      <c r="R15" s="49"/>
      <c r="S15" s="49"/>
      <c r="T15" s="9"/>
    </row>
    <row r="16" spans="1:20" x14ac:dyDescent="0.2">
      <c r="A16" s="9" t="s">
        <v>100</v>
      </c>
      <c r="B16" s="9">
        <v>10</v>
      </c>
      <c r="C16" s="9"/>
      <c r="D16" s="9"/>
      <c r="E16" s="9"/>
      <c r="F16" s="9"/>
      <c r="G16" s="9"/>
      <c r="H16" s="9">
        <v>1</v>
      </c>
      <c r="I16" s="9"/>
      <c r="J16" s="9">
        <v>9</v>
      </c>
      <c r="K16" s="53">
        <f t="shared" si="0"/>
        <v>9</v>
      </c>
      <c r="L16" s="25"/>
      <c r="M16" s="55"/>
      <c r="N16" s="56"/>
      <c r="O16" s="56"/>
      <c r="P16" s="56"/>
      <c r="Q16" s="49"/>
      <c r="R16" s="49"/>
      <c r="S16" s="49"/>
      <c r="T16" s="9"/>
    </row>
    <row r="17" spans="1:20" x14ac:dyDescent="0.2">
      <c r="A17" s="9" t="s">
        <v>101</v>
      </c>
      <c r="B17" s="9">
        <v>25</v>
      </c>
      <c r="C17" s="9"/>
      <c r="D17" s="9"/>
      <c r="E17" s="9"/>
      <c r="F17" s="9"/>
      <c r="G17" s="9">
        <v>11</v>
      </c>
      <c r="H17" s="9">
        <v>3</v>
      </c>
      <c r="I17" s="9">
        <v>2</v>
      </c>
      <c r="J17" s="9">
        <v>9</v>
      </c>
      <c r="K17" s="53">
        <f t="shared" si="0"/>
        <v>9</v>
      </c>
      <c r="L17" s="25">
        <f>S17/G17</f>
        <v>4.46969696969697E-2</v>
      </c>
      <c r="M17" s="55"/>
      <c r="N17" s="56"/>
      <c r="O17" s="56"/>
      <c r="P17" s="56"/>
      <c r="Q17" s="49">
        <f t="shared" si="5"/>
        <v>4.46969696969697E-2</v>
      </c>
      <c r="R17" s="49">
        <f t="shared" si="3"/>
        <v>0</v>
      </c>
      <c r="S17" s="49">
        <f>'Overton Receipts'!F86</f>
        <v>0.4916666666666667</v>
      </c>
      <c r="T17" s="9"/>
    </row>
    <row r="18" spans="1:20" x14ac:dyDescent="0.2">
      <c r="A18" s="9" t="s">
        <v>102</v>
      </c>
      <c r="B18" s="9"/>
      <c r="C18" s="9"/>
      <c r="D18" s="9"/>
      <c r="E18" s="9"/>
      <c r="F18" s="9"/>
      <c r="G18" s="9"/>
      <c r="H18" s="9"/>
      <c r="I18" s="9"/>
      <c r="J18" s="9"/>
      <c r="K18" s="53">
        <f t="shared" si="0"/>
        <v>0</v>
      </c>
      <c r="L18" s="25"/>
      <c r="M18" s="55"/>
      <c r="N18" s="56"/>
      <c r="O18" s="56"/>
      <c r="P18" s="56"/>
      <c r="Q18" s="49"/>
      <c r="R18" s="49"/>
      <c r="S18" s="49"/>
      <c r="T18" s="9"/>
    </row>
    <row r="19" spans="1:20" x14ac:dyDescent="0.2">
      <c r="A19" s="9" t="s">
        <v>103</v>
      </c>
      <c r="B19" s="9">
        <v>20</v>
      </c>
      <c r="C19" s="9">
        <v>1</v>
      </c>
      <c r="D19" s="9">
        <v>7</v>
      </c>
      <c r="E19" s="9"/>
      <c r="F19" s="9"/>
      <c r="G19" s="9"/>
      <c r="H19" s="9"/>
      <c r="I19" s="9">
        <v>11</v>
      </c>
      <c r="J19" s="9">
        <v>17</v>
      </c>
      <c r="K19" s="53">
        <f t="shared" si="0"/>
        <v>17</v>
      </c>
      <c r="L19" s="25"/>
      <c r="M19" s="55"/>
      <c r="N19" s="56"/>
      <c r="O19" s="56"/>
      <c r="P19" s="56"/>
      <c r="Q19" s="49"/>
      <c r="R19" s="49"/>
      <c r="S19" s="49"/>
      <c r="T19" s="9"/>
    </row>
    <row r="20" spans="1:20" x14ac:dyDescent="0.2">
      <c r="A20" s="9" t="s">
        <v>104</v>
      </c>
      <c r="B20" s="9">
        <v>495</v>
      </c>
      <c r="C20" s="9">
        <v>106</v>
      </c>
      <c r="D20" s="9">
        <v>102</v>
      </c>
      <c r="E20" s="9"/>
      <c r="F20" s="9"/>
      <c r="G20" s="9">
        <v>39</v>
      </c>
      <c r="H20" s="9">
        <f>7+14+12</f>
        <v>33</v>
      </c>
      <c r="I20" s="9"/>
      <c r="J20" s="9">
        <v>631</v>
      </c>
      <c r="K20" s="53">
        <f t="shared" si="0"/>
        <v>631</v>
      </c>
      <c r="L20" s="25">
        <f>S20/G20</f>
        <v>3.7499999999999999E-2</v>
      </c>
      <c r="M20" s="55"/>
      <c r="N20" s="56"/>
      <c r="O20" s="56"/>
      <c r="P20" s="56"/>
      <c r="Q20" s="49">
        <f t="shared" si="5"/>
        <v>3.7499999999999999E-2</v>
      </c>
      <c r="R20" s="49">
        <f t="shared" si="3"/>
        <v>3.8249999999999997</v>
      </c>
      <c r="S20" s="49">
        <f>'Overton Receipts'!F87</f>
        <v>1.4624999999999999</v>
      </c>
      <c r="T20" s="9" t="s">
        <v>444</v>
      </c>
    </row>
    <row r="21" spans="1:20" x14ac:dyDescent="0.2">
      <c r="A21" s="9" t="s">
        <v>105</v>
      </c>
      <c r="B21" s="9">
        <v>234</v>
      </c>
      <c r="C21" s="9"/>
      <c r="D21" s="9"/>
      <c r="E21" s="9"/>
      <c r="F21" s="9"/>
      <c r="G21" s="9">
        <v>12</v>
      </c>
      <c r="H21" s="9">
        <v>12</v>
      </c>
      <c r="I21" s="9">
        <f>102+7+101</f>
        <v>210</v>
      </c>
      <c r="J21" s="9">
        <v>0</v>
      </c>
      <c r="K21" s="53">
        <f t="shared" si="0"/>
        <v>0</v>
      </c>
      <c r="L21" s="25">
        <f>S21/G21</f>
        <v>2.4999999999999998E-2</v>
      </c>
      <c r="M21" s="55"/>
      <c r="N21" s="56"/>
      <c r="O21" s="56"/>
      <c r="P21" s="56"/>
      <c r="Q21" s="49">
        <f t="shared" si="5"/>
        <v>2.4999999999999998E-2</v>
      </c>
      <c r="R21" s="49">
        <f t="shared" si="3"/>
        <v>0</v>
      </c>
      <c r="S21" s="49">
        <f>'Overton Receipts'!F89</f>
        <v>0.3</v>
      </c>
      <c r="T21" s="9"/>
    </row>
    <row r="22" spans="1:20" x14ac:dyDescent="0.2">
      <c r="A22" s="9" t="s">
        <v>106</v>
      </c>
      <c r="B22" s="9">
        <v>401</v>
      </c>
      <c r="C22" s="9"/>
      <c r="D22" s="9"/>
      <c r="E22" s="9"/>
      <c r="F22" s="9"/>
      <c r="G22" s="9"/>
      <c r="H22" s="9">
        <f>61+12+14</f>
        <v>87</v>
      </c>
      <c r="I22" s="9">
        <f>34</f>
        <v>34</v>
      </c>
      <c r="J22" s="9">
        <v>280</v>
      </c>
      <c r="K22" s="53">
        <f t="shared" si="0"/>
        <v>280</v>
      </c>
      <c r="L22" s="25"/>
      <c r="M22" s="55"/>
      <c r="N22" s="56"/>
      <c r="O22" s="56"/>
      <c r="P22" s="56"/>
      <c r="Q22" s="49"/>
      <c r="R22" s="49"/>
      <c r="S22" s="49"/>
      <c r="T22" s="9"/>
    </row>
    <row r="23" spans="1:20" x14ac:dyDescent="0.2">
      <c r="A23" s="9" t="s">
        <v>107</v>
      </c>
      <c r="B23" s="9"/>
      <c r="C23" s="9"/>
      <c r="D23" s="9"/>
      <c r="E23" s="9"/>
      <c r="F23" s="9"/>
      <c r="G23" s="9"/>
      <c r="H23" s="9"/>
      <c r="I23" s="9"/>
      <c r="J23" s="9"/>
      <c r="K23" s="53">
        <f t="shared" si="0"/>
        <v>0</v>
      </c>
      <c r="L23" s="25"/>
      <c r="M23" s="55"/>
      <c r="N23" s="56"/>
      <c r="O23" s="56"/>
      <c r="P23" s="56"/>
      <c r="Q23" s="49"/>
      <c r="R23" s="49"/>
      <c r="S23" s="49"/>
      <c r="T23" s="9"/>
    </row>
    <row r="24" spans="1:20" x14ac:dyDescent="0.2">
      <c r="A24" s="9" t="s">
        <v>108</v>
      </c>
      <c r="B24" s="9"/>
      <c r="C24" s="9"/>
      <c r="D24" s="9"/>
      <c r="E24" s="9"/>
      <c r="F24" s="9"/>
      <c r="G24" s="9"/>
      <c r="H24" s="9"/>
      <c r="I24" s="9"/>
      <c r="J24" s="9"/>
      <c r="K24" s="53">
        <f t="shared" si="0"/>
        <v>0</v>
      </c>
      <c r="L24" s="25"/>
      <c r="M24" s="55"/>
      <c r="N24" s="56"/>
      <c r="O24" s="56"/>
      <c r="P24" s="56"/>
      <c r="Q24" s="49"/>
      <c r="R24" s="49"/>
      <c r="S24" s="49"/>
      <c r="T24" s="9"/>
    </row>
    <row r="25" spans="1:20" x14ac:dyDescent="0.2">
      <c r="A25" s="9" t="s">
        <v>109</v>
      </c>
      <c r="B25" s="9"/>
      <c r="C25" s="9">
        <v>2</v>
      </c>
      <c r="D25" s="9"/>
      <c r="E25" s="9"/>
      <c r="F25" s="9"/>
      <c r="G25" s="9">
        <v>2</v>
      </c>
      <c r="H25" s="9"/>
      <c r="I25" s="9"/>
      <c r="J25" s="9"/>
      <c r="K25" s="53">
        <f t="shared" si="0"/>
        <v>0</v>
      </c>
      <c r="L25" s="25">
        <f>S25/G25</f>
        <v>0.18958333333333333</v>
      </c>
      <c r="M25" s="55"/>
      <c r="N25" s="56"/>
      <c r="O25" s="56"/>
      <c r="P25" s="56"/>
      <c r="Q25" s="49">
        <f t="shared" si="5"/>
        <v>0.18958333333333333</v>
      </c>
      <c r="R25" s="49">
        <f t="shared" si="3"/>
        <v>0</v>
      </c>
      <c r="S25" s="49">
        <f>'Overton Receipts'!F90</f>
        <v>0.37916666666666665</v>
      </c>
      <c r="T25" s="9"/>
    </row>
    <row r="26" spans="1:20" x14ac:dyDescent="0.2">
      <c r="A26" s="9" t="s">
        <v>110</v>
      </c>
      <c r="B26" s="9"/>
      <c r="C26" s="9"/>
      <c r="D26" s="9"/>
      <c r="E26" s="9"/>
      <c r="F26" s="9"/>
      <c r="G26" s="9"/>
      <c r="H26" s="9"/>
      <c r="I26" s="9"/>
      <c r="J26" s="9"/>
      <c r="K26" s="53">
        <f t="shared" si="0"/>
        <v>0</v>
      </c>
      <c r="M26" s="55"/>
      <c r="N26" s="56"/>
      <c r="O26" s="56"/>
      <c r="P26" s="56"/>
      <c r="Q26" s="49" t="str">
        <f t="shared" si="1"/>
        <v/>
      </c>
      <c r="R26" s="49" t="str">
        <f t="shared" ref="R26:R66" si="6">IFERROR(D26*Q26,"")</f>
        <v/>
      </c>
      <c r="S26" s="49" t="str">
        <f t="shared" si="2"/>
        <v/>
      </c>
      <c r="T26" s="9"/>
    </row>
    <row r="27" spans="1:20" x14ac:dyDescent="0.2">
      <c r="A27" s="9" t="s">
        <v>111</v>
      </c>
      <c r="B27" s="9"/>
      <c r="C27" s="9"/>
      <c r="D27" s="9"/>
      <c r="E27" s="9"/>
      <c r="F27" s="9"/>
      <c r="G27" s="9"/>
      <c r="H27" s="9"/>
      <c r="I27" s="9"/>
      <c r="J27" s="9"/>
      <c r="K27" s="53">
        <f t="shared" si="0"/>
        <v>0</v>
      </c>
      <c r="M27" s="55"/>
      <c r="N27" s="56"/>
      <c r="O27" s="56"/>
      <c r="P27" s="56"/>
      <c r="Q27" s="49" t="str">
        <f t="shared" si="1"/>
        <v/>
      </c>
      <c r="R27" s="49" t="str">
        <f t="shared" si="6"/>
        <v/>
      </c>
      <c r="S27" s="49" t="str">
        <f t="shared" si="2"/>
        <v/>
      </c>
      <c r="T27" s="9"/>
    </row>
    <row r="28" spans="1:20" x14ac:dyDescent="0.2">
      <c r="A28" s="9" t="s">
        <v>112</v>
      </c>
      <c r="B28" s="9"/>
      <c r="C28" s="9"/>
      <c r="D28" s="9"/>
      <c r="E28" s="9"/>
      <c r="F28" s="9"/>
      <c r="G28" s="9"/>
      <c r="H28" s="9"/>
      <c r="I28" s="9"/>
      <c r="J28" s="9"/>
      <c r="K28" s="53">
        <f t="shared" si="0"/>
        <v>0</v>
      </c>
      <c r="M28" s="55"/>
      <c r="N28" s="56"/>
      <c r="O28" s="56"/>
      <c r="P28" s="56"/>
      <c r="Q28" s="49" t="str">
        <f t="shared" si="1"/>
        <v/>
      </c>
      <c r="R28" s="49" t="str">
        <f t="shared" si="6"/>
        <v/>
      </c>
      <c r="S28" s="49" t="str">
        <f t="shared" si="2"/>
        <v/>
      </c>
      <c r="T28" s="9"/>
    </row>
    <row r="29" spans="1:20" x14ac:dyDescent="0.2">
      <c r="A29" s="9" t="s">
        <v>113</v>
      </c>
      <c r="B29" s="9">
        <v>10</v>
      </c>
      <c r="C29" s="9"/>
      <c r="D29" s="9">
        <v>2</v>
      </c>
      <c r="E29" s="9"/>
      <c r="F29" s="9"/>
      <c r="G29" s="9"/>
      <c r="H29" s="9">
        <v>1</v>
      </c>
      <c r="I29" s="9"/>
      <c r="J29" s="9">
        <v>11</v>
      </c>
      <c r="K29" s="53">
        <f t="shared" si="0"/>
        <v>11</v>
      </c>
      <c r="M29" s="49"/>
      <c r="N29" s="9"/>
      <c r="O29" s="9"/>
      <c r="P29" s="9"/>
      <c r="Q29" s="49" t="str">
        <f t="shared" si="1"/>
        <v/>
      </c>
      <c r="R29" s="49" t="str">
        <f t="shared" si="6"/>
        <v/>
      </c>
      <c r="S29" s="49" t="str">
        <f t="shared" si="2"/>
        <v/>
      </c>
      <c r="T29" s="9"/>
    </row>
    <row r="30" spans="1:20" s="19" customFormat="1" x14ac:dyDescent="0.2">
      <c r="A30" s="118" t="s">
        <v>9</v>
      </c>
      <c r="B30" s="118"/>
      <c r="C30" s="118"/>
      <c r="D30" s="118"/>
      <c r="E30" s="118"/>
      <c r="F30" s="118"/>
      <c r="G30" s="118"/>
      <c r="H30" s="118"/>
      <c r="I30" s="118"/>
      <c r="J30" s="118"/>
      <c r="K30" s="119"/>
      <c r="M30" s="120"/>
      <c r="N30" s="118"/>
      <c r="O30" s="118"/>
      <c r="P30" s="118"/>
      <c r="Q30" s="120"/>
      <c r="R30" s="120"/>
      <c r="S30" s="120">
        <f>SUM(S4:S29)</f>
        <v>5.5583333333333327</v>
      </c>
      <c r="T30" s="118"/>
    </row>
    <row r="31" spans="1:20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53"/>
      <c r="L31" s="49"/>
      <c r="M31" s="49"/>
      <c r="N31" s="9"/>
      <c r="O31" s="9"/>
      <c r="P31" s="9"/>
      <c r="Q31" s="49"/>
      <c r="R31" s="49"/>
      <c r="S31" s="49"/>
      <c r="T31" s="9"/>
    </row>
    <row r="32" spans="1:20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53"/>
      <c r="L32" s="49"/>
      <c r="M32" s="49"/>
      <c r="N32" s="9"/>
      <c r="O32" s="9"/>
      <c r="P32" s="9"/>
      <c r="Q32" s="49"/>
      <c r="R32" s="49"/>
      <c r="S32" s="49"/>
      <c r="T32" s="9"/>
    </row>
    <row r="33" spans="1:20" ht="17" x14ac:dyDescent="0.2">
      <c r="A33" s="52" t="s">
        <v>114</v>
      </c>
      <c r="B33" s="47"/>
      <c r="C33" s="47"/>
      <c r="D33" s="47"/>
      <c r="E33" s="47"/>
      <c r="F33" s="9"/>
      <c r="G33" s="9"/>
      <c r="H33" s="9"/>
      <c r="I33" s="9"/>
      <c r="J33" s="9"/>
      <c r="K33" s="53">
        <f t="shared" si="0"/>
        <v>0</v>
      </c>
      <c r="L33" s="49"/>
      <c r="M33" s="49"/>
      <c r="N33" s="9"/>
      <c r="O33" s="9"/>
      <c r="P33" s="9"/>
      <c r="Q33" s="49" t="str">
        <f t="shared" si="1"/>
        <v/>
      </c>
      <c r="R33" s="49" t="str">
        <f t="shared" si="6"/>
        <v/>
      </c>
      <c r="S33" s="49" t="str">
        <f t="shared" si="2"/>
        <v/>
      </c>
      <c r="T33" s="9"/>
    </row>
    <row r="34" spans="1:20" ht="17" x14ac:dyDescent="0.2">
      <c r="A34" s="51" t="s">
        <v>159</v>
      </c>
      <c r="B34" s="9"/>
      <c r="C34" s="9"/>
      <c r="D34" s="9">
        <v>1013</v>
      </c>
      <c r="E34" s="9"/>
      <c r="F34" s="9"/>
      <c r="G34" s="9"/>
      <c r="H34" s="9"/>
      <c r="I34" s="9">
        <f>101+2+910</f>
        <v>1013</v>
      </c>
      <c r="J34" s="9"/>
      <c r="K34" s="53">
        <f t="shared" si="0"/>
        <v>0</v>
      </c>
      <c r="L34" s="49"/>
      <c r="M34" s="49"/>
      <c r="N34" s="9"/>
      <c r="O34" s="9"/>
      <c r="P34" s="9"/>
      <c r="Q34" s="49">
        <v>0.02</v>
      </c>
      <c r="R34" s="49">
        <f t="shared" si="6"/>
        <v>20.260000000000002</v>
      </c>
      <c r="S34" s="49">
        <f t="shared" si="2"/>
        <v>0</v>
      </c>
      <c r="T34" s="9"/>
    </row>
    <row r="35" spans="1:20" x14ac:dyDescent="0.2">
      <c r="A35" s="9" t="s">
        <v>115</v>
      </c>
      <c r="B35" s="9"/>
      <c r="C35" s="9"/>
      <c r="D35" s="9"/>
      <c r="E35" s="9"/>
      <c r="F35" s="9"/>
      <c r="G35" s="9"/>
      <c r="H35" s="9"/>
      <c r="I35" s="9"/>
      <c r="J35" s="9"/>
      <c r="K35" s="53">
        <f t="shared" si="0"/>
        <v>0</v>
      </c>
      <c r="L35" s="49"/>
      <c r="M35" s="49"/>
      <c r="N35" s="9"/>
      <c r="O35" s="9"/>
      <c r="P35" s="9"/>
      <c r="Q35" s="49" t="str">
        <f t="shared" si="1"/>
        <v/>
      </c>
      <c r="R35" s="49" t="str">
        <f>IFERROR(D35*Q35,"")</f>
        <v/>
      </c>
      <c r="S35" s="49" t="str">
        <f>IFERROR(Q35*G35,"")</f>
        <v/>
      </c>
      <c r="T35" s="9"/>
    </row>
    <row r="36" spans="1:20" x14ac:dyDescent="0.2">
      <c r="A36" s="9" t="s">
        <v>116</v>
      </c>
      <c r="B36" s="9"/>
      <c r="C36" s="9"/>
      <c r="D36" s="9">
        <v>294</v>
      </c>
      <c r="E36" s="9"/>
      <c r="F36" s="9"/>
      <c r="G36" s="9"/>
      <c r="H36" s="9"/>
      <c r="I36" s="9">
        <v>294</v>
      </c>
      <c r="J36" s="9"/>
      <c r="K36" s="53">
        <f t="shared" si="0"/>
        <v>0</v>
      </c>
      <c r="L36" s="49"/>
      <c r="M36" s="49"/>
      <c r="N36" s="9"/>
      <c r="O36" s="9"/>
      <c r="P36" s="9"/>
      <c r="Q36" s="49">
        <v>0.01</v>
      </c>
      <c r="R36" s="49">
        <f>IFERROR(D36*Q36,"")</f>
        <v>2.94</v>
      </c>
      <c r="S36" s="49">
        <f>IFERROR(Q36*G36,"")</f>
        <v>0</v>
      </c>
      <c r="T36" s="9"/>
    </row>
    <row r="37" spans="1:20" x14ac:dyDescent="0.2">
      <c r="A37" s="9" t="s">
        <v>117</v>
      </c>
      <c r="B37" s="9"/>
      <c r="C37" s="9"/>
      <c r="D37" s="9"/>
      <c r="E37" s="9"/>
      <c r="F37" s="9"/>
      <c r="G37" s="9"/>
      <c r="H37" s="9"/>
      <c r="I37" s="9"/>
      <c r="J37" s="9"/>
      <c r="K37" s="53">
        <f t="shared" si="0"/>
        <v>0</v>
      </c>
      <c r="L37" s="49"/>
      <c r="M37" s="9"/>
      <c r="N37" s="9"/>
      <c r="O37" s="9"/>
      <c r="P37" s="9"/>
      <c r="Q37" s="49" t="str">
        <f t="shared" si="1"/>
        <v/>
      </c>
      <c r="R37" s="49" t="str">
        <f t="shared" si="6"/>
        <v/>
      </c>
      <c r="S37" s="49">
        <f>'Overton Receipts'!F91</f>
        <v>0.46666666666666667</v>
      </c>
      <c r="T37" s="9" t="s">
        <v>447</v>
      </c>
    </row>
    <row r="38" spans="1:20" x14ac:dyDescent="0.2">
      <c r="A38" s="9" t="s">
        <v>149</v>
      </c>
      <c r="B38" s="9"/>
      <c r="C38" s="9"/>
      <c r="D38" s="9"/>
      <c r="E38" s="9"/>
      <c r="F38" s="9"/>
      <c r="G38" s="9"/>
      <c r="H38" s="9"/>
      <c r="I38" s="9"/>
      <c r="J38" s="9"/>
      <c r="K38" s="53">
        <f t="shared" si="0"/>
        <v>0</v>
      </c>
      <c r="L38" s="49"/>
      <c r="M38" s="49"/>
      <c r="N38" s="9"/>
      <c r="O38" s="9"/>
      <c r="P38" s="9"/>
      <c r="Q38" s="49" t="str">
        <f t="shared" si="1"/>
        <v/>
      </c>
      <c r="R38" s="49" t="str">
        <f t="shared" si="6"/>
        <v/>
      </c>
      <c r="S38" s="49" t="str">
        <f t="shared" si="2"/>
        <v/>
      </c>
      <c r="T38" s="9"/>
    </row>
    <row r="39" spans="1:20" s="19" customFormat="1" x14ac:dyDescent="0.2">
      <c r="A39" s="118" t="s">
        <v>9</v>
      </c>
      <c r="B39" s="118"/>
      <c r="C39" s="118"/>
      <c r="D39" s="118"/>
      <c r="E39" s="118"/>
      <c r="F39" s="118"/>
      <c r="G39" s="118"/>
      <c r="H39" s="118"/>
      <c r="I39" s="118"/>
      <c r="J39" s="118"/>
      <c r="K39" s="119"/>
      <c r="L39" s="120"/>
      <c r="M39" s="120"/>
      <c r="N39" s="118"/>
      <c r="O39" s="118"/>
      <c r="P39" s="118"/>
      <c r="Q39" s="120"/>
      <c r="R39" s="120">
        <f>SUM(R34:R38)+S37</f>
        <v>23.666666666666668</v>
      </c>
      <c r="S39" s="120"/>
      <c r="T39" s="118"/>
    </row>
    <row r="40" spans="1:20" x14ac:dyDescent="0.2">
      <c r="A40" s="9"/>
      <c r="B40" s="9"/>
      <c r="C40" s="9"/>
      <c r="D40" s="9"/>
      <c r="E40" s="9"/>
      <c r="F40" s="9"/>
      <c r="G40" s="9"/>
      <c r="H40" s="9"/>
      <c r="I40" s="9"/>
      <c r="J40" s="9"/>
      <c r="K40" s="53"/>
      <c r="L40" s="49"/>
      <c r="M40" s="49"/>
      <c r="N40" s="9"/>
      <c r="O40" s="9"/>
      <c r="P40" s="9"/>
      <c r="Q40" s="49"/>
      <c r="R40" s="49"/>
      <c r="S40" s="49"/>
      <c r="T40" s="9"/>
    </row>
    <row r="41" spans="1:20" x14ac:dyDescent="0.2">
      <c r="A41" s="9"/>
      <c r="B41" s="9"/>
      <c r="C41" s="9"/>
      <c r="D41" s="9"/>
      <c r="E41" s="9"/>
      <c r="F41" s="9"/>
      <c r="G41" s="9"/>
      <c r="H41" s="9"/>
      <c r="I41" s="9"/>
      <c r="J41" s="9"/>
      <c r="K41" s="53"/>
      <c r="L41" s="49"/>
      <c r="M41" s="49"/>
      <c r="N41" s="9"/>
      <c r="O41" s="9"/>
      <c r="P41" s="9"/>
      <c r="Q41" s="49"/>
      <c r="R41" s="49"/>
      <c r="S41" s="49"/>
      <c r="T41" s="9"/>
    </row>
    <row r="42" spans="1:20" ht="17" x14ac:dyDescent="0.2">
      <c r="A42" s="52" t="s">
        <v>118</v>
      </c>
      <c r="B42" s="47"/>
      <c r="C42" s="47"/>
      <c r="D42" s="9"/>
      <c r="E42" s="9"/>
      <c r="F42" s="9"/>
      <c r="G42" s="9"/>
      <c r="H42" s="9"/>
      <c r="I42" s="9"/>
      <c r="J42" s="9"/>
      <c r="K42" s="53"/>
      <c r="L42" s="49"/>
      <c r="M42" s="49"/>
      <c r="N42" s="9"/>
      <c r="O42" s="9"/>
      <c r="P42" s="9"/>
      <c r="Q42" s="49" t="str">
        <f t="shared" si="1"/>
        <v/>
      </c>
      <c r="R42" s="49" t="str">
        <f t="shared" si="6"/>
        <v/>
      </c>
      <c r="S42" s="49" t="str">
        <f t="shared" si="2"/>
        <v/>
      </c>
      <c r="T42" s="9"/>
    </row>
    <row r="43" spans="1:20" x14ac:dyDescent="0.2">
      <c r="A43" s="9" t="s">
        <v>119</v>
      </c>
      <c r="B43" s="9"/>
      <c r="C43" s="9"/>
      <c r="D43" s="9"/>
      <c r="E43" s="9"/>
      <c r="F43" s="9"/>
      <c r="G43" s="9"/>
      <c r="H43" s="9"/>
      <c r="I43" s="9"/>
      <c r="J43" s="9"/>
      <c r="K43" s="53">
        <f t="shared" si="0"/>
        <v>0</v>
      </c>
      <c r="L43" s="49"/>
      <c r="M43" s="49"/>
      <c r="N43" s="9"/>
      <c r="O43" s="49"/>
      <c r="P43" s="49"/>
      <c r="Q43" s="49" t="str">
        <f t="shared" si="1"/>
        <v/>
      </c>
      <c r="R43" s="49" t="str">
        <f t="shared" si="6"/>
        <v/>
      </c>
      <c r="S43" s="49" t="str">
        <f t="shared" si="2"/>
        <v/>
      </c>
      <c r="T43" s="9"/>
    </row>
    <row r="44" spans="1:20" x14ac:dyDescent="0.2">
      <c r="A44" s="9" t="s">
        <v>183</v>
      </c>
      <c r="B44" s="9"/>
      <c r="C44" s="9"/>
      <c r="D44" s="9"/>
      <c r="F44" s="9"/>
      <c r="G44" s="9"/>
      <c r="H44" s="9"/>
      <c r="I44" s="9"/>
      <c r="J44" s="9"/>
      <c r="K44" s="53">
        <f t="shared" si="0"/>
        <v>0</v>
      </c>
      <c r="L44" s="49"/>
      <c r="M44" s="49"/>
      <c r="N44" s="9"/>
      <c r="O44" s="49"/>
      <c r="P44" s="49"/>
      <c r="Q44" s="49" t="str">
        <f t="shared" si="1"/>
        <v/>
      </c>
      <c r="R44" s="49" t="str">
        <f t="shared" si="6"/>
        <v/>
      </c>
      <c r="S44" s="49" t="str">
        <f t="shared" si="2"/>
        <v/>
      </c>
      <c r="T44" s="9"/>
    </row>
    <row r="45" spans="1:20" x14ac:dyDescent="0.2">
      <c r="A45" s="9" t="s">
        <v>184</v>
      </c>
      <c r="B45" s="9"/>
      <c r="C45" s="9"/>
      <c r="D45" s="9"/>
      <c r="E45" s="9"/>
      <c r="F45" s="9"/>
      <c r="G45" s="9"/>
      <c r="H45" s="9"/>
      <c r="I45" s="9"/>
      <c r="J45" s="9"/>
      <c r="K45" s="53">
        <f t="shared" si="0"/>
        <v>0</v>
      </c>
      <c r="L45" s="49"/>
      <c r="M45" s="49"/>
      <c r="N45" s="9"/>
      <c r="O45" s="9"/>
      <c r="P45" s="9"/>
      <c r="Q45" s="49" t="str">
        <f t="shared" si="1"/>
        <v/>
      </c>
      <c r="R45" s="49" t="str">
        <f t="shared" si="6"/>
        <v/>
      </c>
      <c r="S45" s="49" t="str">
        <f t="shared" si="2"/>
        <v/>
      </c>
      <c r="T45" s="9"/>
    </row>
    <row r="46" spans="1:20" x14ac:dyDescent="0.2">
      <c r="A46" s="9" t="s">
        <v>185</v>
      </c>
      <c r="B46" s="9"/>
      <c r="C46" s="9"/>
      <c r="D46" s="9"/>
      <c r="F46" s="9"/>
      <c r="G46" s="9"/>
      <c r="H46" s="9"/>
      <c r="I46" s="9"/>
      <c r="J46" s="9"/>
      <c r="K46" s="53">
        <f t="shared" si="0"/>
        <v>0</v>
      </c>
      <c r="L46" s="49"/>
      <c r="M46" s="49"/>
      <c r="N46" s="45"/>
      <c r="O46" s="9"/>
      <c r="P46" s="9"/>
      <c r="Q46" s="49" t="str">
        <f t="shared" si="1"/>
        <v/>
      </c>
      <c r="R46" s="49" t="str">
        <f t="shared" si="6"/>
        <v/>
      </c>
      <c r="S46" s="49" t="str">
        <f t="shared" si="2"/>
        <v/>
      </c>
      <c r="T46" s="9"/>
    </row>
    <row r="47" spans="1:20" x14ac:dyDescent="0.2">
      <c r="A47" s="9" t="s">
        <v>186</v>
      </c>
      <c r="B47" s="9"/>
      <c r="C47" s="9"/>
      <c r="D47" s="9"/>
      <c r="E47" s="9"/>
      <c r="F47" s="9"/>
      <c r="G47" s="9"/>
      <c r="H47" s="9"/>
      <c r="I47" s="9"/>
      <c r="J47" s="9"/>
      <c r="K47" s="53">
        <f t="shared" si="0"/>
        <v>0</v>
      </c>
      <c r="L47" s="49"/>
      <c r="M47" s="49"/>
      <c r="N47" s="9"/>
      <c r="O47" s="9"/>
      <c r="P47" s="9"/>
      <c r="Q47" s="49" t="str">
        <f t="shared" si="1"/>
        <v/>
      </c>
      <c r="R47" s="49" t="str">
        <f t="shared" si="6"/>
        <v/>
      </c>
      <c r="S47" s="49" t="str">
        <f t="shared" si="2"/>
        <v/>
      </c>
      <c r="T47" s="9"/>
    </row>
    <row r="48" spans="1:20" x14ac:dyDescent="0.2">
      <c r="A48" s="9" t="s">
        <v>187</v>
      </c>
      <c r="B48" s="9"/>
      <c r="C48" s="9"/>
      <c r="D48" s="9"/>
      <c r="E48" s="9"/>
      <c r="F48" s="9"/>
      <c r="G48" s="9"/>
      <c r="H48" s="9"/>
      <c r="I48" s="9"/>
      <c r="J48" s="9"/>
      <c r="K48" s="53">
        <f t="shared" si="0"/>
        <v>0</v>
      </c>
      <c r="L48" s="49"/>
      <c r="M48" s="49"/>
      <c r="N48" s="9"/>
      <c r="O48" s="9"/>
      <c r="P48" s="9"/>
      <c r="Q48" s="49" t="str">
        <f t="shared" si="1"/>
        <v/>
      </c>
      <c r="R48" s="49" t="str">
        <f t="shared" si="6"/>
        <v/>
      </c>
      <c r="S48" s="49" t="str">
        <f t="shared" si="2"/>
        <v/>
      </c>
      <c r="T48" s="9"/>
    </row>
    <row r="49" spans="1:20" x14ac:dyDescent="0.2">
      <c r="A49" s="57" t="s">
        <v>188</v>
      </c>
      <c r="B49" s="9"/>
      <c r="C49" s="9"/>
      <c r="D49" s="9"/>
      <c r="E49" s="9"/>
      <c r="F49" s="9"/>
      <c r="G49" s="9"/>
      <c r="H49" s="9"/>
      <c r="I49" s="9"/>
      <c r="J49" s="9"/>
      <c r="K49" s="53">
        <f t="shared" si="0"/>
        <v>0</v>
      </c>
      <c r="L49" s="49"/>
      <c r="M49" s="49"/>
      <c r="N49" s="9"/>
      <c r="O49" s="9"/>
      <c r="P49" s="9"/>
      <c r="Q49" s="49" t="str">
        <f t="shared" si="1"/>
        <v/>
      </c>
      <c r="R49" s="49" t="str">
        <f t="shared" si="6"/>
        <v/>
      </c>
      <c r="S49" s="49" t="str">
        <f t="shared" si="2"/>
        <v/>
      </c>
      <c r="T49" s="9"/>
    </row>
    <row r="50" spans="1:20" x14ac:dyDescent="0.2">
      <c r="A50" s="58" t="s">
        <v>445</v>
      </c>
      <c r="B50" s="9"/>
      <c r="C50" s="9"/>
      <c r="D50" s="9">
        <v>6</v>
      </c>
      <c r="E50" s="9"/>
      <c r="F50" s="9"/>
      <c r="G50" s="9"/>
      <c r="H50" s="9"/>
      <c r="I50" s="9"/>
      <c r="J50" s="9"/>
      <c r="K50" s="53">
        <f>B50+C50+D50+E50-F50-G50-H50-I50</f>
        <v>6</v>
      </c>
      <c r="L50" s="49"/>
      <c r="M50" s="49"/>
      <c r="N50" s="9"/>
      <c r="O50" s="9"/>
      <c r="P50" s="9"/>
      <c r="Q50" s="49" t="str">
        <f t="shared" si="1"/>
        <v/>
      </c>
      <c r="R50" s="49" t="str">
        <f t="shared" ref="R50:R59" si="7">IFERROR(D50*Q50,"")</f>
        <v/>
      </c>
      <c r="S50" s="49"/>
      <c r="T50" s="9"/>
    </row>
    <row r="51" spans="1:20" x14ac:dyDescent="0.2">
      <c r="A51" s="58" t="s">
        <v>190</v>
      </c>
      <c r="B51" s="9"/>
      <c r="C51" s="9"/>
      <c r="D51" s="9"/>
      <c r="E51" s="9"/>
      <c r="F51" s="9"/>
      <c r="G51" s="9"/>
      <c r="H51" s="9"/>
      <c r="I51" s="9"/>
      <c r="J51" s="9"/>
      <c r="K51" s="53">
        <f>B51+C51+D51+E51-F51-G51-H51-I51</f>
        <v>0</v>
      </c>
      <c r="L51" s="49"/>
      <c r="M51" s="49"/>
      <c r="N51" s="9"/>
      <c r="O51" s="9"/>
      <c r="P51" s="9"/>
      <c r="Q51" s="49" t="str">
        <f t="shared" si="1"/>
        <v/>
      </c>
      <c r="R51" s="49" t="str">
        <f t="shared" si="7"/>
        <v/>
      </c>
      <c r="S51" s="49" t="str">
        <f t="shared" si="2"/>
        <v/>
      </c>
      <c r="T51" s="9"/>
    </row>
    <row r="52" spans="1:20" x14ac:dyDescent="0.2">
      <c r="A52" s="58" t="s">
        <v>191</v>
      </c>
      <c r="B52" s="9"/>
      <c r="C52" s="9"/>
      <c r="D52" s="9">
        <v>21</v>
      </c>
      <c r="E52" s="9"/>
      <c r="F52" s="9"/>
      <c r="G52" s="9"/>
      <c r="H52" s="9"/>
      <c r="I52" s="9"/>
      <c r="J52" s="9"/>
      <c r="K52" s="53">
        <f>B52+C52+D52+E52-F52-G52-H52-I52</f>
        <v>21</v>
      </c>
      <c r="L52" s="49"/>
      <c r="M52" s="49"/>
      <c r="N52" s="9"/>
      <c r="O52" s="9"/>
      <c r="P52" s="9"/>
      <c r="Q52" s="49">
        <f>S52/D52</f>
        <v>1.5079365079365078E-2</v>
      </c>
      <c r="R52" s="49">
        <f t="shared" si="7"/>
        <v>0.31666666666666665</v>
      </c>
      <c r="S52" s="49">
        <f>'Overton Receipts'!F96</f>
        <v>0.31666666666666665</v>
      </c>
      <c r="T52" s="9"/>
    </row>
    <row r="53" spans="1:20" x14ac:dyDescent="0.2">
      <c r="A53" s="58" t="s">
        <v>192</v>
      </c>
      <c r="B53" s="9"/>
      <c r="C53" s="9"/>
      <c r="D53" s="9">
        <v>10</v>
      </c>
      <c r="E53" s="9"/>
      <c r="F53" s="9"/>
      <c r="G53" s="9"/>
      <c r="H53" s="9"/>
      <c r="I53" s="9"/>
      <c r="J53" s="9"/>
      <c r="K53" s="53">
        <f>B53+C53+D53+E53-F53-G53-H53-I53</f>
        <v>10</v>
      </c>
      <c r="L53" s="49"/>
      <c r="M53" s="49"/>
      <c r="N53" s="9"/>
      <c r="O53" s="9"/>
      <c r="P53" s="9"/>
      <c r="Q53" s="49" t="str">
        <f t="shared" si="1"/>
        <v/>
      </c>
      <c r="R53" s="49" t="str">
        <f t="shared" si="7"/>
        <v/>
      </c>
      <c r="S53" s="49" t="str">
        <f t="shared" si="2"/>
        <v/>
      </c>
      <c r="T53" s="9"/>
    </row>
    <row r="54" spans="1:20" s="19" customFormat="1" x14ac:dyDescent="0.2">
      <c r="A54" s="121" t="s">
        <v>160</v>
      </c>
      <c r="B54" s="118"/>
      <c r="C54" s="118"/>
      <c r="D54" s="118">
        <v>37</v>
      </c>
      <c r="E54" s="118"/>
      <c r="F54" s="118"/>
      <c r="G54" s="118">
        <v>34</v>
      </c>
      <c r="H54" s="118"/>
      <c r="I54" s="118">
        <v>3</v>
      </c>
      <c r="J54" s="118">
        <v>0</v>
      </c>
      <c r="K54" s="119">
        <f>B54+C54+D54+E54-F54-G54-H54-I54</f>
        <v>0</v>
      </c>
      <c r="L54" s="120"/>
      <c r="M54" s="120"/>
      <c r="N54" s="118"/>
      <c r="O54" s="118"/>
      <c r="P54" s="118"/>
      <c r="Q54" s="120" t="str">
        <f t="shared" si="1"/>
        <v/>
      </c>
      <c r="R54" s="120" t="str">
        <f t="shared" si="7"/>
        <v/>
      </c>
      <c r="S54" s="120">
        <f>SUM(S43:S53)</f>
        <v>0.31666666666666665</v>
      </c>
      <c r="T54" s="118"/>
    </row>
    <row r="55" spans="1:20" x14ac:dyDescent="0.2">
      <c r="A55" s="58" t="s">
        <v>193</v>
      </c>
      <c r="B55" s="9"/>
      <c r="C55" s="9"/>
      <c r="D55" s="9">
        <v>4</v>
      </c>
      <c r="E55" s="9"/>
      <c r="F55" s="9"/>
      <c r="G55" s="9"/>
      <c r="H55" s="9"/>
      <c r="I55" s="9"/>
      <c r="J55" s="9"/>
      <c r="K55" s="53"/>
      <c r="L55" s="49"/>
      <c r="M55" s="49"/>
      <c r="N55" s="9"/>
      <c r="O55" s="9"/>
      <c r="P55" s="9"/>
      <c r="Q55" s="49" t="str">
        <f t="shared" si="1"/>
        <v/>
      </c>
      <c r="R55" s="49" t="str">
        <f t="shared" si="7"/>
        <v/>
      </c>
      <c r="S55" s="49" t="str">
        <f t="shared" si="2"/>
        <v/>
      </c>
      <c r="T55" s="9"/>
    </row>
    <row r="56" spans="1:20" x14ac:dyDescent="0.2">
      <c r="A56" s="58" t="s">
        <v>194</v>
      </c>
      <c r="B56" s="9"/>
      <c r="C56" s="9"/>
      <c r="D56" s="9"/>
      <c r="E56" s="9"/>
      <c r="F56" s="9"/>
      <c r="G56" s="9"/>
      <c r="H56" s="9"/>
      <c r="I56" s="9"/>
      <c r="J56" s="9"/>
      <c r="K56" s="53"/>
      <c r="L56" s="49"/>
      <c r="M56" s="49"/>
      <c r="N56" s="9"/>
      <c r="O56" s="9"/>
      <c r="P56" s="9"/>
      <c r="Q56" s="49" t="str">
        <f t="shared" si="1"/>
        <v/>
      </c>
      <c r="R56" s="49" t="str">
        <f t="shared" si="7"/>
        <v/>
      </c>
      <c r="S56" s="49" t="str">
        <f t="shared" si="2"/>
        <v/>
      </c>
      <c r="T56" s="9"/>
    </row>
    <row r="57" spans="1:20" x14ac:dyDescent="0.2">
      <c r="A57" s="58" t="s">
        <v>195</v>
      </c>
      <c r="B57" s="9"/>
      <c r="C57" s="9"/>
      <c r="D57" s="9">
        <v>12</v>
      </c>
      <c r="E57" s="9"/>
      <c r="F57" s="9"/>
      <c r="G57" s="9"/>
      <c r="H57" s="9"/>
      <c r="I57" s="9"/>
      <c r="J57" s="9"/>
      <c r="K57" s="53"/>
      <c r="L57" s="49"/>
      <c r="M57" s="49"/>
      <c r="N57" s="9"/>
      <c r="O57" s="9"/>
      <c r="P57" s="9"/>
      <c r="Q57" s="49" t="str">
        <f t="shared" si="1"/>
        <v/>
      </c>
      <c r="R57" s="49" t="str">
        <f t="shared" si="7"/>
        <v/>
      </c>
      <c r="S57" s="49" t="str">
        <f t="shared" si="2"/>
        <v/>
      </c>
      <c r="T57" s="9"/>
    </row>
    <row r="58" spans="1:20" x14ac:dyDescent="0.2">
      <c r="A58" s="58" t="s">
        <v>196</v>
      </c>
      <c r="B58" s="9"/>
      <c r="C58" s="9"/>
      <c r="D58" s="9"/>
      <c r="E58" s="9"/>
      <c r="F58" s="9"/>
      <c r="G58" s="9"/>
      <c r="H58" s="9"/>
      <c r="I58" s="9"/>
      <c r="J58" s="9"/>
      <c r="K58" s="53"/>
      <c r="L58" s="49"/>
      <c r="M58" s="49"/>
      <c r="N58" s="9"/>
      <c r="O58" s="9"/>
      <c r="P58" s="9"/>
      <c r="Q58" s="49" t="str">
        <f t="shared" si="1"/>
        <v/>
      </c>
      <c r="R58" s="49" t="str">
        <f t="shared" si="7"/>
        <v/>
      </c>
      <c r="S58" s="49" t="str">
        <f t="shared" si="2"/>
        <v/>
      </c>
      <c r="T58" s="9"/>
    </row>
    <row r="59" spans="1:20" s="19" customFormat="1" x14ac:dyDescent="0.2">
      <c r="A59" s="121" t="s">
        <v>120</v>
      </c>
      <c r="B59" s="118"/>
      <c r="C59" s="118"/>
      <c r="D59" s="118">
        <v>16</v>
      </c>
      <c r="E59" s="118"/>
      <c r="F59" s="118"/>
      <c r="G59" s="118">
        <v>16</v>
      </c>
      <c r="H59" s="118"/>
      <c r="I59" s="118"/>
      <c r="J59" s="118">
        <v>0</v>
      </c>
      <c r="K59" s="119">
        <f>B59+C59+D59+E59-F59-G59-H59-I59</f>
        <v>0</v>
      </c>
      <c r="L59" s="120"/>
      <c r="M59" s="120"/>
      <c r="N59" s="118"/>
      <c r="O59" s="118"/>
      <c r="P59" s="118"/>
      <c r="Q59" s="120">
        <f>S59/G59</f>
        <v>4.6875000000000007E-3</v>
      </c>
      <c r="R59" s="120">
        <f t="shared" si="7"/>
        <v>7.5000000000000011E-2</v>
      </c>
      <c r="S59" s="120">
        <f>'Overton Receipts'!F97</f>
        <v>7.5000000000000011E-2</v>
      </c>
      <c r="T59" s="118"/>
    </row>
    <row r="60" spans="1:20" x14ac:dyDescent="0.2">
      <c r="A60" s="94" t="s">
        <v>432</v>
      </c>
      <c r="B60" s="9"/>
      <c r="C60" s="9"/>
      <c r="D60" s="9"/>
      <c r="E60" s="9"/>
      <c r="F60" s="9"/>
      <c r="G60" s="9"/>
      <c r="H60" s="9"/>
      <c r="I60" s="9"/>
      <c r="J60" s="9"/>
      <c r="K60" s="53"/>
      <c r="L60" s="49"/>
      <c r="M60" s="49"/>
      <c r="N60" s="9"/>
      <c r="O60" s="9"/>
      <c r="P60" s="9"/>
      <c r="Q60" s="49"/>
      <c r="R60" s="49"/>
      <c r="S60" s="49"/>
      <c r="T60" s="9"/>
    </row>
    <row r="61" spans="1:20" x14ac:dyDescent="0.2">
      <c r="A61" s="94" t="s">
        <v>433</v>
      </c>
      <c r="B61" s="9"/>
      <c r="C61" s="9"/>
      <c r="D61" s="9"/>
      <c r="E61" s="9"/>
      <c r="F61" s="9"/>
      <c r="G61" s="9"/>
      <c r="H61" s="9"/>
      <c r="I61" s="9"/>
      <c r="J61" s="9"/>
      <c r="K61" s="53"/>
      <c r="L61" s="49"/>
      <c r="M61" s="49"/>
      <c r="N61" s="9"/>
      <c r="O61" s="9"/>
      <c r="P61" s="9"/>
      <c r="Q61" s="49"/>
      <c r="R61" s="49"/>
      <c r="S61" s="49"/>
      <c r="T61" s="9"/>
    </row>
    <row r="62" spans="1:20" x14ac:dyDescent="0.2">
      <c r="A62" s="9" t="s">
        <v>161</v>
      </c>
      <c r="B62" s="9">
        <f>61+27</f>
        <v>88</v>
      </c>
      <c r="C62" s="9"/>
      <c r="D62" s="9"/>
      <c r="E62" s="9"/>
      <c r="F62" s="9"/>
      <c r="G62" s="9">
        <f>55+27</f>
        <v>82</v>
      </c>
      <c r="H62" s="9"/>
      <c r="I62" s="9">
        <v>6</v>
      </c>
      <c r="J62" s="9"/>
      <c r="K62" s="53">
        <f>B62+C62+D62+E62-F62-G62-H62-I62</f>
        <v>0</v>
      </c>
      <c r="L62" s="49"/>
      <c r="M62" s="49"/>
      <c r="N62" s="45"/>
      <c r="O62" s="9"/>
      <c r="P62" s="9"/>
      <c r="Q62" s="49" t="str">
        <f t="shared" si="1"/>
        <v/>
      </c>
      <c r="R62" s="49">
        <f>S62/G62</f>
        <v>3.3282520325203248E-3</v>
      </c>
      <c r="S62" s="49">
        <f>'Overton Receipts'!F98+'Overton Receipts'!F99</f>
        <v>0.27291666666666664</v>
      </c>
      <c r="T62" s="9"/>
    </row>
    <row r="63" spans="1:20" x14ac:dyDescent="0.2">
      <c r="A63" s="9" t="s">
        <v>121</v>
      </c>
      <c r="B63" s="9"/>
      <c r="C63" s="9"/>
      <c r="D63" s="9"/>
      <c r="E63" s="9"/>
      <c r="F63" s="9"/>
      <c r="G63" s="9"/>
      <c r="H63" s="9"/>
      <c r="I63" s="9"/>
      <c r="J63" s="9"/>
      <c r="K63" s="53"/>
      <c r="L63" s="49"/>
      <c r="M63" s="49"/>
      <c r="N63" s="9"/>
      <c r="O63" s="9"/>
      <c r="P63" s="9"/>
      <c r="Q63" s="49" t="str">
        <f t="shared" si="1"/>
        <v/>
      </c>
      <c r="R63" s="49" t="str">
        <f>IFERROR(D63*Q63,"")</f>
        <v/>
      </c>
      <c r="S63" s="49" t="str">
        <f t="shared" si="2"/>
        <v/>
      </c>
      <c r="T63" s="9"/>
    </row>
    <row r="64" spans="1:20" x14ac:dyDescent="0.2">
      <c r="A64" s="9" t="s">
        <v>122</v>
      </c>
      <c r="B64" s="9"/>
      <c r="C64" s="9"/>
      <c r="D64" s="9"/>
      <c r="E64" s="9"/>
      <c r="F64" s="9"/>
      <c r="G64" s="9"/>
      <c r="H64" s="9"/>
      <c r="I64" s="9"/>
      <c r="J64" s="9"/>
      <c r="K64" s="53"/>
      <c r="L64" s="49"/>
      <c r="M64" s="49"/>
      <c r="N64" s="9"/>
      <c r="O64" s="9"/>
      <c r="P64" s="9"/>
      <c r="Q64" s="49" t="str">
        <f t="shared" si="1"/>
        <v/>
      </c>
      <c r="R64" s="49" t="str">
        <f>IFERROR(D64*Q64,"")</f>
        <v/>
      </c>
      <c r="S64" s="49" t="str">
        <f t="shared" si="2"/>
        <v/>
      </c>
      <c r="T64" s="9"/>
    </row>
    <row r="65" spans="1:20" s="19" customFormat="1" x14ac:dyDescent="0.2">
      <c r="A65" s="118" t="s">
        <v>9</v>
      </c>
      <c r="B65" s="118"/>
      <c r="C65" s="118"/>
      <c r="D65" s="118"/>
      <c r="E65" s="118"/>
      <c r="F65" s="118"/>
      <c r="G65" s="118"/>
      <c r="H65" s="118"/>
      <c r="I65" s="118"/>
      <c r="J65" s="118"/>
      <c r="K65" s="119"/>
      <c r="L65" s="120"/>
      <c r="M65" s="120"/>
      <c r="N65" s="118"/>
      <c r="O65" s="118"/>
      <c r="P65" s="118"/>
      <c r="Q65" s="120" t="str">
        <f t="shared" si="1"/>
        <v/>
      </c>
      <c r="R65" s="120" t="str">
        <f t="shared" si="6"/>
        <v/>
      </c>
      <c r="S65" s="120">
        <f>S54+S59+S62</f>
        <v>0.6645833333333333</v>
      </c>
      <c r="T65" s="118"/>
    </row>
    <row r="66" spans="1:20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53"/>
      <c r="L66" s="49"/>
      <c r="M66" s="49"/>
      <c r="N66" s="9"/>
      <c r="O66" s="9"/>
      <c r="P66" s="9"/>
      <c r="Q66" s="49" t="str">
        <f t="shared" si="1"/>
        <v/>
      </c>
      <c r="R66" s="49" t="str">
        <f t="shared" si="6"/>
        <v/>
      </c>
      <c r="S66" s="49" t="str">
        <f t="shared" si="2"/>
        <v/>
      </c>
      <c r="T66" s="9"/>
    </row>
    <row r="67" spans="1:20" ht="17" x14ac:dyDescent="0.2">
      <c r="A67" s="52" t="s">
        <v>123</v>
      </c>
      <c r="B67" s="47"/>
      <c r="C67" s="47"/>
      <c r="D67" s="9"/>
      <c r="E67" s="9"/>
      <c r="F67" s="9"/>
      <c r="G67" s="9"/>
      <c r="H67" s="9"/>
      <c r="I67" s="9"/>
      <c r="J67" s="9"/>
      <c r="K67" s="53"/>
      <c r="L67" s="49"/>
      <c r="M67" s="49"/>
      <c r="N67" s="9"/>
      <c r="O67" s="9"/>
      <c r="P67" s="9"/>
      <c r="Q67" s="49" t="str">
        <f t="shared" ref="Q67:Q99" si="8">IFERROR((L67+N67)/(M67+O67),"")</f>
        <v/>
      </c>
      <c r="R67" s="49" t="str">
        <f t="shared" ref="R67:R99" si="9">IFERROR(D67*Q67,"")</f>
        <v/>
      </c>
      <c r="S67" s="49" t="str">
        <f t="shared" ref="S67:S99" si="10">IFERROR(Q67*G67,"")</f>
        <v/>
      </c>
      <c r="T67" s="9"/>
    </row>
    <row r="68" spans="1:20" ht="17" x14ac:dyDescent="0.2">
      <c r="A68" s="51" t="s">
        <v>124</v>
      </c>
      <c r="B68" s="9">
        <v>88</v>
      </c>
      <c r="C68" s="9"/>
      <c r="D68" s="9"/>
      <c r="E68" s="9"/>
      <c r="F68" s="9"/>
      <c r="G68" s="9">
        <v>72</v>
      </c>
      <c r="H68" s="9"/>
      <c r="I68" s="9"/>
      <c r="J68" s="9"/>
      <c r="K68" s="53">
        <f t="shared" si="0"/>
        <v>16</v>
      </c>
      <c r="L68" s="49"/>
      <c r="M68" s="49"/>
      <c r="N68" s="9"/>
      <c r="O68" s="9"/>
      <c r="P68" s="9"/>
      <c r="Q68" s="49" t="str">
        <f t="shared" si="8"/>
        <v/>
      </c>
      <c r="R68" s="49">
        <f>S68/G68</f>
        <v>4.1666666666666666E-3</v>
      </c>
      <c r="S68" s="49">
        <f>'Overton Receipts'!F109</f>
        <v>0.3</v>
      </c>
      <c r="T68" s="9"/>
    </row>
    <row r="69" spans="1:20" x14ac:dyDescent="0.2">
      <c r="A69" s="9" t="s">
        <v>125</v>
      </c>
      <c r="B69" s="9"/>
      <c r="C69" s="9"/>
      <c r="D69" s="9"/>
      <c r="E69" s="9"/>
      <c r="F69" s="9"/>
      <c r="G69" s="9"/>
      <c r="H69" s="9"/>
      <c r="I69" s="9"/>
      <c r="J69" s="9"/>
      <c r="K69" s="53"/>
      <c r="L69" s="49"/>
      <c r="M69" s="49"/>
      <c r="N69" s="9"/>
      <c r="O69" s="9"/>
      <c r="P69" s="9"/>
      <c r="Q69" s="49" t="str">
        <f t="shared" si="8"/>
        <v/>
      </c>
      <c r="R69" s="49" t="str">
        <f t="shared" si="9"/>
        <v/>
      </c>
      <c r="S69" s="49" t="str">
        <f t="shared" si="10"/>
        <v/>
      </c>
      <c r="T69" s="9"/>
    </row>
    <row r="70" spans="1:20" x14ac:dyDescent="0.2">
      <c r="A70" s="9" t="s">
        <v>126</v>
      </c>
      <c r="B70" s="9"/>
      <c r="C70" s="9"/>
      <c r="D70" s="9"/>
      <c r="E70" s="9"/>
      <c r="F70" s="9"/>
      <c r="G70" s="9"/>
      <c r="H70" s="9"/>
      <c r="I70" s="9"/>
      <c r="J70" s="9"/>
      <c r="K70" s="53"/>
      <c r="L70" s="49"/>
      <c r="M70" s="49"/>
      <c r="N70" s="9"/>
      <c r="O70" s="9"/>
      <c r="P70" s="9"/>
      <c r="Q70" s="49" t="str">
        <f t="shared" si="8"/>
        <v/>
      </c>
      <c r="R70" s="49" t="str">
        <f t="shared" si="9"/>
        <v/>
      </c>
      <c r="S70" s="49" t="str">
        <f t="shared" si="10"/>
        <v/>
      </c>
      <c r="T70" s="9"/>
    </row>
    <row r="71" spans="1:20" x14ac:dyDescent="0.2">
      <c r="A71" s="9" t="s">
        <v>127</v>
      </c>
      <c r="B71" s="9"/>
      <c r="C71" s="9"/>
      <c r="D71" s="9"/>
      <c r="E71" s="9"/>
      <c r="F71" s="9"/>
      <c r="G71" s="9"/>
      <c r="H71" s="9"/>
      <c r="I71" s="9"/>
      <c r="J71" s="9"/>
      <c r="K71" s="53"/>
      <c r="L71" s="49"/>
      <c r="M71" s="49"/>
      <c r="N71" s="9"/>
      <c r="O71" s="9"/>
      <c r="P71" s="9"/>
      <c r="Q71" s="49" t="str">
        <f t="shared" si="8"/>
        <v/>
      </c>
      <c r="R71" s="49" t="str">
        <f t="shared" si="9"/>
        <v/>
      </c>
      <c r="S71" s="49" t="str">
        <f t="shared" si="10"/>
        <v/>
      </c>
      <c r="T71" s="9"/>
    </row>
    <row r="72" spans="1:20" s="19" customFormat="1" x14ac:dyDescent="0.2">
      <c r="A72" s="118" t="s">
        <v>9</v>
      </c>
      <c r="B72" s="118"/>
      <c r="C72" s="118"/>
      <c r="D72" s="118"/>
      <c r="E72" s="118"/>
      <c r="F72" s="118"/>
      <c r="G72" s="118"/>
      <c r="H72" s="118"/>
      <c r="I72" s="118"/>
      <c r="J72" s="118"/>
      <c r="K72" s="119"/>
      <c r="L72" s="120"/>
      <c r="M72" s="120"/>
      <c r="N72" s="118"/>
      <c r="O72" s="118"/>
      <c r="P72" s="118"/>
      <c r="Q72" s="120" t="str">
        <f t="shared" si="8"/>
        <v/>
      </c>
      <c r="R72" s="120" t="str">
        <f t="shared" si="9"/>
        <v/>
      </c>
      <c r="S72" s="120">
        <f>SUM(S67:S71)</f>
        <v>0.3</v>
      </c>
      <c r="T72" s="118"/>
    </row>
    <row r="73" spans="1:20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53"/>
      <c r="L73" s="49"/>
      <c r="M73" s="49"/>
      <c r="N73" s="9"/>
      <c r="O73" s="9"/>
      <c r="P73" s="9"/>
      <c r="Q73" s="49" t="str">
        <f t="shared" si="8"/>
        <v/>
      </c>
      <c r="R73" s="49" t="str">
        <f t="shared" si="9"/>
        <v/>
      </c>
      <c r="S73" s="49" t="str">
        <f t="shared" si="10"/>
        <v/>
      </c>
      <c r="T73" s="9"/>
    </row>
    <row r="74" spans="1:20" x14ac:dyDescent="0.2">
      <c r="A74" s="8" t="s">
        <v>128</v>
      </c>
      <c r="B74" s="47"/>
      <c r="C74" s="47"/>
      <c r="D74" s="9"/>
      <c r="E74" s="9"/>
      <c r="F74" s="9"/>
      <c r="G74" s="9"/>
      <c r="H74" s="9"/>
      <c r="I74" s="9"/>
      <c r="J74" s="9"/>
      <c r="K74" s="53"/>
      <c r="L74" s="49"/>
      <c r="M74" s="49"/>
      <c r="N74" s="9"/>
      <c r="O74" s="9"/>
      <c r="P74" s="9"/>
      <c r="Q74" s="49" t="str">
        <f t="shared" si="8"/>
        <v/>
      </c>
      <c r="R74" s="49" t="str">
        <f t="shared" si="9"/>
        <v/>
      </c>
      <c r="S74" s="49" t="str">
        <f t="shared" si="10"/>
        <v/>
      </c>
      <c r="T74" s="9"/>
    </row>
    <row r="75" spans="1:20" x14ac:dyDescent="0.2">
      <c r="A75" s="9" t="s">
        <v>129</v>
      </c>
      <c r="B75" s="9"/>
      <c r="C75" s="9"/>
      <c r="D75" s="9"/>
      <c r="E75" s="9"/>
      <c r="F75" s="9"/>
      <c r="G75" s="9"/>
      <c r="H75" s="9"/>
      <c r="I75" s="9"/>
      <c r="J75" s="9"/>
      <c r="K75" s="53"/>
      <c r="L75" s="49"/>
      <c r="M75" s="49"/>
      <c r="N75" s="9"/>
      <c r="O75" s="9"/>
      <c r="P75" s="9"/>
      <c r="Q75" s="49" t="str">
        <f t="shared" si="8"/>
        <v/>
      </c>
      <c r="R75" s="49" t="str">
        <f t="shared" si="9"/>
        <v/>
      </c>
      <c r="S75" s="49" t="str">
        <f t="shared" si="10"/>
        <v/>
      </c>
      <c r="T75" s="9"/>
    </row>
    <row r="76" spans="1:20" x14ac:dyDescent="0.2">
      <c r="A76" s="9" t="s">
        <v>130</v>
      </c>
      <c r="B76" s="9"/>
      <c r="C76" s="9"/>
      <c r="D76" s="9"/>
      <c r="E76" s="9"/>
      <c r="F76" s="9"/>
      <c r="G76" s="9"/>
      <c r="H76" s="9"/>
      <c r="I76" s="9"/>
      <c r="J76" s="9"/>
      <c r="K76" s="53"/>
      <c r="L76" s="49"/>
      <c r="M76" s="49"/>
      <c r="N76" s="9"/>
      <c r="O76" s="9"/>
      <c r="P76" s="9"/>
      <c r="Q76" s="49" t="str">
        <f t="shared" si="8"/>
        <v/>
      </c>
      <c r="R76" s="49" t="str">
        <f t="shared" si="9"/>
        <v/>
      </c>
      <c r="S76" s="49" t="str">
        <f t="shared" si="10"/>
        <v/>
      </c>
      <c r="T76" s="9"/>
    </row>
    <row r="77" spans="1:20" x14ac:dyDescent="0.2">
      <c r="A77" s="9"/>
      <c r="B77" s="9"/>
      <c r="C77" s="9"/>
      <c r="D77" s="9"/>
      <c r="E77" s="9"/>
      <c r="F77" s="9"/>
      <c r="G77" s="9"/>
      <c r="H77" s="9"/>
      <c r="I77" s="9"/>
      <c r="J77" s="9"/>
      <c r="K77" s="53"/>
      <c r="L77" s="49"/>
      <c r="M77" s="49"/>
      <c r="N77" s="9"/>
      <c r="O77" s="9"/>
      <c r="P77" s="9"/>
      <c r="Q77" s="49" t="str">
        <f t="shared" si="8"/>
        <v/>
      </c>
      <c r="R77" s="49" t="str">
        <f t="shared" si="9"/>
        <v/>
      </c>
      <c r="S77" s="49" t="str">
        <f t="shared" si="10"/>
        <v/>
      </c>
      <c r="T77" s="9"/>
    </row>
    <row r="78" spans="1:20" x14ac:dyDescent="0.2">
      <c r="A78" s="9"/>
      <c r="B78" s="9"/>
      <c r="C78" s="9"/>
      <c r="D78" s="9"/>
      <c r="E78" s="9"/>
      <c r="F78" s="9"/>
      <c r="G78" s="9"/>
      <c r="H78" s="9"/>
      <c r="I78" s="9"/>
      <c r="J78" s="9"/>
      <c r="K78" s="53"/>
      <c r="L78" s="49"/>
      <c r="M78" s="49"/>
      <c r="N78" s="9"/>
      <c r="O78" s="9"/>
      <c r="P78" s="9"/>
      <c r="Q78" s="49" t="str">
        <f t="shared" si="8"/>
        <v/>
      </c>
      <c r="R78" s="49" t="str">
        <f t="shared" si="9"/>
        <v/>
      </c>
      <c r="S78" s="49" t="str">
        <f t="shared" si="10"/>
        <v/>
      </c>
      <c r="T78" s="9"/>
    </row>
    <row r="79" spans="1:20" x14ac:dyDescent="0.2">
      <c r="A79" s="8" t="s">
        <v>150</v>
      </c>
      <c r="B79" s="9"/>
      <c r="C79" s="9"/>
      <c r="D79" s="9"/>
      <c r="E79" s="9"/>
      <c r="F79" s="9"/>
      <c r="G79" s="9"/>
      <c r="H79" s="9"/>
      <c r="I79" s="9"/>
      <c r="J79" s="9"/>
      <c r="K79" s="53"/>
      <c r="L79" s="49"/>
      <c r="M79" s="49"/>
      <c r="N79" s="9"/>
      <c r="O79" s="9"/>
      <c r="P79" s="9"/>
      <c r="Q79" s="49" t="str">
        <f t="shared" si="8"/>
        <v/>
      </c>
      <c r="R79" s="49" t="str">
        <f t="shared" si="9"/>
        <v/>
      </c>
      <c r="S79" s="49" t="str">
        <f t="shared" si="10"/>
        <v/>
      </c>
      <c r="T79" s="9"/>
    </row>
    <row r="80" spans="1:20" x14ac:dyDescent="0.2">
      <c r="A80" s="9" t="s">
        <v>151</v>
      </c>
      <c r="B80" s="9"/>
      <c r="C80" s="9"/>
      <c r="D80" s="9"/>
      <c r="E80" s="9"/>
      <c r="F80" s="9"/>
      <c r="G80" s="9"/>
      <c r="H80" s="9"/>
      <c r="I80" s="9"/>
      <c r="J80" s="9"/>
      <c r="K80" s="53"/>
      <c r="L80" s="49"/>
      <c r="M80" s="49"/>
      <c r="N80" s="9"/>
      <c r="O80" s="9"/>
      <c r="P80" s="9"/>
      <c r="Q80" s="49" t="str">
        <f t="shared" si="8"/>
        <v/>
      </c>
      <c r="R80" s="49" t="str">
        <f t="shared" si="9"/>
        <v/>
      </c>
      <c r="S80" s="49" t="str">
        <f t="shared" si="10"/>
        <v/>
      </c>
      <c r="T80" s="9"/>
    </row>
    <row r="81" spans="1:20" x14ac:dyDescent="0.2">
      <c r="A81" s="9" t="s">
        <v>152</v>
      </c>
      <c r="B81" s="9"/>
      <c r="C81" s="9"/>
      <c r="D81" s="9"/>
      <c r="E81" s="9"/>
      <c r="F81" s="9"/>
      <c r="G81" s="9"/>
      <c r="H81" s="9"/>
      <c r="I81" s="9"/>
      <c r="J81" s="9"/>
      <c r="K81" s="53"/>
      <c r="L81" s="49"/>
      <c r="M81" s="49"/>
      <c r="N81" s="9"/>
      <c r="O81" s="9"/>
      <c r="P81" s="9"/>
      <c r="Q81" s="49" t="str">
        <f t="shared" si="8"/>
        <v/>
      </c>
      <c r="R81" s="49" t="str">
        <f t="shared" si="9"/>
        <v/>
      </c>
      <c r="S81" s="49" t="str">
        <f t="shared" si="10"/>
        <v/>
      </c>
      <c r="T81" s="9"/>
    </row>
    <row r="82" spans="1:20" x14ac:dyDescent="0.2">
      <c r="A82" s="9" t="s">
        <v>153</v>
      </c>
      <c r="B82" s="9"/>
      <c r="C82" s="9"/>
      <c r="D82" s="9"/>
      <c r="E82" s="9"/>
      <c r="F82" s="9"/>
      <c r="G82" s="9"/>
      <c r="H82" s="9"/>
      <c r="I82" s="9"/>
      <c r="J82" s="9"/>
      <c r="K82" s="53"/>
      <c r="L82" s="49"/>
      <c r="M82" s="49"/>
      <c r="N82" s="9"/>
      <c r="O82" s="9"/>
      <c r="P82" s="9"/>
      <c r="Q82" s="49" t="str">
        <f t="shared" si="8"/>
        <v/>
      </c>
      <c r="R82" s="49" t="str">
        <f t="shared" si="9"/>
        <v/>
      </c>
      <c r="S82" s="49" t="str">
        <f t="shared" si="10"/>
        <v/>
      </c>
      <c r="T82" s="9"/>
    </row>
    <row r="83" spans="1:20" x14ac:dyDescent="0.2">
      <c r="A83" s="9"/>
      <c r="B83" s="9"/>
      <c r="C83" s="9"/>
      <c r="D83" s="9"/>
      <c r="E83" s="9"/>
      <c r="F83" s="9"/>
      <c r="G83" s="9"/>
      <c r="H83" s="9"/>
      <c r="I83" s="9"/>
      <c r="J83" s="9"/>
      <c r="K83" s="53"/>
      <c r="L83" s="49"/>
      <c r="M83" s="49"/>
      <c r="N83" s="9"/>
      <c r="O83" s="9"/>
      <c r="P83" s="9"/>
      <c r="Q83" s="49" t="str">
        <f t="shared" si="8"/>
        <v/>
      </c>
      <c r="R83" s="49" t="str">
        <f t="shared" si="9"/>
        <v/>
      </c>
      <c r="S83" s="49" t="str">
        <f t="shared" si="10"/>
        <v/>
      </c>
      <c r="T83" s="9"/>
    </row>
    <row r="84" spans="1:20" x14ac:dyDescent="0.2">
      <c r="A84" s="9"/>
      <c r="B84" s="9"/>
      <c r="C84" s="9"/>
      <c r="D84" s="9"/>
      <c r="E84" s="9"/>
      <c r="F84" s="9"/>
      <c r="G84" s="9"/>
      <c r="H84" s="9"/>
      <c r="I84" s="9"/>
      <c r="J84" s="9"/>
      <c r="K84" s="53"/>
      <c r="L84" s="49"/>
      <c r="M84" s="49"/>
      <c r="N84" s="9"/>
      <c r="O84" s="9"/>
      <c r="P84" s="9"/>
      <c r="Q84" s="49" t="str">
        <f t="shared" si="8"/>
        <v/>
      </c>
      <c r="R84" s="49" t="str">
        <f t="shared" si="9"/>
        <v/>
      </c>
      <c r="S84" s="49" t="str">
        <f t="shared" si="10"/>
        <v/>
      </c>
      <c r="T84" s="9"/>
    </row>
    <row r="85" spans="1:20" x14ac:dyDescent="0.2">
      <c r="A85" s="8" t="s">
        <v>154</v>
      </c>
      <c r="B85" s="47"/>
      <c r="C85" s="47"/>
      <c r="D85" s="9"/>
      <c r="E85" s="9"/>
      <c r="F85" s="9"/>
      <c r="G85" s="9"/>
      <c r="H85" s="9"/>
      <c r="I85" s="9"/>
      <c r="J85" s="9"/>
      <c r="K85" s="53"/>
      <c r="L85" s="49"/>
      <c r="M85" s="49"/>
      <c r="N85" s="9"/>
      <c r="O85" s="9"/>
      <c r="P85" s="9"/>
      <c r="Q85" s="49" t="str">
        <f t="shared" si="8"/>
        <v/>
      </c>
      <c r="R85" s="49" t="str">
        <f t="shared" si="9"/>
        <v/>
      </c>
      <c r="S85" s="49" t="str">
        <f t="shared" si="10"/>
        <v/>
      </c>
      <c r="T85" s="9"/>
    </row>
    <row r="86" spans="1:20" x14ac:dyDescent="0.2">
      <c r="A86" s="9" t="s">
        <v>155</v>
      </c>
      <c r="B86" s="9"/>
      <c r="C86" s="9"/>
      <c r="D86" s="9">
        <f>25+4</f>
        <v>29</v>
      </c>
      <c r="E86" s="9"/>
      <c r="F86" s="9"/>
      <c r="G86" s="9">
        <v>29</v>
      </c>
      <c r="H86" s="9"/>
      <c r="I86" s="9"/>
      <c r="J86" s="9">
        <v>0</v>
      </c>
      <c r="K86" s="53">
        <f t="shared" ref="K86:K87" si="11">B86+C86+D86+E86-F86-G86-H86-I86</f>
        <v>0</v>
      </c>
      <c r="L86" s="49"/>
      <c r="M86" s="49"/>
      <c r="N86" s="9"/>
      <c r="O86" s="9"/>
      <c r="P86" s="9">
        <f>1+6/25</f>
        <v>1.24</v>
      </c>
      <c r="Q86" s="49">
        <f>S86/G86</f>
        <v>1.7816091954022992E-2</v>
      </c>
      <c r="R86" s="49">
        <f t="shared" si="9"/>
        <v>0.51666666666666672</v>
      </c>
      <c r="S86" s="49">
        <f>'Overton Receipts'!F106</f>
        <v>0.51666666666666672</v>
      </c>
      <c r="T86" s="9" t="s">
        <v>434</v>
      </c>
    </row>
    <row r="87" spans="1:20" x14ac:dyDescent="0.2">
      <c r="A87" s="9" t="s">
        <v>156</v>
      </c>
      <c r="B87" s="9"/>
      <c r="C87" s="9"/>
      <c r="D87" s="9">
        <v>173</v>
      </c>
      <c r="E87" s="9"/>
      <c r="F87" s="9"/>
      <c r="G87" s="9">
        <v>153</v>
      </c>
      <c r="H87" s="9"/>
      <c r="I87" s="9"/>
      <c r="J87" s="9">
        <v>0</v>
      </c>
      <c r="K87" s="53">
        <f t="shared" si="11"/>
        <v>20</v>
      </c>
      <c r="L87" s="49"/>
      <c r="M87" s="49"/>
      <c r="N87" s="9"/>
      <c r="O87" s="9"/>
      <c r="P87" s="49">
        <f>(10/153)*173</f>
        <v>11.307189542483661</v>
      </c>
      <c r="Q87" s="49">
        <f>S87/G87</f>
        <v>2.9411764705882353E-2</v>
      </c>
      <c r="R87" s="49">
        <f t="shared" si="9"/>
        <v>5.0882352941176467</v>
      </c>
      <c r="S87" s="49">
        <f>'Overton Receipts'!F107</f>
        <v>4.5</v>
      </c>
      <c r="T87" s="9" t="s">
        <v>435</v>
      </c>
    </row>
    <row r="88" spans="1:20" s="19" customFormat="1" x14ac:dyDescent="0.2">
      <c r="A88" s="118" t="s">
        <v>9</v>
      </c>
      <c r="B88" s="118"/>
      <c r="C88" s="118"/>
      <c r="D88" s="118"/>
      <c r="E88" s="118"/>
      <c r="F88" s="118"/>
      <c r="G88" s="118"/>
      <c r="H88" s="118"/>
      <c r="I88" s="118"/>
      <c r="J88" s="118"/>
      <c r="K88" s="119"/>
      <c r="L88" s="120"/>
      <c r="M88" s="120"/>
      <c r="N88" s="118"/>
      <c r="O88" s="118"/>
      <c r="P88" s="118"/>
      <c r="Q88" s="120" t="str">
        <f t="shared" si="8"/>
        <v/>
      </c>
      <c r="R88" s="120" t="str">
        <f t="shared" si="9"/>
        <v/>
      </c>
      <c r="S88" s="120">
        <f>SUM(S86:S87)</f>
        <v>5.0166666666666666</v>
      </c>
      <c r="T88" s="118"/>
    </row>
    <row r="89" spans="1:20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53"/>
      <c r="L89" s="49"/>
      <c r="M89" s="49"/>
      <c r="N89" s="9"/>
      <c r="O89" s="9"/>
      <c r="P89" s="9"/>
      <c r="Q89" s="49" t="str">
        <f t="shared" si="8"/>
        <v/>
      </c>
      <c r="R89" s="49" t="str">
        <f t="shared" si="9"/>
        <v/>
      </c>
      <c r="S89" s="49" t="str">
        <f t="shared" si="10"/>
        <v/>
      </c>
      <c r="T89" s="9"/>
    </row>
    <row r="90" spans="1:20" x14ac:dyDescent="0.2">
      <c r="A90" s="8" t="s">
        <v>132</v>
      </c>
      <c r="B90" s="47"/>
      <c r="C90" s="47"/>
      <c r="D90" s="9"/>
      <c r="E90" s="9"/>
      <c r="F90" s="9"/>
      <c r="G90" s="9"/>
      <c r="H90" s="9"/>
      <c r="I90" s="9"/>
      <c r="J90" s="9"/>
      <c r="K90" s="53"/>
      <c r="L90" s="49"/>
      <c r="M90" s="9"/>
      <c r="N90" s="9"/>
      <c r="P90" s="9"/>
      <c r="Q90" s="49" t="str">
        <f t="shared" si="8"/>
        <v/>
      </c>
      <c r="R90" s="49" t="str">
        <f t="shared" si="9"/>
        <v/>
      </c>
      <c r="S90" s="49" t="str">
        <f t="shared" si="10"/>
        <v/>
      </c>
      <c r="T90" s="9"/>
    </row>
    <row r="91" spans="1:20" x14ac:dyDescent="0.2">
      <c r="A91" s="9" t="s">
        <v>290</v>
      </c>
      <c r="B91" s="9"/>
      <c r="C91" s="9"/>
      <c r="D91" s="9">
        <v>25</v>
      </c>
      <c r="E91" s="9"/>
      <c r="F91" s="9"/>
      <c r="G91" s="9"/>
      <c r="H91" s="9"/>
      <c r="I91" s="9"/>
      <c r="J91" s="9"/>
      <c r="K91" s="53"/>
      <c r="L91" s="49"/>
      <c r="M91" s="49"/>
      <c r="N91" s="9"/>
      <c r="O91" s="9"/>
      <c r="P91" s="9">
        <v>1</v>
      </c>
      <c r="Q91" s="49">
        <f>S91/D91</f>
        <v>1.8000000000000002E-2</v>
      </c>
      <c r="R91" s="49">
        <f t="shared" si="9"/>
        <v>0.45000000000000007</v>
      </c>
      <c r="S91" s="49">
        <f>'Overton Receipts'!F108</f>
        <v>0.45</v>
      </c>
      <c r="T91" s="9" t="s">
        <v>434</v>
      </c>
    </row>
    <row r="92" spans="1:20" s="19" customFormat="1" x14ac:dyDescent="0.2">
      <c r="A92" s="118" t="s">
        <v>9</v>
      </c>
      <c r="B92" s="118"/>
      <c r="C92" s="118"/>
      <c r="D92" s="118"/>
      <c r="E92" s="118"/>
      <c r="F92" s="118"/>
      <c r="G92" s="118"/>
      <c r="H92" s="118"/>
      <c r="I92" s="118"/>
      <c r="J92" s="118"/>
      <c r="K92" s="119"/>
      <c r="L92" s="120"/>
      <c r="M92" s="120"/>
      <c r="N92" s="118"/>
      <c r="O92" s="118"/>
      <c r="P92" s="118"/>
      <c r="Q92" s="120"/>
      <c r="R92" s="120"/>
      <c r="S92" s="120">
        <f>S91</f>
        <v>0.45</v>
      </c>
      <c r="T92" s="118"/>
    </row>
    <row r="93" spans="1:20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53"/>
      <c r="L93" s="49"/>
      <c r="M93" s="49"/>
      <c r="N93" s="9"/>
      <c r="O93" s="9"/>
      <c r="P93" s="9"/>
      <c r="Q93" s="49" t="str">
        <f t="shared" si="8"/>
        <v/>
      </c>
      <c r="R93" s="49" t="str">
        <f t="shared" si="9"/>
        <v/>
      </c>
      <c r="S93" s="49" t="str">
        <f t="shared" si="10"/>
        <v/>
      </c>
      <c r="T93" s="9"/>
    </row>
    <row r="94" spans="1:20" x14ac:dyDescent="0.2">
      <c r="A94" s="8" t="s">
        <v>157</v>
      </c>
      <c r="B94" s="9"/>
      <c r="C94" s="9"/>
      <c r="D94" s="9"/>
      <c r="E94" s="9"/>
      <c r="F94" s="9"/>
      <c r="G94" s="9"/>
      <c r="H94" s="9"/>
      <c r="I94" s="9"/>
      <c r="J94" s="9"/>
      <c r="K94" s="53"/>
      <c r="L94" s="49"/>
      <c r="M94" s="49"/>
      <c r="N94" s="9"/>
      <c r="O94" s="9"/>
      <c r="P94" s="9"/>
      <c r="Q94" s="49" t="str">
        <f t="shared" si="8"/>
        <v/>
      </c>
      <c r="R94" s="49" t="str">
        <f t="shared" si="9"/>
        <v/>
      </c>
      <c r="S94" s="49" t="str">
        <f t="shared" si="10"/>
        <v/>
      </c>
      <c r="T94" s="9"/>
    </row>
    <row r="95" spans="1:20" x14ac:dyDescent="0.2">
      <c r="A95" s="9" t="s">
        <v>258</v>
      </c>
      <c r="B95" s="9"/>
      <c r="C95" s="9"/>
      <c r="D95" s="9"/>
      <c r="E95" s="9"/>
      <c r="F95" s="9"/>
      <c r="G95" s="9"/>
      <c r="H95" s="9"/>
      <c r="I95" s="9"/>
      <c r="J95" s="9"/>
      <c r="K95" s="53"/>
      <c r="L95" s="49"/>
      <c r="M95" s="49"/>
      <c r="N95" s="9"/>
      <c r="O95" s="9"/>
      <c r="P95" s="9"/>
      <c r="Q95" s="49" t="str">
        <f t="shared" si="8"/>
        <v/>
      </c>
      <c r="R95" s="49" t="str">
        <f t="shared" si="9"/>
        <v/>
      </c>
      <c r="S95" s="49" t="str">
        <f t="shared" si="10"/>
        <v/>
      </c>
      <c r="T95" s="9"/>
    </row>
    <row r="96" spans="1:20" x14ac:dyDescent="0.2">
      <c r="A96" s="9"/>
      <c r="B96" s="9"/>
      <c r="C96" s="9"/>
      <c r="D96" s="9"/>
      <c r="E96" s="9"/>
      <c r="F96" s="9"/>
      <c r="G96" s="9"/>
      <c r="H96" s="9"/>
      <c r="I96" s="9"/>
      <c r="J96" s="9"/>
      <c r="K96" s="53"/>
      <c r="L96" s="49"/>
      <c r="M96" s="49"/>
      <c r="N96" s="9"/>
      <c r="O96" s="9"/>
      <c r="P96" s="9"/>
      <c r="Q96" s="49" t="str">
        <f t="shared" si="8"/>
        <v/>
      </c>
      <c r="R96" s="49" t="str">
        <f t="shared" si="9"/>
        <v/>
      </c>
      <c r="S96" s="49" t="str">
        <f t="shared" si="10"/>
        <v/>
      </c>
      <c r="T96" s="9"/>
    </row>
    <row r="97" spans="1:20" x14ac:dyDescent="0.2">
      <c r="A97" s="9"/>
      <c r="B97" s="9"/>
      <c r="C97" s="9"/>
      <c r="D97" s="9"/>
      <c r="E97" s="9"/>
      <c r="F97" s="9"/>
      <c r="G97" s="9"/>
      <c r="H97" s="9"/>
      <c r="I97" s="9"/>
      <c r="J97" s="9"/>
      <c r="K97" s="53"/>
      <c r="L97" s="49"/>
      <c r="M97" s="49"/>
      <c r="N97" s="9"/>
      <c r="O97" s="9"/>
      <c r="P97" s="9"/>
      <c r="Q97" s="49" t="str">
        <f t="shared" si="8"/>
        <v/>
      </c>
      <c r="R97" s="49" t="str">
        <f t="shared" si="9"/>
        <v/>
      </c>
      <c r="S97" s="49" t="str">
        <f t="shared" si="10"/>
        <v/>
      </c>
      <c r="T97" s="9"/>
    </row>
    <row r="98" spans="1:20" x14ac:dyDescent="0.2">
      <c r="B98" s="47"/>
      <c r="C98" s="47"/>
      <c r="D98" s="9"/>
      <c r="E98" s="9"/>
      <c r="F98" s="9"/>
      <c r="G98" s="9"/>
      <c r="H98" s="9"/>
      <c r="I98" s="9"/>
      <c r="J98" s="9"/>
      <c r="K98" s="53"/>
      <c r="L98" s="49"/>
      <c r="M98" s="49"/>
      <c r="N98" s="9"/>
      <c r="O98" s="9"/>
      <c r="P98" s="9"/>
      <c r="Q98" s="49" t="str">
        <f t="shared" si="8"/>
        <v/>
      </c>
      <c r="R98" s="49" t="str">
        <f t="shared" si="9"/>
        <v/>
      </c>
      <c r="S98" s="49" t="str">
        <f t="shared" si="10"/>
        <v/>
      </c>
      <c r="T98" s="9"/>
    </row>
    <row r="99" spans="1:20" x14ac:dyDescent="0.2">
      <c r="Q99" s="49" t="str">
        <f t="shared" si="8"/>
        <v/>
      </c>
      <c r="R99" s="49" t="str">
        <f t="shared" si="9"/>
        <v/>
      </c>
      <c r="S99" s="49" t="str">
        <f t="shared" si="10"/>
        <v/>
      </c>
    </row>
    <row r="100" spans="1:20" x14ac:dyDescent="0.2">
      <c r="A100" s="5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4B253-8C32-924B-979E-A68720B3D24D}">
  <dimension ref="A1:F7"/>
  <sheetViews>
    <sheetView workbookViewId="0">
      <selection activeCell="E6" sqref="E6"/>
    </sheetView>
  </sheetViews>
  <sheetFormatPr baseColWidth="10" defaultRowHeight="16" x14ac:dyDescent="0.2"/>
  <cols>
    <col min="3" max="3" width="12" bestFit="1" customWidth="1"/>
    <col min="4" max="4" width="14.83203125" bestFit="1" customWidth="1"/>
    <col min="5" max="5" width="14" bestFit="1" customWidth="1"/>
    <col min="6" max="6" width="14.1640625" bestFit="1" customWidth="1"/>
  </cols>
  <sheetData>
    <row r="1" spans="1:6" x14ac:dyDescent="0.2">
      <c r="A1" t="s">
        <v>173</v>
      </c>
    </row>
    <row r="3" spans="1:6" x14ac:dyDescent="0.2">
      <c r="B3" s="5" t="s">
        <v>167</v>
      </c>
      <c r="C3" s="5" t="s">
        <v>174</v>
      </c>
      <c r="D3" s="5" t="s">
        <v>178</v>
      </c>
      <c r="E3" s="5" t="s">
        <v>180</v>
      </c>
      <c r="F3" s="5" t="s">
        <v>181</v>
      </c>
    </row>
    <row r="4" spans="1:6" x14ac:dyDescent="0.2">
      <c r="B4" s="5" t="s">
        <v>175</v>
      </c>
      <c r="C4">
        <v>1</v>
      </c>
      <c r="D4">
        <f>C4/C5</f>
        <v>0.14285714285714285</v>
      </c>
      <c r="E4">
        <f>C4/C6</f>
        <v>5.7142857142857143E-3</v>
      </c>
      <c r="F4">
        <f>C4/C7</f>
        <v>0.08</v>
      </c>
    </row>
    <row r="5" spans="1:6" x14ac:dyDescent="0.2">
      <c r="B5" s="5" t="s">
        <v>176</v>
      </c>
      <c r="C5">
        <v>7</v>
      </c>
      <c r="D5">
        <v>1</v>
      </c>
      <c r="E5">
        <f>C5/C6</f>
        <v>0.04</v>
      </c>
      <c r="F5">
        <f>C7/C5</f>
        <v>1.7857142857142858</v>
      </c>
    </row>
    <row r="6" spans="1:6" x14ac:dyDescent="0.2">
      <c r="B6" s="5" t="s">
        <v>177</v>
      </c>
      <c r="C6">
        <v>175</v>
      </c>
      <c r="D6">
        <f>C6/C5</f>
        <v>25</v>
      </c>
      <c r="E6">
        <f>C6/C6</f>
        <v>1</v>
      </c>
      <c r="F6">
        <f>C7/C6</f>
        <v>7.1428571428571425E-2</v>
      </c>
    </row>
    <row r="7" spans="1:6" x14ac:dyDescent="0.2">
      <c r="B7" s="5" t="s">
        <v>179</v>
      </c>
      <c r="C7">
        <f>175/14</f>
        <v>12.5</v>
      </c>
      <c r="D7">
        <f>C5/C7</f>
        <v>0.56000000000000005</v>
      </c>
      <c r="E7">
        <f>C7/C6</f>
        <v>7.1428571428571425E-2</v>
      </c>
      <c r="F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Overton Overview</vt:lpstr>
      <vt:lpstr>Overton Receipts</vt:lpstr>
      <vt:lpstr>Overton Expenses</vt:lpstr>
      <vt:lpstr>Issues of the Grange</vt:lpstr>
      <vt:lpstr>Issues of the Mill</vt:lpstr>
      <vt:lpstr>Stock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Sharpe</dc:creator>
  <cp:lastModifiedBy>Victoria Gierok</cp:lastModifiedBy>
  <dcterms:created xsi:type="dcterms:W3CDTF">2022-08-18T14:37:24Z</dcterms:created>
  <dcterms:modified xsi:type="dcterms:W3CDTF">2025-09-02T18:58:47Z</dcterms:modified>
</cp:coreProperties>
</file>
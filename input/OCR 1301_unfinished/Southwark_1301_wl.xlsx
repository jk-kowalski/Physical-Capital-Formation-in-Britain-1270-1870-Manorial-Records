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mc:AlternateContent xmlns:mc="http://schemas.openxmlformats.org/markup-compatibility/2006">
    <mc:Choice Requires="x15">
      <x15ac:absPath xmlns:x15ac="http://schemas.microsoft.com/office/spreadsheetml/2010/11/ac" url="/Users/victoriagierok/Dropbox/Physical Capital England/Decennial 2018/Detailed Estimates/Winchester Pipe Rolls/1301-1302/final new agricultural production/"/>
    </mc:Choice>
  </mc:AlternateContent>
  <xr:revisionPtr revIDLastSave="0" documentId="13_ncr:1_{1E4B8587-40B8-8A4E-84D2-46D0771317E7}" xr6:coauthVersionLast="47" xr6:coauthVersionMax="47" xr10:uidLastSave="{00000000-0000-0000-0000-000000000000}"/>
  <bookViews>
    <workbookView xWindow="0" yWindow="500" windowWidth="29980" windowHeight="20100" activeTab="5" xr2:uid="{00000000-000D-0000-FFFF-FFFF00000000}"/>
  </bookViews>
  <sheets>
    <sheet name="Overview" sheetId="4" r:id="rId1"/>
    <sheet name="Receipts" sheetId="2" r:id="rId2"/>
    <sheet name="Expenses" sheetId="3" r:id="rId3"/>
    <sheet name="Issues of the Grange" sheetId="11" r:id="rId4"/>
    <sheet name="Issues of the Mills" sheetId="5" r:id="rId5"/>
    <sheet name="Stock" sheetId="6" r:id="rId6"/>
    <sheet name="raw data" sheetId="1" r:id="rId7"/>
    <sheet name="Issues of the Grange raw" sheetId="10" r:id="rId8"/>
    <sheet name="Sale of Corn Prices" sheetId="12"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 i="5" l="1"/>
  <c r="I2" i="5"/>
  <c r="G3" i="5"/>
  <c r="I3" i="5"/>
  <c r="G4" i="5"/>
  <c r="I4" i="5"/>
  <c r="B11" i="5"/>
  <c r="L11" i="5" s="1"/>
  <c r="O11" i="5" s="1"/>
  <c r="H11" i="5"/>
  <c r="K11" i="5"/>
  <c r="N11" i="5"/>
  <c r="B12" i="5"/>
  <c r="H12" i="5"/>
  <c r="K12" i="5"/>
  <c r="L12" i="5"/>
  <c r="O12" i="5" s="1"/>
  <c r="N12" i="5"/>
  <c r="B13" i="5"/>
  <c r="H13" i="5"/>
  <c r="K13" i="5"/>
  <c r="L13" i="5"/>
  <c r="N13" i="5"/>
  <c r="O13" i="5"/>
  <c r="F56" i="3"/>
  <c r="G56" i="3" s="1"/>
  <c r="F49" i="3"/>
  <c r="F51" i="3" s="1"/>
  <c r="G51" i="3" s="1"/>
  <c r="F43" i="3"/>
  <c r="F45" i="3" s="1"/>
  <c r="G45" i="3" s="1"/>
  <c r="F27" i="3"/>
  <c r="F29" i="3" s="1"/>
  <c r="G29" i="3" s="1"/>
  <c r="F14" i="3"/>
  <c r="F17" i="3" s="1"/>
  <c r="G17" i="3" s="1"/>
  <c r="F62" i="2"/>
  <c r="G57" i="2"/>
  <c r="F57" i="2"/>
  <c r="F30" i="2"/>
  <c r="G30" i="2" s="1"/>
  <c r="G14"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Victoria Gierok</author>
  </authors>
  <commentList>
    <comment ref="C10" authorId="0" shapeId="0" xr:uid="{1FF099BF-0EA0-E34F-87A9-594A69305C27}">
      <text>
        <r>
          <rPr>
            <b/>
            <sz val="10"/>
            <color rgb="FF000000"/>
            <rFont val="Tahoma"/>
            <family val="2"/>
          </rPr>
          <t>Victoria Gierok:</t>
        </r>
        <r>
          <rPr>
            <sz val="10"/>
            <color rgb="FF000000"/>
            <rFont val="Tahoma"/>
            <family val="2"/>
          </rPr>
          <t xml:space="preserve">
</t>
        </r>
        <r>
          <rPr>
            <sz val="10"/>
            <color rgb="FF000000"/>
            <rFont val="Tahoma"/>
            <family val="2"/>
          </rPr>
          <t xml:space="preserve">from Issue of the grange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Victoria Gierok</author>
  </authors>
  <commentList>
    <comment ref="D4" authorId="0" shapeId="0" xr:uid="{9F5AE099-81F3-6E41-A166-5E215BCC7EE4}">
      <text>
        <r>
          <rPr>
            <b/>
            <sz val="10"/>
            <color rgb="FF000000"/>
            <rFont val="Tahoma"/>
            <family val="2"/>
          </rPr>
          <t>Victoria Gierok:</t>
        </r>
        <r>
          <rPr>
            <sz val="10"/>
            <color rgb="FF000000"/>
            <rFont val="Tahoma"/>
            <family val="2"/>
          </rPr>
          <t xml:space="preserve">
</t>
        </r>
        <r>
          <rPr>
            <sz val="10"/>
            <color rgb="FF000000"/>
            <rFont val="Tahoma"/>
            <family val="2"/>
          </rPr>
          <t>strays that the seem to have added to their own stock?</t>
        </r>
      </text>
    </comment>
    <comment ref="E4" authorId="0" shapeId="0" xr:uid="{B08EAB85-F552-B842-8AB9-2F43A50CFD47}">
      <text>
        <r>
          <rPr>
            <b/>
            <sz val="10"/>
            <color rgb="FF000000"/>
            <rFont val="Tahoma"/>
            <family val="2"/>
          </rPr>
          <t>Victoria Gierok:</t>
        </r>
        <r>
          <rPr>
            <sz val="10"/>
            <color rgb="FF000000"/>
            <rFont val="Tahoma"/>
            <family val="2"/>
          </rPr>
          <t xml:space="preserve">
</t>
        </r>
        <r>
          <rPr>
            <sz val="10"/>
            <color rgb="FF000000"/>
            <rFont val="Tahoma"/>
            <family val="2"/>
          </rPr>
          <t>herbage = a type of customary payment to the lord; hence an addition to the stock</t>
        </r>
      </text>
    </comment>
  </commentList>
</comments>
</file>

<file path=xl/sharedStrings.xml><?xml version="1.0" encoding="utf-8"?>
<sst xmlns="http://schemas.openxmlformats.org/spreadsheetml/2006/main" count="943" uniqueCount="476">
  <si>
    <t>Heading</t>
  </si>
  <si>
    <t>Sentence</t>
  </si>
  <si>
    <t>Total in Pounds</t>
  </si>
  <si>
    <t>Pounds</t>
  </si>
  <si>
    <t>Shillings</t>
  </si>
  <si>
    <t>Pence</t>
  </si>
  <si>
    <t>Corn</t>
  </si>
  <si>
    <t>Total Quarters Except 1</t>
  </si>
  <si>
    <t>Total Bushels Except 1</t>
  </si>
  <si>
    <t>Total Corn Cross-Check</t>
  </si>
  <si>
    <t>Total Corn Manorial Account</t>
  </si>
  <si>
    <t>Corn Quantity Error</t>
  </si>
  <si>
    <t>Quarters 1</t>
  </si>
  <si>
    <t>Bushels 1</t>
  </si>
  <si>
    <t>Quarters 2</t>
  </si>
  <si>
    <t>Bushels 2</t>
  </si>
  <si>
    <t>shilling a quarter 1</t>
  </si>
  <si>
    <t>pence a quarter 1</t>
  </si>
  <si>
    <t>shilling a quarter 2</t>
  </si>
  <si>
    <t>pence a quarter 2</t>
  </si>
  <si>
    <t>shilling a quarter 3</t>
  </si>
  <si>
    <t>pence a quarter 3</t>
  </si>
  <si>
    <t>shilling a quarter 4</t>
  </si>
  <si>
    <t>pence a quarter 4</t>
  </si>
  <si>
    <t>shilling a bushel 1</t>
  </si>
  <si>
    <t>pence a bushel 1</t>
  </si>
  <si>
    <t>shilling a bushel 2</t>
  </si>
  <si>
    <t>pence a bushel 2</t>
  </si>
  <si>
    <t>shilling a bushel 3</t>
  </si>
  <si>
    <t>pence a bushel 3</t>
  </si>
  <si>
    <t>shilling a bushel 4</t>
  </si>
  <si>
    <t>pence a bushel 4</t>
  </si>
  <si>
    <t>Arrears</t>
  </si>
  <si>
    <t>The same render account for £8 4 shilling 0.75pence of arrears from the previous year.</t>
  </si>
  <si>
    <t>Delivered</t>
  </si>
  <si>
    <t>to Sir Geoffrey by 1 tally.</t>
  </si>
  <si>
    <t>They are quit.</t>
  </si>
  <si>
    <t>Rents of assize</t>
  </si>
  <si>
    <t>The same render account for £8 1 shilling 10.5pence for all rents of assize in London and Southwark at Easter (22 April).</t>
  </si>
  <si>
    <t>£8 1 shilling 10.5pence at Michaelmas (29 September).</t>
  </si>
  <si>
    <t>Total, £16 3 shilling 9pence</t>
  </si>
  <si>
    <t>Decayed rents</t>
  </si>
  <si>
    <t>In default of the rent of the tenement of Richard de Holebrok', because it is not built upon, nor enclosed, nor is there anything growing on it from which it would be possible to levy a rent, 10 shilling 2pence.</t>
  </si>
  <si>
    <t>the tenement which belonged to William Wellyng', 2 shilling this year, because it is not possible to levy a rent.</t>
  </si>
  <si>
    <t>the queen's garden 10 shilling 6pence.</t>
  </si>
  <si>
    <t>the tenement of the earl of Lancaster 2 shilling.</t>
  </si>
  <si>
    <t>the tenement of Laurence Hardel 1 shilling, because it is not possible to levy a rent this year.</t>
  </si>
  <si>
    <t>Total, £1 5 shilling 8pence</t>
  </si>
  <si>
    <t>Total of rents remaining clear</t>
  </si>
  <si>
    <t>Total of rents remaining clear, £14 18 shilling 1 pence</t>
  </si>
  <si>
    <t>Nutmeg</t>
  </si>
  <si>
    <t>The same render account for 3 nutmegs from the rent of Gilbert Coleman this year.</t>
  </si>
  <si>
    <t>Total, 3 nuts.</t>
  </si>
  <si>
    <t>Pepper</t>
  </si>
  <si>
    <t>The same render account for 1 lb of pepper from the rent of 1 seld in Eldefhystrate this year.</t>
  </si>
  <si>
    <t>Total, 1 lb.</t>
  </si>
  <si>
    <t>All delivered to Sir Geoffrey by 1 tally.</t>
  </si>
  <si>
    <t>Issues of the manor</t>
  </si>
  <si>
    <t>The same render account for £3 6 shilling 8pence from the herbage in the great field sold.</t>
  </si>
  <si>
    <t>8 shilling from nettles in la Wild' sold.</t>
  </si>
  <si>
    <t>5 shilling from 1 garden hired this year to make a curtilage.</t>
  </si>
  <si>
    <t>9 shilling from fruit sold this year.</t>
  </si>
  <si>
    <t>3 shilling from 1 plot behind the kitchen, and not more this year because part of the bishops hay was stacked there which it was not possible to stack in other buildings because of the sojourn of the count of Savoy there.</t>
  </si>
  <si>
    <t>nothing from hay this year because all was in provision of the bishop's horses.</t>
  </si>
  <si>
    <t>nothing from the pinfold this year because it is submergepence Total, £4 11 shilling 8pence</t>
  </si>
  <si>
    <t>Sale of corn</t>
  </si>
  <si>
    <t>The same render account for £2 16 shilling 8pence from 10 quarters of wheat sold from the issue of the mill, at 5 shilling 8pence a quarters.</t>
  </si>
  <si>
    <t>wheat</t>
  </si>
  <si>
    <t>£2 13 shilling 4pence from 10 quarters of wheat sold from the same issue, at 5 shilling 4pence a quarters.</t>
  </si>
  <si>
    <t>£1 8 shilling 4pence from 8.5 quarters of maslin sold from the issue of the mill, at 3 shilling 4pence a quarters.</t>
  </si>
  <si>
    <t>maslin</t>
  </si>
  <si>
    <t>Total, £6 18 shilling 4pence</t>
  </si>
  <si>
    <t>Perquisites</t>
  </si>
  <si>
    <t>The same render account for 6pence from John Baldewyn' and his pledges.</t>
  </si>
  <si>
    <t>6pence from Emma, wife of Roginald Pistor'.</t>
  </si>
  <si>
    <t>3pence from John de Wynton' for many transgressions.</t>
  </si>
  <si>
    <t>3pence from Simon de Merton' for the same.</t>
  </si>
  <si>
    <t>1 shilling from the whole tithing for concealment.</t>
  </si>
  <si>
    <t>3pence from William le Lech' for breaking the assize of ale.</t>
  </si>
  <si>
    <t>3pence from John le Sthalou' for the same.</t>
  </si>
  <si>
    <t>3pence from Roger le Horsdrivare for the same.</t>
  </si>
  <si>
    <t>3pence from Stephen Bost for the same.</t>
  </si>
  <si>
    <t>3pence from John Wynterman.</t>
  </si>
  <si>
    <t>2 shilling from the whole tithing.</t>
  </si>
  <si>
    <t>3pence from Thomas Seman.</t>
  </si>
  <si>
    <t>3pence from John de Wynton' for false complaint.</t>
  </si>
  <si>
    <t>3pence from the same for bail.</t>
  </si>
  <si>
    <t>6pence from James Copin.</t>
  </si>
  <si>
    <t>3pence from John Wynterman for harbouring.</t>
  </si>
  <si>
    <t>3pence from William de Barton'.</t>
  </si>
  <si>
    <t>3pence from Nicholas de Wynton for his false complaint.</t>
  </si>
  <si>
    <t>Total, 7 shilling 9pence</t>
  </si>
  <si>
    <t>Foreign receipts</t>
  </si>
  <si>
    <t>The same render account for £1 received from the lord's wardrobe.</t>
  </si>
  <si>
    <t>Total, £1. Total of all receipts of the year within as well as foreign, £25 15 shilling 10pence1</t>
  </si>
  <si>
    <t>Cost of the mill</t>
  </si>
  <si>
    <t>In 1 measure of steel bought for the mill bills 1 shilling.</t>
  </si>
  <si>
    <t>forging the same 1 shilling.</t>
  </si>
  <si>
    <t>sharpening the bills for the year 2 shilling.</t>
  </si>
  <si>
    <t>repairing the mill spindle this year 5 shilling.</t>
  </si>
  <si>
    <t>shoeing 1 horse for the year 6pence.</t>
  </si>
  <si>
    <t>mending 1 saddle-pad and surcingle 8pence.</t>
  </si>
  <si>
    <t>cogs and rungs bought 4 shilling.</t>
  </si>
  <si>
    <t>tallow for the same 1 shilling 4pence.</t>
  </si>
  <si>
    <t>carrying 224 quarters of corn from London to the mill by boat and from the mill to London 4 shilling 8pence.</t>
  </si>
  <si>
    <t>stipend of 1 miller for the year 8 shilling.</t>
  </si>
  <si>
    <t>stipend of 1 man driving 1 mill-horse for the year 6 shilling.</t>
  </si>
  <si>
    <t>12 quarters of oats bought for the fodder of the mill-horse 16 shilling, at 1 shilling 4pence a quarters.</t>
  </si>
  <si>
    <t>oats</t>
  </si>
  <si>
    <t>.</t>
  </si>
  <si>
    <t>10 quarters 6 bushels of oats bought for the same 16 shilling 1.5pence, at 1 shilling 6pence a quarters.</t>
  </si>
  <si>
    <t>Total, £3 12 shilling 5.5pence</t>
  </si>
  <si>
    <t>Cost of hay</t>
  </si>
  <si>
    <t>In mowing 32 acres of meadow by piece-work this year 16 shilling, at 6pence an acre.</t>
  </si>
  <si>
    <t>spreading the said hay 1 shilling 6pence.</t>
  </si>
  <si>
    <t>haulage and porterage from the water to the land 8 shilling 6pence.</t>
  </si>
  <si>
    <t>tossing the said hay and making haycocks therefrom 16 shilling.</t>
  </si>
  <si>
    <t>carrying the said hay to the curia this year £2 2 shilling 6pence.</t>
  </si>
  <si>
    <t>mowing 18 acres of rowen meadow 7 shilling 6pence, at 5pence an acre.</t>
  </si>
  <si>
    <t>tedding 9pence.</t>
  </si>
  <si>
    <t>the haulage and porterage of the aforesaid hay 7 shilling 6pence.</t>
  </si>
  <si>
    <t>tossing the said hay and making haycocks therefrom 14 shilling Total, £5 14 shilling 6pence</t>
  </si>
  <si>
    <t>Small expenses</t>
  </si>
  <si>
    <t>In quittance of tithe of the said meadow next to the chapel of the blessed Margaret 6 shilling 8pence.</t>
  </si>
  <si>
    <t>tithe for the garden 2 shilling.</t>
  </si>
  <si>
    <t>removing hay from behind the hall to the palfreys' stable by order of the bishop 9 shilling.</t>
  </si>
  <si>
    <t>2 weys of lead bought for the guttering of the bishop's chamber 8 shilling.</t>
  </si>
  <si>
    <t>1 man making the aforesaid gutters for 6 days 3 shilling, and for his mate 2 shilling.</t>
  </si>
  <si>
    <t>tin for the same 1 shilling 6pence.</t>
  </si>
  <si>
    <t>3 bushels of charcoal for the same 6pence.</t>
  </si>
  <si>
    <t>tallow 1.5pence.</t>
  </si>
  <si>
    <t>1 beam (jupa) bought for the hall 1 shilling 6pence.</t>
  </si>
  <si>
    <t>1 iron gudgeon for the same 8pence.</t>
  </si>
  <si>
    <t>iron for the same 8pence.</t>
  </si>
  <si>
    <t>carpentry for the same 1 shilling.</t>
  </si>
  <si>
    <t>3 locks bought for the bishop's gates 10pence Total, £1 16 shilling 9.5pence</t>
  </si>
  <si>
    <t>Wages and fees</t>
  </si>
  <si>
    <t>In fee of the bailiff for the year £5..</t>
  </si>
  <si>
    <t>wages of 1 door-keeper for the year 15 shilling 2.5pence, at .5pence a day.</t>
  </si>
  <si>
    <t>2 furs for the bailiff 6 shilling Total, £6 1 shilling 2.5pence</t>
  </si>
  <si>
    <t>Payment of rents</t>
  </si>
  <si>
    <t>The same paid £3 3 shilling 4pence to Bermondsey for the rents of assize at Easter.</t>
  </si>
  <si>
    <t>£3 3 shilling 4pence at Michaelmas.</t>
  </si>
  <si>
    <t>Total, £6 6 shilling 8pence</t>
  </si>
  <si>
    <t>Total of all expenses</t>
  </si>
  <si>
    <t>Total of all expenses, £23 11 shilling 4.5pence</t>
  </si>
  <si>
    <t>And he owes, £4 4 shilling 5.5pence And he owes it all clear.</t>
  </si>
  <si>
    <t>Wheat</t>
  </si>
  <si>
    <t>The same render account for.36 quarters 5 bushels of wheat from the issue of the mill by 1 tally against John le Fennere and John Molendinarius.</t>
  </si>
  <si>
    <t>Total, 36 quarters 5 bushels.</t>
  </si>
  <si>
    <t>tithe, 3 quarters 5 bushels Delivered to 1 miller and 1 man driving 1 mill-horse for the year, 13 quarters.</t>
  </si>
  <si>
    <t>Sold as noted within (ut infra), 20 quarters.</t>
  </si>
  <si>
    <t>Total as above.</t>
  </si>
  <si>
    <t>It balances.</t>
  </si>
  <si>
    <t>Maslin</t>
  </si>
  <si>
    <t>The same render account for 9 quarters 3 bushels of marlin from the issue of the mill by tally against the aforesaipence Total, 9 quarters 3 bushels</t>
  </si>
  <si>
    <t>In tithe, 7 bushels Sold as noted within, 8 quarters 4 bushels Total as above.</t>
  </si>
  <si>
    <t>Oats</t>
  </si>
  <si>
    <t>The same render account for 22 quarters 6 bushels of oats bought as noted within.</t>
  </si>
  <si>
    <t>Total, 22 quarters 6 bushels All in fodder of the mill-horse.</t>
  </si>
  <si>
    <t>None remains.</t>
  </si>
  <si>
    <t>Horses: 1 remains.</t>
  </si>
  <si>
    <t>Total, 1. 1 remains.</t>
  </si>
  <si>
    <t>Error</t>
  </si>
  <si>
    <t>Total</t>
  </si>
  <si>
    <t>The same render account for £2 16 shilling 8pence from 10 quarters of wheat sold from the issue of the mill, at 5 shilling 8pence a qr.</t>
  </si>
  <si>
    <t>£2 13 shilling 4pence from 10 quarters of wheat sold from the same issue, at 5 shilling 4pence a qr.</t>
  </si>
  <si>
    <t>£1 8 shilling 4pence from 8.5 quarters of maslin sold from the issue of the mill, at 3 shilling 4pence a qr.</t>
  </si>
  <si>
    <t>12 quarters of oats bought for the fodder of the mill-horse 16 shilling, at 1 shilling 4pence a qr.</t>
  </si>
  <si>
    <t>10 quarters 6 bushels of oats bought for the same 16 shilling 1.5pence, at 1 shilling 6pence a qr.</t>
  </si>
  <si>
    <t>Quarters 1_x</t>
  </si>
  <si>
    <t>Bushels 1_x</t>
  </si>
  <si>
    <t>Sown Quarters</t>
  </si>
  <si>
    <t>Sown Bushels</t>
  </si>
  <si>
    <t>Sown Total Quarters</t>
  </si>
  <si>
    <t>Bought in Quarters</t>
  </si>
  <si>
    <t>Bought in Bushels</t>
  </si>
  <si>
    <t>Bought in Total Quarters</t>
  </si>
  <si>
    <t>Tithe Quarters</t>
  </si>
  <si>
    <t>Tithe Bushels</t>
  </si>
  <si>
    <t>Tithe Total Quarters</t>
  </si>
  <si>
    <t>Manorial servants &amp; livestock Quarters</t>
  </si>
  <si>
    <t>Manorial servants &amp; livestock Bushels</t>
  </si>
  <si>
    <t>Manorial servants &amp; livestock Total Quarters</t>
  </si>
  <si>
    <t>Sold Quarters</t>
  </si>
  <si>
    <t>Sold Bushels</t>
  </si>
  <si>
    <t>Sold Total Quarters</t>
  </si>
  <si>
    <t>Account Quarters</t>
  </si>
  <si>
    <t>Account Bushels</t>
  </si>
  <si>
    <t>Account Total Quarters</t>
  </si>
  <si>
    <t>bought only</t>
  </si>
  <si>
    <t>Quarters 1_y</t>
  </si>
  <si>
    <t>Bushels 1_y</t>
  </si>
  <si>
    <t>Gross Output</t>
  </si>
  <si>
    <t>Difference Produced+Bought-Sold</t>
  </si>
  <si>
    <t>Weighted Average Price per Quarter</t>
  </si>
  <si>
    <t>Non-Weighted Average Price per Quarter</t>
  </si>
  <si>
    <t>Value of Total Production weighted</t>
  </si>
  <si>
    <t>Barley</t>
  </si>
  <si>
    <t>Peas</t>
  </si>
  <si>
    <t>Oatmeal</t>
  </si>
  <si>
    <t>Vetches</t>
  </si>
  <si>
    <t>Rye</t>
  </si>
  <si>
    <t>Quarters 0</t>
  </si>
  <si>
    <t>Bushels 0</t>
  </si>
  <si>
    <t>£ a quarter 1</t>
  </si>
  <si>
    <t>£ a quarter 2</t>
  </si>
  <si>
    <t>£ a quarter 3</t>
  </si>
  <si>
    <t>£ a quarter 4</t>
  </si>
  <si>
    <t>Quarters Sold</t>
  </si>
  <si>
    <t>Corn lowercase</t>
  </si>
  <si>
    <t>inf</t>
  </si>
  <si>
    <t>CASH ACCOUNT</t>
  </si>
  <si>
    <t>RECEIPTS</t>
  </si>
  <si>
    <t>Arrears total</t>
  </si>
  <si>
    <t>Rents of assize total</t>
  </si>
  <si>
    <t>Quittances total</t>
  </si>
  <si>
    <t>Defaults of rent total</t>
  </si>
  <si>
    <t>Defaults of rent through the pestilence total</t>
  </si>
  <si>
    <t>Cotlands defaults total</t>
  </si>
  <si>
    <t>Cotlands total</t>
  </si>
  <si>
    <t>Total of quittances and defaults of rent total</t>
  </si>
  <si>
    <t>Total of rents remaining clear total</t>
  </si>
  <si>
    <t>Farms total</t>
  </si>
  <si>
    <t>Annual recognizances total</t>
  </si>
  <si>
    <t>Issues of the Manor total</t>
  </si>
  <si>
    <t>Issues of the tenements in the lord's hands total</t>
  </si>
  <si>
    <t>Sale of labour services total</t>
  </si>
  <si>
    <t>Sale of corn total</t>
  </si>
  <si>
    <t>Entry and marriage fines total</t>
  </si>
  <si>
    <t>Pleas &amp; perquisites total</t>
  </si>
  <si>
    <t>Forfeited chattels total</t>
  </si>
  <si>
    <t>Farm of the demesne land total</t>
  </si>
  <si>
    <t>Total of all receipts (calculated here)</t>
  </si>
  <si>
    <t>Total of all receipts (calculated here) incl arrears</t>
  </si>
  <si>
    <t>Total recorded in the accounts excl. arrears</t>
  </si>
  <si>
    <t>Total recorded in the accounts incl. arrears</t>
  </si>
  <si>
    <t>EXPENSES</t>
  </si>
  <si>
    <t>Cost of ploughs total</t>
  </si>
  <si>
    <t>Purchase of corn total</t>
  </si>
  <si>
    <t>Cost of carts and wagons total</t>
  </si>
  <si>
    <t>Cost of dairy total</t>
  </si>
  <si>
    <t>Purchase of stock total</t>
  </si>
  <si>
    <t>Sheepcote total</t>
  </si>
  <si>
    <t>Cost of buildings total</t>
  </si>
  <si>
    <t>Threshing total</t>
  </si>
  <si>
    <t>Barley expenses</t>
  </si>
  <si>
    <t>Expenses of the harvest total</t>
  </si>
  <si>
    <t>Necessary expenses</t>
  </si>
  <si>
    <t>Wages of the bailiff</t>
  </si>
  <si>
    <t>Steward's expenses total</t>
  </si>
  <si>
    <t>Annual fees</t>
  </si>
  <si>
    <t>Total of all expenses per account</t>
  </si>
  <si>
    <t>Total of all expenses (calculated here)</t>
  </si>
  <si>
    <t>Total fixed investment</t>
  </si>
  <si>
    <t>Total Demesne fixed investment</t>
  </si>
  <si>
    <t>Owed by the reeve</t>
  </si>
  <si>
    <t>From accounts</t>
  </si>
  <si>
    <t>Allowances</t>
  </si>
  <si>
    <t>Cash deliveries</t>
  </si>
  <si>
    <t>Sum of the above</t>
  </si>
  <si>
    <t>Total of all allowances and cash deliveries in accounts</t>
  </si>
  <si>
    <t>Net amount owed</t>
  </si>
  <si>
    <t>Net amount owed in accounts</t>
  </si>
  <si>
    <t xml:space="preserve">GRANGE ACCOUNT </t>
  </si>
  <si>
    <t>Grange</t>
  </si>
  <si>
    <t>Dredge</t>
  </si>
  <si>
    <t>Curall</t>
  </si>
  <si>
    <t>Beans</t>
  </si>
  <si>
    <t>Total value of gross production (sum of the above)</t>
  </si>
  <si>
    <t>Total value of net production</t>
  </si>
  <si>
    <t>Value of sales</t>
  </si>
  <si>
    <t>MILL ACCOUNT</t>
  </si>
  <si>
    <t>Issues of the mill</t>
  </si>
  <si>
    <t>1st grade malt</t>
  </si>
  <si>
    <t>2nd grade malt</t>
  </si>
  <si>
    <t>Total value of production (sum of the above)</t>
  </si>
  <si>
    <t>STOCK ACCOUNT</t>
  </si>
  <si>
    <t>Livestock</t>
  </si>
  <si>
    <t>Cart-horses</t>
  </si>
  <si>
    <t>Mares</t>
  </si>
  <si>
    <t>Plough horses</t>
  </si>
  <si>
    <t>Colts (2 years)</t>
  </si>
  <si>
    <t>Colts (1 year)</t>
  </si>
  <si>
    <t>Foals</t>
  </si>
  <si>
    <t>Oxen</t>
  </si>
  <si>
    <t>Bulls</t>
  </si>
  <si>
    <t>Cows</t>
  </si>
  <si>
    <t>Steers</t>
  </si>
  <si>
    <t>Bullocks</t>
  </si>
  <si>
    <t>Yearlings</t>
  </si>
  <si>
    <t>Calves</t>
  </si>
  <si>
    <t>Wethers</t>
  </si>
  <si>
    <t>Rams</t>
  </si>
  <si>
    <t>Ewes</t>
  </si>
  <si>
    <t>Hoggs</t>
  </si>
  <si>
    <t>Lambs</t>
  </si>
  <si>
    <t>Boars</t>
  </si>
  <si>
    <t>Sows</t>
  </si>
  <si>
    <t>Pigs</t>
  </si>
  <si>
    <t>Hoggets</t>
  </si>
  <si>
    <t>Piglets</t>
  </si>
  <si>
    <t>Swans</t>
  </si>
  <si>
    <t>Peacocks</t>
  </si>
  <si>
    <t>Total value of stock (sum of the above)</t>
  </si>
  <si>
    <t>Total value of production</t>
  </si>
  <si>
    <t>Wool</t>
  </si>
  <si>
    <t>Fleeces</t>
  </si>
  <si>
    <t>Coarse wool</t>
  </si>
  <si>
    <t>Lamb's wool</t>
  </si>
  <si>
    <t>Wool locks</t>
  </si>
  <si>
    <t>Wool sold at shearing</t>
  </si>
  <si>
    <t>Hides</t>
  </si>
  <si>
    <t>Ox hides</t>
  </si>
  <si>
    <t>Cow hides</t>
  </si>
  <si>
    <t>Mare hides</t>
  </si>
  <si>
    <t>Steer hides</t>
  </si>
  <si>
    <t>Yearling Calf hides</t>
  </si>
  <si>
    <t>Calf hides</t>
  </si>
  <si>
    <t>Pig hides</t>
  </si>
  <si>
    <t>Wether woolskins</t>
  </si>
  <si>
    <t>Ram woolskins</t>
  </si>
  <si>
    <t>Ewe woolskins</t>
  </si>
  <si>
    <t>Hogg woolskins</t>
  </si>
  <si>
    <t>Woolskins (total)</t>
  </si>
  <si>
    <t>Wether bareskins</t>
  </si>
  <si>
    <t>Ram bareskins</t>
  </si>
  <si>
    <t>Ewe bareskins</t>
  </si>
  <si>
    <t>Hogg bareskins</t>
  </si>
  <si>
    <t>Bareskins (total)</t>
  </si>
  <si>
    <t>Lambskins</t>
  </si>
  <si>
    <t>Rotted skins</t>
  </si>
  <si>
    <t>Shorn skins</t>
  </si>
  <si>
    <t>Poultry stock</t>
  </si>
  <si>
    <t>Hens</t>
  </si>
  <si>
    <t>Geese</t>
  </si>
  <si>
    <t>Capons (from chickens)</t>
  </si>
  <si>
    <t>Cocks &amp; hens</t>
  </si>
  <si>
    <t>Poultry production</t>
  </si>
  <si>
    <t>Eggs</t>
  </si>
  <si>
    <t>Cocks &amp; hens from churchscot of customary tenants</t>
  </si>
  <si>
    <t>Sum of above</t>
  </si>
  <si>
    <t>Total value of stock</t>
  </si>
  <si>
    <t>Dairy Production</t>
  </si>
  <si>
    <t>Butter</t>
  </si>
  <si>
    <t>Winter Cheese</t>
  </si>
  <si>
    <t>Summer Cheese</t>
  </si>
  <si>
    <t>Total Production Value of all Output (Grange, Dairy, Livestock Sales, Wools, Skins - NO Mill)</t>
  </si>
  <si>
    <t>Total Sales Value of all Output as defined above</t>
  </si>
  <si>
    <t>Total Sales of Corn + Issues of the Manor as recorded in account</t>
  </si>
  <si>
    <t>Production Value + Cash Receipts (excl. Arrears, Issues, Corn and Mill)</t>
  </si>
  <si>
    <t>% of capital expenses in terms of total production</t>
  </si>
  <si>
    <t>% of capital expenses in terms of total production + cash receipts</t>
  </si>
  <si>
    <r>
      <t xml:space="preserve">% of capital expenses as </t>
    </r>
    <r>
      <rPr>
        <b/>
        <i/>
        <sz val="12"/>
        <color rgb="FF000000"/>
        <rFont val="Calibri"/>
        <family val="2"/>
        <scheme val="minor"/>
      </rPr>
      <t>calculated previously</t>
    </r>
  </si>
  <si>
    <t>SOUTHWARK</t>
  </si>
  <si>
    <t>Total in £</t>
  </si>
  <si>
    <t>Note</t>
  </si>
  <si>
    <t>SOUTHWARK RECEIPTS</t>
  </si>
  <si>
    <t>SOUTHWARK EXPENSES</t>
  </si>
  <si>
    <t>£</t>
  </si>
  <si>
    <t xml:space="preserve">s </t>
  </si>
  <si>
    <t>d</t>
  </si>
  <si>
    <t>Notes</t>
  </si>
  <si>
    <t>Delivered to Sir Geoffrey by 1 tally.</t>
  </si>
  <si>
    <t xml:space="preserve">nothing from the pinfold this year because it is submergepence </t>
  </si>
  <si>
    <t>Total, £4 11 shilling 8pence</t>
  </si>
  <si>
    <t xml:space="preserve">Total, £1. </t>
  </si>
  <si>
    <t>Total of all receipts of the year within as well as foreign, £25 15 shilling 10pence.</t>
  </si>
  <si>
    <t>Total of all receipts</t>
  </si>
  <si>
    <t xml:space="preserve">tossing the said hay and making haycocks therefrom 14 shilling </t>
  </si>
  <si>
    <t>Total, £5 14 shilling 6pence</t>
  </si>
  <si>
    <t xml:space="preserve">And he owes, £4 4 shilling 5.5pence </t>
  </si>
  <si>
    <t>And he owes it all clear.</t>
  </si>
  <si>
    <t>And he owes</t>
  </si>
  <si>
    <t xml:space="preserve">3 locks bought for the bishop's gates 10pence </t>
  </si>
  <si>
    <t>Total, £1 16 shilling 9.5pence</t>
  </si>
  <si>
    <t>In fee of the bailiff for the year £5.</t>
  </si>
  <si>
    <t xml:space="preserve">2 furs for the bailiff 6 shilling </t>
  </si>
  <si>
    <t>Total, £6 1 shilling 2.5pence</t>
  </si>
  <si>
    <t>Colts (unspecified years)</t>
  </si>
  <si>
    <t>Total Value</t>
  </si>
  <si>
    <t>Total wool</t>
  </si>
  <si>
    <t>Mare</t>
  </si>
  <si>
    <t>Steer</t>
  </si>
  <si>
    <t>calves</t>
  </si>
  <si>
    <t>pigs</t>
  </si>
  <si>
    <t>Woolskins (incl. 10 in tithe)</t>
  </si>
  <si>
    <t>wethers</t>
  </si>
  <si>
    <t>rams</t>
  </si>
  <si>
    <t>ewes</t>
  </si>
  <si>
    <t>hoggs</t>
  </si>
  <si>
    <t>Woolskins (excl. 10 in tithe)</t>
  </si>
  <si>
    <t>Bareskins</t>
  </si>
  <si>
    <t>Lambskins (excl. 8 in tithe)</t>
  </si>
  <si>
    <t xml:space="preserve">Total </t>
  </si>
  <si>
    <t>Total poultry stock</t>
  </si>
  <si>
    <t>Total poultry excluding churchscot</t>
  </si>
  <si>
    <t>Meat</t>
  </si>
  <si>
    <t>Beef</t>
  </si>
  <si>
    <t>Mutton</t>
  </si>
  <si>
    <t>Pork</t>
  </si>
  <si>
    <t>Cheese</t>
  </si>
  <si>
    <t>Winter cheese</t>
  </si>
  <si>
    <t>Summer cheese</t>
  </si>
  <si>
    <t>Total Dairy Sales</t>
  </si>
  <si>
    <t>Cider</t>
  </si>
  <si>
    <t>Additional Information (not necessarily useful)</t>
  </si>
  <si>
    <t>Utensils</t>
  </si>
  <si>
    <t>ploughs</t>
  </si>
  <si>
    <t>carts</t>
  </si>
  <si>
    <t>cart-ropes</t>
  </si>
  <si>
    <t>corn baskets</t>
  </si>
  <si>
    <t>seed-sacks</t>
  </si>
  <si>
    <t>seed basket</t>
  </si>
  <si>
    <t>locks for the doors</t>
  </si>
  <si>
    <t>lead vessel</t>
  </si>
  <si>
    <t>brass pots</t>
  </si>
  <si>
    <t>pans</t>
  </si>
  <si>
    <t>tripods</t>
  </si>
  <si>
    <t>mortar</t>
  </si>
  <si>
    <t>axe</t>
  </si>
  <si>
    <t>casks</t>
  </si>
  <si>
    <t>tubs</t>
  </si>
  <si>
    <t>troughs</t>
  </si>
  <si>
    <t>bucket</t>
  </si>
  <si>
    <t>cheese basket</t>
  </si>
  <si>
    <t>tables</t>
  </si>
  <si>
    <t>table with trestles</t>
  </si>
  <si>
    <t>benches</t>
  </si>
  <si>
    <t>ewer with a basin</t>
  </si>
  <si>
    <t>ladders</t>
  </si>
  <si>
    <t>cloth</t>
  </si>
  <si>
    <t>brass posnets</t>
  </si>
  <si>
    <t>added</t>
  </si>
  <si>
    <t>subtracted</t>
  </si>
  <si>
    <t>Inherited stock</t>
  </si>
  <si>
    <t>strays</t>
  </si>
  <si>
    <t>herbage</t>
  </si>
  <si>
    <t>churchscot</t>
  </si>
  <si>
    <t>of which in default</t>
  </si>
  <si>
    <t>sold</t>
  </si>
  <si>
    <t>in murrain</t>
  </si>
  <si>
    <t>accounted for elsewhere</t>
  </si>
  <si>
    <t>End-period  stock</t>
  </si>
  <si>
    <t>cross-check</t>
  </si>
  <si>
    <t>stock building</t>
  </si>
  <si>
    <t>raw production</t>
  </si>
  <si>
    <t>Unit price (£)</t>
  </si>
  <si>
    <t>Value of stock  (£) at given value</t>
  </si>
  <si>
    <t>Value of stock  (£) at sales prices</t>
  </si>
  <si>
    <t>Sales in (£)</t>
  </si>
  <si>
    <t>Value of stock building (£)</t>
  </si>
  <si>
    <t>Value of production (£) at sales prices</t>
  </si>
  <si>
    <t>Details</t>
  </si>
  <si>
    <t>SOUTHWARK STOCK ACCOUNT</t>
  </si>
  <si>
    <t>Total Quantity</t>
  </si>
  <si>
    <t>Received from churchscot</t>
  </si>
  <si>
    <t>Net output</t>
  </si>
  <si>
    <t>Gross output</t>
  </si>
  <si>
    <t>Seed quarters</t>
  </si>
  <si>
    <t>Seed bushels</t>
  </si>
  <si>
    <t>Seed total quarters</t>
  </si>
  <si>
    <t>tithe quarters</t>
  </si>
  <si>
    <t>tithe bushels</t>
  </si>
  <si>
    <t>tithe total</t>
  </si>
  <si>
    <t>manorial servants quarters</t>
  </si>
  <si>
    <t>manorial servants bushels</t>
  </si>
  <si>
    <t>manorial servants total quarters</t>
  </si>
  <si>
    <t>output net of tithe, seed, liveries</t>
  </si>
  <si>
    <t>in stock from last year</t>
  </si>
  <si>
    <t>Price in £</t>
  </si>
  <si>
    <t>Value of net output in £</t>
  </si>
  <si>
    <t>Value of sales (in "Sale of Corn") in £</t>
  </si>
  <si>
    <t>Total Production</t>
  </si>
  <si>
    <t>Sales of corn (as recorded in accounts)</t>
  </si>
  <si>
    <t>no grange - all in mill account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</si>
</sst>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2"/>
      <color theme="1"/>
      <name val="Calibri"/>
      <family val="2"/>
      <scheme val="minor"/>
    </font>
    <font>
      <b/>
      <sz val="11"/>
      <name val="Calibri"/>
      <family val="2"/>
    </font>
    <font>
      <b/>
      <sz val="12"/>
      <color theme="1"/>
      <name val="Calibri"/>
      <family val="2"/>
      <scheme val="minor"/>
    </font>
    <font>
      <b/>
      <sz val="12"/>
      <color rgb="FF000000"/>
      <name val="Calibri"/>
      <family val="2"/>
      <scheme val="minor"/>
    </font>
    <font>
      <sz val="12"/>
      <color rgb="FF000000"/>
      <name val="Calibri"/>
      <family val="2"/>
      <scheme val="minor"/>
    </font>
    <font>
      <b/>
      <i/>
      <sz val="12"/>
      <color theme="1"/>
      <name val="Calibri"/>
      <family val="2"/>
      <scheme val="minor"/>
    </font>
    <font>
      <b/>
      <i/>
      <sz val="12"/>
      <color rgb="FF000000"/>
      <name val="Calibri"/>
      <family val="2"/>
      <scheme val="minor"/>
    </font>
    <font>
      <i/>
      <sz val="12"/>
      <color rgb="FF000000"/>
      <name val="Calibri"/>
      <family val="2"/>
      <scheme val="minor"/>
    </font>
    <font>
      <b/>
      <sz val="12"/>
      <color rgb="FFFF0000"/>
      <name val="Calibri"/>
      <family val="2"/>
      <scheme val="minor"/>
    </font>
    <font>
      <b/>
      <sz val="12"/>
      <color theme="1"/>
      <name val="Calibri (Body)"/>
    </font>
    <font>
      <sz val="11"/>
      <color rgb="FFFF0000"/>
      <name val="Calibri (Body)"/>
    </font>
    <font>
      <b/>
      <sz val="12"/>
      <name val="Calibri"/>
      <family val="2"/>
    </font>
    <font>
      <b/>
      <sz val="12"/>
      <color rgb="FFFF0000"/>
      <name val="Calibri (Body)"/>
    </font>
    <font>
      <i/>
      <sz val="12"/>
      <color theme="1"/>
      <name val="Calibri"/>
      <family val="2"/>
      <scheme val="minor"/>
    </font>
    <font>
      <b/>
      <sz val="10"/>
      <color rgb="FF000000"/>
      <name val="Tahoma"/>
      <family val="2"/>
    </font>
    <font>
      <sz val="10"/>
      <color rgb="FF000000"/>
      <name val="Tahoma"/>
      <family val="2"/>
    </font>
    <font>
      <b/>
      <sz val="11"/>
      <color theme="1"/>
      <name val="Calibri"/>
      <family val="2"/>
      <scheme val="minor"/>
    </font>
    <font>
      <b/>
      <sz val="11"/>
      <color rgb="FF000000"/>
      <name val="Calibri"/>
      <family val="2"/>
      <scheme val="minor"/>
    </font>
  </fonts>
  <fills count="11">
    <fill>
      <patternFill patternType="none"/>
    </fill>
    <fill>
      <patternFill patternType="gray125"/>
    </fill>
    <fill>
      <patternFill patternType="solid">
        <fgColor rgb="FFF2F2F2"/>
        <bgColor rgb="FF000000"/>
      </patternFill>
    </fill>
    <fill>
      <patternFill patternType="solid">
        <fgColor theme="0" tint="-4.9989318521683403E-2"/>
        <bgColor indexed="64"/>
      </patternFill>
    </fill>
    <fill>
      <patternFill patternType="solid">
        <fgColor theme="7" tint="0.79998168889431442"/>
        <bgColor indexed="64"/>
      </patternFill>
    </fill>
    <fill>
      <patternFill patternType="solid">
        <fgColor theme="7" tint="0.79998168889431442"/>
        <bgColor rgb="FF000000"/>
      </patternFill>
    </fill>
    <fill>
      <patternFill patternType="solid">
        <fgColor theme="0" tint="-4.9989318521683403E-2"/>
        <bgColor rgb="FF000000"/>
      </patternFill>
    </fill>
    <fill>
      <patternFill patternType="solid">
        <fgColor theme="6" tint="0.79998168889431442"/>
        <bgColor indexed="64"/>
      </patternFill>
    </fill>
    <fill>
      <patternFill patternType="solid">
        <fgColor rgb="FFFFFF00"/>
        <bgColor indexed="64"/>
      </patternFill>
    </fill>
    <fill>
      <patternFill patternType="solid">
        <fgColor theme="2"/>
        <bgColor indexed="64"/>
      </patternFill>
    </fill>
    <fill>
      <patternFill patternType="solid">
        <fgColor theme="9" tint="0.79998168889431442"/>
        <bgColor indexed="64"/>
      </patternFill>
    </fill>
  </fills>
  <borders count="11">
    <border>
      <left/>
      <right/>
      <top/>
      <bottom/>
      <diagonal/>
    </border>
    <border>
      <left style="thin">
        <color auto="1"/>
      </left>
      <right style="thin">
        <color auto="1"/>
      </right>
      <top style="thin">
        <color auto="1"/>
      </top>
      <bottom style="thin">
        <color auto="1"/>
      </bottom>
      <diagonal/>
    </border>
    <border>
      <left/>
      <right/>
      <top style="thin">
        <color indexed="64"/>
      </top>
      <bottom/>
      <diagonal/>
    </border>
    <border>
      <left/>
      <right/>
      <top/>
      <bottom style="thin">
        <color indexed="64"/>
      </bottom>
      <diagonal/>
    </border>
    <border>
      <left/>
      <right/>
      <top/>
      <bottom style="thin">
        <color rgb="FFA6A6A6"/>
      </bottom>
      <diagonal/>
    </border>
    <border>
      <left style="medium">
        <color indexed="64"/>
      </left>
      <right/>
      <top style="medium">
        <color indexed="64"/>
      </top>
      <bottom style="medium">
        <color indexed="64"/>
      </bottom>
      <diagonal/>
    </border>
    <border>
      <left style="medium">
        <color indexed="64"/>
      </left>
      <right/>
      <top/>
      <bottom/>
      <diagonal/>
    </border>
    <border>
      <left style="medium">
        <color indexed="64"/>
      </left>
      <right/>
      <top/>
      <bottom style="medium">
        <color indexed="64"/>
      </bottom>
      <diagonal/>
    </border>
    <border>
      <left/>
      <right/>
      <top/>
      <bottom style="thin">
        <color theme="0" tint="-0.34998626667073579"/>
      </bottom>
      <diagonal/>
    </border>
    <border>
      <left style="thin">
        <color indexed="64"/>
      </left>
      <right/>
      <top/>
      <bottom/>
      <diagonal/>
    </border>
    <border>
      <left/>
      <right style="thin">
        <color indexed="64"/>
      </right>
      <top/>
      <bottom/>
      <diagonal/>
    </border>
  </borders>
  <cellStyleXfs count="1">
    <xf numFmtId="0" fontId="0" fillId="0" borderId="0"/>
  </cellStyleXfs>
  <cellXfs count="68">
    <xf numFmtId="0" fontId="0" fillId="0" borderId="0" xfId="0"/>
    <xf numFmtId="0" fontId="2" fillId="0" borderId="1" xfId="0" applyFont="1" applyBorder="1" applyAlignment="1">
      <alignment horizontal="center" vertical="top"/>
    </xf>
    <xf numFmtId="0" fontId="4" fillId="0" borderId="0" xfId="0" applyFont="1"/>
    <xf numFmtId="0" fontId="4" fillId="2" borderId="0" xfId="0" applyFont="1" applyFill="1"/>
    <xf numFmtId="0" fontId="5" fillId="0" borderId="0" xfId="0" applyFont="1"/>
    <xf numFmtId="0" fontId="1" fillId="0" borderId="0" xfId="0" applyFont="1"/>
    <xf numFmtId="0" fontId="6" fillId="3" borderId="2" xfId="0" applyFont="1" applyFill="1" applyBorder="1"/>
    <xf numFmtId="0" fontId="6" fillId="3" borderId="0" xfId="0" applyFont="1" applyFill="1"/>
    <xf numFmtId="0" fontId="7" fillId="2" borderId="0" xfId="0" applyFont="1" applyFill="1"/>
    <xf numFmtId="0" fontId="5" fillId="0" borderId="3" xfId="0" applyFont="1" applyBorder="1"/>
    <xf numFmtId="0" fontId="3" fillId="0" borderId="0" xfId="0" applyFont="1"/>
    <xf numFmtId="0" fontId="5" fillId="4" borderId="0" xfId="0" applyFont="1" applyFill="1"/>
    <xf numFmtId="0" fontId="8" fillId="4" borderId="0" xfId="0" applyFont="1" applyFill="1"/>
    <xf numFmtId="0" fontId="8" fillId="5" borderId="0" xfId="0" applyFont="1" applyFill="1"/>
    <xf numFmtId="0" fontId="8" fillId="2" borderId="0" xfId="0" applyFont="1" applyFill="1"/>
    <xf numFmtId="0" fontId="4" fillId="6" borderId="0" xfId="0" applyFont="1" applyFill="1"/>
    <xf numFmtId="0" fontId="4" fillId="3" borderId="0" xfId="0" applyFont="1" applyFill="1"/>
    <xf numFmtId="0" fontId="5" fillId="0" borderId="0" xfId="0" applyFont="1" applyAlignment="1">
      <alignment wrapText="1"/>
    </xf>
    <xf numFmtId="0" fontId="8" fillId="6" borderId="0" xfId="0" applyFont="1" applyFill="1"/>
    <xf numFmtId="0" fontId="5" fillId="0" borderId="4" xfId="0" applyFont="1" applyBorder="1"/>
    <xf numFmtId="0" fontId="5" fillId="0" borderId="0" xfId="0" applyFont="1" applyAlignment="1">
      <alignment horizontal="right"/>
    </xf>
    <xf numFmtId="0" fontId="5" fillId="0" borderId="4" xfId="0" applyFont="1" applyBorder="1" applyAlignment="1">
      <alignment horizontal="left"/>
    </xf>
    <xf numFmtId="0" fontId="5" fillId="3" borderId="5" xfId="0" applyFont="1" applyFill="1" applyBorder="1"/>
    <xf numFmtId="0" fontId="8" fillId="2" borderId="6" xfId="0" applyFont="1" applyFill="1" applyBorder="1"/>
    <xf numFmtId="0" fontId="8" fillId="5" borderId="6" xfId="0" applyFont="1" applyFill="1" applyBorder="1"/>
    <xf numFmtId="0" fontId="5" fillId="0" borderId="6" xfId="0" applyFont="1" applyBorder="1"/>
    <xf numFmtId="10" fontId="8" fillId="2" borderId="6" xfId="0" applyNumberFormat="1" applyFont="1" applyFill="1" applyBorder="1"/>
    <xf numFmtId="10" fontId="8" fillId="5" borderId="7" xfId="0" applyNumberFormat="1" applyFont="1" applyFill="1" applyBorder="1"/>
    <xf numFmtId="2" fontId="4" fillId="0" borderId="0" xfId="0" applyNumberFormat="1" applyFont="1" applyAlignment="1">
      <alignment horizontal="right"/>
    </xf>
    <xf numFmtId="2" fontId="9" fillId="0" borderId="0" xfId="0" applyNumberFormat="1" applyFont="1" applyAlignment="1">
      <alignment horizontal="right"/>
    </xf>
    <xf numFmtId="0" fontId="10" fillId="0" borderId="0" xfId="0" applyFont="1"/>
    <xf numFmtId="0" fontId="12" fillId="0" borderId="0" xfId="0" applyFont="1" applyAlignment="1">
      <alignment horizontal="center" vertical="top"/>
    </xf>
    <xf numFmtId="4" fontId="10" fillId="0" borderId="0" xfId="0" applyNumberFormat="1" applyFont="1" applyAlignment="1">
      <alignment horizontal="right"/>
    </xf>
    <xf numFmtId="0" fontId="10" fillId="0" borderId="0" xfId="0" applyFont="1" applyAlignment="1">
      <alignment horizontal="right"/>
    </xf>
    <xf numFmtId="0" fontId="12" fillId="0" borderId="0" xfId="0" applyFont="1" applyAlignment="1">
      <alignment horizontal="left" vertical="top"/>
    </xf>
    <xf numFmtId="2" fontId="0" fillId="0" borderId="0" xfId="0" applyNumberFormat="1"/>
    <xf numFmtId="2" fontId="11" fillId="0" borderId="0" xfId="0" applyNumberFormat="1" applyFont="1"/>
    <xf numFmtId="2" fontId="3" fillId="0" borderId="0" xfId="0" applyNumberFormat="1" applyFont="1" applyAlignment="1">
      <alignment horizontal="center"/>
    </xf>
    <xf numFmtId="2" fontId="13" fillId="0" borderId="0" xfId="0" applyNumberFormat="1" applyFont="1" applyAlignment="1">
      <alignment horizontal="center" vertical="top"/>
    </xf>
    <xf numFmtId="0" fontId="0" fillId="0" borderId="0" xfId="0" applyAlignment="1">
      <alignment wrapText="1"/>
    </xf>
    <xf numFmtId="0" fontId="3" fillId="0" borderId="0" xfId="0" applyFont="1" applyAlignment="1">
      <alignment wrapText="1"/>
    </xf>
    <xf numFmtId="0" fontId="14" fillId="7" borderId="0" xfId="0" applyFont="1" applyFill="1"/>
    <xf numFmtId="0" fontId="0" fillId="0" borderId="8" xfId="0" applyBorder="1"/>
    <xf numFmtId="0" fontId="0" fillId="0" borderId="0" xfId="0" applyAlignment="1">
      <alignment horizontal="right"/>
    </xf>
    <xf numFmtId="0" fontId="0" fillId="0" borderId="8" xfId="0" applyBorder="1" applyAlignment="1">
      <alignment horizontal="left"/>
    </xf>
    <xf numFmtId="0" fontId="0" fillId="0" borderId="0" xfId="0" applyAlignment="1">
      <alignment horizontal="left"/>
    </xf>
    <xf numFmtId="0" fontId="0" fillId="3" borderId="0" xfId="0" applyFill="1"/>
    <xf numFmtId="0" fontId="0" fillId="8" borderId="0" xfId="0" applyFill="1"/>
    <xf numFmtId="0" fontId="14" fillId="3" borderId="0" xfId="0" applyFont="1" applyFill="1"/>
    <xf numFmtId="0" fontId="14" fillId="0" borderId="0" xfId="0" applyFont="1"/>
    <xf numFmtId="2" fontId="0" fillId="0" borderId="0" xfId="0" applyNumberFormat="1" applyAlignment="1">
      <alignment wrapText="1"/>
    </xf>
    <xf numFmtId="0" fontId="3" fillId="0" borderId="0" xfId="0" applyFont="1" applyAlignment="1">
      <alignment horizontal="right" wrapText="1"/>
    </xf>
    <xf numFmtId="2" fontId="3" fillId="0" borderId="0" xfId="0" applyNumberFormat="1" applyFont="1" applyAlignment="1">
      <alignment wrapText="1"/>
    </xf>
    <xf numFmtId="2" fontId="4" fillId="0" borderId="0" xfId="0" applyNumberFormat="1" applyFont="1" applyAlignment="1">
      <alignment horizontal="left" vertical="center" wrapText="1"/>
    </xf>
    <xf numFmtId="0" fontId="2" fillId="0" borderId="0" xfId="0" applyFont="1" applyAlignment="1">
      <alignment horizontal="center" vertical="top"/>
    </xf>
    <xf numFmtId="0" fontId="2" fillId="0" borderId="0" xfId="0" applyFont="1" applyAlignment="1">
      <alignment horizontal="center" vertical="top" wrapText="1"/>
    </xf>
    <xf numFmtId="2" fontId="2" fillId="0" borderId="0" xfId="0" applyNumberFormat="1" applyFont="1" applyAlignment="1">
      <alignment horizontal="center" vertical="top" wrapText="1"/>
    </xf>
    <xf numFmtId="0" fontId="17" fillId="0" borderId="0" xfId="0" applyFont="1"/>
    <xf numFmtId="0" fontId="17" fillId="0" borderId="0" xfId="0" applyFont="1" applyAlignment="1">
      <alignment horizontal="right" wrapText="1"/>
    </xf>
    <xf numFmtId="0" fontId="17" fillId="0" borderId="0" xfId="0" applyFont="1" applyAlignment="1">
      <alignment wrapText="1"/>
    </xf>
    <xf numFmtId="0" fontId="18" fillId="0" borderId="10" xfId="0" applyFont="1" applyBorder="1" applyAlignment="1">
      <alignment wrapText="1"/>
    </xf>
    <xf numFmtId="2" fontId="17" fillId="0" borderId="0" xfId="0" applyNumberFormat="1" applyFont="1" applyAlignment="1">
      <alignment horizontal="right" wrapText="1"/>
    </xf>
    <xf numFmtId="0" fontId="0" fillId="9" borderId="0" xfId="0" applyFill="1"/>
    <xf numFmtId="0" fontId="0" fillId="10" borderId="0" xfId="0" applyFill="1"/>
    <xf numFmtId="0" fontId="0" fillId="0" borderId="10" xfId="0" applyBorder="1"/>
    <xf numFmtId="0" fontId="0" fillId="0" borderId="0" xfId="0" applyAlignment="1">
      <alignment horizontal="center" wrapText="1"/>
    </xf>
    <xf numFmtId="0" fontId="0" fillId="0" borderId="9" xfId="0" applyBorder="1" applyAlignment="1">
      <alignment horizontal="center" wrapText="1"/>
    </xf>
    <xf numFmtId="0" fontId="0" fillId="7"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83"/>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10" defaultColWidth="8.83203125" defaultRowHeight="16" x14ac:dyDescent="0.2"/>
  <cols>
    <col min="1" max="1" width="80" style="5" bestFit="1" customWidth="1"/>
  </cols>
  <sheetData>
    <row r="1" spans="1:4" x14ac:dyDescent="0.2">
      <c r="A1" s="2" t="s">
        <v>354</v>
      </c>
      <c r="B1" s="28" t="s">
        <v>355</v>
      </c>
      <c r="C1" s="29" t="s">
        <v>163</v>
      </c>
      <c r="D1" s="10" t="s">
        <v>356</v>
      </c>
    </row>
    <row r="2" spans="1:4" x14ac:dyDescent="0.2">
      <c r="A2" s="2" t="s">
        <v>212</v>
      </c>
    </row>
    <row r="3" spans="1:4" x14ac:dyDescent="0.2">
      <c r="A3" s="3" t="s">
        <v>213</v>
      </c>
    </row>
    <row r="4" spans="1:4" x14ac:dyDescent="0.2">
      <c r="A4" s="4" t="s">
        <v>214</v>
      </c>
    </row>
    <row r="5" spans="1:4" x14ac:dyDescent="0.2">
      <c r="A5" s="4" t="s">
        <v>215</v>
      </c>
    </row>
    <row r="6" spans="1:4" x14ac:dyDescent="0.2">
      <c r="A6" s="4" t="s">
        <v>216</v>
      </c>
    </row>
    <row r="7" spans="1:4" x14ac:dyDescent="0.2">
      <c r="A7" s="4" t="s">
        <v>217</v>
      </c>
    </row>
    <row r="8" spans="1:4" x14ac:dyDescent="0.2">
      <c r="A8" s="5" t="s">
        <v>218</v>
      </c>
    </row>
    <row r="9" spans="1:4" x14ac:dyDescent="0.2">
      <c r="A9" s="5" t="s">
        <v>219</v>
      </c>
    </row>
    <row r="10" spans="1:4" x14ac:dyDescent="0.2">
      <c r="A10" s="5" t="s">
        <v>220</v>
      </c>
    </row>
    <row r="11" spans="1:4" x14ac:dyDescent="0.2">
      <c r="A11" s="5" t="s">
        <v>221</v>
      </c>
    </row>
    <row r="12" spans="1:4" x14ac:dyDescent="0.2">
      <c r="A12" s="5" t="s">
        <v>222</v>
      </c>
    </row>
    <row r="13" spans="1:4" x14ac:dyDescent="0.2">
      <c r="A13" s="5" t="s">
        <v>223</v>
      </c>
    </row>
    <row r="14" spans="1:4" x14ac:dyDescent="0.2">
      <c r="A14" s="4" t="s">
        <v>224</v>
      </c>
    </row>
    <row r="15" spans="1:4" x14ac:dyDescent="0.2">
      <c r="A15" s="4" t="s">
        <v>225</v>
      </c>
    </row>
    <row r="16" spans="1:4" x14ac:dyDescent="0.2">
      <c r="A16" s="5" t="s">
        <v>226</v>
      </c>
    </row>
    <row r="17" spans="1:1" x14ac:dyDescent="0.2">
      <c r="A17" s="5" t="s">
        <v>227</v>
      </c>
    </row>
    <row r="18" spans="1:1" x14ac:dyDescent="0.2">
      <c r="A18" s="4" t="s">
        <v>228</v>
      </c>
    </row>
    <row r="19" spans="1:1" x14ac:dyDescent="0.2">
      <c r="A19" s="4" t="s">
        <v>229</v>
      </c>
    </row>
    <row r="20" spans="1:1" x14ac:dyDescent="0.2">
      <c r="A20" s="4" t="s">
        <v>230</v>
      </c>
    </row>
    <row r="21" spans="1:1" x14ac:dyDescent="0.2">
      <c r="A21" s="5" t="s">
        <v>231</v>
      </c>
    </row>
    <row r="22" spans="1:1" x14ac:dyDescent="0.2">
      <c r="A22" s="5" t="s">
        <v>232</v>
      </c>
    </row>
    <row r="23" spans="1:1" x14ac:dyDescent="0.2">
      <c r="A23" s="6" t="s">
        <v>233</v>
      </c>
    </row>
    <row r="24" spans="1:1" x14ac:dyDescent="0.2">
      <c r="A24" s="7" t="s">
        <v>234</v>
      </c>
    </row>
    <row r="25" spans="1:1" x14ac:dyDescent="0.2">
      <c r="A25" s="8" t="s">
        <v>235</v>
      </c>
    </row>
    <row r="26" spans="1:1" x14ac:dyDescent="0.2">
      <c r="A26" s="8" t="s">
        <v>236</v>
      </c>
    </row>
    <row r="27" spans="1:1" x14ac:dyDescent="0.2">
      <c r="A27" s="4"/>
    </row>
    <row r="28" spans="1:1" x14ac:dyDescent="0.2">
      <c r="A28" s="4"/>
    </row>
    <row r="29" spans="1:1" x14ac:dyDescent="0.2">
      <c r="A29" s="3" t="s">
        <v>237</v>
      </c>
    </row>
    <row r="30" spans="1:1" x14ac:dyDescent="0.2">
      <c r="A30" s="4" t="s">
        <v>238</v>
      </c>
    </row>
    <row r="31" spans="1:1" x14ac:dyDescent="0.2">
      <c r="A31" s="4" t="s">
        <v>239</v>
      </c>
    </row>
    <row r="32" spans="1:1" x14ac:dyDescent="0.2">
      <c r="A32" s="4" t="s">
        <v>240</v>
      </c>
    </row>
    <row r="33" spans="1:1" x14ac:dyDescent="0.2">
      <c r="A33" s="4" t="s">
        <v>241</v>
      </c>
    </row>
    <row r="34" spans="1:1" x14ac:dyDescent="0.2">
      <c r="A34" s="4" t="s">
        <v>242</v>
      </c>
    </row>
    <row r="35" spans="1:1" x14ac:dyDescent="0.2">
      <c r="A35" s="4" t="s">
        <v>243</v>
      </c>
    </row>
    <row r="36" spans="1:1" x14ac:dyDescent="0.2">
      <c r="A36" s="4" t="s">
        <v>244</v>
      </c>
    </row>
    <row r="37" spans="1:1" x14ac:dyDescent="0.2">
      <c r="A37" s="4" t="s">
        <v>245</v>
      </c>
    </row>
    <row r="38" spans="1:1" x14ac:dyDescent="0.2">
      <c r="A38" s="4" t="s">
        <v>246</v>
      </c>
    </row>
    <row r="39" spans="1:1" x14ac:dyDescent="0.2">
      <c r="A39" s="4" t="s">
        <v>247</v>
      </c>
    </row>
    <row r="40" spans="1:1" x14ac:dyDescent="0.2">
      <c r="A40" s="4" t="s">
        <v>248</v>
      </c>
    </row>
    <row r="41" spans="1:1" x14ac:dyDescent="0.2">
      <c r="A41" s="4" t="s">
        <v>249</v>
      </c>
    </row>
    <row r="42" spans="1:1" x14ac:dyDescent="0.2">
      <c r="A42" s="4" t="s">
        <v>250</v>
      </c>
    </row>
    <row r="43" spans="1:1" x14ac:dyDescent="0.2">
      <c r="A43" s="9" t="s">
        <v>251</v>
      </c>
    </row>
    <row r="44" spans="1:1" x14ac:dyDescent="0.2">
      <c r="A44" s="7" t="s">
        <v>252</v>
      </c>
    </row>
    <row r="45" spans="1:1" x14ac:dyDescent="0.2">
      <c r="A45" s="7" t="s">
        <v>253</v>
      </c>
    </row>
    <row r="46" spans="1:1" x14ac:dyDescent="0.2">
      <c r="A46" s="7" t="s">
        <v>254</v>
      </c>
    </row>
    <row r="47" spans="1:1" x14ac:dyDescent="0.2">
      <c r="A47" s="7" t="s">
        <v>255</v>
      </c>
    </row>
    <row r="48" spans="1:1" x14ac:dyDescent="0.2">
      <c r="A48" s="10"/>
    </row>
    <row r="49" spans="1:1" x14ac:dyDescent="0.2">
      <c r="A49" s="11" t="s">
        <v>256</v>
      </c>
    </row>
    <row r="50" spans="1:1" x14ac:dyDescent="0.2">
      <c r="A50" s="11" t="s">
        <v>257</v>
      </c>
    </row>
    <row r="51" spans="1:1" x14ac:dyDescent="0.2">
      <c r="A51" s="4"/>
    </row>
    <row r="52" spans="1:1" x14ac:dyDescent="0.2">
      <c r="A52" s="11" t="s">
        <v>258</v>
      </c>
    </row>
    <row r="53" spans="1:1" x14ac:dyDescent="0.2">
      <c r="A53" s="11" t="s">
        <v>259</v>
      </c>
    </row>
    <row r="54" spans="1:1" x14ac:dyDescent="0.2">
      <c r="A54" s="12" t="s">
        <v>260</v>
      </c>
    </row>
    <row r="55" spans="1:1" x14ac:dyDescent="0.2">
      <c r="A55" s="13" t="s">
        <v>261</v>
      </c>
    </row>
    <row r="56" spans="1:1" x14ac:dyDescent="0.2">
      <c r="A56" s="4"/>
    </row>
    <row r="57" spans="1:1" x14ac:dyDescent="0.2">
      <c r="A57" s="11" t="s">
        <v>262</v>
      </c>
    </row>
    <row r="58" spans="1:1" x14ac:dyDescent="0.2">
      <c r="A58" s="11" t="s">
        <v>263</v>
      </c>
    </row>
    <row r="59" spans="1:1" x14ac:dyDescent="0.2">
      <c r="A59" s="4"/>
    </row>
    <row r="60" spans="1:1" x14ac:dyDescent="0.2">
      <c r="A60" s="3" t="s">
        <v>264</v>
      </c>
    </row>
    <row r="61" spans="1:1" x14ac:dyDescent="0.2">
      <c r="A61" s="2" t="s">
        <v>265</v>
      </c>
    </row>
    <row r="62" spans="1:1" x14ac:dyDescent="0.2">
      <c r="A62" s="5" t="s">
        <v>147</v>
      </c>
    </row>
    <row r="63" spans="1:1" x14ac:dyDescent="0.2">
      <c r="A63" s="5" t="s">
        <v>202</v>
      </c>
    </row>
    <row r="64" spans="1:1" x14ac:dyDescent="0.2">
      <c r="A64" s="5" t="s">
        <v>266</v>
      </c>
    </row>
    <row r="65" spans="1:1" x14ac:dyDescent="0.2">
      <c r="A65" s="5" t="s">
        <v>267</v>
      </c>
    </row>
    <row r="66" spans="1:1" x14ac:dyDescent="0.2">
      <c r="A66" s="5" t="s">
        <v>198</v>
      </c>
    </row>
    <row r="67" spans="1:1" x14ac:dyDescent="0.2">
      <c r="A67" s="5" t="s">
        <v>157</v>
      </c>
    </row>
    <row r="68" spans="1:1" x14ac:dyDescent="0.2">
      <c r="A68" s="5" t="s">
        <v>268</v>
      </c>
    </row>
    <row r="69" spans="1:1" x14ac:dyDescent="0.2">
      <c r="A69" s="5" t="s">
        <v>199</v>
      </c>
    </row>
    <row r="70" spans="1:1" x14ac:dyDescent="0.2">
      <c r="A70" s="5" t="s">
        <v>201</v>
      </c>
    </row>
    <row r="71" spans="1:1" x14ac:dyDescent="0.2">
      <c r="A71" s="14" t="s">
        <v>269</v>
      </c>
    </row>
    <row r="72" spans="1:1" x14ac:dyDescent="0.2">
      <c r="A72" s="14" t="s">
        <v>270</v>
      </c>
    </row>
    <row r="73" spans="1:1" x14ac:dyDescent="0.2">
      <c r="A73" s="14" t="s">
        <v>271</v>
      </c>
    </row>
    <row r="74" spans="1:1" x14ac:dyDescent="0.2">
      <c r="A74" s="4"/>
    </row>
    <row r="75" spans="1:1" x14ac:dyDescent="0.2">
      <c r="A75" s="3" t="s">
        <v>272</v>
      </c>
    </row>
    <row r="76" spans="1:1" x14ac:dyDescent="0.2">
      <c r="A76" s="2" t="s">
        <v>273</v>
      </c>
    </row>
    <row r="77" spans="1:1" x14ac:dyDescent="0.2">
      <c r="A77" s="4" t="s">
        <v>147</v>
      </c>
    </row>
    <row r="78" spans="1:1" x14ac:dyDescent="0.2">
      <c r="A78" s="4" t="s">
        <v>200</v>
      </c>
    </row>
    <row r="79" spans="1:1" x14ac:dyDescent="0.2">
      <c r="A79" s="4" t="s">
        <v>274</v>
      </c>
    </row>
    <row r="80" spans="1:1" x14ac:dyDescent="0.2">
      <c r="A80" s="4" t="s">
        <v>275</v>
      </c>
    </row>
    <row r="81" spans="1:1" x14ac:dyDescent="0.2">
      <c r="A81" s="4" t="s">
        <v>154</v>
      </c>
    </row>
    <row r="82" spans="1:1" x14ac:dyDescent="0.2">
      <c r="A82" s="14" t="s">
        <v>276</v>
      </c>
    </row>
    <row r="83" spans="1:1" x14ac:dyDescent="0.2">
      <c r="A83" s="14" t="s">
        <v>271</v>
      </c>
    </row>
    <row r="84" spans="1:1" x14ac:dyDescent="0.2">
      <c r="A84" s="4"/>
    </row>
    <row r="85" spans="1:1" x14ac:dyDescent="0.2">
      <c r="A85" s="15" t="s">
        <v>277</v>
      </c>
    </row>
    <row r="86" spans="1:1" x14ac:dyDescent="0.2">
      <c r="A86" s="16" t="s">
        <v>278</v>
      </c>
    </row>
    <row r="87" spans="1:1" ht="17" x14ac:dyDescent="0.2">
      <c r="A87" s="17" t="s">
        <v>279</v>
      </c>
    </row>
    <row r="88" spans="1:1" ht="17" x14ac:dyDescent="0.2">
      <c r="A88" s="17" t="s">
        <v>280</v>
      </c>
    </row>
    <row r="89" spans="1:1" x14ac:dyDescent="0.2">
      <c r="A89" s="4" t="s">
        <v>281</v>
      </c>
    </row>
    <row r="90" spans="1:1" x14ac:dyDescent="0.2">
      <c r="A90" s="4" t="s">
        <v>282</v>
      </c>
    </row>
    <row r="91" spans="1:1" x14ac:dyDescent="0.2">
      <c r="A91" s="4" t="s">
        <v>282</v>
      </c>
    </row>
    <row r="92" spans="1:1" x14ac:dyDescent="0.2">
      <c r="A92" s="4" t="s">
        <v>283</v>
      </c>
    </row>
    <row r="93" spans="1:1" x14ac:dyDescent="0.2">
      <c r="A93" s="4" t="s">
        <v>284</v>
      </c>
    </row>
    <row r="94" spans="1:1" x14ac:dyDescent="0.2">
      <c r="A94" s="4" t="s">
        <v>285</v>
      </c>
    </row>
    <row r="95" spans="1:1" x14ac:dyDescent="0.2">
      <c r="A95" s="4" t="s">
        <v>286</v>
      </c>
    </row>
    <row r="96" spans="1:1" x14ac:dyDescent="0.2">
      <c r="A96" s="4" t="s">
        <v>287</v>
      </c>
    </row>
    <row r="97" spans="1:1" x14ac:dyDescent="0.2">
      <c r="A97" s="4" t="s">
        <v>288</v>
      </c>
    </row>
    <row r="98" spans="1:1" x14ac:dyDescent="0.2">
      <c r="A98" s="4" t="s">
        <v>289</v>
      </c>
    </row>
    <row r="99" spans="1:1" x14ac:dyDescent="0.2">
      <c r="A99" s="4" t="s">
        <v>290</v>
      </c>
    </row>
    <row r="100" spans="1:1" x14ac:dyDescent="0.2">
      <c r="A100" s="4" t="s">
        <v>291</v>
      </c>
    </row>
    <row r="101" spans="1:1" x14ac:dyDescent="0.2">
      <c r="A101" s="4" t="s">
        <v>292</v>
      </c>
    </row>
    <row r="102" spans="1:1" x14ac:dyDescent="0.2">
      <c r="A102" s="4" t="s">
        <v>293</v>
      </c>
    </row>
    <row r="103" spans="1:1" x14ac:dyDescent="0.2">
      <c r="A103" s="4" t="s">
        <v>294</v>
      </c>
    </row>
    <row r="104" spans="1:1" x14ac:dyDescent="0.2">
      <c r="A104" s="4" t="s">
        <v>295</v>
      </c>
    </row>
    <row r="105" spans="1:1" x14ac:dyDescent="0.2">
      <c r="A105" s="4" t="s">
        <v>296</v>
      </c>
    </row>
    <row r="106" spans="1:1" x14ac:dyDescent="0.2">
      <c r="A106" s="4" t="s">
        <v>297</v>
      </c>
    </row>
    <row r="107" spans="1:1" x14ac:dyDescent="0.2">
      <c r="A107" s="4" t="s">
        <v>298</v>
      </c>
    </row>
    <row r="108" spans="1:1" x14ac:dyDescent="0.2">
      <c r="A108" s="4" t="s">
        <v>299</v>
      </c>
    </row>
    <row r="109" spans="1:1" x14ac:dyDescent="0.2">
      <c r="A109" s="4" t="s">
        <v>300</v>
      </c>
    </row>
    <row r="110" spans="1:1" x14ac:dyDescent="0.2">
      <c r="A110" s="4" t="s">
        <v>301</v>
      </c>
    </row>
    <row r="111" spans="1:1" x14ac:dyDescent="0.2">
      <c r="A111" s="4" t="s">
        <v>302</v>
      </c>
    </row>
    <row r="112" spans="1:1" x14ac:dyDescent="0.2">
      <c r="A112" s="4" t="s">
        <v>303</v>
      </c>
    </row>
    <row r="113" spans="1:1" x14ac:dyDescent="0.2">
      <c r="A113" s="14" t="s">
        <v>304</v>
      </c>
    </row>
    <row r="114" spans="1:1" x14ac:dyDescent="0.2">
      <c r="A114" s="14" t="s">
        <v>305</v>
      </c>
    </row>
    <row r="115" spans="1:1" x14ac:dyDescent="0.2">
      <c r="A115" s="14" t="s">
        <v>271</v>
      </c>
    </row>
    <row r="116" spans="1:1" x14ac:dyDescent="0.2">
      <c r="A116" s="4"/>
    </row>
    <row r="117" spans="1:1" x14ac:dyDescent="0.2">
      <c r="A117" s="3" t="s">
        <v>306</v>
      </c>
    </row>
    <row r="118" spans="1:1" ht="17" x14ac:dyDescent="0.2">
      <c r="A118" s="17" t="s">
        <v>307</v>
      </c>
    </row>
    <row r="119" spans="1:1" x14ac:dyDescent="0.2">
      <c r="A119" s="4" t="s">
        <v>308</v>
      </c>
    </row>
    <row r="120" spans="1:1" x14ac:dyDescent="0.2">
      <c r="A120" s="4" t="s">
        <v>309</v>
      </c>
    </row>
    <row r="121" spans="1:1" x14ac:dyDescent="0.2">
      <c r="A121" s="4" t="s">
        <v>310</v>
      </c>
    </row>
    <row r="122" spans="1:1" x14ac:dyDescent="0.2">
      <c r="A122" s="4" t="s">
        <v>311</v>
      </c>
    </row>
    <row r="123" spans="1:1" x14ac:dyDescent="0.2">
      <c r="A123" s="18" t="s">
        <v>276</v>
      </c>
    </row>
    <row r="124" spans="1:1" x14ac:dyDescent="0.2">
      <c r="A124" s="18" t="s">
        <v>271</v>
      </c>
    </row>
    <row r="125" spans="1:1" x14ac:dyDescent="0.2">
      <c r="A125" s="2"/>
    </row>
    <row r="126" spans="1:1" x14ac:dyDescent="0.2">
      <c r="A126" s="3" t="s">
        <v>312</v>
      </c>
    </row>
    <row r="127" spans="1:1" x14ac:dyDescent="0.2">
      <c r="A127" s="4" t="s">
        <v>313</v>
      </c>
    </row>
    <row r="128" spans="1:1" x14ac:dyDescent="0.2">
      <c r="A128" s="4" t="s">
        <v>314</v>
      </c>
    </row>
    <row r="129" spans="1:1" x14ac:dyDescent="0.2">
      <c r="A129" s="4" t="s">
        <v>315</v>
      </c>
    </row>
    <row r="130" spans="1:1" x14ac:dyDescent="0.2">
      <c r="A130" s="4" t="s">
        <v>316</v>
      </c>
    </row>
    <row r="131" spans="1:1" x14ac:dyDescent="0.2">
      <c r="A131" s="4" t="s">
        <v>317</v>
      </c>
    </row>
    <row r="132" spans="1:1" x14ac:dyDescent="0.2">
      <c r="A132" s="4" t="s">
        <v>318</v>
      </c>
    </row>
    <row r="133" spans="1:1" x14ac:dyDescent="0.2">
      <c r="A133" s="19" t="s">
        <v>319</v>
      </c>
    </row>
    <row r="134" spans="1:1" x14ac:dyDescent="0.2">
      <c r="A134" s="20" t="s">
        <v>320</v>
      </c>
    </row>
    <row r="135" spans="1:1" x14ac:dyDescent="0.2">
      <c r="A135" s="20" t="s">
        <v>321</v>
      </c>
    </row>
    <row r="136" spans="1:1" x14ac:dyDescent="0.2">
      <c r="A136" s="20" t="s">
        <v>322</v>
      </c>
    </row>
    <row r="137" spans="1:1" x14ac:dyDescent="0.2">
      <c r="A137" s="20" t="s">
        <v>323</v>
      </c>
    </row>
    <row r="138" spans="1:1" x14ac:dyDescent="0.2">
      <c r="A138" s="21" t="s">
        <v>324</v>
      </c>
    </row>
    <row r="139" spans="1:1" x14ac:dyDescent="0.2">
      <c r="A139" s="20" t="s">
        <v>325</v>
      </c>
    </row>
    <row r="140" spans="1:1" x14ac:dyDescent="0.2">
      <c r="A140" s="20" t="s">
        <v>326</v>
      </c>
    </row>
    <row r="141" spans="1:1" x14ac:dyDescent="0.2">
      <c r="A141" s="20" t="s">
        <v>327</v>
      </c>
    </row>
    <row r="142" spans="1:1" x14ac:dyDescent="0.2">
      <c r="A142" s="20" t="s">
        <v>328</v>
      </c>
    </row>
    <row r="143" spans="1:1" x14ac:dyDescent="0.2">
      <c r="A143" s="21" t="s">
        <v>329</v>
      </c>
    </row>
    <row r="144" spans="1:1" x14ac:dyDescent="0.2">
      <c r="A144" s="4" t="s">
        <v>330</v>
      </c>
    </row>
    <row r="145" spans="1:1" x14ac:dyDescent="0.2">
      <c r="A145" s="4" t="s">
        <v>331</v>
      </c>
    </row>
    <row r="146" spans="1:1" x14ac:dyDescent="0.2">
      <c r="A146" s="4" t="s">
        <v>332</v>
      </c>
    </row>
    <row r="147" spans="1:1" x14ac:dyDescent="0.2">
      <c r="A147" s="14" t="s">
        <v>276</v>
      </c>
    </row>
    <row r="148" spans="1:1" x14ac:dyDescent="0.2">
      <c r="A148" s="14" t="s">
        <v>271</v>
      </c>
    </row>
    <row r="149" spans="1:1" x14ac:dyDescent="0.2">
      <c r="A149" s="4"/>
    </row>
    <row r="150" spans="1:1" x14ac:dyDescent="0.2">
      <c r="A150" s="3" t="s">
        <v>333</v>
      </c>
    </row>
    <row r="151" spans="1:1" ht="17" x14ac:dyDescent="0.2">
      <c r="A151" s="17" t="s">
        <v>334</v>
      </c>
    </row>
    <row r="152" spans="1:1" x14ac:dyDescent="0.2">
      <c r="A152" s="4" t="s">
        <v>335</v>
      </c>
    </row>
    <row r="153" spans="1:1" x14ac:dyDescent="0.2">
      <c r="A153" s="4" t="s">
        <v>336</v>
      </c>
    </row>
    <row r="154" spans="1:1" x14ac:dyDescent="0.2">
      <c r="A154" s="4" t="s">
        <v>337</v>
      </c>
    </row>
    <row r="155" spans="1:1" x14ac:dyDescent="0.2">
      <c r="A155" s="18" t="s">
        <v>276</v>
      </c>
    </row>
    <row r="156" spans="1:1" x14ac:dyDescent="0.2">
      <c r="A156" s="18" t="s">
        <v>271</v>
      </c>
    </row>
    <row r="157" spans="1:1" x14ac:dyDescent="0.2">
      <c r="A157" s="4"/>
    </row>
    <row r="158" spans="1:1" x14ac:dyDescent="0.2">
      <c r="A158" s="3" t="s">
        <v>338</v>
      </c>
    </row>
    <row r="159" spans="1:1" x14ac:dyDescent="0.2">
      <c r="A159" s="4" t="s">
        <v>339</v>
      </c>
    </row>
    <row r="160" spans="1:1" x14ac:dyDescent="0.2">
      <c r="A160" s="4" t="s">
        <v>340</v>
      </c>
    </row>
    <row r="161" spans="1:1" x14ac:dyDescent="0.2">
      <c r="A161" s="4" t="s">
        <v>341</v>
      </c>
    </row>
    <row r="162" spans="1:1" x14ac:dyDescent="0.2">
      <c r="A162" s="14" t="s">
        <v>342</v>
      </c>
    </row>
    <row r="163" spans="1:1" x14ac:dyDescent="0.2">
      <c r="A163" s="14" t="s">
        <v>271</v>
      </c>
    </row>
    <row r="164" spans="1:1" x14ac:dyDescent="0.2">
      <c r="A164" s="4"/>
    </row>
    <row r="165" spans="1:1" x14ac:dyDescent="0.2">
      <c r="A165" s="3" t="s">
        <v>343</v>
      </c>
    </row>
    <row r="166" spans="1:1" x14ac:dyDescent="0.2">
      <c r="A166" s="4" t="s">
        <v>344</v>
      </c>
    </row>
    <row r="167" spans="1:1" x14ac:dyDescent="0.2">
      <c r="A167" s="4" t="s">
        <v>345</v>
      </c>
    </row>
    <row r="168" spans="1:1" x14ac:dyDescent="0.2">
      <c r="A168" s="4" t="s">
        <v>346</v>
      </c>
    </row>
    <row r="169" spans="1:1" x14ac:dyDescent="0.2">
      <c r="A169" s="14" t="s">
        <v>276</v>
      </c>
    </row>
    <row r="170" spans="1:1" x14ac:dyDescent="0.2">
      <c r="A170" s="14" t="s">
        <v>271</v>
      </c>
    </row>
    <row r="171" spans="1:1" x14ac:dyDescent="0.2">
      <c r="A171" s="4"/>
    </row>
    <row r="172" spans="1:1" x14ac:dyDescent="0.2">
      <c r="A172" s="4"/>
    </row>
    <row r="173" spans="1:1" ht="17" thickBot="1" x14ac:dyDescent="0.25"/>
    <row r="174" spans="1:1" ht="17" thickBot="1" x14ac:dyDescent="0.25">
      <c r="A174" s="22"/>
    </row>
    <row r="175" spans="1:1" x14ac:dyDescent="0.2">
      <c r="A175" s="23" t="s">
        <v>347</v>
      </c>
    </row>
    <row r="176" spans="1:1" x14ac:dyDescent="0.2">
      <c r="A176" s="24" t="s">
        <v>348</v>
      </c>
    </row>
    <row r="177" spans="1:1" x14ac:dyDescent="0.2">
      <c r="A177" s="24" t="s">
        <v>349</v>
      </c>
    </row>
    <row r="178" spans="1:1" x14ac:dyDescent="0.2">
      <c r="A178" s="24" t="s">
        <v>350</v>
      </c>
    </row>
    <row r="179" spans="1:1" x14ac:dyDescent="0.2">
      <c r="A179" s="25"/>
    </row>
    <row r="180" spans="1:1" x14ac:dyDescent="0.2">
      <c r="A180" s="26" t="s">
        <v>351</v>
      </c>
    </row>
    <row r="181" spans="1:1" x14ac:dyDescent="0.2">
      <c r="A181" s="24" t="s">
        <v>352</v>
      </c>
    </row>
    <row r="182" spans="1:1" x14ac:dyDescent="0.2">
      <c r="A182" s="25"/>
    </row>
    <row r="183" spans="1:1" ht="17" thickBot="1" x14ac:dyDescent="0.25">
      <c r="A183" s="27" t="s">
        <v>353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62"/>
  <sheetViews>
    <sheetView workbookViewId="0">
      <pane xSplit="1" ySplit="2" topLeftCell="B40" activePane="bottomRight" state="frozen"/>
      <selection pane="topRight" activeCell="B1" sqref="B1"/>
      <selection pane="bottomLeft" activeCell="A3" sqref="A3"/>
      <selection pane="bottomRight" activeCell="M55" sqref="M55"/>
    </sheetView>
  </sheetViews>
  <sheetFormatPr baseColWidth="10" defaultColWidth="8.83203125" defaultRowHeight="15" x14ac:dyDescent="0.2"/>
  <cols>
    <col min="1" max="1" width="23.33203125" bestFit="1" customWidth="1"/>
    <col min="6" max="6" width="8.83203125" style="35"/>
    <col min="7" max="7" width="8.83203125" style="36"/>
  </cols>
  <sheetData>
    <row r="1" spans="1:8" ht="16" x14ac:dyDescent="0.2">
      <c r="A1" s="30" t="s">
        <v>357</v>
      </c>
    </row>
    <row r="2" spans="1:8" ht="16" x14ac:dyDescent="0.2">
      <c r="A2" s="31" t="s">
        <v>0</v>
      </c>
      <c r="B2" s="32" t="s">
        <v>359</v>
      </c>
      <c r="C2" s="33" t="s">
        <v>360</v>
      </c>
      <c r="D2" s="33" t="s">
        <v>361</v>
      </c>
      <c r="E2" s="33"/>
      <c r="F2" s="37" t="s">
        <v>355</v>
      </c>
      <c r="G2" s="38" t="s">
        <v>163</v>
      </c>
      <c r="H2" s="34" t="s">
        <v>362</v>
      </c>
    </row>
    <row r="3" spans="1:8" x14ac:dyDescent="0.2">
      <c r="A3" t="s">
        <v>32</v>
      </c>
      <c r="B3">
        <v>8</v>
      </c>
      <c r="C3">
        <v>4</v>
      </c>
      <c r="D3">
        <v>0.75</v>
      </c>
      <c r="F3" s="35">
        <v>8.1999999999999993</v>
      </c>
      <c r="H3" t="s">
        <v>33</v>
      </c>
    </row>
    <row r="4" spans="1:8" x14ac:dyDescent="0.2">
      <c r="A4" t="s">
        <v>32</v>
      </c>
      <c r="B4">
        <v>0</v>
      </c>
      <c r="C4">
        <v>0</v>
      </c>
      <c r="D4">
        <v>0</v>
      </c>
      <c r="F4" s="35">
        <v>0</v>
      </c>
      <c r="H4" t="s">
        <v>363</v>
      </c>
    </row>
    <row r="5" spans="1:8" x14ac:dyDescent="0.2">
      <c r="A5" t="s">
        <v>32</v>
      </c>
      <c r="B5">
        <v>0</v>
      </c>
      <c r="C5">
        <v>0</v>
      </c>
      <c r="D5">
        <v>0</v>
      </c>
      <c r="F5" s="35">
        <v>0</v>
      </c>
      <c r="H5" t="s">
        <v>36</v>
      </c>
    </row>
    <row r="6" spans="1:8" x14ac:dyDescent="0.2">
      <c r="A6" t="s">
        <v>32</v>
      </c>
      <c r="F6" s="35">
        <v>8.1999999999999993</v>
      </c>
      <c r="G6" s="36">
        <v>8.1999999999999993</v>
      </c>
      <c r="H6" t="s">
        <v>164</v>
      </c>
    </row>
    <row r="8" spans="1:8" x14ac:dyDescent="0.2">
      <c r="A8" t="s">
        <v>37</v>
      </c>
      <c r="B8">
        <v>8</v>
      </c>
      <c r="C8">
        <v>1</v>
      </c>
      <c r="D8">
        <v>10.5</v>
      </c>
      <c r="F8" s="35">
        <v>8.09</v>
      </c>
      <c r="H8" t="s">
        <v>38</v>
      </c>
    </row>
    <row r="9" spans="1:8" x14ac:dyDescent="0.2">
      <c r="A9" t="s">
        <v>37</v>
      </c>
      <c r="B9">
        <v>8</v>
      </c>
      <c r="C9">
        <v>1</v>
      </c>
      <c r="D9">
        <v>10.5</v>
      </c>
      <c r="F9" s="35">
        <v>8.09</v>
      </c>
      <c r="H9" t="s">
        <v>39</v>
      </c>
    </row>
    <row r="10" spans="1:8" x14ac:dyDescent="0.2">
      <c r="A10" t="s">
        <v>37</v>
      </c>
      <c r="B10">
        <v>16</v>
      </c>
      <c r="C10">
        <v>3</v>
      </c>
      <c r="D10">
        <v>9</v>
      </c>
      <c r="F10" s="35">
        <v>16.190000000000001</v>
      </c>
      <c r="H10" t="s">
        <v>40</v>
      </c>
    </row>
    <row r="11" spans="1:8" x14ac:dyDescent="0.2">
      <c r="A11" t="s">
        <v>37</v>
      </c>
      <c r="F11" s="35">
        <v>16.18</v>
      </c>
      <c r="G11" s="36">
        <v>-1.000000000000156E-2</v>
      </c>
      <c r="H11" t="s">
        <v>164</v>
      </c>
    </row>
    <row r="13" spans="1:8" x14ac:dyDescent="0.2">
      <c r="A13" t="s">
        <v>48</v>
      </c>
      <c r="B13">
        <v>14</v>
      </c>
      <c r="C13">
        <v>18</v>
      </c>
      <c r="D13">
        <v>1</v>
      </c>
      <c r="F13" s="35">
        <v>14.9</v>
      </c>
      <c r="H13" t="s">
        <v>49</v>
      </c>
    </row>
    <row r="14" spans="1:8" x14ac:dyDescent="0.2">
      <c r="A14" t="s">
        <v>48</v>
      </c>
      <c r="F14" s="35">
        <v>14.9</v>
      </c>
      <c r="G14" s="36">
        <f>F14-E13</f>
        <v>14.9</v>
      </c>
      <c r="H14" t="s">
        <v>164</v>
      </c>
    </row>
    <row r="16" spans="1:8" x14ac:dyDescent="0.2">
      <c r="A16" t="s">
        <v>53</v>
      </c>
      <c r="B16">
        <v>0</v>
      </c>
      <c r="C16">
        <v>0</v>
      </c>
      <c r="D16">
        <v>0</v>
      </c>
      <c r="F16" s="35">
        <v>0</v>
      </c>
      <c r="H16" t="s">
        <v>54</v>
      </c>
    </row>
    <row r="17" spans="1:8" x14ac:dyDescent="0.2">
      <c r="A17" t="s">
        <v>53</v>
      </c>
      <c r="B17">
        <v>0</v>
      </c>
      <c r="C17">
        <v>0</v>
      </c>
      <c r="D17">
        <v>0</v>
      </c>
      <c r="F17" s="35">
        <v>0</v>
      </c>
      <c r="H17" t="s">
        <v>55</v>
      </c>
    </row>
    <row r="18" spans="1:8" x14ac:dyDescent="0.2">
      <c r="A18" t="s">
        <v>53</v>
      </c>
      <c r="B18">
        <v>0</v>
      </c>
      <c r="C18">
        <v>0</v>
      </c>
      <c r="D18">
        <v>0</v>
      </c>
      <c r="F18" s="35">
        <v>0</v>
      </c>
      <c r="H18" t="s">
        <v>56</v>
      </c>
    </row>
    <row r="19" spans="1:8" x14ac:dyDescent="0.2">
      <c r="A19" t="s">
        <v>53</v>
      </c>
      <c r="B19">
        <v>0</v>
      </c>
      <c r="C19">
        <v>0</v>
      </c>
      <c r="D19">
        <v>0</v>
      </c>
      <c r="F19" s="35">
        <v>0</v>
      </c>
      <c r="H19" t="s">
        <v>36</v>
      </c>
    </row>
    <row r="20" spans="1:8" x14ac:dyDescent="0.2">
      <c r="A20" t="s">
        <v>53</v>
      </c>
      <c r="F20" s="35">
        <v>0</v>
      </c>
      <c r="G20" s="36">
        <v>0</v>
      </c>
      <c r="H20" t="s">
        <v>164</v>
      </c>
    </row>
    <row r="22" spans="1:8" x14ac:dyDescent="0.2">
      <c r="A22" t="s">
        <v>57</v>
      </c>
      <c r="B22">
        <v>3</v>
      </c>
      <c r="C22">
        <v>6</v>
      </c>
      <c r="D22">
        <v>8</v>
      </c>
      <c r="F22" s="35">
        <v>3.33</v>
      </c>
      <c r="H22" t="s">
        <v>58</v>
      </c>
    </row>
    <row r="23" spans="1:8" x14ac:dyDescent="0.2">
      <c r="A23" t="s">
        <v>57</v>
      </c>
      <c r="B23">
        <v>0</v>
      </c>
      <c r="C23">
        <v>8</v>
      </c>
      <c r="D23">
        <v>0</v>
      </c>
      <c r="F23" s="35">
        <v>0.4</v>
      </c>
      <c r="H23" t="s">
        <v>59</v>
      </c>
    </row>
    <row r="24" spans="1:8" x14ac:dyDescent="0.2">
      <c r="A24" t="s">
        <v>57</v>
      </c>
      <c r="B24">
        <v>0</v>
      </c>
      <c r="C24">
        <v>5</v>
      </c>
      <c r="D24">
        <v>0</v>
      </c>
      <c r="F24" s="35">
        <v>0.25</v>
      </c>
      <c r="H24" t="s">
        <v>60</v>
      </c>
    </row>
    <row r="25" spans="1:8" x14ac:dyDescent="0.2">
      <c r="A25" t="s">
        <v>57</v>
      </c>
      <c r="B25">
        <v>0</v>
      </c>
      <c r="C25">
        <v>9</v>
      </c>
      <c r="D25">
        <v>0</v>
      </c>
      <c r="F25" s="35">
        <v>0.45</v>
      </c>
      <c r="H25" t="s">
        <v>61</v>
      </c>
    </row>
    <row r="26" spans="1:8" x14ac:dyDescent="0.2">
      <c r="A26" t="s">
        <v>57</v>
      </c>
      <c r="B26">
        <v>0</v>
      </c>
      <c r="C26">
        <v>3</v>
      </c>
      <c r="D26">
        <v>0</v>
      </c>
      <c r="F26" s="35">
        <v>0.15</v>
      </c>
      <c r="H26" t="s">
        <v>62</v>
      </c>
    </row>
    <row r="27" spans="1:8" x14ac:dyDescent="0.2">
      <c r="A27" t="s">
        <v>57</v>
      </c>
      <c r="B27">
        <v>0</v>
      </c>
      <c r="C27">
        <v>0</v>
      </c>
      <c r="D27">
        <v>0</v>
      </c>
      <c r="F27" s="35">
        <v>0</v>
      </c>
      <c r="H27" t="s">
        <v>63</v>
      </c>
    </row>
    <row r="28" spans="1:8" x14ac:dyDescent="0.2">
      <c r="A28" t="s">
        <v>57</v>
      </c>
      <c r="B28">
        <v>0</v>
      </c>
      <c r="C28">
        <v>0</v>
      </c>
      <c r="D28">
        <v>0</v>
      </c>
      <c r="F28" s="35">
        <v>0</v>
      </c>
      <c r="H28" t="s">
        <v>364</v>
      </c>
    </row>
    <row r="29" spans="1:8" x14ac:dyDescent="0.2">
      <c r="A29" t="s">
        <v>57</v>
      </c>
      <c r="B29">
        <v>4</v>
      </c>
      <c r="C29">
        <v>11</v>
      </c>
      <c r="D29">
        <v>8</v>
      </c>
      <c r="F29" s="35">
        <v>4.58</v>
      </c>
      <c r="H29" t="s">
        <v>365</v>
      </c>
    </row>
    <row r="30" spans="1:8" x14ac:dyDescent="0.2">
      <c r="A30" t="s">
        <v>57</v>
      </c>
      <c r="F30" s="35">
        <f>SUM(F22:F28)</f>
        <v>4.58</v>
      </c>
      <c r="G30" s="36">
        <f>F30-F29</f>
        <v>0</v>
      </c>
      <c r="H30" t="s">
        <v>164</v>
      </c>
    </row>
    <row r="32" spans="1:8" x14ac:dyDescent="0.2">
      <c r="A32" t="s">
        <v>65</v>
      </c>
      <c r="B32">
        <v>2</v>
      </c>
      <c r="C32">
        <v>16</v>
      </c>
      <c r="D32">
        <v>8</v>
      </c>
      <c r="F32" s="35">
        <v>2.83</v>
      </c>
      <c r="H32" t="s">
        <v>165</v>
      </c>
    </row>
    <row r="33" spans="1:8" x14ac:dyDescent="0.2">
      <c r="A33" t="s">
        <v>65</v>
      </c>
      <c r="B33">
        <v>2</v>
      </c>
      <c r="C33">
        <v>13</v>
      </c>
      <c r="D33">
        <v>4</v>
      </c>
      <c r="F33" s="35">
        <v>2.67</v>
      </c>
      <c r="H33" t="s">
        <v>166</v>
      </c>
    </row>
    <row r="34" spans="1:8" x14ac:dyDescent="0.2">
      <c r="A34" t="s">
        <v>65</v>
      </c>
      <c r="B34">
        <v>1</v>
      </c>
      <c r="C34">
        <v>8</v>
      </c>
      <c r="D34">
        <v>4</v>
      </c>
      <c r="F34" s="35">
        <v>1.42</v>
      </c>
      <c r="H34" t="s">
        <v>167</v>
      </c>
    </row>
    <row r="35" spans="1:8" x14ac:dyDescent="0.2">
      <c r="A35" t="s">
        <v>65</v>
      </c>
      <c r="B35">
        <v>6</v>
      </c>
      <c r="C35">
        <v>18</v>
      </c>
      <c r="D35">
        <v>4</v>
      </c>
      <c r="F35" s="35">
        <v>6.92</v>
      </c>
      <c r="H35" t="s">
        <v>71</v>
      </c>
    </row>
    <row r="36" spans="1:8" x14ac:dyDescent="0.2">
      <c r="A36" t="s">
        <v>65</v>
      </c>
      <c r="F36" s="35">
        <v>6.92</v>
      </c>
      <c r="G36" s="36">
        <v>0</v>
      </c>
      <c r="H36" t="s">
        <v>164</v>
      </c>
    </row>
    <row r="38" spans="1:8" x14ac:dyDescent="0.2">
      <c r="A38" t="s">
        <v>72</v>
      </c>
      <c r="B38">
        <v>0</v>
      </c>
      <c r="C38">
        <v>0</v>
      </c>
      <c r="D38">
        <v>6</v>
      </c>
      <c r="F38" s="35">
        <v>0.03</v>
      </c>
      <c r="H38" t="s">
        <v>73</v>
      </c>
    </row>
    <row r="39" spans="1:8" x14ac:dyDescent="0.2">
      <c r="A39" t="s">
        <v>72</v>
      </c>
      <c r="B39">
        <v>0</v>
      </c>
      <c r="C39">
        <v>0</v>
      </c>
      <c r="D39">
        <v>6</v>
      </c>
      <c r="F39" s="35">
        <v>0.03</v>
      </c>
      <c r="H39" t="s">
        <v>74</v>
      </c>
    </row>
    <row r="40" spans="1:8" x14ac:dyDescent="0.2">
      <c r="A40" t="s">
        <v>72</v>
      </c>
      <c r="B40">
        <v>0</v>
      </c>
      <c r="C40">
        <v>0</v>
      </c>
      <c r="D40">
        <v>3</v>
      </c>
      <c r="F40" s="35">
        <v>0.01</v>
      </c>
      <c r="H40" t="s">
        <v>75</v>
      </c>
    </row>
    <row r="41" spans="1:8" x14ac:dyDescent="0.2">
      <c r="A41" t="s">
        <v>72</v>
      </c>
      <c r="B41">
        <v>0</v>
      </c>
      <c r="C41">
        <v>0</v>
      </c>
      <c r="D41">
        <v>3</v>
      </c>
      <c r="F41" s="35">
        <v>0.01</v>
      </c>
      <c r="H41" t="s">
        <v>76</v>
      </c>
    </row>
    <row r="42" spans="1:8" x14ac:dyDescent="0.2">
      <c r="A42" t="s">
        <v>72</v>
      </c>
      <c r="B42">
        <v>0</v>
      </c>
      <c r="C42">
        <v>1</v>
      </c>
      <c r="D42">
        <v>0</v>
      </c>
      <c r="F42" s="35">
        <v>0.05</v>
      </c>
      <c r="H42" t="s">
        <v>77</v>
      </c>
    </row>
    <row r="43" spans="1:8" x14ac:dyDescent="0.2">
      <c r="A43" t="s">
        <v>72</v>
      </c>
      <c r="B43">
        <v>0</v>
      </c>
      <c r="C43">
        <v>0</v>
      </c>
      <c r="D43">
        <v>3</v>
      </c>
      <c r="F43" s="35">
        <v>0.01</v>
      </c>
      <c r="H43" t="s">
        <v>78</v>
      </c>
    </row>
    <row r="44" spans="1:8" x14ac:dyDescent="0.2">
      <c r="A44" t="s">
        <v>72</v>
      </c>
      <c r="B44">
        <v>0</v>
      </c>
      <c r="C44">
        <v>0</v>
      </c>
      <c r="D44">
        <v>3</v>
      </c>
      <c r="F44" s="35">
        <v>0.01</v>
      </c>
      <c r="H44" t="s">
        <v>79</v>
      </c>
    </row>
    <row r="45" spans="1:8" x14ac:dyDescent="0.2">
      <c r="A45" t="s">
        <v>72</v>
      </c>
      <c r="B45">
        <v>0</v>
      </c>
      <c r="C45">
        <v>0</v>
      </c>
      <c r="D45">
        <v>3</v>
      </c>
      <c r="F45" s="35">
        <v>0.01</v>
      </c>
      <c r="H45" t="s">
        <v>80</v>
      </c>
    </row>
    <row r="46" spans="1:8" x14ac:dyDescent="0.2">
      <c r="A46" t="s">
        <v>72</v>
      </c>
      <c r="B46">
        <v>0</v>
      </c>
      <c r="C46">
        <v>0</v>
      </c>
      <c r="D46">
        <v>3</v>
      </c>
      <c r="F46" s="35">
        <v>0.01</v>
      </c>
      <c r="H46" t="s">
        <v>81</v>
      </c>
    </row>
    <row r="47" spans="1:8" x14ac:dyDescent="0.2">
      <c r="A47" t="s">
        <v>72</v>
      </c>
      <c r="B47">
        <v>0</v>
      </c>
      <c r="C47">
        <v>0</v>
      </c>
      <c r="D47">
        <v>3</v>
      </c>
      <c r="F47" s="35">
        <v>0.01</v>
      </c>
      <c r="H47" t="s">
        <v>82</v>
      </c>
    </row>
    <row r="48" spans="1:8" x14ac:dyDescent="0.2">
      <c r="A48" t="s">
        <v>72</v>
      </c>
      <c r="B48">
        <v>0</v>
      </c>
      <c r="C48">
        <v>2</v>
      </c>
      <c r="D48">
        <v>0</v>
      </c>
      <c r="F48" s="35">
        <v>0.1</v>
      </c>
      <c r="H48" t="s">
        <v>83</v>
      </c>
    </row>
    <row r="49" spans="1:8" x14ac:dyDescent="0.2">
      <c r="A49" t="s">
        <v>72</v>
      </c>
      <c r="B49">
        <v>0</v>
      </c>
      <c r="C49">
        <v>0</v>
      </c>
      <c r="D49">
        <v>3</v>
      </c>
      <c r="F49" s="35">
        <v>0.01</v>
      </c>
      <c r="H49" t="s">
        <v>84</v>
      </c>
    </row>
    <row r="50" spans="1:8" x14ac:dyDescent="0.2">
      <c r="A50" t="s">
        <v>72</v>
      </c>
      <c r="B50">
        <v>0</v>
      </c>
      <c r="C50">
        <v>0</v>
      </c>
      <c r="D50">
        <v>3</v>
      </c>
      <c r="F50" s="35">
        <v>0.01</v>
      </c>
      <c r="H50" t="s">
        <v>85</v>
      </c>
    </row>
    <row r="51" spans="1:8" x14ac:dyDescent="0.2">
      <c r="A51" t="s">
        <v>72</v>
      </c>
      <c r="B51">
        <v>0</v>
      </c>
      <c r="C51">
        <v>0</v>
      </c>
      <c r="D51">
        <v>3</v>
      </c>
      <c r="F51" s="35">
        <v>0.01</v>
      </c>
      <c r="H51" t="s">
        <v>86</v>
      </c>
    </row>
    <row r="52" spans="1:8" x14ac:dyDescent="0.2">
      <c r="A52" t="s">
        <v>72</v>
      </c>
      <c r="B52">
        <v>0</v>
      </c>
      <c r="C52">
        <v>0</v>
      </c>
      <c r="D52">
        <v>6</v>
      </c>
      <c r="F52" s="35">
        <v>0.03</v>
      </c>
      <c r="H52" t="s">
        <v>87</v>
      </c>
    </row>
    <row r="53" spans="1:8" x14ac:dyDescent="0.2">
      <c r="A53" t="s">
        <v>72</v>
      </c>
      <c r="B53">
        <v>0</v>
      </c>
      <c r="C53">
        <v>0</v>
      </c>
      <c r="D53">
        <v>3</v>
      </c>
      <c r="F53" s="35">
        <v>0.01</v>
      </c>
      <c r="H53" t="s">
        <v>88</v>
      </c>
    </row>
    <row r="54" spans="1:8" x14ac:dyDescent="0.2">
      <c r="A54" t="s">
        <v>72</v>
      </c>
      <c r="B54">
        <v>0</v>
      </c>
      <c r="C54">
        <v>0</v>
      </c>
      <c r="D54">
        <v>3</v>
      </c>
      <c r="F54" s="35">
        <v>0.01</v>
      </c>
      <c r="H54" t="s">
        <v>89</v>
      </c>
    </row>
    <row r="55" spans="1:8" x14ac:dyDescent="0.2">
      <c r="A55" t="s">
        <v>72</v>
      </c>
      <c r="B55">
        <v>0</v>
      </c>
      <c r="C55">
        <v>0</v>
      </c>
      <c r="D55">
        <v>3</v>
      </c>
      <c r="F55" s="35">
        <v>0.01</v>
      </c>
      <c r="H55" t="s">
        <v>90</v>
      </c>
    </row>
    <row r="56" spans="1:8" x14ac:dyDescent="0.2">
      <c r="A56" t="s">
        <v>72</v>
      </c>
      <c r="B56">
        <v>0</v>
      </c>
      <c r="C56">
        <v>7</v>
      </c>
      <c r="D56">
        <v>9</v>
      </c>
      <c r="F56" s="35">
        <v>0.39</v>
      </c>
      <c r="H56" t="s">
        <v>91</v>
      </c>
    </row>
    <row r="57" spans="1:8" x14ac:dyDescent="0.2">
      <c r="F57" s="35">
        <f>SUM(F38:F55)</f>
        <v>0.37000000000000011</v>
      </c>
      <c r="G57" s="36">
        <f>F57-F56</f>
        <v>-1.9999999999999907E-2</v>
      </c>
      <c r="H57" t="s">
        <v>164</v>
      </c>
    </row>
    <row r="59" spans="1:8" x14ac:dyDescent="0.2">
      <c r="A59" t="s">
        <v>92</v>
      </c>
      <c r="B59">
        <v>1</v>
      </c>
      <c r="C59">
        <v>0</v>
      </c>
      <c r="D59">
        <v>0</v>
      </c>
      <c r="F59" s="35">
        <v>1</v>
      </c>
      <c r="G59" s="36">
        <v>0</v>
      </c>
      <c r="H59" t="s">
        <v>93</v>
      </c>
    </row>
    <row r="60" spans="1:8" x14ac:dyDescent="0.2">
      <c r="A60" t="s">
        <v>92</v>
      </c>
      <c r="B60">
        <v>1</v>
      </c>
      <c r="C60">
        <v>0</v>
      </c>
      <c r="D60">
        <v>0</v>
      </c>
      <c r="F60" s="35">
        <v>1</v>
      </c>
      <c r="G60" s="36">
        <v>0</v>
      </c>
      <c r="H60" t="s">
        <v>366</v>
      </c>
    </row>
    <row r="62" spans="1:8" x14ac:dyDescent="0.2">
      <c r="A62" t="s">
        <v>368</v>
      </c>
      <c r="B62">
        <v>25</v>
      </c>
      <c r="C62">
        <v>15</v>
      </c>
      <c r="D62">
        <v>10</v>
      </c>
      <c r="F62" s="35">
        <f>B62+C62/20+D62/240</f>
        <v>25.791666666666668</v>
      </c>
      <c r="H62" t="s">
        <v>367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61"/>
  <sheetViews>
    <sheetView workbookViewId="0">
      <pane xSplit="1" ySplit="2" topLeftCell="B34" activePane="bottomRight" state="frozen"/>
      <selection pane="topRight" activeCell="B1" sqref="B1"/>
      <selection pane="bottomLeft" activeCell="A3" sqref="A3"/>
      <selection pane="bottomRight" activeCell="H25" sqref="H25"/>
    </sheetView>
  </sheetViews>
  <sheetFormatPr baseColWidth="10" defaultColWidth="8.83203125" defaultRowHeight="15" x14ac:dyDescent="0.2"/>
  <cols>
    <col min="1" max="1" width="21.83203125" bestFit="1" customWidth="1"/>
    <col min="6" max="6" width="8.83203125" style="35"/>
    <col min="7" max="7" width="8.83203125" style="36"/>
  </cols>
  <sheetData>
    <row r="1" spans="1:8" ht="16" x14ac:dyDescent="0.2">
      <c r="A1" s="30" t="s">
        <v>358</v>
      </c>
    </row>
    <row r="2" spans="1:8" ht="16" x14ac:dyDescent="0.2">
      <c r="A2" s="31" t="s">
        <v>0</v>
      </c>
      <c r="B2" s="32" t="s">
        <v>359</v>
      </c>
      <c r="C2" s="33" t="s">
        <v>360</v>
      </c>
      <c r="D2" s="33" t="s">
        <v>361</v>
      </c>
      <c r="E2" s="33"/>
      <c r="F2" s="37" t="s">
        <v>355</v>
      </c>
      <c r="G2" s="38" t="s">
        <v>163</v>
      </c>
      <c r="H2" s="34" t="s">
        <v>362</v>
      </c>
    </row>
    <row r="3" spans="1:8" x14ac:dyDescent="0.2">
      <c r="A3" t="s">
        <v>95</v>
      </c>
      <c r="B3">
        <v>0</v>
      </c>
      <c r="C3">
        <v>1</v>
      </c>
      <c r="D3">
        <v>0</v>
      </c>
      <c r="F3" s="35">
        <v>0.05</v>
      </c>
      <c r="H3" t="s">
        <v>96</v>
      </c>
    </row>
    <row r="4" spans="1:8" x14ac:dyDescent="0.2">
      <c r="A4" t="s">
        <v>95</v>
      </c>
      <c r="B4">
        <v>0</v>
      </c>
      <c r="C4">
        <v>1</v>
      </c>
      <c r="D4">
        <v>0</v>
      </c>
      <c r="F4" s="35">
        <v>0.05</v>
      </c>
      <c r="H4" t="s">
        <v>97</v>
      </c>
    </row>
    <row r="5" spans="1:8" x14ac:dyDescent="0.2">
      <c r="A5" t="s">
        <v>95</v>
      </c>
      <c r="B5">
        <v>0</v>
      </c>
      <c r="C5">
        <v>2</v>
      </c>
      <c r="D5">
        <v>0</v>
      </c>
      <c r="F5" s="35">
        <v>0.1</v>
      </c>
      <c r="H5" t="s">
        <v>98</v>
      </c>
    </row>
    <row r="6" spans="1:8" x14ac:dyDescent="0.2">
      <c r="A6" t="s">
        <v>95</v>
      </c>
      <c r="B6">
        <v>0</v>
      </c>
      <c r="C6">
        <v>5</v>
      </c>
      <c r="D6">
        <v>0</v>
      </c>
      <c r="F6" s="35">
        <v>0.25</v>
      </c>
      <c r="H6" t="s">
        <v>99</v>
      </c>
    </row>
    <row r="7" spans="1:8" x14ac:dyDescent="0.2">
      <c r="A7" t="s">
        <v>95</v>
      </c>
      <c r="B7">
        <v>0</v>
      </c>
      <c r="C7">
        <v>0</v>
      </c>
      <c r="D7">
        <v>6</v>
      </c>
      <c r="F7" s="35">
        <v>0.03</v>
      </c>
      <c r="H7" t="s">
        <v>100</v>
      </c>
    </row>
    <row r="8" spans="1:8" x14ac:dyDescent="0.2">
      <c r="A8" t="s">
        <v>95</v>
      </c>
      <c r="B8">
        <v>0</v>
      </c>
      <c r="C8">
        <v>0</v>
      </c>
      <c r="D8">
        <v>8</v>
      </c>
      <c r="F8" s="35">
        <v>0.03</v>
      </c>
      <c r="H8" t="s">
        <v>101</v>
      </c>
    </row>
    <row r="9" spans="1:8" x14ac:dyDescent="0.2">
      <c r="A9" t="s">
        <v>95</v>
      </c>
      <c r="B9">
        <v>0</v>
      </c>
      <c r="C9">
        <v>4</v>
      </c>
      <c r="D9">
        <v>0</v>
      </c>
      <c r="F9" s="35">
        <v>0.2</v>
      </c>
      <c r="H9" t="s">
        <v>102</v>
      </c>
    </row>
    <row r="10" spans="1:8" x14ac:dyDescent="0.2">
      <c r="A10" t="s">
        <v>95</v>
      </c>
      <c r="B10">
        <v>0</v>
      </c>
      <c r="C10">
        <v>1</v>
      </c>
      <c r="D10">
        <v>4</v>
      </c>
      <c r="F10" s="35">
        <v>7.0000000000000007E-2</v>
      </c>
      <c r="H10" t="s">
        <v>103</v>
      </c>
    </row>
    <row r="11" spans="1:8" x14ac:dyDescent="0.2">
      <c r="A11" t="s">
        <v>95</v>
      </c>
      <c r="B11">
        <v>0</v>
      </c>
      <c r="C11">
        <v>4</v>
      </c>
      <c r="D11">
        <v>8</v>
      </c>
      <c r="F11" s="35">
        <v>0.23</v>
      </c>
      <c r="H11" t="s">
        <v>104</v>
      </c>
    </row>
    <row r="12" spans="1:8" x14ac:dyDescent="0.2">
      <c r="A12" t="s">
        <v>95</v>
      </c>
      <c r="B12">
        <v>0</v>
      </c>
      <c r="C12">
        <v>8</v>
      </c>
      <c r="D12">
        <v>0</v>
      </c>
      <c r="F12" s="35">
        <v>0.4</v>
      </c>
      <c r="H12" t="s">
        <v>105</v>
      </c>
    </row>
    <row r="13" spans="1:8" x14ac:dyDescent="0.2">
      <c r="A13" t="s">
        <v>95</v>
      </c>
      <c r="B13">
        <v>0</v>
      </c>
      <c r="C13">
        <v>6</v>
      </c>
      <c r="D13">
        <v>0</v>
      </c>
      <c r="F13" s="35">
        <v>0.3</v>
      </c>
      <c r="H13" t="s">
        <v>106</v>
      </c>
    </row>
    <row r="14" spans="1:8" x14ac:dyDescent="0.2">
      <c r="A14" t="s">
        <v>95</v>
      </c>
      <c r="B14">
        <v>0</v>
      </c>
      <c r="C14">
        <v>16</v>
      </c>
      <c r="D14">
        <v>0</v>
      </c>
      <c r="F14" s="35">
        <f>B14+C14/20+D14/240</f>
        <v>0.8</v>
      </c>
      <c r="H14" t="s">
        <v>168</v>
      </c>
    </row>
    <row r="15" spans="1:8" x14ac:dyDescent="0.2">
      <c r="A15" t="s">
        <v>95</v>
      </c>
      <c r="B15">
        <v>0</v>
      </c>
      <c r="C15">
        <v>16</v>
      </c>
      <c r="D15">
        <v>1.5</v>
      </c>
      <c r="F15" s="35">
        <v>0.81</v>
      </c>
      <c r="H15" t="s">
        <v>169</v>
      </c>
    </row>
    <row r="16" spans="1:8" x14ac:dyDescent="0.2">
      <c r="A16" t="s">
        <v>95</v>
      </c>
      <c r="B16">
        <v>3</v>
      </c>
      <c r="C16">
        <v>12</v>
      </c>
      <c r="D16">
        <v>5.5</v>
      </c>
      <c r="F16" s="35">
        <v>3.62</v>
      </c>
      <c r="H16" t="s">
        <v>111</v>
      </c>
    </row>
    <row r="17" spans="1:8" x14ac:dyDescent="0.2">
      <c r="A17" t="s">
        <v>95</v>
      </c>
      <c r="F17" s="35">
        <f>SUM(F3:F15)</f>
        <v>3.3200000000000003</v>
      </c>
      <c r="G17" s="36">
        <f>F17-F16</f>
        <v>-0.29999999999999982</v>
      </c>
      <c r="H17" t="s">
        <v>164</v>
      </c>
    </row>
    <row r="19" spans="1:8" x14ac:dyDescent="0.2">
      <c r="A19" t="s">
        <v>112</v>
      </c>
      <c r="B19">
        <v>0</v>
      </c>
      <c r="C19">
        <v>16</v>
      </c>
      <c r="D19">
        <v>6</v>
      </c>
      <c r="F19" s="35">
        <v>0.83</v>
      </c>
      <c r="H19" t="s">
        <v>113</v>
      </c>
    </row>
    <row r="20" spans="1:8" x14ac:dyDescent="0.2">
      <c r="A20" t="s">
        <v>112</v>
      </c>
      <c r="B20">
        <v>0</v>
      </c>
      <c r="C20">
        <v>1</v>
      </c>
      <c r="D20">
        <v>6</v>
      </c>
      <c r="F20" s="35">
        <v>0.08</v>
      </c>
      <c r="H20" t="s">
        <v>114</v>
      </c>
    </row>
    <row r="21" spans="1:8" x14ac:dyDescent="0.2">
      <c r="A21" t="s">
        <v>112</v>
      </c>
      <c r="B21">
        <v>0</v>
      </c>
      <c r="C21">
        <v>8</v>
      </c>
      <c r="D21">
        <v>6</v>
      </c>
      <c r="F21" s="35">
        <v>0.43</v>
      </c>
      <c r="H21" t="s">
        <v>115</v>
      </c>
    </row>
    <row r="22" spans="1:8" x14ac:dyDescent="0.2">
      <c r="A22" t="s">
        <v>112</v>
      </c>
      <c r="B22">
        <v>0</v>
      </c>
      <c r="C22">
        <v>16</v>
      </c>
      <c r="D22">
        <v>0</v>
      </c>
      <c r="F22" s="35">
        <v>0.8</v>
      </c>
      <c r="H22" t="s">
        <v>116</v>
      </c>
    </row>
    <row r="23" spans="1:8" x14ac:dyDescent="0.2">
      <c r="A23" t="s">
        <v>112</v>
      </c>
      <c r="B23">
        <v>2</v>
      </c>
      <c r="C23">
        <v>2</v>
      </c>
      <c r="D23">
        <v>6</v>
      </c>
      <c r="F23" s="35">
        <v>2.12</v>
      </c>
      <c r="H23" t="s">
        <v>117</v>
      </c>
    </row>
    <row r="24" spans="1:8" x14ac:dyDescent="0.2">
      <c r="A24" t="s">
        <v>112</v>
      </c>
      <c r="B24">
        <v>0</v>
      </c>
      <c r="C24">
        <v>7</v>
      </c>
      <c r="D24">
        <v>6</v>
      </c>
      <c r="F24" s="35">
        <v>0.38</v>
      </c>
      <c r="H24" t="s">
        <v>118</v>
      </c>
    </row>
    <row r="25" spans="1:8" x14ac:dyDescent="0.2">
      <c r="A25" t="s">
        <v>112</v>
      </c>
      <c r="B25">
        <v>0</v>
      </c>
      <c r="C25">
        <v>0</v>
      </c>
      <c r="D25">
        <v>9</v>
      </c>
      <c r="F25" s="35">
        <v>0.04</v>
      </c>
      <c r="H25" t="s">
        <v>119</v>
      </c>
    </row>
    <row r="26" spans="1:8" x14ac:dyDescent="0.2">
      <c r="A26" t="s">
        <v>112</v>
      </c>
      <c r="B26">
        <v>0</v>
      </c>
      <c r="C26">
        <v>7</v>
      </c>
      <c r="D26">
        <v>6</v>
      </c>
      <c r="F26" s="35">
        <v>0.38</v>
      </c>
      <c r="H26" t="s">
        <v>120</v>
      </c>
    </row>
    <row r="27" spans="1:8" x14ac:dyDescent="0.2">
      <c r="A27" t="s">
        <v>112</v>
      </c>
      <c r="B27">
        <v>0</v>
      </c>
      <c r="C27">
        <v>14</v>
      </c>
      <c r="D27">
        <v>0</v>
      </c>
      <c r="F27" s="35">
        <f>B27+C27/20+D27/240</f>
        <v>0.7</v>
      </c>
      <c r="H27" t="s">
        <v>369</v>
      </c>
    </row>
    <row r="28" spans="1:8" x14ac:dyDescent="0.2">
      <c r="A28" t="s">
        <v>112</v>
      </c>
      <c r="B28">
        <v>5</v>
      </c>
      <c r="C28">
        <v>14</v>
      </c>
      <c r="D28">
        <v>6</v>
      </c>
      <c r="F28" s="35">
        <v>5.73</v>
      </c>
      <c r="H28" t="s">
        <v>370</v>
      </c>
    </row>
    <row r="29" spans="1:8" x14ac:dyDescent="0.2">
      <c r="A29" t="s">
        <v>112</v>
      </c>
      <c r="F29" s="35">
        <f>SUM(F19:F27)</f>
        <v>5.76</v>
      </c>
      <c r="G29" s="36">
        <f>F29-F28</f>
        <v>2.9999999999999361E-2</v>
      </c>
      <c r="H29" t="s">
        <v>164</v>
      </c>
    </row>
    <row r="31" spans="1:8" x14ac:dyDescent="0.2">
      <c r="A31" t="s">
        <v>122</v>
      </c>
      <c r="B31">
        <v>0</v>
      </c>
      <c r="C31">
        <v>6</v>
      </c>
      <c r="D31">
        <v>8</v>
      </c>
      <c r="F31" s="35">
        <v>0.33</v>
      </c>
      <c r="H31" t="s">
        <v>123</v>
      </c>
    </row>
    <row r="32" spans="1:8" x14ac:dyDescent="0.2">
      <c r="A32" t="s">
        <v>122</v>
      </c>
      <c r="B32">
        <v>0</v>
      </c>
      <c r="C32">
        <v>2</v>
      </c>
      <c r="D32">
        <v>0</v>
      </c>
      <c r="F32" s="35">
        <v>0.1</v>
      </c>
      <c r="H32" t="s">
        <v>124</v>
      </c>
    </row>
    <row r="33" spans="1:8" x14ac:dyDescent="0.2">
      <c r="A33" t="s">
        <v>122</v>
      </c>
      <c r="B33">
        <v>0</v>
      </c>
      <c r="C33">
        <v>9</v>
      </c>
      <c r="D33">
        <v>0</v>
      </c>
      <c r="F33" s="35">
        <v>0.45</v>
      </c>
      <c r="H33" t="s">
        <v>125</v>
      </c>
    </row>
    <row r="34" spans="1:8" x14ac:dyDescent="0.2">
      <c r="A34" t="s">
        <v>122</v>
      </c>
      <c r="B34">
        <v>0</v>
      </c>
      <c r="C34">
        <v>8</v>
      </c>
      <c r="D34">
        <v>0</v>
      </c>
      <c r="F34" s="35">
        <v>0.4</v>
      </c>
      <c r="H34" t="s">
        <v>126</v>
      </c>
    </row>
    <row r="35" spans="1:8" x14ac:dyDescent="0.2">
      <c r="A35" t="s">
        <v>122</v>
      </c>
      <c r="B35">
        <v>0</v>
      </c>
      <c r="C35">
        <v>3</v>
      </c>
      <c r="D35">
        <v>0</v>
      </c>
      <c r="F35" s="35">
        <v>0.15</v>
      </c>
      <c r="H35" t="s">
        <v>127</v>
      </c>
    </row>
    <row r="36" spans="1:8" x14ac:dyDescent="0.2">
      <c r="A36" t="s">
        <v>122</v>
      </c>
      <c r="B36">
        <v>0</v>
      </c>
      <c r="C36">
        <v>1</v>
      </c>
      <c r="D36">
        <v>6</v>
      </c>
      <c r="F36" s="35">
        <v>0.08</v>
      </c>
      <c r="H36" t="s">
        <v>128</v>
      </c>
    </row>
    <row r="37" spans="1:8" x14ac:dyDescent="0.2">
      <c r="A37" t="s">
        <v>122</v>
      </c>
      <c r="B37">
        <v>0</v>
      </c>
      <c r="C37">
        <v>0</v>
      </c>
      <c r="D37">
        <v>6</v>
      </c>
      <c r="F37" s="35">
        <v>0.03</v>
      </c>
      <c r="H37" t="s">
        <v>129</v>
      </c>
    </row>
    <row r="38" spans="1:8" x14ac:dyDescent="0.2">
      <c r="A38" t="s">
        <v>122</v>
      </c>
      <c r="B38">
        <v>0</v>
      </c>
      <c r="C38">
        <v>0</v>
      </c>
      <c r="D38">
        <v>1.5</v>
      </c>
      <c r="F38" s="35">
        <v>0.01</v>
      </c>
      <c r="H38" t="s">
        <v>130</v>
      </c>
    </row>
    <row r="39" spans="1:8" x14ac:dyDescent="0.2">
      <c r="A39" t="s">
        <v>122</v>
      </c>
      <c r="B39">
        <v>0</v>
      </c>
      <c r="C39">
        <v>1</v>
      </c>
      <c r="D39">
        <v>6</v>
      </c>
      <c r="F39" s="35">
        <v>0.08</v>
      </c>
      <c r="H39" t="s">
        <v>131</v>
      </c>
    </row>
    <row r="40" spans="1:8" x14ac:dyDescent="0.2">
      <c r="A40" t="s">
        <v>122</v>
      </c>
      <c r="B40">
        <v>0</v>
      </c>
      <c r="C40">
        <v>0</v>
      </c>
      <c r="D40">
        <v>8</v>
      </c>
      <c r="F40" s="35">
        <v>0.03</v>
      </c>
      <c r="H40" t="s">
        <v>132</v>
      </c>
    </row>
    <row r="41" spans="1:8" x14ac:dyDescent="0.2">
      <c r="A41" t="s">
        <v>122</v>
      </c>
      <c r="B41">
        <v>0</v>
      </c>
      <c r="C41">
        <v>0</v>
      </c>
      <c r="D41">
        <v>8</v>
      </c>
      <c r="F41" s="35">
        <v>0.03</v>
      </c>
      <c r="H41" t="s">
        <v>133</v>
      </c>
    </row>
    <row r="42" spans="1:8" x14ac:dyDescent="0.2">
      <c r="A42" t="s">
        <v>122</v>
      </c>
      <c r="B42">
        <v>0</v>
      </c>
      <c r="C42">
        <v>1</v>
      </c>
      <c r="D42">
        <v>0</v>
      </c>
      <c r="F42" s="35">
        <v>0.05</v>
      </c>
      <c r="H42" t="s">
        <v>134</v>
      </c>
    </row>
    <row r="43" spans="1:8" x14ac:dyDescent="0.2">
      <c r="A43" t="s">
        <v>122</v>
      </c>
      <c r="B43">
        <v>0</v>
      </c>
      <c r="C43">
        <v>0</v>
      </c>
      <c r="D43">
        <v>10</v>
      </c>
      <c r="F43" s="35">
        <f>B43+C43/20+D43/240</f>
        <v>4.1666666666666664E-2</v>
      </c>
      <c r="H43" t="s">
        <v>374</v>
      </c>
    </row>
    <row r="44" spans="1:8" x14ac:dyDescent="0.2">
      <c r="A44" t="s">
        <v>122</v>
      </c>
      <c r="B44">
        <v>1</v>
      </c>
      <c r="C44">
        <v>16</v>
      </c>
      <c r="D44">
        <v>9.5</v>
      </c>
      <c r="F44" s="35">
        <v>1.84</v>
      </c>
      <c r="H44" t="s">
        <v>375</v>
      </c>
    </row>
    <row r="45" spans="1:8" x14ac:dyDescent="0.2">
      <c r="A45" t="s">
        <v>122</v>
      </c>
      <c r="F45" s="35">
        <f>SUM(F31:F43)</f>
        <v>1.7816666666666672</v>
      </c>
      <c r="G45" s="36">
        <f>F45-F44</f>
        <v>-5.8333333333332904E-2</v>
      </c>
      <c r="H45" t="s">
        <v>164</v>
      </c>
    </row>
    <row r="47" spans="1:8" x14ac:dyDescent="0.2">
      <c r="A47" t="s">
        <v>136</v>
      </c>
      <c r="B47">
        <v>5</v>
      </c>
      <c r="C47">
        <v>0</v>
      </c>
      <c r="D47">
        <v>0</v>
      </c>
      <c r="F47" s="35">
        <v>5</v>
      </c>
      <c r="H47" t="s">
        <v>376</v>
      </c>
    </row>
    <row r="48" spans="1:8" x14ac:dyDescent="0.2">
      <c r="A48" t="s">
        <v>136</v>
      </c>
      <c r="B48">
        <v>0</v>
      </c>
      <c r="C48">
        <v>15</v>
      </c>
      <c r="D48">
        <v>2.5</v>
      </c>
      <c r="F48" s="35">
        <v>0.76</v>
      </c>
      <c r="H48" t="s">
        <v>138</v>
      </c>
    </row>
    <row r="49" spans="1:8" x14ac:dyDescent="0.2">
      <c r="A49" t="s">
        <v>136</v>
      </c>
      <c r="B49">
        <v>0</v>
      </c>
      <c r="C49">
        <v>6</v>
      </c>
      <c r="D49">
        <v>0</v>
      </c>
      <c r="F49" s="35">
        <f>B49+C49/20+D49/240</f>
        <v>0.3</v>
      </c>
      <c r="H49" t="s">
        <v>377</v>
      </c>
    </row>
    <row r="50" spans="1:8" x14ac:dyDescent="0.2">
      <c r="A50" t="s">
        <v>136</v>
      </c>
      <c r="B50">
        <v>6</v>
      </c>
      <c r="C50">
        <v>1</v>
      </c>
      <c r="D50">
        <v>2.5</v>
      </c>
      <c r="F50" s="35">
        <v>6.06</v>
      </c>
      <c r="H50" t="s">
        <v>378</v>
      </c>
    </row>
    <row r="51" spans="1:8" x14ac:dyDescent="0.2">
      <c r="A51" t="s">
        <v>136</v>
      </c>
      <c r="F51" s="35">
        <f>SUM(F47:F49)</f>
        <v>6.06</v>
      </c>
      <c r="G51" s="36">
        <f>F51-F50</f>
        <v>0</v>
      </c>
      <c r="H51" t="s">
        <v>164</v>
      </c>
    </row>
    <row r="53" spans="1:8" x14ac:dyDescent="0.2">
      <c r="A53" t="s">
        <v>140</v>
      </c>
      <c r="B53">
        <v>3</v>
      </c>
      <c r="C53">
        <v>3</v>
      </c>
      <c r="D53">
        <v>4</v>
      </c>
      <c r="F53" s="35">
        <v>3.17</v>
      </c>
      <c r="H53" t="s">
        <v>141</v>
      </c>
    </row>
    <row r="54" spans="1:8" x14ac:dyDescent="0.2">
      <c r="A54" t="s">
        <v>140</v>
      </c>
      <c r="B54">
        <v>3</v>
      </c>
      <c r="C54">
        <v>3</v>
      </c>
      <c r="D54">
        <v>4</v>
      </c>
      <c r="F54" s="35">
        <v>3.17</v>
      </c>
      <c r="H54" t="s">
        <v>142</v>
      </c>
    </row>
    <row r="55" spans="1:8" x14ac:dyDescent="0.2">
      <c r="A55" t="s">
        <v>140</v>
      </c>
      <c r="B55">
        <v>6</v>
      </c>
      <c r="C55">
        <v>6</v>
      </c>
      <c r="D55">
        <v>8</v>
      </c>
      <c r="F55" s="35">
        <v>6.33</v>
      </c>
      <c r="H55" t="s">
        <v>143</v>
      </c>
    </row>
    <row r="56" spans="1:8" x14ac:dyDescent="0.2">
      <c r="A56" t="s">
        <v>140</v>
      </c>
      <c r="F56" s="35">
        <f>SUM(F53:F54)</f>
        <v>6.34</v>
      </c>
      <c r="G56" s="36">
        <f>F56-F55</f>
        <v>9.9999999999997868E-3</v>
      </c>
      <c r="H56" t="s">
        <v>164</v>
      </c>
    </row>
    <row r="58" spans="1:8" x14ac:dyDescent="0.2">
      <c r="A58" t="s">
        <v>144</v>
      </c>
      <c r="B58">
        <v>23</v>
      </c>
      <c r="C58">
        <v>11</v>
      </c>
      <c r="D58">
        <v>4.5</v>
      </c>
      <c r="F58" s="35">
        <v>23.57</v>
      </c>
      <c r="H58" t="s">
        <v>145</v>
      </c>
    </row>
    <row r="59" spans="1:8" x14ac:dyDescent="0.2">
      <c r="A59" t="s">
        <v>144</v>
      </c>
      <c r="B59">
        <v>4</v>
      </c>
      <c r="C59">
        <v>4</v>
      </c>
      <c r="D59">
        <v>5.5</v>
      </c>
      <c r="F59" s="35">
        <v>4.22</v>
      </c>
      <c r="H59" t="s">
        <v>371</v>
      </c>
    </row>
    <row r="61" spans="1:8" x14ac:dyDescent="0.2">
      <c r="A61" t="s">
        <v>373</v>
      </c>
      <c r="H61" t="s">
        <v>372</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
  <sheetViews>
    <sheetView workbookViewId="0">
      <pane xSplit="1" ySplit="1" topLeftCell="G2" activePane="bottomRight" state="frozen"/>
      <selection pane="topRight" activeCell="B1" sqref="B1"/>
      <selection pane="bottomLeft" activeCell="A2" sqref="A2"/>
      <selection pane="bottomRight" activeCell="J8" sqref="J8"/>
    </sheetView>
  </sheetViews>
  <sheetFormatPr baseColWidth="10" defaultColWidth="8.83203125" defaultRowHeight="15" x14ac:dyDescent="0.2"/>
  <cols>
    <col min="1" max="1" width="23.5" bestFit="1" customWidth="1"/>
  </cols>
  <sheetData>
    <row r="1" spans="1:1" x14ac:dyDescent="0.2">
      <c r="A1" t="s">
        <v>475</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5"/>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10" defaultColWidth="8.83203125" defaultRowHeight="15" x14ac:dyDescent="0.2"/>
  <cols>
    <col min="1" max="1" width="30" bestFit="1" customWidth="1"/>
    <col min="2" max="2" width="12.1640625" bestFit="1" customWidth="1"/>
    <col min="3" max="3" width="19.1640625" bestFit="1" customWidth="1"/>
    <col min="4" max="4" width="20" bestFit="1" customWidth="1"/>
    <col min="5" max="5" width="21.5" bestFit="1" customWidth="1"/>
    <col min="6" max="6" width="15.83203125" bestFit="1" customWidth="1"/>
    <col min="7" max="7" width="19.83203125" customWidth="1"/>
    <col min="8" max="8" width="17.33203125" customWidth="1"/>
    <col min="9" max="9" width="18.1640625" customWidth="1"/>
    <col min="10" max="10" width="16.83203125" customWidth="1"/>
    <col min="11" max="11" width="18.33203125" customWidth="1"/>
    <col min="12" max="12" width="20.1640625" customWidth="1"/>
    <col min="13" max="13" width="13" customWidth="1"/>
    <col min="14" max="14" width="8.1640625" bestFit="1" customWidth="1"/>
    <col min="15" max="15" width="10.5" bestFit="1" customWidth="1"/>
    <col min="16" max="16" width="20.1640625" bestFit="1" customWidth="1"/>
    <col min="17" max="17" width="23.5" customWidth="1"/>
  </cols>
  <sheetData>
    <row r="1" spans="1:16" s="57" customFormat="1" ht="32" x14ac:dyDescent="0.2">
      <c r="A1" s="54" t="s">
        <v>193</v>
      </c>
      <c r="B1" s="54" t="s">
        <v>455</v>
      </c>
      <c r="C1" s="54" t="s">
        <v>189</v>
      </c>
      <c r="D1" s="54" t="s">
        <v>177</v>
      </c>
      <c r="E1" s="54" t="s">
        <v>456</v>
      </c>
      <c r="F1" s="54" t="s">
        <v>186</v>
      </c>
      <c r="G1" s="55" t="s">
        <v>194</v>
      </c>
      <c r="H1" s="55" t="s">
        <v>195</v>
      </c>
      <c r="I1" s="56" t="s">
        <v>197</v>
      </c>
    </row>
    <row r="2" spans="1:16" x14ac:dyDescent="0.2">
      <c r="A2" t="s">
        <v>67</v>
      </c>
      <c r="B2">
        <v>36.625</v>
      </c>
      <c r="C2">
        <v>36.625</v>
      </c>
      <c r="D2">
        <v>0</v>
      </c>
      <c r="F2">
        <v>20</v>
      </c>
      <c r="G2" s="35">
        <f>B2-F2</f>
        <v>16.625</v>
      </c>
      <c r="H2" s="35">
        <v>0.27500000000000002</v>
      </c>
      <c r="I2" s="35">
        <f>H2*B2</f>
        <v>10.071875</v>
      </c>
    </row>
    <row r="3" spans="1:16" x14ac:dyDescent="0.2">
      <c r="A3" t="s">
        <v>70</v>
      </c>
      <c r="B3">
        <v>9.375</v>
      </c>
      <c r="C3">
        <v>9.375</v>
      </c>
      <c r="D3">
        <v>0</v>
      </c>
      <c r="F3">
        <v>8.5</v>
      </c>
      <c r="G3" s="35">
        <f>B3-F3</f>
        <v>0.875</v>
      </c>
      <c r="H3" s="35">
        <v>0.16666666666666671</v>
      </c>
      <c r="I3" s="35">
        <f>H3*B3</f>
        <v>1.5625000000000004</v>
      </c>
    </row>
    <row r="4" spans="1:16" x14ac:dyDescent="0.2">
      <c r="A4" t="s">
        <v>108</v>
      </c>
      <c r="B4">
        <v>22.75</v>
      </c>
      <c r="C4">
        <v>0</v>
      </c>
      <c r="D4">
        <v>22.75</v>
      </c>
      <c r="F4">
        <v>0</v>
      </c>
      <c r="G4" s="35">
        <f>B4-F4</f>
        <v>22.75</v>
      </c>
      <c r="H4" s="35"/>
      <c r="I4" s="35">
        <f>H4*B4</f>
        <v>0</v>
      </c>
    </row>
    <row r="6" spans="1:16" x14ac:dyDescent="0.2">
      <c r="A6" s="62" t="s">
        <v>473</v>
      </c>
    </row>
    <row r="7" spans="1:16" x14ac:dyDescent="0.2">
      <c r="A7" s="62" t="s">
        <v>474</v>
      </c>
    </row>
    <row r="10" spans="1:16" ht="32" x14ac:dyDescent="0.2">
      <c r="A10" s="57" t="s">
        <v>457</v>
      </c>
      <c r="B10" s="58" t="s">
        <v>458</v>
      </c>
      <c r="C10" s="59" t="s">
        <v>459</v>
      </c>
      <c r="D10" s="59" t="s">
        <v>460</v>
      </c>
      <c r="E10" s="59" t="s">
        <v>461</v>
      </c>
      <c r="F10" s="57" t="s">
        <v>462</v>
      </c>
      <c r="G10" s="59" t="s">
        <v>463</v>
      </c>
      <c r="H10" s="59" t="s">
        <v>464</v>
      </c>
      <c r="I10" s="59" t="s">
        <v>465</v>
      </c>
      <c r="J10" s="59" t="s">
        <v>466</v>
      </c>
      <c r="K10" s="60" t="s">
        <v>467</v>
      </c>
      <c r="L10" s="59" t="s">
        <v>468</v>
      </c>
      <c r="M10" s="59" t="s">
        <v>469</v>
      </c>
      <c r="N10" s="61" t="s">
        <v>470</v>
      </c>
      <c r="O10" s="61" t="s">
        <v>471</v>
      </c>
      <c r="P10" s="58" t="s">
        <v>472</v>
      </c>
    </row>
    <row r="11" spans="1:16" x14ac:dyDescent="0.2">
      <c r="A11" t="s">
        <v>67</v>
      </c>
      <c r="B11">
        <f>B2</f>
        <v>36.625</v>
      </c>
      <c r="F11">
        <v>3</v>
      </c>
      <c r="G11">
        <v>5</v>
      </c>
      <c r="H11">
        <f>F11+G11/8</f>
        <v>3.625</v>
      </c>
      <c r="I11">
        <v>13</v>
      </c>
      <c r="K11" s="64">
        <f>I11+J11/8</f>
        <v>13</v>
      </c>
      <c r="L11">
        <f>B11-E11-H11-K11</f>
        <v>20</v>
      </c>
      <c r="N11" s="35">
        <f>H2</f>
        <v>0.27500000000000002</v>
      </c>
      <c r="O11" s="35">
        <f>L11*N11</f>
        <v>5.5</v>
      </c>
    </row>
    <row r="12" spans="1:16" x14ac:dyDescent="0.2">
      <c r="A12" t="s">
        <v>70</v>
      </c>
      <c r="B12">
        <f>B3</f>
        <v>9.375</v>
      </c>
      <c r="G12">
        <v>7</v>
      </c>
      <c r="H12">
        <f>F12+G12/8</f>
        <v>0.875</v>
      </c>
      <c r="K12" s="64">
        <f>I12+J12/8</f>
        <v>0</v>
      </c>
      <c r="L12">
        <f>B12-E12-H12-K12</f>
        <v>8.5</v>
      </c>
      <c r="N12" s="35">
        <f>H3</f>
        <v>0.16666666666666671</v>
      </c>
      <c r="O12" s="35">
        <f>L12*N12</f>
        <v>1.416666666666667</v>
      </c>
    </row>
    <row r="13" spans="1:16" x14ac:dyDescent="0.2">
      <c r="A13" t="s">
        <v>108</v>
      </c>
      <c r="B13">
        <f>B4</f>
        <v>22.75</v>
      </c>
      <c r="H13">
        <f>F13+G13/8</f>
        <v>0</v>
      </c>
      <c r="I13">
        <v>22</v>
      </c>
      <c r="J13">
        <v>6</v>
      </c>
      <c r="K13" s="64">
        <f>I13+J13/8</f>
        <v>22.75</v>
      </c>
      <c r="L13">
        <f>B13-E13-H13-K13</f>
        <v>0</v>
      </c>
      <c r="N13" s="35">
        <f>H4</f>
        <v>0</v>
      </c>
      <c r="O13" s="35">
        <f>L13*N13</f>
        <v>0</v>
      </c>
    </row>
    <row r="14" spans="1:16" x14ac:dyDescent="0.2">
      <c r="K14" s="64"/>
    </row>
    <row r="15" spans="1:16" x14ac:dyDescent="0.2">
      <c r="A15" s="63" t="s">
        <v>164</v>
      </c>
    </row>
  </sheetData>
  <pageMargins left="0.75" right="0.75" top="1" bottom="1" header="0.5" footer="0.5"/>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128"/>
  <sheetViews>
    <sheetView tabSelected="1" workbookViewId="0">
      <pane xSplit="1" ySplit="4" topLeftCell="B5" activePane="bottomRight" state="frozen"/>
      <selection pane="topRight" activeCell="B1" sqref="B1"/>
      <selection pane="bottomLeft" activeCell="A5" sqref="A5"/>
      <selection pane="bottomRight" activeCell="D80" sqref="D80"/>
    </sheetView>
  </sheetViews>
  <sheetFormatPr baseColWidth="10" defaultColWidth="8.83203125" defaultRowHeight="15" x14ac:dyDescent="0.2"/>
  <cols>
    <col min="1" max="1" width="44.33203125" bestFit="1" customWidth="1"/>
    <col min="10" max="10" width="16.33203125" customWidth="1"/>
    <col min="11" max="11" width="12" customWidth="1"/>
    <col min="14" max="14" width="11.5" customWidth="1"/>
    <col min="16" max="16" width="19.6640625" customWidth="1"/>
    <col min="17" max="17" width="16.6640625" customWidth="1"/>
    <col min="19" max="19" width="14.33203125" customWidth="1"/>
    <col min="20" max="20" width="15" customWidth="1"/>
  </cols>
  <sheetData>
    <row r="1" spans="1:21" ht="16" x14ac:dyDescent="0.2">
      <c r="A1" s="10" t="s">
        <v>454</v>
      </c>
    </row>
    <row r="2" spans="1:21" ht="16" x14ac:dyDescent="0.2">
      <c r="A2" s="10"/>
    </row>
    <row r="3" spans="1:21" x14ac:dyDescent="0.2">
      <c r="A3" s="39"/>
      <c r="B3" s="39"/>
      <c r="C3" s="65" t="s">
        <v>433</v>
      </c>
      <c r="D3" s="65"/>
      <c r="E3" s="65"/>
      <c r="F3" s="65"/>
      <c r="G3" s="66" t="s">
        <v>434</v>
      </c>
      <c r="H3" s="65"/>
      <c r="I3" s="65"/>
      <c r="J3" s="65"/>
      <c r="K3" s="39"/>
      <c r="L3" s="39"/>
      <c r="M3" s="39"/>
      <c r="N3" s="39"/>
      <c r="O3" s="39"/>
      <c r="P3" s="50"/>
      <c r="Q3" s="39"/>
      <c r="R3" s="39"/>
      <c r="S3" s="39"/>
      <c r="T3" s="39"/>
    </row>
    <row r="4" spans="1:21" ht="51" x14ac:dyDescent="0.2">
      <c r="A4" s="40" t="s">
        <v>278</v>
      </c>
      <c r="B4" s="51" t="s">
        <v>435</v>
      </c>
      <c r="C4" s="51" t="s">
        <v>433</v>
      </c>
      <c r="D4" s="10" t="s">
        <v>436</v>
      </c>
      <c r="E4" s="10" t="s">
        <v>437</v>
      </c>
      <c r="F4" s="10" t="s">
        <v>438</v>
      </c>
      <c r="G4" s="10" t="s">
        <v>439</v>
      </c>
      <c r="H4" s="51" t="s">
        <v>440</v>
      </c>
      <c r="I4" s="51" t="s">
        <v>441</v>
      </c>
      <c r="J4" s="51" t="s">
        <v>442</v>
      </c>
      <c r="K4" s="51" t="s">
        <v>443</v>
      </c>
      <c r="L4" s="51" t="s">
        <v>444</v>
      </c>
      <c r="M4" s="51" t="s">
        <v>445</v>
      </c>
      <c r="N4" s="51" t="s">
        <v>446</v>
      </c>
      <c r="O4" s="51" t="s">
        <v>447</v>
      </c>
      <c r="P4" s="52" t="s">
        <v>448</v>
      </c>
      <c r="Q4" s="40" t="s">
        <v>449</v>
      </c>
      <c r="R4" s="40" t="s">
        <v>450</v>
      </c>
      <c r="S4" s="40" t="s">
        <v>451</v>
      </c>
      <c r="T4" s="53" t="s">
        <v>452</v>
      </c>
      <c r="U4" s="51" t="s">
        <v>453</v>
      </c>
    </row>
    <row r="5" spans="1:21" ht="16" x14ac:dyDescent="0.2">
      <c r="A5" s="39" t="s">
        <v>279</v>
      </c>
      <c r="B5">
        <v>1</v>
      </c>
      <c r="K5">
        <v>1</v>
      </c>
    </row>
    <row r="6" spans="1:21" ht="16" x14ac:dyDescent="0.2">
      <c r="A6" s="39" t="s">
        <v>280</v>
      </c>
    </row>
    <row r="7" spans="1:21" x14ac:dyDescent="0.2">
      <c r="A7" t="s">
        <v>281</v>
      </c>
    </row>
    <row r="8" spans="1:21" x14ac:dyDescent="0.2">
      <c r="A8" t="s">
        <v>379</v>
      </c>
    </row>
    <row r="9" spans="1:21" x14ac:dyDescent="0.2">
      <c r="A9" t="s">
        <v>282</v>
      </c>
    </row>
    <row r="10" spans="1:21" x14ac:dyDescent="0.2">
      <c r="A10" t="s">
        <v>283</v>
      </c>
    </row>
    <row r="11" spans="1:21" x14ac:dyDescent="0.2">
      <c r="A11" t="s">
        <v>284</v>
      </c>
    </row>
    <row r="12" spans="1:21" x14ac:dyDescent="0.2">
      <c r="A12" t="s">
        <v>285</v>
      </c>
    </row>
    <row r="13" spans="1:21" x14ac:dyDescent="0.2">
      <c r="A13" t="s">
        <v>286</v>
      </c>
    </row>
    <row r="14" spans="1:21" x14ac:dyDescent="0.2">
      <c r="A14" t="s">
        <v>287</v>
      </c>
    </row>
    <row r="15" spans="1:21" x14ac:dyDescent="0.2">
      <c r="A15" t="s">
        <v>288</v>
      </c>
    </row>
    <row r="16" spans="1:21" x14ac:dyDescent="0.2">
      <c r="A16" t="s">
        <v>289</v>
      </c>
    </row>
    <row r="17" spans="1:1" x14ac:dyDescent="0.2">
      <c r="A17" t="s">
        <v>290</v>
      </c>
    </row>
    <row r="18" spans="1:1" x14ac:dyDescent="0.2">
      <c r="A18" t="s">
        <v>291</v>
      </c>
    </row>
    <row r="19" spans="1:1" x14ac:dyDescent="0.2">
      <c r="A19" t="s">
        <v>292</v>
      </c>
    </row>
    <row r="20" spans="1:1" x14ac:dyDescent="0.2">
      <c r="A20" t="s">
        <v>293</v>
      </c>
    </row>
    <row r="21" spans="1:1" x14ac:dyDescent="0.2">
      <c r="A21" t="s">
        <v>294</v>
      </c>
    </row>
    <row r="22" spans="1:1" x14ac:dyDescent="0.2">
      <c r="A22" t="s">
        <v>295</v>
      </c>
    </row>
    <row r="23" spans="1:1" x14ac:dyDescent="0.2">
      <c r="A23" t="s">
        <v>296</v>
      </c>
    </row>
    <row r="24" spans="1:1" x14ac:dyDescent="0.2">
      <c r="A24" t="s">
        <v>297</v>
      </c>
    </row>
    <row r="25" spans="1:1" x14ac:dyDescent="0.2">
      <c r="A25" t="s">
        <v>298</v>
      </c>
    </row>
    <row r="26" spans="1:1" x14ac:dyDescent="0.2">
      <c r="A26" t="s">
        <v>299</v>
      </c>
    </row>
    <row r="27" spans="1:1" x14ac:dyDescent="0.2">
      <c r="A27" t="s">
        <v>300</v>
      </c>
    </row>
    <row r="28" spans="1:1" x14ac:dyDescent="0.2">
      <c r="A28" t="s">
        <v>301</v>
      </c>
    </row>
    <row r="29" spans="1:1" x14ac:dyDescent="0.2">
      <c r="A29" t="s">
        <v>302</v>
      </c>
    </row>
    <row r="30" spans="1:1" x14ac:dyDescent="0.2">
      <c r="A30" t="s">
        <v>303</v>
      </c>
    </row>
    <row r="31" spans="1:1" s="67" customFormat="1" ht="16" x14ac:dyDescent="0.2">
      <c r="A31" s="41" t="s">
        <v>380</v>
      </c>
    </row>
    <row r="34" spans="1:1" ht="17" x14ac:dyDescent="0.2">
      <c r="A34" s="40" t="s">
        <v>306</v>
      </c>
    </row>
    <row r="35" spans="1:1" x14ac:dyDescent="0.2">
      <c r="A35" t="s">
        <v>308</v>
      </c>
    </row>
    <row r="36" spans="1:1" x14ac:dyDescent="0.2">
      <c r="A36" t="s">
        <v>309</v>
      </c>
    </row>
    <row r="37" spans="1:1" x14ac:dyDescent="0.2">
      <c r="A37" t="s">
        <v>310</v>
      </c>
    </row>
    <row r="38" spans="1:1" x14ac:dyDescent="0.2">
      <c r="A38" t="s">
        <v>311</v>
      </c>
    </row>
    <row r="39" spans="1:1" s="67" customFormat="1" ht="16" x14ac:dyDescent="0.2">
      <c r="A39" s="41" t="s">
        <v>381</v>
      </c>
    </row>
    <row r="42" spans="1:1" ht="17" x14ac:dyDescent="0.2">
      <c r="A42" s="40" t="s">
        <v>312</v>
      </c>
    </row>
    <row r="43" spans="1:1" x14ac:dyDescent="0.2">
      <c r="A43" t="s">
        <v>313</v>
      </c>
    </row>
    <row r="44" spans="1:1" x14ac:dyDescent="0.2">
      <c r="A44" t="s">
        <v>382</v>
      </c>
    </row>
    <row r="45" spans="1:1" x14ac:dyDescent="0.2">
      <c r="A45" t="s">
        <v>383</v>
      </c>
    </row>
    <row r="46" spans="1:1" x14ac:dyDescent="0.2">
      <c r="A46" t="s">
        <v>384</v>
      </c>
    </row>
    <row r="47" spans="1:1" x14ac:dyDescent="0.2">
      <c r="A47" s="42" t="s">
        <v>385</v>
      </c>
    </row>
    <row r="48" spans="1:1" x14ac:dyDescent="0.2">
      <c r="A48" t="s">
        <v>386</v>
      </c>
    </row>
    <row r="49" spans="1:1" x14ac:dyDescent="0.2">
      <c r="A49" s="43" t="s">
        <v>387</v>
      </c>
    </row>
    <row r="50" spans="1:1" x14ac:dyDescent="0.2">
      <c r="A50" s="43" t="s">
        <v>388</v>
      </c>
    </row>
    <row r="51" spans="1:1" x14ac:dyDescent="0.2">
      <c r="A51" s="43" t="s">
        <v>389</v>
      </c>
    </row>
    <row r="52" spans="1:1" x14ac:dyDescent="0.2">
      <c r="A52" s="43" t="s">
        <v>390</v>
      </c>
    </row>
    <row r="53" spans="1:1" x14ac:dyDescent="0.2">
      <c r="A53" s="44" t="s">
        <v>391</v>
      </c>
    </row>
    <row r="54" spans="1:1" x14ac:dyDescent="0.2">
      <c r="A54" s="45" t="s">
        <v>392</v>
      </c>
    </row>
    <row r="55" spans="1:1" x14ac:dyDescent="0.2">
      <c r="A55" s="43" t="s">
        <v>387</v>
      </c>
    </row>
    <row r="56" spans="1:1" x14ac:dyDescent="0.2">
      <c r="A56" s="43" t="s">
        <v>388</v>
      </c>
    </row>
    <row r="57" spans="1:1" x14ac:dyDescent="0.2">
      <c r="A57" s="43" t="s">
        <v>389</v>
      </c>
    </row>
    <row r="58" spans="1:1" x14ac:dyDescent="0.2">
      <c r="A58" s="43" t="s">
        <v>390</v>
      </c>
    </row>
    <row r="59" spans="1:1" x14ac:dyDescent="0.2">
      <c r="A59" s="44" t="s">
        <v>329</v>
      </c>
    </row>
    <row r="60" spans="1:1" x14ac:dyDescent="0.2">
      <c r="A60" t="s">
        <v>393</v>
      </c>
    </row>
    <row r="61" spans="1:1" x14ac:dyDescent="0.2">
      <c r="A61" t="s">
        <v>331</v>
      </c>
    </row>
    <row r="62" spans="1:1" x14ac:dyDescent="0.2">
      <c r="A62" t="s">
        <v>332</v>
      </c>
    </row>
    <row r="63" spans="1:1" s="67" customFormat="1" x14ac:dyDescent="0.2">
      <c r="A63" s="67" t="s">
        <v>394</v>
      </c>
    </row>
    <row r="66" spans="1:1" ht="17" x14ac:dyDescent="0.2">
      <c r="A66" s="40" t="s">
        <v>333</v>
      </c>
    </row>
    <row r="67" spans="1:1" ht="16" x14ac:dyDescent="0.2">
      <c r="A67" s="39" t="s">
        <v>334</v>
      </c>
    </row>
    <row r="68" spans="1:1" x14ac:dyDescent="0.2">
      <c r="A68" t="s">
        <v>335</v>
      </c>
    </row>
    <row r="69" spans="1:1" x14ac:dyDescent="0.2">
      <c r="A69" t="s">
        <v>336</v>
      </c>
    </row>
    <row r="70" spans="1:1" x14ac:dyDescent="0.2">
      <c r="A70" t="s">
        <v>337</v>
      </c>
    </row>
    <row r="71" spans="1:1" x14ac:dyDescent="0.2">
      <c r="A71" s="46" t="s">
        <v>395</v>
      </c>
    </row>
    <row r="72" spans="1:1" x14ac:dyDescent="0.2">
      <c r="A72" s="47" t="s">
        <v>396</v>
      </c>
    </row>
    <row r="74" spans="1:1" ht="16" x14ac:dyDescent="0.2">
      <c r="A74" s="10" t="s">
        <v>338</v>
      </c>
    </row>
    <row r="75" spans="1:1" x14ac:dyDescent="0.2">
      <c r="A75" t="s">
        <v>339</v>
      </c>
    </row>
    <row r="76" spans="1:1" x14ac:dyDescent="0.2">
      <c r="A76" t="s">
        <v>340</v>
      </c>
    </row>
    <row r="77" spans="1:1" x14ac:dyDescent="0.2">
      <c r="A77" t="s">
        <v>341</v>
      </c>
    </row>
    <row r="78" spans="1:1" x14ac:dyDescent="0.2">
      <c r="A78" s="46" t="s">
        <v>164</v>
      </c>
    </row>
    <row r="81" spans="1:1" ht="16" x14ac:dyDescent="0.2">
      <c r="A81" s="10" t="s">
        <v>397</v>
      </c>
    </row>
    <row r="82" spans="1:1" x14ac:dyDescent="0.2">
      <c r="A82" t="s">
        <v>398</v>
      </c>
    </row>
    <row r="83" spans="1:1" x14ac:dyDescent="0.2">
      <c r="A83" t="s">
        <v>399</v>
      </c>
    </row>
    <row r="84" spans="1:1" x14ac:dyDescent="0.2">
      <c r="A84" t="s">
        <v>400</v>
      </c>
    </row>
    <row r="85" spans="1:1" ht="16" x14ac:dyDescent="0.2">
      <c r="A85" s="48" t="s">
        <v>394</v>
      </c>
    </row>
    <row r="87" spans="1:1" ht="16" x14ac:dyDescent="0.2">
      <c r="A87" s="10" t="s">
        <v>401</v>
      </c>
    </row>
    <row r="88" spans="1:1" x14ac:dyDescent="0.2">
      <c r="A88" t="s">
        <v>402</v>
      </c>
    </row>
    <row r="89" spans="1:1" x14ac:dyDescent="0.2">
      <c r="A89" t="s">
        <v>403</v>
      </c>
    </row>
    <row r="90" spans="1:1" ht="16" x14ac:dyDescent="0.2">
      <c r="A90" s="48" t="s">
        <v>164</v>
      </c>
    </row>
    <row r="92" spans="1:1" ht="16" x14ac:dyDescent="0.2">
      <c r="A92" s="10" t="s">
        <v>344</v>
      </c>
    </row>
    <row r="93" spans="1:1" x14ac:dyDescent="0.2">
      <c r="A93" t="s">
        <v>344</v>
      </c>
    </row>
    <row r="94" spans="1:1" ht="16" x14ac:dyDescent="0.2">
      <c r="A94" s="48" t="s">
        <v>164</v>
      </c>
    </row>
    <row r="95" spans="1:1" ht="16" x14ac:dyDescent="0.2">
      <c r="A95" s="49"/>
    </row>
    <row r="96" spans="1:1" ht="16" x14ac:dyDescent="0.2">
      <c r="A96" s="48" t="s">
        <v>404</v>
      </c>
    </row>
    <row r="99" spans="1:1" ht="16" x14ac:dyDescent="0.2">
      <c r="A99" s="10" t="s">
        <v>405</v>
      </c>
    </row>
    <row r="102" spans="1:1" ht="16" x14ac:dyDescent="0.2">
      <c r="A102" s="49" t="s">
        <v>406</v>
      </c>
    </row>
    <row r="103" spans="1:1" ht="16" x14ac:dyDescent="0.2">
      <c r="A103" s="10" t="s">
        <v>407</v>
      </c>
    </row>
    <row r="104" spans="1:1" x14ac:dyDescent="0.2">
      <c r="A104" t="s">
        <v>408</v>
      </c>
    </row>
    <row r="105" spans="1:1" x14ac:dyDescent="0.2">
      <c r="A105" t="s">
        <v>409</v>
      </c>
    </row>
    <row r="106" spans="1:1" x14ac:dyDescent="0.2">
      <c r="A106" t="s">
        <v>410</v>
      </c>
    </row>
    <row r="107" spans="1:1" x14ac:dyDescent="0.2">
      <c r="A107" t="s">
        <v>411</v>
      </c>
    </row>
    <row r="108" spans="1:1" x14ac:dyDescent="0.2">
      <c r="A108" t="s">
        <v>412</v>
      </c>
    </row>
    <row r="109" spans="1:1" x14ac:dyDescent="0.2">
      <c r="A109" t="s">
        <v>413</v>
      </c>
    </row>
    <row r="110" spans="1:1" x14ac:dyDescent="0.2">
      <c r="A110" t="s">
        <v>414</v>
      </c>
    </row>
    <row r="111" spans="1:1" x14ac:dyDescent="0.2">
      <c r="A111" t="s">
        <v>415</v>
      </c>
    </row>
    <row r="112" spans="1:1" x14ac:dyDescent="0.2">
      <c r="A112" t="s">
        <v>416</v>
      </c>
    </row>
    <row r="113" spans="1:1" x14ac:dyDescent="0.2">
      <c r="A113" t="s">
        <v>417</v>
      </c>
    </row>
    <row r="114" spans="1:1" x14ac:dyDescent="0.2">
      <c r="A114" t="s">
        <v>418</v>
      </c>
    </row>
    <row r="115" spans="1:1" x14ac:dyDescent="0.2">
      <c r="A115" t="s">
        <v>419</v>
      </c>
    </row>
    <row r="116" spans="1:1" x14ac:dyDescent="0.2">
      <c r="A116" t="s">
        <v>420</v>
      </c>
    </row>
    <row r="117" spans="1:1" x14ac:dyDescent="0.2">
      <c r="A117" t="s">
        <v>421</v>
      </c>
    </row>
    <row r="118" spans="1:1" x14ac:dyDescent="0.2">
      <c r="A118" t="s">
        <v>422</v>
      </c>
    </row>
    <row r="119" spans="1:1" x14ac:dyDescent="0.2">
      <c r="A119" t="s">
        <v>423</v>
      </c>
    </row>
    <row r="120" spans="1:1" x14ac:dyDescent="0.2">
      <c r="A120" t="s">
        <v>424</v>
      </c>
    </row>
    <row r="121" spans="1:1" x14ac:dyDescent="0.2">
      <c r="A121" t="s">
        <v>425</v>
      </c>
    </row>
    <row r="122" spans="1:1" x14ac:dyDescent="0.2">
      <c r="A122" t="s">
        <v>426</v>
      </c>
    </row>
    <row r="123" spans="1:1" x14ac:dyDescent="0.2">
      <c r="A123" t="s">
        <v>427</v>
      </c>
    </row>
    <row r="124" spans="1:1" x14ac:dyDescent="0.2">
      <c r="A124" t="s">
        <v>428</v>
      </c>
    </row>
    <row r="125" spans="1:1" x14ac:dyDescent="0.2">
      <c r="A125" t="s">
        <v>429</v>
      </c>
    </row>
    <row r="126" spans="1:1" x14ac:dyDescent="0.2">
      <c r="A126" t="s">
        <v>430</v>
      </c>
    </row>
    <row r="127" spans="1:1" x14ac:dyDescent="0.2">
      <c r="A127" t="s">
        <v>431</v>
      </c>
    </row>
    <row r="128" spans="1:1" x14ac:dyDescent="0.2">
      <c r="A128" t="s">
        <v>432</v>
      </c>
    </row>
  </sheetData>
  <mergeCells count="2">
    <mergeCell ref="C3:F3"/>
    <mergeCell ref="G3:J3"/>
  </mergeCells>
  <pageMargins left="0.75" right="0.75" top="1" bottom="1" header="0.5" footer="0.5"/>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115"/>
  <sheetViews>
    <sheetView topLeftCell="A81" workbookViewId="0">
      <selection activeCell="A100" sqref="A100:A101"/>
    </sheetView>
  </sheetViews>
  <sheetFormatPr baseColWidth="10" defaultColWidth="8.83203125" defaultRowHeight="15" x14ac:dyDescent="0.2"/>
  <cols>
    <col min="1" max="1" width="23.33203125" bestFit="1" customWidth="1"/>
    <col min="2" max="2" width="14.5" customWidth="1"/>
  </cols>
  <sheetData>
    <row r="1" spans="1:32"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row>
    <row r="2" spans="1:32" x14ac:dyDescent="0.2">
      <c r="A2" t="s">
        <v>32</v>
      </c>
      <c r="B2" t="s">
        <v>33</v>
      </c>
      <c r="C2">
        <v>8.1999999999999993</v>
      </c>
      <c r="D2">
        <v>8</v>
      </c>
      <c r="E2">
        <v>4</v>
      </c>
      <c r="F2">
        <v>0.75</v>
      </c>
      <c r="H2">
        <v>0</v>
      </c>
      <c r="I2">
        <v>0</v>
      </c>
      <c r="J2">
        <v>0</v>
      </c>
      <c r="K2">
        <v>0</v>
      </c>
      <c r="L2">
        <v>0</v>
      </c>
      <c r="M2">
        <v>0</v>
      </c>
      <c r="N2">
        <v>0</v>
      </c>
    </row>
    <row r="3" spans="1:32" x14ac:dyDescent="0.2">
      <c r="A3" t="s">
        <v>32</v>
      </c>
      <c r="B3" t="s">
        <v>34</v>
      </c>
      <c r="C3">
        <v>0</v>
      </c>
      <c r="D3">
        <v>0</v>
      </c>
      <c r="E3">
        <v>0</v>
      </c>
      <c r="F3">
        <v>0</v>
      </c>
      <c r="H3">
        <v>0</v>
      </c>
      <c r="I3">
        <v>0</v>
      </c>
      <c r="J3">
        <v>0</v>
      </c>
      <c r="K3">
        <v>0</v>
      </c>
      <c r="L3">
        <v>0</v>
      </c>
      <c r="M3">
        <v>0</v>
      </c>
      <c r="N3">
        <v>0</v>
      </c>
    </row>
    <row r="4" spans="1:32" x14ac:dyDescent="0.2">
      <c r="A4" t="s">
        <v>32</v>
      </c>
      <c r="B4" t="s">
        <v>35</v>
      </c>
      <c r="C4">
        <v>0</v>
      </c>
      <c r="D4">
        <v>0</v>
      </c>
      <c r="E4">
        <v>0</v>
      </c>
      <c r="F4">
        <v>0</v>
      </c>
      <c r="H4">
        <v>0</v>
      </c>
      <c r="I4">
        <v>0</v>
      </c>
      <c r="J4">
        <v>0</v>
      </c>
      <c r="K4">
        <v>0</v>
      </c>
      <c r="L4">
        <v>0</v>
      </c>
      <c r="M4">
        <v>0</v>
      </c>
      <c r="N4">
        <v>0</v>
      </c>
    </row>
    <row r="5" spans="1:32" x14ac:dyDescent="0.2">
      <c r="A5" t="s">
        <v>32</v>
      </c>
      <c r="B5" t="s">
        <v>36</v>
      </c>
      <c r="C5">
        <v>0</v>
      </c>
      <c r="D5">
        <v>0</v>
      </c>
      <c r="E5">
        <v>0</v>
      </c>
      <c r="F5">
        <v>0</v>
      </c>
      <c r="H5">
        <v>0</v>
      </c>
      <c r="I5">
        <v>0</v>
      </c>
      <c r="J5">
        <v>0</v>
      </c>
      <c r="K5">
        <v>0</v>
      </c>
      <c r="L5">
        <v>0</v>
      </c>
      <c r="M5">
        <v>0</v>
      </c>
      <c r="N5">
        <v>0</v>
      </c>
    </row>
    <row r="6" spans="1:32" x14ac:dyDescent="0.2">
      <c r="A6" t="s">
        <v>37</v>
      </c>
      <c r="B6" t="s">
        <v>38</v>
      </c>
      <c r="C6">
        <v>8.09</v>
      </c>
      <c r="D6">
        <v>8</v>
      </c>
      <c r="E6">
        <v>1</v>
      </c>
      <c r="F6">
        <v>10.5</v>
      </c>
      <c r="H6">
        <v>0</v>
      </c>
      <c r="I6">
        <v>0</v>
      </c>
      <c r="J6">
        <v>0</v>
      </c>
      <c r="K6">
        <v>0</v>
      </c>
      <c r="L6">
        <v>0</v>
      </c>
      <c r="M6">
        <v>0</v>
      </c>
      <c r="N6">
        <v>0</v>
      </c>
    </row>
    <row r="7" spans="1:32" x14ac:dyDescent="0.2">
      <c r="A7" t="s">
        <v>37</v>
      </c>
      <c r="B7" t="s">
        <v>39</v>
      </c>
      <c r="C7">
        <v>8.09</v>
      </c>
      <c r="D7">
        <v>8</v>
      </c>
      <c r="E7">
        <v>1</v>
      </c>
      <c r="F7">
        <v>10.5</v>
      </c>
      <c r="H7">
        <v>0</v>
      </c>
      <c r="I7">
        <v>0</v>
      </c>
      <c r="J7">
        <v>0</v>
      </c>
      <c r="K7">
        <v>0</v>
      </c>
      <c r="L7">
        <v>0</v>
      </c>
      <c r="M7">
        <v>0</v>
      </c>
      <c r="N7">
        <v>0</v>
      </c>
    </row>
    <row r="8" spans="1:32" x14ac:dyDescent="0.2">
      <c r="A8" t="s">
        <v>37</v>
      </c>
      <c r="B8" t="s">
        <v>40</v>
      </c>
      <c r="C8">
        <v>16.190000000000001</v>
      </c>
      <c r="D8">
        <v>16</v>
      </c>
      <c r="E8">
        <v>3</v>
      </c>
      <c r="F8">
        <v>9</v>
      </c>
      <c r="H8">
        <v>0</v>
      </c>
      <c r="I8">
        <v>0</v>
      </c>
      <c r="J8">
        <v>0</v>
      </c>
      <c r="K8">
        <v>0</v>
      </c>
      <c r="L8">
        <v>0</v>
      </c>
      <c r="M8">
        <v>0</v>
      </c>
      <c r="N8">
        <v>0</v>
      </c>
    </row>
    <row r="9" spans="1:32" x14ac:dyDescent="0.2">
      <c r="A9" t="s">
        <v>41</v>
      </c>
      <c r="B9" t="s">
        <v>42</v>
      </c>
      <c r="C9">
        <v>0.51</v>
      </c>
      <c r="D9">
        <v>0</v>
      </c>
      <c r="E9">
        <v>10</v>
      </c>
      <c r="F9">
        <v>2</v>
      </c>
      <c r="H9">
        <v>0</v>
      </c>
      <c r="I9">
        <v>0</v>
      </c>
      <c r="J9">
        <v>0</v>
      </c>
      <c r="K9">
        <v>0</v>
      </c>
      <c r="L9">
        <v>0</v>
      </c>
      <c r="M9">
        <v>0</v>
      </c>
      <c r="N9">
        <v>0</v>
      </c>
    </row>
    <row r="10" spans="1:32" x14ac:dyDescent="0.2">
      <c r="A10" t="s">
        <v>41</v>
      </c>
      <c r="B10" t="s">
        <v>43</v>
      </c>
      <c r="C10">
        <v>0.1</v>
      </c>
      <c r="D10">
        <v>0</v>
      </c>
      <c r="E10">
        <v>2</v>
      </c>
      <c r="F10">
        <v>0</v>
      </c>
      <c r="H10">
        <v>0</v>
      </c>
      <c r="I10">
        <v>0</v>
      </c>
      <c r="J10">
        <v>0</v>
      </c>
      <c r="K10">
        <v>0</v>
      </c>
      <c r="L10">
        <v>0</v>
      </c>
      <c r="M10">
        <v>0</v>
      </c>
      <c r="N10">
        <v>0</v>
      </c>
    </row>
    <row r="11" spans="1:32" x14ac:dyDescent="0.2">
      <c r="A11" t="s">
        <v>41</v>
      </c>
      <c r="B11" t="s">
        <v>44</v>
      </c>
      <c r="C11">
        <v>0.53</v>
      </c>
      <c r="D11">
        <v>0</v>
      </c>
      <c r="E11">
        <v>10</v>
      </c>
      <c r="F11">
        <v>6</v>
      </c>
      <c r="H11">
        <v>0</v>
      </c>
      <c r="I11">
        <v>0</v>
      </c>
      <c r="J11">
        <v>0</v>
      </c>
      <c r="K11">
        <v>0</v>
      </c>
      <c r="L11">
        <v>0</v>
      </c>
      <c r="M11">
        <v>0</v>
      </c>
      <c r="N11">
        <v>0</v>
      </c>
    </row>
    <row r="12" spans="1:32" x14ac:dyDescent="0.2">
      <c r="A12" t="s">
        <v>41</v>
      </c>
      <c r="B12" t="s">
        <v>45</v>
      </c>
      <c r="C12">
        <v>0.1</v>
      </c>
      <c r="D12">
        <v>0</v>
      </c>
      <c r="E12">
        <v>2</v>
      </c>
      <c r="F12">
        <v>0</v>
      </c>
      <c r="H12">
        <v>0</v>
      </c>
      <c r="I12">
        <v>0</v>
      </c>
      <c r="J12">
        <v>0</v>
      </c>
      <c r="K12">
        <v>0</v>
      </c>
      <c r="L12">
        <v>0</v>
      </c>
      <c r="M12">
        <v>0</v>
      </c>
      <c r="N12">
        <v>0</v>
      </c>
    </row>
    <row r="13" spans="1:32" x14ac:dyDescent="0.2">
      <c r="A13" t="s">
        <v>41</v>
      </c>
      <c r="B13" t="s">
        <v>46</v>
      </c>
      <c r="C13">
        <v>0.05</v>
      </c>
      <c r="D13">
        <v>0</v>
      </c>
      <c r="E13">
        <v>1</v>
      </c>
      <c r="F13">
        <v>0</v>
      </c>
      <c r="H13">
        <v>0</v>
      </c>
      <c r="I13">
        <v>0</v>
      </c>
      <c r="J13">
        <v>0</v>
      </c>
      <c r="K13">
        <v>0</v>
      </c>
      <c r="L13">
        <v>0</v>
      </c>
      <c r="M13">
        <v>0</v>
      </c>
      <c r="N13">
        <v>0</v>
      </c>
    </row>
    <row r="14" spans="1:32" x14ac:dyDescent="0.2">
      <c r="A14" t="s">
        <v>41</v>
      </c>
      <c r="B14" t="s">
        <v>47</v>
      </c>
      <c r="C14">
        <v>1.28</v>
      </c>
      <c r="D14">
        <v>1</v>
      </c>
      <c r="E14">
        <v>5</v>
      </c>
      <c r="F14">
        <v>8</v>
      </c>
      <c r="H14">
        <v>0</v>
      </c>
      <c r="I14">
        <v>0</v>
      </c>
      <c r="J14">
        <v>0</v>
      </c>
      <c r="K14">
        <v>0</v>
      </c>
      <c r="L14">
        <v>0</v>
      </c>
      <c r="M14">
        <v>0</v>
      </c>
      <c r="N14">
        <v>0</v>
      </c>
    </row>
    <row r="15" spans="1:32" x14ac:dyDescent="0.2">
      <c r="A15" t="s">
        <v>48</v>
      </c>
      <c r="B15" t="s">
        <v>49</v>
      </c>
      <c r="C15">
        <v>14.9</v>
      </c>
      <c r="D15">
        <v>14</v>
      </c>
      <c r="E15">
        <v>18</v>
      </c>
      <c r="F15">
        <v>1</v>
      </c>
      <c r="H15">
        <v>0</v>
      </c>
      <c r="I15">
        <v>0</v>
      </c>
      <c r="J15">
        <v>0</v>
      </c>
      <c r="K15">
        <v>0</v>
      </c>
      <c r="L15">
        <v>0</v>
      </c>
      <c r="M15">
        <v>0</v>
      </c>
      <c r="N15">
        <v>0</v>
      </c>
    </row>
    <row r="16" spans="1:32" x14ac:dyDescent="0.2">
      <c r="A16" t="s">
        <v>50</v>
      </c>
      <c r="B16" t="s">
        <v>51</v>
      </c>
      <c r="C16">
        <v>0</v>
      </c>
      <c r="D16">
        <v>0</v>
      </c>
      <c r="E16">
        <v>0</v>
      </c>
      <c r="F16">
        <v>0</v>
      </c>
      <c r="H16">
        <v>0</v>
      </c>
      <c r="I16">
        <v>0</v>
      </c>
      <c r="J16">
        <v>0</v>
      </c>
      <c r="K16">
        <v>0</v>
      </c>
      <c r="L16">
        <v>0</v>
      </c>
      <c r="M16">
        <v>0</v>
      </c>
      <c r="N16">
        <v>0</v>
      </c>
    </row>
    <row r="17" spans="1:18" x14ac:dyDescent="0.2">
      <c r="A17" t="s">
        <v>50</v>
      </c>
      <c r="B17" t="s">
        <v>52</v>
      </c>
      <c r="C17">
        <v>0</v>
      </c>
      <c r="D17">
        <v>0</v>
      </c>
      <c r="E17">
        <v>0</v>
      </c>
      <c r="F17">
        <v>0</v>
      </c>
      <c r="H17">
        <v>0</v>
      </c>
      <c r="I17">
        <v>0</v>
      </c>
      <c r="J17">
        <v>0</v>
      </c>
      <c r="K17">
        <v>0</v>
      </c>
      <c r="L17">
        <v>0</v>
      </c>
      <c r="M17">
        <v>0</v>
      </c>
      <c r="N17">
        <v>0</v>
      </c>
    </row>
    <row r="18" spans="1:18" x14ac:dyDescent="0.2">
      <c r="A18" t="s">
        <v>53</v>
      </c>
      <c r="B18" t="s">
        <v>54</v>
      </c>
      <c r="C18">
        <v>0</v>
      </c>
      <c r="D18">
        <v>0</v>
      </c>
      <c r="E18">
        <v>0</v>
      </c>
      <c r="F18">
        <v>0</v>
      </c>
      <c r="H18">
        <v>0</v>
      </c>
      <c r="I18">
        <v>0</v>
      </c>
      <c r="J18">
        <v>0</v>
      </c>
      <c r="K18">
        <v>0</v>
      </c>
      <c r="L18">
        <v>0</v>
      </c>
      <c r="M18">
        <v>0</v>
      </c>
      <c r="N18">
        <v>0</v>
      </c>
    </row>
    <row r="19" spans="1:18" x14ac:dyDescent="0.2">
      <c r="A19" t="s">
        <v>53</v>
      </c>
      <c r="B19" t="s">
        <v>55</v>
      </c>
      <c r="C19">
        <v>0</v>
      </c>
      <c r="D19">
        <v>0</v>
      </c>
      <c r="E19">
        <v>0</v>
      </c>
      <c r="F19">
        <v>0</v>
      </c>
      <c r="H19">
        <v>0</v>
      </c>
      <c r="I19">
        <v>0</v>
      </c>
      <c r="J19">
        <v>0</v>
      </c>
      <c r="K19">
        <v>0</v>
      </c>
      <c r="L19">
        <v>0</v>
      </c>
      <c r="M19">
        <v>0</v>
      </c>
      <c r="N19">
        <v>0</v>
      </c>
    </row>
    <row r="20" spans="1:18" x14ac:dyDescent="0.2">
      <c r="A20" t="s">
        <v>53</v>
      </c>
      <c r="B20" t="s">
        <v>56</v>
      </c>
      <c r="C20">
        <v>0</v>
      </c>
      <c r="D20">
        <v>0</v>
      </c>
      <c r="E20">
        <v>0</v>
      </c>
      <c r="F20">
        <v>0</v>
      </c>
      <c r="H20">
        <v>0</v>
      </c>
      <c r="I20">
        <v>0</v>
      </c>
      <c r="J20">
        <v>0</v>
      </c>
      <c r="K20">
        <v>0</v>
      </c>
      <c r="L20">
        <v>0</v>
      </c>
      <c r="M20">
        <v>0</v>
      </c>
      <c r="N20">
        <v>0</v>
      </c>
    </row>
    <row r="21" spans="1:18" x14ac:dyDescent="0.2">
      <c r="A21" t="s">
        <v>53</v>
      </c>
      <c r="B21" t="s">
        <v>36</v>
      </c>
      <c r="C21">
        <v>0</v>
      </c>
      <c r="D21">
        <v>0</v>
      </c>
      <c r="E21">
        <v>0</v>
      </c>
      <c r="F21">
        <v>0</v>
      </c>
      <c r="H21">
        <v>0</v>
      </c>
      <c r="I21">
        <v>0</v>
      </c>
      <c r="J21">
        <v>0</v>
      </c>
      <c r="K21">
        <v>0</v>
      </c>
      <c r="L21">
        <v>0</v>
      </c>
      <c r="M21">
        <v>0</v>
      </c>
      <c r="N21">
        <v>0</v>
      </c>
    </row>
    <row r="22" spans="1:18" x14ac:dyDescent="0.2">
      <c r="A22" t="s">
        <v>57</v>
      </c>
      <c r="B22" t="s">
        <v>58</v>
      </c>
      <c r="C22">
        <v>3.33</v>
      </c>
      <c r="D22">
        <v>3</v>
      </c>
      <c r="E22">
        <v>6</v>
      </c>
      <c r="F22">
        <v>8</v>
      </c>
      <c r="H22">
        <v>0</v>
      </c>
      <c r="I22">
        <v>0</v>
      </c>
      <c r="J22">
        <v>0</v>
      </c>
      <c r="K22">
        <v>0</v>
      </c>
      <c r="L22">
        <v>0</v>
      </c>
      <c r="M22">
        <v>0</v>
      </c>
      <c r="N22">
        <v>0</v>
      </c>
    </row>
    <row r="23" spans="1:18" x14ac:dyDescent="0.2">
      <c r="A23" t="s">
        <v>57</v>
      </c>
      <c r="B23" t="s">
        <v>59</v>
      </c>
      <c r="C23">
        <v>0.4</v>
      </c>
      <c r="D23">
        <v>0</v>
      </c>
      <c r="E23">
        <v>8</v>
      </c>
      <c r="F23">
        <v>0</v>
      </c>
      <c r="H23">
        <v>0</v>
      </c>
      <c r="I23">
        <v>0</v>
      </c>
      <c r="J23">
        <v>0</v>
      </c>
      <c r="K23">
        <v>0</v>
      </c>
      <c r="L23">
        <v>0</v>
      </c>
      <c r="M23">
        <v>0</v>
      </c>
      <c r="N23">
        <v>0</v>
      </c>
    </row>
    <row r="24" spans="1:18" x14ac:dyDescent="0.2">
      <c r="A24" t="s">
        <v>57</v>
      </c>
      <c r="B24" t="s">
        <v>60</v>
      </c>
      <c r="C24">
        <v>0.25</v>
      </c>
      <c r="D24">
        <v>0</v>
      </c>
      <c r="E24">
        <v>5</v>
      </c>
      <c r="F24">
        <v>0</v>
      </c>
      <c r="H24">
        <v>0</v>
      </c>
      <c r="I24">
        <v>0</v>
      </c>
      <c r="J24">
        <v>0</v>
      </c>
      <c r="K24">
        <v>0</v>
      </c>
      <c r="L24">
        <v>0</v>
      </c>
      <c r="M24">
        <v>0</v>
      </c>
      <c r="N24">
        <v>0</v>
      </c>
    </row>
    <row r="25" spans="1:18" x14ac:dyDescent="0.2">
      <c r="A25" t="s">
        <v>57</v>
      </c>
      <c r="B25" t="s">
        <v>61</v>
      </c>
      <c r="C25">
        <v>0.45</v>
      </c>
      <c r="D25">
        <v>0</v>
      </c>
      <c r="E25">
        <v>9</v>
      </c>
      <c r="F25">
        <v>0</v>
      </c>
      <c r="H25">
        <v>0</v>
      </c>
      <c r="I25">
        <v>0</v>
      </c>
      <c r="J25">
        <v>0</v>
      </c>
      <c r="K25">
        <v>0</v>
      </c>
      <c r="L25">
        <v>0</v>
      </c>
      <c r="M25">
        <v>0</v>
      </c>
      <c r="N25">
        <v>0</v>
      </c>
    </row>
    <row r="26" spans="1:18" x14ac:dyDescent="0.2">
      <c r="A26" t="s">
        <v>57</v>
      </c>
      <c r="B26" t="s">
        <v>62</v>
      </c>
      <c r="C26">
        <v>0.15</v>
      </c>
      <c r="D26">
        <v>0</v>
      </c>
      <c r="E26">
        <v>3</v>
      </c>
      <c r="F26">
        <v>0</v>
      </c>
      <c r="H26">
        <v>0</v>
      </c>
      <c r="I26">
        <v>0</v>
      </c>
      <c r="J26">
        <v>0</v>
      </c>
      <c r="K26">
        <v>0</v>
      </c>
      <c r="L26">
        <v>0</v>
      </c>
      <c r="M26">
        <v>0</v>
      </c>
      <c r="N26">
        <v>0</v>
      </c>
    </row>
    <row r="27" spans="1:18" x14ac:dyDescent="0.2">
      <c r="A27" t="s">
        <v>57</v>
      </c>
      <c r="B27" t="s">
        <v>63</v>
      </c>
      <c r="C27">
        <v>0</v>
      </c>
      <c r="D27">
        <v>0</v>
      </c>
      <c r="E27">
        <v>0</v>
      </c>
      <c r="F27">
        <v>0</v>
      </c>
      <c r="H27">
        <v>0</v>
      </c>
      <c r="I27">
        <v>0</v>
      </c>
      <c r="J27">
        <v>0</v>
      </c>
      <c r="K27">
        <v>0</v>
      </c>
      <c r="L27">
        <v>0</v>
      </c>
      <c r="M27">
        <v>0</v>
      </c>
      <c r="N27">
        <v>0</v>
      </c>
    </row>
    <row r="28" spans="1:18" x14ac:dyDescent="0.2">
      <c r="A28" t="s">
        <v>57</v>
      </c>
      <c r="B28" t="s">
        <v>64</v>
      </c>
      <c r="C28">
        <v>4.58</v>
      </c>
      <c r="D28">
        <v>4</v>
      </c>
      <c r="E28">
        <v>11</v>
      </c>
      <c r="F28">
        <v>8</v>
      </c>
      <c r="H28">
        <v>0</v>
      </c>
      <c r="I28">
        <v>0</v>
      </c>
      <c r="J28">
        <v>0</v>
      </c>
      <c r="K28">
        <v>0</v>
      </c>
      <c r="L28">
        <v>0</v>
      </c>
      <c r="M28">
        <v>0</v>
      </c>
      <c r="N28">
        <v>0</v>
      </c>
    </row>
    <row r="29" spans="1:18" x14ac:dyDescent="0.2">
      <c r="A29" t="s">
        <v>65</v>
      </c>
      <c r="B29" t="s">
        <v>66</v>
      </c>
      <c r="C29">
        <v>2.83</v>
      </c>
      <c r="D29">
        <v>2</v>
      </c>
      <c r="E29">
        <v>16</v>
      </c>
      <c r="F29">
        <v>8</v>
      </c>
      <c r="G29" t="s">
        <v>67</v>
      </c>
      <c r="H29">
        <v>10</v>
      </c>
      <c r="I29">
        <v>0</v>
      </c>
      <c r="J29">
        <v>10</v>
      </c>
      <c r="K29">
        <v>10</v>
      </c>
      <c r="L29">
        <v>0</v>
      </c>
      <c r="M29">
        <v>10</v>
      </c>
      <c r="N29">
        <v>0</v>
      </c>
      <c r="Q29">
        <v>5</v>
      </c>
      <c r="R29">
        <v>8</v>
      </c>
    </row>
    <row r="30" spans="1:18" x14ac:dyDescent="0.2">
      <c r="A30" t="s">
        <v>65</v>
      </c>
      <c r="B30" t="s">
        <v>68</v>
      </c>
      <c r="C30">
        <v>2.67</v>
      </c>
      <c r="D30">
        <v>2</v>
      </c>
      <c r="E30">
        <v>13</v>
      </c>
      <c r="F30">
        <v>4</v>
      </c>
      <c r="G30" t="s">
        <v>67</v>
      </c>
      <c r="H30">
        <v>10</v>
      </c>
      <c r="I30">
        <v>0</v>
      </c>
      <c r="J30">
        <v>10</v>
      </c>
      <c r="K30">
        <v>10</v>
      </c>
      <c r="L30">
        <v>0</v>
      </c>
      <c r="M30">
        <v>10</v>
      </c>
      <c r="N30">
        <v>0</v>
      </c>
      <c r="Q30">
        <v>5</v>
      </c>
      <c r="R30">
        <v>4</v>
      </c>
    </row>
    <row r="31" spans="1:18" x14ac:dyDescent="0.2">
      <c r="A31" t="s">
        <v>65</v>
      </c>
      <c r="B31" t="s">
        <v>69</v>
      </c>
      <c r="C31">
        <v>1.42</v>
      </c>
      <c r="D31">
        <v>1</v>
      </c>
      <c r="E31">
        <v>8</v>
      </c>
      <c r="F31">
        <v>4</v>
      </c>
      <c r="G31" t="s">
        <v>70</v>
      </c>
      <c r="H31">
        <v>8.5</v>
      </c>
      <c r="I31">
        <v>0</v>
      </c>
      <c r="J31">
        <v>8.5</v>
      </c>
      <c r="K31">
        <v>8.5</v>
      </c>
      <c r="L31">
        <v>0</v>
      </c>
      <c r="M31">
        <v>8.5</v>
      </c>
      <c r="N31">
        <v>0</v>
      </c>
      <c r="Q31">
        <v>3</v>
      </c>
      <c r="R31">
        <v>4</v>
      </c>
    </row>
    <row r="32" spans="1:18" x14ac:dyDescent="0.2">
      <c r="A32" t="s">
        <v>65</v>
      </c>
      <c r="B32" t="s">
        <v>71</v>
      </c>
      <c r="C32">
        <v>6.92</v>
      </c>
      <c r="D32">
        <v>6</v>
      </c>
      <c r="E32">
        <v>18</v>
      </c>
      <c r="F32">
        <v>4</v>
      </c>
      <c r="H32">
        <v>0</v>
      </c>
      <c r="I32">
        <v>0</v>
      </c>
      <c r="J32">
        <v>0</v>
      </c>
      <c r="K32">
        <v>0</v>
      </c>
      <c r="L32">
        <v>0</v>
      </c>
      <c r="M32">
        <v>0</v>
      </c>
      <c r="N32">
        <v>0</v>
      </c>
    </row>
    <row r="33" spans="1:14" x14ac:dyDescent="0.2">
      <c r="A33" t="s">
        <v>72</v>
      </c>
      <c r="B33" t="s">
        <v>73</v>
      </c>
      <c r="C33">
        <v>0.03</v>
      </c>
      <c r="D33">
        <v>0</v>
      </c>
      <c r="E33">
        <v>0</v>
      </c>
      <c r="F33">
        <v>6</v>
      </c>
      <c r="H33">
        <v>0</v>
      </c>
      <c r="I33">
        <v>0</v>
      </c>
      <c r="J33">
        <v>0</v>
      </c>
      <c r="K33">
        <v>0</v>
      </c>
      <c r="L33">
        <v>0</v>
      </c>
      <c r="M33">
        <v>0</v>
      </c>
      <c r="N33">
        <v>0</v>
      </c>
    </row>
    <row r="34" spans="1:14" x14ac:dyDescent="0.2">
      <c r="A34" t="s">
        <v>72</v>
      </c>
      <c r="B34" t="s">
        <v>74</v>
      </c>
      <c r="C34">
        <v>0.03</v>
      </c>
      <c r="D34">
        <v>0</v>
      </c>
      <c r="E34">
        <v>0</v>
      </c>
      <c r="F34">
        <v>6</v>
      </c>
      <c r="H34">
        <v>0</v>
      </c>
      <c r="I34">
        <v>0</v>
      </c>
      <c r="J34">
        <v>0</v>
      </c>
      <c r="K34">
        <v>0</v>
      </c>
      <c r="L34">
        <v>0</v>
      </c>
      <c r="M34">
        <v>0</v>
      </c>
      <c r="N34">
        <v>0</v>
      </c>
    </row>
    <row r="35" spans="1:14" x14ac:dyDescent="0.2">
      <c r="A35" t="s">
        <v>72</v>
      </c>
      <c r="B35" t="s">
        <v>75</v>
      </c>
      <c r="C35">
        <v>0.01</v>
      </c>
      <c r="D35">
        <v>0</v>
      </c>
      <c r="E35">
        <v>0</v>
      </c>
      <c r="F35">
        <v>3</v>
      </c>
      <c r="H35">
        <v>0</v>
      </c>
      <c r="I35">
        <v>0</v>
      </c>
      <c r="J35">
        <v>0</v>
      </c>
      <c r="K35">
        <v>0</v>
      </c>
      <c r="L35">
        <v>0</v>
      </c>
      <c r="M35">
        <v>0</v>
      </c>
      <c r="N35">
        <v>0</v>
      </c>
    </row>
    <row r="36" spans="1:14" x14ac:dyDescent="0.2">
      <c r="A36" t="s">
        <v>72</v>
      </c>
      <c r="B36" t="s">
        <v>76</v>
      </c>
      <c r="C36">
        <v>0.01</v>
      </c>
      <c r="D36">
        <v>0</v>
      </c>
      <c r="E36">
        <v>0</v>
      </c>
      <c r="F36">
        <v>3</v>
      </c>
      <c r="H36">
        <v>0</v>
      </c>
      <c r="I36">
        <v>0</v>
      </c>
      <c r="J36">
        <v>0</v>
      </c>
      <c r="K36">
        <v>0</v>
      </c>
      <c r="L36">
        <v>0</v>
      </c>
      <c r="M36">
        <v>0</v>
      </c>
      <c r="N36">
        <v>0</v>
      </c>
    </row>
    <row r="37" spans="1:14" x14ac:dyDescent="0.2">
      <c r="A37" t="s">
        <v>72</v>
      </c>
      <c r="B37" t="s">
        <v>77</v>
      </c>
      <c r="C37">
        <v>0.05</v>
      </c>
      <c r="D37">
        <v>0</v>
      </c>
      <c r="E37">
        <v>1</v>
      </c>
      <c r="F37">
        <v>0</v>
      </c>
      <c r="H37">
        <v>0</v>
      </c>
      <c r="I37">
        <v>0</v>
      </c>
      <c r="J37">
        <v>0</v>
      </c>
      <c r="K37">
        <v>0</v>
      </c>
      <c r="L37">
        <v>0</v>
      </c>
      <c r="M37">
        <v>0</v>
      </c>
      <c r="N37">
        <v>0</v>
      </c>
    </row>
    <row r="38" spans="1:14" x14ac:dyDescent="0.2">
      <c r="A38" t="s">
        <v>72</v>
      </c>
      <c r="B38" t="s">
        <v>78</v>
      </c>
      <c r="C38">
        <v>0.01</v>
      </c>
      <c r="D38">
        <v>0</v>
      </c>
      <c r="E38">
        <v>0</v>
      </c>
      <c r="F38">
        <v>3</v>
      </c>
      <c r="H38">
        <v>0</v>
      </c>
      <c r="I38">
        <v>0</v>
      </c>
      <c r="J38">
        <v>0</v>
      </c>
      <c r="K38">
        <v>0</v>
      </c>
      <c r="L38">
        <v>0</v>
      </c>
      <c r="M38">
        <v>0</v>
      </c>
      <c r="N38">
        <v>0</v>
      </c>
    </row>
    <row r="39" spans="1:14" x14ac:dyDescent="0.2">
      <c r="A39" t="s">
        <v>72</v>
      </c>
      <c r="B39" t="s">
        <v>79</v>
      </c>
      <c r="C39">
        <v>0.01</v>
      </c>
      <c r="D39">
        <v>0</v>
      </c>
      <c r="E39">
        <v>0</v>
      </c>
      <c r="F39">
        <v>3</v>
      </c>
      <c r="H39">
        <v>0</v>
      </c>
      <c r="I39">
        <v>0</v>
      </c>
      <c r="J39">
        <v>0</v>
      </c>
      <c r="K39">
        <v>0</v>
      </c>
      <c r="L39">
        <v>0</v>
      </c>
      <c r="M39">
        <v>0</v>
      </c>
      <c r="N39">
        <v>0</v>
      </c>
    </row>
    <row r="40" spans="1:14" x14ac:dyDescent="0.2">
      <c r="A40" t="s">
        <v>72</v>
      </c>
      <c r="B40" t="s">
        <v>80</v>
      </c>
      <c r="C40">
        <v>0.01</v>
      </c>
      <c r="D40">
        <v>0</v>
      </c>
      <c r="E40">
        <v>0</v>
      </c>
      <c r="F40">
        <v>3</v>
      </c>
      <c r="H40">
        <v>0</v>
      </c>
      <c r="I40">
        <v>0</v>
      </c>
      <c r="J40">
        <v>0</v>
      </c>
      <c r="K40">
        <v>0</v>
      </c>
      <c r="L40">
        <v>0</v>
      </c>
      <c r="M40">
        <v>0</v>
      </c>
      <c r="N40">
        <v>0</v>
      </c>
    </row>
    <row r="41" spans="1:14" x14ac:dyDescent="0.2">
      <c r="A41" t="s">
        <v>72</v>
      </c>
      <c r="B41" t="s">
        <v>81</v>
      </c>
      <c r="C41">
        <v>0.01</v>
      </c>
      <c r="D41">
        <v>0</v>
      </c>
      <c r="E41">
        <v>0</v>
      </c>
      <c r="F41">
        <v>3</v>
      </c>
      <c r="H41">
        <v>0</v>
      </c>
      <c r="I41">
        <v>0</v>
      </c>
      <c r="J41">
        <v>0</v>
      </c>
      <c r="K41">
        <v>0</v>
      </c>
      <c r="L41">
        <v>0</v>
      </c>
      <c r="M41">
        <v>0</v>
      </c>
      <c r="N41">
        <v>0</v>
      </c>
    </row>
    <row r="42" spans="1:14" x14ac:dyDescent="0.2">
      <c r="A42" t="s">
        <v>72</v>
      </c>
      <c r="B42" t="s">
        <v>82</v>
      </c>
      <c r="C42">
        <v>0.01</v>
      </c>
      <c r="D42">
        <v>0</v>
      </c>
      <c r="E42">
        <v>0</v>
      </c>
      <c r="F42">
        <v>3</v>
      </c>
      <c r="H42">
        <v>0</v>
      </c>
      <c r="I42">
        <v>0</v>
      </c>
      <c r="J42">
        <v>0</v>
      </c>
      <c r="K42">
        <v>0</v>
      </c>
      <c r="L42">
        <v>0</v>
      </c>
      <c r="M42">
        <v>0</v>
      </c>
      <c r="N42">
        <v>0</v>
      </c>
    </row>
    <row r="43" spans="1:14" x14ac:dyDescent="0.2">
      <c r="A43" t="s">
        <v>72</v>
      </c>
      <c r="B43" t="s">
        <v>83</v>
      </c>
      <c r="C43">
        <v>0.1</v>
      </c>
      <c r="D43">
        <v>0</v>
      </c>
      <c r="E43">
        <v>2</v>
      </c>
      <c r="F43">
        <v>0</v>
      </c>
      <c r="H43">
        <v>0</v>
      </c>
      <c r="I43">
        <v>0</v>
      </c>
      <c r="J43">
        <v>0</v>
      </c>
      <c r="K43">
        <v>0</v>
      </c>
      <c r="L43">
        <v>0</v>
      </c>
      <c r="M43">
        <v>0</v>
      </c>
      <c r="N43">
        <v>0</v>
      </c>
    </row>
    <row r="44" spans="1:14" x14ac:dyDescent="0.2">
      <c r="A44" t="s">
        <v>72</v>
      </c>
      <c r="B44" t="s">
        <v>84</v>
      </c>
      <c r="C44">
        <v>0.01</v>
      </c>
      <c r="D44">
        <v>0</v>
      </c>
      <c r="E44">
        <v>0</v>
      </c>
      <c r="F44">
        <v>3</v>
      </c>
      <c r="H44">
        <v>0</v>
      </c>
      <c r="I44">
        <v>0</v>
      </c>
      <c r="J44">
        <v>0</v>
      </c>
      <c r="K44">
        <v>0</v>
      </c>
      <c r="L44">
        <v>0</v>
      </c>
      <c r="M44">
        <v>0</v>
      </c>
      <c r="N44">
        <v>0</v>
      </c>
    </row>
    <row r="45" spans="1:14" x14ac:dyDescent="0.2">
      <c r="A45" t="s">
        <v>72</v>
      </c>
      <c r="B45" t="s">
        <v>85</v>
      </c>
      <c r="C45">
        <v>0.01</v>
      </c>
      <c r="D45">
        <v>0</v>
      </c>
      <c r="E45">
        <v>0</v>
      </c>
      <c r="F45">
        <v>3</v>
      </c>
      <c r="H45">
        <v>0</v>
      </c>
      <c r="I45">
        <v>0</v>
      </c>
      <c r="J45">
        <v>0</v>
      </c>
      <c r="K45">
        <v>0</v>
      </c>
      <c r="L45">
        <v>0</v>
      </c>
      <c r="M45">
        <v>0</v>
      </c>
      <c r="N45">
        <v>0</v>
      </c>
    </row>
    <row r="46" spans="1:14" x14ac:dyDescent="0.2">
      <c r="A46" t="s">
        <v>72</v>
      </c>
      <c r="B46" t="s">
        <v>86</v>
      </c>
      <c r="C46">
        <v>0.01</v>
      </c>
      <c r="D46">
        <v>0</v>
      </c>
      <c r="E46">
        <v>0</v>
      </c>
      <c r="F46">
        <v>3</v>
      </c>
      <c r="H46">
        <v>0</v>
      </c>
      <c r="I46">
        <v>0</v>
      </c>
      <c r="J46">
        <v>0</v>
      </c>
      <c r="K46">
        <v>0</v>
      </c>
      <c r="L46">
        <v>0</v>
      </c>
      <c r="M46">
        <v>0</v>
      </c>
      <c r="N46">
        <v>0</v>
      </c>
    </row>
    <row r="47" spans="1:14" x14ac:dyDescent="0.2">
      <c r="A47" t="s">
        <v>72</v>
      </c>
      <c r="B47" t="s">
        <v>87</v>
      </c>
      <c r="C47">
        <v>0.03</v>
      </c>
      <c r="D47">
        <v>0</v>
      </c>
      <c r="E47">
        <v>0</v>
      </c>
      <c r="F47">
        <v>6</v>
      </c>
      <c r="H47">
        <v>0</v>
      </c>
      <c r="I47">
        <v>0</v>
      </c>
      <c r="J47">
        <v>0</v>
      </c>
      <c r="K47">
        <v>0</v>
      </c>
      <c r="L47">
        <v>0</v>
      </c>
      <c r="M47">
        <v>0</v>
      </c>
      <c r="N47">
        <v>0</v>
      </c>
    </row>
    <row r="48" spans="1:14" x14ac:dyDescent="0.2">
      <c r="A48" t="s">
        <v>72</v>
      </c>
      <c r="B48" t="s">
        <v>88</v>
      </c>
      <c r="C48">
        <v>0.01</v>
      </c>
      <c r="D48">
        <v>0</v>
      </c>
      <c r="E48">
        <v>0</v>
      </c>
      <c r="F48">
        <v>3</v>
      </c>
      <c r="H48">
        <v>0</v>
      </c>
      <c r="I48">
        <v>0</v>
      </c>
      <c r="J48">
        <v>0</v>
      </c>
      <c r="K48">
        <v>0</v>
      </c>
      <c r="L48">
        <v>0</v>
      </c>
      <c r="M48">
        <v>0</v>
      </c>
      <c r="N48">
        <v>0</v>
      </c>
    </row>
    <row r="49" spans="1:14" x14ac:dyDescent="0.2">
      <c r="A49" t="s">
        <v>72</v>
      </c>
      <c r="B49" t="s">
        <v>89</v>
      </c>
      <c r="C49">
        <v>0.01</v>
      </c>
      <c r="D49">
        <v>0</v>
      </c>
      <c r="E49">
        <v>0</v>
      </c>
      <c r="F49">
        <v>3</v>
      </c>
      <c r="H49">
        <v>0</v>
      </c>
      <c r="I49">
        <v>0</v>
      </c>
      <c r="J49">
        <v>0</v>
      </c>
      <c r="K49">
        <v>0</v>
      </c>
      <c r="L49">
        <v>0</v>
      </c>
      <c r="M49">
        <v>0</v>
      </c>
      <c r="N49">
        <v>0</v>
      </c>
    </row>
    <row r="50" spans="1:14" x14ac:dyDescent="0.2">
      <c r="A50" t="s">
        <v>72</v>
      </c>
      <c r="B50" t="s">
        <v>90</v>
      </c>
      <c r="C50">
        <v>0.01</v>
      </c>
      <c r="D50">
        <v>0</v>
      </c>
      <c r="E50">
        <v>0</v>
      </c>
      <c r="F50">
        <v>3</v>
      </c>
      <c r="H50">
        <v>0</v>
      </c>
      <c r="I50">
        <v>0</v>
      </c>
      <c r="J50">
        <v>0</v>
      </c>
      <c r="K50">
        <v>0</v>
      </c>
      <c r="L50">
        <v>0</v>
      </c>
      <c r="M50">
        <v>0</v>
      </c>
      <c r="N50">
        <v>0</v>
      </c>
    </row>
    <row r="51" spans="1:14" x14ac:dyDescent="0.2">
      <c r="A51" t="s">
        <v>72</v>
      </c>
      <c r="B51" t="s">
        <v>91</v>
      </c>
      <c r="C51">
        <v>0.39</v>
      </c>
      <c r="D51">
        <v>0</v>
      </c>
      <c r="E51">
        <v>7</v>
      </c>
      <c r="F51">
        <v>9</v>
      </c>
      <c r="H51">
        <v>0</v>
      </c>
      <c r="I51">
        <v>0</v>
      </c>
      <c r="J51">
        <v>0</v>
      </c>
      <c r="K51">
        <v>0</v>
      </c>
      <c r="L51">
        <v>0</v>
      </c>
      <c r="M51">
        <v>0</v>
      </c>
      <c r="N51">
        <v>0</v>
      </c>
    </row>
    <row r="52" spans="1:14" x14ac:dyDescent="0.2">
      <c r="A52" t="s">
        <v>92</v>
      </c>
      <c r="B52" t="s">
        <v>93</v>
      </c>
      <c r="C52">
        <v>1</v>
      </c>
      <c r="D52">
        <v>1</v>
      </c>
      <c r="E52">
        <v>0</v>
      </c>
      <c r="F52">
        <v>0</v>
      </c>
      <c r="H52">
        <v>0</v>
      </c>
      <c r="I52">
        <v>0</v>
      </c>
      <c r="J52">
        <v>0</v>
      </c>
      <c r="K52">
        <v>0</v>
      </c>
      <c r="L52">
        <v>0</v>
      </c>
      <c r="M52">
        <v>0</v>
      </c>
      <c r="N52">
        <v>0</v>
      </c>
    </row>
    <row r="53" spans="1:14" x14ac:dyDescent="0.2">
      <c r="A53" t="s">
        <v>92</v>
      </c>
      <c r="B53" t="s">
        <v>94</v>
      </c>
      <c r="C53">
        <v>1</v>
      </c>
      <c r="D53">
        <v>1</v>
      </c>
      <c r="E53">
        <v>0</v>
      </c>
      <c r="F53">
        <v>0</v>
      </c>
      <c r="H53">
        <v>0</v>
      </c>
      <c r="I53">
        <v>0</v>
      </c>
      <c r="J53">
        <v>0</v>
      </c>
      <c r="K53">
        <v>0</v>
      </c>
      <c r="L53">
        <v>0</v>
      </c>
      <c r="M53">
        <v>0</v>
      </c>
      <c r="N53">
        <v>0</v>
      </c>
    </row>
    <row r="54" spans="1:14" x14ac:dyDescent="0.2">
      <c r="A54" t="s">
        <v>95</v>
      </c>
      <c r="B54" t="s">
        <v>96</v>
      </c>
      <c r="C54">
        <v>0.05</v>
      </c>
      <c r="D54">
        <v>0</v>
      </c>
      <c r="E54">
        <v>1</v>
      </c>
      <c r="F54">
        <v>0</v>
      </c>
      <c r="H54">
        <v>0</v>
      </c>
      <c r="I54">
        <v>0</v>
      </c>
      <c r="J54">
        <v>0</v>
      </c>
      <c r="K54">
        <v>0</v>
      </c>
      <c r="L54">
        <v>0</v>
      </c>
      <c r="M54">
        <v>0</v>
      </c>
      <c r="N54">
        <v>0</v>
      </c>
    </row>
    <row r="55" spans="1:14" x14ac:dyDescent="0.2">
      <c r="A55" t="s">
        <v>95</v>
      </c>
      <c r="B55" t="s">
        <v>97</v>
      </c>
      <c r="C55">
        <v>0.05</v>
      </c>
      <c r="D55">
        <v>0</v>
      </c>
      <c r="E55">
        <v>1</v>
      </c>
      <c r="F55">
        <v>0</v>
      </c>
      <c r="H55">
        <v>0</v>
      </c>
      <c r="I55">
        <v>0</v>
      </c>
      <c r="J55">
        <v>0</v>
      </c>
      <c r="K55">
        <v>0</v>
      </c>
      <c r="L55">
        <v>0</v>
      </c>
      <c r="M55">
        <v>0</v>
      </c>
      <c r="N55">
        <v>0</v>
      </c>
    </row>
    <row r="56" spans="1:14" x14ac:dyDescent="0.2">
      <c r="A56" t="s">
        <v>95</v>
      </c>
      <c r="B56" t="s">
        <v>98</v>
      </c>
      <c r="C56">
        <v>0.1</v>
      </c>
      <c r="D56">
        <v>0</v>
      </c>
      <c r="E56">
        <v>2</v>
      </c>
      <c r="F56">
        <v>0</v>
      </c>
      <c r="H56">
        <v>0</v>
      </c>
      <c r="I56">
        <v>0</v>
      </c>
      <c r="J56">
        <v>0</v>
      </c>
      <c r="K56">
        <v>0</v>
      </c>
      <c r="L56">
        <v>0</v>
      </c>
      <c r="M56">
        <v>0</v>
      </c>
      <c r="N56">
        <v>0</v>
      </c>
    </row>
    <row r="57" spans="1:14" x14ac:dyDescent="0.2">
      <c r="A57" t="s">
        <v>95</v>
      </c>
      <c r="B57" t="s">
        <v>99</v>
      </c>
      <c r="C57">
        <v>0.25</v>
      </c>
      <c r="D57">
        <v>0</v>
      </c>
      <c r="E57">
        <v>5</v>
      </c>
      <c r="F57">
        <v>0</v>
      </c>
      <c r="H57">
        <v>0</v>
      </c>
      <c r="I57">
        <v>0</v>
      </c>
      <c r="J57">
        <v>0</v>
      </c>
      <c r="K57">
        <v>0</v>
      </c>
      <c r="L57">
        <v>0</v>
      </c>
      <c r="M57">
        <v>0</v>
      </c>
      <c r="N57">
        <v>0</v>
      </c>
    </row>
    <row r="58" spans="1:14" x14ac:dyDescent="0.2">
      <c r="A58" t="s">
        <v>95</v>
      </c>
      <c r="B58" t="s">
        <v>100</v>
      </c>
      <c r="C58">
        <v>0.03</v>
      </c>
      <c r="D58">
        <v>0</v>
      </c>
      <c r="E58">
        <v>0</v>
      </c>
      <c r="F58">
        <v>6</v>
      </c>
      <c r="H58">
        <v>0</v>
      </c>
      <c r="I58">
        <v>0</v>
      </c>
      <c r="J58">
        <v>0</v>
      </c>
      <c r="K58">
        <v>0</v>
      </c>
      <c r="L58">
        <v>0</v>
      </c>
      <c r="M58">
        <v>0</v>
      </c>
      <c r="N58">
        <v>0</v>
      </c>
    </row>
    <row r="59" spans="1:14" x14ac:dyDescent="0.2">
      <c r="A59" t="s">
        <v>95</v>
      </c>
      <c r="B59" t="s">
        <v>101</v>
      </c>
      <c r="C59">
        <v>0.03</v>
      </c>
      <c r="D59">
        <v>0</v>
      </c>
      <c r="E59">
        <v>0</v>
      </c>
      <c r="F59">
        <v>8</v>
      </c>
      <c r="H59">
        <v>0</v>
      </c>
      <c r="I59">
        <v>0</v>
      </c>
      <c r="J59">
        <v>0</v>
      </c>
      <c r="K59">
        <v>0</v>
      </c>
      <c r="L59">
        <v>0</v>
      </c>
      <c r="M59">
        <v>0</v>
      </c>
      <c r="N59">
        <v>0</v>
      </c>
    </row>
    <row r="60" spans="1:14" x14ac:dyDescent="0.2">
      <c r="A60" t="s">
        <v>95</v>
      </c>
      <c r="B60" t="s">
        <v>102</v>
      </c>
      <c r="C60">
        <v>0.2</v>
      </c>
      <c r="D60">
        <v>0</v>
      </c>
      <c r="E60">
        <v>4</v>
      </c>
      <c r="F60">
        <v>0</v>
      </c>
      <c r="H60">
        <v>0</v>
      </c>
      <c r="I60">
        <v>0</v>
      </c>
      <c r="J60">
        <v>0</v>
      </c>
      <c r="K60">
        <v>0</v>
      </c>
      <c r="L60">
        <v>0</v>
      </c>
      <c r="M60">
        <v>0</v>
      </c>
      <c r="N60">
        <v>0</v>
      </c>
    </row>
    <row r="61" spans="1:14" x14ac:dyDescent="0.2">
      <c r="A61" t="s">
        <v>95</v>
      </c>
      <c r="B61" t="s">
        <v>103</v>
      </c>
      <c r="C61">
        <v>7.0000000000000007E-2</v>
      </c>
      <c r="D61">
        <v>0</v>
      </c>
      <c r="E61">
        <v>1</v>
      </c>
      <c r="F61">
        <v>4</v>
      </c>
      <c r="H61">
        <v>0</v>
      </c>
      <c r="I61">
        <v>0</v>
      </c>
      <c r="J61">
        <v>0</v>
      </c>
      <c r="K61">
        <v>0</v>
      </c>
      <c r="L61">
        <v>0</v>
      </c>
      <c r="M61">
        <v>0</v>
      </c>
      <c r="N61">
        <v>0</v>
      </c>
    </row>
    <row r="62" spans="1:14" x14ac:dyDescent="0.2">
      <c r="A62" t="s">
        <v>95</v>
      </c>
      <c r="B62" t="s">
        <v>104</v>
      </c>
      <c r="C62">
        <v>0.23</v>
      </c>
      <c r="D62">
        <v>0</v>
      </c>
      <c r="E62">
        <v>4</v>
      </c>
      <c r="F62">
        <v>8</v>
      </c>
      <c r="H62">
        <v>224</v>
      </c>
      <c r="I62">
        <v>0</v>
      </c>
      <c r="J62">
        <v>224</v>
      </c>
      <c r="K62">
        <v>224</v>
      </c>
      <c r="L62">
        <v>0</v>
      </c>
      <c r="M62">
        <v>224</v>
      </c>
      <c r="N62">
        <v>0</v>
      </c>
    </row>
    <row r="63" spans="1:14" x14ac:dyDescent="0.2">
      <c r="A63" t="s">
        <v>95</v>
      </c>
      <c r="B63" t="s">
        <v>105</v>
      </c>
      <c r="C63">
        <v>0.4</v>
      </c>
      <c r="D63">
        <v>0</v>
      </c>
      <c r="E63">
        <v>8</v>
      </c>
      <c r="F63">
        <v>0</v>
      </c>
      <c r="H63">
        <v>0</v>
      </c>
      <c r="I63">
        <v>0</v>
      </c>
      <c r="J63">
        <v>0</v>
      </c>
      <c r="K63">
        <v>0</v>
      </c>
      <c r="L63">
        <v>0</v>
      </c>
      <c r="M63">
        <v>0</v>
      </c>
      <c r="N63">
        <v>0</v>
      </c>
    </row>
    <row r="64" spans="1:14" x14ac:dyDescent="0.2">
      <c r="A64" t="s">
        <v>95</v>
      </c>
      <c r="B64" t="s">
        <v>106</v>
      </c>
      <c r="C64">
        <v>0.3</v>
      </c>
      <c r="D64">
        <v>0</v>
      </c>
      <c r="E64">
        <v>6</v>
      </c>
      <c r="F64">
        <v>0</v>
      </c>
      <c r="H64">
        <v>0</v>
      </c>
      <c r="I64">
        <v>0</v>
      </c>
      <c r="J64">
        <v>0</v>
      </c>
      <c r="K64">
        <v>0</v>
      </c>
      <c r="L64">
        <v>0</v>
      </c>
      <c r="M64">
        <v>0</v>
      </c>
      <c r="N64">
        <v>0</v>
      </c>
    </row>
    <row r="65" spans="1:18" x14ac:dyDescent="0.2">
      <c r="A65" t="s">
        <v>95</v>
      </c>
      <c r="B65" t="s">
        <v>107</v>
      </c>
      <c r="C65">
        <v>0.82</v>
      </c>
      <c r="D65">
        <v>0</v>
      </c>
      <c r="E65">
        <v>16</v>
      </c>
      <c r="F65">
        <v>4</v>
      </c>
      <c r="G65" t="s">
        <v>108</v>
      </c>
      <c r="H65">
        <v>12</v>
      </c>
      <c r="I65">
        <v>0</v>
      </c>
      <c r="J65">
        <v>12</v>
      </c>
      <c r="K65">
        <v>12</v>
      </c>
      <c r="L65">
        <v>0</v>
      </c>
      <c r="M65">
        <v>12</v>
      </c>
      <c r="N65">
        <v>0</v>
      </c>
      <c r="Q65">
        <v>1</v>
      </c>
      <c r="R65">
        <v>4</v>
      </c>
    </row>
    <row r="66" spans="1:18" x14ac:dyDescent="0.2">
      <c r="A66" t="s">
        <v>95</v>
      </c>
      <c r="B66" t="s">
        <v>109</v>
      </c>
      <c r="C66">
        <v>0</v>
      </c>
      <c r="D66">
        <v>0</v>
      </c>
      <c r="E66">
        <v>0</v>
      </c>
      <c r="F66">
        <v>0</v>
      </c>
      <c r="H66">
        <v>0</v>
      </c>
      <c r="I66">
        <v>0</v>
      </c>
      <c r="J66">
        <v>0</v>
      </c>
      <c r="K66">
        <v>0</v>
      </c>
      <c r="L66">
        <v>0</v>
      </c>
      <c r="M66">
        <v>0</v>
      </c>
      <c r="N66">
        <v>0</v>
      </c>
    </row>
    <row r="67" spans="1:18" x14ac:dyDescent="0.2">
      <c r="A67" t="s">
        <v>95</v>
      </c>
      <c r="B67" t="s">
        <v>110</v>
      </c>
      <c r="C67">
        <v>0.81</v>
      </c>
      <c r="D67">
        <v>0</v>
      </c>
      <c r="E67">
        <v>16</v>
      </c>
      <c r="F67">
        <v>1.5</v>
      </c>
      <c r="G67" t="s">
        <v>108</v>
      </c>
      <c r="H67">
        <v>10</v>
      </c>
      <c r="I67">
        <v>6</v>
      </c>
      <c r="J67">
        <v>10.75</v>
      </c>
      <c r="K67">
        <v>10.75</v>
      </c>
      <c r="L67">
        <v>0</v>
      </c>
      <c r="M67">
        <v>10</v>
      </c>
      <c r="N67">
        <v>6</v>
      </c>
      <c r="Q67">
        <v>1</v>
      </c>
      <c r="R67">
        <v>6</v>
      </c>
    </row>
    <row r="68" spans="1:18" x14ac:dyDescent="0.2">
      <c r="A68" t="s">
        <v>95</v>
      </c>
      <c r="B68" t="s">
        <v>111</v>
      </c>
      <c r="C68">
        <v>3.62</v>
      </c>
      <c r="D68">
        <v>3</v>
      </c>
      <c r="E68">
        <v>12</v>
      </c>
      <c r="F68">
        <v>5.5</v>
      </c>
      <c r="H68">
        <v>0</v>
      </c>
      <c r="I68">
        <v>0</v>
      </c>
      <c r="J68">
        <v>0</v>
      </c>
      <c r="K68">
        <v>0</v>
      </c>
      <c r="L68">
        <v>0</v>
      </c>
      <c r="M68">
        <v>0</v>
      </c>
      <c r="N68">
        <v>0</v>
      </c>
    </row>
    <row r="69" spans="1:18" x14ac:dyDescent="0.2">
      <c r="A69" t="s">
        <v>112</v>
      </c>
      <c r="B69" t="s">
        <v>113</v>
      </c>
      <c r="C69">
        <v>0.83</v>
      </c>
      <c r="D69">
        <v>0</v>
      </c>
      <c r="E69">
        <v>16</v>
      </c>
      <c r="F69">
        <v>6</v>
      </c>
      <c r="H69">
        <v>0</v>
      </c>
      <c r="I69">
        <v>0</v>
      </c>
      <c r="J69">
        <v>0</v>
      </c>
      <c r="K69">
        <v>0</v>
      </c>
      <c r="L69">
        <v>0</v>
      </c>
      <c r="M69">
        <v>0</v>
      </c>
      <c r="N69">
        <v>0</v>
      </c>
    </row>
    <row r="70" spans="1:18" x14ac:dyDescent="0.2">
      <c r="A70" t="s">
        <v>112</v>
      </c>
      <c r="B70" t="s">
        <v>109</v>
      </c>
      <c r="C70">
        <v>0</v>
      </c>
      <c r="D70">
        <v>0</v>
      </c>
      <c r="E70">
        <v>0</v>
      </c>
      <c r="F70">
        <v>0</v>
      </c>
      <c r="H70">
        <v>0</v>
      </c>
      <c r="I70">
        <v>0</v>
      </c>
      <c r="J70">
        <v>0</v>
      </c>
      <c r="K70">
        <v>0</v>
      </c>
      <c r="L70">
        <v>0</v>
      </c>
      <c r="M70">
        <v>0</v>
      </c>
      <c r="N70">
        <v>0</v>
      </c>
    </row>
    <row r="71" spans="1:18" x14ac:dyDescent="0.2">
      <c r="A71" t="s">
        <v>112</v>
      </c>
      <c r="B71" t="s">
        <v>114</v>
      </c>
      <c r="C71">
        <v>0.08</v>
      </c>
      <c r="D71">
        <v>0</v>
      </c>
      <c r="E71">
        <v>1</v>
      </c>
      <c r="F71">
        <v>6</v>
      </c>
      <c r="H71">
        <v>0</v>
      </c>
      <c r="I71">
        <v>0</v>
      </c>
      <c r="J71">
        <v>0</v>
      </c>
      <c r="K71">
        <v>0</v>
      </c>
      <c r="L71">
        <v>0</v>
      </c>
      <c r="M71">
        <v>0</v>
      </c>
      <c r="N71">
        <v>0</v>
      </c>
    </row>
    <row r="72" spans="1:18" x14ac:dyDescent="0.2">
      <c r="A72" t="s">
        <v>112</v>
      </c>
      <c r="B72" t="s">
        <v>115</v>
      </c>
      <c r="C72">
        <v>0.43</v>
      </c>
      <c r="D72">
        <v>0</v>
      </c>
      <c r="E72">
        <v>8</v>
      </c>
      <c r="F72">
        <v>6</v>
      </c>
      <c r="H72">
        <v>0</v>
      </c>
      <c r="I72">
        <v>0</v>
      </c>
      <c r="J72">
        <v>0</v>
      </c>
      <c r="K72">
        <v>0</v>
      </c>
      <c r="L72">
        <v>0</v>
      </c>
      <c r="M72">
        <v>0</v>
      </c>
      <c r="N72">
        <v>0</v>
      </c>
    </row>
    <row r="73" spans="1:18" x14ac:dyDescent="0.2">
      <c r="A73" t="s">
        <v>112</v>
      </c>
      <c r="B73" t="s">
        <v>116</v>
      </c>
      <c r="C73">
        <v>0.8</v>
      </c>
      <c r="D73">
        <v>0</v>
      </c>
      <c r="E73">
        <v>16</v>
      </c>
      <c r="F73">
        <v>0</v>
      </c>
      <c r="H73">
        <v>0</v>
      </c>
      <c r="I73">
        <v>0</v>
      </c>
      <c r="J73">
        <v>0</v>
      </c>
      <c r="K73">
        <v>0</v>
      </c>
      <c r="L73">
        <v>0</v>
      </c>
      <c r="M73">
        <v>0</v>
      </c>
      <c r="N73">
        <v>0</v>
      </c>
    </row>
    <row r="74" spans="1:18" x14ac:dyDescent="0.2">
      <c r="A74" t="s">
        <v>112</v>
      </c>
      <c r="B74" t="s">
        <v>117</v>
      </c>
      <c r="C74">
        <v>2.12</v>
      </c>
      <c r="D74">
        <v>2</v>
      </c>
      <c r="E74">
        <v>2</v>
      </c>
      <c r="F74">
        <v>6</v>
      </c>
      <c r="H74">
        <v>0</v>
      </c>
      <c r="I74">
        <v>0</v>
      </c>
      <c r="J74">
        <v>0</v>
      </c>
      <c r="K74">
        <v>0</v>
      </c>
      <c r="L74">
        <v>0</v>
      </c>
      <c r="M74">
        <v>0</v>
      </c>
      <c r="N74">
        <v>0</v>
      </c>
    </row>
    <row r="75" spans="1:18" x14ac:dyDescent="0.2">
      <c r="A75" t="s">
        <v>112</v>
      </c>
      <c r="B75" t="s">
        <v>118</v>
      </c>
      <c r="C75">
        <v>0.38</v>
      </c>
      <c r="D75">
        <v>0</v>
      </c>
      <c r="E75">
        <v>7</v>
      </c>
      <c r="F75">
        <v>6</v>
      </c>
      <c r="H75">
        <v>0</v>
      </c>
      <c r="I75">
        <v>0</v>
      </c>
      <c r="J75">
        <v>0</v>
      </c>
      <c r="K75">
        <v>0</v>
      </c>
      <c r="L75">
        <v>0</v>
      </c>
      <c r="M75">
        <v>0</v>
      </c>
      <c r="N75">
        <v>0</v>
      </c>
    </row>
    <row r="76" spans="1:18" x14ac:dyDescent="0.2">
      <c r="A76" t="s">
        <v>112</v>
      </c>
      <c r="B76" t="s">
        <v>109</v>
      </c>
      <c r="C76">
        <v>0</v>
      </c>
      <c r="D76">
        <v>0</v>
      </c>
      <c r="E76">
        <v>0</v>
      </c>
      <c r="F76">
        <v>0</v>
      </c>
      <c r="H76">
        <v>0</v>
      </c>
      <c r="I76">
        <v>0</v>
      </c>
      <c r="J76">
        <v>0</v>
      </c>
      <c r="K76">
        <v>0</v>
      </c>
      <c r="L76">
        <v>0</v>
      </c>
      <c r="M76">
        <v>0</v>
      </c>
      <c r="N76">
        <v>0</v>
      </c>
    </row>
    <row r="77" spans="1:18" x14ac:dyDescent="0.2">
      <c r="A77" t="s">
        <v>112</v>
      </c>
      <c r="B77" t="s">
        <v>119</v>
      </c>
      <c r="C77">
        <v>0.04</v>
      </c>
      <c r="D77">
        <v>0</v>
      </c>
      <c r="E77">
        <v>0</v>
      </c>
      <c r="F77">
        <v>9</v>
      </c>
      <c r="H77">
        <v>0</v>
      </c>
      <c r="I77">
        <v>0</v>
      </c>
      <c r="J77">
        <v>0</v>
      </c>
      <c r="K77">
        <v>0</v>
      </c>
      <c r="L77">
        <v>0</v>
      </c>
      <c r="M77">
        <v>0</v>
      </c>
      <c r="N77">
        <v>0</v>
      </c>
    </row>
    <row r="78" spans="1:18" x14ac:dyDescent="0.2">
      <c r="A78" t="s">
        <v>112</v>
      </c>
      <c r="B78" t="s">
        <v>120</v>
      </c>
      <c r="C78">
        <v>0.38</v>
      </c>
      <c r="D78">
        <v>0</v>
      </c>
      <c r="E78">
        <v>7</v>
      </c>
      <c r="F78">
        <v>6</v>
      </c>
      <c r="H78">
        <v>0</v>
      </c>
      <c r="I78">
        <v>0</v>
      </c>
      <c r="J78">
        <v>0</v>
      </c>
      <c r="K78">
        <v>0</v>
      </c>
      <c r="L78">
        <v>0</v>
      </c>
      <c r="M78">
        <v>0</v>
      </c>
      <c r="N78">
        <v>0</v>
      </c>
    </row>
    <row r="79" spans="1:18" x14ac:dyDescent="0.2">
      <c r="A79" t="s">
        <v>112</v>
      </c>
      <c r="B79" t="s">
        <v>121</v>
      </c>
      <c r="C79">
        <v>5.73</v>
      </c>
      <c r="D79">
        <v>5</v>
      </c>
      <c r="E79">
        <v>14</v>
      </c>
      <c r="F79">
        <v>6</v>
      </c>
      <c r="H79">
        <v>0</v>
      </c>
      <c r="I79">
        <v>0</v>
      </c>
      <c r="J79">
        <v>0</v>
      </c>
      <c r="K79">
        <v>0</v>
      </c>
      <c r="L79">
        <v>0</v>
      </c>
      <c r="M79">
        <v>0</v>
      </c>
      <c r="N79">
        <v>0</v>
      </c>
    </row>
    <row r="80" spans="1:18" x14ac:dyDescent="0.2">
      <c r="A80" t="s">
        <v>122</v>
      </c>
      <c r="B80" t="s">
        <v>123</v>
      </c>
      <c r="C80">
        <v>0.33</v>
      </c>
      <c r="D80">
        <v>0</v>
      </c>
      <c r="E80">
        <v>6</v>
      </c>
      <c r="F80">
        <v>8</v>
      </c>
      <c r="H80">
        <v>0</v>
      </c>
      <c r="I80">
        <v>0</v>
      </c>
      <c r="J80">
        <v>0</v>
      </c>
      <c r="K80">
        <v>0</v>
      </c>
      <c r="L80">
        <v>0</v>
      </c>
      <c r="M80">
        <v>0</v>
      </c>
      <c r="N80">
        <v>0</v>
      </c>
    </row>
    <row r="81" spans="1:14" x14ac:dyDescent="0.2">
      <c r="A81" t="s">
        <v>122</v>
      </c>
      <c r="B81" t="s">
        <v>124</v>
      </c>
      <c r="C81">
        <v>0.1</v>
      </c>
      <c r="D81">
        <v>0</v>
      </c>
      <c r="E81">
        <v>2</v>
      </c>
      <c r="F81">
        <v>0</v>
      </c>
      <c r="H81">
        <v>0</v>
      </c>
      <c r="I81">
        <v>0</v>
      </c>
      <c r="J81">
        <v>0</v>
      </c>
      <c r="K81">
        <v>0</v>
      </c>
      <c r="L81">
        <v>0</v>
      </c>
      <c r="M81">
        <v>0</v>
      </c>
      <c r="N81">
        <v>0</v>
      </c>
    </row>
    <row r="82" spans="1:14" x14ac:dyDescent="0.2">
      <c r="A82" t="s">
        <v>122</v>
      </c>
      <c r="B82" t="s">
        <v>125</v>
      </c>
      <c r="C82">
        <v>0.45</v>
      </c>
      <c r="D82">
        <v>0</v>
      </c>
      <c r="E82">
        <v>9</v>
      </c>
      <c r="F82">
        <v>0</v>
      </c>
      <c r="H82">
        <v>0</v>
      </c>
      <c r="I82">
        <v>0</v>
      </c>
      <c r="J82">
        <v>0</v>
      </c>
      <c r="K82">
        <v>0</v>
      </c>
      <c r="L82">
        <v>0</v>
      </c>
      <c r="M82">
        <v>0</v>
      </c>
      <c r="N82">
        <v>0</v>
      </c>
    </row>
    <row r="83" spans="1:14" x14ac:dyDescent="0.2">
      <c r="A83" t="s">
        <v>122</v>
      </c>
      <c r="B83" t="s">
        <v>126</v>
      </c>
      <c r="C83">
        <v>0.4</v>
      </c>
      <c r="D83">
        <v>0</v>
      </c>
      <c r="E83">
        <v>8</v>
      </c>
      <c r="F83">
        <v>0</v>
      </c>
      <c r="H83">
        <v>0</v>
      </c>
      <c r="I83">
        <v>0</v>
      </c>
      <c r="J83">
        <v>0</v>
      </c>
      <c r="K83">
        <v>0</v>
      </c>
      <c r="L83">
        <v>0</v>
      </c>
      <c r="M83">
        <v>0</v>
      </c>
      <c r="N83">
        <v>0</v>
      </c>
    </row>
    <row r="84" spans="1:14" x14ac:dyDescent="0.2">
      <c r="A84" t="s">
        <v>122</v>
      </c>
      <c r="B84" t="s">
        <v>127</v>
      </c>
      <c r="C84">
        <v>0.15</v>
      </c>
      <c r="D84">
        <v>0</v>
      </c>
      <c r="E84">
        <v>3</v>
      </c>
      <c r="F84">
        <v>0</v>
      </c>
      <c r="H84">
        <v>0</v>
      </c>
      <c r="I84">
        <v>0</v>
      </c>
      <c r="J84">
        <v>0</v>
      </c>
      <c r="K84">
        <v>0</v>
      </c>
      <c r="L84">
        <v>0</v>
      </c>
      <c r="M84">
        <v>0</v>
      </c>
      <c r="N84">
        <v>0</v>
      </c>
    </row>
    <row r="85" spans="1:14" x14ac:dyDescent="0.2">
      <c r="A85" t="s">
        <v>122</v>
      </c>
      <c r="B85" t="s">
        <v>128</v>
      </c>
      <c r="C85">
        <v>0.08</v>
      </c>
      <c r="D85">
        <v>0</v>
      </c>
      <c r="E85">
        <v>1</v>
      </c>
      <c r="F85">
        <v>6</v>
      </c>
      <c r="H85">
        <v>0</v>
      </c>
      <c r="I85">
        <v>0</v>
      </c>
      <c r="J85">
        <v>0</v>
      </c>
      <c r="K85">
        <v>0</v>
      </c>
      <c r="L85">
        <v>0</v>
      </c>
      <c r="M85">
        <v>0</v>
      </c>
      <c r="N85">
        <v>0</v>
      </c>
    </row>
    <row r="86" spans="1:14" x14ac:dyDescent="0.2">
      <c r="A86" t="s">
        <v>122</v>
      </c>
      <c r="B86" t="s">
        <v>129</v>
      </c>
      <c r="C86">
        <v>0.03</v>
      </c>
      <c r="D86">
        <v>0</v>
      </c>
      <c r="E86">
        <v>0</v>
      </c>
      <c r="F86">
        <v>6</v>
      </c>
      <c r="H86">
        <v>0</v>
      </c>
      <c r="I86">
        <v>3</v>
      </c>
      <c r="J86">
        <v>0.375</v>
      </c>
      <c r="K86">
        <v>0.375</v>
      </c>
      <c r="L86">
        <v>0</v>
      </c>
      <c r="M86">
        <v>0</v>
      </c>
      <c r="N86">
        <v>3</v>
      </c>
    </row>
    <row r="87" spans="1:14" x14ac:dyDescent="0.2">
      <c r="A87" t="s">
        <v>122</v>
      </c>
      <c r="B87" t="s">
        <v>130</v>
      </c>
      <c r="C87">
        <v>0.01</v>
      </c>
      <c r="D87">
        <v>0</v>
      </c>
      <c r="E87">
        <v>0</v>
      </c>
      <c r="F87">
        <v>1.5</v>
      </c>
      <c r="H87">
        <v>0</v>
      </c>
      <c r="I87">
        <v>0</v>
      </c>
      <c r="J87">
        <v>0</v>
      </c>
      <c r="K87">
        <v>0</v>
      </c>
      <c r="L87">
        <v>0</v>
      </c>
      <c r="M87">
        <v>0</v>
      </c>
      <c r="N87">
        <v>0</v>
      </c>
    </row>
    <row r="88" spans="1:14" x14ac:dyDescent="0.2">
      <c r="A88" t="s">
        <v>122</v>
      </c>
      <c r="B88" t="s">
        <v>131</v>
      </c>
      <c r="C88">
        <v>0.08</v>
      </c>
      <c r="D88">
        <v>0</v>
      </c>
      <c r="E88">
        <v>1</v>
      </c>
      <c r="F88">
        <v>6</v>
      </c>
      <c r="H88">
        <v>0</v>
      </c>
      <c r="I88">
        <v>0</v>
      </c>
      <c r="J88">
        <v>0</v>
      </c>
      <c r="K88">
        <v>0</v>
      </c>
      <c r="L88">
        <v>0</v>
      </c>
      <c r="M88">
        <v>0</v>
      </c>
      <c r="N88">
        <v>0</v>
      </c>
    </row>
    <row r="89" spans="1:14" x14ac:dyDescent="0.2">
      <c r="A89" t="s">
        <v>122</v>
      </c>
      <c r="B89" t="s">
        <v>132</v>
      </c>
      <c r="C89">
        <v>0.03</v>
      </c>
      <c r="D89">
        <v>0</v>
      </c>
      <c r="E89">
        <v>0</v>
      </c>
      <c r="F89">
        <v>8</v>
      </c>
      <c r="H89">
        <v>0</v>
      </c>
      <c r="I89">
        <v>0</v>
      </c>
      <c r="J89">
        <v>0</v>
      </c>
      <c r="K89">
        <v>0</v>
      </c>
      <c r="L89">
        <v>0</v>
      </c>
      <c r="M89">
        <v>0</v>
      </c>
      <c r="N89">
        <v>0</v>
      </c>
    </row>
    <row r="90" spans="1:14" x14ac:dyDescent="0.2">
      <c r="A90" t="s">
        <v>122</v>
      </c>
      <c r="B90" t="s">
        <v>133</v>
      </c>
      <c r="C90">
        <v>0.03</v>
      </c>
      <c r="D90">
        <v>0</v>
      </c>
      <c r="E90">
        <v>0</v>
      </c>
      <c r="F90">
        <v>8</v>
      </c>
      <c r="H90">
        <v>0</v>
      </c>
      <c r="I90">
        <v>0</v>
      </c>
      <c r="J90">
        <v>0</v>
      </c>
      <c r="K90">
        <v>0</v>
      </c>
      <c r="L90">
        <v>0</v>
      </c>
      <c r="M90">
        <v>0</v>
      </c>
      <c r="N90">
        <v>0</v>
      </c>
    </row>
    <row r="91" spans="1:14" x14ac:dyDescent="0.2">
      <c r="A91" t="s">
        <v>122</v>
      </c>
      <c r="B91" t="s">
        <v>134</v>
      </c>
      <c r="C91">
        <v>0.05</v>
      </c>
      <c r="D91">
        <v>0</v>
      </c>
      <c r="E91">
        <v>1</v>
      </c>
      <c r="F91">
        <v>0</v>
      </c>
      <c r="H91">
        <v>0</v>
      </c>
      <c r="I91">
        <v>0</v>
      </c>
      <c r="J91">
        <v>0</v>
      </c>
      <c r="K91">
        <v>0</v>
      </c>
      <c r="L91">
        <v>0</v>
      </c>
      <c r="M91">
        <v>0</v>
      </c>
      <c r="N91">
        <v>0</v>
      </c>
    </row>
    <row r="92" spans="1:14" x14ac:dyDescent="0.2">
      <c r="A92" t="s">
        <v>122</v>
      </c>
      <c r="B92" t="s">
        <v>135</v>
      </c>
      <c r="C92">
        <v>1.84</v>
      </c>
      <c r="D92">
        <v>1</v>
      </c>
      <c r="E92">
        <v>16</v>
      </c>
      <c r="F92">
        <v>9.5</v>
      </c>
      <c r="H92">
        <v>0</v>
      </c>
      <c r="I92">
        <v>0</v>
      </c>
      <c r="J92">
        <v>0</v>
      </c>
      <c r="K92">
        <v>0</v>
      </c>
      <c r="L92">
        <v>0</v>
      </c>
      <c r="M92">
        <v>0</v>
      </c>
      <c r="N92">
        <v>0</v>
      </c>
    </row>
    <row r="93" spans="1:14" x14ac:dyDescent="0.2">
      <c r="A93" t="s">
        <v>136</v>
      </c>
      <c r="B93" t="s">
        <v>137</v>
      </c>
      <c r="C93">
        <v>5</v>
      </c>
      <c r="D93">
        <v>5</v>
      </c>
      <c r="E93">
        <v>0</v>
      </c>
      <c r="F93">
        <v>0</v>
      </c>
      <c r="H93">
        <v>0</v>
      </c>
      <c r="I93">
        <v>0</v>
      </c>
      <c r="J93">
        <v>0</v>
      </c>
      <c r="K93">
        <v>0</v>
      </c>
      <c r="L93">
        <v>0</v>
      </c>
      <c r="M93">
        <v>0</v>
      </c>
      <c r="N93">
        <v>0</v>
      </c>
    </row>
    <row r="94" spans="1:14" x14ac:dyDescent="0.2">
      <c r="A94" t="s">
        <v>136</v>
      </c>
      <c r="B94" t="s">
        <v>138</v>
      </c>
      <c r="C94">
        <v>0.76</v>
      </c>
      <c r="D94">
        <v>0</v>
      </c>
      <c r="E94">
        <v>15</v>
      </c>
      <c r="F94">
        <v>2.5</v>
      </c>
      <c r="H94">
        <v>0</v>
      </c>
      <c r="I94">
        <v>0</v>
      </c>
      <c r="J94">
        <v>0</v>
      </c>
      <c r="K94">
        <v>0</v>
      </c>
      <c r="L94">
        <v>0</v>
      </c>
      <c r="M94">
        <v>0</v>
      </c>
      <c r="N94">
        <v>0</v>
      </c>
    </row>
    <row r="95" spans="1:14" x14ac:dyDescent="0.2">
      <c r="A95" t="s">
        <v>136</v>
      </c>
      <c r="B95" t="s">
        <v>109</v>
      </c>
      <c r="C95">
        <v>0</v>
      </c>
      <c r="D95">
        <v>0</v>
      </c>
      <c r="E95">
        <v>0</v>
      </c>
      <c r="F95">
        <v>0</v>
      </c>
      <c r="H95">
        <v>0</v>
      </c>
      <c r="I95">
        <v>0</v>
      </c>
      <c r="J95">
        <v>0</v>
      </c>
      <c r="K95">
        <v>0</v>
      </c>
      <c r="L95">
        <v>0</v>
      </c>
      <c r="M95">
        <v>0</v>
      </c>
      <c r="N95">
        <v>0</v>
      </c>
    </row>
    <row r="96" spans="1:14" x14ac:dyDescent="0.2">
      <c r="A96" t="s">
        <v>136</v>
      </c>
      <c r="B96" t="s">
        <v>139</v>
      </c>
      <c r="C96">
        <v>6.06</v>
      </c>
      <c r="D96">
        <v>6</v>
      </c>
      <c r="E96">
        <v>1</v>
      </c>
      <c r="F96">
        <v>2.5</v>
      </c>
      <c r="H96">
        <v>0</v>
      </c>
      <c r="I96">
        <v>0</v>
      </c>
      <c r="J96">
        <v>0</v>
      </c>
      <c r="K96">
        <v>0</v>
      </c>
      <c r="L96">
        <v>0</v>
      </c>
      <c r="M96">
        <v>0</v>
      </c>
      <c r="N96">
        <v>0</v>
      </c>
    </row>
    <row r="97" spans="1:16" x14ac:dyDescent="0.2">
      <c r="A97" t="s">
        <v>140</v>
      </c>
      <c r="B97" t="s">
        <v>141</v>
      </c>
      <c r="C97">
        <v>3.17</v>
      </c>
      <c r="D97">
        <v>3</v>
      </c>
      <c r="E97">
        <v>3</v>
      </c>
      <c r="F97">
        <v>4</v>
      </c>
      <c r="H97">
        <v>0</v>
      </c>
      <c r="I97">
        <v>0</v>
      </c>
      <c r="J97">
        <v>0</v>
      </c>
      <c r="K97">
        <v>0</v>
      </c>
      <c r="L97">
        <v>0</v>
      </c>
      <c r="M97">
        <v>0</v>
      </c>
      <c r="N97">
        <v>0</v>
      </c>
    </row>
    <row r="98" spans="1:16" x14ac:dyDescent="0.2">
      <c r="A98" t="s">
        <v>140</v>
      </c>
      <c r="B98" t="s">
        <v>142</v>
      </c>
      <c r="C98">
        <v>3.17</v>
      </c>
      <c r="D98">
        <v>3</v>
      </c>
      <c r="E98">
        <v>3</v>
      </c>
      <c r="F98">
        <v>4</v>
      </c>
      <c r="H98">
        <v>0</v>
      </c>
      <c r="I98">
        <v>0</v>
      </c>
      <c r="J98">
        <v>0</v>
      </c>
      <c r="K98">
        <v>0</v>
      </c>
      <c r="L98">
        <v>0</v>
      </c>
      <c r="M98">
        <v>0</v>
      </c>
      <c r="N98">
        <v>0</v>
      </c>
    </row>
    <row r="99" spans="1:16" x14ac:dyDescent="0.2">
      <c r="A99" t="s">
        <v>140</v>
      </c>
      <c r="B99" t="s">
        <v>143</v>
      </c>
      <c r="C99">
        <v>6.33</v>
      </c>
      <c r="D99">
        <v>6</v>
      </c>
      <c r="E99">
        <v>6</v>
      </c>
      <c r="F99">
        <v>8</v>
      </c>
      <c r="H99">
        <v>0</v>
      </c>
      <c r="I99">
        <v>0</v>
      </c>
      <c r="J99">
        <v>0</v>
      </c>
      <c r="K99">
        <v>0</v>
      </c>
      <c r="L99">
        <v>0</v>
      </c>
      <c r="M99">
        <v>0</v>
      </c>
      <c r="N99">
        <v>0</v>
      </c>
    </row>
    <row r="100" spans="1:16" x14ac:dyDescent="0.2">
      <c r="A100" t="s">
        <v>144</v>
      </c>
      <c r="B100" t="s">
        <v>145</v>
      </c>
      <c r="C100">
        <v>23.57</v>
      </c>
      <c r="D100">
        <v>23</v>
      </c>
      <c r="E100">
        <v>11</v>
      </c>
      <c r="F100">
        <v>4.5</v>
      </c>
      <c r="H100">
        <v>0</v>
      </c>
      <c r="I100">
        <v>0</v>
      </c>
      <c r="J100">
        <v>0</v>
      </c>
      <c r="K100">
        <v>0</v>
      </c>
      <c r="L100">
        <v>0</v>
      </c>
      <c r="M100">
        <v>0</v>
      </c>
      <c r="N100">
        <v>0</v>
      </c>
    </row>
    <row r="101" spans="1:16" x14ac:dyDescent="0.2">
      <c r="A101" t="s">
        <v>144</v>
      </c>
      <c r="B101" t="s">
        <v>146</v>
      </c>
      <c r="C101">
        <v>4.22</v>
      </c>
      <c r="D101">
        <v>4</v>
      </c>
      <c r="E101">
        <v>4</v>
      </c>
      <c r="F101">
        <v>5.5</v>
      </c>
      <c r="H101">
        <v>0</v>
      </c>
      <c r="I101">
        <v>0</v>
      </c>
      <c r="J101">
        <v>0</v>
      </c>
      <c r="K101">
        <v>0</v>
      </c>
      <c r="L101">
        <v>0</v>
      </c>
      <c r="M101">
        <v>0</v>
      </c>
      <c r="N101">
        <v>0</v>
      </c>
    </row>
    <row r="102" spans="1:16" x14ac:dyDescent="0.2">
      <c r="A102" t="s">
        <v>147</v>
      </c>
      <c r="B102" t="s">
        <v>148</v>
      </c>
      <c r="C102">
        <v>0</v>
      </c>
      <c r="D102">
        <v>0</v>
      </c>
      <c r="E102">
        <v>0</v>
      </c>
      <c r="F102">
        <v>0</v>
      </c>
      <c r="G102" t="s">
        <v>67</v>
      </c>
      <c r="H102">
        <v>36</v>
      </c>
      <c r="I102">
        <v>5</v>
      </c>
      <c r="J102">
        <v>36.625</v>
      </c>
      <c r="K102">
        <v>36.625</v>
      </c>
      <c r="L102">
        <v>0</v>
      </c>
      <c r="M102">
        <v>36</v>
      </c>
      <c r="N102">
        <v>5</v>
      </c>
    </row>
    <row r="103" spans="1:16" x14ac:dyDescent="0.2">
      <c r="A103" t="s">
        <v>147</v>
      </c>
      <c r="B103" t="s">
        <v>149</v>
      </c>
      <c r="C103">
        <v>0</v>
      </c>
      <c r="D103">
        <v>0</v>
      </c>
      <c r="E103">
        <v>0</v>
      </c>
      <c r="F103">
        <v>0</v>
      </c>
      <c r="H103">
        <v>36</v>
      </c>
      <c r="I103">
        <v>5</v>
      </c>
      <c r="J103">
        <v>36.625</v>
      </c>
      <c r="K103">
        <v>36.625</v>
      </c>
      <c r="L103">
        <v>0</v>
      </c>
      <c r="M103">
        <v>36</v>
      </c>
      <c r="N103">
        <v>5</v>
      </c>
    </row>
    <row r="104" spans="1:16" x14ac:dyDescent="0.2">
      <c r="A104" t="s">
        <v>147</v>
      </c>
      <c r="B104" t="s">
        <v>150</v>
      </c>
      <c r="C104">
        <v>0</v>
      </c>
      <c r="D104">
        <v>0</v>
      </c>
      <c r="E104">
        <v>0</v>
      </c>
      <c r="F104">
        <v>0</v>
      </c>
      <c r="H104">
        <v>13</v>
      </c>
      <c r="I104">
        <v>5</v>
      </c>
      <c r="J104">
        <v>13.625</v>
      </c>
      <c r="K104">
        <v>3.625</v>
      </c>
      <c r="L104">
        <v>10</v>
      </c>
      <c r="M104">
        <v>3</v>
      </c>
      <c r="N104">
        <v>5</v>
      </c>
      <c r="O104">
        <v>13</v>
      </c>
      <c r="P104">
        <v>0</v>
      </c>
    </row>
    <row r="105" spans="1:16" x14ac:dyDescent="0.2">
      <c r="A105" t="s">
        <v>147</v>
      </c>
      <c r="B105" t="s">
        <v>151</v>
      </c>
      <c r="C105">
        <v>0</v>
      </c>
      <c r="D105">
        <v>0</v>
      </c>
      <c r="E105">
        <v>0</v>
      </c>
      <c r="F105">
        <v>0</v>
      </c>
      <c r="H105">
        <v>20</v>
      </c>
      <c r="I105">
        <v>0</v>
      </c>
      <c r="J105">
        <v>20</v>
      </c>
      <c r="K105">
        <v>20</v>
      </c>
      <c r="L105">
        <v>0</v>
      </c>
      <c r="M105">
        <v>20</v>
      </c>
      <c r="N105">
        <v>0</v>
      </c>
    </row>
    <row r="106" spans="1:16" x14ac:dyDescent="0.2">
      <c r="A106" t="s">
        <v>147</v>
      </c>
      <c r="B106" t="s">
        <v>152</v>
      </c>
      <c r="C106">
        <v>0</v>
      </c>
      <c r="D106">
        <v>0</v>
      </c>
      <c r="E106">
        <v>0</v>
      </c>
      <c r="F106">
        <v>0</v>
      </c>
      <c r="H106">
        <v>0</v>
      </c>
      <c r="I106">
        <v>0</v>
      </c>
      <c r="J106">
        <v>0</v>
      </c>
      <c r="K106">
        <v>0</v>
      </c>
      <c r="L106">
        <v>0</v>
      </c>
      <c r="M106">
        <v>0</v>
      </c>
      <c r="N106">
        <v>0</v>
      </c>
    </row>
    <row r="107" spans="1:16" x14ac:dyDescent="0.2">
      <c r="A107" t="s">
        <v>147</v>
      </c>
      <c r="B107" t="s">
        <v>153</v>
      </c>
      <c r="C107">
        <v>0</v>
      </c>
      <c r="D107">
        <v>0</v>
      </c>
      <c r="E107">
        <v>0</v>
      </c>
      <c r="F107">
        <v>0</v>
      </c>
      <c r="H107">
        <v>0</v>
      </c>
      <c r="I107">
        <v>0</v>
      </c>
      <c r="J107">
        <v>0</v>
      </c>
      <c r="K107">
        <v>0</v>
      </c>
      <c r="L107">
        <v>0</v>
      </c>
      <c r="M107">
        <v>0</v>
      </c>
      <c r="N107">
        <v>0</v>
      </c>
    </row>
    <row r="108" spans="1:16" x14ac:dyDescent="0.2">
      <c r="A108" t="s">
        <v>154</v>
      </c>
      <c r="B108" t="s">
        <v>155</v>
      </c>
      <c r="C108">
        <v>0</v>
      </c>
      <c r="D108">
        <v>0</v>
      </c>
      <c r="E108">
        <v>0</v>
      </c>
      <c r="F108">
        <v>0</v>
      </c>
      <c r="H108">
        <v>9</v>
      </c>
      <c r="I108">
        <v>3</v>
      </c>
      <c r="J108">
        <v>9.375</v>
      </c>
      <c r="K108">
        <v>9.375</v>
      </c>
      <c r="L108">
        <v>0</v>
      </c>
      <c r="M108">
        <v>9</v>
      </c>
      <c r="N108">
        <v>3</v>
      </c>
      <c r="O108">
        <v>9</v>
      </c>
      <c r="P108">
        <v>3</v>
      </c>
    </row>
    <row r="109" spans="1:16" x14ac:dyDescent="0.2">
      <c r="A109" t="s">
        <v>154</v>
      </c>
      <c r="B109" t="s">
        <v>156</v>
      </c>
      <c r="C109">
        <v>0</v>
      </c>
      <c r="D109">
        <v>0</v>
      </c>
      <c r="E109">
        <v>0</v>
      </c>
      <c r="F109">
        <v>0</v>
      </c>
      <c r="H109">
        <v>8</v>
      </c>
      <c r="I109">
        <v>4</v>
      </c>
      <c r="J109">
        <v>8.5</v>
      </c>
      <c r="K109">
        <v>0.875</v>
      </c>
      <c r="L109">
        <v>7.625</v>
      </c>
      <c r="M109">
        <v>0</v>
      </c>
      <c r="N109">
        <v>7</v>
      </c>
      <c r="O109">
        <v>8</v>
      </c>
      <c r="P109">
        <v>4</v>
      </c>
    </row>
    <row r="110" spans="1:16" x14ac:dyDescent="0.2">
      <c r="A110" t="s">
        <v>154</v>
      </c>
      <c r="B110" t="s">
        <v>153</v>
      </c>
      <c r="C110">
        <v>0</v>
      </c>
      <c r="D110">
        <v>0</v>
      </c>
      <c r="E110">
        <v>0</v>
      </c>
      <c r="F110">
        <v>0</v>
      </c>
      <c r="H110">
        <v>0</v>
      </c>
      <c r="I110">
        <v>0</v>
      </c>
      <c r="J110">
        <v>0</v>
      </c>
      <c r="K110">
        <v>0</v>
      </c>
      <c r="L110">
        <v>0</v>
      </c>
      <c r="M110">
        <v>0</v>
      </c>
      <c r="N110">
        <v>0</v>
      </c>
    </row>
    <row r="111" spans="1:16" x14ac:dyDescent="0.2">
      <c r="A111" t="s">
        <v>157</v>
      </c>
      <c r="B111" t="s">
        <v>158</v>
      </c>
      <c r="C111">
        <v>0</v>
      </c>
      <c r="D111">
        <v>0</v>
      </c>
      <c r="E111">
        <v>0</v>
      </c>
      <c r="F111">
        <v>0</v>
      </c>
      <c r="G111" t="s">
        <v>108</v>
      </c>
      <c r="H111">
        <v>22</v>
      </c>
      <c r="I111">
        <v>6</v>
      </c>
      <c r="J111">
        <v>22.75</v>
      </c>
      <c r="K111">
        <v>22.75</v>
      </c>
      <c r="L111">
        <v>0</v>
      </c>
      <c r="M111">
        <v>22</v>
      </c>
      <c r="N111">
        <v>6</v>
      </c>
    </row>
    <row r="112" spans="1:16" x14ac:dyDescent="0.2">
      <c r="A112" t="s">
        <v>157</v>
      </c>
      <c r="B112" t="s">
        <v>159</v>
      </c>
      <c r="C112">
        <v>0</v>
      </c>
      <c r="D112">
        <v>0</v>
      </c>
      <c r="E112">
        <v>0</v>
      </c>
      <c r="F112">
        <v>0</v>
      </c>
      <c r="H112">
        <v>22</v>
      </c>
      <c r="I112">
        <v>6</v>
      </c>
      <c r="J112">
        <v>22.75</v>
      </c>
      <c r="K112">
        <v>22.75</v>
      </c>
      <c r="L112">
        <v>0</v>
      </c>
      <c r="M112">
        <v>22</v>
      </c>
      <c r="N112">
        <v>6</v>
      </c>
    </row>
    <row r="113" spans="1:14" x14ac:dyDescent="0.2">
      <c r="A113" t="s">
        <v>157</v>
      </c>
      <c r="B113" t="s">
        <v>160</v>
      </c>
      <c r="C113">
        <v>0</v>
      </c>
      <c r="D113">
        <v>0</v>
      </c>
      <c r="E113">
        <v>0</v>
      </c>
      <c r="F113">
        <v>0</v>
      </c>
      <c r="H113">
        <v>0</v>
      </c>
      <c r="I113">
        <v>0</v>
      </c>
      <c r="J113">
        <v>0</v>
      </c>
      <c r="K113">
        <v>0</v>
      </c>
      <c r="L113">
        <v>0</v>
      </c>
      <c r="M113">
        <v>0</v>
      </c>
      <c r="N113">
        <v>0</v>
      </c>
    </row>
    <row r="114" spans="1:14" x14ac:dyDescent="0.2">
      <c r="A114" t="s">
        <v>157</v>
      </c>
      <c r="B114" t="s">
        <v>161</v>
      </c>
      <c r="C114">
        <v>0</v>
      </c>
      <c r="D114">
        <v>0</v>
      </c>
      <c r="E114">
        <v>0</v>
      </c>
      <c r="F114">
        <v>0</v>
      </c>
      <c r="H114">
        <v>0</v>
      </c>
      <c r="I114">
        <v>0</v>
      </c>
      <c r="J114">
        <v>0</v>
      </c>
      <c r="K114">
        <v>0</v>
      </c>
      <c r="L114">
        <v>0</v>
      </c>
      <c r="M114">
        <v>0</v>
      </c>
      <c r="N114">
        <v>0</v>
      </c>
    </row>
    <row r="115" spans="1:14" x14ac:dyDescent="0.2">
      <c r="A115" t="s">
        <v>157</v>
      </c>
      <c r="B115" t="s">
        <v>162</v>
      </c>
      <c r="C115">
        <v>0</v>
      </c>
      <c r="D115">
        <v>0</v>
      </c>
      <c r="E115">
        <v>0</v>
      </c>
      <c r="F115">
        <v>0</v>
      </c>
      <c r="H115">
        <v>0</v>
      </c>
      <c r="I115">
        <v>0</v>
      </c>
      <c r="J115">
        <v>0</v>
      </c>
      <c r="K115">
        <v>0</v>
      </c>
      <c r="L115">
        <v>0</v>
      </c>
      <c r="M115">
        <v>0</v>
      </c>
      <c r="N115">
        <v>0</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F19"/>
  <sheetViews>
    <sheetView workbookViewId="0"/>
  </sheetViews>
  <sheetFormatPr baseColWidth="10" defaultColWidth="8.83203125" defaultRowHeight="15" x14ac:dyDescent="0.2"/>
  <sheetData>
    <row r="1" spans="1:32" x14ac:dyDescent="0.2">
      <c r="A1" s="1" t="s">
        <v>0</v>
      </c>
      <c r="B1" s="1" t="s">
        <v>1</v>
      </c>
      <c r="C1" s="1" t="s">
        <v>170</v>
      </c>
      <c r="D1" s="1" t="s">
        <v>171</v>
      </c>
      <c r="E1" s="1" t="s">
        <v>172</v>
      </c>
      <c r="F1" s="1" t="s">
        <v>173</v>
      </c>
      <c r="G1" s="1" t="s">
        <v>174</v>
      </c>
      <c r="H1" s="1" t="s">
        <v>175</v>
      </c>
      <c r="I1" s="1" t="s">
        <v>176</v>
      </c>
      <c r="J1" s="1" t="s">
        <v>177</v>
      </c>
      <c r="K1" s="1" t="s">
        <v>178</v>
      </c>
      <c r="L1" s="1" t="s">
        <v>179</v>
      </c>
      <c r="M1" s="1" t="s">
        <v>180</v>
      </c>
      <c r="N1" s="1" t="s">
        <v>181</v>
      </c>
      <c r="O1" s="1" t="s">
        <v>182</v>
      </c>
      <c r="P1" s="1" t="s">
        <v>183</v>
      </c>
      <c r="Q1" s="1" t="s">
        <v>184</v>
      </c>
      <c r="R1" s="1" t="s">
        <v>185</v>
      </c>
      <c r="S1" s="1" t="s">
        <v>186</v>
      </c>
      <c r="T1" s="1" t="s">
        <v>187</v>
      </c>
      <c r="U1" s="1" t="s">
        <v>188</v>
      </c>
      <c r="V1" s="1" t="s">
        <v>189</v>
      </c>
      <c r="W1" s="1" t="s">
        <v>190</v>
      </c>
      <c r="X1" s="1" t="s">
        <v>7</v>
      </c>
      <c r="Y1" s="1" t="s">
        <v>8</v>
      </c>
      <c r="Z1" s="1" t="s">
        <v>9</v>
      </c>
      <c r="AA1" s="1" t="s">
        <v>10</v>
      </c>
      <c r="AB1" s="1" t="s">
        <v>11</v>
      </c>
      <c r="AC1" s="1" t="s">
        <v>191</v>
      </c>
      <c r="AD1" s="1" t="s">
        <v>192</v>
      </c>
      <c r="AE1" s="1" t="s">
        <v>14</v>
      </c>
      <c r="AF1" s="1" t="s">
        <v>15</v>
      </c>
    </row>
    <row r="2" spans="1:32" x14ac:dyDescent="0.2">
      <c r="A2" t="s">
        <v>144</v>
      </c>
      <c r="B2" t="s">
        <v>164</v>
      </c>
      <c r="C2">
        <v>0</v>
      </c>
      <c r="D2">
        <v>0</v>
      </c>
      <c r="E2">
        <v>0</v>
      </c>
      <c r="F2">
        <v>0</v>
      </c>
      <c r="G2">
        <v>0</v>
      </c>
      <c r="H2">
        <v>0</v>
      </c>
      <c r="I2">
        <v>0</v>
      </c>
      <c r="J2">
        <v>0</v>
      </c>
      <c r="K2">
        <v>0</v>
      </c>
      <c r="L2">
        <v>0</v>
      </c>
      <c r="M2">
        <v>0</v>
      </c>
      <c r="N2">
        <v>0</v>
      </c>
      <c r="O2">
        <v>0</v>
      </c>
      <c r="P2">
        <v>0</v>
      </c>
      <c r="Q2">
        <v>0</v>
      </c>
      <c r="R2">
        <v>0</v>
      </c>
      <c r="S2">
        <v>0</v>
      </c>
      <c r="T2">
        <v>0</v>
      </c>
      <c r="U2">
        <v>0</v>
      </c>
      <c r="V2">
        <v>0</v>
      </c>
      <c r="W2">
        <v>0</v>
      </c>
    </row>
    <row r="3" spans="1:32" x14ac:dyDescent="0.2">
      <c r="A3" t="s">
        <v>147</v>
      </c>
      <c r="B3" t="s">
        <v>148</v>
      </c>
      <c r="C3">
        <v>0</v>
      </c>
      <c r="D3">
        <v>0</v>
      </c>
      <c r="E3">
        <v>0</v>
      </c>
      <c r="F3">
        <v>0</v>
      </c>
      <c r="G3">
        <v>0</v>
      </c>
      <c r="H3">
        <v>0</v>
      </c>
      <c r="I3">
        <v>0</v>
      </c>
      <c r="J3">
        <v>0</v>
      </c>
      <c r="K3">
        <v>0</v>
      </c>
      <c r="L3">
        <v>0</v>
      </c>
      <c r="M3">
        <v>0</v>
      </c>
      <c r="N3">
        <v>0</v>
      </c>
      <c r="O3">
        <v>0</v>
      </c>
      <c r="P3">
        <v>0</v>
      </c>
      <c r="Q3">
        <v>0</v>
      </c>
      <c r="R3">
        <v>0</v>
      </c>
      <c r="S3">
        <v>0</v>
      </c>
      <c r="T3">
        <v>36</v>
      </c>
      <c r="U3">
        <v>5</v>
      </c>
      <c r="V3">
        <v>36.625</v>
      </c>
      <c r="W3">
        <v>0</v>
      </c>
      <c r="X3">
        <v>36</v>
      </c>
      <c r="Y3">
        <v>5</v>
      </c>
      <c r="Z3">
        <v>36.625</v>
      </c>
      <c r="AA3">
        <v>36.625</v>
      </c>
      <c r="AB3">
        <v>0</v>
      </c>
      <c r="AC3">
        <v>36</v>
      </c>
      <c r="AD3">
        <v>5</v>
      </c>
    </row>
    <row r="4" spans="1:32" x14ac:dyDescent="0.2">
      <c r="A4" t="s">
        <v>147</v>
      </c>
      <c r="B4" t="s">
        <v>149</v>
      </c>
      <c r="C4">
        <v>0</v>
      </c>
      <c r="D4">
        <v>0</v>
      </c>
      <c r="E4">
        <v>0</v>
      </c>
      <c r="F4">
        <v>0</v>
      </c>
      <c r="G4">
        <v>0</v>
      </c>
      <c r="H4">
        <v>0</v>
      </c>
      <c r="I4">
        <v>0</v>
      </c>
      <c r="J4">
        <v>0</v>
      </c>
      <c r="K4">
        <v>0</v>
      </c>
      <c r="L4">
        <v>0</v>
      </c>
      <c r="M4">
        <v>0</v>
      </c>
      <c r="N4">
        <v>0</v>
      </c>
      <c r="O4">
        <v>0</v>
      </c>
      <c r="P4">
        <v>0</v>
      </c>
      <c r="Q4">
        <v>0</v>
      </c>
      <c r="R4">
        <v>0</v>
      </c>
      <c r="S4">
        <v>0</v>
      </c>
      <c r="T4">
        <v>0</v>
      </c>
      <c r="U4">
        <v>0</v>
      </c>
      <c r="V4">
        <v>0</v>
      </c>
      <c r="W4">
        <v>0</v>
      </c>
      <c r="X4">
        <v>36</v>
      </c>
      <c r="Y4">
        <v>5</v>
      </c>
      <c r="Z4">
        <v>36.625</v>
      </c>
      <c r="AA4">
        <v>36.625</v>
      </c>
      <c r="AB4">
        <v>0</v>
      </c>
      <c r="AC4">
        <v>36</v>
      </c>
      <c r="AD4">
        <v>5</v>
      </c>
    </row>
    <row r="5" spans="1:32" x14ac:dyDescent="0.2">
      <c r="A5" t="s">
        <v>147</v>
      </c>
      <c r="B5" t="s">
        <v>150</v>
      </c>
      <c r="C5">
        <v>0</v>
      </c>
      <c r="D5">
        <v>0</v>
      </c>
      <c r="E5">
        <v>0</v>
      </c>
      <c r="F5">
        <v>0</v>
      </c>
      <c r="G5">
        <v>0</v>
      </c>
      <c r="H5">
        <v>0</v>
      </c>
      <c r="I5">
        <v>0</v>
      </c>
      <c r="J5">
        <v>0</v>
      </c>
      <c r="K5">
        <v>16</v>
      </c>
      <c r="L5">
        <v>5</v>
      </c>
      <c r="M5">
        <v>16.625</v>
      </c>
      <c r="N5">
        <v>0</v>
      </c>
      <c r="O5">
        <v>0</v>
      </c>
      <c r="P5">
        <v>0</v>
      </c>
      <c r="Q5">
        <v>0</v>
      </c>
      <c r="R5">
        <v>0</v>
      </c>
      <c r="S5">
        <v>0</v>
      </c>
      <c r="T5">
        <v>0</v>
      </c>
      <c r="U5">
        <v>0</v>
      </c>
      <c r="V5">
        <v>0</v>
      </c>
      <c r="W5">
        <v>0</v>
      </c>
      <c r="X5">
        <v>13</v>
      </c>
      <c r="Y5">
        <v>5</v>
      </c>
      <c r="Z5">
        <v>13.625</v>
      </c>
      <c r="AA5">
        <v>3.625</v>
      </c>
      <c r="AB5">
        <v>10</v>
      </c>
      <c r="AC5">
        <v>3</v>
      </c>
      <c r="AD5">
        <v>5</v>
      </c>
      <c r="AE5">
        <v>13</v>
      </c>
      <c r="AF5">
        <v>0</v>
      </c>
    </row>
    <row r="6" spans="1:32" x14ac:dyDescent="0.2">
      <c r="A6" t="s">
        <v>147</v>
      </c>
      <c r="B6" t="s">
        <v>151</v>
      </c>
      <c r="C6">
        <v>0</v>
      </c>
      <c r="D6">
        <v>0</v>
      </c>
      <c r="E6">
        <v>0</v>
      </c>
      <c r="F6">
        <v>0</v>
      </c>
      <c r="G6">
        <v>0</v>
      </c>
      <c r="H6">
        <v>0</v>
      </c>
      <c r="I6">
        <v>0</v>
      </c>
      <c r="J6">
        <v>0</v>
      </c>
      <c r="K6">
        <v>0</v>
      </c>
      <c r="L6">
        <v>0</v>
      </c>
      <c r="M6">
        <v>0</v>
      </c>
      <c r="N6">
        <v>0</v>
      </c>
      <c r="O6">
        <v>0</v>
      </c>
      <c r="P6">
        <v>0</v>
      </c>
      <c r="Q6">
        <v>20</v>
      </c>
      <c r="R6">
        <v>0</v>
      </c>
      <c r="S6">
        <v>20</v>
      </c>
      <c r="T6">
        <v>0</v>
      </c>
      <c r="U6">
        <v>0</v>
      </c>
      <c r="V6">
        <v>0</v>
      </c>
      <c r="W6">
        <v>0</v>
      </c>
      <c r="X6">
        <v>20</v>
      </c>
      <c r="Y6">
        <v>0</v>
      </c>
      <c r="Z6">
        <v>20</v>
      </c>
      <c r="AA6">
        <v>20</v>
      </c>
      <c r="AB6">
        <v>0</v>
      </c>
      <c r="AC6">
        <v>20</v>
      </c>
      <c r="AD6">
        <v>0</v>
      </c>
    </row>
    <row r="7" spans="1:32" x14ac:dyDescent="0.2">
      <c r="A7" t="s">
        <v>147</v>
      </c>
      <c r="B7" t="s">
        <v>152</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row>
    <row r="8" spans="1:32" x14ac:dyDescent="0.2">
      <c r="A8" t="s">
        <v>147</v>
      </c>
      <c r="B8" t="s">
        <v>153</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row>
    <row r="9" spans="1:32" x14ac:dyDescent="0.2">
      <c r="A9" t="s">
        <v>147</v>
      </c>
      <c r="B9" t="s">
        <v>164</v>
      </c>
      <c r="C9">
        <v>0</v>
      </c>
      <c r="D9">
        <v>0</v>
      </c>
      <c r="E9">
        <v>0</v>
      </c>
      <c r="F9">
        <v>0</v>
      </c>
      <c r="G9">
        <v>0</v>
      </c>
      <c r="H9">
        <v>0</v>
      </c>
      <c r="I9">
        <v>0</v>
      </c>
      <c r="J9">
        <v>0</v>
      </c>
      <c r="K9">
        <v>0</v>
      </c>
      <c r="L9">
        <v>0</v>
      </c>
      <c r="M9">
        <v>0</v>
      </c>
      <c r="N9">
        <v>0</v>
      </c>
      <c r="O9">
        <v>0</v>
      </c>
      <c r="P9">
        <v>0</v>
      </c>
      <c r="Q9">
        <v>0</v>
      </c>
      <c r="R9">
        <v>0</v>
      </c>
      <c r="S9">
        <v>0</v>
      </c>
      <c r="T9">
        <v>0</v>
      </c>
      <c r="U9">
        <v>0</v>
      </c>
      <c r="V9">
        <v>0</v>
      </c>
      <c r="W9">
        <v>0</v>
      </c>
    </row>
    <row r="10" spans="1:32" x14ac:dyDescent="0.2">
      <c r="A10" t="s">
        <v>154</v>
      </c>
      <c r="B10" t="s">
        <v>155</v>
      </c>
      <c r="C10">
        <v>0</v>
      </c>
      <c r="D10">
        <v>0</v>
      </c>
      <c r="E10">
        <v>0</v>
      </c>
      <c r="F10">
        <v>0</v>
      </c>
      <c r="G10">
        <v>0</v>
      </c>
      <c r="H10">
        <v>0</v>
      </c>
      <c r="I10">
        <v>0</v>
      </c>
      <c r="J10">
        <v>0</v>
      </c>
      <c r="K10">
        <v>0</v>
      </c>
      <c r="L10">
        <v>0</v>
      </c>
      <c r="M10">
        <v>0</v>
      </c>
      <c r="N10">
        <v>0</v>
      </c>
      <c r="O10">
        <v>0</v>
      </c>
      <c r="P10">
        <v>0</v>
      </c>
      <c r="Q10">
        <v>0</v>
      </c>
      <c r="R10">
        <v>0</v>
      </c>
      <c r="S10">
        <v>0</v>
      </c>
      <c r="T10">
        <v>18</v>
      </c>
      <c r="U10">
        <v>6</v>
      </c>
      <c r="V10">
        <v>18.75</v>
      </c>
      <c r="W10">
        <v>0</v>
      </c>
      <c r="X10">
        <v>9</v>
      </c>
      <c r="Y10">
        <v>3</v>
      </c>
      <c r="Z10">
        <v>9.375</v>
      </c>
      <c r="AA10">
        <v>9.375</v>
      </c>
      <c r="AB10">
        <v>0</v>
      </c>
      <c r="AC10">
        <v>9</v>
      </c>
      <c r="AD10">
        <v>3</v>
      </c>
      <c r="AE10">
        <v>9</v>
      </c>
      <c r="AF10">
        <v>3</v>
      </c>
    </row>
    <row r="11" spans="1:32" x14ac:dyDescent="0.2">
      <c r="A11" t="s">
        <v>154</v>
      </c>
      <c r="B11" t="s">
        <v>156</v>
      </c>
      <c r="C11">
        <v>0</v>
      </c>
      <c r="D11">
        <v>0</v>
      </c>
      <c r="E11">
        <v>0</v>
      </c>
      <c r="F11">
        <v>0</v>
      </c>
      <c r="G11">
        <v>0</v>
      </c>
      <c r="H11">
        <v>0</v>
      </c>
      <c r="I11">
        <v>0</v>
      </c>
      <c r="J11">
        <v>0</v>
      </c>
      <c r="K11">
        <v>8</v>
      </c>
      <c r="L11">
        <v>4</v>
      </c>
      <c r="M11">
        <v>8.5</v>
      </c>
      <c r="N11">
        <v>0</v>
      </c>
      <c r="O11">
        <v>0</v>
      </c>
      <c r="P11">
        <v>0</v>
      </c>
      <c r="Q11">
        <v>8</v>
      </c>
      <c r="R11">
        <v>4</v>
      </c>
      <c r="S11">
        <v>8.5</v>
      </c>
      <c r="T11">
        <v>0</v>
      </c>
      <c r="U11">
        <v>0</v>
      </c>
      <c r="V11">
        <v>0</v>
      </c>
      <c r="W11">
        <v>0</v>
      </c>
      <c r="X11">
        <v>8</v>
      </c>
      <c r="Y11">
        <v>4</v>
      </c>
      <c r="Z11">
        <v>8.5</v>
      </c>
      <c r="AA11">
        <v>0.875</v>
      </c>
      <c r="AB11">
        <v>7.625</v>
      </c>
      <c r="AC11">
        <v>0</v>
      </c>
      <c r="AD11">
        <v>7</v>
      </c>
      <c r="AE11">
        <v>8</v>
      </c>
      <c r="AF11">
        <v>4</v>
      </c>
    </row>
    <row r="12" spans="1:32" x14ac:dyDescent="0.2">
      <c r="A12" t="s">
        <v>154</v>
      </c>
      <c r="B12" t="s">
        <v>153</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row>
    <row r="13" spans="1:32" x14ac:dyDescent="0.2">
      <c r="A13" t="s">
        <v>154</v>
      </c>
      <c r="B13" t="s">
        <v>164</v>
      </c>
      <c r="C13">
        <v>0</v>
      </c>
      <c r="D13">
        <v>0</v>
      </c>
      <c r="E13">
        <v>0</v>
      </c>
      <c r="F13">
        <v>0</v>
      </c>
      <c r="G13">
        <v>0</v>
      </c>
      <c r="H13">
        <v>0</v>
      </c>
      <c r="I13">
        <v>0</v>
      </c>
      <c r="J13">
        <v>0</v>
      </c>
      <c r="K13">
        <v>0</v>
      </c>
      <c r="L13">
        <v>0</v>
      </c>
      <c r="M13">
        <v>0</v>
      </c>
      <c r="N13">
        <v>0</v>
      </c>
      <c r="O13">
        <v>0</v>
      </c>
      <c r="P13">
        <v>0</v>
      </c>
      <c r="Q13">
        <v>0</v>
      </c>
      <c r="R13">
        <v>0</v>
      </c>
      <c r="S13">
        <v>0</v>
      </c>
      <c r="T13">
        <v>0</v>
      </c>
      <c r="U13">
        <v>0</v>
      </c>
      <c r="V13">
        <v>0</v>
      </c>
      <c r="W13">
        <v>0</v>
      </c>
    </row>
    <row r="14" spans="1:32" x14ac:dyDescent="0.2">
      <c r="A14" t="s">
        <v>157</v>
      </c>
      <c r="B14" t="s">
        <v>158</v>
      </c>
      <c r="C14">
        <v>0</v>
      </c>
      <c r="D14">
        <v>0</v>
      </c>
      <c r="E14">
        <v>0</v>
      </c>
      <c r="F14">
        <v>0</v>
      </c>
      <c r="G14">
        <v>0</v>
      </c>
      <c r="H14">
        <v>22</v>
      </c>
      <c r="I14">
        <v>6</v>
      </c>
      <c r="J14">
        <v>22.75</v>
      </c>
      <c r="K14">
        <v>0</v>
      </c>
      <c r="L14">
        <v>0</v>
      </c>
      <c r="M14">
        <v>0</v>
      </c>
      <c r="N14">
        <v>0</v>
      </c>
      <c r="O14">
        <v>0</v>
      </c>
      <c r="P14">
        <v>0</v>
      </c>
      <c r="Q14">
        <v>0</v>
      </c>
      <c r="R14">
        <v>0</v>
      </c>
      <c r="S14">
        <v>0</v>
      </c>
      <c r="T14">
        <v>22</v>
      </c>
      <c r="U14">
        <v>6</v>
      </c>
      <c r="V14">
        <v>22.75</v>
      </c>
      <c r="W14">
        <v>1</v>
      </c>
      <c r="X14">
        <v>22</v>
      </c>
      <c r="Y14">
        <v>6</v>
      </c>
      <c r="Z14">
        <v>22.75</v>
      </c>
      <c r="AA14">
        <v>22.75</v>
      </c>
      <c r="AB14">
        <v>0</v>
      </c>
      <c r="AC14">
        <v>22</v>
      </c>
      <c r="AD14">
        <v>6</v>
      </c>
    </row>
    <row r="15" spans="1:32" x14ac:dyDescent="0.2">
      <c r="A15" t="s">
        <v>157</v>
      </c>
      <c r="B15" t="s">
        <v>159</v>
      </c>
      <c r="C15">
        <v>0</v>
      </c>
      <c r="D15">
        <v>0</v>
      </c>
      <c r="E15">
        <v>0</v>
      </c>
      <c r="F15">
        <v>0</v>
      </c>
      <c r="G15">
        <v>0</v>
      </c>
      <c r="H15">
        <v>0</v>
      </c>
      <c r="I15">
        <v>0</v>
      </c>
      <c r="J15">
        <v>0</v>
      </c>
      <c r="K15">
        <v>0</v>
      </c>
      <c r="L15">
        <v>0</v>
      </c>
      <c r="M15">
        <v>0</v>
      </c>
      <c r="N15">
        <v>22</v>
      </c>
      <c r="O15">
        <v>6</v>
      </c>
      <c r="P15">
        <v>22.75</v>
      </c>
      <c r="Q15">
        <v>0</v>
      </c>
      <c r="R15">
        <v>0</v>
      </c>
      <c r="S15">
        <v>0</v>
      </c>
      <c r="T15">
        <v>0</v>
      </c>
      <c r="U15">
        <v>0</v>
      </c>
      <c r="V15">
        <v>0</v>
      </c>
      <c r="W15">
        <v>0</v>
      </c>
      <c r="X15">
        <v>22</v>
      </c>
      <c r="Y15">
        <v>6</v>
      </c>
      <c r="Z15">
        <v>22.75</v>
      </c>
      <c r="AA15">
        <v>22.75</v>
      </c>
      <c r="AB15">
        <v>0</v>
      </c>
      <c r="AC15">
        <v>22</v>
      </c>
      <c r="AD15">
        <v>6</v>
      </c>
    </row>
    <row r="16" spans="1:32" x14ac:dyDescent="0.2">
      <c r="A16" t="s">
        <v>157</v>
      </c>
      <c r="B16" t="s">
        <v>160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row>
    <row r="17" spans="1:30" x14ac:dyDescent="0.2">
      <c r="A17" t="s">
        <v>157</v>
      </c>
      <c r="B17" t="s">
        <v>161</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row>
    <row r="18" spans="1:30" x14ac:dyDescent="0.2">
      <c r="A18" t="s">
        <v>157</v>
      </c>
      <c r="B18" t="s">
        <v>162</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row>
    <row r="19" spans="1:30" x14ac:dyDescent="0.2">
      <c r="A19" t="s">
        <v>157</v>
      </c>
      <c r="B19" t="s">
        <v>164</v>
      </c>
      <c r="C19">
        <v>0</v>
      </c>
      <c r="D19">
        <v>0</v>
      </c>
      <c r="E19">
        <v>0</v>
      </c>
      <c r="F19">
        <v>0</v>
      </c>
      <c r="G19">
        <v>0</v>
      </c>
      <c r="H19">
        <v>0</v>
      </c>
      <c r="I19">
        <v>0</v>
      </c>
      <c r="J19">
        <v>0</v>
      </c>
      <c r="K19">
        <v>0</v>
      </c>
      <c r="L19">
        <v>0</v>
      </c>
      <c r="M19">
        <v>0</v>
      </c>
      <c r="N19">
        <v>0</v>
      </c>
      <c r="O19">
        <v>0</v>
      </c>
      <c r="P19">
        <v>0</v>
      </c>
      <c r="Q19">
        <v>0</v>
      </c>
      <c r="R19">
        <v>0</v>
      </c>
      <c r="S19">
        <v>0</v>
      </c>
      <c r="T19">
        <v>0</v>
      </c>
      <c r="U19">
        <v>0</v>
      </c>
      <c r="V19">
        <v>0</v>
      </c>
      <c r="W19">
        <v>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F5"/>
  <sheetViews>
    <sheetView workbookViewId="0"/>
  </sheetViews>
  <sheetFormatPr baseColWidth="10" defaultColWidth="8.83203125" defaultRowHeight="15" x14ac:dyDescent="0.2"/>
  <sheetData>
    <row r="1" spans="1:32" x14ac:dyDescent="0.2">
      <c r="A1" s="1" t="s">
        <v>0</v>
      </c>
      <c r="B1" s="1" t="s">
        <v>1</v>
      </c>
      <c r="C1" s="1" t="s">
        <v>2</v>
      </c>
      <c r="D1" s="1" t="s">
        <v>3</v>
      </c>
      <c r="E1" s="1" t="s">
        <v>4</v>
      </c>
      <c r="F1" s="1" t="s">
        <v>5</v>
      </c>
      <c r="G1" s="1" t="s">
        <v>6</v>
      </c>
      <c r="H1" s="1" t="s">
        <v>7</v>
      </c>
      <c r="I1" s="1" t="s">
        <v>8</v>
      </c>
      <c r="J1" s="1" t="s">
        <v>9</v>
      </c>
      <c r="K1" s="1" t="s">
        <v>10</v>
      </c>
      <c r="L1" s="1" t="s">
        <v>11</v>
      </c>
      <c r="M1" s="1" t="s">
        <v>203</v>
      </c>
      <c r="N1" s="1" t="s">
        <v>204</v>
      </c>
      <c r="O1" s="1" t="s">
        <v>16</v>
      </c>
      <c r="P1" s="1" t="s">
        <v>17</v>
      </c>
      <c r="Q1" s="1" t="s">
        <v>12</v>
      </c>
      <c r="R1" s="1" t="s">
        <v>13</v>
      </c>
      <c r="S1" s="1" t="s">
        <v>18</v>
      </c>
      <c r="T1" s="1" t="s">
        <v>19</v>
      </c>
      <c r="U1" s="1" t="s">
        <v>20</v>
      </c>
      <c r="V1" s="1" t="s">
        <v>21</v>
      </c>
      <c r="W1" s="1" t="s">
        <v>22</v>
      </c>
      <c r="X1" s="1" t="s">
        <v>23</v>
      </c>
      <c r="Y1" s="1" t="s">
        <v>205</v>
      </c>
      <c r="Z1" s="1" t="s">
        <v>206</v>
      </c>
      <c r="AA1" s="1" t="s">
        <v>207</v>
      </c>
      <c r="AB1" s="1" t="s">
        <v>208</v>
      </c>
      <c r="AC1" s="1" t="s">
        <v>209</v>
      </c>
      <c r="AD1" s="1" t="s">
        <v>195</v>
      </c>
      <c r="AE1" s="1" t="s">
        <v>196</v>
      </c>
      <c r="AF1" s="1" t="s">
        <v>210</v>
      </c>
    </row>
    <row r="2" spans="1:32" x14ac:dyDescent="0.2">
      <c r="A2" t="s">
        <v>65</v>
      </c>
      <c r="B2" t="s">
        <v>66</v>
      </c>
      <c r="C2">
        <v>2.83</v>
      </c>
      <c r="D2">
        <v>2</v>
      </c>
      <c r="E2">
        <v>16</v>
      </c>
      <c r="F2">
        <v>8</v>
      </c>
      <c r="G2" t="s">
        <v>67</v>
      </c>
      <c r="H2">
        <v>10</v>
      </c>
      <c r="I2">
        <v>0</v>
      </c>
      <c r="J2">
        <v>10</v>
      </c>
      <c r="K2">
        <v>10</v>
      </c>
      <c r="L2">
        <v>0</v>
      </c>
      <c r="M2">
        <v>10</v>
      </c>
      <c r="N2">
        <v>0</v>
      </c>
      <c r="O2">
        <v>5</v>
      </c>
      <c r="P2">
        <v>8</v>
      </c>
      <c r="Y2">
        <v>0.28333333333333333</v>
      </c>
      <c r="AC2">
        <v>10</v>
      </c>
      <c r="AD2">
        <v>0.28333333333333333</v>
      </c>
      <c r="AE2">
        <v>0.28333333333333333</v>
      </c>
      <c r="AF2" t="s">
        <v>67</v>
      </c>
    </row>
    <row r="3" spans="1:32" x14ac:dyDescent="0.2">
      <c r="A3" t="s">
        <v>65</v>
      </c>
      <c r="B3" t="s">
        <v>68</v>
      </c>
      <c r="C3">
        <v>2.67</v>
      </c>
      <c r="D3">
        <v>2</v>
      </c>
      <c r="E3">
        <v>13</v>
      </c>
      <c r="F3">
        <v>4</v>
      </c>
      <c r="G3" t="s">
        <v>67</v>
      </c>
      <c r="H3">
        <v>10</v>
      </c>
      <c r="I3">
        <v>0</v>
      </c>
      <c r="J3">
        <v>10</v>
      </c>
      <c r="K3">
        <v>10</v>
      </c>
      <c r="L3">
        <v>0</v>
      </c>
      <c r="M3">
        <v>10</v>
      </c>
      <c r="N3">
        <v>0</v>
      </c>
      <c r="O3">
        <v>5</v>
      </c>
      <c r="P3">
        <v>4</v>
      </c>
      <c r="Y3">
        <v>0.26666666666666672</v>
      </c>
      <c r="AC3">
        <v>10</v>
      </c>
      <c r="AD3">
        <v>0.26666666666666672</v>
      </c>
      <c r="AE3">
        <v>0.26666666666666672</v>
      </c>
      <c r="AF3" t="s">
        <v>67</v>
      </c>
    </row>
    <row r="4" spans="1:32" x14ac:dyDescent="0.2">
      <c r="A4" t="s">
        <v>65</v>
      </c>
      <c r="B4" t="s">
        <v>69</v>
      </c>
      <c r="C4">
        <v>1.42</v>
      </c>
      <c r="D4">
        <v>1</v>
      </c>
      <c r="E4">
        <v>8</v>
      </c>
      <c r="F4">
        <v>4</v>
      </c>
      <c r="G4" t="s">
        <v>70</v>
      </c>
      <c r="H4">
        <v>8.5</v>
      </c>
      <c r="I4">
        <v>0</v>
      </c>
      <c r="J4">
        <v>8.5</v>
      </c>
      <c r="K4">
        <v>8.5</v>
      </c>
      <c r="L4">
        <v>0</v>
      </c>
      <c r="M4">
        <v>8.5</v>
      </c>
      <c r="N4">
        <v>0</v>
      </c>
      <c r="O4">
        <v>3</v>
      </c>
      <c r="P4">
        <v>4</v>
      </c>
      <c r="Y4">
        <v>0.16666666666666671</v>
      </c>
      <c r="AC4">
        <v>8.5</v>
      </c>
      <c r="AD4">
        <v>0.16666666666666671</v>
      </c>
      <c r="AE4">
        <v>0.16666666666666671</v>
      </c>
      <c r="AF4" t="s">
        <v>70</v>
      </c>
    </row>
    <row r="5" spans="1:32" x14ac:dyDescent="0.2">
      <c r="A5" t="s">
        <v>65</v>
      </c>
      <c r="B5" t="s">
        <v>71</v>
      </c>
      <c r="C5">
        <v>6.92</v>
      </c>
      <c r="D5">
        <v>6</v>
      </c>
      <c r="E5">
        <v>18</v>
      </c>
      <c r="F5">
        <v>4</v>
      </c>
      <c r="H5">
        <v>0</v>
      </c>
      <c r="I5">
        <v>0</v>
      </c>
      <c r="J5">
        <v>0</v>
      </c>
      <c r="K5">
        <v>0</v>
      </c>
      <c r="L5">
        <v>0</v>
      </c>
      <c r="M5">
        <v>0</v>
      </c>
      <c r="N5">
        <v>0</v>
      </c>
      <c r="Y5" t="s">
        <v>211</v>
      </c>
      <c r="AC5">
        <v>0</v>
      </c>
      <c r="AD5" t="s">
        <v>211</v>
      </c>
      <c r="AE5" t="s">
        <v>211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Overview</vt:lpstr>
      <vt:lpstr>Receipts</vt:lpstr>
      <vt:lpstr>Expenses</vt:lpstr>
      <vt:lpstr>Issues of the Grange</vt:lpstr>
      <vt:lpstr>Issues of the Mills</vt:lpstr>
      <vt:lpstr>Stock</vt:lpstr>
      <vt:lpstr>raw data</vt:lpstr>
      <vt:lpstr>Issues of the Grange raw</vt:lpstr>
      <vt:lpstr>Sale of Corn Prices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Victoria Gierok</cp:lastModifiedBy>
  <dcterms:created xsi:type="dcterms:W3CDTF">2024-04-19T11:10:16Z</dcterms:created>
  <dcterms:modified xsi:type="dcterms:W3CDTF">2025-08-29T14:49:16Z</dcterms:modified>
</cp:coreProperties>
</file>
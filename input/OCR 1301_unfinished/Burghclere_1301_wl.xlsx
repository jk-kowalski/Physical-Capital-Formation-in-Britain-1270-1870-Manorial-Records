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10B31DAF-70D0-B54A-9485-54EDA1441E76}" xr6:coauthVersionLast="47" xr6:coauthVersionMax="47" xr10:uidLastSave="{00000000-0000-0000-0000-000000000000}"/>
  <bookViews>
    <workbookView xWindow="6760" yWindow="500" windowWidth="17280" windowHeight="16580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8" i="5" l="1"/>
  <c r="B177" i="5"/>
  <c r="B175" i="5"/>
  <c r="B174" i="5"/>
  <c r="B173" i="5"/>
  <c r="B172" i="5"/>
  <c r="B160" i="5"/>
  <c r="B159" i="5"/>
  <c r="B157" i="5"/>
  <c r="B158" i="5"/>
  <c r="T81" i="4"/>
  <c r="T79" i="4"/>
  <c r="T78" i="4"/>
  <c r="B156" i="5"/>
  <c r="B149" i="5"/>
  <c r="B150" i="5"/>
  <c r="B151" i="5"/>
  <c r="B152" i="5"/>
  <c r="B153" i="5"/>
  <c r="B148" i="5"/>
  <c r="B145" i="5"/>
  <c r="B14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T66" i="4"/>
  <c r="T57" i="4"/>
  <c r="T58" i="4"/>
  <c r="T59" i="4"/>
  <c r="T60" i="4"/>
  <c r="T61" i="4"/>
  <c r="T62" i="4"/>
  <c r="T63" i="4"/>
  <c r="T64" i="4"/>
  <c r="T65" i="4"/>
  <c r="T56" i="4"/>
  <c r="B124" i="5"/>
  <c r="B120" i="5"/>
  <c r="B114" i="5"/>
  <c r="B115" i="5"/>
  <c r="B116" i="5"/>
  <c r="B117" i="5"/>
  <c r="B118" i="5"/>
  <c r="B119" i="5"/>
  <c r="B113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10" i="5"/>
  <c r="B82" i="5"/>
  <c r="E68" i="5"/>
  <c r="E67" i="5"/>
  <c r="E63" i="5"/>
  <c r="F63" i="5"/>
  <c r="E64" i="5"/>
  <c r="F64" i="5"/>
  <c r="E65" i="5"/>
  <c r="F65" i="5"/>
  <c r="F62" i="5"/>
  <c r="E62" i="5"/>
  <c r="E66" i="5" s="1"/>
  <c r="B63" i="5"/>
  <c r="B64" i="5"/>
  <c r="B65" i="5"/>
  <c r="B62" i="5"/>
  <c r="B45" i="5"/>
  <c r="B46" i="5"/>
  <c r="B47" i="5"/>
  <c r="B44" i="5"/>
  <c r="C25" i="5"/>
  <c r="B24" i="5"/>
  <c r="B23" i="5"/>
  <c r="B25" i="5"/>
  <c r="F97" i="3"/>
  <c r="F96" i="3"/>
  <c r="J75" i="3"/>
  <c r="J76" i="3"/>
  <c r="J77" i="3"/>
  <c r="J78" i="3"/>
  <c r="J79" i="3"/>
  <c r="J80" i="3"/>
  <c r="J74" i="3"/>
  <c r="K47" i="3"/>
  <c r="K48" i="3"/>
  <c r="K49" i="3"/>
  <c r="K46" i="3"/>
  <c r="J47" i="3"/>
  <c r="J48" i="3"/>
  <c r="J49" i="3"/>
  <c r="J46" i="3"/>
  <c r="K35" i="3"/>
  <c r="K36" i="3"/>
  <c r="K37" i="3"/>
  <c r="K38" i="3"/>
  <c r="K34" i="3"/>
  <c r="J35" i="3"/>
  <c r="J36" i="3"/>
  <c r="J37" i="3"/>
  <c r="J38" i="3"/>
  <c r="J34" i="3"/>
  <c r="K30" i="3"/>
  <c r="J23" i="3"/>
  <c r="K23" i="3"/>
  <c r="J24" i="3"/>
  <c r="K24" i="3"/>
  <c r="J25" i="3"/>
  <c r="K25" i="3"/>
  <c r="J26" i="3"/>
  <c r="K26" i="3"/>
  <c r="J27" i="3"/>
  <c r="K27" i="3"/>
  <c r="J28" i="3"/>
  <c r="K28" i="3"/>
  <c r="J29" i="3"/>
  <c r="K29" i="3"/>
  <c r="J30" i="3"/>
  <c r="K22" i="3"/>
  <c r="J22" i="3"/>
  <c r="K5" i="3"/>
  <c r="K6" i="3"/>
  <c r="K7" i="3"/>
  <c r="K8" i="3"/>
  <c r="K9" i="3"/>
  <c r="K10" i="3"/>
  <c r="K3" i="3"/>
  <c r="J6" i="3"/>
  <c r="J7" i="3"/>
  <c r="J8" i="3"/>
  <c r="J9" i="3"/>
  <c r="J10" i="3"/>
  <c r="J5" i="3"/>
  <c r="J3" i="3"/>
  <c r="G95" i="3"/>
  <c r="F95" i="3"/>
  <c r="F94" i="3"/>
  <c r="G38" i="2"/>
  <c r="F38" i="2"/>
  <c r="T42" i="4"/>
  <c r="T35" i="4"/>
  <c r="R81" i="4"/>
  <c r="R79" i="4"/>
  <c r="O79" i="4" s="1"/>
  <c r="R78" i="4"/>
  <c r="O78" i="4" s="1"/>
  <c r="R63" i="4"/>
  <c r="O63" i="4" s="1"/>
  <c r="R56" i="4"/>
  <c r="O56" i="4" s="1"/>
  <c r="C56" i="4"/>
  <c r="J35" i="4"/>
  <c r="B35" i="4"/>
  <c r="R26" i="4"/>
  <c r="O26" i="4" s="1"/>
  <c r="O21" i="4"/>
  <c r="O20" i="4"/>
  <c r="R21" i="4"/>
  <c r="R20" i="4"/>
  <c r="R12" i="4"/>
  <c r="R6" i="4"/>
  <c r="R31" i="4" s="1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5" i="4"/>
  <c r="O12" i="11"/>
  <c r="O13" i="11"/>
  <c r="O14" i="11"/>
  <c r="O11" i="11"/>
  <c r="N12" i="11"/>
  <c r="N13" i="11"/>
  <c r="N14" i="11"/>
  <c r="N11" i="11"/>
  <c r="L12" i="11"/>
  <c r="L13" i="11"/>
  <c r="L14" i="11"/>
  <c r="L11" i="11"/>
  <c r="E12" i="11"/>
  <c r="E13" i="11"/>
  <c r="E14" i="11"/>
  <c r="E11" i="11"/>
  <c r="K12" i="11"/>
  <c r="K13" i="11"/>
  <c r="K14" i="11"/>
  <c r="K11" i="11"/>
  <c r="J14" i="11"/>
  <c r="I14" i="11"/>
  <c r="J12" i="11"/>
  <c r="I12" i="11"/>
  <c r="I11" i="11"/>
  <c r="J11" i="11"/>
  <c r="B12" i="11"/>
  <c r="B13" i="11"/>
  <c r="B14" i="11"/>
  <c r="B11" i="11"/>
  <c r="I3" i="11"/>
  <c r="I4" i="11"/>
  <c r="I5" i="11"/>
  <c r="I2" i="11"/>
  <c r="G3" i="11"/>
  <c r="G4" i="11"/>
  <c r="G5" i="11"/>
  <c r="G2" i="11"/>
  <c r="J23" i="4"/>
  <c r="I23" i="4"/>
  <c r="I21" i="4"/>
  <c r="I12" i="4"/>
  <c r="G85" i="3"/>
  <c r="F81" i="3"/>
  <c r="G82" i="3" s="1"/>
  <c r="F80" i="3"/>
  <c r="G72" i="3"/>
  <c r="F60" i="3"/>
  <c r="F59" i="3"/>
  <c r="F61" i="3" s="1"/>
  <c r="G61" i="3" s="1"/>
  <c r="F50" i="3"/>
  <c r="F49" i="3"/>
  <c r="F51" i="3" s="1"/>
  <c r="F43" i="3"/>
  <c r="F34" i="3"/>
  <c r="F35" i="3"/>
  <c r="F36" i="3"/>
  <c r="F37" i="3"/>
  <c r="F38" i="3"/>
  <c r="F39" i="3"/>
  <c r="F40" i="3"/>
  <c r="F41" i="3"/>
  <c r="F42" i="3"/>
  <c r="F31" i="3"/>
  <c r="G32" i="3" s="1"/>
  <c r="F30" i="3"/>
  <c r="F5" i="3"/>
  <c r="F20" i="3" s="1"/>
  <c r="G20" i="3" s="1"/>
  <c r="F83" i="2"/>
  <c r="G84" i="2" s="1"/>
  <c r="F75" i="2"/>
  <c r="F77" i="2" s="1"/>
  <c r="F146" i="2" s="1"/>
  <c r="F76" i="2"/>
  <c r="F26" i="2"/>
  <c r="F28" i="2" s="1"/>
  <c r="G28" i="2" s="1"/>
  <c r="G20" i="2"/>
  <c r="F13" i="2"/>
  <c r="G6" i="2"/>
  <c r="C45" i="5" l="1"/>
  <c r="F147" i="2"/>
  <c r="G146" i="2"/>
  <c r="R66" i="4"/>
  <c r="G51" i="3"/>
  <c r="F44" i="3"/>
  <c r="G44" i="3" s="1"/>
  <c r="G7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0" authorId="0" shapeId="0" xr:uid="{1B536C2D-81E0-E64C-8889-D28D3425E1FA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4" authorId="0" shapeId="0" xr:uid="{69964627-1E57-D049-8D45-9036F355B1D0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4" authorId="0" shapeId="0" xr:uid="{34422E48-7996-E847-9F60-8C775C14C79B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<sst xmlns="http://schemas.openxmlformats.org/spreadsheetml/2006/main" count="1645" uniqueCount="686">
  <si>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</si>
  <si>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</si>
  <si>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</si>
  <si>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</si>
  <si>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</si>
  <si>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</si>
  <si>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</si>
  <si>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</si>
  <si>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</si>
  <si>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</si>
  <si>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</si>
  <si>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</si>
  <si>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</si>
  <si>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</si>
  <si>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</si>
  <si>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</si>
  <si>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</si>
  <si>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</si>
  <si>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</si>
  <si>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</si>
  <si>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</si>
  <si>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</si>
  <si>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</si>
  <si>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</si>
  <si>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</si>
  <si>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</si>
  <si>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</si>
  <si>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</si>
  <si>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</si>
  <si>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</si>
  <si>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</si>
  <si>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</si>
  <si>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</si>
  <si>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</si>
  <si>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</si>
  <si>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Henry la Wayte, bailiff, and John le Sone, reeve, render account for £37 19 shilling 10.5pence of arrears from the previous year.</t>
  </si>
  <si>
    <t>All delivered to Sir Geoffrey, treasurer of Wolvesey, by 1 tally.</t>
  </si>
  <si>
    <t>They are quit.</t>
  </si>
  <si>
    <t>Rents</t>
  </si>
  <si>
    <t>The same render account for £2 7 shilling for all rents of assize at Christmas.</t>
  </si>
  <si>
    <t>£2 7 shilling at Easter (22 April).</t>
  </si>
  <si>
    <t>£2 7 shilling at the Nativity of St John the Baptist (24 June).</t>
  </si>
  <si>
    <t>£16 4 shilling 6pence at Michaelmas (29 September).</t>
  </si>
  <si>
    <t>Total, £23 5 shilling 6pence</t>
  </si>
  <si>
    <t>Increment</t>
  </si>
  <si>
    <t>The same render account for 1pence from John Scissor' for increment of rent to have entry to 1 plot, 36 feet long and 24 feet wide, beside the forge of la Wydegate.</t>
  </si>
  <si>
    <t>Total, 1pence</t>
  </si>
  <si>
    <t>Total of rents with increment</t>
  </si>
  <si>
    <t>Total of rents with increment, £23 15 shilling 7pence1</t>
  </si>
  <si>
    <t>Quittances</t>
  </si>
  <si>
    <t>In quittance of 1 reeve for the year 4 shilling 8pence.</t>
  </si>
  <si>
    <t>1 hayward for the year 3 shilling.</t>
  </si>
  <si>
    <t>7 ploughmen for the year £1 1 shilling.</t>
  </si>
  <si>
    <t>2 ploughmen for 1 term 1 shilling.</t>
  </si>
  <si>
    <t>1 shepherd for 2.5 terms 1 shilling 3pence Total, £1 10 shilling 11pence</t>
  </si>
  <si>
    <t>Defaults of rent</t>
  </si>
  <si>
    <t>In default of 335 acres of land drawn into demesne, £1 17 shilling for the year.</t>
  </si>
  <si>
    <t>the land of Alwyn' drawn into demesne, 3 shilling for the year.</t>
  </si>
  <si>
    <t>10 acres of land of Roger Mainpetyt drawn into demesne, 1 shilling 8pence for the year.</t>
  </si>
  <si>
    <t>10 acres of land of Osmund' drawn into demesne, 2 shilling 6pence for the year.</t>
  </si>
  <si>
    <t>10 acres of land of Simon Clericus drawn into demesne, 1 shilling 8pence for the year.</t>
  </si>
  <si>
    <t>the land of Alwyn drawn into demesne, 1 shilling for the year.</t>
  </si>
  <si>
    <t>the land of Osmund Dustr' drawn into demesne, 1 shilling for the year.</t>
  </si>
  <si>
    <t>Total, £2 7 shilling 10pence</t>
  </si>
  <si>
    <t>Total of quittances and defaults of rent, £3 18 shilling 9pence</t>
  </si>
  <si>
    <t xml:space="preserve">Total of rents remaining </t>
  </si>
  <si>
    <t>Total of rents remaining, £19 6 shilling 10pence</t>
  </si>
  <si>
    <t>Release from labour service</t>
  </si>
  <si>
    <t>The same render account for 7 shilling from Richard le Eyr for release from his labour service for 1 virgate of land for the year.</t>
  </si>
  <si>
    <t>Total, 7 shilling</t>
  </si>
  <si>
    <t>Issues of the manor</t>
  </si>
  <si>
    <t>The same render account for £1 1 shilling 9.5pence from pannage of pigs within, that is, from 253 pigs and 13 piglets, at 1pence a pig and .5pence a piglet.</t>
  </si>
  <si>
    <t>nothing from foreign pannage this year for a want of mast.</t>
  </si>
  <si>
    <t>£1 from the pasturage of Oldehull' at Michaelmas.</t>
  </si>
  <si>
    <t>5 shilling1 from the men of Earlstone according to custom at the Nativity of St John the Baptist for herbage.</t>
  </si>
  <si>
    <t>5 shilling for the farm of the quarry at Michaelmas.</t>
  </si>
  <si>
    <t>3 shilling from the men of Addebury for not making charcoal at Christmas.</t>
  </si>
  <si>
    <t>3 shilling from the free men of Earlstone for release from ploughing at Michaelmas because the villeins plough for the winter sowing and fallow.</t>
  </si>
  <si>
    <t>2 shilling from honey according to custom at Michaelmas for land which Thomas Gerard holds.</t>
  </si>
  <si>
    <t>7 shilling from the pasturage of la Garston sold at Mic¬haelmas.</t>
  </si>
  <si>
    <t>nothing from winter pasturage on account of the lord's stock.</t>
  </si>
  <si>
    <t>nothing from summer pasturage for the same reason.</t>
  </si>
  <si>
    <t>4 shilling from 1 plough-horse from a heriot sold.</t>
  </si>
  <si>
    <t>£6 7 shilling from 14 oxen sold at Michaelmas, at 9 shilling each for 13, and 10 shilling for 1.</t>
  </si>
  <si>
    <t>11 shilling from 2 half-dead oxen sold soon after Easter.</t>
  </si>
  <si>
    <t>£1 6 shilling 8pence from 1 ram and 29 ewes sold at Martinmas, at 8pence each.</t>
  </si>
  <si>
    <t>16 shilling 4pence from the hides sold of 7 oxen in murrain, at 2 shilling 6pence each for 3, 2 shilling 4pence each for 2, 2 shilling 2pence for 1, and 2 shilling for 1.</t>
  </si>
  <si>
    <t>2 shilling 4pence from the flesh sold of 2 oxen in murrain.</t>
  </si>
  <si>
    <t>6 shilling from the skins of 2 rams and 22 ewes in murrain before shearing, at 3pence a skin.</t>
  </si>
  <si>
    <t>7pence from the skins sold of 7 ewes in murrain after shearing.</t>
  </si>
  <si>
    <t>4 shilling 4pence from the skins sold of 52 lambs in murrain before shearing, at 1pence a skin.</t>
  </si>
  <si>
    <t>12 shilling 1pence from 145 hens from churchscot sold.</t>
  </si>
  <si>
    <t>3 shilling 2.5pence from 1,100 eggs sold, received according to custom at Easter, at 3.5pence a hundred.</t>
  </si>
  <si>
    <t>8 shilling 8pence from 3 pigs sold.</t>
  </si>
  <si>
    <t>6 shilling 8pence from the heriot of Edith Cuteles who withdrew from the manor and surrendered her lands and tenements into the lord's hands.</t>
  </si>
  <si>
    <t>Total, £14 15 shilling 8pence</t>
  </si>
  <si>
    <t>Annual recognizance</t>
  </si>
  <si>
    <t>Nothing from Roger Mareschal because he is dead.</t>
  </si>
  <si>
    <t>3pence from Richard atte Heth' for annual recognizance.</t>
  </si>
  <si>
    <t>nothing from John Lunt because he is deapence Total, 3pence</t>
  </si>
  <si>
    <t>Sale of corn</t>
  </si>
  <si>
    <t>The same render account for £30 3 shilling 4pence from 90.5 quarters of wheat sold, at 6 shilling 8pence a quarters.</t>
  </si>
  <si>
    <t>wheat</t>
  </si>
  <si>
    <t>£5 7 shilling 6pence from 26 quarters 7 bushels of bere sold, at 4 shilling a quarters.</t>
  </si>
  <si>
    <t>18 shilling 6pence from 4 quarters 5 bushels of barley sold, at 4 shilling a quarters.</t>
  </si>
  <si>
    <t>barley</t>
  </si>
  <si>
    <t>£4 12 shilling 10.5pence from 39 quarters 6 bushels of oats sold, at 2 shilling a quarters for 13 quarters, and 2 shilling 6pence a quarters for 26 quarters 6 bushels Total of all corn sold, £41 2 shilling 2.5pence</t>
  </si>
  <si>
    <t>oats</t>
  </si>
  <si>
    <t>Sale of the mill's corn</t>
  </si>
  <si>
    <t>The same render account for 1 shilling 6pence from 2 bushels of wheat from the issue of the mill sold, at 9pence a bushels.</t>
  </si>
  <si>
    <t>£2 8 shilling 9pence from 14 quarters 5 bushels of maslin sold, at 3 shilling 4pence a quarters.</t>
  </si>
  <si>
    <t>maslin</t>
  </si>
  <si>
    <t>10 shilling from 4 quarters of malt sold, at 2 shilling 6pence a quarters.</t>
  </si>
  <si>
    <t>Total, £3 3pence</t>
  </si>
  <si>
    <t>Entry and marriage fines</t>
  </si>
  <si>
    <t>The same render account for £1 6 shilling 8pence from tithingpenny at the two hundred-courts for the year.</t>
  </si>
  <si>
    <t>13 shilling 4pence from Cecilia Marescall' to retain 0.5 virgate of land which belonged to her husband.</t>
  </si>
  <si>
    <t>1 shilling from John le Sone for marrying Agnes his daughter outside.</t>
  </si>
  <si>
    <t>5 shilling from Roger atte Garston to have 1 messuage 6.5 acres' of purpresture which belonged to Robert atte Garston' his uncle.</t>
  </si>
  <si>
    <t>2 shilling from Walter le Son' for marrying Isabel his daughter outside.</t>
  </si>
  <si>
    <t>1 shilling from John le Tayllor to have entry to a certain small plot, 36 feet long and 24 feet wide, beside the forge of la Wydegate.</t>
  </si>
  <si>
    <t>1 shilling from Edith (Aldich') Cuteles for marrying herself outside the manor.</t>
  </si>
  <si>
    <t>5 shilling from John Cutel of Whitway to have land which belonged to Adam Kutel his father by resignation of Edith Cutel his stepmother.</t>
  </si>
  <si>
    <t>Total, £2 15 shilling</t>
  </si>
  <si>
    <t>Perquisites</t>
  </si>
  <si>
    <t>The same render account for 2 shilling from Juliana Sone, John atte Park' and their fellows for trespass of pasture.</t>
  </si>
  <si>
    <t>2pence from William Tokelyn because he is convicted.</t>
  </si>
  <si>
    <t>6pence from William Frensch' and his fellows for concealment.</t>
  </si>
  <si>
    <t>1 shilling 3pence from Richard Kuppe and his fellows for trespass of pasture.</t>
  </si>
  <si>
    <t>1 shilling 3pence from John Lunt, Stephen Rotelond and Robert Lot for bad ploughing.</t>
  </si>
  <si>
    <t>2 shilling 3pence from John Cutel, Robert Lot and their fellows for trespass of pasture.</t>
  </si>
  <si>
    <t>6pence from Nicholas Tritur' and Stephen Bercarius for transgression.</t>
  </si>
  <si>
    <t>3 shilling from Ralph le Koc for carrying off 1 oak.</t>
  </si>
  <si>
    <t>3pence from William Bykemere and Richard le Sone for transgression.</t>
  </si>
  <si>
    <t>3pence from Stephen de Aul' for unjustly withholding.</t>
  </si>
  <si>
    <t>3 shilling from John Burch' and his fellows for breaking the assize.</t>
  </si>
  <si>
    <t>2 shilling from John Druery for bloodshed.</t>
  </si>
  <si>
    <t>1 shilling from the reeve because his horse spent the night in the curia.</t>
  </si>
  <si>
    <t>3pence from William Freynsch' for false presentment.</t>
  </si>
  <si>
    <t>1 shilling from William Edgar and his fellows for ploughing.</t>
  </si>
  <si>
    <t>1 shilling 9pence from John atte Tuneshend' and his fellows for trespass in the corn.</t>
  </si>
  <si>
    <t>9pence from Richard le Sone and his fellows for trespass of pasture.</t>
  </si>
  <si>
    <t>1 shilling from the whole tithing because it did not produce in court.</t>
  </si>
  <si>
    <t>3pence from Robert Tastard because he came late.</t>
  </si>
  <si>
    <t>3pence from John Elys for transgression.</t>
  </si>
  <si>
    <t>1 shilling from Edith Godd' to have an enrolment.</t>
  </si>
  <si>
    <t>2 shilling from Richard atte Well' and his fellows because convicted by inquest against Edith Gudd'.</t>
  </si>
  <si>
    <t>6pence from William Bykemere for unjustly withholding.</t>
  </si>
  <si>
    <t>2 shilling from Richard atte Well' because his horse spent the night in the curia.</t>
  </si>
  <si>
    <t>3pence from William Edgar for trespass of ploughing.</t>
  </si>
  <si>
    <t>6pence from William Frenssh' for false presentment.</t>
  </si>
  <si>
    <t>1 shilling from Richard Herberd, Roger Cupping for trespass of wood and corn.</t>
  </si>
  <si>
    <t>2 shilling 3pence from Roger Cupping, Nicholas Burch', John atte Toneshend' and their fellows for trespass of pasture.</t>
  </si>
  <si>
    <t>4 shilling 6pence from Roger Cuppyng, Robert Gal', Hugh Servient', Roger Cuppyng and their fellows for trespass of corn.</t>
  </si>
  <si>
    <t>1 shilling 6pence from 3 oxherds for contempt.</t>
  </si>
  <si>
    <t>6 shilling 3pence from 7 ploughmen, John Cutel and their fellows for bad ploughing.</t>
  </si>
  <si>
    <t>6pence from John de Parco and fellows because they did not come to the shearing.</t>
  </si>
  <si>
    <t>4 shilling from Geoffrey atte Den' and other of his fellows for breaking the assize.</t>
  </si>
  <si>
    <t>6pence from William Rod' for the hue.</t>
  </si>
  <si>
    <t>3pence from Roger Cuppyng for trespass of the enclosure.</t>
  </si>
  <si>
    <t>3pence from Cecilia Maresschall' for suit of mill.</t>
  </si>
  <si>
    <t>1 shilling From Walter Malot and his fellows for trespass of pasture.</t>
  </si>
  <si>
    <t>1 shilling from Adam atte Ford' for the recovery and custody of his livestock.</t>
  </si>
  <si>
    <t>Total, £2 13 shilling 3pence</t>
  </si>
  <si>
    <t>Total of both</t>
  </si>
  <si>
    <t>Total of both, £5 8 shilling 3pence</t>
  </si>
  <si>
    <t>Total of all receipts</t>
  </si>
  <si>
    <t>Total of all receipts, £84 5.5pence</t>
  </si>
  <si>
    <t>Cost of ploughs</t>
  </si>
  <si>
    <t>In the ironwork of 5 ploughs for the year and 1 plough for 1 term 6 shilling 3pence.</t>
  </si>
  <si>
    <t>stipend of 1 smith, nothing, because he takes 1 acre of wheat for his stipenpence.</t>
  </si>
  <si>
    <t>6 plough-irons bought Is, 6pence.</t>
  </si>
  <si>
    <t>1 coulter bought 10pence.</t>
  </si>
  <si>
    <t>4 ploughshares 3 shilling 4pence.</t>
  </si>
  <si>
    <t>3 ploughs made anew and others mended, fitted with share-beams, and covered with boards for the year, 1 shilling 4pence.</t>
  </si>
  <si>
    <t>yokes and wooden halters made 6pence.</t>
  </si>
  <si>
    <t>4 pairs of wheels bought 1 shilling.</t>
  </si>
  <si>
    <t>boon-works of 40 ploughmen in winter and as many in Lent who ploughed as many acres as they lie 13 shilling 4pence, or 2pence a ploughman a day.</t>
  </si>
  <si>
    <t>Moreover, each ploughman will plough 1 acre in summer for fallow without food according to custom.</t>
  </si>
  <si>
    <t>.</t>
  </si>
  <si>
    <t>reward of 8 ploughmen for the year and 2 for 1 term for their Saturday ploughings 19 shilling 3pence, each taking 2 shilling less than they are accustomed, because more than accustomed was delivered to one sergeant who is there, and besides this they should each remove 1 horse which they are accustomed to have in the lord's pasture.</t>
  </si>
  <si>
    <t>healing (medicinand) oxen 4pence.</t>
  </si>
  <si>
    <t>24 oxen bought for ploughs £13 19 shilling 5pence, at 10 shilling 3pence each for 2, 11 shilling 2pence each for 15, and 13 shilling each for 7, plus 5pence in all.</t>
  </si>
  <si>
    <t>stipend of 3 oxherds for the year 9 shilling.</t>
  </si>
  <si>
    <t>10 quarters 6 bushels of maslin bought for the liveries of the manorial servants £1 15 shilling 10pence, at 3 shilling 4pence a quarters.</t>
  </si>
  <si>
    <t>3 quarters of barley bought for sowing 12 shilling, at 4 shilling a quarters.</t>
  </si>
  <si>
    <t>Total, £19 3 shilling 11pence</t>
  </si>
  <si>
    <t>Cost of carts</t>
  </si>
  <si>
    <t>In clouts, nails, grease and white leather bought for the carts for the year, and fitting 3 carts with axles at various times, 2 shilling.</t>
  </si>
  <si>
    <t>2 collars bought 1 shilling 1pence.</t>
  </si>
  <si>
    <t>1 pair of tie-beams 6pence.</t>
  </si>
  <si>
    <t>2 pairs of traces bought 1 shilling 1pence.</t>
  </si>
  <si>
    <t>2 halters bought 5pence.</t>
  </si>
  <si>
    <t>1 saddle-base bought 4pence.</t>
  </si>
  <si>
    <t>1 cart-rope 1 shilling 2pence.</t>
  </si>
  <si>
    <t>shoeing 3 cart-horses for the year and 1 for 1 term 3 shilling 6pence.</t>
  </si>
  <si>
    <t>stipend of 1 carter for the year 3 shilling Total, 13 shilling 1pence</t>
  </si>
  <si>
    <t>Cost of buildings</t>
  </si>
  <si>
    <t>In roofing the wheat-barn in places 1 shilling 6pence.</t>
  </si>
  <si>
    <t>roofing and mending the byre and sheepcote beside the church in places 3 shilling.</t>
  </si>
  <si>
    <t>roofing the sheepcote of Landecumbe 1 shilling 3pence.</t>
  </si>
  <si>
    <t>constructing 2 perches of palisade between the curia and the cemetery 1 shilling 6pence.</t>
  </si>
  <si>
    <t>pulling down the old byre 1 shilling.</t>
  </si>
  <si>
    <t>cleaning the grips in the field 4 shilling.</t>
  </si>
  <si>
    <t>marling the land sown with barley 1 shilling 6pence.</t>
  </si>
  <si>
    <t>forage bought 13 shilling 10pence.</t>
  </si>
  <si>
    <t>3 pigs bought 5 shilling Total, £1 8 shilling 11pence</t>
  </si>
  <si>
    <t>Sheepcote and sheepfold</t>
  </si>
  <si>
    <t>In grease bought for greasing sheep 12 shilling 4pence.</t>
  </si>
  <si>
    <t>stipend of 1 shepherd for' year 1 shilling.</t>
  </si>
  <si>
    <t>wattling the fold 5pence.</t>
  </si>
  <si>
    <t>mending hurdles bought 2pence Total, 13 shilling 11pence</t>
  </si>
  <si>
    <t>Threshing and winnowing</t>
  </si>
  <si>
    <t>In threshing and winnowing 104 quarters of wheat by piece-work 17 shilling 4pence, at 2pence a quarters.</t>
  </si>
  <si>
    <t>threshing 39 quarters 1 bushels of bere by piece-work 5 shilling 8.5pence, at 1.75pence a quarters.</t>
  </si>
  <si>
    <t>threshing and winnowing 8 quarters 2 bushels of barley by piece-work 10.25pence, at 1.25pence a quarters.</t>
  </si>
  <si>
    <t>threshing 123.5 quarters of oats by piece-work 5 shilling 1.75pence, at .5pence a quarters.</t>
  </si>
  <si>
    <t>winnowing the same 1 shilling 3.5pence, at 1pence per 8 quarters.</t>
  </si>
  <si>
    <t>4 sacks bought 1 shilling 9.75pence.</t>
  </si>
  <si>
    <t>1 basket bought 3pence Total, £1 12 shilling 4.75pence</t>
  </si>
  <si>
    <t>Weeding</t>
  </si>
  <si>
    <t>In weeding corn this year 3 shilling 4pence Total, 3 shilling 4pence</t>
  </si>
  <si>
    <t>Harvest-time</t>
  </si>
  <si>
    <t>In mowing 10 acres of meadow according to custom 6pence.</t>
  </si>
  <si>
    <t>2 boon-works of 167 men with the officials of the curia who reaped 65 acres of wheat and 66 acres of oats as they lie 13 shilling 4pence.</t>
  </si>
  <si>
    <t>oats, wheat</t>
  </si>
  <si>
    <t>1 boon-work of 81 free men of Eneburn and Earlstone who reaped 33 acres of wheat as they lie 6 shilling 9pence, as in bread, ale and relish.</t>
  </si>
  <si>
    <t>36 acres of oats reaped by piece-work 6 shilling, at 2pence an acre.</t>
  </si>
  <si>
    <t>Total, £1 6 shilling 7pence</t>
  </si>
  <si>
    <t>Cost of the mill</t>
  </si>
  <si>
    <t>In roofing the mill-building 4pence.</t>
  </si>
  <si>
    <t>steeling and mending bills 4pence.</t>
  </si>
  <si>
    <t>1 gudgeon for the driving-shaft of the mill 3pence.</t>
  </si>
  <si>
    <t>1 large mill-iron made under the driving-shaft of the mill with iron bought for the same 2 shilling 1.5pence.</t>
  </si>
  <si>
    <t>40 ells of canvas bought for the mill's sails 10 shilling 2pence, at 3.25pence an ell.</t>
  </si>
  <si>
    <t>grease bought 6pence.</t>
  </si>
  <si>
    <t>stipend of 1 miller for the year 6 shilling Total, £1 4.5pence</t>
  </si>
  <si>
    <t>Total of all expenses</t>
  </si>
  <si>
    <t>Total of all expenses, £26 2 shilling 6.25pence</t>
  </si>
  <si>
    <t>And he owes</t>
  </si>
  <si>
    <t>And he owes, £57 17 shilling 11.25pence</t>
  </si>
  <si>
    <t>Cash deliveries</t>
  </si>
  <si>
    <t>Delivered to Sir Geoffrey, treasurer of Wolvesey, by 1 tally, £30 13 shilling 4pence</t>
  </si>
  <si>
    <t>And he owes clear</t>
  </si>
  <si>
    <t>And he owes clear, £27 4 shilling 7.25pence</t>
  </si>
  <si>
    <t>Wheat</t>
  </si>
  <si>
    <t>{yield: five-fold plus 4 quarters 3 bushels)</t>
  </si>
  <si>
    <t>The same render account for 130 quarters from the whole issue of wheat by struck measure.</t>
  </si>
  <si>
    <t>1.5 quarters by estimation in 3 acres delivered to 1 reeve, 1 hayward and 1 smith according to custom.</t>
  </si>
  <si>
    <t>4 quarters 1 bushels by estimation in 412 sheaves delivered to the reapers of 206 acres, at 2 sheaves an acre.</t>
  </si>
  <si>
    <t>Total, 135 quarters 5 bushels</t>
  </si>
  <si>
    <t>Sown over 252 acres as they lie in the fields of Stok' and Suthlond', 31 quarters 1 bushels.</t>
  </si>
  <si>
    <t>that is, 1 bushels an acre, less 3 bushels in all.</t>
  </si>
  <si>
    <t>customary payment to the hayward, 1 bushels.</t>
  </si>
  <si>
    <t>customary payment for the mowing of the meadows, 6 bushels.</t>
  </si>
  <si>
    <t>customary payment to 1 reeve, 1 hayward, 1 smith by estimation in 3 acres according to custom, 1.5 quarters.</t>
  </si>
  <si>
    <t>Delivered to the reapers by estimation in 412 sheaves, 4 quarters 1 bushels.</t>
  </si>
  <si>
    <t>the bailiff's bread, 7.5 quarters, because he takes the rest at Ecchinswell.</t>
  </si>
  <si>
    <t>Sold, 90.5 quarters.</t>
  </si>
  <si>
    <t>Bere</t>
  </si>
  <si>
    <t>{yield: two-fold plus 1 bushels}</t>
  </si>
  <si>
    <t>The same render account for 48 quarters 7 bushels from the whole issue of bere by struck measure.</t>
  </si>
  <si>
    <t>10 quarters 6 bushels bought.</t>
  </si>
  <si>
    <t>1 quarters 2 bushels by estimation in 128 sheaves delivered to the reapers of 64 acres, at 2 sheaves an acre.</t>
  </si>
  <si>
    <t>Total, 60 quarters 7 bushels</t>
  </si>
  <si>
    <t>Sown over 25 acres as they lie in the field of Stok', 4 quarters 5 bushels.</t>
  </si>
  <si>
    <t>that is, 1.5 bushels an acre, less .5 bushels in all.</t>
  </si>
  <si>
    <t>Delivered to 1 carter, 3 oxherds for the year, 20 quarters 6 bushels, each taking a quarter every 10 weeks.</t>
  </si>
  <si>
    <t>Delivered to 1 keeper of ewes from Michaelmas (29 September) until the Annunciation (25 March), that is, for 25 weeks, 2.5 quarters.</t>
  </si>
  <si>
    <t>Delivered to 1 harrower at the time of the summer sowing, 4 bushels Delivered to 1 rook-scarer (rochurd'), 3 bushels Delivered to the reapers by estimation in 128 sheaves, 1 quarters 2 bushels.</t>
  </si>
  <si>
    <t>provision of the bailiff for the year, 4 quarters.</t>
  </si>
  <si>
    <t>Sold, 26 quarters 7 bushels</t>
  </si>
  <si>
    <t>Barley</t>
  </si>
  <si>
    <t>{yield: two-fold less 2 bushels)</t>
  </si>
  <si>
    <t>The same render account for 10 quarters 2 bushels from the whole issue of barley by struck measure.</t>
  </si>
  <si>
    <t>4 bushels by estimation in 44 sheaves delivered to the reapers of 32 acres, at 2 sheaves an acre.</t>
  </si>
  <si>
    <t>3 quarters bought.</t>
  </si>
  <si>
    <t>Total, 13 quarters 6 bushels</t>
  </si>
  <si>
    <t>Sown over 35 acres as they lie in the field of Legh', 8.5 quarters 1 bushels.</t>
  </si>
  <si>
    <t>that is, 2 bushels an  acre, less 1 bushels in all.</t>
  </si>
  <si>
    <t>Delivered to the reapers by estimation in 44 sheaves, 4 bushels Sold, 4 quarters 5 bushels</t>
  </si>
  <si>
    <t>Oats</t>
  </si>
  <si>
    <t>{yield: two-fold plus 17 quarters 1 bushels)</t>
  </si>
  <si>
    <t>The same render account for 154 quarters 3 bushels from the whole issue of oats by struck measure.</t>
  </si>
  <si>
    <t>24 quarters by estimation in sheaves given to oxen.</t>
  </si>
  <si>
    <t>2 bushels by estimation in 1.5 acres delivered to the hayward according to custom.</t>
  </si>
  <si>
    <t>2.5 quarters by estimation in 366 sheaves delivered to the reapers of 183 acres, at 2 sheaves an acre.</t>
  </si>
  <si>
    <t>Total, 181 quarters 1 bushels</t>
  </si>
  <si>
    <t>Sown over 364 acres as they lie in the fields of Ligh', Hareberd and la Nywelond', 90 quarters 7 bushels.</t>
  </si>
  <si>
    <t>that is, 2 bushels an acre, less 1 bushels in all.</t>
  </si>
  <si>
    <t>fodder of 2 cart-horses at sowing-time, 6.5 quarters.</t>
  </si>
  <si>
    <t>fodder of horses harrowing at both sowings, 4 quarters 5 bushels.</t>
  </si>
  <si>
    <t>supporting oxen by estimation in sheaves, 24 quarters.</t>
  </si>
  <si>
    <t>fodder of the bailiff's horses, 12.5 quarters, because he took the rest at Ecchinswell.</t>
  </si>
  <si>
    <t>customary payment to the hayward in 1.5 acres, 2 bushels Delivered to the reapers by estimation in 366 sheaves, 2.5 quarters.</t>
  </si>
  <si>
    <t>Sold, 39 quarters 6 bushels</t>
  </si>
  <si>
    <t>Mill</t>
  </si>
  <si>
    <t>Wheat: 2 bushels from the whole issue of the mill this year.</t>
  </si>
  <si>
    <t>all solpence</t>
  </si>
  <si>
    <t>Maslin: 19 quarters 6 bushels from the whole issue of the mill this year.</t>
  </si>
  <si>
    <t>5 quarters 1 bushels delivered to 1 miller.</t>
  </si>
  <si>
    <t>14 quarters 5 bushels solpence</t>
  </si>
  <si>
    <t>Malt: 4 quarters from the whole issue of the same mill.</t>
  </si>
  <si>
    <t>Stock</t>
  </si>
  <si>
    <t>Horses: 4 cart-horses remain from the previous year.</t>
  </si>
  <si>
    <t>4 remain</t>
  </si>
  <si>
    <t>Mares: 1 from the heriot of John Maresschal.</t>
  </si>
  <si>
    <t>1 sold.</t>
  </si>
  <si>
    <t>none remain.</t>
  </si>
  <si>
    <t>Oxen: 56 remain from the previous year.</t>
  </si>
  <si>
    <t>24 bought.</t>
  </si>
  <si>
    <t>Total, 80. 14 sold at Martinmas.</t>
  </si>
  <si>
    <t>7 in murrain.</t>
  </si>
  <si>
    <t>2 sold soon after Easter because feeble.</t>
  </si>
  <si>
    <t>Total, 23. 57 remain.</t>
  </si>
  <si>
    <t>Rams: 16 remain from the previous year.</t>
  </si>
  <si>
    <t>4 received from the hoggs of Ecchinswell.</t>
  </si>
  <si>
    <t>Total, 20. 1 sold at Martinmas.</t>
  </si>
  <si>
    <t>2 in murrain before shearing.</t>
  </si>
  <si>
    <t>3 castrated and added to the wethers of Ecchinswell.</t>
  </si>
  <si>
    <t>Total, 6. 14 remain.</t>
  </si>
  <si>
    <t>Ewes: 409 remain from the previous year.</t>
  </si>
  <si>
    <t>138 added from the hoggs of Ecchinswell.</t>
  </si>
  <si>
    <t>Total, 547. 39 sold at Martinmas.</t>
  </si>
  <si>
    <t>7 in murrain before giving birth, 18 after giving birth and before shearing, and 7 after shearing.</t>
  </si>
  <si>
    <t>Total, 71. 476 remain.</t>
  </si>
  <si>
    <t>Lambs: 345 from the offspring of the said ewes this year because 18 sterile, 7 in murrain before giving birth, and 39 sold at Martinmas.</t>
  </si>
  <si>
    <t>57 in murrain before weaning.</t>
  </si>
  <si>
    <t>28 in tithe.</t>
  </si>
  <si>
    <t>3 in customary payment to 1 reeve, 1 hayward and 1 shepherd.</t>
  </si>
  <si>
    <t>257 sent to Ashmansworth.</t>
  </si>
  <si>
    <t>Pigs: 3 bought.</t>
  </si>
  <si>
    <t>3 sold.</t>
  </si>
  <si>
    <t>Fleeces: 10 from rams, 345 from ewes produced at the shearing this year.</t>
  </si>
  <si>
    <t>Total, 355. 35 in tithe.</t>
  </si>
  <si>
    <t>320 delivered to the reeve of Highclere.</t>
  </si>
  <si>
    <t>Woolskins: 2 from rams, 25 from ewes in murrain before shearing.</t>
  </si>
  <si>
    <t>Total, 27. 3 in tithe.</t>
  </si>
  <si>
    <t>24 solpence</t>
  </si>
  <si>
    <t>Bare skins: 7 from ewes in murrain after shearing.</t>
  </si>
  <si>
    <t>Lambskins: 57 from lambs in murrain before weaning.</t>
  </si>
  <si>
    <t>5 in tithe.</t>
  </si>
  <si>
    <t>52 solpence</t>
  </si>
  <si>
    <t>Hens: 172 from churchscot. 12 in default of the land in Spoltlond drawn into demesne for the year.</t>
  </si>
  <si>
    <t>2 in default of Roger Elys because he has no wife.</t>
  </si>
  <si>
    <t>2 in default of Alice le Webb' because she has no husband.</t>
  </si>
  <si>
    <t>2 in default of Alveva la Prute for the same.</t>
  </si>
  <si>
    <t>2 in default of Christina Byke for the same.</t>
  </si>
  <si>
    <t>2 in default of Alice Druery for the same.</t>
  </si>
  <si>
    <t>2 in default of Matilda atte Holme for the same.</t>
  </si>
  <si>
    <t>2 in default of Edith Cuteles for the same.</t>
  </si>
  <si>
    <t>1 in default of Henry atte Pund' because he has no wife.</t>
  </si>
  <si>
    <t>Total, 27. 145 solpence</t>
  </si>
  <si>
    <t>Eggs: 1,100 received according to custom at Easter.</t>
  </si>
  <si>
    <t>Carts: 3 remain from the previous year.</t>
  </si>
  <si>
    <t>1 of wood worn out.</t>
  </si>
  <si>
    <t>2 remain.</t>
  </si>
  <si>
    <t>Wagons: 2 remain from the previous year.</t>
  </si>
  <si>
    <t>2 remain, 1 with iron tyres and 1 of woopence</t>
  </si>
  <si>
    <t>Error</t>
  </si>
  <si>
    <t>Total</t>
  </si>
  <si>
    <t>The same render account for £30 3 shilling 4pence from 90.5 quarters of wheat sold, at 6 shilling 8pence a qr.</t>
  </si>
  <si>
    <t>£5 7 shilling 6pence from 26 quarters 7 bushels of bere sold, at 4 shilling a qr.</t>
  </si>
  <si>
    <t>18 shilling 6pence from 4 quarters 5 bushels of barley sold, at 4 shilling a qr.</t>
  </si>
  <si>
    <t>£2 8 shilling 9pence from 14 quarters 5 bushels of maslin sold, at 3 shilling 4pence a qr.</t>
  </si>
  <si>
    <t>10 shilling from 4 quarters of malt sold, at 2 shilling 6pence a qr.</t>
  </si>
  <si>
    <t>10 quarters 6 bushels of maslin bought for the liveries of the manorial servants £1 15 shilling 10pence, at 3 shilling 4pence a qr.</t>
  </si>
  <si>
    <t>3 quarters of barley bought for sowing 12 shilling, at 4 shilling a qr.</t>
  </si>
  <si>
    <t>In threshing and winnowing 104 quarters of wheat by piece-work 17 shilling 4pence, at 2pence a qr.</t>
  </si>
  <si>
    <t>threshing 39 quarters 1 bushels of bere by piece-work 5 shilling 8.5pence, at 1.75pence a qr.</t>
  </si>
  <si>
    <t>threshing and winnowing 8 quarters 2 bushels of barley by piece-work 10.25pence, at 1.25pence a qr.</t>
  </si>
  <si>
    <t>threshing 123.5 quarters of oats by piece-work 5 shilling 1.75pence, at .5pence a qr.</t>
  </si>
  <si>
    <t>added</t>
  </si>
  <si>
    <t>sold</t>
  </si>
  <si>
    <t>Mares</t>
  </si>
  <si>
    <t>Oxen</t>
  </si>
  <si>
    <t>Rams</t>
  </si>
  <si>
    <t>Ewes</t>
  </si>
  <si>
    <t>Lambs</t>
  </si>
  <si>
    <t>Pigs</t>
  </si>
  <si>
    <t>Bareskins</t>
  </si>
  <si>
    <t>Lambskins</t>
  </si>
  <si>
    <t>Poultry stock</t>
  </si>
  <si>
    <t>Poultry production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</si>
  <si>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</si>
  <si>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</si>
  <si>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</si>
  <si>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</si>
  <si>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</si>
  <si>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</si>
  <si>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</si>
  <si>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</si>
  <si>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</si>
  <si>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</si>
  <si>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</si>
  <si>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</si>
  <si>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</si>
  <si>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</si>
  <si>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</si>
  <si>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</si>
  <si>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</si>
  <si>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</si>
  <si>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</si>
  <si>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</si>
  <si>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</si>
  <si>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</si>
  <si>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</si>
  <si>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</si>
  <si>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</si>
  <si>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</si>
  <si>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</si>
  <si>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</si>
  <si>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</si>
  <si>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Oatmeal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</si>
  <si>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</si>
  <si>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</si>
  <si>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</si>
  <si>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</si>
  <si>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</si>
  <si>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</si>
  <si>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</si>
  <si>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</si>
  <si>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Livestock</t>
  </si>
  <si>
    <t>Cart-horses</t>
  </si>
  <si>
    <t>Plough horses</t>
  </si>
  <si>
    <t>Colts (unspecified years)</t>
  </si>
  <si>
    <t>Colts (2 years)</t>
  </si>
  <si>
    <t>Colts (1 year)</t>
  </si>
  <si>
    <t>Foals</t>
  </si>
  <si>
    <t>Bulls</t>
  </si>
  <si>
    <t>Cows</t>
  </si>
  <si>
    <t>Steers</t>
  </si>
  <si>
    <t>Bullocks</t>
  </si>
  <si>
    <t>Yearlings</t>
  </si>
  <si>
    <t>Calves</t>
  </si>
  <si>
    <t>Wethers</t>
  </si>
  <si>
    <t>Hoggs</t>
  </si>
  <si>
    <t>Boars</t>
  </si>
  <si>
    <t>Sows</t>
  </si>
  <si>
    <t>Hoggets</t>
  </si>
  <si>
    <t>Piglets</t>
  </si>
  <si>
    <t>Swans</t>
  </si>
  <si>
    <t>Peacocks</t>
  </si>
  <si>
    <t>Total Value</t>
  </si>
  <si>
    <t>Wool</t>
  </si>
  <si>
    <t>Coarse wool</t>
  </si>
  <si>
    <t>Lamb's wool</t>
  </si>
  <si>
    <t>Wool locks</t>
  </si>
  <si>
    <t>Wool sold at shearing</t>
  </si>
  <si>
    <t>Total wool</t>
  </si>
  <si>
    <t>Hides</t>
  </si>
  <si>
    <t>Ox hides</t>
  </si>
  <si>
    <t>Mare</t>
  </si>
  <si>
    <t>Steer</t>
  </si>
  <si>
    <t>calves</t>
  </si>
  <si>
    <t>pigs</t>
  </si>
  <si>
    <t>wethers</t>
  </si>
  <si>
    <t>rams</t>
  </si>
  <si>
    <t>ewes</t>
  </si>
  <si>
    <t>hoggs</t>
  </si>
  <si>
    <t>Bareskins (total)</t>
  </si>
  <si>
    <t>Rotted skins</t>
  </si>
  <si>
    <t>Shorn skins</t>
  </si>
  <si>
    <t xml:space="preserve">Total </t>
  </si>
  <si>
    <t>Hens</t>
  </si>
  <si>
    <t>Geese</t>
  </si>
  <si>
    <t>Capons (from chickens)</t>
  </si>
  <si>
    <t>Cocks &amp; hens</t>
  </si>
  <si>
    <t>Total poultry stock</t>
  </si>
  <si>
    <t>Total poultry excluding churchscot</t>
  </si>
  <si>
    <t>Eggs</t>
  </si>
  <si>
    <t>Cocks &amp; hens from churchscot of customary tenants</t>
  </si>
  <si>
    <t>Sum of above</t>
  </si>
  <si>
    <t>Meat</t>
  </si>
  <si>
    <t>Beef</t>
  </si>
  <si>
    <t>Mutton</t>
  </si>
  <si>
    <t>Pork</t>
  </si>
  <si>
    <t>Cheese</t>
  </si>
  <si>
    <t>Winter cheese</t>
  </si>
  <si>
    <t>Summer cheese</t>
  </si>
  <si>
    <t>Butter</t>
  </si>
  <si>
    <t>Total Dairy Sales</t>
  </si>
  <si>
    <t>Cider</t>
  </si>
  <si>
    <t>Additional Information (not necessarily useful)</t>
  </si>
  <si>
    <t>Utensils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</si>
  <si>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</si>
  <si>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</si>
  <si>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</si>
  <si>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</si>
  <si>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</si>
  <si>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</si>
  <si>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</si>
  <si>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</si>
  <si>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</si>
  <si>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</si>
  <si>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</si>
  <si>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</si>
  <si>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</si>
  <si>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</si>
  <si>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</si>
  <si>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</si>
  <si>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</si>
  <si>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</si>
  <si>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</si>
  <si>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</si>
  <si>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</si>
  <si>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</si>
  <si>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</si>
  <si>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</si>
  <si>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</si>
  <si>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</si>
  <si>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</si>
  <si>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</si>
  <si>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</si>
  <si>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</si>
  <si>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</si>
  <si>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</si>
  <si>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</si>
  <si>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</si>
  <si>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</si>
  <si>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</si>
  <si>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</si>
  <si>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</si>
  <si>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</si>
  <si>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</si>
  <si>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</si>
  <si>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</si>
  <si>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</si>
  <si>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</si>
  <si>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</si>
  <si>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</si>
  <si>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</si>
  <si>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</si>
  <si>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</si>
  <si>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</si>
  <si>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</si>
  <si>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</si>
  <si>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</si>
  <si>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</si>
  <si>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</si>
  <si>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</si>
  <si>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</si>
  <si>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</si>
  <si>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</si>
  <si>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</si>
  <si>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</si>
  <si>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</si>
  <si>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</si>
  <si>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</si>
  <si>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</si>
  <si>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</si>
  <si>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</si>
  <si>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</si>
  <si>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</si>
  <si>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</si>
  <si>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</si>
  <si>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Allowances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</si>
  <si>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</si>
  <si>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</si>
  <si>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</si>
  <si>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</si>
  <si>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</si>
  <si>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</si>
  <si>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</si>
  <si>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</si>
  <si>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</si>
  <si>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</si>
  <si>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</si>
  <si>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</si>
  <si>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</si>
  <si>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</si>
  <si>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</si>
  <si>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Total value of stock (sum of the above)</t>
  </si>
  <si>
    <t>Total value of production</t>
  </si>
  <si>
    <t>Fleeces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</si>
  <si>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</si>
  <si>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</si>
  <si>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</si>
  <si>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</si>
  <si>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</si>
  <si>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</si>
  <si>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</si>
  <si>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</si>
  <si>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</si>
  <si>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</si>
  <si>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</si>
  <si>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</si>
  <si>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</si>
  <si>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</si>
  <si>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</si>
  <si>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Total value of stock</t>
  </si>
  <si>
    <t>Dairy Production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</si>
  <si>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</si>
  <si>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</si>
  <si>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</si>
  <si>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</si>
  <si>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</si>
  <si>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</si>
  <si>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</si>
  <si>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</si>
  <si>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</si>
  <si>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BURGHCLERE</t>
  </si>
  <si>
    <t>Total in £</t>
  </si>
  <si>
    <t>Note</t>
  </si>
  <si>
    <t>BURGHCLERE RECEIPTS</t>
  </si>
  <si>
    <t>£</t>
  </si>
  <si>
    <t xml:space="preserve">s </t>
  </si>
  <si>
    <t>d</t>
  </si>
  <si>
    <t>Notes</t>
  </si>
  <si>
    <t xml:space="preserve">1 shepherd for 2.5 terms 1 shilling 3pence </t>
  </si>
  <si>
    <t>Total, £1 10 shilling 11pence</t>
  </si>
  <si>
    <t>nothing from John Lunt because he is dead</t>
  </si>
  <si>
    <t>Total, 3pence</t>
  </si>
  <si>
    <t xml:space="preserve">£4 12 shilling 10.5pence from 39 quarters 6 bushels of oats sold, at 2 shilling a qr for 13 quarters, and 2 shilling 6pence a qr for 26 quarters 6 bushels </t>
  </si>
  <si>
    <t>Total of all corn sold, £41 2 shilling 2.5pence</t>
  </si>
  <si>
    <t>6 plough-irons bought 1 shilling, 6pence.</t>
  </si>
  <si>
    <t xml:space="preserve">stipend of 1 carter for the year 3 shilling </t>
  </si>
  <si>
    <t>Total, 13 shilling 1pence</t>
  </si>
  <si>
    <t xml:space="preserve">3 pigs bought 5 shilling </t>
  </si>
  <si>
    <t>Total, £1 8 shilling 11pence</t>
  </si>
  <si>
    <t xml:space="preserve">mending hurdles bought 2pence </t>
  </si>
  <si>
    <t>Total, 13 shilling 11pence</t>
  </si>
  <si>
    <t xml:space="preserve">1 basket bought 3pence </t>
  </si>
  <si>
    <t>Total, £1 12 shilling 4.75pence</t>
  </si>
  <si>
    <t>In weeding corn this year 3 shilling 4pence</t>
  </si>
  <si>
    <t xml:space="preserve"> Total, 3 shilling 4pence</t>
  </si>
  <si>
    <t xml:space="preserve">stipend of 1 miller for the year 6 shilling </t>
  </si>
  <si>
    <t>Total, £1 4.5pence</t>
  </si>
  <si>
    <t>BURGHCLERE STOCK ACCOUNT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</si>
  <si>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</si>
  <si>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</si>
  <si>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</si>
  <si>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</si>
  <si>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</si>
  <si>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</si>
  <si>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</si>
  <si>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</si>
  <si>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</si>
  <si>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</si>
  <si>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</si>
  <si>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</si>
  <si>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</si>
  <si>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</si>
  <si>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</si>
  <si>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</si>
  <si>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</si>
  <si>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</si>
  <si>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</si>
  <si>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Total Quantity</t>
  </si>
  <si>
    <t>Received from churchscot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</si>
  <si>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</si>
  <si>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</si>
  <si>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</si>
  <si>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</si>
  <si>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</si>
  <si>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</si>
  <si>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</si>
  <si>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</si>
  <si>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</si>
  <si>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</si>
  <si>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</si>
  <si>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</si>
  <si>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</si>
  <si>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</si>
  <si>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</si>
  <si>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</si>
  <si>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bere</t>
  </si>
  <si>
    <t>Total Production</t>
  </si>
  <si>
    <t>Sales of corn (as recorded in accounts)</t>
  </si>
  <si>
    <t>from rams</t>
  </si>
  <si>
    <t>from ewes</t>
  </si>
  <si>
    <t>Wool / Fleeces</t>
  </si>
  <si>
    <t>Woolskins</t>
  </si>
  <si>
    <t>noted as a plough horse in issues</t>
  </si>
  <si>
    <t>cannot be found in issues</t>
  </si>
  <si>
    <t>Total of all receipts recorded in accounts</t>
  </si>
  <si>
    <t>Total cross-check without arrears</t>
  </si>
  <si>
    <t>Total cross-check with arrears</t>
  </si>
  <si>
    <t>Total of quittances and defaults of rent</t>
  </si>
  <si>
    <t>Fixed investment</t>
  </si>
  <si>
    <t>Demesne fixed investment</t>
  </si>
  <si>
    <t>qrs</t>
  </si>
  <si>
    <t>Value of total gross production in £</t>
  </si>
  <si>
    <t>Value of total net production in £</t>
  </si>
  <si>
    <t>Sales value in £</t>
  </si>
  <si>
    <t>Value of production at sales prices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</si>
</sst>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sz val="11"/>
      <color rgb="FFFF0000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2" borderId="0" xfId="0" applyFont="1" applyFill="1"/>
    <xf numFmtId="0" fontId="0" fillId="0" borderId="2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5" fillId="3" borderId="0" xfId="0" applyFont="1" applyFill="1"/>
    <xf numFmtId="0" fontId="5" fillId="0" borderId="0" xfId="0" applyFont="1"/>
    <xf numFmtId="0" fontId="6" fillId="0" borderId="0" xfId="0" applyFont="1"/>
    <xf numFmtId="0" fontId="6" fillId="5" borderId="0" xfId="0" applyFont="1" applyFill="1"/>
    <xf numFmtId="0" fontId="7" fillId="0" borderId="0" xfId="0" applyFont="1"/>
    <xf numFmtId="0" fontId="2" fillId="0" borderId="0" xfId="0" applyFont="1"/>
    <xf numFmtId="0" fontId="8" fillId="3" borderId="3" xfId="0" applyFont="1" applyFill="1" applyBorder="1"/>
    <xf numFmtId="0" fontId="8" fillId="3" borderId="0" xfId="0" applyFont="1" applyFill="1"/>
    <xf numFmtId="0" fontId="9" fillId="5" borderId="0" xfId="0" applyFont="1" applyFill="1"/>
    <xf numFmtId="0" fontId="7" fillId="0" borderId="4" xfId="0" applyFont="1" applyBorder="1"/>
    <xf numFmtId="0" fontId="7" fillId="6" borderId="0" xfId="0" applyFont="1" applyFill="1"/>
    <xf numFmtId="0" fontId="10" fillId="6" borderId="0" xfId="0" applyFont="1" applyFill="1"/>
    <xf numFmtId="0" fontId="10" fillId="7" borderId="0" xfId="0" applyFont="1" applyFill="1"/>
    <xf numFmtId="0" fontId="10" fillId="5" borderId="0" xfId="0" applyFont="1" applyFill="1"/>
    <xf numFmtId="0" fontId="6" fillId="8" borderId="0" xfId="0" applyFont="1" applyFill="1"/>
    <xf numFmtId="0" fontId="6" fillId="3" borderId="0" xfId="0" applyFont="1" applyFill="1"/>
    <xf numFmtId="0" fontId="7" fillId="0" borderId="0" xfId="0" applyFont="1" applyAlignment="1">
      <alignment wrapText="1"/>
    </xf>
    <xf numFmtId="0" fontId="10" fillId="8" borderId="0" xfId="0" applyFont="1" applyFill="1"/>
    <xf numFmtId="0" fontId="7" fillId="0" borderId="5" xfId="0" applyFont="1" applyBorder="1"/>
    <xf numFmtId="0" fontId="7" fillId="0" borderId="0" xfId="0" applyFont="1" applyAlignment="1">
      <alignment horizontal="right"/>
    </xf>
    <xf numFmtId="0" fontId="7" fillId="0" borderId="5" xfId="0" applyFont="1" applyBorder="1" applyAlignment="1">
      <alignment horizontal="left"/>
    </xf>
    <xf numFmtId="0" fontId="7" fillId="3" borderId="6" xfId="0" applyFont="1" applyFill="1" applyBorder="1"/>
    <xf numFmtId="0" fontId="10" fillId="5" borderId="7" xfId="0" applyFont="1" applyFill="1" applyBorder="1"/>
    <xf numFmtId="0" fontId="10" fillId="7" borderId="7" xfId="0" applyFont="1" applyFill="1" applyBorder="1"/>
    <xf numFmtId="0" fontId="7" fillId="0" borderId="7" xfId="0" applyFont="1" applyBorder="1"/>
    <xf numFmtId="10" fontId="10" fillId="5" borderId="7" xfId="0" applyNumberFormat="1" applyFont="1" applyFill="1" applyBorder="1"/>
    <xf numFmtId="10" fontId="10" fillId="7" borderId="8" xfId="0" applyNumberFormat="1" applyFont="1" applyFill="1" applyBorder="1"/>
    <xf numFmtId="2" fontId="6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0" fontId="12" fillId="0" borderId="0" xfId="0" applyFont="1"/>
    <xf numFmtId="0" fontId="3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4" fillId="0" borderId="0" xfId="0" applyFont="1" applyAlignment="1">
      <alignment horizontal="left" vertical="top"/>
    </xf>
    <xf numFmtId="2" fontId="0" fillId="0" borderId="0" xfId="0" applyNumberFormat="1"/>
    <xf numFmtId="2" fontId="13" fillId="0" borderId="0" xfId="0" applyNumberFormat="1" applyFont="1"/>
    <xf numFmtId="2" fontId="4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0" fontId="18" fillId="0" borderId="0" xfId="0" applyFont="1"/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wrapText="1"/>
    </xf>
    <xf numFmtId="2" fontId="18" fillId="0" borderId="0" xfId="0" applyNumberFormat="1" applyFont="1" applyAlignment="1">
      <alignment horizontal="right" wrapText="1"/>
    </xf>
    <xf numFmtId="0" fontId="0" fillId="0" borderId="10" xfId="0" applyBorder="1"/>
    <xf numFmtId="0" fontId="0" fillId="9" borderId="0" xfId="0" applyFill="1"/>
    <xf numFmtId="0" fontId="0" fillId="10" borderId="0" xfId="0" applyFill="1"/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0" borderId="0" xfId="0" applyFont="1"/>
    <xf numFmtId="2" fontId="4" fillId="0" borderId="0" xfId="0" applyNumberFormat="1" applyFont="1" applyAlignment="1">
      <alignment horizontal="center" vertical="center" wrapText="1"/>
    </xf>
    <xf numFmtId="0" fontId="20" fillId="0" borderId="0" xfId="0" applyFont="1"/>
    <xf numFmtId="2" fontId="20" fillId="0" borderId="0" xfId="0" applyNumberFormat="1" applyFont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18" fillId="3" borderId="0" xfId="0" applyFont="1" applyFill="1"/>
    <xf numFmtId="0" fontId="20" fillId="3" borderId="0" xfId="0" applyFont="1" applyFill="1"/>
    <xf numFmtId="2" fontId="0" fillId="3" borderId="0" xfId="0" applyNumberFormat="1" applyFill="1"/>
    <xf numFmtId="0" fontId="0" fillId="0" borderId="12" xfId="0" applyBorder="1"/>
    <xf numFmtId="0" fontId="0" fillId="0" borderId="13" xfId="0" applyBorder="1"/>
    <xf numFmtId="0" fontId="0" fillId="0" borderId="11" xfId="0" applyBorder="1"/>
    <xf numFmtId="2" fontId="0" fillId="0" borderId="12" xfId="0" applyNumberFormat="1" applyBorder="1"/>
    <xf numFmtId="10" fontId="0" fillId="0" borderId="1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0"/>
  <sheetViews>
    <sheetView tabSelected="1" workbookViewId="0">
      <pane xSplit="1" ySplit="1" topLeftCell="B151" activePane="bottomRight" state="frozen"/>
      <selection pane="topRight" activeCell="B1" sqref="B1"/>
      <selection pane="bottomLeft" activeCell="A2" sqref="A2"/>
      <selection pane="bottomRight" activeCell="B172" sqref="B172"/>
    </sheetView>
  </sheetViews>
  <sheetFormatPr baseColWidth="10" defaultColWidth="8.83203125" defaultRowHeight="16" x14ac:dyDescent="0.2"/>
  <cols>
    <col min="1" max="1" width="80" style="17" bestFit="1" customWidth="1"/>
    <col min="2" max="2" width="29.1640625" bestFit="1" customWidth="1"/>
    <col min="3" max="3" width="8.83203125" style="73"/>
    <col min="5" max="5" width="30.83203125" bestFit="1" customWidth="1"/>
    <col min="6" max="6" width="29.33203125" bestFit="1" customWidth="1"/>
  </cols>
  <sheetData>
    <row r="1" spans="1:4" x14ac:dyDescent="0.2">
      <c r="A1" s="14" t="s">
        <v>601</v>
      </c>
      <c r="B1" s="39" t="s">
        <v>602</v>
      </c>
      <c r="C1" s="40" t="s">
        <v>359</v>
      </c>
      <c r="D1" s="2" t="s">
        <v>603</v>
      </c>
    </row>
    <row r="2" spans="1:4" x14ac:dyDescent="0.2">
      <c r="A2" s="14" t="s">
        <v>510</v>
      </c>
    </row>
    <row r="3" spans="1:4" x14ac:dyDescent="0.2">
      <c r="A3" s="15" t="s">
        <v>511</v>
      </c>
    </row>
    <row r="4" spans="1:4" x14ac:dyDescent="0.2">
      <c r="A4" s="16" t="s">
        <v>512</v>
      </c>
    </row>
    <row r="5" spans="1:4" x14ac:dyDescent="0.2">
      <c r="A5" s="16" t="s">
        <v>513</v>
      </c>
    </row>
    <row r="6" spans="1:4" x14ac:dyDescent="0.2">
      <c r="A6" s="16" t="s">
        <v>514</v>
      </c>
    </row>
    <row r="7" spans="1:4" x14ac:dyDescent="0.2">
      <c r="A7" s="16" t="s">
        <v>515</v>
      </c>
    </row>
    <row r="8" spans="1:4" x14ac:dyDescent="0.2">
      <c r="A8" s="17" t="s">
        <v>516</v>
      </c>
    </row>
    <row r="9" spans="1:4" x14ac:dyDescent="0.2">
      <c r="A9" s="17" t="s">
        <v>517</v>
      </c>
    </row>
    <row r="10" spans="1:4" x14ac:dyDescent="0.2">
      <c r="A10" s="17" t="s">
        <v>518</v>
      </c>
    </row>
    <row r="11" spans="1:4" x14ac:dyDescent="0.2">
      <c r="A11" s="17" t="s">
        <v>519</v>
      </c>
    </row>
    <row r="12" spans="1:4" x14ac:dyDescent="0.2">
      <c r="A12" s="17" t="s">
        <v>520</v>
      </c>
    </row>
    <row r="13" spans="1:4" x14ac:dyDescent="0.2">
      <c r="A13" s="17" t="s">
        <v>521</v>
      </c>
    </row>
    <row r="14" spans="1:4" x14ac:dyDescent="0.2">
      <c r="A14" s="16" t="s">
        <v>522</v>
      </c>
    </row>
    <row r="15" spans="1:4" x14ac:dyDescent="0.2">
      <c r="A15" s="16" t="s">
        <v>523</v>
      </c>
    </row>
    <row r="16" spans="1:4" x14ac:dyDescent="0.2">
      <c r="A16" s="17" t="s">
        <v>524</v>
      </c>
    </row>
    <row r="17" spans="1:3" x14ac:dyDescent="0.2">
      <c r="A17" s="17" t="s">
        <v>525</v>
      </c>
    </row>
    <row r="18" spans="1:3" x14ac:dyDescent="0.2">
      <c r="A18" s="16" t="s">
        <v>526</v>
      </c>
    </row>
    <row r="19" spans="1:3" x14ac:dyDescent="0.2">
      <c r="A19" s="16" t="s">
        <v>527</v>
      </c>
    </row>
    <row r="20" spans="1:3" x14ac:dyDescent="0.2">
      <c r="A20" s="16" t="s">
        <v>528</v>
      </c>
    </row>
    <row r="21" spans="1:3" x14ac:dyDescent="0.2">
      <c r="A21" s="17" t="s">
        <v>529</v>
      </c>
    </row>
    <row r="22" spans="1:3" x14ac:dyDescent="0.2">
      <c r="A22" s="17" t="s">
        <v>530</v>
      </c>
    </row>
    <row r="23" spans="1:3" x14ac:dyDescent="0.2">
      <c r="A23" s="18" t="s">
        <v>531</v>
      </c>
      <c r="B23" s="47">
        <f>Receipts!F145</f>
        <v>84.02</v>
      </c>
    </row>
    <row r="24" spans="1:3" x14ac:dyDescent="0.2">
      <c r="A24" s="19" t="s">
        <v>532</v>
      </c>
      <c r="B24" s="47">
        <f>Receipts!F146</f>
        <v>84.527499999999989</v>
      </c>
    </row>
    <row r="25" spans="1:3" x14ac:dyDescent="0.2">
      <c r="A25" s="20" t="s">
        <v>533</v>
      </c>
      <c r="B25" s="47">
        <f>Receipts!F145</f>
        <v>84.02</v>
      </c>
      <c r="C25" s="74">
        <f>B25-B23</f>
        <v>0</v>
      </c>
    </row>
    <row r="26" spans="1:3" x14ac:dyDescent="0.2">
      <c r="A26" s="20" t="s">
        <v>534</v>
      </c>
    </row>
    <row r="27" spans="1:3" x14ac:dyDescent="0.2">
      <c r="A27" s="16"/>
    </row>
    <row r="28" spans="1:3" x14ac:dyDescent="0.2">
      <c r="A28" s="16"/>
    </row>
    <row r="29" spans="1:3" x14ac:dyDescent="0.2">
      <c r="A29" s="15" t="s">
        <v>535</v>
      </c>
    </row>
    <row r="30" spans="1:3" x14ac:dyDescent="0.2">
      <c r="A30" s="16" t="s">
        <v>536</v>
      </c>
    </row>
    <row r="31" spans="1:3" x14ac:dyDescent="0.2">
      <c r="A31" s="16" t="s">
        <v>537</v>
      </c>
    </row>
    <row r="32" spans="1:3" x14ac:dyDescent="0.2">
      <c r="A32" s="16" t="s">
        <v>538</v>
      </c>
    </row>
    <row r="33" spans="1:3" x14ac:dyDescent="0.2">
      <c r="A33" s="16" t="s">
        <v>539</v>
      </c>
    </row>
    <row r="34" spans="1:3" x14ac:dyDescent="0.2">
      <c r="A34" s="16" t="s">
        <v>540</v>
      </c>
    </row>
    <row r="35" spans="1:3" x14ac:dyDescent="0.2">
      <c r="A35" s="16" t="s">
        <v>541</v>
      </c>
    </row>
    <row r="36" spans="1:3" x14ac:dyDescent="0.2">
      <c r="A36" s="16" t="s">
        <v>542</v>
      </c>
    </row>
    <row r="37" spans="1:3" x14ac:dyDescent="0.2">
      <c r="A37" s="16" t="s">
        <v>543</v>
      </c>
    </row>
    <row r="38" spans="1:3" x14ac:dyDescent="0.2">
      <c r="A38" s="16" t="s">
        <v>544</v>
      </c>
    </row>
    <row r="39" spans="1:3" x14ac:dyDescent="0.2">
      <c r="A39" s="16" t="s">
        <v>545</v>
      </c>
    </row>
    <row r="40" spans="1:3" x14ac:dyDescent="0.2">
      <c r="A40" s="16" t="s">
        <v>546</v>
      </c>
    </row>
    <row r="41" spans="1:3" x14ac:dyDescent="0.2">
      <c r="A41" s="16" t="s">
        <v>547</v>
      </c>
    </row>
    <row r="42" spans="1:3" x14ac:dyDescent="0.2">
      <c r="A42" s="16" t="s">
        <v>548</v>
      </c>
    </row>
    <row r="43" spans="1:3" x14ac:dyDescent="0.2">
      <c r="A43" s="21" t="s">
        <v>549</v>
      </c>
    </row>
    <row r="44" spans="1:3" x14ac:dyDescent="0.2">
      <c r="A44" s="19" t="s">
        <v>550</v>
      </c>
      <c r="B44" s="47">
        <f>Expenses!F94</f>
        <v>26.13</v>
      </c>
    </row>
    <row r="45" spans="1:3" x14ac:dyDescent="0.2">
      <c r="A45" s="19" t="s">
        <v>551</v>
      </c>
      <c r="B45" s="47">
        <f>Expenses!F95</f>
        <v>27.045000000000002</v>
      </c>
      <c r="C45" s="74">
        <f>B45-B44</f>
        <v>0.9150000000000027</v>
      </c>
    </row>
    <row r="46" spans="1:3" x14ac:dyDescent="0.2">
      <c r="A46" s="19" t="s">
        <v>552</v>
      </c>
      <c r="B46" s="47">
        <f>Expenses!F96</f>
        <v>3.505833333333332</v>
      </c>
    </row>
    <row r="47" spans="1:3" x14ac:dyDescent="0.2">
      <c r="A47" s="19" t="s">
        <v>553</v>
      </c>
      <c r="B47" s="47">
        <f>Expenses!F97</f>
        <v>2.4308333333333332</v>
      </c>
    </row>
    <row r="48" spans="1:3" x14ac:dyDescent="0.2">
      <c r="A48" s="2"/>
    </row>
    <row r="49" spans="1:6" x14ac:dyDescent="0.2">
      <c r="A49" s="22" t="s">
        <v>554</v>
      </c>
    </row>
    <row r="50" spans="1:6" x14ac:dyDescent="0.2">
      <c r="A50" s="22" t="s">
        <v>555</v>
      </c>
    </row>
    <row r="51" spans="1:6" x14ac:dyDescent="0.2">
      <c r="A51" s="16"/>
    </row>
    <row r="52" spans="1:6" x14ac:dyDescent="0.2">
      <c r="A52" s="22" t="s">
        <v>556</v>
      </c>
    </row>
    <row r="53" spans="1:6" x14ac:dyDescent="0.2">
      <c r="A53" s="22" t="s">
        <v>241</v>
      </c>
    </row>
    <row r="54" spans="1:6" x14ac:dyDescent="0.2">
      <c r="A54" s="23" t="s">
        <v>557</v>
      </c>
    </row>
    <row r="55" spans="1:6" x14ac:dyDescent="0.2">
      <c r="A55" s="24" t="s">
        <v>558</v>
      </c>
    </row>
    <row r="56" spans="1:6" x14ac:dyDescent="0.2">
      <c r="A56" s="16"/>
    </row>
    <row r="57" spans="1:6" x14ac:dyDescent="0.2">
      <c r="A57" s="22" t="s">
        <v>559</v>
      </c>
    </row>
    <row r="58" spans="1:6" x14ac:dyDescent="0.2">
      <c r="A58" s="22" t="s">
        <v>560</v>
      </c>
    </row>
    <row r="59" spans="1:6" x14ac:dyDescent="0.2">
      <c r="A59" s="16"/>
    </row>
    <row r="60" spans="1:6" x14ac:dyDescent="0.2">
      <c r="A60" s="15" t="s">
        <v>561</v>
      </c>
      <c r="B60" s="75" t="s">
        <v>667</v>
      </c>
      <c r="C60" s="75"/>
      <c r="D60" s="76"/>
      <c r="E60" s="76"/>
      <c r="F60" s="77"/>
    </row>
    <row r="61" spans="1:6" x14ac:dyDescent="0.2">
      <c r="A61" s="14" t="s">
        <v>562</v>
      </c>
      <c r="B61" s="78" t="s">
        <v>681</v>
      </c>
      <c r="C61" s="79"/>
      <c r="D61" s="71"/>
      <c r="E61" s="80" t="s">
        <v>682</v>
      </c>
      <c r="F61" s="80" t="s">
        <v>683</v>
      </c>
    </row>
    <row r="62" spans="1:6" ht="15" x14ac:dyDescent="0.2">
      <c r="A62" t="s">
        <v>102</v>
      </c>
      <c r="B62">
        <f>'Issues of the Grange'!B2</f>
        <v>135.625</v>
      </c>
      <c r="E62" s="47">
        <f>'Issues of the Grange'!I2</f>
        <v>45.208333333333329</v>
      </c>
      <c r="F62" s="47">
        <f>'Issues of the Grange'!O11</f>
        <v>30.166666666666664</v>
      </c>
    </row>
    <row r="63" spans="1:6" ht="15" x14ac:dyDescent="0.2">
      <c r="A63" t="s">
        <v>666</v>
      </c>
      <c r="B63">
        <f>'Issues of the Grange'!B3</f>
        <v>60.875</v>
      </c>
      <c r="E63" s="47">
        <f>'Issues of the Grange'!I3</f>
        <v>12.175000000000001</v>
      </c>
      <c r="F63" s="47">
        <f>'Issues of the Grange'!O12</f>
        <v>5.375</v>
      </c>
    </row>
    <row r="64" spans="1:6" ht="15" x14ac:dyDescent="0.2">
      <c r="A64" t="s">
        <v>105</v>
      </c>
      <c r="B64">
        <f>'Issues of the Grange'!B4</f>
        <v>13.75</v>
      </c>
      <c r="E64" s="47">
        <f>'Issues of the Grange'!I4</f>
        <v>2.75</v>
      </c>
      <c r="F64" s="47">
        <f>'Issues of the Grange'!O13</f>
        <v>0.92500000000000004</v>
      </c>
    </row>
    <row r="65" spans="1:6" ht="15" x14ac:dyDescent="0.2">
      <c r="A65" t="s">
        <v>107</v>
      </c>
      <c r="B65">
        <f>'Issues of the Grange'!B5</f>
        <v>181.125</v>
      </c>
      <c r="E65" s="47">
        <f>'Issues of the Grange'!I5</f>
        <v>21.159728773584909</v>
      </c>
      <c r="F65" s="47">
        <f>'Issues of the Grange'!O14</f>
        <v>4.9358097484276735</v>
      </c>
    </row>
    <row r="66" spans="1:6" x14ac:dyDescent="0.2">
      <c r="A66" s="25" t="s">
        <v>563</v>
      </c>
      <c r="B66" s="10"/>
      <c r="C66" s="82"/>
      <c r="D66" s="10"/>
      <c r="E66" s="83">
        <f>SUM(E62:E65)</f>
        <v>81.293062106918228</v>
      </c>
      <c r="F66" s="10"/>
    </row>
    <row r="67" spans="1:6" x14ac:dyDescent="0.2">
      <c r="A67" s="25" t="s">
        <v>564</v>
      </c>
      <c r="B67" s="10"/>
      <c r="C67" s="82"/>
      <c r="D67" s="10"/>
      <c r="E67" s="83">
        <f>SUM(F62:F65)</f>
        <v>41.402476415094334</v>
      </c>
      <c r="F67" s="10"/>
    </row>
    <row r="68" spans="1:6" x14ac:dyDescent="0.2">
      <c r="A68" s="25" t="s">
        <v>565</v>
      </c>
      <c r="B68" s="10"/>
      <c r="C68" s="82"/>
      <c r="D68" s="10"/>
      <c r="E68" s="83">
        <f>Receipts!F84</f>
        <v>41.12</v>
      </c>
      <c r="F68" s="10"/>
    </row>
    <row r="69" spans="1:6" x14ac:dyDescent="0.2">
      <c r="A69" s="16"/>
    </row>
    <row r="70" spans="1:6" x14ac:dyDescent="0.2">
      <c r="A70" s="15" t="s">
        <v>566</v>
      </c>
    </row>
    <row r="71" spans="1:6" x14ac:dyDescent="0.2">
      <c r="A71" s="14" t="s">
        <v>567</v>
      </c>
    </row>
    <row r="72" spans="1:6" x14ac:dyDescent="0.2">
      <c r="A72" s="16" t="s">
        <v>245</v>
      </c>
    </row>
    <row r="73" spans="1:6" x14ac:dyDescent="0.2">
      <c r="A73" s="16" t="s">
        <v>413</v>
      </c>
    </row>
    <row r="74" spans="1:6" x14ac:dyDescent="0.2">
      <c r="A74" s="16" t="s">
        <v>568</v>
      </c>
    </row>
    <row r="75" spans="1:6" x14ac:dyDescent="0.2">
      <c r="A75" s="16" t="s">
        <v>569</v>
      </c>
    </row>
    <row r="76" spans="1:6" x14ac:dyDescent="0.2">
      <c r="A76" s="16" t="s">
        <v>412</v>
      </c>
    </row>
    <row r="77" spans="1:6" x14ac:dyDescent="0.2">
      <c r="A77" s="25" t="s">
        <v>570</v>
      </c>
    </row>
    <row r="78" spans="1:6" x14ac:dyDescent="0.2">
      <c r="A78" s="25" t="s">
        <v>565</v>
      </c>
    </row>
    <row r="79" spans="1:6" x14ac:dyDescent="0.2">
      <c r="A79" s="16"/>
    </row>
    <row r="80" spans="1:6" x14ac:dyDescent="0.2">
      <c r="A80" s="26" t="s">
        <v>571</v>
      </c>
      <c r="B80" s="10"/>
    </row>
    <row r="81" spans="1:2" x14ac:dyDescent="0.2">
      <c r="A81" s="27" t="s">
        <v>422</v>
      </c>
      <c r="B81" s="81" t="s">
        <v>684</v>
      </c>
    </row>
    <row r="82" spans="1:2" ht="17" x14ac:dyDescent="0.2">
      <c r="A82" s="28" t="s">
        <v>423</v>
      </c>
      <c r="B82">
        <f>Stock!R5</f>
        <v>0</v>
      </c>
    </row>
    <row r="83" spans="1:2" ht="17" x14ac:dyDescent="0.2">
      <c r="A83" s="28" t="s">
        <v>374</v>
      </c>
      <c r="B83">
        <f>Stock!R6</f>
        <v>0.2</v>
      </c>
    </row>
    <row r="84" spans="1:2" x14ac:dyDescent="0.2">
      <c r="A84" s="16" t="s">
        <v>424</v>
      </c>
      <c r="B84">
        <f>Stock!R7</f>
        <v>0</v>
      </c>
    </row>
    <row r="85" spans="1:2" x14ac:dyDescent="0.2">
      <c r="A85" s="16" t="s">
        <v>426</v>
      </c>
      <c r="B85">
        <f>Stock!R8</f>
        <v>0</v>
      </c>
    </row>
    <row r="86" spans="1:2" x14ac:dyDescent="0.2">
      <c r="A86" s="16" t="s">
        <v>426</v>
      </c>
      <c r="B86">
        <f>Stock!R9</f>
        <v>0</v>
      </c>
    </row>
    <row r="87" spans="1:2" x14ac:dyDescent="0.2">
      <c r="A87" s="16" t="s">
        <v>427</v>
      </c>
      <c r="B87">
        <f>Stock!R10</f>
        <v>0</v>
      </c>
    </row>
    <row r="88" spans="1:2" x14ac:dyDescent="0.2">
      <c r="A88" s="16" t="s">
        <v>428</v>
      </c>
      <c r="B88">
        <f>Stock!R11</f>
        <v>0</v>
      </c>
    </row>
    <row r="89" spans="1:2" x14ac:dyDescent="0.2">
      <c r="A89" s="16" t="s">
        <v>375</v>
      </c>
      <c r="B89">
        <f>Stock!R12</f>
        <v>6.35</v>
      </c>
    </row>
    <row r="90" spans="1:2" x14ac:dyDescent="0.2">
      <c r="A90" s="16" t="s">
        <v>429</v>
      </c>
      <c r="B90">
        <f>Stock!R13</f>
        <v>0</v>
      </c>
    </row>
    <row r="91" spans="1:2" x14ac:dyDescent="0.2">
      <c r="A91" s="16" t="s">
        <v>430</v>
      </c>
      <c r="B91">
        <f>Stock!R14</f>
        <v>0</v>
      </c>
    </row>
    <row r="92" spans="1:2" x14ac:dyDescent="0.2">
      <c r="A92" s="16" t="s">
        <v>431</v>
      </c>
      <c r="B92">
        <f>Stock!R15</f>
        <v>0</v>
      </c>
    </row>
    <row r="93" spans="1:2" x14ac:dyDescent="0.2">
      <c r="A93" s="16" t="s">
        <v>432</v>
      </c>
      <c r="B93">
        <f>Stock!R16</f>
        <v>0</v>
      </c>
    </row>
    <row r="94" spans="1:2" x14ac:dyDescent="0.2">
      <c r="A94" s="16" t="s">
        <v>433</v>
      </c>
      <c r="B94">
        <f>Stock!R17</f>
        <v>0</v>
      </c>
    </row>
    <row r="95" spans="1:2" x14ac:dyDescent="0.2">
      <c r="A95" s="16" t="s">
        <v>434</v>
      </c>
      <c r="B95">
        <f>Stock!R18</f>
        <v>0</v>
      </c>
    </row>
    <row r="96" spans="1:2" x14ac:dyDescent="0.2">
      <c r="A96" s="16" t="s">
        <v>435</v>
      </c>
      <c r="B96">
        <f>Stock!R19</f>
        <v>0</v>
      </c>
    </row>
    <row r="97" spans="1:2" x14ac:dyDescent="0.2">
      <c r="A97" s="16" t="s">
        <v>376</v>
      </c>
      <c r="B97">
        <f>Stock!R20</f>
        <v>1.33</v>
      </c>
    </row>
    <row r="98" spans="1:2" x14ac:dyDescent="0.2">
      <c r="A98" s="16" t="s">
        <v>377</v>
      </c>
      <c r="B98">
        <f>Stock!R21</f>
        <v>1.33</v>
      </c>
    </row>
    <row r="99" spans="1:2" x14ac:dyDescent="0.2">
      <c r="A99" s="16" t="s">
        <v>436</v>
      </c>
      <c r="B99">
        <f>Stock!R22</f>
        <v>0</v>
      </c>
    </row>
    <row r="100" spans="1:2" x14ac:dyDescent="0.2">
      <c r="A100" s="16" t="s">
        <v>378</v>
      </c>
      <c r="B100">
        <f>Stock!R23</f>
        <v>0</v>
      </c>
    </row>
    <row r="101" spans="1:2" x14ac:dyDescent="0.2">
      <c r="A101" s="16" t="s">
        <v>437</v>
      </c>
      <c r="B101">
        <f>Stock!R24</f>
        <v>0</v>
      </c>
    </row>
    <row r="102" spans="1:2" x14ac:dyDescent="0.2">
      <c r="A102" s="16" t="s">
        <v>438</v>
      </c>
      <c r="B102">
        <f>Stock!R25</f>
        <v>0</v>
      </c>
    </row>
    <row r="103" spans="1:2" x14ac:dyDescent="0.2">
      <c r="A103" s="16" t="s">
        <v>379</v>
      </c>
      <c r="B103">
        <f>Stock!R26</f>
        <v>0.43</v>
      </c>
    </row>
    <row r="104" spans="1:2" x14ac:dyDescent="0.2">
      <c r="A104" s="16" t="s">
        <v>439</v>
      </c>
      <c r="B104">
        <f>Stock!R27</f>
        <v>0</v>
      </c>
    </row>
    <row r="105" spans="1:2" x14ac:dyDescent="0.2">
      <c r="A105" s="16" t="s">
        <v>440</v>
      </c>
      <c r="B105">
        <f>Stock!R28</f>
        <v>0</v>
      </c>
    </row>
    <row r="106" spans="1:2" x14ac:dyDescent="0.2">
      <c r="A106" s="16" t="s">
        <v>441</v>
      </c>
      <c r="B106">
        <f>Stock!R29</f>
        <v>0</v>
      </c>
    </row>
    <row r="107" spans="1:2" x14ac:dyDescent="0.2">
      <c r="A107" s="16" t="s">
        <v>442</v>
      </c>
      <c r="B107">
        <f>Stock!R30</f>
        <v>0</v>
      </c>
    </row>
    <row r="108" spans="1:2" x14ac:dyDescent="0.2">
      <c r="A108" s="25" t="s">
        <v>572</v>
      </c>
      <c r="B108" s="10"/>
    </row>
    <row r="109" spans="1:2" x14ac:dyDescent="0.2">
      <c r="A109" s="25" t="s">
        <v>573</v>
      </c>
      <c r="B109" s="10"/>
    </row>
    <row r="110" spans="1:2" x14ac:dyDescent="0.2">
      <c r="A110" s="25" t="s">
        <v>565</v>
      </c>
      <c r="B110" s="10">
        <f>Stock!R31</f>
        <v>9.64</v>
      </c>
    </row>
    <row r="111" spans="1:2" x14ac:dyDescent="0.2">
      <c r="A111" s="16"/>
    </row>
    <row r="112" spans="1:2" x14ac:dyDescent="0.2">
      <c r="A112" s="15" t="s">
        <v>444</v>
      </c>
      <c r="B112" s="81" t="s">
        <v>685</v>
      </c>
    </row>
    <row r="113" spans="1:2" ht="15" x14ac:dyDescent="0.2">
      <c r="A113" t="s">
        <v>574</v>
      </c>
      <c r="B113">
        <f>Stock!T35</f>
        <v>7.1000000000000005</v>
      </c>
    </row>
    <row r="114" spans="1:2" ht="15" x14ac:dyDescent="0.2">
      <c r="A114" s="7" t="s">
        <v>669</v>
      </c>
      <c r="B114">
        <f>Stock!T36</f>
        <v>0</v>
      </c>
    </row>
    <row r="115" spans="1:2" ht="15" x14ac:dyDescent="0.2">
      <c r="A115" s="7" t="s">
        <v>670</v>
      </c>
      <c r="B115">
        <f>Stock!T37</f>
        <v>0</v>
      </c>
    </row>
    <row r="116" spans="1:2" ht="15" x14ac:dyDescent="0.2">
      <c r="A116" t="s">
        <v>445</v>
      </c>
      <c r="B116">
        <f>Stock!T38</f>
        <v>0</v>
      </c>
    </row>
    <row r="117" spans="1:2" ht="15" x14ac:dyDescent="0.2">
      <c r="A117" t="s">
        <v>446</v>
      </c>
      <c r="B117">
        <f>Stock!T39</f>
        <v>0</v>
      </c>
    </row>
    <row r="118" spans="1:2" ht="15" x14ac:dyDescent="0.2">
      <c r="A118" t="s">
        <v>447</v>
      </c>
      <c r="B118">
        <f>Stock!T40</f>
        <v>0</v>
      </c>
    </row>
    <row r="119" spans="1:2" ht="15" x14ac:dyDescent="0.2">
      <c r="A119" t="s">
        <v>448</v>
      </c>
      <c r="B119">
        <f>Stock!T41</f>
        <v>0</v>
      </c>
    </row>
    <row r="120" spans="1:2" x14ac:dyDescent="0.2">
      <c r="A120" s="29" t="s">
        <v>570</v>
      </c>
      <c r="B120" s="10">
        <f>Stock!T42</f>
        <v>7.1000000000000005</v>
      </c>
    </row>
    <row r="121" spans="1:2" x14ac:dyDescent="0.2">
      <c r="A121" s="29" t="s">
        <v>565</v>
      </c>
      <c r="B121" s="10"/>
    </row>
    <row r="122" spans="1:2" x14ac:dyDescent="0.2">
      <c r="A122" s="14"/>
    </row>
    <row r="123" spans="1:2" x14ac:dyDescent="0.2">
      <c r="A123" s="15" t="s">
        <v>450</v>
      </c>
      <c r="B123" s="81" t="s">
        <v>685</v>
      </c>
    </row>
    <row r="124" spans="1:2" x14ac:dyDescent="0.2">
      <c r="A124" s="16" t="s">
        <v>451</v>
      </c>
      <c r="B124">
        <f>Stock!T46</f>
        <v>0</v>
      </c>
    </row>
    <row r="125" spans="1:2" x14ac:dyDescent="0.2">
      <c r="A125" s="16" t="s">
        <v>575</v>
      </c>
      <c r="B125">
        <f>Stock!T47</f>
        <v>0</v>
      </c>
    </row>
    <row r="126" spans="1:2" x14ac:dyDescent="0.2">
      <c r="A126" s="16" t="s">
        <v>576</v>
      </c>
      <c r="B126">
        <f>Stock!T48</f>
        <v>0</v>
      </c>
    </row>
    <row r="127" spans="1:2" x14ac:dyDescent="0.2">
      <c r="A127" s="16" t="s">
        <v>577</v>
      </c>
      <c r="B127">
        <f>Stock!T49</f>
        <v>0</v>
      </c>
    </row>
    <row r="128" spans="1:2" x14ac:dyDescent="0.2">
      <c r="A128" s="16" t="s">
        <v>578</v>
      </c>
      <c r="B128">
        <f>Stock!T50</f>
        <v>0</v>
      </c>
    </row>
    <row r="129" spans="1:2" x14ac:dyDescent="0.2">
      <c r="A129" s="16" t="s">
        <v>579</v>
      </c>
      <c r="B129">
        <f>Stock!T51</f>
        <v>0</v>
      </c>
    </row>
    <row r="130" spans="1:2" x14ac:dyDescent="0.2">
      <c r="A130" s="30" t="s">
        <v>580</v>
      </c>
      <c r="B130">
        <f>Stock!T52</f>
        <v>0</v>
      </c>
    </row>
    <row r="131" spans="1:2" x14ac:dyDescent="0.2">
      <c r="A131" s="31" t="s">
        <v>581</v>
      </c>
      <c r="B131">
        <f>Stock!T53</f>
        <v>0</v>
      </c>
    </row>
    <row r="132" spans="1:2" x14ac:dyDescent="0.2">
      <c r="A132" s="31" t="s">
        <v>582</v>
      </c>
      <c r="B132">
        <f>Stock!T54</f>
        <v>0</v>
      </c>
    </row>
    <row r="133" spans="1:2" x14ac:dyDescent="0.2">
      <c r="A133" s="31" t="s">
        <v>583</v>
      </c>
      <c r="B133">
        <f>Stock!T55</f>
        <v>0</v>
      </c>
    </row>
    <row r="134" spans="1:2" x14ac:dyDescent="0.2">
      <c r="A134" s="31" t="s">
        <v>584</v>
      </c>
      <c r="B134">
        <f>Stock!T56</f>
        <v>0.34875</v>
      </c>
    </row>
    <row r="135" spans="1:2" x14ac:dyDescent="0.2">
      <c r="A135" s="32" t="s">
        <v>585</v>
      </c>
      <c r="B135">
        <f>Stock!T57</f>
        <v>0</v>
      </c>
    </row>
    <row r="136" spans="1:2" x14ac:dyDescent="0.2">
      <c r="A136" s="31" t="s">
        <v>586</v>
      </c>
      <c r="B136">
        <f>Stock!T58</f>
        <v>0</v>
      </c>
    </row>
    <row r="137" spans="1:2" x14ac:dyDescent="0.2">
      <c r="A137" s="31" t="s">
        <v>587</v>
      </c>
      <c r="B137">
        <f>Stock!T59</f>
        <v>0</v>
      </c>
    </row>
    <row r="138" spans="1:2" x14ac:dyDescent="0.2">
      <c r="A138" s="31" t="s">
        <v>588</v>
      </c>
      <c r="B138">
        <f>Stock!T60</f>
        <v>0</v>
      </c>
    </row>
    <row r="139" spans="1:2" x14ac:dyDescent="0.2">
      <c r="A139" s="31" t="s">
        <v>589</v>
      </c>
      <c r="B139">
        <f>Stock!T61</f>
        <v>0</v>
      </c>
    </row>
    <row r="140" spans="1:2" x14ac:dyDescent="0.2">
      <c r="A140" s="32" t="s">
        <v>460</v>
      </c>
      <c r="B140">
        <f>Stock!T62</f>
        <v>0</v>
      </c>
    </row>
    <row r="141" spans="1:2" x14ac:dyDescent="0.2">
      <c r="A141" s="16" t="s">
        <v>381</v>
      </c>
      <c r="B141">
        <f>Stock!T63</f>
        <v>0.24115384615384614</v>
      </c>
    </row>
    <row r="142" spans="1:2" x14ac:dyDescent="0.2">
      <c r="A142" s="16" t="s">
        <v>461</v>
      </c>
      <c r="B142">
        <f>Stock!T64</f>
        <v>0</v>
      </c>
    </row>
    <row r="143" spans="1:2" x14ac:dyDescent="0.2">
      <c r="A143" s="16" t="s">
        <v>462</v>
      </c>
      <c r="B143">
        <f>Stock!T65</f>
        <v>0</v>
      </c>
    </row>
    <row r="144" spans="1:2" x14ac:dyDescent="0.2">
      <c r="A144" s="25" t="s">
        <v>570</v>
      </c>
      <c r="B144" s="83">
        <f>Stock!T66</f>
        <v>0.58990384615384617</v>
      </c>
    </row>
    <row r="145" spans="1:2" x14ac:dyDescent="0.2">
      <c r="A145" s="25" t="s">
        <v>565</v>
      </c>
      <c r="B145" s="10">
        <f>Stock!R66</f>
        <v>0.53</v>
      </c>
    </row>
    <row r="146" spans="1:2" x14ac:dyDescent="0.2">
      <c r="A146" s="16"/>
    </row>
    <row r="147" spans="1:2" x14ac:dyDescent="0.2">
      <c r="A147" s="15" t="s">
        <v>382</v>
      </c>
      <c r="B147" s="81" t="s">
        <v>685</v>
      </c>
    </row>
    <row r="148" spans="1:2" ht="17" x14ac:dyDescent="0.2">
      <c r="A148" s="28" t="s">
        <v>464</v>
      </c>
      <c r="B148">
        <f>Stock!T70</f>
        <v>0</v>
      </c>
    </row>
    <row r="149" spans="1:2" x14ac:dyDescent="0.2">
      <c r="A149" s="16" t="s">
        <v>465</v>
      </c>
      <c r="B149">
        <f>Stock!T71</f>
        <v>0</v>
      </c>
    </row>
    <row r="150" spans="1:2" x14ac:dyDescent="0.2">
      <c r="A150" s="16" t="s">
        <v>466</v>
      </c>
      <c r="B150">
        <f>Stock!T72</f>
        <v>0</v>
      </c>
    </row>
    <row r="151" spans="1:2" x14ac:dyDescent="0.2">
      <c r="A151" s="16" t="s">
        <v>467</v>
      </c>
      <c r="B151">
        <f>Stock!T73</f>
        <v>0</v>
      </c>
    </row>
    <row r="152" spans="1:2" x14ac:dyDescent="0.2">
      <c r="A152" s="29" t="s">
        <v>570</v>
      </c>
      <c r="B152">
        <f>Stock!T74</f>
        <v>0</v>
      </c>
    </row>
    <row r="153" spans="1:2" x14ac:dyDescent="0.2">
      <c r="A153" s="29" t="s">
        <v>565</v>
      </c>
      <c r="B153">
        <f>Stock!T75</f>
        <v>0</v>
      </c>
    </row>
    <row r="154" spans="1:2" x14ac:dyDescent="0.2">
      <c r="A154" s="16"/>
    </row>
    <row r="155" spans="1:2" x14ac:dyDescent="0.2">
      <c r="A155" s="15" t="s">
        <v>383</v>
      </c>
    </row>
    <row r="156" spans="1:2" x14ac:dyDescent="0.2">
      <c r="A156" s="16" t="s">
        <v>470</v>
      </c>
      <c r="B156">
        <f>Stock!T78</f>
        <v>0.16</v>
      </c>
    </row>
    <row r="157" spans="1:2" x14ac:dyDescent="0.2">
      <c r="A157" s="16" t="s">
        <v>471</v>
      </c>
      <c r="B157">
        <f>Stock!T79</f>
        <v>0.6</v>
      </c>
    </row>
    <row r="158" spans="1:2" x14ac:dyDescent="0.2">
      <c r="A158" s="16" t="s">
        <v>472</v>
      </c>
      <c r="B158">
        <f>Stock!T80</f>
        <v>0</v>
      </c>
    </row>
    <row r="159" spans="1:2" x14ac:dyDescent="0.2">
      <c r="A159" s="25" t="s">
        <v>590</v>
      </c>
      <c r="B159" s="10">
        <f>SUM(B156:B157)</f>
        <v>0.76</v>
      </c>
    </row>
    <row r="160" spans="1:2" x14ac:dyDescent="0.2">
      <c r="A160" s="25" t="s">
        <v>565</v>
      </c>
      <c r="B160" s="83">
        <f>Stock!R81</f>
        <v>0.76</v>
      </c>
    </row>
    <row r="161" spans="1:2" x14ac:dyDescent="0.2">
      <c r="A161" s="16"/>
    </row>
    <row r="162" spans="1:2" x14ac:dyDescent="0.2">
      <c r="A162" s="15" t="s">
        <v>591</v>
      </c>
      <c r="B162" s="81" t="s">
        <v>685</v>
      </c>
    </row>
    <row r="163" spans="1:2" x14ac:dyDescent="0.2">
      <c r="A163" s="16" t="s">
        <v>480</v>
      </c>
    </row>
    <row r="164" spans="1:2" x14ac:dyDescent="0.2">
      <c r="A164" s="16" t="s">
        <v>592</v>
      </c>
    </row>
    <row r="165" spans="1:2" x14ac:dyDescent="0.2">
      <c r="A165" s="16" t="s">
        <v>593</v>
      </c>
    </row>
    <row r="166" spans="1:2" x14ac:dyDescent="0.2">
      <c r="A166" s="25" t="s">
        <v>570</v>
      </c>
    </row>
    <row r="167" spans="1:2" x14ac:dyDescent="0.2">
      <c r="A167" s="25" t="s">
        <v>565</v>
      </c>
    </row>
    <row r="168" spans="1:2" x14ac:dyDescent="0.2">
      <c r="A168" s="16"/>
    </row>
    <row r="169" spans="1:2" x14ac:dyDescent="0.2">
      <c r="A169" s="16"/>
    </row>
    <row r="170" spans="1:2" ht="17" thickBot="1" x14ac:dyDescent="0.25"/>
    <row r="171" spans="1:2" ht="17" thickBot="1" x14ac:dyDescent="0.25">
      <c r="A171" s="33"/>
      <c r="B171" s="86"/>
    </row>
    <row r="172" spans="1:2" x14ac:dyDescent="0.2">
      <c r="A172" s="34" t="s">
        <v>594</v>
      </c>
      <c r="B172" s="87">
        <f>B159+B152+B144+B120+B110+E67</f>
        <v>59.492380261248179</v>
      </c>
    </row>
    <row r="173" spans="1:2" x14ac:dyDescent="0.2">
      <c r="A173" s="35" t="s">
        <v>595</v>
      </c>
      <c r="B173" s="87">
        <f>B167+B160+B145+B121+B110+E68</f>
        <v>52.05</v>
      </c>
    </row>
    <row r="174" spans="1:2" x14ac:dyDescent="0.2">
      <c r="A174" s="35" t="s">
        <v>596</v>
      </c>
      <c r="B174" s="87">
        <f>Receipts!F84+Receipts!F71</f>
        <v>55.91</v>
      </c>
    </row>
    <row r="175" spans="1:2" x14ac:dyDescent="0.2">
      <c r="A175" s="35" t="s">
        <v>597</v>
      </c>
      <c r="B175" s="87">
        <f>B172+Receipts!F20-Receipts!F28-Receipts!F38+Receipts!F44+Receipts!F77+Receipts!F101+Receipts!F142</f>
        <v>85.069880261248173</v>
      </c>
    </row>
    <row r="176" spans="1:2" x14ac:dyDescent="0.2">
      <c r="A176" s="36"/>
      <c r="B176" s="84"/>
    </row>
    <row r="177" spans="1:2" x14ac:dyDescent="0.2">
      <c r="A177" s="37" t="s">
        <v>598</v>
      </c>
      <c r="B177" s="88">
        <f>B47/B172</f>
        <v>4.085957432966783E-2</v>
      </c>
    </row>
    <row r="178" spans="1:2" x14ac:dyDescent="0.2">
      <c r="A178" s="35" t="s">
        <v>599</v>
      </c>
      <c r="B178" s="88">
        <f>B47/B175</f>
        <v>2.8574547488115474E-2</v>
      </c>
    </row>
    <row r="179" spans="1:2" x14ac:dyDescent="0.2">
      <c r="A179" s="36"/>
      <c r="B179" s="84"/>
    </row>
    <row r="180" spans="1:2" ht="17" thickBot="1" x14ac:dyDescent="0.25">
      <c r="A180" s="38" t="s">
        <v>600</v>
      </c>
      <c r="B180" s="85"/>
    </row>
  </sheetData>
  <mergeCells count="1">
    <mergeCell ref="B60:C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"/>
  <sheetViews>
    <sheetView workbookViewId="0">
      <pane xSplit="1" ySplit="2" topLeftCell="B111" activePane="bottomRight" state="frozen"/>
      <selection pane="topRight" activeCell="B1" sqref="B1"/>
      <selection pane="bottomLeft" activeCell="A3" sqref="A3"/>
      <selection pane="bottomRight" activeCell="G39" sqref="G39"/>
    </sheetView>
  </sheetViews>
  <sheetFormatPr baseColWidth="10" defaultColWidth="8.83203125" defaultRowHeight="15" x14ac:dyDescent="0.2"/>
  <cols>
    <col min="1" max="1" width="32.83203125" bestFit="1" customWidth="1"/>
    <col min="6" max="6" width="8.83203125" style="47"/>
    <col min="7" max="7" width="8.83203125" style="48"/>
  </cols>
  <sheetData>
    <row r="1" spans="1:8" ht="16" x14ac:dyDescent="0.2">
      <c r="A1" s="41" t="s">
        <v>604</v>
      </c>
    </row>
    <row r="2" spans="1:8" ht="16" x14ac:dyDescent="0.2">
      <c r="A2" s="43" t="s">
        <v>0</v>
      </c>
      <c r="B2" s="44" t="s">
        <v>605</v>
      </c>
      <c r="C2" s="45" t="s">
        <v>606</v>
      </c>
      <c r="D2" s="45" t="s">
        <v>607</v>
      </c>
      <c r="E2" s="45"/>
      <c r="F2" s="49" t="s">
        <v>602</v>
      </c>
      <c r="G2" s="50" t="s">
        <v>359</v>
      </c>
      <c r="H2" s="46" t="s">
        <v>608</v>
      </c>
    </row>
    <row r="3" spans="1:8" x14ac:dyDescent="0.2">
      <c r="A3" t="s">
        <v>34</v>
      </c>
      <c r="B3">
        <v>37</v>
      </c>
      <c r="C3">
        <v>19</v>
      </c>
      <c r="D3">
        <v>10.5</v>
      </c>
      <c r="F3" s="47">
        <v>37.99</v>
      </c>
      <c r="H3" t="s">
        <v>35</v>
      </c>
    </row>
    <row r="4" spans="1:8" x14ac:dyDescent="0.2">
      <c r="A4" t="s">
        <v>34</v>
      </c>
      <c r="B4">
        <v>0</v>
      </c>
      <c r="C4">
        <v>0</v>
      </c>
      <c r="D4">
        <v>0</v>
      </c>
      <c r="F4" s="47">
        <v>0</v>
      </c>
      <c r="H4" t="s">
        <v>36</v>
      </c>
    </row>
    <row r="5" spans="1:8" x14ac:dyDescent="0.2">
      <c r="A5" t="s">
        <v>34</v>
      </c>
      <c r="B5">
        <v>0</v>
      </c>
      <c r="C5">
        <v>0</v>
      </c>
      <c r="D5">
        <v>0</v>
      </c>
      <c r="F5" s="47">
        <v>0</v>
      </c>
      <c r="H5" t="s">
        <v>37</v>
      </c>
    </row>
    <row r="6" spans="1:8" x14ac:dyDescent="0.2">
      <c r="A6" t="s">
        <v>34</v>
      </c>
      <c r="F6" s="47">
        <v>37.99</v>
      </c>
      <c r="G6" s="48">
        <f>F6-F3</f>
        <v>0</v>
      </c>
      <c r="H6" t="s">
        <v>360</v>
      </c>
    </row>
    <row r="8" spans="1:8" x14ac:dyDescent="0.2">
      <c r="A8" t="s">
        <v>38</v>
      </c>
      <c r="B8">
        <v>2</v>
      </c>
      <c r="C8">
        <v>7</v>
      </c>
      <c r="D8">
        <v>0</v>
      </c>
      <c r="F8" s="47">
        <v>2.35</v>
      </c>
      <c r="H8" t="s">
        <v>39</v>
      </c>
    </row>
    <row r="9" spans="1:8" x14ac:dyDescent="0.2">
      <c r="A9" t="s">
        <v>38</v>
      </c>
      <c r="B9">
        <v>2</v>
      </c>
      <c r="C9">
        <v>7</v>
      </c>
      <c r="D9">
        <v>0</v>
      </c>
      <c r="F9" s="47">
        <v>2.35</v>
      </c>
      <c r="H9" t="s">
        <v>40</v>
      </c>
    </row>
    <row r="10" spans="1:8" x14ac:dyDescent="0.2">
      <c r="A10" t="s">
        <v>38</v>
      </c>
      <c r="B10">
        <v>2</v>
      </c>
      <c r="C10">
        <v>7</v>
      </c>
      <c r="D10">
        <v>0</v>
      </c>
      <c r="F10" s="47">
        <v>2.35</v>
      </c>
      <c r="H10" t="s">
        <v>41</v>
      </c>
    </row>
    <row r="11" spans="1:8" x14ac:dyDescent="0.2">
      <c r="A11" t="s">
        <v>38</v>
      </c>
      <c r="B11">
        <v>16</v>
      </c>
      <c r="C11">
        <v>4</v>
      </c>
      <c r="D11">
        <v>6</v>
      </c>
      <c r="F11" s="47">
        <v>16.22</v>
      </c>
      <c r="H11" t="s">
        <v>42</v>
      </c>
    </row>
    <row r="12" spans="1:8" x14ac:dyDescent="0.2">
      <c r="A12" t="s">
        <v>38</v>
      </c>
      <c r="B12">
        <v>23</v>
      </c>
      <c r="C12">
        <v>5</v>
      </c>
      <c r="D12">
        <v>6</v>
      </c>
      <c r="F12" s="47">
        <v>23.27</v>
      </c>
      <c r="H12" t="s">
        <v>43</v>
      </c>
    </row>
    <row r="13" spans="1:8" x14ac:dyDescent="0.2">
      <c r="A13" t="s">
        <v>38</v>
      </c>
      <c r="F13" s="47">
        <f>SUM(F8:F11)</f>
        <v>23.27</v>
      </c>
      <c r="G13" s="48">
        <v>0</v>
      </c>
      <c r="H13" t="s">
        <v>360</v>
      </c>
    </row>
    <row r="15" spans="1:8" x14ac:dyDescent="0.2">
      <c r="A15" t="s">
        <v>44</v>
      </c>
      <c r="B15">
        <v>0</v>
      </c>
      <c r="C15">
        <v>0</v>
      </c>
      <c r="D15">
        <v>1</v>
      </c>
      <c r="F15" s="47">
        <v>0</v>
      </c>
      <c r="H15" t="s">
        <v>45</v>
      </c>
    </row>
    <row r="16" spans="1:8" x14ac:dyDescent="0.2">
      <c r="A16" t="s">
        <v>44</v>
      </c>
      <c r="B16">
        <v>0</v>
      </c>
      <c r="C16">
        <v>0</v>
      </c>
      <c r="D16">
        <v>1</v>
      </c>
      <c r="F16" s="47">
        <v>0</v>
      </c>
      <c r="H16" t="s">
        <v>46</v>
      </c>
    </row>
    <row r="17" spans="1:8" x14ac:dyDescent="0.2">
      <c r="A17" t="s">
        <v>44</v>
      </c>
      <c r="F17" s="47">
        <v>0</v>
      </c>
      <c r="G17" s="48">
        <v>0</v>
      </c>
      <c r="H17" t="s">
        <v>360</v>
      </c>
    </row>
    <row r="19" spans="1:8" x14ac:dyDescent="0.2">
      <c r="A19" t="s">
        <v>47</v>
      </c>
      <c r="B19">
        <v>23</v>
      </c>
      <c r="C19">
        <v>15</v>
      </c>
      <c r="D19">
        <v>7</v>
      </c>
      <c r="F19" s="47">
        <v>23.78</v>
      </c>
      <c r="H19" t="s">
        <v>48</v>
      </c>
    </row>
    <row r="20" spans="1:8" x14ac:dyDescent="0.2">
      <c r="A20" t="s">
        <v>47</v>
      </c>
      <c r="F20" s="47">
        <v>23.78</v>
      </c>
      <c r="G20" s="48">
        <f>F20-F19</f>
        <v>0</v>
      </c>
      <c r="H20" t="s">
        <v>360</v>
      </c>
    </row>
    <row r="22" spans="1:8" x14ac:dyDescent="0.2">
      <c r="A22" t="s">
        <v>49</v>
      </c>
      <c r="B22">
        <v>0</v>
      </c>
      <c r="C22">
        <v>4</v>
      </c>
      <c r="D22">
        <v>8</v>
      </c>
      <c r="F22" s="47">
        <v>0.23</v>
      </c>
      <c r="H22" t="s">
        <v>50</v>
      </c>
    </row>
    <row r="23" spans="1:8" x14ac:dyDescent="0.2">
      <c r="A23" t="s">
        <v>49</v>
      </c>
      <c r="B23">
        <v>0</v>
      </c>
      <c r="C23">
        <v>3</v>
      </c>
      <c r="D23">
        <v>0</v>
      </c>
      <c r="F23" s="47">
        <v>0.15</v>
      </c>
      <c r="H23" t="s">
        <v>51</v>
      </c>
    </row>
    <row r="24" spans="1:8" x14ac:dyDescent="0.2">
      <c r="A24" t="s">
        <v>49</v>
      </c>
      <c r="B24">
        <v>1</v>
      </c>
      <c r="C24">
        <v>1</v>
      </c>
      <c r="D24">
        <v>0</v>
      </c>
      <c r="F24" s="47">
        <v>1.05</v>
      </c>
      <c r="H24" t="s">
        <v>52</v>
      </c>
    </row>
    <row r="25" spans="1:8" x14ac:dyDescent="0.2">
      <c r="A25" t="s">
        <v>49</v>
      </c>
      <c r="B25">
        <v>0</v>
      </c>
      <c r="C25">
        <v>1</v>
      </c>
      <c r="D25">
        <v>0</v>
      </c>
      <c r="F25" s="47">
        <v>0.05</v>
      </c>
      <c r="H25" t="s">
        <v>53</v>
      </c>
    </row>
    <row r="26" spans="1:8" x14ac:dyDescent="0.2">
      <c r="A26" t="s">
        <v>49</v>
      </c>
      <c r="B26">
        <v>0</v>
      </c>
      <c r="C26">
        <v>1</v>
      </c>
      <c r="D26">
        <v>3</v>
      </c>
      <c r="F26" s="47">
        <f>B26+C26/20+D26/240</f>
        <v>6.25E-2</v>
      </c>
      <c r="H26" t="s">
        <v>609</v>
      </c>
    </row>
    <row r="27" spans="1:8" x14ac:dyDescent="0.2">
      <c r="A27" t="s">
        <v>49</v>
      </c>
      <c r="B27">
        <v>1</v>
      </c>
      <c r="C27">
        <v>10</v>
      </c>
      <c r="D27">
        <v>11</v>
      </c>
      <c r="F27" s="47">
        <v>1.55</v>
      </c>
      <c r="H27" t="s">
        <v>610</v>
      </c>
    </row>
    <row r="28" spans="1:8" x14ac:dyDescent="0.2">
      <c r="A28" t="s">
        <v>49</v>
      </c>
      <c r="F28" s="47">
        <f>SUM(F22:F26)</f>
        <v>1.5425000000000002</v>
      </c>
      <c r="G28" s="48">
        <f>F28-F27</f>
        <v>-7.4999999999998401E-3</v>
      </c>
      <c r="H28" t="s">
        <v>360</v>
      </c>
    </row>
    <row r="30" spans="1:8" x14ac:dyDescent="0.2">
      <c r="A30" t="s">
        <v>55</v>
      </c>
      <c r="B30">
        <v>1</v>
      </c>
      <c r="C30">
        <v>17</v>
      </c>
      <c r="D30">
        <v>0</v>
      </c>
      <c r="F30" s="47">
        <v>1.85</v>
      </c>
      <c r="H30" t="s">
        <v>56</v>
      </c>
    </row>
    <row r="31" spans="1:8" x14ac:dyDescent="0.2">
      <c r="A31" t="s">
        <v>55</v>
      </c>
      <c r="B31">
        <v>0</v>
      </c>
      <c r="C31">
        <v>3</v>
      </c>
      <c r="D31">
        <v>0</v>
      </c>
      <c r="F31" s="47">
        <v>0.15</v>
      </c>
      <c r="H31" t="s">
        <v>57</v>
      </c>
    </row>
    <row r="32" spans="1:8" x14ac:dyDescent="0.2">
      <c r="A32" t="s">
        <v>55</v>
      </c>
      <c r="B32">
        <v>0</v>
      </c>
      <c r="C32">
        <v>1</v>
      </c>
      <c r="D32">
        <v>8</v>
      </c>
      <c r="F32" s="47">
        <v>0.08</v>
      </c>
      <c r="H32" t="s">
        <v>58</v>
      </c>
    </row>
    <row r="33" spans="1:8" x14ac:dyDescent="0.2">
      <c r="A33" t="s">
        <v>55</v>
      </c>
      <c r="B33">
        <v>0</v>
      </c>
      <c r="C33">
        <v>2</v>
      </c>
      <c r="D33">
        <v>6</v>
      </c>
      <c r="F33" s="47">
        <v>0.12</v>
      </c>
      <c r="H33" t="s">
        <v>59</v>
      </c>
    </row>
    <row r="34" spans="1:8" x14ac:dyDescent="0.2">
      <c r="A34" t="s">
        <v>55</v>
      </c>
      <c r="B34">
        <v>0</v>
      </c>
      <c r="C34">
        <v>1</v>
      </c>
      <c r="D34">
        <v>8</v>
      </c>
      <c r="F34" s="47">
        <v>0.08</v>
      </c>
      <c r="H34" t="s">
        <v>60</v>
      </c>
    </row>
    <row r="35" spans="1:8" x14ac:dyDescent="0.2">
      <c r="A35" t="s">
        <v>55</v>
      </c>
      <c r="B35">
        <v>0</v>
      </c>
      <c r="C35">
        <v>1</v>
      </c>
      <c r="D35">
        <v>0</v>
      </c>
      <c r="F35" s="47">
        <v>0.05</v>
      </c>
      <c r="H35" t="s">
        <v>61</v>
      </c>
    </row>
    <row r="36" spans="1:8" x14ac:dyDescent="0.2">
      <c r="A36" t="s">
        <v>55</v>
      </c>
      <c r="B36">
        <v>0</v>
      </c>
      <c r="C36">
        <v>1</v>
      </c>
      <c r="D36">
        <v>0</v>
      </c>
      <c r="F36" s="47">
        <v>0.05</v>
      </c>
      <c r="H36" t="s">
        <v>62</v>
      </c>
    </row>
    <row r="37" spans="1:8" x14ac:dyDescent="0.2">
      <c r="A37" t="s">
        <v>55</v>
      </c>
      <c r="B37">
        <v>2</v>
      </c>
      <c r="C37">
        <v>7</v>
      </c>
      <c r="D37">
        <v>10</v>
      </c>
      <c r="F37" s="47">
        <v>2.39</v>
      </c>
      <c r="H37" t="s">
        <v>63</v>
      </c>
    </row>
    <row r="38" spans="1:8" x14ac:dyDescent="0.2">
      <c r="A38" t="s">
        <v>55</v>
      </c>
      <c r="F38" s="47">
        <f>SUM(F30:F36)</f>
        <v>2.38</v>
      </c>
      <c r="G38" s="48">
        <f>F38-F37</f>
        <v>-1.0000000000000231E-2</v>
      </c>
      <c r="H38" t="s">
        <v>360</v>
      </c>
    </row>
    <row r="40" spans="1:8" x14ac:dyDescent="0.2">
      <c r="A40" t="s">
        <v>678</v>
      </c>
      <c r="B40">
        <v>3</v>
      </c>
      <c r="C40">
        <v>18</v>
      </c>
      <c r="D40">
        <v>9</v>
      </c>
      <c r="F40" s="47">
        <v>3.94</v>
      </c>
      <c r="H40" t="s">
        <v>64</v>
      </c>
    </row>
    <row r="42" spans="1:8" x14ac:dyDescent="0.2">
      <c r="A42" t="s">
        <v>67</v>
      </c>
      <c r="B42">
        <v>0</v>
      </c>
      <c r="C42">
        <v>7</v>
      </c>
      <c r="D42">
        <v>0</v>
      </c>
      <c r="F42" s="47">
        <v>0.35</v>
      </c>
      <c r="H42" t="s">
        <v>68</v>
      </c>
    </row>
    <row r="43" spans="1:8" x14ac:dyDescent="0.2">
      <c r="A43" t="s">
        <v>67</v>
      </c>
      <c r="B43">
        <v>0</v>
      </c>
      <c r="C43">
        <v>7</v>
      </c>
      <c r="D43">
        <v>0</v>
      </c>
      <c r="F43" s="47">
        <v>0.35</v>
      </c>
      <c r="H43" t="s">
        <v>69</v>
      </c>
    </row>
    <row r="44" spans="1:8" x14ac:dyDescent="0.2">
      <c r="A44" t="s">
        <v>67</v>
      </c>
      <c r="F44" s="47">
        <v>0.35</v>
      </c>
      <c r="G44" s="48">
        <v>0</v>
      </c>
      <c r="H44" t="s">
        <v>360</v>
      </c>
    </row>
    <row r="46" spans="1:8" x14ac:dyDescent="0.2">
      <c r="A46" t="s">
        <v>70</v>
      </c>
      <c r="B46">
        <v>1</v>
      </c>
      <c r="C46">
        <v>1</v>
      </c>
      <c r="D46">
        <v>9.5</v>
      </c>
      <c r="F46" s="47">
        <v>1.0900000000000001</v>
      </c>
      <c r="H46" t="s">
        <v>71</v>
      </c>
    </row>
    <row r="47" spans="1:8" x14ac:dyDescent="0.2">
      <c r="A47" t="s">
        <v>70</v>
      </c>
      <c r="B47">
        <v>0</v>
      </c>
      <c r="C47">
        <v>0</v>
      </c>
      <c r="D47">
        <v>0</v>
      </c>
      <c r="F47" s="47">
        <v>0</v>
      </c>
      <c r="H47" t="s">
        <v>72</v>
      </c>
    </row>
    <row r="48" spans="1:8" x14ac:dyDescent="0.2">
      <c r="A48" t="s">
        <v>70</v>
      </c>
      <c r="B48">
        <v>1</v>
      </c>
      <c r="C48">
        <v>0</v>
      </c>
      <c r="D48">
        <v>0</v>
      </c>
      <c r="F48" s="47">
        <v>1</v>
      </c>
      <c r="H48" t="s">
        <v>73</v>
      </c>
    </row>
    <row r="49" spans="1:8" x14ac:dyDescent="0.2">
      <c r="A49" t="s">
        <v>70</v>
      </c>
      <c r="B49">
        <v>0</v>
      </c>
      <c r="C49">
        <v>5</v>
      </c>
      <c r="D49">
        <v>0</v>
      </c>
      <c r="F49" s="47">
        <v>0.25</v>
      </c>
      <c r="H49" t="s">
        <v>74</v>
      </c>
    </row>
    <row r="50" spans="1:8" x14ac:dyDescent="0.2">
      <c r="A50" t="s">
        <v>70</v>
      </c>
      <c r="B50">
        <v>0</v>
      </c>
      <c r="C50">
        <v>5</v>
      </c>
      <c r="D50">
        <v>0</v>
      </c>
      <c r="F50" s="47">
        <v>0.25</v>
      </c>
      <c r="H50" t="s">
        <v>75</v>
      </c>
    </row>
    <row r="51" spans="1:8" x14ac:dyDescent="0.2">
      <c r="A51" t="s">
        <v>70</v>
      </c>
      <c r="B51">
        <v>0</v>
      </c>
      <c r="C51">
        <v>3</v>
      </c>
      <c r="D51">
        <v>0</v>
      </c>
      <c r="F51" s="47">
        <v>0.15</v>
      </c>
      <c r="H51" t="s">
        <v>76</v>
      </c>
    </row>
    <row r="52" spans="1:8" x14ac:dyDescent="0.2">
      <c r="A52" t="s">
        <v>70</v>
      </c>
      <c r="B52">
        <v>0</v>
      </c>
      <c r="C52">
        <v>3</v>
      </c>
      <c r="D52">
        <v>0</v>
      </c>
      <c r="F52" s="47">
        <v>0.15</v>
      </c>
      <c r="H52" t="s">
        <v>77</v>
      </c>
    </row>
    <row r="53" spans="1:8" x14ac:dyDescent="0.2">
      <c r="A53" t="s">
        <v>70</v>
      </c>
      <c r="B53">
        <v>0</v>
      </c>
      <c r="C53">
        <v>2</v>
      </c>
      <c r="D53">
        <v>0</v>
      </c>
      <c r="F53" s="47">
        <v>0.1</v>
      </c>
      <c r="H53" t="s">
        <v>78</v>
      </c>
    </row>
    <row r="54" spans="1:8" x14ac:dyDescent="0.2">
      <c r="A54" t="s">
        <v>70</v>
      </c>
      <c r="B54">
        <v>0</v>
      </c>
      <c r="C54">
        <v>7</v>
      </c>
      <c r="D54">
        <v>0</v>
      </c>
      <c r="F54" s="47">
        <v>0.35</v>
      </c>
      <c r="H54" t="s">
        <v>79</v>
      </c>
    </row>
    <row r="55" spans="1:8" x14ac:dyDescent="0.2">
      <c r="A55" t="s">
        <v>70</v>
      </c>
      <c r="B55">
        <v>0</v>
      </c>
      <c r="C55">
        <v>0</v>
      </c>
      <c r="D55">
        <v>0</v>
      </c>
      <c r="F55" s="47">
        <v>0</v>
      </c>
      <c r="H55" t="s">
        <v>80</v>
      </c>
    </row>
    <row r="56" spans="1:8" x14ac:dyDescent="0.2">
      <c r="A56" t="s">
        <v>70</v>
      </c>
      <c r="B56">
        <v>0</v>
      </c>
      <c r="C56">
        <v>0</v>
      </c>
      <c r="D56">
        <v>0</v>
      </c>
      <c r="F56" s="47">
        <v>0</v>
      </c>
      <c r="H56" t="s">
        <v>81</v>
      </c>
    </row>
    <row r="57" spans="1:8" x14ac:dyDescent="0.2">
      <c r="A57" t="s">
        <v>70</v>
      </c>
      <c r="B57">
        <v>0</v>
      </c>
      <c r="C57">
        <v>4</v>
      </c>
      <c r="D57">
        <v>0</v>
      </c>
      <c r="F57" s="47">
        <v>0.2</v>
      </c>
      <c r="H57" t="s">
        <v>82</v>
      </c>
    </row>
    <row r="58" spans="1:8" x14ac:dyDescent="0.2">
      <c r="A58" t="s">
        <v>70</v>
      </c>
      <c r="B58">
        <v>6</v>
      </c>
      <c r="C58">
        <v>7</v>
      </c>
      <c r="D58">
        <v>0</v>
      </c>
      <c r="F58" s="47">
        <v>6.35</v>
      </c>
      <c r="H58" t="s">
        <v>83</v>
      </c>
    </row>
    <row r="59" spans="1:8" x14ac:dyDescent="0.2">
      <c r="A59" t="s">
        <v>70</v>
      </c>
      <c r="B59">
        <v>0</v>
      </c>
      <c r="C59">
        <v>11</v>
      </c>
      <c r="D59">
        <v>0</v>
      </c>
      <c r="F59" s="47">
        <v>0.55000000000000004</v>
      </c>
      <c r="H59" t="s">
        <v>84</v>
      </c>
    </row>
    <row r="60" spans="1:8" x14ac:dyDescent="0.2">
      <c r="A60" t="s">
        <v>70</v>
      </c>
      <c r="B60">
        <v>1</v>
      </c>
      <c r="C60">
        <v>6</v>
      </c>
      <c r="D60">
        <v>8</v>
      </c>
      <c r="F60" s="47">
        <v>1.33</v>
      </c>
      <c r="H60" t="s">
        <v>85</v>
      </c>
    </row>
    <row r="61" spans="1:8" x14ac:dyDescent="0.2">
      <c r="A61" t="s">
        <v>70</v>
      </c>
      <c r="B61">
        <v>0</v>
      </c>
      <c r="C61">
        <v>16</v>
      </c>
      <c r="D61">
        <v>4</v>
      </c>
      <c r="F61" s="47">
        <v>0.82</v>
      </c>
      <c r="H61" t="s">
        <v>86</v>
      </c>
    </row>
    <row r="62" spans="1:8" x14ac:dyDescent="0.2">
      <c r="A62" t="s">
        <v>70</v>
      </c>
      <c r="B62">
        <v>0</v>
      </c>
      <c r="C62">
        <v>2</v>
      </c>
      <c r="D62">
        <v>4</v>
      </c>
      <c r="F62" s="47">
        <v>0.12</v>
      </c>
      <c r="H62" t="s">
        <v>87</v>
      </c>
    </row>
    <row r="63" spans="1:8" x14ac:dyDescent="0.2">
      <c r="A63" t="s">
        <v>70</v>
      </c>
      <c r="B63">
        <v>0</v>
      </c>
      <c r="C63">
        <v>6</v>
      </c>
      <c r="D63">
        <v>3</v>
      </c>
      <c r="F63" s="47">
        <v>0.31</v>
      </c>
      <c r="H63" t="s">
        <v>88</v>
      </c>
    </row>
    <row r="64" spans="1:8" x14ac:dyDescent="0.2">
      <c r="A64" t="s">
        <v>70</v>
      </c>
      <c r="B64">
        <v>0</v>
      </c>
      <c r="C64">
        <v>0</v>
      </c>
      <c r="D64">
        <v>7</v>
      </c>
      <c r="F64" s="47">
        <v>0.03</v>
      </c>
      <c r="H64" t="s">
        <v>89</v>
      </c>
    </row>
    <row r="65" spans="1:8" x14ac:dyDescent="0.2">
      <c r="A65" t="s">
        <v>70</v>
      </c>
      <c r="B65">
        <v>0</v>
      </c>
      <c r="C65">
        <v>4</v>
      </c>
      <c r="D65">
        <v>4</v>
      </c>
      <c r="F65" s="47">
        <v>0.22</v>
      </c>
      <c r="H65" t="s">
        <v>90</v>
      </c>
    </row>
    <row r="66" spans="1:8" x14ac:dyDescent="0.2">
      <c r="A66" t="s">
        <v>70</v>
      </c>
      <c r="B66">
        <v>0</v>
      </c>
      <c r="C66">
        <v>12</v>
      </c>
      <c r="D66">
        <v>1</v>
      </c>
      <c r="F66" s="47">
        <v>0.6</v>
      </c>
      <c r="H66" t="s">
        <v>91</v>
      </c>
    </row>
    <row r="67" spans="1:8" x14ac:dyDescent="0.2">
      <c r="A67" t="s">
        <v>70</v>
      </c>
      <c r="B67">
        <v>0</v>
      </c>
      <c r="C67">
        <v>3</v>
      </c>
      <c r="D67">
        <v>2.5</v>
      </c>
      <c r="F67" s="47">
        <v>0.16</v>
      </c>
      <c r="H67" t="s">
        <v>92</v>
      </c>
    </row>
    <row r="68" spans="1:8" x14ac:dyDescent="0.2">
      <c r="A68" t="s">
        <v>70</v>
      </c>
      <c r="B68">
        <v>0</v>
      </c>
      <c r="C68">
        <v>8</v>
      </c>
      <c r="D68">
        <v>8</v>
      </c>
      <c r="F68" s="47">
        <v>0.43</v>
      </c>
      <c r="H68" t="s">
        <v>93</v>
      </c>
    </row>
    <row r="69" spans="1:8" x14ac:dyDescent="0.2">
      <c r="A69" t="s">
        <v>70</v>
      </c>
      <c r="B69">
        <v>0</v>
      </c>
      <c r="C69">
        <v>6</v>
      </c>
      <c r="D69">
        <v>8</v>
      </c>
      <c r="F69" s="47">
        <v>0.33</v>
      </c>
      <c r="H69" t="s">
        <v>94</v>
      </c>
    </row>
    <row r="70" spans="1:8" x14ac:dyDescent="0.2">
      <c r="A70" t="s">
        <v>70</v>
      </c>
      <c r="B70">
        <v>14</v>
      </c>
      <c r="C70">
        <v>15</v>
      </c>
      <c r="D70">
        <v>8</v>
      </c>
      <c r="F70" s="47">
        <v>14.78</v>
      </c>
      <c r="H70" t="s">
        <v>95</v>
      </c>
    </row>
    <row r="71" spans="1:8" x14ac:dyDescent="0.2">
      <c r="A71" t="s">
        <v>70</v>
      </c>
      <c r="F71" s="47">
        <v>14.79</v>
      </c>
      <c r="G71" s="48">
        <v>9.9999999999997868E-3</v>
      </c>
      <c r="H71" t="s">
        <v>360</v>
      </c>
    </row>
    <row r="73" spans="1:8" x14ac:dyDescent="0.2">
      <c r="A73" t="s">
        <v>96</v>
      </c>
      <c r="B73">
        <v>0</v>
      </c>
      <c r="C73">
        <v>0</v>
      </c>
      <c r="D73">
        <v>0</v>
      </c>
      <c r="F73" s="47">
        <v>0</v>
      </c>
      <c r="H73" t="s">
        <v>97</v>
      </c>
    </row>
    <row r="74" spans="1:8" x14ac:dyDescent="0.2">
      <c r="A74" t="s">
        <v>96</v>
      </c>
      <c r="B74">
        <v>0</v>
      </c>
      <c r="C74">
        <v>0</v>
      </c>
      <c r="D74">
        <v>3</v>
      </c>
      <c r="F74" s="47">
        <v>0.01</v>
      </c>
      <c r="H74" t="s">
        <v>98</v>
      </c>
    </row>
    <row r="75" spans="1:8" x14ac:dyDescent="0.2">
      <c r="A75" t="s">
        <v>96</v>
      </c>
      <c r="B75">
        <v>0</v>
      </c>
      <c r="C75">
        <v>0</v>
      </c>
      <c r="D75">
        <v>0</v>
      </c>
      <c r="F75" s="47">
        <f>B75+C75/20+D75/240</f>
        <v>0</v>
      </c>
      <c r="H75" t="s">
        <v>611</v>
      </c>
    </row>
    <row r="76" spans="1:8" x14ac:dyDescent="0.2">
      <c r="A76" t="s">
        <v>96</v>
      </c>
      <c r="B76">
        <v>0</v>
      </c>
      <c r="C76">
        <v>0</v>
      </c>
      <c r="D76">
        <v>3</v>
      </c>
      <c r="F76" s="47">
        <f>B76+C76/20+D76/240</f>
        <v>1.2500000000000001E-2</v>
      </c>
      <c r="H76" t="s">
        <v>612</v>
      </c>
    </row>
    <row r="77" spans="1:8" x14ac:dyDescent="0.2">
      <c r="A77" t="s">
        <v>96</v>
      </c>
      <c r="F77" s="47">
        <f>SUM(F73:F75)</f>
        <v>0.01</v>
      </c>
      <c r="G77" s="48">
        <f>F77-F76</f>
        <v>-2.5000000000000005E-3</v>
      </c>
      <c r="H77" t="s">
        <v>360</v>
      </c>
    </row>
    <row r="79" spans="1:8" x14ac:dyDescent="0.2">
      <c r="A79" t="s">
        <v>100</v>
      </c>
      <c r="B79">
        <v>30</v>
      </c>
      <c r="C79">
        <v>3</v>
      </c>
      <c r="D79">
        <v>4</v>
      </c>
      <c r="F79" s="47">
        <v>30.17</v>
      </c>
      <c r="H79" t="s">
        <v>361</v>
      </c>
    </row>
    <row r="80" spans="1:8" x14ac:dyDescent="0.2">
      <c r="A80" t="s">
        <v>100</v>
      </c>
      <c r="B80">
        <v>5</v>
      </c>
      <c r="C80">
        <v>7</v>
      </c>
      <c r="D80">
        <v>6</v>
      </c>
      <c r="F80" s="47">
        <v>5.38</v>
      </c>
      <c r="H80" t="s">
        <v>362</v>
      </c>
    </row>
    <row r="81" spans="1:8" x14ac:dyDescent="0.2">
      <c r="A81" t="s">
        <v>100</v>
      </c>
      <c r="B81">
        <v>0</v>
      </c>
      <c r="C81">
        <v>18</v>
      </c>
      <c r="D81">
        <v>6</v>
      </c>
      <c r="F81" s="47">
        <v>0.93</v>
      </c>
      <c r="H81" t="s">
        <v>363</v>
      </c>
    </row>
    <row r="82" spans="1:8" x14ac:dyDescent="0.2">
      <c r="A82" t="s">
        <v>100</v>
      </c>
      <c r="B82">
        <v>4</v>
      </c>
      <c r="C82">
        <v>12</v>
      </c>
      <c r="D82">
        <v>10.5</v>
      </c>
      <c r="F82" s="47">
        <v>4.6399999999999997</v>
      </c>
      <c r="H82" t="s">
        <v>613</v>
      </c>
    </row>
    <row r="83" spans="1:8" x14ac:dyDescent="0.2">
      <c r="A83" t="s">
        <v>100</v>
      </c>
      <c r="B83">
        <v>41</v>
      </c>
      <c r="C83">
        <v>2</v>
      </c>
      <c r="D83">
        <v>2.5</v>
      </c>
      <c r="F83" s="47">
        <f>B83+C83/20+D83/240</f>
        <v>41.110416666666666</v>
      </c>
      <c r="H83" t="s">
        <v>614</v>
      </c>
    </row>
    <row r="84" spans="1:8" x14ac:dyDescent="0.2">
      <c r="A84" t="s">
        <v>100</v>
      </c>
      <c r="F84" s="47">
        <v>41.12</v>
      </c>
      <c r="G84" s="48">
        <f>F84-F83</f>
        <v>9.5833333333317228E-3</v>
      </c>
      <c r="H84" t="s">
        <v>360</v>
      </c>
    </row>
    <row r="86" spans="1:8" x14ac:dyDescent="0.2">
      <c r="A86" t="s">
        <v>108</v>
      </c>
      <c r="B86">
        <v>0</v>
      </c>
      <c r="C86">
        <v>1</v>
      </c>
      <c r="D86">
        <v>6</v>
      </c>
      <c r="F86" s="47">
        <v>0.08</v>
      </c>
      <c r="H86" t="s">
        <v>109</v>
      </c>
    </row>
    <row r="87" spans="1:8" x14ac:dyDescent="0.2">
      <c r="A87" t="s">
        <v>108</v>
      </c>
      <c r="B87">
        <v>2</v>
      </c>
      <c r="C87">
        <v>8</v>
      </c>
      <c r="D87">
        <v>9</v>
      </c>
      <c r="F87" s="47">
        <v>2.44</v>
      </c>
      <c r="H87" t="s">
        <v>364</v>
      </c>
    </row>
    <row r="88" spans="1:8" x14ac:dyDescent="0.2">
      <c r="A88" t="s">
        <v>108</v>
      </c>
      <c r="B88">
        <v>0</v>
      </c>
      <c r="C88">
        <v>10</v>
      </c>
      <c r="D88">
        <v>6</v>
      </c>
      <c r="F88" s="47">
        <v>0.53</v>
      </c>
      <c r="H88" t="s">
        <v>365</v>
      </c>
    </row>
    <row r="89" spans="1:8" x14ac:dyDescent="0.2">
      <c r="A89" t="s">
        <v>108</v>
      </c>
      <c r="B89">
        <v>3</v>
      </c>
      <c r="C89">
        <v>0</v>
      </c>
      <c r="D89">
        <v>3</v>
      </c>
      <c r="F89" s="47">
        <v>3.01</v>
      </c>
      <c r="H89" t="s">
        <v>113</v>
      </c>
    </row>
    <row r="90" spans="1:8" x14ac:dyDescent="0.2">
      <c r="A90" t="s">
        <v>108</v>
      </c>
      <c r="F90" s="47">
        <v>3.05</v>
      </c>
      <c r="G90" s="48">
        <v>4.0000000000000042E-2</v>
      </c>
      <c r="H90" t="s">
        <v>360</v>
      </c>
    </row>
    <row r="92" spans="1:8" x14ac:dyDescent="0.2">
      <c r="A92" t="s">
        <v>114</v>
      </c>
      <c r="B92">
        <v>1</v>
      </c>
      <c r="C92">
        <v>6</v>
      </c>
      <c r="D92">
        <v>8</v>
      </c>
      <c r="F92" s="47">
        <v>1.33</v>
      </c>
      <c r="H92" t="s">
        <v>115</v>
      </c>
    </row>
    <row r="93" spans="1:8" x14ac:dyDescent="0.2">
      <c r="A93" t="s">
        <v>114</v>
      </c>
      <c r="B93">
        <v>0</v>
      </c>
      <c r="C93">
        <v>13</v>
      </c>
      <c r="D93">
        <v>4</v>
      </c>
      <c r="F93" s="47">
        <v>0.67</v>
      </c>
      <c r="H93" t="s">
        <v>116</v>
      </c>
    </row>
    <row r="94" spans="1:8" x14ac:dyDescent="0.2">
      <c r="A94" t="s">
        <v>114</v>
      </c>
      <c r="B94">
        <v>0</v>
      </c>
      <c r="C94">
        <v>1</v>
      </c>
      <c r="D94">
        <v>0</v>
      </c>
      <c r="F94" s="47">
        <v>0.05</v>
      </c>
      <c r="H94" t="s">
        <v>117</v>
      </c>
    </row>
    <row r="95" spans="1:8" x14ac:dyDescent="0.2">
      <c r="A95" t="s">
        <v>114</v>
      </c>
      <c r="B95">
        <v>0</v>
      </c>
      <c r="C95">
        <v>5</v>
      </c>
      <c r="D95">
        <v>0</v>
      </c>
      <c r="F95" s="47">
        <v>0.25</v>
      </c>
      <c r="H95" t="s">
        <v>118</v>
      </c>
    </row>
    <row r="96" spans="1:8" x14ac:dyDescent="0.2">
      <c r="A96" t="s">
        <v>114</v>
      </c>
      <c r="B96">
        <v>0</v>
      </c>
      <c r="C96">
        <v>2</v>
      </c>
      <c r="D96">
        <v>0</v>
      </c>
      <c r="F96" s="47">
        <v>0.1</v>
      </c>
      <c r="H96" t="s">
        <v>119</v>
      </c>
    </row>
    <row r="97" spans="1:8" x14ac:dyDescent="0.2">
      <c r="A97" t="s">
        <v>114</v>
      </c>
      <c r="B97">
        <v>0</v>
      </c>
      <c r="C97">
        <v>1</v>
      </c>
      <c r="D97">
        <v>0</v>
      </c>
      <c r="F97" s="47">
        <v>0.05</v>
      </c>
      <c r="H97" t="s">
        <v>120</v>
      </c>
    </row>
    <row r="98" spans="1:8" x14ac:dyDescent="0.2">
      <c r="A98" t="s">
        <v>114</v>
      </c>
      <c r="B98">
        <v>0</v>
      </c>
      <c r="C98">
        <v>1</v>
      </c>
      <c r="D98">
        <v>0</v>
      </c>
      <c r="F98" s="47">
        <v>0.05</v>
      </c>
      <c r="H98" t="s">
        <v>121</v>
      </c>
    </row>
    <row r="99" spans="1:8" x14ac:dyDescent="0.2">
      <c r="A99" t="s">
        <v>114</v>
      </c>
      <c r="B99">
        <v>0</v>
      </c>
      <c r="C99">
        <v>5</v>
      </c>
      <c r="D99">
        <v>0</v>
      </c>
      <c r="F99" s="47">
        <v>0.25</v>
      </c>
      <c r="H99" t="s">
        <v>122</v>
      </c>
    </row>
    <row r="100" spans="1:8" x14ac:dyDescent="0.2">
      <c r="A100" t="s">
        <v>114</v>
      </c>
      <c r="B100">
        <v>2</v>
      </c>
      <c r="C100">
        <v>15</v>
      </c>
      <c r="D100">
        <v>0</v>
      </c>
      <c r="F100" s="47">
        <v>2.75</v>
      </c>
      <c r="H100" t="s">
        <v>123</v>
      </c>
    </row>
    <row r="101" spans="1:8" x14ac:dyDescent="0.2">
      <c r="A101" t="s">
        <v>114</v>
      </c>
      <c r="F101" s="47">
        <v>2.75</v>
      </c>
      <c r="G101" s="48">
        <v>0</v>
      </c>
      <c r="H101" t="s">
        <v>360</v>
      </c>
    </row>
    <row r="103" spans="1:8" x14ac:dyDescent="0.2">
      <c r="A103" t="s">
        <v>124</v>
      </c>
      <c r="B103">
        <v>0</v>
      </c>
      <c r="C103">
        <v>2</v>
      </c>
      <c r="D103">
        <v>0</v>
      </c>
      <c r="F103" s="47">
        <v>0.1</v>
      </c>
      <c r="H103" t="s">
        <v>125</v>
      </c>
    </row>
    <row r="104" spans="1:8" x14ac:dyDescent="0.2">
      <c r="A104" t="s">
        <v>124</v>
      </c>
      <c r="B104">
        <v>0</v>
      </c>
      <c r="C104">
        <v>0</v>
      </c>
      <c r="D104">
        <v>2</v>
      </c>
      <c r="F104" s="47">
        <v>0.01</v>
      </c>
      <c r="H104" t="s">
        <v>126</v>
      </c>
    </row>
    <row r="105" spans="1:8" x14ac:dyDescent="0.2">
      <c r="A105" t="s">
        <v>124</v>
      </c>
      <c r="B105">
        <v>0</v>
      </c>
      <c r="C105">
        <v>0</v>
      </c>
      <c r="D105">
        <v>6</v>
      </c>
      <c r="F105" s="47">
        <v>0.03</v>
      </c>
      <c r="H105" t="s">
        <v>127</v>
      </c>
    </row>
    <row r="106" spans="1:8" x14ac:dyDescent="0.2">
      <c r="A106" t="s">
        <v>124</v>
      </c>
      <c r="B106">
        <v>0</v>
      </c>
      <c r="C106">
        <v>1</v>
      </c>
      <c r="D106">
        <v>3</v>
      </c>
      <c r="F106" s="47">
        <v>0.06</v>
      </c>
      <c r="H106" t="s">
        <v>128</v>
      </c>
    </row>
    <row r="107" spans="1:8" x14ac:dyDescent="0.2">
      <c r="A107" t="s">
        <v>124</v>
      </c>
      <c r="B107">
        <v>0</v>
      </c>
      <c r="C107">
        <v>1</v>
      </c>
      <c r="D107">
        <v>3</v>
      </c>
      <c r="F107" s="47">
        <v>0.06</v>
      </c>
      <c r="H107" t="s">
        <v>129</v>
      </c>
    </row>
    <row r="108" spans="1:8" x14ac:dyDescent="0.2">
      <c r="A108" t="s">
        <v>124</v>
      </c>
      <c r="B108">
        <v>0</v>
      </c>
      <c r="C108">
        <v>2</v>
      </c>
      <c r="D108">
        <v>3</v>
      </c>
      <c r="F108" s="47">
        <v>0.11</v>
      </c>
      <c r="H108" t="s">
        <v>130</v>
      </c>
    </row>
    <row r="109" spans="1:8" x14ac:dyDescent="0.2">
      <c r="A109" t="s">
        <v>124</v>
      </c>
      <c r="B109">
        <v>0</v>
      </c>
      <c r="C109">
        <v>0</v>
      </c>
      <c r="D109">
        <v>6</v>
      </c>
      <c r="F109" s="47">
        <v>0.03</v>
      </c>
      <c r="H109" t="s">
        <v>131</v>
      </c>
    </row>
    <row r="110" spans="1:8" x14ac:dyDescent="0.2">
      <c r="A110" t="s">
        <v>124</v>
      </c>
      <c r="B110">
        <v>0</v>
      </c>
      <c r="C110">
        <v>3</v>
      </c>
      <c r="D110">
        <v>0</v>
      </c>
      <c r="F110" s="47">
        <v>0.15</v>
      </c>
      <c r="H110" t="s">
        <v>132</v>
      </c>
    </row>
    <row r="111" spans="1:8" x14ac:dyDescent="0.2">
      <c r="A111" t="s">
        <v>124</v>
      </c>
      <c r="B111">
        <v>0</v>
      </c>
      <c r="C111">
        <v>0</v>
      </c>
      <c r="D111">
        <v>3</v>
      </c>
      <c r="F111" s="47">
        <v>0.01</v>
      </c>
      <c r="H111" t="s">
        <v>133</v>
      </c>
    </row>
    <row r="112" spans="1:8" x14ac:dyDescent="0.2">
      <c r="A112" t="s">
        <v>124</v>
      </c>
      <c r="B112">
        <v>0</v>
      </c>
      <c r="C112">
        <v>0</v>
      </c>
      <c r="D112">
        <v>3</v>
      </c>
      <c r="F112" s="47">
        <v>0.01</v>
      </c>
      <c r="H112" t="s">
        <v>134</v>
      </c>
    </row>
    <row r="113" spans="1:8" x14ac:dyDescent="0.2">
      <c r="A113" t="s">
        <v>124</v>
      </c>
      <c r="B113">
        <v>0</v>
      </c>
      <c r="C113">
        <v>3</v>
      </c>
      <c r="D113">
        <v>0</v>
      </c>
      <c r="F113" s="47">
        <v>0.15</v>
      </c>
      <c r="H113" t="s">
        <v>135</v>
      </c>
    </row>
    <row r="114" spans="1:8" x14ac:dyDescent="0.2">
      <c r="A114" t="s">
        <v>124</v>
      </c>
      <c r="B114">
        <v>0</v>
      </c>
      <c r="C114">
        <v>2</v>
      </c>
      <c r="D114">
        <v>0</v>
      </c>
      <c r="F114" s="47">
        <v>0.1</v>
      </c>
      <c r="H114" t="s">
        <v>136</v>
      </c>
    </row>
    <row r="115" spans="1:8" x14ac:dyDescent="0.2">
      <c r="A115" t="s">
        <v>124</v>
      </c>
      <c r="B115">
        <v>0</v>
      </c>
      <c r="C115">
        <v>1</v>
      </c>
      <c r="D115">
        <v>0</v>
      </c>
      <c r="F115" s="47">
        <v>0.05</v>
      </c>
      <c r="H115" t="s">
        <v>137</v>
      </c>
    </row>
    <row r="116" spans="1:8" x14ac:dyDescent="0.2">
      <c r="A116" t="s">
        <v>124</v>
      </c>
      <c r="B116">
        <v>0</v>
      </c>
      <c r="C116">
        <v>0</v>
      </c>
      <c r="D116">
        <v>3</v>
      </c>
      <c r="F116" s="47">
        <v>0.01</v>
      </c>
      <c r="H116" t="s">
        <v>138</v>
      </c>
    </row>
    <row r="117" spans="1:8" x14ac:dyDescent="0.2">
      <c r="A117" t="s">
        <v>124</v>
      </c>
      <c r="B117">
        <v>0</v>
      </c>
      <c r="C117">
        <v>1</v>
      </c>
      <c r="D117">
        <v>0</v>
      </c>
      <c r="F117" s="47">
        <v>0.05</v>
      </c>
      <c r="H117" t="s">
        <v>139</v>
      </c>
    </row>
    <row r="118" spans="1:8" x14ac:dyDescent="0.2">
      <c r="A118" t="s">
        <v>124</v>
      </c>
      <c r="B118">
        <v>0</v>
      </c>
      <c r="C118">
        <v>1</v>
      </c>
      <c r="D118">
        <v>9</v>
      </c>
      <c r="F118" s="47">
        <v>0.09</v>
      </c>
      <c r="H118" t="s">
        <v>140</v>
      </c>
    </row>
    <row r="119" spans="1:8" x14ac:dyDescent="0.2">
      <c r="A119" t="s">
        <v>124</v>
      </c>
      <c r="B119">
        <v>0</v>
      </c>
      <c r="C119">
        <v>0</v>
      </c>
      <c r="D119">
        <v>9</v>
      </c>
      <c r="F119" s="47">
        <v>0.04</v>
      </c>
      <c r="H119" t="s">
        <v>141</v>
      </c>
    </row>
    <row r="120" spans="1:8" x14ac:dyDescent="0.2">
      <c r="A120" t="s">
        <v>124</v>
      </c>
      <c r="B120">
        <v>0</v>
      </c>
      <c r="C120">
        <v>1</v>
      </c>
      <c r="D120">
        <v>0</v>
      </c>
      <c r="F120" s="47">
        <v>0.05</v>
      </c>
      <c r="H120" t="s">
        <v>142</v>
      </c>
    </row>
    <row r="121" spans="1:8" x14ac:dyDescent="0.2">
      <c r="A121" t="s">
        <v>124</v>
      </c>
      <c r="B121">
        <v>0</v>
      </c>
      <c r="C121">
        <v>0</v>
      </c>
      <c r="D121">
        <v>3</v>
      </c>
      <c r="F121" s="47">
        <v>0.01</v>
      </c>
      <c r="H121" t="s">
        <v>143</v>
      </c>
    </row>
    <row r="122" spans="1:8" x14ac:dyDescent="0.2">
      <c r="A122" t="s">
        <v>124</v>
      </c>
      <c r="B122">
        <v>0</v>
      </c>
      <c r="C122">
        <v>0</v>
      </c>
      <c r="D122">
        <v>3</v>
      </c>
      <c r="F122" s="47">
        <v>0.01</v>
      </c>
      <c r="H122" t="s">
        <v>144</v>
      </c>
    </row>
    <row r="123" spans="1:8" x14ac:dyDescent="0.2">
      <c r="A123" t="s">
        <v>124</v>
      </c>
      <c r="B123">
        <v>0</v>
      </c>
      <c r="C123">
        <v>1</v>
      </c>
      <c r="D123">
        <v>0</v>
      </c>
      <c r="F123" s="47">
        <v>0.05</v>
      </c>
      <c r="H123" t="s">
        <v>145</v>
      </c>
    </row>
    <row r="124" spans="1:8" x14ac:dyDescent="0.2">
      <c r="A124" t="s">
        <v>124</v>
      </c>
      <c r="B124">
        <v>0</v>
      </c>
      <c r="C124">
        <v>2</v>
      </c>
      <c r="D124">
        <v>0</v>
      </c>
      <c r="F124" s="47">
        <v>0.1</v>
      </c>
      <c r="H124" t="s">
        <v>146</v>
      </c>
    </row>
    <row r="125" spans="1:8" x14ac:dyDescent="0.2">
      <c r="A125" t="s">
        <v>124</v>
      </c>
      <c r="B125">
        <v>0</v>
      </c>
      <c r="C125">
        <v>0</v>
      </c>
      <c r="D125">
        <v>6</v>
      </c>
      <c r="F125" s="47">
        <v>0.03</v>
      </c>
      <c r="H125" t="s">
        <v>147</v>
      </c>
    </row>
    <row r="126" spans="1:8" x14ac:dyDescent="0.2">
      <c r="A126" t="s">
        <v>124</v>
      </c>
      <c r="B126">
        <v>0</v>
      </c>
      <c r="C126">
        <v>2</v>
      </c>
      <c r="D126">
        <v>0</v>
      </c>
      <c r="F126" s="47">
        <v>0.1</v>
      </c>
      <c r="H126" t="s">
        <v>148</v>
      </c>
    </row>
    <row r="127" spans="1:8" x14ac:dyDescent="0.2">
      <c r="A127" t="s">
        <v>124</v>
      </c>
      <c r="B127">
        <v>0</v>
      </c>
      <c r="C127">
        <v>0</v>
      </c>
      <c r="D127">
        <v>3</v>
      </c>
      <c r="F127" s="47">
        <v>0.01</v>
      </c>
      <c r="H127" t="s">
        <v>149</v>
      </c>
    </row>
    <row r="128" spans="1:8" x14ac:dyDescent="0.2">
      <c r="A128" t="s">
        <v>124</v>
      </c>
      <c r="B128">
        <v>0</v>
      </c>
      <c r="C128">
        <v>0</v>
      </c>
      <c r="D128">
        <v>6</v>
      </c>
      <c r="F128" s="47">
        <v>0.03</v>
      </c>
      <c r="H128" t="s">
        <v>150</v>
      </c>
    </row>
    <row r="129" spans="1:8" x14ac:dyDescent="0.2">
      <c r="A129" t="s">
        <v>124</v>
      </c>
      <c r="B129">
        <v>0</v>
      </c>
      <c r="C129">
        <v>1</v>
      </c>
      <c r="D129">
        <v>0</v>
      </c>
      <c r="F129" s="47">
        <v>0.05</v>
      </c>
      <c r="H129" t="s">
        <v>151</v>
      </c>
    </row>
    <row r="130" spans="1:8" x14ac:dyDescent="0.2">
      <c r="A130" t="s">
        <v>124</v>
      </c>
      <c r="B130">
        <v>0</v>
      </c>
      <c r="C130">
        <v>2</v>
      </c>
      <c r="D130">
        <v>3</v>
      </c>
      <c r="F130" s="47">
        <v>0.11</v>
      </c>
      <c r="H130" t="s">
        <v>152</v>
      </c>
    </row>
    <row r="131" spans="1:8" x14ac:dyDescent="0.2">
      <c r="A131" t="s">
        <v>124</v>
      </c>
      <c r="B131">
        <v>0</v>
      </c>
      <c r="C131">
        <v>4</v>
      </c>
      <c r="D131">
        <v>6</v>
      </c>
      <c r="F131" s="47">
        <v>0.23</v>
      </c>
      <c r="H131" t="s">
        <v>153</v>
      </c>
    </row>
    <row r="132" spans="1:8" x14ac:dyDescent="0.2">
      <c r="A132" t="s">
        <v>124</v>
      </c>
      <c r="B132">
        <v>0</v>
      </c>
      <c r="C132">
        <v>1</v>
      </c>
      <c r="D132">
        <v>6</v>
      </c>
      <c r="F132" s="47">
        <v>0.08</v>
      </c>
      <c r="H132" t="s">
        <v>154</v>
      </c>
    </row>
    <row r="133" spans="1:8" x14ac:dyDescent="0.2">
      <c r="A133" t="s">
        <v>124</v>
      </c>
      <c r="B133">
        <v>0</v>
      </c>
      <c r="C133">
        <v>6</v>
      </c>
      <c r="D133">
        <v>3</v>
      </c>
      <c r="F133" s="47">
        <v>0.31</v>
      </c>
      <c r="H133" t="s">
        <v>155</v>
      </c>
    </row>
    <row r="134" spans="1:8" x14ac:dyDescent="0.2">
      <c r="A134" t="s">
        <v>124</v>
      </c>
      <c r="B134">
        <v>0</v>
      </c>
      <c r="C134">
        <v>0</v>
      </c>
      <c r="D134">
        <v>6</v>
      </c>
      <c r="F134" s="47">
        <v>0.03</v>
      </c>
      <c r="H134" t="s">
        <v>156</v>
      </c>
    </row>
    <row r="135" spans="1:8" x14ac:dyDescent="0.2">
      <c r="A135" t="s">
        <v>124</v>
      </c>
      <c r="B135">
        <v>0</v>
      </c>
      <c r="C135">
        <v>4</v>
      </c>
      <c r="D135">
        <v>0</v>
      </c>
      <c r="F135" s="47">
        <v>0.2</v>
      </c>
      <c r="H135" t="s">
        <v>157</v>
      </c>
    </row>
    <row r="136" spans="1:8" x14ac:dyDescent="0.2">
      <c r="A136" t="s">
        <v>124</v>
      </c>
      <c r="B136">
        <v>0</v>
      </c>
      <c r="C136">
        <v>0</v>
      </c>
      <c r="D136">
        <v>6</v>
      </c>
      <c r="F136" s="47">
        <v>0.03</v>
      </c>
      <c r="H136" t="s">
        <v>158</v>
      </c>
    </row>
    <row r="137" spans="1:8" x14ac:dyDescent="0.2">
      <c r="A137" t="s">
        <v>124</v>
      </c>
      <c r="B137">
        <v>0</v>
      </c>
      <c r="C137">
        <v>0</v>
      </c>
      <c r="D137">
        <v>3</v>
      </c>
      <c r="F137" s="47">
        <v>0.01</v>
      </c>
      <c r="H137" t="s">
        <v>159</v>
      </c>
    </row>
    <row r="138" spans="1:8" x14ac:dyDescent="0.2">
      <c r="A138" t="s">
        <v>124</v>
      </c>
      <c r="B138">
        <v>0</v>
      </c>
      <c r="C138">
        <v>0</v>
      </c>
      <c r="D138">
        <v>3</v>
      </c>
      <c r="F138" s="47">
        <v>0.01</v>
      </c>
      <c r="H138" t="s">
        <v>160</v>
      </c>
    </row>
    <row r="139" spans="1:8" x14ac:dyDescent="0.2">
      <c r="A139" t="s">
        <v>124</v>
      </c>
      <c r="B139">
        <v>0</v>
      </c>
      <c r="C139">
        <v>1</v>
      </c>
      <c r="D139">
        <v>0</v>
      </c>
      <c r="F139" s="47">
        <v>0.05</v>
      </c>
      <c r="H139" t="s">
        <v>161</v>
      </c>
    </row>
    <row r="140" spans="1:8" x14ac:dyDescent="0.2">
      <c r="A140" t="s">
        <v>124</v>
      </c>
      <c r="B140">
        <v>0</v>
      </c>
      <c r="C140">
        <v>1</v>
      </c>
      <c r="D140">
        <v>0</v>
      </c>
      <c r="F140" s="47">
        <v>0.05</v>
      </c>
      <c r="H140" t="s">
        <v>162</v>
      </c>
    </row>
    <row r="141" spans="1:8" x14ac:dyDescent="0.2">
      <c r="A141" t="s">
        <v>124</v>
      </c>
      <c r="B141">
        <v>2</v>
      </c>
      <c r="C141">
        <v>13</v>
      </c>
      <c r="D141">
        <v>3</v>
      </c>
      <c r="F141" s="47">
        <v>2.66</v>
      </c>
      <c r="H141" t="s">
        <v>163</v>
      </c>
    </row>
    <row r="142" spans="1:8" x14ac:dyDescent="0.2">
      <c r="A142" t="s">
        <v>124</v>
      </c>
      <c r="F142" s="47">
        <v>2.61</v>
      </c>
      <c r="G142" s="48">
        <v>-5.0000000000000273E-2</v>
      </c>
      <c r="H142" t="s">
        <v>360</v>
      </c>
    </row>
    <row r="145" spans="1:8" x14ac:dyDescent="0.2">
      <c r="A145" s="59" t="s">
        <v>675</v>
      </c>
      <c r="B145">
        <v>84</v>
      </c>
      <c r="C145">
        <v>0</v>
      </c>
      <c r="D145">
        <v>5.5</v>
      </c>
      <c r="F145" s="47">
        <v>84.02</v>
      </c>
      <c r="H145" t="s">
        <v>167</v>
      </c>
    </row>
    <row r="146" spans="1:8" ht="16" x14ac:dyDescent="0.2">
      <c r="A146" s="71" t="s">
        <v>676</v>
      </c>
      <c r="F146" s="47">
        <f>F142++F101+F90+F84+F77+F71+F44+F20-F28-F37</f>
        <v>84.527499999999989</v>
      </c>
      <c r="G146" s="48">
        <f>F146-F145</f>
        <v>0.50749999999999318</v>
      </c>
    </row>
    <row r="147" spans="1:8" ht="16" x14ac:dyDescent="0.2">
      <c r="A147" s="71" t="s">
        <v>677</v>
      </c>
      <c r="F147" s="47">
        <f>F146+F6</f>
        <v>122.51749999999998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"/>
  <sheetViews>
    <sheetView workbookViewId="0">
      <pane xSplit="1" ySplit="2" topLeftCell="B74" activePane="bottomRight" state="frozen"/>
      <selection pane="topRight" activeCell="B1" sqref="B1"/>
      <selection pane="bottomLeft" activeCell="A3" sqref="A3"/>
      <selection pane="bottomRight" activeCell="F97" sqref="F97"/>
    </sheetView>
  </sheetViews>
  <sheetFormatPr baseColWidth="10" defaultColWidth="8.83203125" defaultRowHeight="15" x14ac:dyDescent="0.2"/>
  <cols>
    <col min="1" max="1" width="33.1640625" bestFit="1" customWidth="1"/>
    <col min="6" max="6" width="8.83203125" style="47"/>
    <col min="7" max="7" width="8.83203125" style="48"/>
    <col min="8" max="8" width="34" customWidth="1"/>
    <col min="10" max="10" width="20.1640625" customWidth="1"/>
    <col min="11" max="11" width="17.83203125" customWidth="1"/>
  </cols>
  <sheetData>
    <row r="1" spans="1:11" ht="16" x14ac:dyDescent="0.2">
      <c r="A1" s="41" t="s">
        <v>604</v>
      </c>
    </row>
    <row r="2" spans="1:11" ht="34" x14ac:dyDescent="0.2">
      <c r="A2" s="43" t="s">
        <v>0</v>
      </c>
      <c r="B2" s="44" t="s">
        <v>605</v>
      </c>
      <c r="C2" s="45" t="s">
        <v>606</v>
      </c>
      <c r="D2" s="45" t="s">
        <v>607</v>
      </c>
      <c r="E2" s="45"/>
      <c r="F2" s="49" t="s">
        <v>602</v>
      </c>
      <c r="G2" s="50" t="s">
        <v>359</v>
      </c>
      <c r="H2" s="46" t="s">
        <v>608</v>
      </c>
      <c r="J2" s="72" t="s">
        <v>679</v>
      </c>
      <c r="K2" s="72" t="s">
        <v>680</v>
      </c>
    </row>
    <row r="3" spans="1:11" x14ac:dyDescent="0.2">
      <c r="A3" t="s">
        <v>168</v>
      </c>
      <c r="B3">
        <v>0</v>
      </c>
      <c r="C3">
        <v>6</v>
      </c>
      <c r="D3">
        <v>3</v>
      </c>
      <c r="F3" s="47">
        <v>0.31</v>
      </c>
      <c r="H3" t="s">
        <v>169</v>
      </c>
      <c r="J3" s="47">
        <f>F3</f>
        <v>0.31</v>
      </c>
      <c r="K3" s="47">
        <f>J3</f>
        <v>0.31</v>
      </c>
    </row>
    <row r="4" spans="1:11" x14ac:dyDescent="0.2">
      <c r="A4" t="s">
        <v>168</v>
      </c>
      <c r="B4">
        <v>0</v>
      </c>
      <c r="C4">
        <v>0</v>
      </c>
      <c r="D4">
        <v>0</v>
      </c>
      <c r="F4" s="47">
        <v>0</v>
      </c>
      <c r="H4" t="s">
        <v>170</v>
      </c>
      <c r="K4" s="47"/>
    </row>
    <row r="5" spans="1:11" x14ac:dyDescent="0.2">
      <c r="A5" t="s">
        <v>168</v>
      </c>
      <c r="B5">
        <v>0</v>
      </c>
      <c r="C5">
        <v>1</v>
      </c>
      <c r="D5">
        <v>6</v>
      </c>
      <c r="F5" s="47">
        <f>B5+C5/20+D5/240</f>
        <v>7.5000000000000011E-2</v>
      </c>
      <c r="H5" t="s">
        <v>615</v>
      </c>
      <c r="J5" s="47">
        <f>F5</f>
        <v>7.5000000000000011E-2</v>
      </c>
      <c r="K5" s="47">
        <f t="shared" ref="K4:K10" si="0">J5</f>
        <v>7.5000000000000011E-2</v>
      </c>
    </row>
    <row r="6" spans="1:11" x14ac:dyDescent="0.2">
      <c r="A6" t="s">
        <v>168</v>
      </c>
      <c r="B6">
        <v>0</v>
      </c>
      <c r="C6">
        <v>0</v>
      </c>
      <c r="D6">
        <v>10</v>
      </c>
      <c r="F6" s="47">
        <v>0.04</v>
      </c>
      <c r="H6" t="s">
        <v>172</v>
      </c>
      <c r="J6" s="47">
        <f t="shared" ref="J6:J10" si="1">F6</f>
        <v>0.04</v>
      </c>
      <c r="K6" s="47">
        <f t="shared" si="0"/>
        <v>0.04</v>
      </c>
    </row>
    <row r="7" spans="1:11" x14ac:dyDescent="0.2">
      <c r="A7" t="s">
        <v>168</v>
      </c>
      <c r="B7">
        <v>0</v>
      </c>
      <c r="C7">
        <v>3</v>
      </c>
      <c r="D7">
        <v>4</v>
      </c>
      <c r="F7" s="47">
        <v>0.17</v>
      </c>
      <c r="H7" t="s">
        <v>173</v>
      </c>
      <c r="J7" s="47">
        <f t="shared" si="1"/>
        <v>0.17</v>
      </c>
      <c r="K7" s="47">
        <f t="shared" si="0"/>
        <v>0.17</v>
      </c>
    </row>
    <row r="8" spans="1:11" x14ac:dyDescent="0.2">
      <c r="A8" t="s">
        <v>168</v>
      </c>
      <c r="B8">
        <v>0</v>
      </c>
      <c r="C8">
        <v>1</v>
      </c>
      <c r="D8">
        <v>4</v>
      </c>
      <c r="F8" s="47">
        <v>7.0000000000000007E-2</v>
      </c>
      <c r="H8" t="s">
        <v>174</v>
      </c>
      <c r="J8" s="47">
        <f t="shared" si="1"/>
        <v>7.0000000000000007E-2</v>
      </c>
      <c r="K8" s="47">
        <f t="shared" si="0"/>
        <v>7.0000000000000007E-2</v>
      </c>
    </row>
    <row r="9" spans="1:11" x14ac:dyDescent="0.2">
      <c r="A9" t="s">
        <v>168</v>
      </c>
      <c r="B9">
        <v>0</v>
      </c>
      <c r="C9">
        <v>0</v>
      </c>
      <c r="D9">
        <v>6</v>
      </c>
      <c r="F9" s="47">
        <v>0.03</v>
      </c>
      <c r="H9" t="s">
        <v>175</v>
      </c>
      <c r="J9" s="47">
        <f t="shared" si="1"/>
        <v>0.03</v>
      </c>
      <c r="K9" s="47">
        <f t="shared" si="0"/>
        <v>0.03</v>
      </c>
    </row>
    <row r="10" spans="1:11" x14ac:dyDescent="0.2">
      <c r="A10" t="s">
        <v>168</v>
      </c>
      <c r="B10">
        <v>0</v>
      </c>
      <c r="C10">
        <v>1</v>
      </c>
      <c r="D10">
        <v>0</v>
      </c>
      <c r="F10" s="47">
        <v>0.05</v>
      </c>
      <c r="H10" t="s">
        <v>176</v>
      </c>
      <c r="J10" s="47">
        <f t="shared" si="1"/>
        <v>0.05</v>
      </c>
      <c r="K10" s="47">
        <f t="shared" si="0"/>
        <v>0.05</v>
      </c>
    </row>
    <row r="11" spans="1:11" x14ac:dyDescent="0.2">
      <c r="A11" t="s">
        <v>168</v>
      </c>
      <c r="B11">
        <v>0</v>
      </c>
      <c r="C11">
        <v>13</v>
      </c>
      <c r="D11">
        <v>4</v>
      </c>
      <c r="F11" s="47">
        <v>0.67</v>
      </c>
      <c r="H11" t="s">
        <v>177</v>
      </c>
    </row>
    <row r="12" spans="1:11" x14ac:dyDescent="0.2">
      <c r="A12" t="s">
        <v>168</v>
      </c>
      <c r="B12">
        <v>0</v>
      </c>
      <c r="C12">
        <v>0</v>
      </c>
      <c r="D12">
        <v>0</v>
      </c>
      <c r="F12" s="47">
        <v>0</v>
      </c>
      <c r="H12" t="s">
        <v>178</v>
      </c>
    </row>
    <row r="13" spans="1:11" x14ac:dyDescent="0.2">
      <c r="A13" t="s">
        <v>168</v>
      </c>
      <c r="B13">
        <v>0</v>
      </c>
      <c r="C13">
        <v>19</v>
      </c>
      <c r="D13">
        <v>3</v>
      </c>
      <c r="F13" s="47">
        <v>0.96</v>
      </c>
      <c r="H13" t="s">
        <v>180</v>
      </c>
    </row>
    <row r="14" spans="1:11" x14ac:dyDescent="0.2">
      <c r="A14" t="s">
        <v>168</v>
      </c>
      <c r="B14">
        <v>0</v>
      </c>
      <c r="C14">
        <v>0</v>
      </c>
      <c r="D14">
        <v>4</v>
      </c>
      <c r="F14" s="47">
        <v>0.02</v>
      </c>
      <c r="H14" t="s">
        <v>181</v>
      </c>
    </row>
    <row r="15" spans="1:11" x14ac:dyDescent="0.2">
      <c r="A15" t="s">
        <v>168</v>
      </c>
      <c r="B15">
        <v>13</v>
      </c>
      <c r="C15">
        <v>19</v>
      </c>
      <c r="D15">
        <v>5</v>
      </c>
      <c r="F15" s="47">
        <v>13.97</v>
      </c>
      <c r="H15" t="s">
        <v>182</v>
      </c>
    </row>
    <row r="16" spans="1:11" x14ac:dyDescent="0.2">
      <c r="A16" t="s">
        <v>168</v>
      </c>
      <c r="B16">
        <v>0</v>
      </c>
      <c r="C16">
        <v>9</v>
      </c>
      <c r="D16">
        <v>0</v>
      </c>
      <c r="F16" s="47">
        <v>0.45</v>
      </c>
      <c r="H16" t="s">
        <v>183</v>
      </c>
    </row>
    <row r="17" spans="1:11" x14ac:dyDescent="0.2">
      <c r="A17" t="s">
        <v>168</v>
      </c>
      <c r="B17">
        <v>1</v>
      </c>
      <c r="C17">
        <v>15</v>
      </c>
      <c r="D17">
        <v>10</v>
      </c>
      <c r="F17" s="47">
        <v>1.79</v>
      </c>
      <c r="H17" t="s">
        <v>366</v>
      </c>
    </row>
    <row r="18" spans="1:11" x14ac:dyDescent="0.2">
      <c r="A18" t="s">
        <v>168</v>
      </c>
      <c r="B18">
        <v>0</v>
      </c>
      <c r="C18">
        <v>12</v>
      </c>
      <c r="D18">
        <v>0</v>
      </c>
      <c r="F18" s="47">
        <v>0.6</v>
      </c>
      <c r="H18" t="s">
        <v>367</v>
      </c>
    </row>
    <row r="19" spans="1:11" x14ac:dyDescent="0.2">
      <c r="A19" t="s">
        <v>168</v>
      </c>
      <c r="B19">
        <v>19</v>
      </c>
      <c r="C19">
        <v>3</v>
      </c>
      <c r="D19">
        <v>11</v>
      </c>
      <c r="F19" s="47">
        <v>19.2</v>
      </c>
      <c r="H19" t="s">
        <v>186</v>
      </c>
    </row>
    <row r="20" spans="1:11" x14ac:dyDescent="0.2">
      <c r="A20" t="s">
        <v>168</v>
      </c>
      <c r="F20" s="47">
        <f>SUM(F3:F18)</f>
        <v>19.205000000000002</v>
      </c>
      <c r="G20" s="48">
        <f>F20-F19</f>
        <v>5.000000000002558E-3</v>
      </c>
      <c r="H20" t="s">
        <v>360</v>
      </c>
    </row>
    <row r="22" spans="1:11" x14ac:dyDescent="0.2">
      <c r="A22" t="s">
        <v>187</v>
      </c>
      <c r="B22">
        <v>0</v>
      </c>
      <c r="C22">
        <v>2</v>
      </c>
      <c r="D22">
        <v>0</v>
      </c>
      <c r="F22" s="47">
        <v>0.1</v>
      </c>
      <c r="H22" t="s">
        <v>188</v>
      </c>
      <c r="J22" s="47">
        <f>F22</f>
        <v>0.1</v>
      </c>
      <c r="K22" s="47">
        <f>F22</f>
        <v>0.1</v>
      </c>
    </row>
    <row r="23" spans="1:11" x14ac:dyDescent="0.2">
      <c r="A23" t="s">
        <v>187</v>
      </c>
      <c r="B23">
        <v>0</v>
      </c>
      <c r="C23">
        <v>1</v>
      </c>
      <c r="D23">
        <v>1</v>
      </c>
      <c r="F23" s="47">
        <v>0.05</v>
      </c>
      <c r="H23" t="s">
        <v>189</v>
      </c>
      <c r="J23" s="47">
        <f t="shared" ref="J23:J30" si="2">F23</f>
        <v>0.05</v>
      </c>
      <c r="K23" s="47">
        <f t="shared" ref="K23:K30" si="3">F23</f>
        <v>0.05</v>
      </c>
    </row>
    <row r="24" spans="1:11" x14ac:dyDescent="0.2">
      <c r="A24" t="s">
        <v>187</v>
      </c>
      <c r="B24">
        <v>0</v>
      </c>
      <c r="C24">
        <v>0</v>
      </c>
      <c r="D24">
        <v>6</v>
      </c>
      <c r="F24" s="47">
        <v>0.03</v>
      </c>
      <c r="H24" t="s">
        <v>190</v>
      </c>
      <c r="J24" s="47">
        <f t="shared" si="2"/>
        <v>0.03</v>
      </c>
      <c r="K24" s="47">
        <f t="shared" si="3"/>
        <v>0.03</v>
      </c>
    </row>
    <row r="25" spans="1:11" x14ac:dyDescent="0.2">
      <c r="A25" t="s">
        <v>187</v>
      </c>
      <c r="B25">
        <v>0</v>
      </c>
      <c r="C25">
        <v>1</v>
      </c>
      <c r="D25">
        <v>1</v>
      </c>
      <c r="F25" s="47">
        <v>0.05</v>
      </c>
      <c r="H25" t="s">
        <v>191</v>
      </c>
      <c r="J25" s="47">
        <f t="shared" si="2"/>
        <v>0.05</v>
      </c>
      <c r="K25" s="47">
        <f t="shared" si="3"/>
        <v>0.05</v>
      </c>
    </row>
    <row r="26" spans="1:11" x14ac:dyDescent="0.2">
      <c r="A26" t="s">
        <v>187</v>
      </c>
      <c r="B26">
        <v>0</v>
      </c>
      <c r="C26">
        <v>0</v>
      </c>
      <c r="D26">
        <v>5</v>
      </c>
      <c r="F26" s="47">
        <v>0.02</v>
      </c>
      <c r="H26" t="s">
        <v>192</v>
      </c>
      <c r="J26" s="47">
        <f t="shared" si="2"/>
        <v>0.02</v>
      </c>
      <c r="K26" s="47">
        <f t="shared" si="3"/>
        <v>0.02</v>
      </c>
    </row>
    <row r="27" spans="1:11" x14ac:dyDescent="0.2">
      <c r="A27" t="s">
        <v>187</v>
      </c>
      <c r="B27">
        <v>0</v>
      </c>
      <c r="C27">
        <v>0</v>
      </c>
      <c r="D27">
        <v>4</v>
      </c>
      <c r="F27" s="47">
        <v>0.02</v>
      </c>
      <c r="H27" t="s">
        <v>193</v>
      </c>
      <c r="J27" s="47">
        <f t="shared" si="2"/>
        <v>0.02</v>
      </c>
      <c r="K27" s="47">
        <f t="shared" si="3"/>
        <v>0.02</v>
      </c>
    </row>
    <row r="28" spans="1:11" x14ac:dyDescent="0.2">
      <c r="A28" t="s">
        <v>187</v>
      </c>
      <c r="B28">
        <v>0</v>
      </c>
      <c r="C28">
        <v>1</v>
      </c>
      <c r="D28">
        <v>2</v>
      </c>
      <c r="F28" s="47">
        <v>0.06</v>
      </c>
      <c r="H28" t="s">
        <v>194</v>
      </c>
      <c r="J28" s="47">
        <f t="shared" si="2"/>
        <v>0.06</v>
      </c>
      <c r="K28" s="47">
        <f t="shared" si="3"/>
        <v>0.06</v>
      </c>
    </row>
    <row r="29" spans="1:11" x14ac:dyDescent="0.2">
      <c r="A29" t="s">
        <v>187</v>
      </c>
      <c r="B29">
        <v>0</v>
      </c>
      <c r="C29">
        <v>3</v>
      </c>
      <c r="D29">
        <v>6</v>
      </c>
      <c r="F29" s="47">
        <v>0.17</v>
      </c>
      <c r="H29" t="s">
        <v>195</v>
      </c>
      <c r="J29" s="47">
        <f t="shared" si="2"/>
        <v>0.17</v>
      </c>
      <c r="K29" s="47">
        <f t="shared" si="3"/>
        <v>0.17</v>
      </c>
    </row>
    <row r="30" spans="1:11" x14ac:dyDescent="0.2">
      <c r="A30" t="s">
        <v>187</v>
      </c>
      <c r="B30">
        <v>0</v>
      </c>
      <c r="C30">
        <v>3</v>
      </c>
      <c r="D30">
        <v>0</v>
      </c>
      <c r="F30" s="47">
        <f>B30+C30/20+D30/240</f>
        <v>0.15</v>
      </c>
      <c r="H30" t="s">
        <v>616</v>
      </c>
      <c r="J30" s="47">
        <f t="shared" si="2"/>
        <v>0.15</v>
      </c>
      <c r="K30" s="47">
        <f>J30/2</f>
        <v>7.4999999999999997E-2</v>
      </c>
    </row>
    <row r="31" spans="1:11" x14ac:dyDescent="0.2">
      <c r="A31" t="s">
        <v>187</v>
      </c>
      <c r="B31">
        <v>0</v>
      </c>
      <c r="C31">
        <v>13</v>
      </c>
      <c r="D31">
        <v>1</v>
      </c>
      <c r="F31" s="47">
        <f>B31+C31/20+D31/240</f>
        <v>0.65416666666666667</v>
      </c>
      <c r="H31" t="s">
        <v>617</v>
      </c>
    </row>
    <row r="32" spans="1:11" x14ac:dyDescent="0.2">
      <c r="A32" t="s">
        <v>187</v>
      </c>
      <c r="F32" s="47">
        <v>0.65000000000000013</v>
      </c>
      <c r="G32" s="48">
        <f>F32-F31</f>
        <v>-4.1666666666665408E-3</v>
      </c>
      <c r="H32" t="s">
        <v>360</v>
      </c>
    </row>
    <row r="34" spans="1:11" x14ac:dyDescent="0.2">
      <c r="A34" t="s">
        <v>197</v>
      </c>
      <c r="B34">
        <v>0</v>
      </c>
      <c r="C34">
        <v>1</v>
      </c>
      <c r="D34">
        <v>6</v>
      </c>
      <c r="F34" s="47">
        <f t="shared" ref="F34:F43" si="4">B34+C34/20+D34/240</f>
        <v>7.5000000000000011E-2</v>
      </c>
      <c r="H34" t="s">
        <v>198</v>
      </c>
      <c r="J34" s="47">
        <f>F34</f>
        <v>7.5000000000000011E-2</v>
      </c>
      <c r="K34" s="47">
        <f>J34</f>
        <v>7.5000000000000011E-2</v>
      </c>
    </row>
    <row r="35" spans="1:11" x14ac:dyDescent="0.2">
      <c r="A35" t="s">
        <v>197</v>
      </c>
      <c r="B35">
        <v>0</v>
      </c>
      <c r="C35">
        <v>3</v>
      </c>
      <c r="D35">
        <v>0</v>
      </c>
      <c r="F35" s="47">
        <f t="shared" si="4"/>
        <v>0.15</v>
      </c>
      <c r="H35" t="s">
        <v>199</v>
      </c>
      <c r="J35" s="47">
        <f t="shared" ref="J35:J40" si="5">F35</f>
        <v>0.15</v>
      </c>
      <c r="K35" s="47">
        <f t="shared" ref="K35:K38" si="6">J35</f>
        <v>0.15</v>
      </c>
    </row>
    <row r="36" spans="1:11" x14ac:dyDescent="0.2">
      <c r="A36" t="s">
        <v>197</v>
      </c>
      <c r="B36">
        <v>0</v>
      </c>
      <c r="C36">
        <v>1</v>
      </c>
      <c r="D36">
        <v>3</v>
      </c>
      <c r="F36" s="47">
        <f t="shared" si="4"/>
        <v>6.25E-2</v>
      </c>
      <c r="H36" t="s">
        <v>200</v>
      </c>
      <c r="J36" s="47">
        <f t="shared" si="5"/>
        <v>6.25E-2</v>
      </c>
      <c r="K36" s="47">
        <f t="shared" si="6"/>
        <v>6.25E-2</v>
      </c>
    </row>
    <row r="37" spans="1:11" x14ac:dyDescent="0.2">
      <c r="A37" t="s">
        <v>197</v>
      </c>
      <c r="B37">
        <v>0</v>
      </c>
      <c r="C37">
        <v>1</v>
      </c>
      <c r="D37">
        <v>6</v>
      </c>
      <c r="F37" s="47">
        <f t="shared" si="4"/>
        <v>7.5000000000000011E-2</v>
      </c>
      <c r="H37" t="s">
        <v>201</v>
      </c>
      <c r="J37" s="47">
        <f t="shared" si="5"/>
        <v>7.5000000000000011E-2</v>
      </c>
      <c r="K37" s="47">
        <f t="shared" si="6"/>
        <v>7.5000000000000011E-2</v>
      </c>
    </row>
    <row r="38" spans="1:11" x14ac:dyDescent="0.2">
      <c r="A38" t="s">
        <v>197</v>
      </c>
      <c r="B38">
        <v>0</v>
      </c>
      <c r="C38">
        <v>1</v>
      </c>
      <c r="D38">
        <v>0</v>
      </c>
      <c r="F38" s="47">
        <f t="shared" si="4"/>
        <v>0.05</v>
      </c>
      <c r="H38" t="s">
        <v>202</v>
      </c>
      <c r="J38" s="47">
        <f t="shared" si="5"/>
        <v>0.05</v>
      </c>
      <c r="K38" s="47">
        <f t="shared" si="6"/>
        <v>0.05</v>
      </c>
    </row>
    <row r="39" spans="1:11" x14ac:dyDescent="0.2">
      <c r="A39" t="s">
        <v>197</v>
      </c>
      <c r="B39">
        <v>0</v>
      </c>
      <c r="C39">
        <v>4</v>
      </c>
      <c r="D39">
        <v>0</v>
      </c>
      <c r="F39" s="47">
        <f t="shared" si="4"/>
        <v>0.2</v>
      </c>
      <c r="H39" t="s">
        <v>203</v>
      </c>
      <c r="J39" s="47"/>
    </row>
    <row r="40" spans="1:11" x14ac:dyDescent="0.2">
      <c r="A40" t="s">
        <v>197</v>
      </c>
      <c r="B40">
        <v>0</v>
      </c>
      <c r="C40">
        <v>1</v>
      </c>
      <c r="D40">
        <v>6</v>
      </c>
      <c r="F40" s="47">
        <f t="shared" si="4"/>
        <v>7.5000000000000011E-2</v>
      </c>
      <c r="H40" t="s">
        <v>204</v>
      </c>
      <c r="J40" s="47"/>
    </row>
    <row r="41" spans="1:11" x14ac:dyDescent="0.2">
      <c r="A41" t="s">
        <v>197</v>
      </c>
      <c r="B41">
        <v>0</v>
      </c>
      <c r="C41">
        <v>13</v>
      </c>
      <c r="D41">
        <v>10</v>
      </c>
      <c r="F41" s="47">
        <f t="shared" si="4"/>
        <v>0.69166666666666665</v>
      </c>
      <c r="H41" t="s">
        <v>205</v>
      </c>
    </row>
    <row r="42" spans="1:11" x14ac:dyDescent="0.2">
      <c r="A42" t="s">
        <v>197</v>
      </c>
      <c r="B42">
        <v>0</v>
      </c>
      <c r="C42">
        <v>5</v>
      </c>
      <c r="D42">
        <v>0</v>
      </c>
      <c r="F42" s="47">
        <f>B42+C42/20+D42/240</f>
        <v>0.25</v>
      </c>
      <c r="H42" t="s">
        <v>618</v>
      </c>
    </row>
    <row r="43" spans="1:11" x14ac:dyDescent="0.2">
      <c r="A43" t="s">
        <v>197</v>
      </c>
      <c r="B43">
        <v>1</v>
      </c>
      <c r="C43">
        <v>8</v>
      </c>
      <c r="D43">
        <v>11</v>
      </c>
      <c r="F43" s="47">
        <f t="shared" si="4"/>
        <v>1.4458333333333333</v>
      </c>
      <c r="H43" t="s">
        <v>619</v>
      </c>
    </row>
    <row r="44" spans="1:11" x14ac:dyDescent="0.2">
      <c r="A44" t="s">
        <v>197</v>
      </c>
      <c r="F44" s="47">
        <f>SUM(F34:F42)</f>
        <v>1.6291666666666667</v>
      </c>
      <c r="G44" s="48">
        <f>F44-F43</f>
        <v>0.18333333333333335</v>
      </c>
      <c r="H44" t="s">
        <v>360</v>
      </c>
    </row>
    <row r="46" spans="1:11" x14ac:dyDescent="0.2">
      <c r="A46" t="s">
        <v>207</v>
      </c>
      <c r="B46">
        <v>0</v>
      </c>
      <c r="C46">
        <v>12</v>
      </c>
      <c r="D46">
        <v>4</v>
      </c>
      <c r="F46" s="47">
        <v>0.62</v>
      </c>
      <c r="H46" t="s">
        <v>208</v>
      </c>
      <c r="J46" s="47">
        <f>F46</f>
        <v>0.62</v>
      </c>
      <c r="K46" s="47">
        <f>J46</f>
        <v>0.62</v>
      </c>
    </row>
    <row r="47" spans="1:11" x14ac:dyDescent="0.2">
      <c r="A47" t="s">
        <v>207</v>
      </c>
      <c r="B47">
        <v>0</v>
      </c>
      <c r="C47">
        <v>1</v>
      </c>
      <c r="D47">
        <v>0</v>
      </c>
      <c r="F47" s="47">
        <v>0.05</v>
      </c>
      <c r="H47" t="s">
        <v>209</v>
      </c>
      <c r="J47" s="47">
        <f t="shared" ref="J47:J49" si="7">F47</f>
        <v>0.05</v>
      </c>
      <c r="K47" s="47">
        <f t="shared" ref="K47:K49" si="8">J47</f>
        <v>0.05</v>
      </c>
    </row>
    <row r="48" spans="1:11" x14ac:dyDescent="0.2">
      <c r="A48" t="s">
        <v>207</v>
      </c>
      <c r="B48">
        <v>0</v>
      </c>
      <c r="C48">
        <v>0</v>
      </c>
      <c r="D48">
        <v>5</v>
      </c>
      <c r="F48" s="47">
        <v>0.02</v>
      </c>
      <c r="H48" t="s">
        <v>210</v>
      </c>
      <c r="J48" s="47">
        <f t="shared" si="7"/>
        <v>0.02</v>
      </c>
      <c r="K48" s="47">
        <f t="shared" si="8"/>
        <v>0.02</v>
      </c>
    </row>
    <row r="49" spans="1:11" x14ac:dyDescent="0.2">
      <c r="A49" t="s">
        <v>207</v>
      </c>
      <c r="B49">
        <v>0</v>
      </c>
      <c r="C49">
        <v>0</v>
      </c>
      <c r="D49">
        <v>2</v>
      </c>
      <c r="F49" s="47">
        <f>B49+C49/20+D49/240</f>
        <v>8.3333333333333332E-3</v>
      </c>
      <c r="H49" t="s">
        <v>620</v>
      </c>
      <c r="J49" s="47">
        <f t="shared" si="7"/>
        <v>8.3333333333333332E-3</v>
      </c>
      <c r="K49" s="47">
        <f t="shared" si="8"/>
        <v>8.3333333333333332E-3</v>
      </c>
    </row>
    <row r="50" spans="1:11" x14ac:dyDescent="0.2">
      <c r="A50" t="s">
        <v>207</v>
      </c>
      <c r="B50">
        <v>0</v>
      </c>
      <c r="C50">
        <v>13</v>
      </c>
      <c r="D50">
        <v>11</v>
      </c>
      <c r="F50" s="47">
        <f>B50+C50/20+D50/240</f>
        <v>0.6958333333333333</v>
      </c>
      <c r="H50" t="s">
        <v>621</v>
      </c>
    </row>
    <row r="51" spans="1:11" x14ac:dyDescent="0.2">
      <c r="A51" t="s">
        <v>207</v>
      </c>
      <c r="F51" s="47">
        <f>SUM(F46:F49)</f>
        <v>0.69833333333333336</v>
      </c>
      <c r="G51" s="48">
        <f>F51-F50</f>
        <v>2.5000000000000577E-3</v>
      </c>
      <c r="H51" t="s">
        <v>360</v>
      </c>
    </row>
    <row r="53" spans="1:11" x14ac:dyDescent="0.2">
      <c r="A53" t="s">
        <v>212</v>
      </c>
      <c r="B53">
        <v>0</v>
      </c>
      <c r="C53">
        <v>17</v>
      </c>
      <c r="D53">
        <v>4</v>
      </c>
      <c r="F53" s="47">
        <v>0.87</v>
      </c>
      <c r="H53" t="s">
        <v>368</v>
      </c>
    </row>
    <row r="54" spans="1:11" x14ac:dyDescent="0.2">
      <c r="A54" t="s">
        <v>212</v>
      </c>
      <c r="B54">
        <v>0</v>
      </c>
      <c r="C54">
        <v>5</v>
      </c>
      <c r="D54">
        <v>8.5</v>
      </c>
      <c r="F54" s="47">
        <v>0.28999999999999998</v>
      </c>
      <c r="H54" t="s">
        <v>369</v>
      </c>
    </row>
    <row r="55" spans="1:11" x14ac:dyDescent="0.2">
      <c r="A55" t="s">
        <v>212</v>
      </c>
      <c r="B55">
        <v>0</v>
      </c>
      <c r="C55">
        <v>0</v>
      </c>
      <c r="D55">
        <v>10.25</v>
      </c>
      <c r="F55" s="47">
        <v>0.04</v>
      </c>
      <c r="H55" t="s">
        <v>370</v>
      </c>
    </row>
    <row r="56" spans="1:11" x14ac:dyDescent="0.2">
      <c r="A56" t="s">
        <v>212</v>
      </c>
      <c r="B56">
        <v>0</v>
      </c>
      <c r="C56">
        <v>5</v>
      </c>
      <c r="D56">
        <v>1.75</v>
      </c>
      <c r="F56" s="47">
        <v>0.26</v>
      </c>
      <c r="H56" t="s">
        <v>371</v>
      </c>
    </row>
    <row r="57" spans="1:11" x14ac:dyDescent="0.2">
      <c r="A57" t="s">
        <v>212</v>
      </c>
      <c r="B57">
        <v>0</v>
      </c>
      <c r="C57">
        <v>1</v>
      </c>
      <c r="D57">
        <v>3.5</v>
      </c>
      <c r="F57" s="47">
        <v>0.06</v>
      </c>
      <c r="H57" t="s">
        <v>217</v>
      </c>
    </row>
    <row r="58" spans="1:11" x14ac:dyDescent="0.2">
      <c r="A58" t="s">
        <v>212</v>
      </c>
      <c r="B58">
        <v>0</v>
      </c>
      <c r="C58">
        <v>1</v>
      </c>
      <c r="D58">
        <v>9.75</v>
      </c>
      <c r="F58" s="47">
        <v>0.09</v>
      </c>
      <c r="H58" t="s">
        <v>218</v>
      </c>
    </row>
    <row r="59" spans="1:11" x14ac:dyDescent="0.2">
      <c r="A59" t="s">
        <v>212</v>
      </c>
      <c r="B59">
        <v>0</v>
      </c>
      <c r="C59">
        <v>0</v>
      </c>
      <c r="D59">
        <v>3</v>
      </c>
      <c r="F59" s="47">
        <f>B59+C59/20+D59/240</f>
        <v>1.2500000000000001E-2</v>
      </c>
      <c r="H59" t="s">
        <v>622</v>
      </c>
    </row>
    <row r="60" spans="1:11" x14ac:dyDescent="0.2">
      <c r="A60" t="s">
        <v>212</v>
      </c>
      <c r="B60">
        <v>1</v>
      </c>
      <c r="C60">
        <v>12</v>
      </c>
      <c r="D60">
        <v>4.75</v>
      </c>
      <c r="F60" s="47">
        <f>B60+C60/20+D60/240</f>
        <v>1.6197916666666667</v>
      </c>
      <c r="H60" t="s">
        <v>623</v>
      </c>
    </row>
    <row r="61" spans="1:11" x14ac:dyDescent="0.2">
      <c r="A61" t="s">
        <v>212</v>
      </c>
      <c r="F61" s="47">
        <f>SUM(F53:F59)</f>
        <v>1.6225000000000001</v>
      </c>
      <c r="G61" s="48">
        <f>F61-F60</f>
        <v>2.7083333333333126E-3</v>
      </c>
      <c r="H61" t="s">
        <v>360</v>
      </c>
    </row>
    <row r="63" spans="1:11" x14ac:dyDescent="0.2">
      <c r="A63" t="s">
        <v>220</v>
      </c>
      <c r="B63">
        <v>0</v>
      </c>
      <c r="C63">
        <v>3</v>
      </c>
      <c r="D63">
        <v>4</v>
      </c>
      <c r="F63" s="47">
        <v>0.17</v>
      </c>
      <c r="H63" t="s">
        <v>624</v>
      </c>
    </row>
    <row r="64" spans="1:11" x14ac:dyDescent="0.2">
      <c r="A64" t="s">
        <v>220</v>
      </c>
      <c r="F64" s="47">
        <v>0.17</v>
      </c>
      <c r="H64" t="s">
        <v>625</v>
      </c>
    </row>
    <row r="65" spans="1:10" x14ac:dyDescent="0.2">
      <c r="A65" t="s">
        <v>220</v>
      </c>
      <c r="F65" s="47">
        <v>0.17</v>
      </c>
      <c r="G65" s="48">
        <v>0</v>
      </c>
      <c r="H65" t="s">
        <v>360</v>
      </c>
    </row>
    <row r="67" spans="1:10" x14ac:dyDescent="0.2">
      <c r="A67" t="s">
        <v>222</v>
      </c>
      <c r="B67">
        <v>0</v>
      </c>
      <c r="C67">
        <v>0</v>
      </c>
      <c r="D67">
        <v>6</v>
      </c>
      <c r="F67" s="47">
        <v>0.03</v>
      </c>
      <c r="H67" t="s">
        <v>223</v>
      </c>
    </row>
    <row r="68" spans="1:10" x14ac:dyDescent="0.2">
      <c r="A68" t="s">
        <v>222</v>
      </c>
      <c r="B68">
        <v>0</v>
      </c>
      <c r="C68">
        <v>13</v>
      </c>
      <c r="D68">
        <v>4</v>
      </c>
      <c r="F68" s="47">
        <v>0.67</v>
      </c>
      <c r="H68" t="s">
        <v>224</v>
      </c>
    </row>
    <row r="69" spans="1:10" x14ac:dyDescent="0.2">
      <c r="A69" t="s">
        <v>222</v>
      </c>
      <c r="B69">
        <v>0</v>
      </c>
      <c r="C69">
        <v>6</v>
      </c>
      <c r="D69">
        <v>9</v>
      </c>
      <c r="F69" s="47">
        <v>0.34</v>
      </c>
      <c r="H69" t="s">
        <v>226</v>
      </c>
    </row>
    <row r="70" spans="1:10" x14ac:dyDescent="0.2">
      <c r="A70" t="s">
        <v>222</v>
      </c>
      <c r="B70">
        <v>0</v>
      </c>
      <c r="C70">
        <v>6</v>
      </c>
      <c r="D70">
        <v>2</v>
      </c>
      <c r="F70" s="47">
        <v>0.31</v>
      </c>
      <c r="H70" t="s">
        <v>227</v>
      </c>
    </row>
    <row r="71" spans="1:10" x14ac:dyDescent="0.2">
      <c r="A71" t="s">
        <v>222</v>
      </c>
      <c r="B71">
        <v>1</v>
      </c>
      <c r="C71">
        <v>6</v>
      </c>
      <c r="D71">
        <v>7</v>
      </c>
      <c r="F71" s="47">
        <v>1.33</v>
      </c>
      <c r="H71" t="s">
        <v>228</v>
      </c>
    </row>
    <row r="72" spans="1:10" x14ac:dyDescent="0.2">
      <c r="A72" t="s">
        <v>222</v>
      </c>
      <c r="F72" s="47">
        <v>1.35</v>
      </c>
      <c r="G72" s="48">
        <f>F72-F71</f>
        <v>2.0000000000000018E-2</v>
      </c>
      <c r="H72" t="s">
        <v>360</v>
      </c>
    </row>
    <row r="74" spans="1:10" x14ac:dyDescent="0.2">
      <c r="A74" t="s">
        <v>229</v>
      </c>
      <c r="B74">
        <v>0</v>
      </c>
      <c r="C74">
        <v>0</v>
      </c>
      <c r="D74">
        <v>4</v>
      </c>
      <c r="F74" s="47">
        <v>0.02</v>
      </c>
      <c r="H74" t="s">
        <v>230</v>
      </c>
      <c r="J74" s="47">
        <f>F74</f>
        <v>0.02</v>
      </c>
    </row>
    <row r="75" spans="1:10" x14ac:dyDescent="0.2">
      <c r="A75" t="s">
        <v>229</v>
      </c>
      <c r="B75">
        <v>0</v>
      </c>
      <c r="C75">
        <v>0</v>
      </c>
      <c r="D75">
        <v>4</v>
      </c>
      <c r="F75" s="47">
        <v>0.02</v>
      </c>
      <c r="H75" t="s">
        <v>231</v>
      </c>
      <c r="J75" s="47">
        <f t="shared" ref="J75:J80" si="9">F75</f>
        <v>0.02</v>
      </c>
    </row>
    <row r="76" spans="1:10" x14ac:dyDescent="0.2">
      <c r="A76" t="s">
        <v>229</v>
      </c>
      <c r="B76">
        <v>0</v>
      </c>
      <c r="C76">
        <v>0</v>
      </c>
      <c r="D76">
        <v>3</v>
      </c>
      <c r="F76" s="47">
        <v>0.01</v>
      </c>
      <c r="H76" t="s">
        <v>232</v>
      </c>
      <c r="J76" s="47">
        <f t="shared" si="9"/>
        <v>0.01</v>
      </c>
    </row>
    <row r="77" spans="1:10" x14ac:dyDescent="0.2">
      <c r="A77" t="s">
        <v>229</v>
      </c>
      <c r="B77">
        <v>0</v>
      </c>
      <c r="C77">
        <v>2</v>
      </c>
      <c r="D77">
        <v>1.5</v>
      </c>
      <c r="F77" s="47">
        <v>0.11</v>
      </c>
      <c r="H77" t="s">
        <v>233</v>
      </c>
      <c r="J77" s="47">
        <f t="shared" si="9"/>
        <v>0.11</v>
      </c>
    </row>
    <row r="78" spans="1:10" x14ac:dyDescent="0.2">
      <c r="A78" t="s">
        <v>229</v>
      </c>
      <c r="B78">
        <v>0</v>
      </c>
      <c r="C78">
        <v>10</v>
      </c>
      <c r="D78">
        <v>2</v>
      </c>
      <c r="F78" s="47">
        <v>0.51</v>
      </c>
      <c r="H78" t="s">
        <v>234</v>
      </c>
      <c r="J78" s="47">
        <f t="shared" si="9"/>
        <v>0.51</v>
      </c>
    </row>
    <row r="79" spans="1:10" x14ac:dyDescent="0.2">
      <c r="A79" t="s">
        <v>229</v>
      </c>
      <c r="B79">
        <v>0</v>
      </c>
      <c r="C79">
        <v>0</v>
      </c>
      <c r="D79">
        <v>6</v>
      </c>
      <c r="F79" s="47">
        <v>0.03</v>
      </c>
      <c r="H79" t="s">
        <v>235</v>
      </c>
      <c r="J79" s="47">
        <f t="shared" si="9"/>
        <v>0.03</v>
      </c>
    </row>
    <row r="80" spans="1:10" x14ac:dyDescent="0.2">
      <c r="A80" t="s">
        <v>229</v>
      </c>
      <c r="B80">
        <v>0</v>
      </c>
      <c r="C80">
        <v>6</v>
      </c>
      <c r="D80">
        <v>0</v>
      </c>
      <c r="F80" s="47">
        <f>B80+C80/20+D80/240</f>
        <v>0.3</v>
      </c>
      <c r="H80" t="s">
        <v>626</v>
      </c>
      <c r="J80" s="47">
        <f t="shared" si="9"/>
        <v>0.3</v>
      </c>
    </row>
    <row r="81" spans="1:8" x14ac:dyDescent="0.2">
      <c r="A81" t="s">
        <v>229</v>
      </c>
      <c r="B81">
        <v>1</v>
      </c>
      <c r="C81">
        <v>0</v>
      </c>
      <c r="D81">
        <v>4.5</v>
      </c>
      <c r="F81" s="47">
        <f>B81+C81/20+D81/240</f>
        <v>1.01875</v>
      </c>
      <c r="H81" t="s">
        <v>627</v>
      </c>
    </row>
    <row r="82" spans="1:8" x14ac:dyDescent="0.2">
      <c r="A82" t="s">
        <v>229</v>
      </c>
      <c r="F82" s="47">
        <v>1.72</v>
      </c>
      <c r="G82" s="48">
        <f>F82-F81</f>
        <v>0.70124999999999993</v>
      </c>
      <c r="H82" t="s">
        <v>360</v>
      </c>
    </row>
    <row r="84" spans="1:8" x14ac:dyDescent="0.2">
      <c r="A84" t="s">
        <v>237</v>
      </c>
      <c r="B84">
        <v>26</v>
      </c>
      <c r="C84">
        <v>2</v>
      </c>
      <c r="D84">
        <v>6.25</v>
      </c>
      <c r="F84" s="47">
        <v>26.13</v>
      </c>
      <c r="H84" t="s">
        <v>238</v>
      </c>
    </row>
    <row r="85" spans="1:8" x14ac:dyDescent="0.2">
      <c r="A85" t="s">
        <v>237</v>
      </c>
      <c r="F85" s="47">
        <v>26.13</v>
      </c>
      <c r="G85" s="48">
        <f>F85-F84</f>
        <v>0</v>
      </c>
      <c r="H85" t="s">
        <v>360</v>
      </c>
    </row>
    <row r="88" spans="1:8" x14ac:dyDescent="0.2">
      <c r="A88" t="s">
        <v>239</v>
      </c>
      <c r="B88">
        <v>57</v>
      </c>
      <c r="C88">
        <v>17</v>
      </c>
      <c r="D88">
        <v>11.25</v>
      </c>
      <c r="F88" s="47">
        <v>57.9</v>
      </c>
      <c r="H88" t="s">
        <v>240</v>
      </c>
    </row>
    <row r="89" spans="1:8" x14ac:dyDescent="0.2">
      <c r="A89" t="s">
        <v>239</v>
      </c>
      <c r="F89" s="47">
        <v>57.9</v>
      </c>
      <c r="G89" s="48">
        <v>0</v>
      </c>
      <c r="H89" t="s">
        <v>360</v>
      </c>
    </row>
    <row r="92" spans="1:8" x14ac:dyDescent="0.2">
      <c r="A92" t="s">
        <v>241</v>
      </c>
      <c r="B92">
        <v>30</v>
      </c>
      <c r="C92">
        <v>13</v>
      </c>
      <c r="D92">
        <v>4</v>
      </c>
      <c r="F92" s="47">
        <v>30.67</v>
      </c>
      <c r="H92" t="s">
        <v>242</v>
      </c>
    </row>
    <row r="94" spans="1:8" ht="16" x14ac:dyDescent="0.2">
      <c r="A94" s="2" t="s">
        <v>550</v>
      </c>
      <c r="F94" s="47">
        <f>F85</f>
        <v>26.13</v>
      </c>
    </row>
    <row r="95" spans="1:8" ht="16" x14ac:dyDescent="0.2">
      <c r="A95" s="2" t="s">
        <v>551</v>
      </c>
      <c r="F95" s="47">
        <f>F82+F72+F65+F61+F51+F44+F32+F20</f>
        <v>27.045000000000002</v>
      </c>
      <c r="G95" s="48">
        <f>F95-F94</f>
        <v>0.9150000000000027</v>
      </c>
    </row>
    <row r="96" spans="1:8" ht="16" x14ac:dyDescent="0.2">
      <c r="A96" s="2" t="s">
        <v>552</v>
      </c>
      <c r="F96" s="47">
        <f>SUM(J3:J81)</f>
        <v>3.505833333333332</v>
      </c>
    </row>
    <row r="97" spans="1:6" ht="16" x14ac:dyDescent="0.2">
      <c r="A97" s="2" t="s">
        <v>553</v>
      </c>
      <c r="F97" s="47">
        <f>SUM(K3:K80)</f>
        <v>2.4308333333333332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6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A2" sqref="A2:A5"/>
    </sheetView>
  </sheetViews>
  <sheetFormatPr baseColWidth="10" defaultColWidth="8.83203125" defaultRowHeight="15" x14ac:dyDescent="0.2"/>
  <cols>
    <col min="1" max="1" width="30" bestFit="1" customWidth="1"/>
    <col min="2" max="2" width="12.1640625" bestFit="1" customWidth="1"/>
    <col min="3" max="3" width="11.83203125" bestFit="1" customWidth="1"/>
    <col min="4" max="4" width="12.6640625" bestFit="1" customWidth="1"/>
    <col min="5" max="6" width="15.83203125" bestFit="1" customWidth="1"/>
    <col min="7" max="9" width="18.6640625" customWidth="1"/>
    <col min="10" max="11" width="25.6640625" customWidth="1"/>
    <col min="12" max="12" width="20.6640625" bestFit="1" customWidth="1"/>
    <col min="13" max="13" width="17.83203125" bestFit="1" customWidth="1"/>
    <col min="14" max="14" width="8.1640625" bestFit="1" customWidth="1"/>
    <col min="15" max="15" width="19.5" bestFit="1" customWidth="1"/>
    <col min="16" max="16" width="25.6640625" customWidth="1"/>
  </cols>
  <sheetData>
    <row r="1" spans="1:16" s="59" customFormat="1" ht="48" x14ac:dyDescent="0.2">
      <c r="A1" s="42" t="s">
        <v>407</v>
      </c>
      <c r="B1" s="42" t="s">
        <v>648</v>
      </c>
      <c r="C1" s="57" t="s">
        <v>403</v>
      </c>
      <c r="D1" s="57" t="s">
        <v>391</v>
      </c>
      <c r="E1" s="57" t="s">
        <v>649</v>
      </c>
      <c r="F1" s="42" t="s">
        <v>400</v>
      </c>
      <c r="G1" s="57" t="s">
        <v>408</v>
      </c>
      <c r="H1" s="57" t="s">
        <v>409</v>
      </c>
      <c r="I1" s="58" t="s">
        <v>411</v>
      </c>
    </row>
    <row r="2" spans="1:16" x14ac:dyDescent="0.2">
      <c r="A2" t="s">
        <v>102</v>
      </c>
      <c r="B2">
        <v>135.625</v>
      </c>
      <c r="D2">
        <v>0</v>
      </c>
      <c r="F2">
        <v>90.5</v>
      </c>
      <c r="G2" s="47">
        <f>B2-F2</f>
        <v>45.125</v>
      </c>
      <c r="H2" s="47">
        <v>0.33333333333333331</v>
      </c>
      <c r="I2" s="47">
        <f>H2*B2</f>
        <v>45.208333333333329</v>
      </c>
    </row>
    <row r="3" spans="1:16" x14ac:dyDescent="0.2">
      <c r="A3" t="s">
        <v>666</v>
      </c>
      <c r="B3">
        <v>60.875</v>
      </c>
      <c r="D3">
        <v>10.75</v>
      </c>
      <c r="F3">
        <v>26.875</v>
      </c>
      <c r="G3" s="47">
        <f t="shared" ref="G3:G5" si="0">B3-F3</f>
        <v>34</v>
      </c>
      <c r="H3" s="47">
        <v>0.2</v>
      </c>
      <c r="I3" s="47">
        <f t="shared" ref="I3:I5" si="1">H3*B3</f>
        <v>12.175000000000001</v>
      </c>
    </row>
    <row r="4" spans="1:16" x14ac:dyDescent="0.2">
      <c r="A4" t="s">
        <v>105</v>
      </c>
      <c r="B4">
        <v>13.75</v>
      </c>
      <c r="D4">
        <v>3</v>
      </c>
      <c r="F4">
        <v>4.625</v>
      </c>
      <c r="G4" s="47">
        <f t="shared" si="0"/>
        <v>9.125</v>
      </c>
      <c r="H4" s="47">
        <v>0.2</v>
      </c>
      <c r="I4" s="47">
        <f t="shared" si="1"/>
        <v>2.75</v>
      </c>
    </row>
    <row r="5" spans="1:16" x14ac:dyDescent="0.2">
      <c r="A5" t="s">
        <v>107</v>
      </c>
      <c r="B5">
        <v>181.125</v>
      </c>
      <c r="D5">
        <v>0</v>
      </c>
      <c r="F5">
        <v>39.75</v>
      </c>
      <c r="G5" s="47">
        <f t="shared" si="0"/>
        <v>141.375</v>
      </c>
      <c r="H5" s="47">
        <v>0.1168238993710692</v>
      </c>
      <c r="I5" s="47">
        <f t="shared" si="1"/>
        <v>21.159728773584909</v>
      </c>
    </row>
    <row r="7" spans="1:16" x14ac:dyDescent="0.2">
      <c r="A7" s="65" t="s">
        <v>667</v>
      </c>
    </row>
    <row r="8" spans="1:16" x14ac:dyDescent="0.2">
      <c r="A8" s="65" t="s">
        <v>668</v>
      </c>
    </row>
    <row r="10" spans="1:16" ht="32" x14ac:dyDescent="0.2">
      <c r="A10" s="59" t="s">
        <v>650</v>
      </c>
      <c r="B10" s="60" t="s">
        <v>651</v>
      </c>
      <c r="C10" s="61" t="s">
        <v>652</v>
      </c>
      <c r="D10" s="61" t="s">
        <v>653</v>
      </c>
      <c r="E10" s="61" t="s">
        <v>654</v>
      </c>
      <c r="F10" s="59" t="s">
        <v>655</v>
      </c>
      <c r="G10" s="61" t="s">
        <v>656</v>
      </c>
      <c r="H10" s="61" t="s">
        <v>657</v>
      </c>
      <c r="I10" s="61" t="s">
        <v>658</v>
      </c>
      <c r="J10" s="61" t="s">
        <v>659</v>
      </c>
      <c r="K10" s="62" t="s">
        <v>660</v>
      </c>
      <c r="L10" s="61" t="s">
        <v>661</v>
      </c>
      <c r="M10" s="61" t="s">
        <v>662</v>
      </c>
      <c r="N10" s="63" t="s">
        <v>663</v>
      </c>
      <c r="O10" s="63" t="s">
        <v>664</v>
      </c>
      <c r="P10" s="60" t="s">
        <v>665</v>
      </c>
    </row>
    <row r="11" spans="1:16" x14ac:dyDescent="0.2">
      <c r="A11" t="s">
        <v>102</v>
      </c>
      <c r="B11">
        <f>B2</f>
        <v>135.625</v>
      </c>
      <c r="C11">
        <v>31</v>
      </c>
      <c r="D11">
        <v>1</v>
      </c>
      <c r="E11">
        <f>C11+D11/8</f>
        <v>31.125</v>
      </c>
      <c r="I11">
        <f>1.5+4+7.5</f>
        <v>13</v>
      </c>
      <c r="J11">
        <f>1+6+1</f>
        <v>8</v>
      </c>
      <c r="K11" s="64">
        <f>I11+J11/8</f>
        <v>14</v>
      </c>
      <c r="L11">
        <f>B11-E11-H11-K11</f>
        <v>90.5</v>
      </c>
      <c r="N11" s="47">
        <f>H2</f>
        <v>0.33333333333333331</v>
      </c>
      <c r="O11" s="47">
        <f>N11*L11</f>
        <v>30.166666666666664</v>
      </c>
    </row>
    <row r="12" spans="1:16" x14ac:dyDescent="0.2">
      <c r="A12" t="s">
        <v>666</v>
      </c>
      <c r="B12">
        <f t="shared" ref="B12:B14" si="2">B3</f>
        <v>60.875</v>
      </c>
      <c r="C12">
        <v>4</v>
      </c>
      <c r="D12">
        <v>5</v>
      </c>
      <c r="E12">
        <f t="shared" ref="E12:E14" si="3">C12+D12/8</f>
        <v>4.625</v>
      </c>
      <c r="I12">
        <f>20+2.5+1+4</f>
        <v>27.5</v>
      </c>
      <c r="J12">
        <f>6+4+3+2</f>
        <v>15</v>
      </c>
      <c r="K12" s="64">
        <f t="shared" ref="K12:K14" si="4">I12+J12/8</f>
        <v>29.375</v>
      </c>
      <c r="L12">
        <f t="shared" ref="L12:L14" si="5">B12-E12-H12-K12</f>
        <v>26.875</v>
      </c>
      <c r="N12" s="47">
        <f t="shared" ref="N12:N14" si="6">H3</f>
        <v>0.2</v>
      </c>
      <c r="O12" s="47">
        <f t="shared" ref="O12:O14" si="7">N12*L12</f>
        <v>5.375</v>
      </c>
    </row>
    <row r="13" spans="1:16" x14ac:dyDescent="0.2">
      <c r="A13" t="s">
        <v>105</v>
      </c>
      <c r="B13">
        <f t="shared" si="2"/>
        <v>13.75</v>
      </c>
      <c r="C13">
        <v>8.5</v>
      </c>
      <c r="D13">
        <v>1</v>
      </c>
      <c r="E13">
        <f t="shared" si="3"/>
        <v>8.625</v>
      </c>
      <c r="J13">
        <v>4</v>
      </c>
      <c r="K13" s="64">
        <f t="shared" si="4"/>
        <v>0.5</v>
      </c>
      <c r="L13">
        <f t="shared" si="5"/>
        <v>4.625</v>
      </c>
      <c r="N13" s="47">
        <f t="shared" si="6"/>
        <v>0.2</v>
      </c>
      <c r="O13" s="47">
        <f t="shared" si="7"/>
        <v>0.92500000000000004</v>
      </c>
    </row>
    <row r="14" spans="1:16" x14ac:dyDescent="0.2">
      <c r="A14" t="s">
        <v>107</v>
      </c>
      <c r="B14">
        <f t="shared" si="2"/>
        <v>181.125</v>
      </c>
      <c r="C14">
        <v>90</v>
      </c>
      <c r="D14">
        <v>7</v>
      </c>
      <c r="E14">
        <f t="shared" si="3"/>
        <v>90.875</v>
      </c>
      <c r="I14">
        <f>6.5+4+24+12.5</f>
        <v>47</v>
      </c>
      <c r="J14">
        <f>1+5+2</f>
        <v>8</v>
      </c>
      <c r="K14" s="64">
        <f t="shared" si="4"/>
        <v>48</v>
      </c>
      <c r="L14">
        <f t="shared" si="5"/>
        <v>42.25</v>
      </c>
      <c r="N14" s="47">
        <f t="shared" si="6"/>
        <v>0.1168238993710692</v>
      </c>
      <c r="O14" s="47">
        <f t="shared" si="7"/>
        <v>4.9358097484276735</v>
      </c>
    </row>
    <row r="16" spans="1:16" x14ac:dyDescent="0.2">
      <c r="A16" s="66" t="s">
        <v>360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1"/>
  <sheetViews>
    <sheetView zoomScale="93" workbookViewId="0">
      <pane xSplit="1" ySplit="4" topLeftCell="B73" activePane="bottomRight" state="frozen"/>
      <selection pane="topRight" activeCell="B1" sqref="B1"/>
      <selection pane="bottomLeft" activeCell="A5" sqref="A5"/>
      <selection pane="bottomRight" activeCell="T82" sqref="T82"/>
    </sheetView>
  </sheetViews>
  <sheetFormatPr baseColWidth="10" defaultColWidth="8.83203125" defaultRowHeight="15" x14ac:dyDescent="0.2"/>
  <cols>
    <col min="1" max="1" width="44.33203125" bestFit="1" customWidth="1"/>
    <col min="10" max="10" width="15.5" customWidth="1"/>
    <col min="14" max="14" width="12" customWidth="1"/>
    <col min="15" max="15" width="8.83203125" style="47"/>
    <col min="16" max="16" width="17" customWidth="1"/>
    <col min="17" max="17" width="15.83203125" customWidth="1"/>
    <col min="20" max="20" width="14.83203125" customWidth="1"/>
  </cols>
  <sheetData>
    <row r="1" spans="1:21" ht="16" x14ac:dyDescent="0.2">
      <c r="A1" s="2" t="s">
        <v>628</v>
      </c>
      <c r="B1" s="42"/>
      <c r="C1" s="42"/>
      <c r="D1" s="42"/>
      <c r="E1" s="42"/>
      <c r="F1" s="42"/>
      <c r="G1" s="42"/>
      <c r="H1" s="42"/>
      <c r="I1" s="42"/>
    </row>
    <row r="2" spans="1:21" ht="16" x14ac:dyDescent="0.2">
      <c r="A2" s="2"/>
    </row>
    <row r="3" spans="1:21" s="9" customFormat="1" ht="17" customHeight="1" x14ac:dyDescent="0.2">
      <c r="A3" s="52"/>
      <c r="B3" s="52"/>
      <c r="C3" s="69" t="s">
        <v>372</v>
      </c>
      <c r="D3" s="69"/>
      <c r="E3" s="69"/>
      <c r="F3" s="69"/>
      <c r="G3" s="70" t="s">
        <v>629</v>
      </c>
      <c r="H3" s="69"/>
      <c r="I3" s="69"/>
      <c r="J3" s="69"/>
      <c r="K3" s="52"/>
      <c r="L3" s="52"/>
      <c r="M3" s="52"/>
      <c r="N3" s="52"/>
      <c r="O3" s="53"/>
      <c r="P3" s="53"/>
      <c r="Q3" s="52"/>
      <c r="R3" s="52"/>
      <c r="S3" s="52"/>
      <c r="T3" s="52"/>
    </row>
    <row r="4" spans="1:21" s="9" customFormat="1" ht="68" x14ac:dyDescent="0.2">
      <c r="A4" s="54" t="s">
        <v>422</v>
      </c>
      <c r="B4" s="54" t="s">
        <v>630</v>
      </c>
      <c r="C4" s="54" t="s">
        <v>372</v>
      </c>
      <c r="D4" s="55" t="s">
        <v>631</v>
      </c>
      <c r="E4" s="55" t="s">
        <v>632</v>
      </c>
      <c r="F4" s="55" t="s">
        <v>633</v>
      </c>
      <c r="G4" s="55" t="s">
        <v>634</v>
      </c>
      <c r="H4" s="54" t="s">
        <v>373</v>
      </c>
      <c r="I4" s="54" t="s">
        <v>635</v>
      </c>
      <c r="J4" s="54" t="s">
        <v>636</v>
      </c>
      <c r="K4" s="54" t="s">
        <v>637</v>
      </c>
      <c r="L4" s="54" t="s">
        <v>638</v>
      </c>
      <c r="M4" s="54" t="s">
        <v>639</v>
      </c>
      <c r="N4" s="54" t="s">
        <v>640</v>
      </c>
      <c r="O4" s="56" t="s">
        <v>641</v>
      </c>
      <c r="P4" s="56" t="s">
        <v>642</v>
      </c>
      <c r="Q4" s="54" t="s">
        <v>643</v>
      </c>
      <c r="R4" s="54" t="s">
        <v>644</v>
      </c>
      <c r="S4" s="54" t="s">
        <v>645</v>
      </c>
      <c r="T4" s="51" t="s">
        <v>646</v>
      </c>
      <c r="U4" s="54" t="s">
        <v>647</v>
      </c>
    </row>
    <row r="5" spans="1:21" ht="16" x14ac:dyDescent="0.2">
      <c r="A5" s="3" t="s">
        <v>423</v>
      </c>
      <c r="B5">
        <v>4</v>
      </c>
      <c r="K5">
        <v>4</v>
      </c>
      <c r="L5">
        <f>B5+C5+D5+E5+F5-G5-H5-I5-J5</f>
        <v>4</v>
      </c>
      <c r="M5">
        <f>K5-B5</f>
        <v>0</v>
      </c>
    </row>
    <row r="6" spans="1:21" ht="16" x14ac:dyDescent="0.2">
      <c r="A6" s="3" t="s">
        <v>374</v>
      </c>
      <c r="C6">
        <v>1</v>
      </c>
      <c r="H6">
        <v>1</v>
      </c>
      <c r="K6">
        <v>0</v>
      </c>
      <c r="L6">
        <f t="shared" ref="L6:L26" si="0">B6+C6+D6+E6+F6-G6-H6-I6-J6</f>
        <v>0</v>
      </c>
      <c r="M6">
        <f t="shared" ref="M6:M26" si="1">K6-B6</f>
        <v>0</v>
      </c>
      <c r="R6" s="47">
        <f>Receipts!F57</f>
        <v>0.2</v>
      </c>
      <c r="U6" t="s">
        <v>673</v>
      </c>
    </row>
    <row r="7" spans="1:21" x14ac:dyDescent="0.2">
      <c r="A7" t="s">
        <v>424</v>
      </c>
      <c r="L7">
        <f t="shared" si="0"/>
        <v>0</v>
      </c>
      <c r="M7">
        <f t="shared" si="1"/>
        <v>0</v>
      </c>
    </row>
    <row r="8" spans="1:21" x14ac:dyDescent="0.2">
      <c r="A8" t="s">
        <v>425</v>
      </c>
      <c r="L8">
        <f t="shared" si="0"/>
        <v>0</v>
      </c>
      <c r="M8">
        <f t="shared" si="1"/>
        <v>0</v>
      </c>
    </row>
    <row r="9" spans="1:21" x14ac:dyDescent="0.2">
      <c r="A9" t="s">
        <v>426</v>
      </c>
      <c r="L9">
        <f t="shared" si="0"/>
        <v>0</v>
      </c>
      <c r="M9">
        <f t="shared" si="1"/>
        <v>0</v>
      </c>
    </row>
    <row r="10" spans="1:21" x14ac:dyDescent="0.2">
      <c r="A10" t="s">
        <v>427</v>
      </c>
      <c r="L10">
        <f t="shared" si="0"/>
        <v>0</v>
      </c>
      <c r="M10">
        <f t="shared" si="1"/>
        <v>0</v>
      </c>
    </row>
    <row r="11" spans="1:21" x14ac:dyDescent="0.2">
      <c r="A11" t="s">
        <v>428</v>
      </c>
      <c r="L11">
        <f t="shared" si="0"/>
        <v>0</v>
      </c>
      <c r="M11">
        <f t="shared" si="1"/>
        <v>0</v>
      </c>
    </row>
    <row r="12" spans="1:21" x14ac:dyDescent="0.2">
      <c r="A12" t="s">
        <v>375</v>
      </c>
      <c r="B12">
        <v>56</v>
      </c>
      <c r="C12">
        <v>24</v>
      </c>
      <c r="H12">
        <v>14</v>
      </c>
      <c r="I12">
        <f>7+2</f>
        <v>9</v>
      </c>
      <c r="K12">
        <v>57</v>
      </c>
      <c r="L12">
        <f t="shared" si="0"/>
        <v>57</v>
      </c>
      <c r="M12">
        <f t="shared" si="1"/>
        <v>1</v>
      </c>
      <c r="R12" s="47">
        <f>Receipts!F58</f>
        <v>6.35</v>
      </c>
    </row>
    <row r="13" spans="1:21" x14ac:dyDescent="0.2">
      <c r="A13" t="s">
        <v>429</v>
      </c>
      <c r="L13">
        <f t="shared" si="0"/>
        <v>0</v>
      </c>
      <c r="M13">
        <f t="shared" si="1"/>
        <v>0</v>
      </c>
    </row>
    <row r="14" spans="1:21" x14ac:dyDescent="0.2">
      <c r="A14" t="s">
        <v>430</v>
      </c>
      <c r="L14">
        <f t="shared" si="0"/>
        <v>0</v>
      </c>
      <c r="M14">
        <f t="shared" si="1"/>
        <v>0</v>
      </c>
    </row>
    <row r="15" spans="1:21" x14ac:dyDescent="0.2">
      <c r="A15" t="s">
        <v>431</v>
      </c>
      <c r="L15">
        <f t="shared" si="0"/>
        <v>0</v>
      </c>
      <c r="M15">
        <f t="shared" si="1"/>
        <v>0</v>
      </c>
    </row>
    <row r="16" spans="1:21" x14ac:dyDescent="0.2">
      <c r="A16" t="s">
        <v>432</v>
      </c>
      <c r="L16">
        <f t="shared" si="0"/>
        <v>0</v>
      </c>
      <c r="M16">
        <f t="shared" si="1"/>
        <v>0</v>
      </c>
    </row>
    <row r="17" spans="1:21" x14ac:dyDescent="0.2">
      <c r="A17" t="s">
        <v>433</v>
      </c>
      <c r="L17">
        <f t="shared" si="0"/>
        <v>0</v>
      </c>
      <c r="M17">
        <f t="shared" si="1"/>
        <v>0</v>
      </c>
    </row>
    <row r="18" spans="1:21" x14ac:dyDescent="0.2">
      <c r="A18" t="s">
        <v>434</v>
      </c>
      <c r="L18">
        <f t="shared" si="0"/>
        <v>0</v>
      </c>
      <c r="M18">
        <f t="shared" si="1"/>
        <v>0</v>
      </c>
    </row>
    <row r="19" spans="1:21" x14ac:dyDescent="0.2">
      <c r="A19" t="s">
        <v>435</v>
      </c>
      <c r="L19">
        <f t="shared" si="0"/>
        <v>0</v>
      </c>
      <c r="M19">
        <f t="shared" si="1"/>
        <v>0</v>
      </c>
    </row>
    <row r="20" spans="1:21" x14ac:dyDescent="0.2">
      <c r="A20" t="s">
        <v>376</v>
      </c>
      <c r="B20">
        <v>16</v>
      </c>
      <c r="C20">
        <v>4</v>
      </c>
      <c r="H20">
        <v>1</v>
      </c>
      <c r="I20">
        <v>2</v>
      </c>
      <c r="J20">
        <v>3</v>
      </c>
      <c r="K20">
        <v>14</v>
      </c>
      <c r="L20">
        <f t="shared" si="0"/>
        <v>14</v>
      </c>
      <c r="M20">
        <f t="shared" si="1"/>
        <v>-2</v>
      </c>
      <c r="O20" s="47">
        <f>R20/(H20+H21)</f>
        <v>3.3250000000000002E-2</v>
      </c>
      <c r="R20" s="47">
        <f>Receipts!F60</f>
        <v>1.33</v>
      </c>
    </row>
    <row r="21" spans="1:21" x14ac:dyDescent="0.2">
      <c r="A21" t="s">
        <v>377</v>
      </c>
      <c r="B21">
        <v>409</v>
      </c>
      <c r="C21">
        <v>138</v>
      </c>
      <c r="H21">
        <v>39</v>
      </c>
      <c r="I21">
        <f>7+18+7</f>
        <v>32</v>
      </c>
      <c r="K21">
        <v>476</v>
      </c>
      <c r="L21">
        <f t="shared" si="0"/>
        <v>476</v>
      </c>
      <c r="M21">
        <f t="shared" si="1"/>
        <v>67</v>
      </c>
      <c r="O21" s="47">
        <f>R20/(H20+H21)</f>
        <v>3.3250000000000002E-2</v>
      </c>
      <c r="R21" s="47">
        <f>Receipts!F60</f>
        <v>1.33</v>
      </c>
    </row>
    <row r="22" spans="1:21" x14ac:dyDescent="0.2">
      <c r="A22" t="s">
        <v>436</v>
      </c>
      <c r="L22">
        <f t="shared" si="0"/>
        <v>0</v>
      </c>
      <c r="M22">
        <f t="shared" si="1"/>
        <v>0</v>
      </c>
    </row>
    <row r="23" spans="1:21" x14ac:dyDescent="0.2">
      <c r="A23" t="s">
        <v>378</v>
      </c>
      <c r="C23">
        <v>345</v>
      </c>
      <c r="H23">
        <v>39</v>
      </c>
      <c r="I23">
        <f>7+57</f>
        <v>64</v>
      </c>
      <c r="J23">
        <f>28+3</f>
        <v>31</v>
      </c>
      <c r="K23">
        <v>257</v>
      </c>
      <c r="L23">
        <f t="shared" si="0"/>
        <v>211</v>
      </c>
      <c r="M23">
        <f t="shared" si="1"/>
        <v>257</v>
      </c>
      <c r="U23" t="s">
        <v>674</v>
      </c>
    </row>
    <row r="24" spans="1:21" x14ac:dyDescent="0.2">
      <c r="A24" t="s">
        <v>437</v>
      </c>
      <c r="L24">
        <f t="shared" si="0"/>
        <v>0</v>
      </c>
      <c r="M24">
        <f t="shared" si="1"/>
        <v>0</v>
      </c>
    </row>
    <row r="25" spans="1:21" x14ac:dyDescent="0.2">
      <c r="A25" t="s">
        <v>438</v>
      </c>
      <c r="L25">
        <f t="shared" si="0"/>
        <v>0</v>
      </c>
      <c r="M25">
        <f t="shared" si="1"/>
        <v>0</v>
      </c>
    </row>
    <row r="26" spans="1:21" x14ac:dyDescent="0.2">
      <c r="A26" t="s">
        <v>379</v>
      </c>
      <c r="C26">
        <v>3</v>
      </c>
      <c r="H26">
        <v>3</v>
      </c>
      <c r="K26">
        <v>0</v>
      </c>
      <c r="L26">
        <f t="shared" si="0"/>
        <v>0</v>
      </c>
      <c r="M26">
        <f t="shared" si="1"/>
        <v>0</v>
      </c>
      <c r="O26" s="47">
        <f>R26/H26</f>
        <v>0.14333333333333334</v>
      </c>
      <c r="R26" s="47">
        <f>Receipts!F68</f>
        <v>0.43</v>
      </c>
    </row>
    <row r="27" spans="1:21" x14ac:dyDescent="0.2">
      <c r="A27" t="s">
        <v>439</v>
      </c>
    </row>
    <row r="28" spans="1:21" x14ac:dyDescent="0.2">
      <c r="A28" t="s">
        <v>440</v>
      </c>
    </row>
    <row r="29" spans="1:21" x14ac:dyDescent="0.2">
      <c r="A29" t="s">
        <v>441</v>
      </c>
    </row>
    <row r="30" spans="1:21" x14ac:dyDescent="0.2">
      <c r="A30" t="s">
        <v>442</v>
      </c>
    </row>
    <row r="31" spans="1:21" s="67" customFormat="1" ht="16" x14ac:dyDescent="0.2">
      <c r="A31" s="5" t="s">
        <v>443</v>
      </c>
      <c r="O31" s="68"/>
      <c r="R31" s="67">
        <f>SUM(R5:R29)</f>
        <v>9.64</v>
      </c>
    </row>
    <row r="34" spans="1:20" ht="17" x14ac:dyDescent="0.2">
      <c r="A34" s="4" t="s">
        <v>671</v>
      </c>
    </row>
    <row r="35" spans="1:20" x14ac:dyDescent="0.2">
      <c r="A35" t="s">
        <v>574</v>
      </c>
      <c r="B35">
        <f>SUM(B36:B37)</f>
        <v>355</v>
      </c>
      <c r="J35">
        <f>35+320</f>
        <v>355</v>
      </c>
      <c r="O35" s="47">
        <v>0.02</v>
      </c>
      <c r="T35">
        <f>O35*J35</f>
        <v>7.1000000000000005</v>
      </c>
    </row>
    <row r="36" spans="1:20" x14ac:dyDescent="0.2">
      <c r="A36" s="7" t="s">
        <v>669</v>
      </c>
      <c r="B36">
        <v>10</v>
      </c>
    </row>
    <row r="37" spans="1:20" x14ac:dyDescent="0.2">
      <c r="A37" s="7" t="s">
        <v>670</v>
      </c>
      <c r="B37">
        <v>345</v>
      </c>
    </row>
    <row r="38" spans="1:20" x14ac:dyDescent="0.2">
      <c r="A38" t="s">
        <v>445</v>
      </c>
    </row>
    <row r="39" spans="1:20" x14ac:dyDescent="0.2">
      <c r="A39" t="s">
        <v>446</v>
      </c>
    </row>
    <row r="40" spans="1:20" x14ac:dyDescent="0.2">
      <c r="A40" t="s">
        <v>447</v>
      </c>
    </row>
    <row r="41" spans="1:20" x14ac:dyDescent="0.2">
      <c r="A41" t="s">
        <v>448</v>
      </c>
    </row>
    <row r="42" spans="1:20" s="67" customFormat="1" ht="16" x14ac:dyDescent="0.2">
      <c r="A42" s="5" t="s">
        <v>449</v>
      </c>
      <c r="O42" s="68"/>
      <c r="T42" s="67">
        <f>SUM(T35:T41)</f>
        <v>7.1000000000000005</v>
      </c>
    </row>
    <row r="45" spans="1:20" ht="17" x14ac:dyDescent="0.2">
      <c r="A45" s="4" t="s">
        <v>450</v>
      </c>
    </row>
    <row r="46" spans="1:20" x14ac:dyDescent="0.2">
      <c r="A46" t="s">
        <v>451</v>
      </c>
    </row>
    <row r="47" spans="1:20" x14ac:dyDescent="0.2">
      <c r="A47" t="s">
        <v>452</v>
      </c>
    </row>
    <row r="48" spans="1:20" x14ac:dyDescent="0.2">
      <c r="A48" t="s">
        <v>453</v>
      </c>
    </row>
    <row r="49" spans="1:20" x14ac:dyDescent="0.2">
      <c r="A49" t="s">
        <v>454</v>
      </c>
    </row>
    <row r="50" spans="1:20" x14ac:dyDescent="0.2">
      <c r="A50" s="6" t="s">
        <v>455</v>
      </c>
    </row>
    <row r="51" spans="1:20" x14ac:dyDescent="0.2">
      <c r="A51" t="s">
        <v>672</v>
      </c>
    </row>
    <row r="52" spans="1:20" x14ac:dyDescent="0.2">
      <c r="A52" s="7" t="s">
        <v>456</v>
      </c>
    </row>
    <row r="53" spans="1:20" x14ac:dyDescent="0.2">
      <c r="A53" s="7" t="s">
        <v>457</v>
      </c>
      <c r="C53">
        <v>2</v>
      </c>
    </row>
    <row r="54" spans="1:20" x14ac:dyDescent="0.2">
      <c r="A54" s="7" t="s">
        <v>458</v>
      </c>
      <c r="C54">
        <v>25</v>
      </c>
    </row>
    <row r="55" spans="1:20" x14ac:dyDescent="0.2">
      <c r="A55" s="7" t="s">
        <v>459</v>
      </c>
    </row>
    <row r="56" spans="1:20" x14ac:dyDescent="0.2">
      <c r="A56" s="8" t="s">
        <v>672</v>
      </c>
      <c r="C56">
        <f>SUM(C53:C54)</f>
        <v>27</v>
      </c>
      <c r="H56">
        <v>24</v>
      </c>
      <c r="J56">
        <v>3</v>
      </c>
      <c r="O56" s="47">
        <f>R56/H56</f>
        <v>1.2916666666666667E-2</v>
      </c>
      <c r="R56" s="47">
        <f>Receipts!F63</f>
        <v>0.31</v>
      </c>
      <c r="T56" s="47">
        <f>O56*C56</f>
        <v>0.34875</v>
      </c>
    </row>
    <row r="57" spans="1:20" x14ac:dyDescent="0.2">
      <c r="A57" s="9" t="s">
        <v>380</v>
      </c>
      <c r="T57" s="47">
        <f t="shared" ref="T57:T65" si="2">O57*C57</f>
        <v>0</v>
      </c>
    </row>
    <row r="58" spans="1:20" x14ac:dyDescent="0.2">
      <c r="A58" s="7" t="s">
        <v>456</v>
      </c>
      <c r="T58" s="47">
        <f t="shared" si="2"/>
        <v>0</v>
      </c>
    </row>
    <row r="59" spans="1:20" x14ac:dyDescent="0.2">
      <c r="A59" s="7" t="s">
        <v>457</v>
      </c>
      <c r="T59" s="47">
        <f t="shared" si="2"/>
        <v>0</v>
      </c>
    </row>
    <row r="60" spans="1:20" x14ac:dyDescent="0.2">
      <c r="A60" s="7" t="s">
        <v>458</v>
      </c>
      <c r="C60">
        <v>7</v>
      </c>
      <c r="T60" s="47">
        <f t="shared" si="2"/>
        <v>0</v>
      </c>
    </row>
    <row r="61" spans="1:20" x14ac:dyDescent="0.2">
      <c r="A61" s="7" t="s">
        <v>459</v>
      </c>
      <c r="T61" s="47">
        <f t="shared" si="2"/>
        <v>0</v>
      </c>
    </row>
    <row r="62" spans="1:20" x14ac:dyDescent="0.2">
      <c r="A62" s="8" t="s">
        <v>460</v>
      </c>
      <c r="T62" s="47">
        <f t="shared" si="2"/>
        <v>0</v>
      </c>
    </row>
    <row r="63" spans="1:20" x14ac:dyDescent="0.2">
      <c r="A63" t="s">
        <v>381</v>
      </c>
      <c r="C63">
        <v>57</v>
      </c>
      <c r="H63">
        <v>52</v>
      </c>
      <c r="J63">
        <v>5</v>
      </c>
      <c r="O63" s="47">
        <f t="shared" ref="O63" si="3">R63/H63</f>
        <v>4.2307692307692307E-3</v>
      </c>
      <c r="R63" s="47">
        <f>Receipts!F65</f>
        <v>0.22</v>
      </c>
      <c r="T63" s="47">
        <f t="shared" si="2"/>
        <v>0.24115384615384614</v>
      </c>
    </row>
    <row r="64" spans="1:20" x14ac:dyDescent="0.2">
      <c r="A64" t="s">
        <v>461</v>
      </c>
      <c r="T64" s="47">
        <f t="shared" si="2"/>
        <v>0</v>
      </c>
    </row>
    <row r="65" spans="1:20" x14ac:dyDescent="0.2">
      <c r="A65" t="s">
        <v>462</v>
      </c>
      <c r="T65" s="47">
        <f t="shared" si="2"/>
        <v>0</v>
      </c>
    </row>
    <row r="66" spans="1:20" s="67" customFormat="1" x14ac:dyDescent="0.2">
      <c r="A66" s="67" t="s">
        <v>463</v>
      </c>
      <c r="O66" s="68"/>
      <c r="R66" s="67">
        <f>SUM(R46:R65)</f>
        <v>0.53</v>
      </c>
      <c r="T66" s="68">
        <f>SUM(T56:T65)</f>
        <v>0.58990384615384617</v>
      </c>
    </row>
    <row r="69" spans="1:20" ht="17" x14ac:dyDescent="0.2">
      <c r="A69" s="4" t="s">
        <v>382</v>
      </c>
    </row>
    <row r="70" spans="1:20" ht="16" x14ac:dyDescent="0.2">
      <c r="A70" s="3" t="s">
        <v>464</v>
      </c>
    </row>
    <row r="71" spans="1:20" x14ac:dyDescent="0.2">
      <c r="A71" t="s">
        <v>465</v>
      </c>
    </row>
    <row r="72" spans="1:20" x14ac:dyDescent="0.2">
      <c r="A72" t="s">
        <v>466</v>
      </c>
    </row>
    <row r="73" spans="1:20" x14ac:dyDescent="0.2">
      <c r="A73" t="s">
        <v>467</v>
      </c>
    </row>
    <row r="74" spans="1:20" x14ac:dyDescent="0.2">
      <c r="A74" s="10" t="s">
        <v>468</v>
      </c>
    </row>
    <row r="75" spans="1:20" x14ac:dyDescent="0.2">
      <c r="A75" s="11" t="s">
        <v>469</v>
      </c>
    </row>
    <row r="77" spans="1:20" ht="16" x14ac:dyDescent="0.2">
      <c r="A77" s="2" t="s">
        <v>383</v>
      </c>
    </row>
    <row r="78" spans="1:20" x14ac:dyDescent="0.2">
      <c r="A78" t="s">
        <v>470</v>
      </c>
      <c r="F78">
        <v>1100</v>
      </c>
      <c r="H78">
        <v>1100</v>
      </c>
      <c r="O78" s="47">
        <f>R78/H78</f>
        <v>1.4545454545454546E-4</v>
      </c>
      <c r="R78" s="47">
        <f>Receipts!F67</f>
        <v>0.16</v>
      </c>
      <c r="T78">
        <f>O78*H78</f>
        <v>0.16</v>
      </c>
    </row>
    <row r="79" spans="1:20" x14ac:dyDescent="0.2">
      <c r="A79" t="s">
        <v>471</v>
      </c>
      <c r="F79">
        <v>172</v>
      </c>
      <c r="G79">
        <v>27</v>
      </c>
      <c r="H79">
        <v>145</v>
      </c>
      <c r="O79" s="47">
        <f>R79/H79</f>
        <v>4.1379310344827587E-3</v>
      </c>
      <c r="R79" s="47">
        <f>Receipts!F66</f>
        <v>0.6</v>
      </c>
      <c r="T79">
        <f>O79*H79</f>
        <v>0.6</v>
      </c>
    </row>
    <row r="80" spans="1:20" x14ac:dyDescent="0.2">
      <c r="A80" t="s">
        <v>472</v>
      </c>
    </row>
    <row r="81" spans="1:20" s="67" customFormat="1" x14ac:dyDescent="0.2">
      <c r="A81" s="67" t="s">
        <v>360</v>
      </c>
      <c r="O81" s="68"/>
      <c r="R81" s="68">
        <f>SUM(R78:R80)</f>
        <v>0.76</v>
      </c>
      <c r="T81" s="67">
        <f>SUM(T78:T79)</f>
        <v>0.76</v>
      </c>
    </row>
    <row r="84" spans="1:20" ht="16" x14ac:dyDescent="0.2">
      <c r="A84" s="2" t="s">
        <v>473</v>
      </c>
    </row>
    <row r="85" spans="1:20" x14ac:dyDescent="0.2">
      <c r="A85" t="s">
        <v>474</v>
      </c>
    </row>
    <row r="86" spans="1:20" x14ac:dyDescent="0.2">
      <c r="A86" t="s">
        <v>475</v>
      </c>
    </row>
    <row r="87" spans="1:20" x14ac:dyDescent="0.2">
      <c r="A87" t="s">
        <v>476</v>
      </c>
    </row>
    <row r="88" spans="1:20" ht="16" x14ac:dyDescent="0.2">
      <c r="A88" s="12" t="s">
        <v>463</v>
      </c>
    </row>
    <row r="90" spans="1:20" ht="16" x14ac:dyDescent="0.2">
      <c r="A90" s="2" t="s">
        <v>477</v>
      </c>
    </row>
    <row r="91" spans="1:20" x14ac:dyDescent="0.2">
      <c r="A91" t="s">
        <v>478</v>
      </c>
    </row>
    <row r="92" spans="1:20" x14ac:dyDescent="0.2">
      <c r="A92" t="s">
        <v>479</v>
      </c>
    </row>
    <row r="93" spans="1:20" ht="16" x14ac:dyDescent="0.2">
      <c r="A93" s="12" t="s">
        <v>360</v>
      </c>
    </row>
    <row r="95" spans="1:20" ht="16" x14ac:dyDescent="0.2">
      <c r="A95" s="2" t="s">
        <v>480</v>
      </c>
    </row>
    <row r="96" spans="1:20" x14ac:dyDescent="0.2">
      <c r="A96" t="s">
        <v>480</v>
      </c>
    </row>
    <row r="97" spans="1:1" ht="16" x14ac:dyDescent="0.2">
      <c r="A97" s="12" t="s">
        <v>360</v>
      </c>
    </row>
    <row r="98" spans="1:1" ht="16" x14ac:dyDescent="0.2">
      <c r="A98" s="13"/>
    </row>
    <row r="99" spans="1:1" ht="16" x14ac:dyDescent="0.2">
      <c r="A99" s="12" t="s">
        <v>481</v>
      </c>
    </row>
    <row r="102" spans="1:1" ht="16" x14ac:dyDescent="0.2">
      <c r="A102" s="2" t="s">
        <v>482</v>
      </c>
    </row>
    <row r="105" spans="1:1" ht="16" x14ac:dyDescent="0.2">
      <c r="A105" s="13" t="s">
        <v>483</v>
      </c>
    </row>
    <row r="106" spans="1:1" ht="16" x14ac:dyDescent="0.2">
      <c r="A106" s="2" t="s">
        <v>484</v>
      </c>
    </row>
    <row r="107" spans="1:1" x14ac:dyDescent="0.2">
      <c r="A107" t="s">
        <v>485</v>
      </c>
    </row>
    <row r="108" spans="1:1" x14ac:dyDescent="0.2">
      <c r="A108" t="s">
        <v>486</v>
      </c>
    </row>
    <row r="109" spans="1:1" x14ac:dyDescent="0.2">
      <c r="A109" t="s">
        <v>487</v>
      </c>
    </row>
    <row r="110" spans="1:1" x14ac:dyDescent="0.2">
      <c r="A110" t="s">
        <v>488</v>
      </c>
    </row>
    <row r="111" spans="1:1" x14ac:dyDescent="0.2">
      <c r="A111" t="s">
        <v>489</v>
      </c>
    </row>
    <row r="112" spans="1:1" x14ac:dyDescent="0.2">
      <c r="A112" t="s">
        <v>490</v>
      </c>
    </row>
    <row r="113" spans="1:1" x14ac:dyDescent="0.2">
      <c r="A113" t="s">
        <v>491</v>
      </c>
    </row>
    <row r="114" spans="1:1" x14ac:dyDescent="0.2">
      <c r="A114" t="s">
        <v>492</v>
      </c>
    </row>
    <row r="115" spans="1:1" x14ac:dyDescent="0.2">
      <c r="A115" t="s">
        <v>493</v>
      </c>
    </row>
    <row r="116" spans="1:1" x14ac:dyDescent="0.2">
      <c r="A116" t="s">
        <v>494</v>
      </c>
    </row>
    <row r="117" spans="1:1" x14ac:dyDescent="0.2">
      <c r="A117" t="s">
        <v>495</v>
      </c>
    </row>
    <row r="118" spans="1:1" x14ac:dyDescent="0.2">
      <c r="A118" t="s">
        <v>496</v>
      </c>
    </row>
    <row r="119" spans="1:1" x14ac:dyDescent="0.2">
      <c r="A119" t="s">
        <v>497</v>
      </c>
    </row>
    <row r="120" spans="1:1" x14ac:dyDescent="0.2">
      <c r="A120" t="s">
        <v>498</v>
      </c>
    </row>
    <row r="121" spans="1:1" x14ac:dyDescent="0.2">
      <c r="A121" t="s">
        <v>499</v>
      </c>
    </row>
    <row r="122" spans="1:1" x14ac:dyDescent="0.2">
      <c r="A122" t="s">
        <v>500</v>
      </c>
    </row>
    <row r="123" spans="1:1" x14ac:dyDescent="0.2">
      <c r="A123" t="s">
        <v>501</v>
      </c>
    </row>
    <row r="124" spans="1:1" x14ac:dyDescent="0.2">
      <c r="A124" t="s">
        <v>502</v>
      </c>
    </row>
    <row r="125" spans="1:1" x14ac:dyDescent="0.2">
      <c r="A125" t="s">
        <v>503</v>
      </c>
    </row>
    <row r="126" spans="1:1" x14ac:dyDescent="0.2">
      <c r="A126" t="s">
        <v>504</v>
      </c>
    </row>
    <row r="127" spans="1:1" x14ac:dyDescent="0.2">
      <c r="A127" t="s">
        <v>505</v>
      </c>
    </row>
    <row r="128" spans="1:1" x14ac:dyDescent="0.2">
      <c r="A128" t="s">
        <v>506</v>
      </c>
    </row>
    <row r="129" spans="1:1" x14ac:dyDescent="0.2">
      <c r="A129" t="s">
        <v>507</v>
      </c>
    </row>
    <row r="130" spans="1:1" x14ac:dyDescent="0.2">
      <c r="A130" t="s">
        <v>508</v>
      </c>
    </row>
    <row r="131" spans="1:1" x14ac:dyDescent="0.2">
      <c r="A131" t="s">
        <v>509</v>
      </c>
    </row>
  </sheetData>
  <mergeCells count="2">
    <mergeCell ref="C3:F3"/>
    <mergeCell ref="G3:J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8"/>
  <sheetViews>
    <sheetView workbookViewId="0">
      <selection activeCell="O23" sqref="O23"/>
    </sheetView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>
        <v>37.99</v>
      </c>
      <c r="D2">
        <v>37</v>
      </c>
      <c r="E2">
        <v>19</v>
      </c>
      <c r="F2">
        <v>10.5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4" x14ac:dyDescent="0.2">
      <c r="A3" t="s">
        <v>34</v>
      </c>
      <c r="B3" t="s">
        <v>36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4" x14ac:dyDescent="0.2">
      <c r="A4" t="s">
        <v>34</v>
      </c>
      <c r="B4" t="s">
        <v>37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4" x14ac:dyDescent="0.2">
      <c r="A5" t="s">
        <v>38</v>
      </c>
      <c r="B5" t="s">
        <v>39</v>
      </c>
      <c r="C5">
        <v>2.35</v>
      </c>
      <c r="D5">
        <v>2</v>
      </c>
      <c r="E5">
        <v>7</v>
      </c>
      <c r="F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4" x14ac:dyDescent="0.2">
      <c r="A6" t="s">
        <v>38</v>
      </c>
      <c r="B6" t="s">
        <v>40</v>
      </c>
      <c r="C6">
        <v>2.35</v>
      </c>
      <c r="D6">
        <v>2</v>
      </c>
      <c r="E6">
        <v>7</v>
      </c>
      <c r="F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4" x14ac:dyDescent="0.2">
      <c r="A7" t="s">
        <v>38</v>
      </c>
      <c r="B7" t="s">
        <v>41</v>
      </c>
      <c r="C7">
        <v>2.35</v>
      </c>
      <c r="D7">
        <v>2</v>
      </c>
      <c r="E7">
        <v>7</v>
      </c>
      <c r="F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4" x14ac:dyDescent="0.2">
      <c r="A8" t="s">
        <v>38</v>
      </c>
      <c r="B8" t="s">
        <v>42</v>
      </c>
      <c r="C8">
        <v>16.22</v>
      </c>
      <c r="D8">
        <v>16</v>
      </c>
      <c r="E8">
        <v>4</v>
      </c>
      <c r="F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4" x14ac:dyDescent="0.2">
      <c r="A9" t="s">
        <v>38</v>
      </c>
      <c r="B9" t="s">
        <v>43</v>
      </c>
      <c r="C9">
        <v>23.27</v>
      </c>
      <c r="D9">
        <v>23</v>
      </c>
      <c r="E9">
        <v>5</v>
      </c>
      <c r="F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4" x14ac:dyDescent="0.2">
      <c r="A10" t="s">
        <v>44</v>
      </c>
      <c r="B10" t="s">
        <v>45</v>
      </c>
      <c r="C10">
        <v>0</v>
      </c>
      <c r="D10">
        <v>0</v>
      </c>
      <c r="E10">
        <v>0</v>
      </c>
      <c r="F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4" x14ac:dyDescent="0.2">
      <c r="A11" t="s">
        <v>44</v>
      </c>
      <c r="B11" t="s">
        <v>46</v>
      </c>
      <c r="C11">
        <v>0</v>
      </c>
      <c r="D11">
        <v>0</v>
      </c>
      <c r="E11">
        <v>0</v>
      </c>
      <c r="F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4" x14ac:dyDescent="0.2">
      <c r="A12" t="s">
        <v>47</v>
      </c>
      <c r="B12" t="s">
        <v>48</v>
      </c>
      <c r="C12">
        <v>23.78</v>
      </c>
      <c r="D12">
        <v>23</v>
      </c>
      <c r="E12">
        <v>15</v>
      </c>
      <c r="F12">
        <v>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4" x14ac:dyDescent="0.2">
      <c r="A13" t="s">
        <v>49</v>
      </c>
      <c r="B13" t="s">
        <v>50</v>
      </c>
      <c r="C13">
        <v>0.23</v>
      </c>
      <c r="D13">
        <v>0</v>
      </c>
      <c r="E13">
        <v>4</v>
      </c>
      <c r="F13">
        <v>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4" x14ac:dyDescent="0.2">
      <c r="A14" t="s">
        <v>49</v>
      </c>
      <c r="B14" t="s">
        <v>51</v>
      </c>
      <c r="C14">
        <v>0.15</v>
      </c>
      <c r="D14">
        <v>0</v>
      </c>
      <c r="E14">
        <v>3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4" x14ac:dyDescent="0.2">
      <c r="A15" t="s">
        <v>49</v>
      </c>
      <c r="B15" t="s">
        <v>52</v>
      </c>
      <c r="C15">
        <v>1.05</v>
      </c>
      <c r="D15">
        <v>1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4" x14ac:dyDescent="0.2">
      <c r="A16" t="s">
        <v>49</v>
      </c>
      <c r="B16" t="s">
        <v>53</v>
      </c>
      <c r="C16">
        <v>0.05</v>
      </c>
      <c r="D16">
        <v>0</v>
      </c>
      <c r="E16">
        <v>1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49</v>
      </c>
      <c r="B17" t="s">
        <v>54</v>
      </c>
      <c r="C17">
        <v>1.55</v>
      </c>
      <c r="D17">
        <v>1</v>
      </c>
      <c r="E17">
        <v>10</v>
      </c>
      <c r="F17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55</v>
      </c>
      <c r="B18" t="s">
        <v>56</v>
      </c>
      <c r="C18">
        <v>1.85</v>
      </c>
      <c r="D18">
        <v>1</v>
      </c>
      <c r="E18">
        <v>17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55</v>
      </c>
      <c r="B19" t="s">
        <v>57</v>
      </c>
      <c r="C19">
        <v>0.15</v>
      </c>
      <c r="D19">
        <v>0</v>
      </c>
      <c r="E19">
        <v>3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55</v>
      </c>
      <c r="B20" t="s">
        <v>58</v>
      </c>
      <c r="C20">
        <v>0.08</v>
      </c>
      <c r="D20">
        <v>0</v>
      </c>
      <c r="E20">
        <v>1</v>
      </c>
      <c r="F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55</v>
      </c>
      <c r="B21" t="s">
        <v>59</v>
      </c>
      <c r="C21">
        <v>0.12</v>
      </c>
      <c r="D21">
        <v>0</v>
      </c>
      <c r="E21">
        <v>2</v>
      </c>
      <c r="F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55</v>
      </c>
      <c r="B22" t="s">
        <v>60</v>
      </c>
      <c r="C22">
        <v>0.08</v>
      </c>
      <c r="D22">
        <v>0</v>
      </c>
      <c r="E22">
        <v>1</v>
      </c>
      <c r="F22">
        <v>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55</v>
      </c>
      <c r="B23" t="s">
        <v>61</v>
      </c>
      <c r="C23">
        <v>0.05</v>
      </c>
      <c r="D23">
        <v>0</v>
      </c>
      <c r="E23">
        <v>1</v>
      </c>
      <c r="F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55</v>
      </c>
      <c r="B24" t="s">
        <v>62</v>
      </c>
      <c r="C24">
        <v>0.05</v>
      </c>
      <c r="D24">
        <v>0</v>
      </c>
      <c r="E24">
        <v>1</v>
      </c>
      <c r="F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55</v>
      </c>
      <c r="B25" t="s">
        <v>63</v>
      </c>
      <c r="C25">
        <v>2.39</v>
      </c>
      <c r="D25">
        <v>2</v>
      </c>
      <c r="E25">
        <v>7</v>
      </c>
      <c r="F25">
        <v>10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55</v>
      </c>
      <c r="B26" t="s">
        <v>64</v>
      </c>
      <c r="C26">
        <v>3.94</v>
      </c>
      <c r="D26">
        <v>3</v>
      </c>
      <c r="E26">
        <v>18</v>
      </c>
      <c r="F26">
        <v>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65</v>
      </c>
      <c r="B27" t="s">
        <v>66</v>
      </c>
      <c r="C27">
        <v>19.34</v>
      </c>
      <c r="D27">
        <v>19</v>
      </c>
      <c r="E27">
        <v>6</v>
      </c>
      <c r="F27">
        <v>10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67</v>
      </c>
      <c r="B28" t="s">
        <v>68</v>
      </c>
      <c r="C28">
        <v>0.35</v>
      </c>
      <c r="D28">
        <v>0</v>
      </c>
      <c r="E28">
        <v>7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67</v>
      </c>
      <c r="B29" t="s">
        <v>69</v>
      </c>
      <c r="C29">
        <v>0.35</v>
      </c>
      <c r="D29">
        <v>0</v>
      </c>
      <c r="E29">
        <v>7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70</v>
      </c>
      <c r="B30" t="s">
        <v>71</v>
      </c>
      <c r="C30">
        <v>1.0900000000000001</v>
      </c>
      <c r="D30">
        <v>1</v>
      </c>
      <c r="E30">
        <v>1</v>
      </c>
      <c r="F30">
        <v>9.5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70</v>
      </c>
      <c r="B31" t="s">
        <v>72</v>
      </c>
      <c r="C31">
        <v>0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70</v>
      </c>
      <c r="B32" t="s">
        <v>73</v>
      </c>
      <c r="C32">
        <v>1</v>
      </c>
      <c r="D32">
        <v>1</v>
      </c>
      <c r="E32">
        <v>0</v>
      </c>
      <c r="F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70</v>
      </c>
      <c r="B33" t="s">
        <v>74</v>
      </c>
      <c r="C33">
        <v>0.25</v>
      </c>
      <c r="D33">
        <v>0</v>
      </c>
      <c r="E33">
        <v>5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70</v>
      </c>
      <c r="B34" t="s">
        <v>75</v>
      </c>
      <c r="C34">
        <v>0.25</v>
      </c>
      <c r="D34">
        <v>0</v>
      </c>
      <c r="E34">
        <v>5</v>
      </c>
      <c r="F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70</v>
      </c>
      <c r="B35" t="s">
        <v>76</v>
      </c>
      <c r="C35">
        <v>0.15</v>
      </c>
      <c r="D35">
        <v>0</v>
      </c>
      <c r="E35">
        <v>3</v>
      </c>
      <c r="F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70</v>
      </c>
      <c r="B36" t="s">
        <v>77</v>
      </c>
      <c r="C36">
        <v>0.15</v>
      </c>
      <c r="D36">
        <v>0</v>
      </c>
      <c r="E36">
        <v>3</v>
      </c>
      <c r="F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70</v>
      </c>
      <c r="B37" t="s">
        <v>78</v>
      </c>
      <c r="C37">
        <v>0.1</v>
      </c>
      <c r="D37">
        <v>0</v>
      </c>
      <c r="E37">
        <v>2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70</v>
      </c>
      <c r="B38" t="s">
        <v>79</v>
      </c>
      <c r="C38">
        <v>0.35</v>
      </c>
      <c r="D38">
        <v>0</v>
      </c>
      <c r="E38">
        <v>7</v>
      </c>
      <c r="F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70</v>
      </c>
      <c r="B39" t="s">
        <v>80</v>
      </c>
      <c r="C39">
        <v>0</v>
      </c>
      <c r="D39">
        <v>0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70</v>
      </c>
      <c r="B40" t="s">
        <v>81</v>
      </c>
      <c r="C40">
        <v>0</v>
      </c>
      <c r="D40">
        <v>0</v>
      </c>
      <c r="E40">
        <v>0</v>
      </c>
      <c r="F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70</v>
      </c>
      <c r="B41" t="s">
        <v>82</v>
      </c>
      <c r="C41">
        <v>0.2</v>
      </c>
      <c r="D41">
        <v>0</v>
      </c>
      <c r="E41">
        <v>4</v>
      </c>
      <c r="F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70</v>
      </c>
      <c r="B42" t="s">
        <v>83</v>
      </c>
      <c r="C42">
        <v>6.35</v>
      </c>
      <c r="D42">
        <v>6</v>
      </c>
      <c r="E42">
        <v>7</v>
      </c>
      <c r="F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70</v>
      </c>
      <c r="B43" t="s">
        <v>84</v>
      </c>
      <c r="C43">
        <v>0.55000000000000004</v>
      </c>
      <c r="D43">
        <v>0</v>
      </c>
      <c r="E43">
        <v>11</v>
      </c>
      <c r="F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70</v>
      </c>
      <c r="B44" t="s">
        <v>85</v>
      </c>
      <c r="C44">
        <v>1.33</v>
      </c>
      <c r="D44">
        <v>1</v>
      </c>
      <c r="E44">
        <v>6</v>
      </c>
      <c r="F44">
        <v>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70</v>
      </c>
      <c r="B45" t="s">
        <v>86</v>
      </c>
      <c r="C45">
        <v>0.82</v>
      </c>
      <c r="D45">
        <v>0</v>
      </c>
      <c r="E45">
        <v>16</v>
      </c>
      <c r="F45">
        <v>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70</v>
      </c>
      <c r="B46" t="s">
        <v>87</v>
      </c>
      <c r="C46">
        <v>0.12</v>
      </c>
      <c r="D46">
        <v>0</v>
      </c>
      <c r="E46">
        <v>2</v>
      </c>
      <c r="F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70</v>
      </c>
      <c r="B47" t="s">
        <v>88</v>
      </c>
      <c r="C47">
        <v>0.31</v>
      </c>
      <c r="D47">
        <v>0</v>
      </c>
      <c r="E47">
        <v>6</v>
      </c>
      <c r="F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70</v>
      </c>
      <c r="B48" t="s">
        <v>89</v>
      </c>
      <c r="C48">
        <v>0.03</v>
      </c>
      <c r="D48">
        <v>0</v>
      </c>
      <c r="E48">
        <v>0</v>
      </c>
      <c r="F48">
        <v>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28" x14ac:dyDescent="0.2">
      <c r="A49" t="s">
        <v>70</v>
      </c>
      <c r="B49" t="s">
        <v>90</v>
      </c>
      <c r="C49">
        <v>0.22</v>
      </c>
      <c r="D49">
        <v>0</v>
      </c>
      <c r="E49">
        <v>4</v>
      </c>
      <c r="F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28" x14ac:dyDescent="0.2">
      <c r="A50" t="s">
        <v>70</v>
      </c>
      <c r="B50" t="s">
        <v>91</v>
      </c>
      <c r="C50">
        <v>0.6</v>
      </c>
      <c r="D50">
        <v>0</v>
      </c>
      <c r="E50">
        <v>12</v>
      </c>
      <c r="F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28" x14ac:dyDescent="0.2">
      <c r="A51" t="s">
        <v>70</v>
      </c>
      <c r="B51" t="s">
        <v>92</v>
      </c>
      <c r="C51">
        <v>0.16</v>
      </c>
      <c r="D51">
        <v>0</v>
      </c>
      <c r="E51">
        <v>3</v>
      </c>
      <c r="F51">
        <v>2.5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28" x14ac:dyDescent="0.2">
      <c r="A52" t="s">
        <v>70</v>
      </c>
      <c r="B52" t="s">
        <v>93</v>
      </c>
      <c r="C52">
        <v>0.43</v>
      </c>
      <c r="D52">
        <v>0</v>
      </c>
      <c r="E52">
        <v>8</v>
      </c>
      <c r="F52">
        <v>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28" x14ac:dyDescent="0.2">
      <c r="A53" t="s">
        <v>70</v>
      </c>
      <c r="B53" t="s">
        <v>94</v>
      </c>
      <c r="C53">
        <v>0.33</v>
      </c>
      <c r="D53">
        <v>0</v>
      </c>
      <c r="E53">
        <v>6</v>
      </c>
      <c r="F53">
        <v>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28" x14ac:dyDescent="0.2">
      <c r="A54" t="s">
        <v>70</v>
      </c>
      <c r="B54" t="s">
        <v>95</v>
      </c>
      <c r="C54">
        <v>14.78</v>
      </c>
      <c r="D54">
        <v>14</v>
      </c>
      <c r="E54">
        <v>15</v>
      </c>
      <c r="F54">
        <v>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28" x14ac:dyDescent="0.2">
      <c r="A55" t="s">
        <v>96</v>
      </c>
      <c r="B55" t="s">
        <v>97</v>
      </c>
      <c r="C55">
        <v>0</v>
      </c>
      <c r="D55">
        <v>0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28" x14ac:dyDescent="0.2">
      <c r="A56" t="s">
        <v>96</v>
      </c>
      <c r="B56" t="s">
        <v>98</v>
      </c>
      <c r="C56">
        <v>0.01</v>
      </c>
      <c r="D56">
        <v>0</v>
      </c>
      <c r="E56">
        <v>0</v>
      </c>
      <c r="F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28" x14ac:dyDescent="0.2">
      <c r="A57" t="s">
        <v>96</v>
      </c>
      <c r="B57" t="s">
        <v>99</v>
      </c>
      <c r="C57">
        <v>0.01</v>
      </c>
      <c r="D57">
        <v>0</v>
      </c>
      <c r="E57">
        <v>0</v>
      </c>
      <c r="F57">
        <v>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28" x14ac:dyDescent="0.2">
      <c r="A58" t="s">
        <v>100</v>
      </c>
      <c r="B58" t="s">
        <v>101</v>
      </c>
      <c r="C58">
        <v>30.17</v>
      </c>
      <c r="D58">
        <v>30</v>
      </c>
      <c r="E58">
        <v>3</v>
      </c>
      <c r="F58">
        <v>4</v>
      </c>
      <c r="G58" t="s">
        <v>102</v>
      </c>
      <c r="H58">
        <v>90.5</v>
      </c>
      <c r="I58">
        <v>0</v>
      </c>
      <c r="J58">
        <v>90.5</v>
      </c>
      <c r="K58">
        <v>90.5</v>
      </c>
      <c r="L58">
        <v>0</v>
      </c>
      <c r="M58">
        <v>90.5</v>
      </c>
      <c r="N58">
        <v>0</v>
      </c>
      <c r="S58">
        <v>6</v>
      </c>
      <c r="T58">
        <v>8</v>
      </c>
    </row>
    <row r="59" spans="1:28" x14ac:dyDescent="0.2">
      <c r="A59" t="s">
        <v>100</v>
      </c>
      <c r="B59" t="s">
        <v>103</v>
      </c>
      <c r="C59">
        <v>5.38</v>
      </c>
      <c r="D59">
        <v>5</v>
      </c>
      <c r="E59">
        <v>7</v>
      </c>
      <c r="F59">
        <v>6</v>
      </c>
      <c r="H59">
        <v>26</v>
      </c>
      <c r="I59">
        <v>7</v>
      </c>
      <c r="J59">
        <v>26.875</v>
      </c>
      <c r="K59">
        <v>26.875</v>
      </c>
      <c r="L59">
        <v>0</v>
      </c>
      <c r="M59">
        <v>26</v>
      </c>
      <c r="N59">
        <v>7</v>
      </c>
      <c r="S59">
        <v>4</v>
      </c>
      <c r="T59">
        <v>0</v>
      </c>
    </row>
    <row r="60" spans="1:28" x14ac:dyDescent="0.2">
      <c r="A60" t="s">
        <v>100</v>
      </c>
      <c r="B60" t="s">
        <v>104</v>
      </c>
      <c r="C60">
        <v>0.93</v>
      </c>
      <c r="D60">
        <v>0</v>
      </c>
      <c r="E60">
        <v>18</v>
      </c>
      <c r="F60">
        <v>6</v>
      </c>
      <c r="G60" t="s">
        <v>105</v>
      </c>
      <c r="H60">
        <v>4</v>
      </c>
      <c r="I60">
        <v>5</v>
      </c>
      <c r="J60">
        <v>4.625</v>
      </c>
      <c r="K60">
        <v>4.625</v>
      </c>
      <c r="L60">
        <v>0</v>
      </c>
      <c r="M60">
        <v>4</v>
      </c>
      <c r="N60">
        <v>5</v>
      </c>
      <c r="S60">
        <v>4</v>
      </c>
      <c r="T60">
        <v>0</v>
      </c>
    </row>
    <row r="61" spans="1:28" x14ac:dyDescent="0.2">
      <c r="A61" t="s">
        <v>100</v>
      </c>
      <c r="B61" t="s">
        <v>106</v>
      </c>
      <c r="C61">
        <v>4.6399999999999997</v>
      </c>
      <c r="D61">
        <v>4</v>
      </c>
      <c r="E61">
        <v>12</v>
      </c>
      <c r="F61">
        <v>10.5</v>
      </c>
      <c r="G61" t="s">
        <v>107</v>
      </c>
      <c r="H61">
        <v>39</v>
      </c>
      <c r="I61">
        <v>6</v>
      </c>
      <c r="J61">
        <v>39.75</v>
      </c>
      <c r="K61">
        <v>39.75</v>
      </c>
      <c r="L61">
        <v>0</v>
      </c>
      <c r="M61">
        <v>39</v>
      </c>
      <c r="N61">
        <v>6</v>
      </c>
      <c r="O61">
        <v>13</v>
      </c>
      <c r="P61">
        <v>0</v>
      </c>
      <c r="Q61">
        <v>26</v>
      </c>
      <c r="R61">
        <v>6</v>
      </c>
      <c r="S61">
        <v>2</v>
      </c>
      <c r="T61">
        <v>0</v>
      </c>
      <c r="U61">
        <v>2</v>
      </c>
      <c r="V61">
        <v>6</v>
      </c>
    </row>
    <row r="62" spans="1:28" x14ac:dyDescent="0.2">
      <c r="A62" t="s">
        <v>108</v>
      </c>
      <c r="B62" t="s">
        <v>109</v>
      </c>
      <c r="C62">
        <v>0.08</v>
      </c>
      <c r="D62">
        <v>0</v>
      </c>
      <c r="E62">
        <v>1</v>
      </c>
      <c r="F62">
        <v>6</v>
      </c>
      <c r="G62" t="s">
        <v>102</v>
      </c>
      <c r="H62">
        <v>0</v>
      </c>
      <c r="I62">
        <v>2</v>
      </c>
      <c r="J62">
        <v>0.25</v>
      </c>
      <c r="K62">
        <v>0.25</v>
      </c>
      <c r="L62">
        <v>0</v>
      </c>
      <c r="M62">
        <v>0</v>
      </c>
      <c r="N62">
        <v>2</v>
      </c>
      <c r="AA62">
        <v>0</v>
      </c>
      <c r="AB62">
        <v>9</v>
      </c>
    </row>
    <row r="63" spans="1:28" x14ac:dyDescent="0.2">
      <c r="A63" t="s">
        <v>108</v>
      </c>
      <c r="B63" t="s">
        <v>110</v>
      </c>
      <c r="C63">
        <v>2.44</v>
      </c>
      <c r="D63">
        <v>2</v>
      </c>
      <c r="E63">
        <v>8</v>
      </c>
      <c r="F63">
        <v>9</v>
      </c>
      <c r="G63" t="s">
        <v>111</v>
      </c>
      <c r="H63">
        <v>14</v>
      </c>
      <c r="I63">
        <v>5</v>
      </c>
      <c r="J63">
        <v>14.625</v>
      </c>
      <c r="K63">
        <v>14.625</v>
      </c>
      <c r="L63">
        <v>0</v>
      </c>
      <c r="M63">
        <v>14</v>
      </c>
      <c r="N63">
        <v>5</v>
      </c>
      <c r="S63">
        <v>3</v>
      </c>
      <c r="T63">
        <v>4</v>
      </c>
    </row>
    <row r="64" spans="1:28" x14ac:dyDescent="0.2">
      <c r="A64" t="s">
        <v>108</v>
      </c>
      <c r="B64" t="s">
        <v>112</v>
      </c>
      <c r="C64">
        <v>0.53</v>
      </c>
      <c r="D64">
        <v>0</v>
      </c>
      <c r="E64">
        <v>10</v>
      </c>
      <c r="F64">
        <v>6</v>
      </c>
      <c r="H64">
        <v>4</v>
      </c>
      <c r="I64">
        <v>0</v>
      </c>
      <c r="J64">
        <v>4</v>
      </c>
      <c r="K64">
        <v>4</v>
      </c>
      <c r="L64">
        <v>0</v>
      </c>
      <c r="M64">
        <v>4</v>
      </c>
      <c r="N64">
        <v>0</v>
      </c>
      <c r="S64">
        <v>2</v>
      </c>
      <c r="T64">
        <v>6</v>
      </c>
    </row>
    <row r="65" spans="1:14" x14ac:dyDescent="0.2">
      <c r="A65" t="s">
        <v>108</v>
      </c>
      <c r="B65" t="s">
        <v>113</v>
      </c>
      <c r="C65">
        <v>3.01</v>
      </c>
      <c r="D65">
        <v>3</v>
      </c>
      <c r="E65">
        <v>0</v>
      </c>
      <c r="F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">
      <c r="A66" t="s">
        <v>114</v>
      </c>
      <c r="B66" t="s">
        <v>115</v>
      </c>
      <c r="C66">
        <v>1.33</v>
      </c>
      <c r="D66">
        <v>1</v>
      </c>
      <c r="E66">
        <v>6</v>
      </c>
      <c r="F66">
        <v>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">
      <c r="A67" t="s">
        <v>114</v>
      </c>
      <c r="B67" t="s">
        <v>116</v>
      </c>
      <c r="C67">
        <v>0.67</v>
      </c>
      <c r="D67">
        <v>0</v>
      </c>
      <c r="E67">
        <v>13</v>
      </c>
      <c r="F67">
        <v>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">
      <c r="A68" t="s">
        <v>114</v>
      </c>
      <c r="B68" t="s">
        <v>117</v>
      </c>
      <c r="C68">
        <v>0.05</v>
      </c>
      <c r="D68">
        <v>0</v>
      </c>
      <c r="E68">
        <v>1</v>
      </c>
      <c r="F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">
      <c r="A69" t="s">
        <v>114</v>
      </c>
      <c r="B69" t="s">
        <v>118</v>
      </c>
      <c r="C69">
        <v>0.25</v>
      </c>
      <c r="D69">
        <v>0</v>
      </c>
      <c r="E69">
        <v>5</v>
      </c>
      <c r="F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">
      <c r="A70" t="s">
        <v>114</v>
      </c>
      <c r="B70" t="s">
        <v>119</v>
      </c>
      <c r="C70">
        <v>0.1</v>
      </c>
      <c r="D70">
        <v>0</v>
      </c>
      <c r="E70">
        <v>2</v>
      </c>
      <c r="F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">
      <c r="A71" t="s">
        <v>114</v>
      </c>
      <c r="B71" t="s">
        <v>120</v>
      </c>
      <c r="C71">
        <v>0.05</v>
      </c>
      <c r="D71">
        <v>0</v>
      </c>
      <c r="E71">
        <v>1</v>
      </c>
      <c r="F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">
      <c r="A72" t="s">
        <v>114</v>
      </c>
      <c r="B72" t="s">
        <v>121</v>
      </c>
      <c r="C72">
        <v>0.05</v>
      </c>
      <c r="D72">
        <v>0</v>
      </c>
      <c r="E72">
        <v>1</v>
      </c>
      <c r="F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">
      <c r="A73" t="s">
        <v>114</v>
      </c>
      <c r="B73" t="s">
        <v>122</v>
      </c>
      <c r="C73">
        <v>0.25</v>
      </c>
      <c r="D73">
        <v>0</v>
      </c>
      <c r="E73">
        <v>5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">
      <c r="A74" t="s">
        <v>114</v>
      </c>
      <c r="B74" t="s">
        <v>123</v>
      </c>
      <c r="C74">
        <v>2.75</v>
      </c>
      <c r="D74">
        <v>2</v>
      </c>
      <c r="E74">
        <v>15</v>
      </c>
      <c r="F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">
      <c r="A75" t="s">
        <v>124</v>
      </c>
      <c r="B75" t="s">
        <v>125</v>
      </c>
      <c r="C75">
        <v>0.1</v>
      </c>
      <c r="D75">
        <v>0</v>
      </c>
      <c r="E75">
        <v>2</v>
      </c>
      <c r="F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">
      <c r="A76" t="s">
        <v>124</v>
      </c>
      <c r="B76" t="s">
        <v>126</v>
      </c>
      <c r="C76">
        <v>0.01</v>
      </c>
      <c r="D76">
        <v>0</v>
      </c>
      <c r="E76">
        <v>0</v>
      </c>
      <c r="F76">
        <v>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">
      <c r="A77" t="s">
        <v>124</v>
      </c>
      <c r="B77" t="s">
        <v>127</v>
      </c>
      <c r="C77">
        <v>0.03</v>
      </c>
      <c r="D77">
        <v>0</v>
      </c>
      <c r="E77">
        <v>0</v>
      </c>
      <c r="F77">
        <v>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">
      <c r="A78" t="s">
        <v>124</v>
      </c>
      <c r="B78" t="s">
        <v>128</v>
      </c>
      <c r="C78">
        <v>0.06</v>
      </c>
      <c r="D78">
        <v>0</v>
      </c>
      <c r="E78">
        <v>1</v>
      </c>
      <c r="F78">
        <v>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">
      <c r="A79" t="s">
        <v>124</v>
      </c>
      <c r="B79" t="s">
        <v>129</v>
      </c>
      <c r="C79">
        <v>0.06</v>
      </c>
      <c r="D79">
        <v>0</v>
      </c>
      <c r="E79">
        <v>1</v>
      </c>
      <c r="F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">
      <c r="A80" t="s">
        <v>124</v>
      </c>
      <c r="B80" t="s">
        <v>130</v>
      </c>
      <c r="C80">
        <v>0.11</v>
      </c>
      <c r="D80">
        <v>0</v>
      </c>
      <c r="E80">
        <v>2</v>
      </c>
      <c r="F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124</v>
      </c>
      <c r="B81" t="s">
        <v>131</v>
      </c>
      <c r="C81">
        <v>0.03</v>
      </c>
      <c r="D81">
        <v>0</v>
      </c>
      <c r="E81">
        <v>0</v>
      </c>
      <c r="F81">
        <v>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124</v>
      </c>
      <c r="B82" t="s">
        <v>132</v>
      </c>
      <c r="C82">
        <v>0.15</v>
      </c>
      <c r="D82">
        <v>0</v>
      </c>
      <c r="E82">
        <v>3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124</v>
      </c>
      <c r="B83" t="s">
        <v>133</v>
      </c>
      <c r="C83">
        <v>0.01</v>
      </c>
      <c r="D83">
        <v>0</v>
      </c>
      <c r="E83">
        <v>0</v>
      </c>
      <c r="F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124</v>
      </c>
      <c r="B84" t="s">
        <v>134</v>
      </c>
      <c r="C84">
        <v>0.01</v>
      </c>
      <c r="D84">
        <v>0</v>
      </c>
      <c r="E84">
        <v>0</v>
      </c>
      <c r="F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124</v>
      </c>
      <c r="B85" t="s">
        <v>135</v>
      </c>
      <c r="C85">
        <v>0.15</v>
      </c>
      <c r="D85">
        <v>0</v>
      </c>
      <c r="E85">
        <v>3</v>
      </c>
      <c r="F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124</v>
      </c>
      <c r="B86" t="s">
        <v>136</v>
      </c>
      <c r="C86">
        <v>0.1</v>
      </c>
      <c r="D86">
        <v>0</v>
      </c>
      <c r="E86">
        <v>2</v>
      </c>
      <c r="F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124</v>
      </c>
      <c r="B87" t="s">
        <v>137</v>
      </c>
      <c r="C87">
        <v>0.05</v>
      </c>
      <c r="D87">
        <v>0</v>
      </c>
      <c r="E87">
        <v>1</v>
      </c>
      <c r="F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124</v>
      </c>
      <c r="B88" t="s">
        <v>138</v>
      </c>
      <c r="C88">
        <v>0.01</v>
      </c>
      <c r="D88">
        <v>0</v>
      </c>
      <c r="E88">
        <v>0</v>
      </c>
      <c r="F88">
        <v>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124</v>
      </c>
      <c r="B89" t="s">
        <v>139</v>
      </c>
      <c r="C89">
        <v>0.05</v>
      </c>
      <c r="D89">
        <v>0</v>
      </c>
      <c r="E89">
        <v>1</v>
      </c>
      <c r="F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124</v>
      </c>
      <c r="B90" t="s">
        <v>140</v>
      </c>
      <c r="C90">
        <v>0.09</v>
      </c>
      <c r="D90">
        <v>0</v>
      </c>
      <c r="E90">
        <v>1</v>
      </c>
      <c r="F90">
        <v>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124</v>
      </c>
      <c r="B91" t="s">
        <v>141</v>
      </c>
      <c r="C91">
        <v>0.04</v>
      </c>
      <c r="D91">
        <v>0</v>
      </c>
      <c r="E91">
        <v>0</v>
      </c>
      <c r="F91">
        <v>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124</v>
      </c>
      <c r="B92" t="s">
        <v>142</v>
      </c>
      <c r="C92">
        <v>0.05</v>
      </c>
      <c r="D92">
        <v>0</v>
      </c>
      <c r="E92">
        <v>1</v>
      </c>
      <c r="F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124</v>
      </c>
      <c r="B93" t="s">
        <v>143</v>
      </c>
      <c r="C93">
        <v>0.01</v>
      </c>
      <c r="D93">
        <v>0</v>
      </c>
      <c r="E93">
        <v>0</v>
      </c>
      <c r="F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124</v>
      </c>
      <c r="B94" t="s">
        <v>144</v>
      </c>
      <c r="C94">
        <v>0.01</v>
      </c>
      <c r="D94">
        <v>0</v>
      </c>
      <c r="E94">
        <v>0</v>
      </c>
      <c r="F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124</v>
      </c>
      <c r="B95" t="s">
        <v>145</v>
      </c>
      <c r="C95">
        <v>0.05</v>
      </c>
      <c r="D95">
        <v>0</v>
      </c>
      <c r="E95">
        <v>1</v>
      </c>
      <c r="F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124</v>
      </c>
      <c r="B96" t="s">
        <v>146</v>
      </c>
      <c r="C96">
        <v>0.1</v>
      </c>
      <c r="D96">
        <v>0</v>
      </c>
      <c r="E96">
        <v>2</v>
      </c>
      <c r="F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124</v>
      </c>
      <c r="B97" t="s">
        <v>147</v>
      </c>
      <c r="C97">
        <v>0.03</v>
      </c>
      <c r="D97">
        <v>0</v>
      </c>
      <c r="E97">
        <v>0</v>
      </c>
      <c r="F97">
        <v>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124</v>
      </c>
      <c r="B98" t="s">
        <v>148</v>
      </c>
      <c r="C98">
        <v>0.1</v>
      </c>
      <c r="D98">
        <v>0</v>
      </c>
      <c r="E98">
        <v>2</v>
      </c>
      <c r="F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124</v>
      </c>
      <c r="B99" t="s">
        <v>149</v>
      </c>
      <c r="C99">
        <v>0.01</v>
      </c>
      <c r="D99">
        <v>0</v>
      </c>
      <c r="E99">
        <v>0</v>
      </c>
      <c r="F99">
        <v>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124</v>
      </c>
      <c r="B100" t="s">
        <v>150</v>
      </c>
      <c r="C100">
        <v>0.03</v>
      </c>
      <c r="D100">
        <v>0</v>
      </c>
      <c r="E100">
        <v>0</v>
      </c>
      <c r="F100">
        <v>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124</v>
      </c>
      <c r="B101" t="s">
        <v>151</v>
      </c>
      <c r="C101">
        <v>0.05</v>
      </c>
      <c r="D101">
        <v>0</v>
      </c>
      <c r="E101">
        <v>1</v>
      </c>
      <c r="F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124</v>
      </c>
      <c r="B102" t="s">
        <v>152</v>
      </c>
      <c r="C102">
        <v>0.11</v>
      </c>
      <c r="D102">
        <v>0</v>
      </c>
      <c r="E102">
        <v>2</v>
      </c>
      <c r="F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124</v>
      </c>
      <c r="B103" t="s">
        <v>153</v>
      </c>
      <c r="C103">
        <v>0.23</v>
      </c>
      <c r="D103">
        <v>0</v>
      </c>
      <c r="E103">
        <v>4</v>
      </c>
      <c r="F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124</v>
      </c>
      <c r="B104" t="s">
        <v>154</v>
      </c>
      <c r="C104">
        <v>0.08</v>
      </c>
      <c r="D104">
        <v>0</v>
      </c>
      <c r="E104">
        <v>1</v>
      </c>
      <c r="F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124</v>
      </c>
      <c r="B105" t="s">
        <v>155</v>
      </c>
      <c r="C105">
        <v>0.31</v>
      </c>
      <c r="D105">
        <v>0</v>
      </c>
      <c r="E105">
        <v>6</v>
      </c>
      <c r="F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">
      <c r="A106" t="s">
        <v>124</v>
      </c>
      <c r="B106" t="s">
        <v>156</v>
      </c>
      <c r="C106">
        <v>0.03</v>
      </c>
      <c r="D106">
        <v>0</v>
      </c>
      <c r="E106">
        <v>0</v>
      </c>
      <c r="F106">
        <v>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124</v>
      </c>
      <c r="B107" t="s">
        <v>157</v>
      </c>
      <c r="C107">
        <v>0.2</v>
      </c>
      <c r="D107">
        <v>0</v>
      </c>
      <c r="E107">
        <v>4</v>
      </c>
      <c r="F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124</v>
      </c>
      <c r="B108" t="s">
        <v>158</v>
      </c>
      <c r="C108">
        <v>0.03</v>
      </c>
      <c r="D108">
        <v>0</v>
      </c>
      <c r="E108">
        <v>0</v>
      </c>
      <c r="F108">
        <v>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124</v>
      </c>
      <c r="B109" t="s">
        <v>159</v>
      </c>
      <c r="C109">
        <v>0.01</v>
      </c>
      <c r="D109">
        <v>0</v>
      </c>
      <c r="E109">
        <v>0</v>
      </c>
      <c r="F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124</v>
      </c>
      <c r="B110" t="s">
        <v>160</v>
      </c>
      <c r="C110">
        <v>0.01</v>
      </c>
      <c r="D110">
        <v>0</v>
      </c>
      <c r="E110">
        <v>0</v>
      </c>
      <c r="F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124</v>
      </c>
      <c r="B111" t="s">
        <v>161</v>
      </c>
      <c r="C111">
        <v>0.05</v>
      </c>
      <c r="D111">
        <v>0</v>
      </c>
      <c r="E111">
        <v>1</v>
      </c>
      <c r="F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124</v>
      </c>
      <c r="B112" t="s">
        <v>162</v>
      </c>
      <c r="C112">
        <v>0.05</v>
      </c>
      <c r="D112">
        <v>0</v>
      </c>
      <c r="E112">
        <v>1</v>
      </c>
      <c r="F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124</v>
      </c>
      <c r="B113" t="s">
        <v>163</v>
      </c>
      <c r="C113">
        <v>2.66</v>
      </c>
      <c r="D113">
        <v>2</v>
      </c>
      <c r="E113">
        <v>13</v>
      </c>
      <c r="F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164</v>
      </c>
      <c r="B114" t="s">
        <v>165</v>
      </c>
      <c r="C114">
        <v>5.41</v>
      </c>
      <c r="D114">
        <v>5</v>
      </c>
      <c r="E114">
        <v>8</v>
      </c>
      <c r="F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166</v>
      </c>
      <c r="B115" t="s">
        <v>167</v>
      </c>
      <c r="C115">
        <v>84.02</v>
      </c>
      <c r="D115">
        <v>84</v>
      </c>
      <c r="E115">
        <v>0</v>
      </c>
      <c r="F115">
        <v>5.5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168</v>
      </c>
      <c r="B116" t="s">
        <v>169</v>
      </c>
      <c r="C116">
        <v>0.31</v>
      </c>
      <c r="D116">
        <v>0</v>
      </c>
      <c r="E116">
        <v>6</v>
      </c>
      <c r="F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">
      <c r="A117" t="s">
        <v>168</v>
      </c>
      <c r="B117" t="s">
        <v>170</v>
      </c>
      <c r="C117">
        <v>0</v>
      </c>
      <c r="D117">
        <v>0</v>
      </c>
      <c r="E117">
        <v>0</v>
      </c>
      <c r="F117">
        <v>0</v>
      </c>
      <c r="G117" t="s">
        <v>102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168</v>
      </c>
      <c r="B118" t="s">
        <v>171</v>
      </c>
      <c r="C118">
        <v>0.03</v>
      </c>
      <c r="D118">
        <v>0</v>
      </c>
      <c r="E118">
        <v>0</v>
      </c>
      <c r="F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">
      <c r="A119" t="s">
        <v>168</v>
      </c>
      <c r="B119" t="s">
        <v>172</v>
      </c>
      <c r="C119">
        <v>0.04</v>
      </c>
      <c r="D119">
        <v>0</v>
      </c>
      <c r="E119">
        <v>0</v>
      </c>
      <c r="F119">
        <v>10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168</v>
      </c>
      <c r="B120" t="s">
        <v>173</v>
      </c>
      <c r="C120">
        <v>0.17</v>
      </c>
      <c r="D120">
        <v>0</v>
      </c>
      <c r="E120">
        <v>3</v>
      </c>
      <c r="F120">
        <v>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168</v>
      </c>
      <c r="B121" t="s">
        <v>174</v>
      </c>
      <c r="C121">
        <v>7.0000000000000007E-2</v>
      </c>
      <c r="D121">
        <v>0</v>
      </c>
      <c r="E121">
        <v>1</v>
      </c>
      <c r="F121">
        <v>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168</v>
      </c>
      <c r="B122" t="s">
        <v>175</v>
      </c>
      <c r="C122">
        <v>0.03</v>
      </c>
      <c r="D122">
        <v>0</v>
      </c>
      <c r="E122">
        <v>0</v>
      </c>
      <c r="F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168</v>
      </c>
      <c r="B123" t="s">
        <v>176</v>
      </c>
      <c r="C123">
        <v>0.05</v>
      </c>
      <c r="D123">
        <v>0</v>
      </c>
      <c r="E123">
        <v>1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168</v>
      </c>
      <c r="B124" t="s">
        <v>177</v>
      </c>
      <c r="C124">
        <v>0.67</v>
      </c>
      <c r="D124">
        <v>0</v>
      </c>
      <c r="E124">
        <v>13</v>
      </c>
      <c r="F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168</v>
      </c>
      <c r="B125" t="s">
        <v>178</v>
      </c>
      <c r="C125">
        <v>0</v>
      </c>
      <c r="D125">
        <v>0</v>
      </c>
      <c r="E125">
        <v>0</v>
      </c>
      <c r="F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168</v>
      </c>
      <c r="B126" t="s">
        <v>179</v>
      </c>
      <c r="C126">
        <v>0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168</v>
      </c>
      <c r="B127" t="s">
        <v>180</v>
      </c>
      <c r="C127">
        <v>0.96</v>
      </c>
      <c r="D127">
        <v>0</v>
      </c>
      <c r="E127">
        <v>19</v>
      </c>
      <c r="F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168</v>
      </c>
      <c r="B128" t="s">
        <v>179</v>
      </c>
      <c r="C128">
        <v>0</v>
      </c>
      <c r="D128">
        <v>0</v>
      </c>
      <c r="E128">
        <v>0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20" x14ac:dyDescent="0.2">
      <c r="A129" t="s">
        <v>168</v>
      </c>
      <c r="B129" t="s">
        <v>181</v>
      </c>
      <c r="C129">
        <v>0.02</v>
      </c>
      <c r="D129">
        <v>0</v>
      </c>
      <c r="E129">
        <v>0</v>
      </c>
      <c r="F129">
        <v>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20" x14ac:dyDescent="0.2">
      <c r="A130" t="s">
        <v>168</v>
      </c>
      <c r="B130" t="s">
        <v>182</v>
      </c>
      <c r="C130">
        <v>13.97</v>
      </c>
      <c r="D130">
        <v>13</v>
      </c>
      <c r="E130">
        <v>19</v>
      </c>
      <c r="F130">
        <v>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20" x14ac:dyDescent="0.2">
      <c r="A131" t="s">
        <v>168</v>
      </c>
      <c r="B131" t="s">
        <v>179</v>
      </c>
      <c r="C131">
        <v>0</v>
      </c>
      <c r="D131">
        <v>0</v>
      </c>
      <c r="E131">
        <v>0</v>
      </c>
      <c r="F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20" x14ac:dyDescent="0.2">
      <c r="A132" t="s">
        <v>168</v>
      </c>
      <c r="B132" t="s">
        <v>183</v>
      </c>
      <c r="C132">
        <v>0.45</v>
      </c>
      <c r="D132">
        <v>0</v>
      </c>
      <c r="E132">
        <v>9</v>
      </c>
      <c r="F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20" x14ac:dyDescent="0.2">
      <c r="A133" t="s">
        <v>168</v>
      </c>
      <c r="B133" t="s">
        <v>184</v>
      </c>
      <c r="C133">
        <v>1.79</v>
      </c>
      <c r="D133">
        <v>1</v>
      </c>
      <c r="E133">
        <v>15</v>
      </c>
      <c r="F133">
        <v>10</v>
      </c>
      <c r="G133" t="s">
        <v>111</v>
      </c>
      <c r="H133">
        <v>10</v>
      </c>
      <c r="I133">
        <v>6</v>
      </c>
      <c r="J133">
        <v>10.75</v>
      </c>
      <c r="K133">
        <v>10.75</v>
      </c>
      <c r="L133">
        <v>0</v>
      </c>
      <c r="M133">
        <v>10</v>
      </c>
      <c r="N133">
        <v>6</v>
      </c>
      <c r="S133">
        <v>3</v>
      </c>
      <c r="T133">
        <v>4</v>
      </c>
    </row>
    <row r="134" spans="1:20" x14ac:dyDescent="0.2">
      <c r="A134" t="s">
        <v>168</v>
      </c>
      <c r="B134" t="s">
        <v>179</v>
      </c>
      <c r="C134">
        <v>0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20" x14ac:dyDescent="0.2">
      <c r="A135" t="s">
        <v>168</v>
      </c>
      <c r="B135" t="s">
        <v>185</v>
      </c>
      <c r="C135">
        <v>0.6</v>
      </c>
      <c r="D135">
        <v>0</v>
      </c>
      <c r="E135">
        <v>12</v>
      </c>
      <c r="F135">
        <v>0</v>
      </c>
      <c r="G135" t="s">
        <v>105</v>
      </c>
      <c r="H135">
        <v>3</v>
      </c>
      <c r="I135">
        <v>0</v>
      </c>
      <c r="J135">
        <v>3</v>
      </c>
      <c r="K135">
        <v>3</v>
      </c>
      <c r="L135">
        <v>0</v>
      </c>
      <c r="M135">
        <v>3</v>
      </c>
      <c r="N135">
        <v>0</v>
      </c>
      <c r="S135">
        <v>4</v>
      </c>
      <c r="T135">
        <v>0</v>
      </c>
    </row>
    <row r="136" spans="1:20" x14ac:dyDescent="0.2">
      <c r="A136" t="s">
        <v>168</v>
      </c>
      <c r="B136" t="s">
        <v>186</v>
      </c>
      <c r="C136">
        <v>19.2</v>
      </c>
      <c r="D136">
        <v>19</v>
      </c>
      <c r="E136">
        <v>3</v>
      </c>
      <c r="F136">
        <v>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20" x14ac:dyDescent="0.2">
      <c r="A137" t="s">
        <v>187</v>
      </c>
      <c r="B137" t="s">
        <v>188</v>
      </c>
      <c r="C137">
        <v>0.1</v>
      </c>
      <c r="D137">
        <v>0</v>
      </c>
      <c r="E137">
        <v>2</v>
      </c>
      <c r="F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20" x14ac:dyDescent="0.2">
      <c r="A138" t="s">
        <v>187</v>
      </c>
      <c r="B138" t="s">
        <v>189</v>
      </c>
      <c r="C138">
        <v>0.05</v>
      </c>
      <c r="D138">
        <v>0</v>
      </c>
      <c r="E138">
        <v>1</v>
      </c>
      <c r="F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20" x14ac:dyDescent="0.2">
      <c r="A139" t="s">
        <v>187</v>
      </c>
      <c r="B139" t="s">
        <v>190</v>
      </c>
      <c r="C139">
        <v>0.03</v>
      </c>
      <c r="D139">
        <v>0</v>
      </c>
      <c r="E139">
        <v>0</v>
      </c>
      <c r="F139">
        <v>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20" x14ac:dyDescent="0.2">
      <c r="A140" t="s">
        <v>187</v>
      </c>
      <c r="B140" t="s">
        <v>191</v>
      </c>
      <c r="C140">
        <v>0.05</v>
      </c>
      <c r="D140">
        <v>0</v>
      </c>
      <c r="E140">
        <v>1</v>
      </c>
      <c r="F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20" x14ac:dyDescent="0.2">
      <c r="A141" t="s">
        <v>187</v>
      </c>
      <c r="B141" t="s">
        <v>192</v>
      </c>
      <c r="C141">
        <v>0.02</v>
      </c>
      <c r="D141">
        <v>0</v>
      </c>
      <c r="E141">
        <v>0</v>
      </c>
      <c r="F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20" x14ac:dyDescent="0.2">
      <c r="A142" t="s">
        <v>187</v>
      </c>
      <c r="B142" t="s">
        <v>193</v>
      </c>
      <c r="C142">
        <v>0.02</v>
      </c>
      <c r="D142">
        <v>0</v>
      </c>
      <c r="E142">
        <v>0</v>
      </c>
      <c r="F142">
        <v>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20" x14ac:dyDescent="0.2">
      <c r="A143" t="s">
        <v>187</v>
      </c>
      <c r="B143" t="s">
        <v>194</v>
      </c>
      <c r="C143">
        <v>0.06</v>
      </c>
      <c r="D143">
        <v>0</v>
      </c>
      <c r="E143">
        <v>1</v>
      </c>
      <c r="F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20" x14ac:dyDescent="0.2">
      <c r="A144" t="s">
        <v>187</v>
      </c>
      <c r="B144" t="s">
        <v>195</v>
      </c>
      <c r="C144">
        <v>0.17</v>
      </c>
      <c r="D144">
        <v>0</v>
      </c>
      <c r="E144">
        <v>3</v>
      </c>
      <c r="F144">
        <v>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187</v>
      </c>
      <c r="B145" t="s">
        <v>196</v>
      </c>
      <c r="C145">
        <v>0.15</v>
      </c>
      <c r="D145">
        <v>0</v>
      </c>
      <c r="E145">
        <v>3</v>
      </c>
      <c r="F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197</v>
      </c>
      <c r="B146" t="s">
        <v>198</v>
      </c>
      <c r="C146">
        <v>0.08</v>
      </c>
      <c r="D146">
        <v>0</v>
      </c>
      <c r="E146">
        <v>1</v>
      </c>
      <c r="F146">
        <v>6</v>
      </c>
      <c r="G146" t="s">
        <v>102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197</v>
      </c>
      <c r="B147" t="s">
        <v>199</v>
      </c>
      <c r="C147">
        <v>0.15</v>
      </c>
      <c r="D147">
        <v>0</v>
      </c>
      <c r="E147">
        <v>3</v>
      </c>
      <c r="F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197</v>
      </c>
      <c r="B148" t="s">
        <v>200</v>
      </c>
      <c r="C148">
        <v>0.06</v>
      </c>
      <c r="D148">
        <v>0</v>
      </c>
      <c r="E148">
        <v>1</v>
      </c>
      <c r="F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197</v>
      </c>
      <c r="B149" t="s">
        <v>201</v>
      </c>
      <c r="C149">
        <v>0.08</v>
      </c>
      <c r="D149">
        <v>0</v>
      </c>
      <c r="E149">
        <v>1</v>
      </c>
      <c r="F149">
        <v>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197</v>
      </c>
      <c r="B150" t="s">
        <v>202</v>
      </c>
      <c r="C150">
        <v>0.05</v>
      </c>
      <c r="D150">
        <v>0</v>
      </c>
      <c r="E150">
        <v>1</v>
      </c>
      <c r="F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197</v>
      </c>
      <c r="B151" t="s">
        <v>203</v>
      </c>
      <c r="C151">
        <v>0.2</v>
      </c>
      <c r="D151">
        <v>0</v>
      </c>
      <c r="E151">
        <v>4</v>
      </c>
      <c r="F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197</v>
      </c>
      <c r="B152" t="s">
        <v>204</v>
      </c>
      <c r="C152">
        <v>0.08</v>
      </c>
      <c r="D152">
        <v>0</v>
      </c>
      <c r="E152">
        <v>1</v>
      </c>
      <c r="F152">
        <v>6</v>
      </c>
      <c r="G152" t="s">
        <v>105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197</v>
      </c>
      <c r="B153" t="s">
        <v>205</v>
      </c>
      <c r="C153">
        <v>0.69</v>
      </c>
      <c r="D153">
        <v>0</v>
      </c>
      <c r="E153">
        <v>13</v>
      </c>
      <c r="F153">
        <v>10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197</v>
      </c>
      <c r="B154" t="s">
        <v>206</v>
      </c>
      <c r="C154">
        <v>1.45</v>
      </c>
      <c r="D154">
        <v>1</v>
      </c>
      <c r="E154">
        <v>8</v>
      </c>
      <c r="F154">
        <v>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207</v>
      </c>
      <c r="B155" t="s">
        <v>208</v>
      </c>
      <c r="C155">
        <v>0.62</v>
      </c>
      <c r="D155">
        <v>0</v>
      </c>
      <c r="E155">
        <v>12</v>
      </c>
      <c r="F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207</v>
      </c>
      <c r="B156" t="s">
        <v>209</v>
      </c>
      <c r="C156">
        <v>0.05</v>
      </c>
      <c r="D156">
        <v>0</v>
      </c>
      <c r="E156">
        <v>1</v>
      </c>
      <c r="F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207</v>
      </c>
      <c r="B157" t="s">
        <v>210</v>
      </c>
      <c r="C157">
        <v>0.02</v>
      </c>
      <c r="D157">
        <v>0</v>
      </c>
      <c r="E157">
        <v>0</v>
      </c>
      <c r="F157">
        <v>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207</v>
      </c>
      <c r="B158" t="s">
        <v>211</v>
      </c>
      <c r="C158">
        <v>0.66</v>
      </c>
      <c r="D158">
        <v>0</v>
      </c>
      <c r="E158">
        <v>13</v>
      </c>
      <c r="F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212</v>
      </c>
      <c r="B159" t="s">
        <v>213</v>
      </c>
      <c r="C159">
        <v>0.87</v>
      </c>
      <c r="D159">
        <v>0</v>
      </c>
      <c r="E159">
        <v>17</v>
      </c>
      <c r="F159">
        <v>4</v>
      </c>
      <c r="G159" t="s">
        <v>102</v>
      </c>
      <c r="H159">
        <v>104</v>
      </c>
      <c r="I159">
        <v>0</v>
      </c>
      <c r="J159">
        <v>104</v>
      </c>
      <c r="K159">
        <v>104</v>
      </c>
      <c r="L159">
        <v>0</v>
      </c>
      <c r="M159">
        <v>104</v>
      </c>
      <c r="N159">
        <v>0</v>
      </c>
    </row>
    <row r="160" spans="1:14" x14ac:dyDescent="0.2">
      <c r="A160" t="s">
        <v>212</v>
      </c>
      <c r="B160" t="s">
        <v>179</v>
      </c>
      <c r="C160">
        <v>0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212</v>
      </c>
      <c r="B161" t="s">
        <v>214</v>
      </c>
      <c r="C161">
        <v>0.28999999999999998</v>
      </c>
      <c r="D161">
        <v>0</v>
      </c>
      <c r="E161">
        <v>5</v>
      </c>
      <c r="F161">
        <v>8.5</v>
      </c>
      <c r="H161">
        <v>39</v>
      </c>
      <c r="I161">
        <v>1</v>
      </c>
      <c r="J161">
        <v>39.125</v>
      </c>
      <c r="K161">
        <v>39.125</v>
      </c>
      <c r="L161">
        <v>0</v>
      </c>
      <c r="M161">
        <v>39</v>
      </c>
      <c r="N161">
        <v>1</v>
      </c>
    </row>
    <row r="162" spans="1:14" x14ac:dyDescent="0.2">
      <c r="A162" t="s">
        <v>212</v>
      </c>
      <c r="B162" t="s">
        <v>179</v>
      </c>
      <c r="C162">
        <v>0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212</v>
      </c>
      <c r="B163" t="s">
        <v>215</v>
      </c>
      <c r="C163">
        <v>0.04</v>
      </c>
      <c r="D163">
        <v>0</v>
      </c>
      <c r="E163">
        <v>0</v>
      </c>
      <c r="F163">
        <v>10.25</v>
      </c>
      <c r="G163" t="s">
        <v>105</v>
      </c>
      <c r="H163">
        <v>8</v>
      </c>
      <c r="I163">
        <v>2</v>
      </c>
      <c r="J163">
        <v>8.25</v>
      </c>
      <c r="K163">
        <v>8.25</v>
      </c>
      <c r="L163">
        <v>0</v>
      </c>
      <c r="M163">
        <v>8</v>
      </c>
      <c r="N163">
        <v>2</v>
      </c>
    </row>
    <row r="164" spans="1:14" x14ac:dyDescent="0.2">
      <c r="A164" t="s">
        <v>212</v>
      </c>
      <c r="B164" t="s">
        <v>179</v>
      </c>
      <c r="C164">
        <v>0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212</v>
      </c>
      <c r="B165" t="s">
        <v>216</v>
      </c>
      <c r="C165">
        <v>0.26</v>
      </c>
      <c r="D165">
        <v>0</v>
      </c>
      <c r="E165">
        <v>5</v>
      </c>
      <c r="F165">
        <v>1.75</v>
      </c>
      <c r="G165" t="s">
        <v>107</v>
      </c>
      <c r="H165">
        <v>123.5</v>
      </c>
      <c r="I165">
        <v>0</v>
      </c>
      <c r="J165">
        <v>123.5</v>
      </c>
      <c r="K165">
        <v>123.5</v>
      </c>
      <c r="L165">
        <v>0</v>
      </c>
      <c r="M165">
        <v>123.5</v>
      </c>
      <c r="N165">
        <v>0</v>
      </c>
    </row>
    <row r="166" spans="1:14" x14ac:dyDescent="0.2">
      <c r="A166" t="s">
        <v>212</v>
      </c>
      <c r="B166" t="s">
        <v>179</v>
      </c>
      <c r="C166">
        <v>0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212</v>
      </c>
      <c r="B167" t="s">
        <v>217</v>
      </c>
      <c r="C167">
        <v>0.06</v>
      </c>
      <c r="D167">
        <v>0</v>
      </c>
      <c r="E167">
        <v>1</v>
      </c>
      <c r="F167">
        <v>3.5</v>
      </c>
      <c r="H167">
        <v>8</v>
      </c>
      <c r="I167">
        <v>0</v>
      </c>
      <c r="J167">
        <v>8</v>
      </c>
      <c r="K167">
        <v>8</v>
      </c>
      <c r="L167">
        <v>0</v>
      </c>
      <c r="M167">
        <v>8</v>
      </c>
      <c r="N167">
        <v>0</v>
      </c>
    </row>
    <row r="168" spans="1:14" x14ac:dyDescent="0.2">
      <c r="A168" t="s">
        <v>212</v>
      </c>
      <c r="B168" t="s">
        <v>179</v>
      </c>
      <c r="C168">
        <v>0</v>
      </c>
      <c r="D168">
        <v>0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212</v>
      </c>
      <c r="B169" t="s">
        <v>218</v>
      </c>
      <c r="C169">
        <v>0.09</v>
      </c>
      <c r="D169">
        <v>0</v>
      </c>
      <c r="E169">
        <v>1</v>
      </c>
      <c r="F169">
        <v>9.75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212</v>
      </c>
      <c r="B170" t="s">
        <v>219</v>
      </c>
      <c r="C170">
        <v>1.62</v>
      </c>
      <c r="D170">
        <v>1</v>
      </c>
      <c r="E170">
        <v>12</v>
      </c>
      <c r="F170">
        <v>4.75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220</v>
      </c>
      <c r="B171" t="s">
        <v>221</v>
      </c>
      <c r="C171">
        <v>0.17</v>
      </c>
      <c r="D171">
        <v>0</v>
      </c>
      <c r="E171">
        <v>3</v>
      </c>
      <c r="F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222</v>
      </c>
      <c r="B172" t="s">
        <v>223</v>
      </c>
      <c r="C172">
        <v>0.03</v>
      </c>
      <c r="D172">
        <v>0</v>
      </c>
      <c r="E172">
        <v>0</v>
      </c>
      <c r="F172">
        <v>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222</v>
      </c>
      <c r="B173" t="s">
        <v>224</v>
      </c>
      <c r="C173">
        <v>0.67</v>
      </c>
      <c r="D173">
        <v>0</v>
      </c>
      <c r="E173">
        <v>13</v>
      </c>
      <c r="F173">
        <v>4</v>
      </c>
      <c r="G173" t="s">
        <v>225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222</v>
      </c>
      <c r="B174" t="s">
        <v>226</v>
      </c>
      <c r="C174">
        <v>0.34</v>
      </c>
      <c r="D174">
        <v>0</v>
      </c>
      <c r="E174">
        <v>6</v>
      </c>
      <c r="F174">
        <v>9</v>
      </c>
      <c r="G174" t="s">
        <v>102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222</v>
      </c>
      <c r="B175" t="s">
        <v>179</v>
      </c>
      <c r="C175">
        <v>0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222</v>
      </c>
      <c r="B176" t="s">
        <v>227</v>
      </c>
      <c r="C176">
        <v>0.31</v>
      </c>
      <c r="D176">
        <v>0</v>
      </c>
      <c r="E176">
        <v>6</v>
      </c>
      <c r="F176">
        <v>2</v>
      </c>
      <c r="G176" t="s">
        <v>107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">
      <c r="A177" t="s">
        <v>222</v>
      </c>
      <c r="B177" t="s">
        <v>228</v>
      </c>
      <c r="C177">
        <v>1.33</v>
      </c>
      <c r="D177">
        <v>1</v>
      </c>
      <c r="E177">
        <v>6</v>
      </c>
      <c r="F177">
        <v>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">
      <c r="A178" t="s">
        <v>229</v>
      </c>
      <c r="B178" t="s">
        <v>230</v>
      </c>
      <c r="C178">
        <v>0.02</v>
      </c>
      <c r="D178">
        <v>0</v>
      </c>
      <c r="E178">
        <v>0</v>
      </c>
      <c r="F178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">
      <c r="A179" t="s">
        <v>229</v>
      </c>
      <c r="B179" t="s">
        <v>231</v>
      </c>
      <c r="C179">
        <v>0.02</v>
      </c>
      <c r="D179">
        <v>0</v>
      </c>
      <c r="E179">
        <v>0</v>
      </c>
      <c r="F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">
      <c r="A180" t="s">
        <v>229</v>
      </c>
      <c r="B180" t="s">
        <v>232</v>
      </c>
      <c r="C180">
        <v>0.01</v>
      </c>
      <c r="D180">
        <v>0</v>
      </c>
      <c r="E180">
        <v>0</v>
      </c>
      <c r="F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">
      <c r="A181" t="s">
        <v>229</v>
      </c>
      <c r="B181" t="s">
        <v>233</v>
      </c>
      <c r="C181">
        <v>0.11</v>
      </c>
      <c r="D181">
        <v>0</v>
      </c>
      <c r="E181">
        <v>2</v>
      </c>
      <c r="F181">
        <v>1.5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">
      <c r="A182" t="s">
        <v>229</v>
      </c>
      <c r="B182" t="s">
        <v>234</v>
      </c>
      <c r="C182">
        <v>0.51</v>
      </c>
      <c r="D182">
        <v>0</v>
      </c>
      <c r="E182">
        <v>10</v>
      </c>
      <c r="F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">
      <c r="A183" t="s">
        <v>229</v>
      </c>
      <c r="B183" t="s">
        <v>179</v>
      </c>
      <c r="C183">
        <v>0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">
      <c r="A184" t="s">
        <v>229</v>
      </c>
      <c r="B184" t="s">
        <v>235</v>
      </c>
      <c r="C184">
        <v>0.03</v>
      </c>
      <c r="D184">
        <v>0</v>
      </c>
      <c r="E184">
        <v>0</v>
      </c>
      <c r="F184">
        <v>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">
      <c r="A185" t="s">
        <v>229</v>
      </c>
      <c r="B185" t="s">
        <v>236</v>
      </c>
      <c r="C185">
        <v>1.02</v>
      </c>
      <c r="D185">
        <v>1</v>
      </c>
      <c r="E185">
        <v>0</v>
      </c>
      <c r="F185">
        <v>4.5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">
      <c r="A186" t="s">
        <v>237</v>
      </c>
      <c r="B186" t="s">
        <v>238</v>
      </c>
      <c r="C186">
        <v>26.13</v>
      </c>
      <c r="D186">
        <v>26</v>
      </c>
      <c r="E186">
        <v>2</v>
      </c>
      <c r="F186">
        <v>6.25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">
      <c r="A187" t="s">
        <v>239</v>
      </c>
      <c r="B187" t="s">
        <v>240</v>
      </c>
      <c r="C187">
        <v>57.9</v>
      </c>
      <c r="D187">
        <v>57</v>
      </c>
      <c r="E187">
        <v>17</v>
      </c>
      <c r="F187">
        <v>11.25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">
      <c r="A188" t="s">
        <v>241</v>
      </c>
      <c r="B188" t="s">
        <v>242</v>
      </c>
      <c r="C188">
        <v>30.67</v>
      </c>
      <c r="D188">
        <v>30</v>
      </c>
      <c r="E188">
        <v>13</v>
      </c>
      <c r="F188">
        <v>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">
      <c r="A189" t="s">
        <v>243</v>
      </c>
      <c r="B189" t="s">
        <v>244</v>
      </c>
      <c r="C189">
        <v>27.23</v>
      </c>
      <c r="D189">
        <v>27</v>
      </c>
      <c r="E189">
        <v>4</v>
      </c>
      <c r="F189">
        <v>7.25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">
      <c r="A190" t="s">
        <v>245</v>
      </c>
      <c r="B190" t="s">
        <v>246</v>
      </c>
      <c r="C190">
        <v>0</v>
      </c>
      <c r="D190">
        <v>0</v>
      </c>
      <c r="E190">
        <v>0</v>
      </c>
      <c r="F190">
        <v>0</v>
      </c>
      <c r="H190">
        <v>4</v>
      </c>
      <c r="I190">
        <v>3</v>
      </c>
      <c r="J190">
        <v>4.375</v>
      </c>
      <c r="K190">
        <v>4.375</v>
      </c>
      <c r="L190">
        <v>0</v>
      </c>
      <c r="M190">
        <v>4</v>
      </c>
      <c r="N190">
        <v>3</v>
      </c>
    </row>
    <row r="191" spans="1:14" x14ac:dyDescent="0.2">
      <c r="A191" t="s">
        <v>245</v>
      </c>
      <c r="B191" t="s">
        <v>247</v>
      </c>
      <c r="C191">
        <v>0</v>
      </c>
      <c r="D191">
        <v>0</v>
      </c>
      <c r="E191">
        <v>0</v>
      </c>
      <c r="F191">
        <v>0</v>
      </c>
      <c r="G191" t="s">
        <v>102</v>
      </c>
      <c r="H191">
        <v>130</v>
      </c>
      <c r="I191">
        <v>0</v>
      </c>
      <c r="J191">
        <v>130</v>
      </c>
      <c r="K191">
        <v>130</v>
      </c>
      <c r="L191">
        <v>0</v>
      </c>
      <c r="M191">
        <v>130</v>
      </c>
      <c r="N191">
        <v>0</v>
      </c>
    </row>
    <row r="192" spans="1:14" x14ac:dyDescent="0.2">
      <c r="A192" t="s">
        <v>245</v>
      </c>
      <c r="B192" t="s">
        <v>248</v>
      </c>
      <c r="C192">
        <v>0</v>
      </c>
      <c r="D192">
        <v>0</v>
      </c>
      <c r="E192">
        <v>0</v>
      </c>
      <c r="F192">
        <v>0</v>
      </c>
      <c r="H192">
        <v>1.5</v>
      </c>
      <c r="I192">
        <v>0</v>
      </c>
      <c r="J192">
        <v>1.5</v>
      </c>
      <c r="K192">
        <v>1.5</v>
      </c>
      <c r="L192">
        <v>0</v>
      </c>
      <c r="M192">
        <v>1.5</v>
      </c>
      <c r="N192">
        <v>0</v>
      </c>
    </row>
    <row r="193" spans="1:16" x14ac:dyDescent="0.2">
      <c r="A193" t="s">
        <v>245</v>
      </c>
      <c r="B193" t="s">
        <v>249</v>
      </c>
      <c r="C193">
        <v>0</v>
      </c>
      <c r="D193">
        <v>0</v>
      </c>
      <c r="E193">
        <v>0</v>
      </c>
      <c r="F193">
        <v>0</v>
      </c>
      <c r="H193">
        <v>4</v>
      </c>
      <c r="I193">
        <v>1</v>
      </c>
      <c r="J193">
        <v>4.125</v>
      </c>
      <c r="K193">
        <v>4.125</v>
      </c>
      <c r="L193">
        <v>0</v>
      </c>
      <c r="M193">
        <v>4</v>
      </c>
      <c r="N193">
        <v>1</v>
      </c>
    </row>
    <row r="194" spans="1:16" x14ac:dyDescent="0.2">
      <c r="A194" t="s">
        <v>245</v>
      </c>
      <c r="B194" t="s">
        <v>250</v>
      </c>
      <c r="C194">
        <v>0</v>
      </c>
      <c r="D194">
        <v>0</v>
      </c>
      <c r="E194">
        <v>0</v>
      </c>
      <c r="F194">
        <v>0</v>
      </c>
      <c r="H194">
        <v>135</v>
      </c>
      <c r="I194">
        <v>5</v>
      </c>
      <c r="J194">
        <v>135.625</v>
      </c>
      <c r="K194">
        <v>135.625</v>
      </c>
      <c r="L194">
        <v>0</v>
      </c>
      <c r="M194">
        <v>135</v>
      </c>
      <c r="N194">
        <v>5</v>
      </c>
    </row>
    <row r="195" spans="1:16" x14ac:dyDescent="0.2">
      <c r="A195" t="s">
        <v>245</v>
      </c>
      <c r="B195" t="s">
        <v>251</v>
      </c>
      <c r="C195">
        <v>0</v>
      </c>
      <c r="D195">
        <v>0</v>
      </c>
      <c r="E195">
        <v>0</v>
      </c>
      <c r="F195">
        <v>0</v>
      </c>
      <c r="H195">
        <v>31</v>
      </c>
      <c r="I195">
        <v>1</v>
      </c>
      <c r="J195">
        <v>31.125</v>
      </c>
      <c r="K195">
        <v>31.125</v>
      </c>
      <c r="L195">
        <v>0</v>
      </c>
      <c r="M195">
        <v>31</v>
      </c>
      <c r="N195">
        <v>1</v>
      </c>
    </row>
    <row r="196" spans="1:16" x14ac:dyDescent="0.2">
      <c r="A196" t="s">
        <v>245</v>
      </c>
      <c r="B196" t="s">
        <v>252</v>
      </c>
      <c r="C196">
        <v>0</v>
      </c>
      <c r="D196">
        <v>0</v>
      </c>
      <c r="E196">
        <v>0</v>
      </c>
      <c r="F196">
        <v>0</v>
      </c>
      <c r="H196">
        <v>0</v>
      </c>
      <c r="I196">
        <v>3</v>
      </c>
      <c r="J196">
        <v>0.375</v>
      </c>
      <c r="K196">
        <v>0.125</v>
      </c>
      <c r="L196">
        <v>0.25</v>
      </c>
      <c r="M196">
        <v>0</v>
      </c>
      <c r="N196">
        <v>1</v>
      </c>
      <c r="O196">
        <v>0</v>
      </c>
      <c r="P196">
        <v>3</v>
      </c>
    </row>
    <row r="197" spans="1:16" x14ac:dyDescent="0.2">
      <c r="A197" t="s">
        <v>245</v>
      </c>
      <c r="B197" t="s">
        <v>179</v>
      </c>
      <c r="C197">
        <v>0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6" x14ac:dyDescent="0.2">
      <c r="A198" t="s">
        <v>245</v>
      </c>
      <c r="B198" t="s">
        <v>253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1</v>
      </c>
      <c r="J198">
        <v>0.125</v>
      </c>
      <c r="K198">
        <v>0.125</v>
      </c>
      <c r="L198">
        <v>0</v>
      </c>
      <c r="M198">
        <v>0</v>
      </c>
      <c r="N198">
        <v>1</v>
      </c>
    </row>
    <row r="199" spans="1:16" x14ac:dyDescent="0.2">
      <c r="A199" t="s">
        <v>245</v>
      </c>
      <c r="B199" t="s">
        <v>254</v>
      </c>
      <c r="C199">
        <v>0</v>
      </c>
      <c r="D199">
        <v>0</v>
      </c>
      <c r="E199">
        <v>0</v>
      </c>
      <c r="F199">
        <v>0</v>
      </c>
      <c r="H199">
        <v>0</v>
      </c>
      <c r="I199">
        <v>6</v>
      </c>
      <c r="J199">
        <v>0.75</v>
      </c>
      <c r="K199">
        <v>0.75</v>
      </c>
      <c r="L199">
        <v>0</v>
      </c>
      <c r="M199">
        <v>0</v>
      </c>
      <c r="N199">
        <v>6</v>
      </c>
    </row>
    <row r="200" spans="1:16" x14ac:dyDescent="0.2">
      <c r="A200" t="s">
        <v>245</v>
      </c>
      <c r="B200" t="s">
        <v>255</v>
      </c>
      <c r="C200">
        <v>0</v>
      </c>
      <c r="D200">
        <v>0</v>
      </c>
      <c r="E200">
        <v>0</v>
      </c>
      <c r="F200">
        <v>0</v>
      </c>
      <c r="H200">
        <v>1.5</v>
      </c>
      <c r="I200">
        <v>0</v>
      </c>
      <c r="J200">
        <v>1.5</v>
      </c>
      <c r="K200">
        <v>1.5</v>
      </c>
      <c r="L200">
        <v>0</v>
      </c>
      <c r="M200">
        <v>1.5</v>
      </c>
      <c r="N200">
        <v>0</v>
      </c>
    </row>
    <row r="201" spans="1:16" x14ac:dyDescent="0.2">
      <c r="A201" t="s">
        <v>245</v>
      </c>
      <c r="B201" t="s">
        <v>256</v>
      </c>
      <c r="C201">
        <v>0</v>
      </c>
      <c r="D201">
        <v>0</v>
      </c>
      <c r="E201">
        <v>0</v>
      </c>
      <c r="F201">
        <v>0</v>
      </c>
      <c r="H201">
        <v>4</v>
      </c>
      <c r="I201">
        <v>1</v>
      </c>
      <c r="J201">
        <v>4.125</v>
      </c>
      <c r="K201">
        <v>4.125</v>
      </c>
      <c r="L201">
        <v>0</v>
      </c>
      <c r="M201">
        <v>4</v>
      </c>
      <c r="N201">
        <v>1</v>
      </c>
    </row>
    <row r="202" spans="1:16" x14ac:dyDescent="0.2">
      <c r="A202" t="s">
        <v>245</v>
      </c>
      <c r="B202" t="s">
        <v>257</v>
      </c>
      <c r="C202">
        <v>0</v>
      </c>
      <c r="D202">
        <v>0</v>
      </c>
      <c r="E202">
        <v>0</v>
      </c>
      <c r="F202">
        <v>0</v>
      </c>
      <c r="H202">
        <v>7.5</v>
      </c>
      <c r="I202">
        <v>0</v>
      </c>
      <c r="J202">
        <v>7.5</v>
      </c>
      <c r="K202">
        <v>7.5</v>
      </c>
      <c r="L202">
        <v>0</v>
      </c>
      <c r="M202">
        <v>7.5</v>
      </c>
      <c r="N202">
        <v>0</v>
      </c>
    </row>
    <row r="203" spans="1:16" x14ac:dyDescent="0.2">
      <c r="A203" t="s">
        <v>245</v>
      </c>
      <c r="B203" t="s">
        <v>258</v>
      </c>
      <c r="C203">
        <v>0</v>
      </c>
      <c r="D203">
        <v>0</v>
      </c>
      <c r="E203">
        <v>0</v>
      </c>
      <c r="F203">
        <v>0</v>
      </c>
      <c r="H203">
        <v>90.5</v>
      </c>
      <c r="I203">
        <v>0</v>
      </c>
      <c r="J203">
        <v>90.5</v>
      </c>
      <c r="K203">
        <v>90.5</v>
      </c>
      <c r="L203">
        <v>0</v>
      </c>
      <c r="M203">
        <v>90.5</v>
      </c>
      <c r="N203">
        <v>0</v>
      </c>
    </row>
    <row r="204" spans="1:16" x14ac:dyDescent="0.2">
      <c r="A204" t="s">
        <v>259</v>
      </c>
      <c r="B204" t="s">
        <v>260</v>
      </c>
      <c r="C204">
        <v>0</v>
      </c>
      <c r="D204">
        <v>0</v>
      </c>
      <c r="E204">
        <v>0</v>
      </c>
      <c r="F204">
        <v>0</v>
      </c>
      <c r="H204">
        <v>0</v>
      </c>
      <c r="I204">
        <v>1</v>
      </c>
      <c r="J204">
        <v>0.125</v>
      </c>
      <c r="K204">
        <v>0.125</v>
      </c>
      <c r="L204">
        <v>0</v>
      </c>
      <c r="M204">
        <v>0</v>
      </c>
      <c r="N204">
        <v>1</v>
      </c>
    </row>
    <row r="205" spans="1:16" x14ac:dyDescent="0.2">
      <c r="A205" t="s">
        <v>259</v>
      </c>
      <c r="B205" t="s">
        <v>261</v>
      </c>
      <c r="C205">
        <v>0</v>
      </c>
      <c r="D205">
        <v>0</v>
      </c>
      <c r="E205">
        <v>0</v>
      </c>
      <c r="F205">
        <v>0</v>
      </c>
      <c r="H205">
        <v>48</v>
      </c>
      <c r="I205">
        <v>7</v>
      </c>
      <c r="J205">
        <v>48.875</v>
      </c>
      <c r="K205">
        <v>48.875</v>
      </c>
      <c r="L205">
        <v>0</v>
      </c>
      <c r="M205">
        <v>48</v>
      </c>
      <c r="N205">
        <v>7</v>
      </c>
    </row>
    <row r="206" spans="1:16" x14ac:dyDescent="0.2">
      <c r="A206" t="s">
        <v>259</v>
      </c>
      <c r="B206" t="s">
        <v>262</v>
      </c>
      <c r="C206">
        <v>0</v>
      </c>
      <c r="D206">
        <v>0</v>
      </c>
      <c r="E206">
        <v>0</v>
      </c>
      <c r="F206">
        <v>0</v>
      </c>
      <c r="H206">
        <v>10</v>
      </c>
      <c r="I206">
        <v>6</v>
      </c>
      <c r="J206">
        <v>10.75</v>
      </c>
      <c r="K206">
        <v>10.75</v>
      </c>
      <c r="L206">
        <v>0</v>
      </c>
      <c r="M206">
        <v>10</v>
      </c>
      <c r="N206">
        <v>6</v>
      </c>
    </row>
    <row r="207" spans="1:16" x14ac:dyDescent="0.2">
      <c r="A207" t="s">
        <v>259</v>
      </c>
      <c r="B207" t="s">
        <v>263</v>
      </c>
      <c r="C207">
        <v>0</v>
      </c>
      <c r="D207">
        <v>0</v>
      </c>
      <c r="E207">
        <v>0</v>
      </c>
      <c r="F207">
        <v>0</v>
      </c>
      <c r="H207">
        <v>1</v>
      </c>
      <c r="I207">
        <v>2</v>
      </c>
      <c r="J207">
        <v>1.25</v>
      </c>
      <c r="K207">
        <v>1.25</v>
      </c>
      <c r="L207">
        <v>0</v>
      </c>
      <c r="M207">
        <v>1</v>
      </c>
      <c r="N207">
        <v>2</v>
      </c>
    </row>
    <row r="208" spans="1:16" x14ac:dyDescent="0.2">
      <c r="A208" t="s">
        <v>259</v>
      </c>
      <c r="B208" t="s">
        <v>264</v>
      </c>
      <c r="C208">
        <v>0</v>
      </c>
      <c r="D208">
        <v>0</v>
      </c>
      <c r="E208">
        <v>0</v>
      </c>
      <c r="F208">
        <v>0</v>
      </c>
      <c r="H208">
        <v>60</v>
      </c>
      <c r="I208">
        <v>7</v>
      </c>
      <c r="J208">
        <v>60.875</v>
      </c>
      <c r="K208">
        <v>60.875</v>
      </c>
      <c r="L208">
        <v>0</v>
      </c>
      <c r="M208">
        <v>60</v>
      </c>
      <c r="N208">
        <v>7</v>
      </c>
    </row>
    <row r="209" spans="1:18" x14ac:dyDescent="0.2">
      <c r="A209" t="s">
        <v>259</v>
      </c>
      <c r="B209" t="s">
        <v>265</v>
      </c>
      <c r="C209">
        <v>0</v>
      </c>
      <c r="D209">
        <v>0</v>
      </c>
      <c r="E209">
        <v>0</v>
      </c>
      <c r="F209">
        <v>0</v>
      </c>
      <c r="H209">
        <v>4</v>
      </c>
      <c r="I209">
        <v>5</v>
      </c>
      <c r="J209">
        <v>4.625</v>
      </c>
      <c r="K209">
        <v>4.625</v>
      </c>
      <c r="L209">
        <v>0</v>
      </c>
      <c r="M209">
        <v>4</v>
      </c>
      <c r="N209">
        <v>5</v>
      </c>
    </row>
    <row r="210" spans="1:18" x14ac:dyDescent="0.2">
      <c r="A210" t="s">
        <v>259</v>
      </c>
      <c r="B210" t="s">
        <v>266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5</v>
      </c>
      <c r="J210">
        <v>0.625</v>
      </c>
      <c r="K210">
        <v>0.1875</v>
      </c>
      <c r="L210">
        <v>0.4375</v>
      </c>
      <c r="M210">
        <v>0</v>
      </c>
      <c r="N210">
        <v>1.5</v>
      </c>
      <c r="O210">
        <v>0</v>
      </c>
      <c r="P210">
        <v>5</v>
      </c>
    </row>
    <row r="211" spans="1:18" x14ac:dyDescent="0.2">
      <c r="A211" t="s">
        <v>259</v>
      </c>
      <c r="B211" t="s">
        <v>267</v>
      </c>
      <c r="C211">
        <v>0</v>
      </c>
      <c r="D211">
        <v>0</v>
      </c>
      <c r="E211">
        <v>0</v>
      </c>
      <c r="F211">
        <v>0</v>
      </c>
      <c r="H211">
        <v>20</v>
      </c>
      <c r="I211">
        <v>6</v>
      </c>
      <c r="J211">
        <v>20.75</v>
      </c>
      <c r="K211">
        <v>20.75</v>
      </c>
      <c r="L211">
        <v>0</v>
      </c>
      <c r="M211">
        <v>20</v>
      </c>
      <c r="N211">
        <v>6</v>
      </c>
    </row>
    <row r="212" spans="1:18" x14ac:dyDescent="0.2">
      <c r="A212" t="s">
        <v>259</v>
      </c>
      <c r="B212" t="s">
        <v>268</v>
      </c>
      <c r="C212">
        <v>0</v>
      </c>
      <c r="D212">
        <v>0</v>
      </c>
      <c r="E212">
        <v>0</v>
      </c>
      <c r="F212">
        <v>0</v>
      </c>
      <c r="H212">
        <v>2.5</v>
      </c>
      <c r="I212">
        <v>0</v>
      </c>
      <c r="J212">
        <v>2.5</v>
      </c>
      <c r="K212">
        <v>2.5</v>
      </c>
      <c r="L212">
        <v>0</v>
      </c>
      <c r="M212">
        <v>2.5</v>
      </c>
      <c r="N212">
        <v>0</v>
      </c>
    </row>
    <row r="213" spans="1:18" x14ac:dyDescent="0.2">
      <c r="A213" t="s">
        <v>259</v>
      </c>
      <c r="B213" t="s">
        <v>269</v>
      </c>
      <c r="C213">
        <v>0</v>
      </c>
      <c r="D213">
        <v>0</v>
      </c>
      <c r="E213">
        <v>0</v>
      </c>
      <c r="F213">
        <v>0</v>
      </c>
      <c r="H213">
        <v>1</v>
      </c>
      <c r="I213">
        <v>5</v>
      </c>
      <c r="J213">
        <v>1.625</v>
      </c>
      <c r="K213">
        <v>0.5</v>
      </c>
      <c r="L213">
        <v>1.125</v>
      </c>
      <c r="M213">
        <v>0</v>
      </c>
      <c r="N213">
        <v>4</v>
      </c>
      <c r="O213">
        <v>0</v>
      </c>
      <c r="P213">
        <v>3</v>
      </c>
      <c r="Q213">
        <v>1</v>
      </c>
      <c r="R213">
        <v>2</v>
      </c>
    </row>
    <row r="214" spans="1:18" x14ac:dyDescent="0.2">
      <c r="A214" t="s">
        <v>259</v>
      </c>
      <c r="B214" t="s">
        <v>270</v>
      </c>
      <c r="C214">
        <v>0</v>
      </c>
      <c r="D214">
        <v>0</v>
      </c>
      <c r="E214">
        <v>0</v>
      </c>
      <c r="F214">
        <v>0</v>
      </c>
      <c r="H214">
        <v>4</v>
      </c>
      <c r="I214">
        <v>0</v>
      </c>
      <c r="J214">
        <v>4</v>
      </c>
      <c r="K214">
        <v>4</v>
      </c>
      <c r="L214">
        <v>0</v>
      </c>
      <c r="M214">
        <v>4</v>
      </c>
      <c r="N214">
        <v>0</v>
      </c>
    </row>
    <row r="215" spans="1:18" x14ac:dyDescent="0.2">
      <c r="A215" t="s">
        <v>259</v>
      </c>
      <c r="B215" t="s">
        <v>271</v>
      </c>
      <c r="C215">
        <v>0</v>
      </c>
      <c r="D215">
        <v>0</v>
      </c>
      <c r="E215">
        <v>0</v>
      </c>
      <c r="F215">
        <v>0</v>
      </c>
      <c r="H215">
        <v>26</v>
      </c>
      <c r="I215">
        <v>7</v>
      </c>
      <c r="J215">
        <v>26.875</v>
      </c>
      <c r="K215">
        <v>26.875</v>
      </c>
      <c r="L215">
        <v>0</v>
      </c>
      <c r="M215">
        <v>26</v>
      </c>
      <c r="N215">
        <v>7</v>
      </c>
    </row>
    <row r="216" spans="1:18" x14ac:dyDescent="0.2">
      <c r="A216" t="s">
        <v>272</v>
      </c>
      <c r="B216" t="s">
        <v>273</v>
      </c>
      <c r="C216">
        <v>0</v>
      </c>
      <c r="D216">
        <v>0</v>
      </c>
      <c r="E216">
        <v>0</v>
      </c>
      <c r="F216">
        <v>0</v>
      </c>
      <c r="H216">
        <v>0</v>
      </c>
      <c r="I216">
        <v>2</v>
      </c>
      <c r="J216">
        <v>0.25</v>
      </c>
      <c r="K216">
        <v>0.25</v>
      </c>
      <c r="L216">
        <v>0</v>
      </c>
      <c r="M216">
        <v>0</v>
      </c>
      <c r="N216">
        <v>2</v>
      </c>
    </row>
    <row r="217" spans="1:18" x14ac:dyDescent="0.2">
      <c r="A217" t="s">
        <v>272</v>
      </c>
      <c r="B217" t="s">
        <v>274</v>
      </c>
      <c r="C217">
        <v>0</v>
      </c>
      <c r="D217">
        <v>0</v>
      </c>
      <c r="E217">
        <v>0</v>
      </c>
      <c r="F217">
        <v>0</v>
      </c>
      <c r="G217" t="s">
        <v>105</v>
      </c>
      <c r="H217">
        <v>10</v>
      </c>
      <c r="I217">
        <v>2</v>
      </c>
      <c r="J217">
        <v>10.25</v>
      </c>
      <c r="K217">
        <v>10.25</v>
      </c>
      <c r="L217">
        <v>0</v>
      </c>
      <c r="M217">
        <v>10</v>
      </c>
      <c r="N217">
        <v>2</v>
      </c>
    </row>
    <row r="218" spans="1:18" x14ac:dyDescent="0.2">
      <c r="A218" t="s">
        <v>272</v>
      </c>
      <c r="B218" t="s">
        <v>275</v>
      </c>
      <c r="C218">
        <v>0</v>
      </c>
      <c r="D218">
        <v>0</v>
      </c>
      <c r="E218">
        <v>0</v>
      </c>
      <c r="F218">
        <v>0</v>
      </c>
      <c r="H218">
        <v>0</v>
      </c>
      <c r="I218">
        <v>4</v>
      </c>
      <c r="J218">
        <v>0.5</v>
      </c>
      <c r="K218">
        <v>0.5</v>
      </c>
      <c r="L218">
        <v>0</v>
      </c>
      <c r="M218">
        <v>0</v>
      </c>
      <c r="N218">
        <v>4</v>
      </c>
    </row>
    <row r="219" spans="1:18" x14ac:dyDescent="0.2">
      <c r="A219" t="s">
        <v>272</v>
      </c>
      <c r="B219" t="s">
        <v>276</v>
      </c>
      <c r="C219">
        <v>0</v>
      </c>
      <c r="D219">
        <v>0</v>
      </c>
      <c r="E219">
        <v>0</v>
      </c>
      <c r="F219">
        <v>0</v>
      </c>
      <c r="H219">
        <v>3</v>
      </c>
      <c r="I219">
        <v>0</v>
      </c>
      <c r="J219">
        <v>3</v>
      </c>
      <c r="K219">
        <v>3</v>
      </c>
      <c r="L219">
        <v>0</v>
      </c>
      <c r="M219">
        <v>3</v>
      </c>
      <c r="N219">
        <v>0</v>
      </c>
    </row>
    <row r="220" spans="1:18" x14ac:dyDescent="0.2">
      <c r="A220" t="s">
        <v>272</v>
      </c>
      <c r="B220" t="s">
        <v>277</v>
      </c>
      <c r="C220">
        <v>0</v>
      </c>
      <c r="D220">
        <v>0</v>
      </c>
      <c r="E220">
        <v>0</v>
      </c>
      <c r="F220">
        <v>0</v>
      </c>
      <c r="H220">
        <v>13</v>
      </c>
      <c r="I220">
        <v>6</v>
      </c>
      <c r="J220">
        <v>13.75</v>
      </c>
      <c r="K220">
        <v>13.75</v>
      </c>
      <c r="L220">
        <v>0</v>
      </c>
      <c r="M220">
        <v>13</v>
      </c>
      <c r="N220">
        <v>6</v>
      </c>
    </row>
    <row r="221" spans="1:18" x14ac:dyDescent="0.2">
      <c r="A221" t="s">
        <v>272</v>
      </c>
      <c r="B221" t="s">
        <v>278</v>
      </c>
      <c r="C221">
        <v>0</v>
      </c>
      <c r="D221">
        <v>0</v>
      </c>
      <c r="E221">
        <v>0</v>
      </c>
      <c r="F221">
        <v>0</v>
      </c>
      <c r="H221">
        <v>8.5</v>
      </c>
      <c r="I221">
        <v>1</v>
      </c>
      <c r="J221">
        <v>8.625</v>
      </c>
      <c r="K221">
        <v>8.625</v>
      </c>
      <c r="L221">
        <v>0</v>
      </c>
      <c r="M221">
        <v>8.5</v>
      </c>
      <c r="N221">
        <v>1</v>
      </c>
    </row>
    <row r="222" spans="1:18" x14ac:dyDescent="0.2">
      <c r="A222" t="s">
        <v>272</v>
      </c>
      <c r="B222" t="s">
        <v>279</v>
      </c>
      <c r="C222">
        <v>0</v>
      </c>
      <c r="D222">
        <v>0</v>
      </c>
      <c r="E222">
        <v>0</v>
      </c>
      <c r="F222">
        <v>0</v>
      </c>
      <c r="H222">
        <v>0</v>
      </c>
      <c r="I222">
        <v>1</v>
      </c>
      <c r="J222">
        <v>0.125</v>
      </c>
      <c r="K222">
        <v>0.25</v>
      </c>
      <c r="L222">
        <v>-0.125</v>
      </c>
      <c r="M222">
        <v>0</v>
      </c>
      <c r="N222">
        <v>2</v>
      </c>
      <c r="O222">
        <v>0</v>
      </c>
      <c r="P222">
        <v>1</v>
      </c>
    </row>
    <row r="223" spans="1:18" x14ac:dyDescent="0.2">
      <c r="A223" t="s">
        <v>272</v>
      </c>
      <c r="B223" t="s">
        <v>280</v>
      </c>
      <c r="C223">
        <v>0</v>
      </c>
      <c r="D223">
        <v>0</v>
      </c>
      <c r="E223">
        <v>0</v>
      </c>
      <c r="F223">
        <v>0</v>
      </c>
      <c r="H223">
        <v>4</v>
      </c>
      <c r="I223">
        <v>5</v>
      </c>
      <c r="J223">
        <v>4.625</v>
      </c>
      <c r="K223">
        <v>0.5</v>
      </c>
      <c r="L223">
        <v>4.125</v>
      </c>
      <c r="M223">
        <v>0</v>
      </c>
      <c r="N223">
        <v>4</v>
      </c>
      <c r="O223">
        <v>4</v>
      </c>
      <c r="P223">
        <v>5</v>
      </c>
    </row>
    <row r="224" spans="1:18" x14ac:dyDescent="0.2">
      <c r="A224" t="s">
        <v>281</v>
      </c>
      <c r="B224" t="s">
        <v>282</v>
      </c>
      <c r="C224">
        <v>0</v>
      </c>
      <c r="D224">
        <v>0</v>
      </c>
      <c r="E224">
        <v>0</v>
      </c>
      <c r="F224">
        <v>0</v>
      </c>
      <c r="H224">
        <v>17</v>
      </c>
      <c r="I224">
        <v>1</v>
      </c>
      <c r="J224">
        <v>17.125</v>
      </c>
      <c r="K224">
        <v>17.125</v>
      </c>
      <c r="L224">
        <v>0</v>
      </c>
      <c r="M224">
        <v>17</v>
      </c>
      <c r="N224">
        <v>1</v>
      </c>
    </row>
    <row r="225" spans="1:16" x14ac:dyDescent="0.2">
      <c r="A225" t="s">
        <v>281</v>
      </c>
      <c r="B225" t="s">
        <v>283</v>
      </c>
      <c r="C225">
        <v>0</v>
      </c>
      <c r="D225">
        <v>0</v>
      </c>
      <c r="E225">
        <v>0</v>
      </c>
      <c r="F225">
        <v>0</v>
      </c>
      <c r="G225" t="s">
        <v>107</v>
      </c>
      <c r="H225">
        <v>154</v>
      </c>
      <c r="I225">
        <v>3</v>
      </c>
      <c r="J225">
        <v>154.375</v>
      </c>
      <c r="K225">
        <v>154.375</v>
      </c>
      <c r="L225">
        <v>0</v>
      </c>
      <c r="M225">
        <v>154</v>
      </c>
      <c r="N225">
        <v>3</v>
      </c>
    </row>
    <row r="226" spans="1:16" x14ac:dyDescent="0.2">
      <c r="A226" t="s">
        <v>281</v>
      </c>
      <c r="B226" t="s">
        <v>284</v>
      </c>
      <c r="C226">
        <v>0</v>
      </c>
      <c r="D226">
        <v>0</v>
      </c>
      <c r="E226">
        <v>0</v>
      </c>
      <c r="F226">
        <v>0</v>
      </c>
      <c r="H226">
        <v>24</v>
      </c>
      <c r="I226">
        <v>0</v>
      </c>
      <c r="J226">
        <v>24</v>
      </c>
      <c r="K226">
        <v>24</v>
      </c>
      <c r="L226">
        <v>0</v>
      </c>
      <c r="M226">
        <v>24</v>
      </c>
      <c r="N226">
        <v>0</v>
      </c>
    </row>
    <row r="227" spans="1:16" x14ac:dyDescent="0.2">
      <c r="A227" t="s">
        <v>281</v>
      </c>
      <c r="B227" t="s">
        <v>285</v>
      </c>
      <c r="C227">
        <v>0</v>
      </c>
      <c r="D227">
        <v>0</v>
      </c>
      <c r="E227">
        <v>0</v>
      </c>
      <c r="F227">
        <v>0</v>
      </c>
      <c r="H227">
        <v>0</v>
      </c>
      <c r="I227">
        <v>2</v>
      </c>
      <c r="J227">
        <v>0.25</v>
      </c>
      <c r="K227">
        <v>0.25</v>
      </c>
      <c r="L227">
        <v>0</v>
      </c>
      <c r="M227">
        <v>0</v>
      </c>
      <c r="N227">
        <v>2</v>
      </c>
    </row>
    <row r="228" spans="1:16" x14ac:dyDescent="0.2">
      <c r="A228" t="s">
        <v>281</v>
      </c>
      <c r="B228" t="s">
        <v>286</v>
      </c>
      <c r="C228">
        <v>0</v>
      </c>
      <c r="D228">
        <v>0</v>
      </c>
      <c r="E228">
        <v>0</v>
      </c>
      <c r="F228">
        <v>0</v>
      </c>
      <c r="H228">
        <v>2.5</v>
      </c>
      <c r="I228">
        <v>0</v>
      </c>
      <c r="J228">
        <v>2.5</v>
      </c>
      <c r="K228">
        <v>2.5</v>
      </c>
      <c r="L228">
        <v>0</v>
      </c>
      <c r="M228">
        <v>2.5</v>
      </c>
      <c r="N228">
        <v>0</v>
      </c>
    </row>
    <row r="229" spans="1:16" x14ac:dyDescent="0.2">
      <c r="A229" t="s">
        <v>281</v>
      </c>
      <c r="B229" t="s">
        <v>287</v>
      </c>
      <c r="C229">
        <v>0</v>
      </c>
      <c r="D229">
        <v>0</v>
      </c>
      <c r="E229">
        <v>0</v>
      </c>
      <c r="F229">
        <v>0</v>
      </c>
      <c r="H229">
        <v>181</v>
      </c>
      <c r="I229">
        <v>1</v>
      </c>
      <c r="J229">
        <v>181.125</v>
      </c>
      <c r="K229">
        <v>181.125</v>
      </c>
      <c r="L229">
        <v>0</v>
      </c>
      <c r="M229">
        <v>181</v>
      </c>
      <c r="N229">
        <v>1</v>
      </c>
    </row>
    <row r="230" spans="1:16" x14ac:dyDescent="0.2">
      <c r="A230" t="s">
        <v>281</v>
      </c>
      <c r="B230" t="s">
        <v>288</v>
      </c>
      <c r="C230">
        <v>0</v>
      </c>
      <c r="D230">
        <v>0</v>
      </c>
      <c r="E230">
        <v>0</v>
      </c>
      <c r="F230">
        <v>0</v>
      </c>
      <c r="H230">
        <v>90</v>
      </c>
      <c r="I230">
        <v>7</v>
      </c>
      <c r="J230">
        <v>90.875</v>
      </c>
      <c r="K230">
        <v>90.875</v>
      </c>
      <c r="L230">
        <v>0</v>
      </c>
      <c r="M230">
        <v>90</v>
      </c>
      <c r="N230">
        <v>7</v>
      </c>
    </row>
    <row r="231" spans="1:16" x14ac:dyDescent="0.2">
      <c r="A231" t="s">
        <v>281</v>
      </c>
      <c r="B231" t="s">
        <v>289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1</v>
      </c>
      <c r="J231">
        <v>0.125</v>
      </c>
      <c r="K231">
        <v>0.25</v>
      </c>
      <c r="L231">
        <v>-0.125</v>
      </c>
      <c r="M231">
        <v>0</v>
      </c>
      <c r="N231">
        <v>2</v>
      </c>
      <c r="O231">
        <v>0</v>
      </c>
      <c r="P231">
        <v>1</v>
      </c>
    </row>
    <row r="232" spans="1:16" x14ac:dyDescent="0.2">
      <c r="A232" t="s">
        <v>281</v>
      </c>
      <c r="B232" t="s">
        <v>179</v>
      </c>
      <c r="C232">
        <v>0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6" x14ac:dyDescent="0.2">
      <c r="A233" t="s">
        <v>281</v>
      </c>
      <c r="B233" t="s">
        <v>253</v>
      </c>
      <c r="C233">
        <v>0</v>
      </c>
      <c r="D233">
        <v>0</v>
      </c>
      <c r="E233">
        <v>0</v>
      </c>
      <c r="F233">
        <v>0</v>
      </c>
      <c r="H233">
        <v>0</v>
      </c>
      <c r="I233">
        <v>1</v>
      </c>
      <c r="J233">
        <v>0.125</v>
      </c>
      <c r="K233">
        <v>0.125</v>
      </c>
      <c r="L233">
        <v>0</v>
      </c>
      <c r="M233">
        <v>0</v>
      </c>
      <c r="N233">
        <v>1</v>
      </c>
    </row>
    <row r="234" spans="1:16" x14ac:dyDescent="0.2">
      <c r="A234" t="s">
        <v>281</v>
      </c>
      <c r="B234" t="s">
        <v>290</v>
      </c>
      <c r="C234">
        <v>0</v>
      </c>
      <c r="D234">
        <v>0</v>
      </c>
      <c r="E234">
        <v>0</v>
      </c>
      <c r="F234">
        <v>0</v>
      </c>
      <c r="H234">
        <v>6.5</v>
      </c>
      <c r="I234">
        <v>0</v>
      </c>
      <c r="J234">
        <v>6.5</v>
      </c>
      <c r="K234">
        <v>6.5</v>
      </c>
      <c r="L234">
        <v>0</v>
      </c>
      <c r="M234">
        <v>6.5</v>
      </c>
      <c r="N234">
        <v>0</v>
      </c>
    </row>
    <row r="235" spans="1:16" x14ac:dyDescent="0.2">
      <c r="A235" t="s">
        <v>281</v>
      </c>
      <c r="B235" t="s">
        <v>179</v>
      </c>
      <c r="C235">
        <v>0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6" x14ac:dyDescent="0.2">
      <c r="A236" t="s">
        <v>281</v>
      </c>
      <c r="B236" t="s">
        <v>291</v>
      </c>
      <c r="C236">
        <v>0</v>
      </c>
      <c r="D236">
        <v>0</v>
      </c>
      <c r="E236">
        <v>0</v>
      </c>
      <c r="F236">
        <v>0</v>
      </c>
      <c r="H236">
        <v>4</v>
      </c>
      <c r="I236">
        <v>5</v>
      </c>
      <c r="J236">
        <v>4.625</v>
      </c>
      <c r="K236">
        <v>4.625</v>
      </c>
      <c r="L236">
        <v>0</v>
      </c>
      <c r="M236">
        <v>4</v>
      </c>
      <c r="N236">
        <v>5</v>
      </c>
    </row>
    <row r="237" spans="1:16" x14ac:dyDescent="0.2">
      <c r="A237" t="s">
        <v>281</v>
      </c>
      <c r="B237" t="s">
        <v>292</v>
      </c>
      <c r="C237">
        <v>0</v>
      </c>
      <c r="D237">
        <v>0</v>
      </c>
      <c r="E237">
        <v>0</v>
      </c>
      <c r="F237">
        <v>0</v>
      </c>
      <c r="H237">
        <v>24</v>
      </c>
      <c r="I237">
        <v>0</v>
      </c>
      <c r="J237">
        <v>24</v>
      </c>
      <c r="K237">
        <v>24</v>
      </c>
      <c r="L237">
        <v>0</v>
      </c>
      <c r="M237">
        <v>24</v>
      </c>
      <c r="N237">
        <v>0</v>
      </c>
    </row>
    <row r="238" spans="1:16" x14ac:dyDescent="0.2">
      <c r="A238" t="s">
        <v>281</v>
      </c>
      <c r="B238" t="s">
        <v>179</v>
      </c>
      <c r="C238">
        <v>0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6" x14ac:dyDescent="0.2">
      <c r="A239" t="s">
        <v>281</v>
      </c>
      <c r="B239" t="s">
        <v>293</v>
      </c>
      <c r="C239">
        <v>0</v>
      </c>
      <c r="D239">
        <v>0</v>
      </c>
      <c r="E239">
        <v>0</v>
      </c>
      <c r="F239">
        <v>0</v>
      </c>
      <c r="H239">
        <v>12.5</v>
      </c>
      <c r="I239">
        <v>0</v>
      </c>
      <c r="J239">
        <v>12.5</v>
      </c>
      <c r="K239">
        <v>12.5</v>
      </c>
      <c r="L239">
        <v>0</v>
      </c>
      <c r="M239">
        <v>12.5</v>
      </c>
      <c r="N239">
        <v>0</v>
      </c>
    </row>
    <row r="240" spans="1:16" x14ac:dyDescent="0.2">
      <c r="A240" t="s">
        <v>281</v>
      </c>
      <c r="B240" t="s">
        <v>179</v>
      </c>
      <c r="C240">
        <v>0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6" x14ac:dyDescent="0.2">
      <c r="A241" t="s">
        <v>281</v>
      </c>
      <c r="B241" t="s">
        <v>294</v>
      </c>
      <c r="C241">
        <v>0</v>
      </c>
      <c r="D241">
        <v>0</v>
      </c>
      <c r="E241">
        <v>0</v>
      </c>
      <c r="F241">
        <v>0</v>
      </c>
      <c r="H241">
        <v>2.5</v>
      </c>
      <c r="I241">
        <v>2</v>
      </c>
      <c r="J241">
        <v>2.75</v>
      </c>
      <c r="K241">
        <v>0.25</v>
      </c>
      <c r="L241">
        <v>2.5</v>
      </c>
      <c r="M241">
        <v>0</v>
      </c>
      <c r="N241">
        <v>2</v>
      </c>
      <c r="O241">
        <v>2.5</v>
      </c>
      <c r="P241">
        <v>0</v>
      </c>
    </row>
    <row r="242" spans="1:16" x14ac:dyDescent="0.2">
      <c r="A242" t="s">
        <v>281</v>
      </c>
      <c r="B242" t="s">
        <v>295</v>
      </c>
      <c r="C242">
        <v>0</v>
      </c>
      <c r="D242">
        <v>0</v>
      </c>
      <c r="E242">
        <v>0</v>
      </c>
      <c r="F242">
        <v>0</v>
      </c>
      <c r="H242">
        <v>39</v>
      </c>
      <c r="I242">
        <v>6</v>
      </c>
      <c r="J242">
        <v>39.75</v>
      </c>
      <c r="K242">
        <v>39.75</v>
      </c>
      <c r="L242">
        <v>0</v>
      </c>
      <c r="M242">
        <v>39</v>
      </c>
      <c r="N242">
        <v>6</v>
      </c>
    </row>
    <row r="243" spans="1:16" x14ac:dyDescent="0.2">
      <c r="A243" t="s">
        <v>296</v>
      </c>
      <c r="B243" t="s">
        <v>297</v>
      </c>
      <c r="C243">
        <v>0</v>
      </c>
      <c r="D243">
        <v>0</v>
      </c>
      <c r="E243">
        <v>0</v>
      </c>
      <c r="F243">
        <v>0</v>
      </c>
      <c r="G243" t="s">
        <v>102</v>
      </c>
      <c r="H243">
        <v>0</v>
      </c>
      <c r="I243">
        <v>2</v>
      </c>
      <c r="J243">
        <v>0.25</v>
      </c>
      <c r="K243">
        <v>0.25</v>
      </c>
      <c r="L243">
        <v>0</v>
      </c>
      <c r="M243">
        <v>0</v>
      </c>
      <c r="N243">
        <v>2</v>
      </c>
    </row>
    <row r="244" spans="1:16" x14ac:dyDescent="0.2">
      <c r="A244" t="s">
        <v>296</v>
      </c>
      <c r="B244" t="s">
        <v>298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6" x14ac:dyDescent="0.2">
      <c r="A245" t="s">
        <v>296</v>
      </c>
      <c r="B245" t="s">
        <v>299</v>
      </c>
      <c r="C245">
        <v>0</v>
      </c>
      <c r="D245">
        <v>0</v>
      </c>
      <c r="E245">
        <v>0</v>
      </c>
      <c r="F245">
        <v>0</v>
      </c>
      <c r="G245" t="s">
        <v>111</v>
      </c>
      <c r="H245">
        <v>19</v>
      </c>
      <c r="I245">
        <v>6</v>
      </c>
      <c r="J245">
        <v>19.75</v>
      </c>
      <c r="K245">
        <v>19.75</v>
      </c>
      <c r="L245">
        <v>0</v>
      </c>
      <c r="M245">
        <v>19</v>
      </c>
      <c r="N245">
        <v>6</v>
      </c>
    </row>
    <row r="246" spans="1:16" x14ac:dyDescent="0.2">
      <c r="A246" t="s">
        <v>296</v>
      </c>
      <c r="B246" t="s">
        <v>300</v>
      </c>
      <c r="C246">
        <v>0</v>
      </c>
      <c r="D246">
        <v>0</v>
      </c>
      <c r="E246">
        <v>0</v>
      </c>
      <c r="F246">
        <v>0</v>
      </c>
      <c r="H246">
        <v>5</v>
      </c>
      <c r="I246">
        <v>1</v>
      </c>
      <c r="J246">
        <v>5.125</v>
      </c>
      <c r="K246">
        <v>5.125</v>
      </c>
      <c r="L246">
        <v>0</v>
      </c>
      <c r="M246">
        <v>5</v>
      </c>
      <c r="N246">
        <v>1</v>
      </c>
    </row>
    <row r="247" spans="1:16" x14ac:dyDescent="0.2">
      <c r="A247" t="s">
        <v>296</v>
      </c>
      <c r="B247" t="s">
        <v>301</v>
      </c>
      <c r="C247">
        <v>0</v>
      </c>
      <c r="D247">
        <v>0</v>
      </c>
      <c r="E247">
        <v>0</v>
      </c>
      <c r="F247">
        <v>0</v>
      </c>
      <c r="H247">
        <v>14</v>
      </c>
      <c r="I247">
        <v>5</v>
      </c>
      <c r="J247">
        <v>14.625</v>
      </c>
      <c r="K247">
        <v>14.625</v>
      </c>
      <c r="L247">
        <v>0</v>
      </c>
      <c r="M247">
        <v>14</v>
      </c>
      <c r="N247">
        <v>5</v>
      </c>
    </row>
    <row r="248" spans="1:16" x14ac:dyDescent="0.2">
      <c r="A248" t="s">
        <v>296</v>
      </c>
      <c r="B248" t="s">
        <v>302</v>
      </c>
      <c r="C248">
        <v>0</v>
      </c>
      <c r="D248">
        <v>0</v>
      </c>
      <c r="E248">
        <v>0</v>
      </c>
      <c r="F248">
        <v>0</v>
      </c>
      <c r="H248">
        <v>4</v>
      </c>
      <c r="I248">
        <v>0</v>
      </c>
      <c r="J248">
        <v>4</v>
      </c>
      <c r="K248">
        <v>4</v>
      </c>
      <c r="L248">
        <v>0</v>
      </c>
      <c r="M248">
        <v>4</v>
      </c>
      <c r="N248">
        <v>0</v>
      </c>
    </row>
    <row r="249" spans="1:16" x14ac:dyDescent="0.2">
      <c r="A249" t="s">
        <v>296</v>
      </c>
      <c r="B249" t="s">
        <v>298</v>
      </c>
      <c r="C249">
        <v>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6" x14ac:dyDescent="0.2">
      <c r="A250" t="s">
        <v>303</v>
      </c>
      <c r="B250" t="s">
        <v>304</v>
      </c>
      <c r="C250">
        <v>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6" x14ac:dyDescent="0.2">
      <c r="A251" t="s">
        <v>303</v>
      </c>
      <c r="B251" t="s">
        <v>305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6" x14ac:dyDescent="0.2">
      <c r="A252" t="s">
        <v>303</v>
      </c>
      <c r="B252" t="s">
        <v>306</v>
      </c>
      <c r="C252">
        <v>0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6" x14ac:dyDescent="0.2">
      <c r="A253" t="s">
        <v>303</v>
      </c>
      <c r="B253" t="s">
        <v>307</v>
      </c>
      <c r="C253">
        <v>0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6" x14ac:dyDescent="0.2">
      <c r="A254" t="s">
        <v>303</v>
      </c>
      <c r="B254" t="s">
        <v>308</v>
      </c>
      <c r="C254">
        <v>0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6" x14ac:dyDescent="0.2">
      <c r="A255" t="s">
        <v>303</v>
      </c>
      <c r="B255" t="s">
        <v>309</v>
      </c>
      <c r="C255">
        <v>0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6" x14ac:dyDescent="0.2">
      <c r="A256" t="s">
        <v>303</v>
      </c>
      <c r="B256" t="s">
        <v>310</v>
      </c>
      <c r="C256">
        <v>0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">
      <c r="A257" t="s">
        <v>303</v>
      </c>
      <c r="B257" t="s">
        <v>311</v>
      </c>
      <c r="C257">
        <v>0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303</v>
      </c>
      <c r="B258" t="s">
        <v>312</v>
      </c>
      <c r="C258">
        <v>0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">
      <c r="A259" t="s">
        <v>303</v>
      </c>
      <c r="B259" t="s">
        <v>313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303</v>
      </c>
      <c r="B260" t="s">
        <v>314</v>
      </c>
      <c r="C260">
        <v>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303</v>
      </c>
      <c r="B261" t="s">
        <v>315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303</v>
      </c>
      <c r="B262" t="s">
        <v>316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303</v>
      </c>
      <c r="B263" t="s">
        <v>317</v>
      </c>
      <c r="C263">
        <v>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303</v>
      </c>
      <c r="B264" t="s">
        <v>318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303</v>
      </c>
      <c r="B265" t="s">
        <v>319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303</v>
      </c>
      <c r="B266" t="s">
        <v>320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303</v>
      </c>
      <c r="B267" t="s">
        <v>321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303</v>
      </c>
      <c r="B268" t="s">
        <v>322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303</v>
      </c>
      <c r="B269" t="s">
        <v>323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303</v>
      </c>
      <c r="B270" t="s">
        <v>324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303</v>
      </c>
      <c r="B271" t="s">
        <v>325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303</v>
      </c>
      <c r="B272" t="s">
        <v>326</v>
      </c>
      <c r="C272">
        <v>0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303</v>
      </c>
      <c r="B273" t="s">
        <v>327</v>
      </c>
      <c r="C273">
        <v>0</v>
      </c>
      <c r="D273">
        <v>0</v>
      </c>
      <c r="E273">
        <v>0</v>
      </c>
      <c r="F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303</v>
      </c>
      <c r="B274" t="s">
        <v>328</v>
      </c>
      <c r="C274">
        <v>0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303</v>
      </c>
      <c r="B275" t="s">
        <v>329</v>
      </c>
      <c r="C275">
        <v>0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303</v>
      </c>
      <c r="B276" t="s">
        <v>330</v>
      </c>
      <c r="C276">
        <v>0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303</v>
      </c>
      <c r="B277" t="s">
        <v>308</v>
      </c>
      <c r="C277">
        <v>0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303</v>
      </c>
      <c r="B278" t="s">
        <v>331</v>
      </c>
      <c r="C278">
        <v>0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303</v>
      </c>
      <c r="B279" t="s">
        <v>332</v>
      </c>
      <c r="C279">
        <v>0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303</v>
      </c>
      <c r="B280" t="s">
        <v>308</v>
      </c>
      <c r="C280">
        <v>0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303</v>
      </c>
      <c r="B281" t="s">
        <v>333</v>
      </c>
      <c r="C281">
        <v>0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303</v>
      </c>
      <c r="B282" t="s">
        <v>334</v>
      </c>
      <c r="C282">
        <v>0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303</v>
      </c>
      <c r="B283" t="s">
        <v>335</v>
      </c>
      <c r="C283">
        <v>0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303</v>
      </c>
      <c r="B284" t="s">
        <v>336</v>
      </c>
      <c r="C284">
        <v>0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303</v>
      </c>
      <c r="B285" t="s">
        <v>337</v>
      </c>
      <c r="C285">
        <v>0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303</v>
      </c>
      <c r="B286" t="s">
        <v>338</v>
      </c>
      <c r="C286">
        <v>0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303</v>
      </c>
      <c r="B287" t="s">
        <v>339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303</v>
      </c>
      <c r="B288" t="s">
        <v>298</v>
      </c>
      <c r="C288">
        <v>0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303</v>
      </c>
      <c r="B289" t="s">
        <v>340</v>
      </c>
      <c r="C289">
        <v>0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303</v>
      </c>
      <c r="B290" t="s">
        <v>341</v>
      </c>
      <c r="C290">
        <v>0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303</v>
      </c>
      <c r="B291" t="s">
        <v>342</v>
      </c>
      <c r="C291">
        <v>0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303</v>
      </c>
      <c r="B292" t="s">
        <v>343</v>
      </c>
      <c r="C292">
        <v>0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303</v>
      </c>
      <c r="B293" t="s">
        <v>344</v>
      </c>
      <c r="C293">
        <v>0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303</v>
      </c>
      <c r="B294" t="s">
        <v>345</v>
      </c>
      <c r="C294">
        <v>0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303</v>
      </c>
      <c r="B295" t="s">
        <v>346</v>
      </c>
      <c r="C295">
        <v>0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303</v>
      </c>
      <c r="B296" t="s">
        <v>347</v>
      </c>
      <c r="C296">
        <v>0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303</v>
      </c>
      <c r="B297" t="s">
        <v>348</v>
      </c>
      <c r="C297">
        <v>0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303</v>
      </c>
      <c r="B298" t="s">
        <v>349</v>
      </c>
      <c r="C298">
        <v>0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303</v>
      </c>
      <c r="B299" t="s">
        <v>350</v>
      </c>
      <c r="C299">
        <v>0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303</v>
      </c>
      <c r="B300" t="s">
        <v>351</v>
      </c>
      <c r="C300">
        <v>0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303</v>
      </c>
      <c r="B301" t="s">
        <v>352</v>
      </c>
      <c r="C301">
        <v>0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303</v>
      </c>
      <c r="B302" t="s">
        <v>353</v>
      </c>
      <c r="C302">
        <v>0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303</v>
      </c>
      <c r="B303" t="s">
        <v>298</v>
      </c>
      <c r="C303">
        <v>0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303</v>
      </c>
      <c r="B304" t="s">
        <v>354</v>
      </c>
      <c r="C304">
        <v>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303</v>
      </c>
      <c r="B305" t="s">
        <v>355</v>
      </c>
      <c r="C305">
        <v>0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303</v>
      </c>
      <c r="B306" t="s">
        <v>356</v>
      </c>
      <c r="C306">
        <v>0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 t="s">
        <v>303</v>
      </c>
      <c r="B307" t="s">
        <v>357</v>
      </c>
      <c r="C307">
        <v>0</v>
      </c>
      <c r="D307">
        <v>0</v>
      </c>
      <c r="E307">
        <v>0</v>
      </c>
      <c r="F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303</v>
      </c>
      <c r="B308" t="s">
        <v>358</v>
      </c>
      <c r="C308">
        <v>0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57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  <c r="N1" s="1" t="s">
        <v>395</v>
      </c>
      <c r="O1" s="1" t="s">
        <v>396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405</v>
      </c>
      <c r="AD1" s="1" t="s">
        <v>406</v>
      </c>
      <c r="AE1" s="1" t="s">
        <v>14</v>
      </c>
      <c r="AF1" s="1" t="s">
        <v>15</v>
      </c>
      <c r="AG1" s="1" t="s">
        <v>16</v>
      </c>
      <c r="AH1" s="1" t="s">
        <v>17</v>
      </c>
    </row>
    <row r="2" spans="1:34" x14ac:dyDescent="0.2">
      <c r="A2" t="s">
        <v>241</v>
      </c>
      <c r="B2" t="s">
        <v>360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4" x14ac:dyDescent="0.2">
      <c r="A3" t="s">
        <v>245</v>
      </c>
      <c r="B3" t="s">
        <v>246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</v>
      </c>
      <c r="Y3">
        <v>3</v>
      </c>
      <c r="Z3">
        <v>4.375</v>
      </c>
      <c r="AA3">
        <v>4.375</v>
      </c>
      <c r="AB3">
        <v>0</v>
      </c>
      <c r="AC3">
        <v>4</v>
      </c>
      <c r="AD3">
        <v>3</v>
      </c>
    </row>
    <row r="4" spans="1:34" x14ac:dyDescent="0.2">
      <c r="A4" t="s">
        <v>245</v>
      </c>
      <c r="B4" t="s">
        <v>247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130</v>
      </c>
      <c r="U4">
        <v>0</v>
      </c>
      <c r="V4">
        <v>130</v>
      </c>
      <c r="W4">
        <v>0</v>
      </c>
      <c r="X4">
        <v>130</v>
      </c>
      <c r="Y4">
        <v>0</v>
      </c>
      <c r="Z4">
        <v>130</v>
      </c>
      <c r="AA4">
        <v>130</v>
      </c>
      <c r="AB4">
        <v>0</v>
      </c>
      <c r="AC4">
        <v>130</v>
      </c>
      <c r="AD4">
        <v>0</v>
      </c>
    </row>
    <row r="5" spans="1:34" x14ac:dyDescent="0.2">
      <c r="A5" t="s">
        <v>245</v>
      </c>
      <c r="B5" t="s">
        <v>248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1.5</v>
      </c>
      <c r="Y5">
        <v>0</v>
      </c>
      <c r="Z5">
        <v>1.5</v>
      </c>
      <c r="AA5">
        <v>1.5</v>
      </c>
      <c r="AB5">
        <v>0</v>
      </c>
      <c r="AC5">
        <v>1.5</v>
      </c>
      <c r="AD5">
        <v>0</v>
      </c>
    </row>
    <row r="6" spans="1:34" x14ac:dyDescent="0.2">
      <c r="A6" t="s">
        <v>245</v>
      </c>
      <c r="B6" t="s">
        <v>249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</v>
      </c>
      <c r="Y6">
        <v>1</v>
      </c>
      <c r="Z6">
        <v>4.125</v>
      </c>
      <c r="AA6">
        <v>4.125</v>
      </c>
      <c r="AB6">
        <v>0</v>
      </c>
      <c r="AC6">
        <v>4</v>
      </c>
      <c r="AD6">
        <v>1</v>
      </c>
    </row>
    <row r="7" spans="1:34" x14ac:dyDescent="0.2">
      <c r="A7" t="s">
        <v>245</v>
      </c>
      <c r="B7" t="s">
        <v>250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135</v>
      </c>
      <c r="Y7">
        <v>5</v>
      </c>
      <c r="Z7">
        <v>135.625</v>
      </c>
      <c r="AA7">
        <v>135.625</v>
      </c>
      <c r="AB7">
        <v>0</v>
      </c>
      <c r="AC7">
        <v>135</v>
      </c>
      <c r="AD7">
        <v>5</v>
      </c>
    </row>
    <row r="8" spans="1:34" x14ac:dyDescent="0.2">
      <c r="A8" t="s">
        <v>245</v>
      </c>
      <c r="B8" t="s">
        <v>251</v>
      </c>
      <c r="C8">
        <v>0</v>
      </c>
      <c r="D8">
        <v>0</v>
      </c>
      <c r="E8">
        <v>31</v>
      </c>
      <c r="F8">
        <v>1</v>
      </c>
      <c r="G8">
        <v>31.125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31</v>
      </c>
      <c r="Y8">
        <v>1</v>
      </c>
      <c r="Z8">
        <v>31.125</v>
      </c>
      <c r="AA8">
        <v>31.125</v>
      </c>
      <c r="AB8">
        <v>0</v>
      </c>
      <c r="AC8">
        <v>31</v>
      </c>
      <c r="AD8">
        <v>1</v>
      </c>
    </row>
    <row r="9" spans="1:34" x14ac:dyDescent="0.2">
      <c r="A9" t="s">
        <v>245</v>
      </c>
      <c r="B9" t="s">
        <v>252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0.375</v>
      </c>
      <c r="AA9">
        <v>0.125</v>
      </c>
      <c r="AB9">
        <v>0.25</v>
      </c>
      <c r="AC9">
        <v>0</v>
      </c>
      <c r="AD9">
        <v>1</v>
      </c>
      <c r="AE9">
        <v>0</v>
      </c>
      <c r="AF9">
        <v>3</v>
      </c>
    </row>
    <row r="10" spans="1:34" x14ac:dyDescent="0.2">
      <c r="A10" t="s">
        <v>245</v>
      </c>
      <c r="B10" t="s">
        <v>179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4" x14ac:dyDescent="0.2">
      <c r="A11" t="s">
        <v>245</v>
      </c>
      <c r="B11" t="s">
        <v>253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0.125</v>
      </c>
      <c r="AA11">
        <v>0.125</v>
      </c>
      <c r="AB11">
        <v>0</v>
      </c>
      <c r="AC11">
        <v>0</v>
      </c>
      <c r="AD11">
        <v>1</v>
      </c>
    </row>
    <row r="12" spans="1:34" x14ac:dyDescent="0.2">
      <c r="A12" t="s">
        <v>245</v>
      </c>
      <c r="B12" t="s">
        <v>254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6</v>
      </c>
      <c r="Z12">
        <v>0.75</v>
      </c>
      <c r="AA12">
        <v>0.75</v>
      </c>
      <c r="AB12">
        <v>0</v>
      </c>
      <c r="AC12">
        <v>0</v>
      </c>
      <c r="AD12">
        <v>6</v>
      </c>
    </row>
    <row r="13" spans="1:34" x14ac:dyDescent="0.2">
      <c r="A13" t="s">
        <v>245</v>
      </c>
      <c r="B13" t="s">
        <v>255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1.5</v>
      </c>
      <c r="Y13">
        <v>0</v>
      </c>
      <c r="Z13">
        <v>1.5</v>
      </c>
      <c r="AA13">
        <v>1.5</v>
      </c>
      <c r="AB13">
        <v>0</v>
      </c>
      <c r="AC13">
        <v>1.5</v>
      </c>
      <c r="AD13">
        <v>0</v>
      </c>
    </row>
    <row r="14" spans="1:34" x14ac:dyDescent="0.2">
      <c r="A14" t="s">
        <v>245</v>
      </c>
      <c r="B14" t="s">
        <v>256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</v>
      </c>
      <c r="Y14">
        <v>1</v>
      </c>
      <c r="Z14">
        <v>4.125</v>
      </c>
      <c r="AA14">
        <v>4.125</v>
      </c>
      <c r="AB14">
        <v>0</v>
      </c>
      <c r="AC14">
        <v>4</v>
      </c>
      <c r="AD14">
        <v>1</v>
      </c>
    </row>
    <row r="15" spans="1:34" x14ac:dyDescent="0.2">
      <c r="A15" t="s">
        <v>245</v>
      </c>
      <c r="B15" t="s">
        <v>257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7.5</v>
      </c>
      <c r="Y15">
        <v>0</v>
      </c>
      <c r="Z15">
        <v>7.5</v>
      </c>
      <c r="AA15">
        <v>7.5</v>
      </c>
      <c r="AB15">
        <v>0</v>
      </c>
      <c r="AC15">
        <v>7.5</v>
      </c>
      <c r="AD15">
        <v>0</v>
      </c>
    </row>
    <row r="16" spans="1:34" x14ac:dyDescent="0.2">
      <c r="A16" t="s">
        <v>245</v>
      </c>
      <c r="B16" t="s">
        <v>258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90.5</v>
      </c>
      <c r="R16">
        <v>0</v>
      </c>
      <c r="S16">
        <v>90.5</v>
      </c>
      <c r="T16">
        <v>0</v>
      </c>
      <c r="U16">
        <v>0</v>
      </c>
      <c r="V16">
        <v>0</v>
      </c>
      <c r="W16">
        <v>0</v>
      </c>
      <c r="X16">
        <v>90.5</v>
      </c>
      <c r="Y16">
        <v>0</v>
      </c>
      <c r="Z16">
        <v>90.5</v>
      </c>
      <c r="AA16">
        <v>90.5</v>
      </c>
      <c r="AB16">
        <v>0</v>
      </c>
      <c r="AC16">
        <v>90.5</v>
      </c>
      <c r="AD16">
        <v>0</v>
      </c>
    </row>
    <row r="17" spans="1:32" x14ac:dyDescent="0.2">
      <c r="A17" t="s">
        <v>245</v>
      </c>
      <c r="B17" t="s">
        <v>360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32" x14ac:dyDescent="0.2">
      <c r="A18" t="s">
        <v>272</v>
      </c>
      <c r="B18" t="s">
        <v>273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0.25</v>
      </c>
      <c r="AA18">
        <v>0.25</v>
      </c>
      <c r="AB18">
        <v>0</v>
      </c>
      <c r="AC18">
        <v>0</v>
      </c>
      <c r="AD18">
        <v>2</v>
      </c>
    </row>
    <row r="19" spans="1:32" x14ac:dyDescent="0.2">
      <c r="A19" t="s">
        <v>272</v>
      </c>
      <c r="B19" t="s">
        <v>274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</v>
      </c>
      <c r="U19">
        <v>2</v>
      </c>
      <c r="V19">
        <v>10.25</v>
      </c>
      <c r="W19">
        <v>0</v>
      </c>
      <c r="X19">
        <v>10</v>
      </c>
      <c r="Y19">
        <v>2</v>
      </c>
      <c r="Z19">
        <v>10.25</v>
      </c>
      <c r="AA19">
        <v>10.25</v>
      </c>
      <c r="AB19">
        <v>0</v>
      </c>
      <c r="AC19">
        <v>10</v>
      </c>
      <c r="AD19">
        <v>2</v>
      </c>
    </row>
    <row r="20" spans="1:32" x14ac:dyDescent="0.2">
      <c r="A20" t="s">
        <v>272</v>
      </c>
      <c r="B20" t="s">
        <v>275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0.5</v>
      </c>
      <c r="AA20">
        <v>0.5</v>
      </c>
      <c r="AB20">
        <v>0</v>
      </c>
      <c r="AC20">
        <v>0</v>
      </c>
      <c r="AD20">
        <v>4</v>
      </c>
    </row>
    <row r="21" spans="1:32" x14ac:dyDescent="0.2">
      <c r="A21" t="s">
        <v>272</v>
      </c>
      <c r="B21" t="s">
        <v>276</v>
      </c>
      <c r="C21">
        <v>0</v>
      </c>
      <c r="D21">
        <v>0</v>
      </c>
      <c r="E21">
        <v>0</v>
      </c>
      <c r="F21">
        <v>0</v>
      </c>
      <c r="G21">
        <v>0</v>
      </c>
      <c r="H21">
        <v>3</v>
      </c>
      <c r="I21">
        <v>0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0</v>
      </c>
      <c r="Z21">
        <v>3</v>
      </c>
      <c r="AA21">
        <v>3</v>
      </c>
      <c r="AB21">
        <v>0</v>
      </c>
      <c r="AC21">
        <v>3</v>
      </c>
      <c r="AD21">
        <v>0</v>
      </c>
    </row>
    <row r="22" spans="1:32" x14ac:dyDescent="0.2">
      <c r="A22" t="s">
        <v>272</v>
      </c>
      <c r="B22" t="s">
        <v>277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13</v>
      </c>
      <c r="Y22">
        <v>6</v>
      </c>
      <c r="Z22">
        <v>13.75</v>
      </c>
      <c r="AA22">
        <v>13.75</v>
      </c>
      <c r="AB22">
        <v>0</v>
      </c>
      <c r="AC22">
        <v>13</v>
      </c>
      <c r="AD22">
        <v>6</v>
      </c>
    </row>
    <row r="23" spans="1:32" x14ac:dyDescent="0.2">
      <c r="A23" t="s">
        <v>272</v>
      </c>
      <c r="B23" t="s">
        <v>278</v>
      </c>
      <c r="C23">
        <v>0</v>
      </c>
      <c r="D23">
        <v>0</v>
      </c>
      <c r="E23">
        <v>8.5</v>
      </c>
      <c r="F23">
        <v>1</v>
      </c>
      <c r="G23">
        <v>8.625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8.5</v>
      </c>
      <c r="Y23">
        <v>1</v>
      </c>
      <c r="Z23">
        <v>8.625</v>
      </c>
      <c r="AA23">
        <v>8.625</v>
      </c>
      <c r="AB23">
        <v>0</v>
      </c>
      <c r="AC23">
        <v>8.5</v>
      </c>
      <c r="AD23">
        <v>1</v>
      </c>
    </row>
    <row r="24" spans="1:32" x14ac:dyDescent="0.2">
      <c r="A24" t="s">
        <v>272</v>
      </c>
      <c r="B24" t="s">
        <v>279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0.125</v>
      </c>
      <c r="AA24">
        <v>0.25</v>
      </c>
      <c r="AB24">
        <v>-0.125</v>
      </c>
      <c r="AC24">
        <v>0</v>
      </c>
      <c r="AD24">
        <v>2</v>
      </c>
      <c r="AE24">
        <v>0</v>
      </c>
      <c r="AF24">
        <v>1</v>
      </c>
    </row>
    <row r="25" spans="1:32" x14ac:dyDescent="0.2">
      <c r="A25" t="s">
        <v>272</v>
      </c>
      <c r="B25" t="s">
        <v>280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5</v>
      </c>
      <c r="S25">
        <v>4.625</v>
      </c>
      <c r="T25">
        <v>0</v>
      </c>
      <c r="U25">
        <v>0</v>
      </c>
      <c r="V25">
        <v>0</v>
      </c>
      <c r="W25">
        <v>0</v>
      </c>
      <c r="X25">
        <v>4</v>
      </c>
      <c r="Y25">
        <v>5</v>
      </c>
      <c r="Z25">
        <v>4.625</v>
      </c>
      <c r="AA25">
        <v>0.5</v>
      </c>
      <c r="AB25">
        <v>4.125</v>
      </c>
      <c r="AC25">
        <v>0</v>
      </c>
      <c r="AD25">
        <v>4</v>
      </c>
      <c r="AE25">
        <v>4</v>
      </c>
      <c r="AF25">
        <v>5</v>
      </c>
    </row>
    <row r="26" spans="1:32" x14ac:dyDescent="0.2">
      <c r="A26" t="s">
        <v>272</v>
      </c>
      <c r="B26" t="s">
        <v>360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32" x14ac:dyDescent="0.2">
      <c r="A27" t="s">
        <v>281</v>
      </c>
      <c r="B27" t="s">
        <v>282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17</v>
      </c>
      <c r="Y27">
        <v>1</v>
      </c>
      <c r="Z27">
        <v>17.125</v>
      </c>
      <c r="AA27">
        <v>17.125</v>
      </c>
      <c r="AB27">
        <v>0</v>
      </c>
      <c r="AC27">
        <v>17</v>
      </c>
      <c r="AD27">
        <v>1</v>
      </c>
    </row>
    <row r="28" spans="1:32" x14ac:dyDescent="0.2">
      <c r="A28" t="s">
        <v>281</v>
      </c>
      <c r="B28" t="s">
        <v>283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154</v>
      </c>
      <c r="U28">
        <v>3</v>
      </c>
      <c r="V28">
        <v>154.375</v>
      </c>
      <c r="W28">
        <v>0</v>
      </c>
      <c r="X28">
        <v>154</v>
      </c>
      <c r="Y28">
        <v>3</v>
      </c>
      <c r="Z28">
        <v>154.375</v>
      </c>
      <c r="AA28">
        <v>154.375</v>
      </c>
      <c r="AB28">
        <v>0</v>
      </c>
      <c r="AC28">
        <v>154</v>
      </c>
      <c r="AD28">
        <v>3</v>
      </c>
    </row>
    <row r="29" spans="1:32" x14ac:dyDescent="0.2">
      <c r="A29" t="s">
        <v>281</v>
      </c>
      <c r="B29" t="s">
        <v>284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24</v>
      </c>
      <c r="Y29">
        <v>0</v>
      </c>
      <c r="Z29">
        <v>24</v>
      </c>
      <c r="AA29">
        <v>24</v>
      </c>
      <c r="AB29">
        <v>0</v>
      </c>
      <c r="AC29">
        <v>24</v>
      </c>
      <c r="AD29">
        <v>0</v>
      </c>
    </row>
    <row r="30" spans="1:32" x14ac:dyDescent="0.2">
      <c r="A30" t="s">
        <v>281</v>
      </c>
      <c r="B30" t="s">
        <v>285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0.25</v>
      </c>
      <c r="AA30">
        <v>0.25</v>
      </c>
      <c r="AB30">
        <v>0</v>
      </c>
      <c r="AC30">
        <v>0</v>
      </c>
      <c r="AD30">
        <v>2</v>
      </c>
    </row>
    <row r="31" spans="1:32" x14ac:dyDescent="0.2">
      <c r="A31" t="s">
        <v>281</v>
      </c>
      <c r="B31" t="s">
        <v>286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2.5</v>
      </c>
      <c r="Y31">
        <v>0</v>
      </c>
      <c r="Z31">
        <v>2.5</v>
      </c>
      <c r="AA31">
        <v>2.5</v>
      </c>
      <c r="AB31">
        <v>0</v>
      </c>
      <c r="AC31">
        <v>2.5</v>
      </c>
      <c r="AD31">
        <v>0</v>
      </c>
    </row>
    <row r="32" spans="1:32" x14ac:dyDescent="0.2">
      <c r="A32" t="s">
        <v>281</v>
      </c>
      <c r="B32" t="s">
        <v>287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181</v>
      </c>
      <c r="Y32">
        <v>1</v>
      </c>
      <c r="Z32">
        <v>181.125</v>
      </c>
      <c r="AA32">
        <v>181.125</v>
      </c>
      <c r="AB32">
        <v>0</v>
      </c>
      <c r="AC32">
        <v>181</v>
      </c>
      <c r="AD32">
        <v>1</v>
      </c>
    </row>
    <row r="33" spans="1:32" x14ac:dyDescent="0.2">
      <c r="A33" t="s">
        <v>281</v>
      </c>
      <c r="B33" t="s">
        <v>288</v>
      </c>
      <c r="C33">
        <v>0</v>
      </c>
      <c r="D33">
        <v>0</v>
      </c>
      <c r="E33">
        <v>90</v>
      </c>
      <c r="F33">
        <v>7</v>
      </c>
      <c r="G33">
        <v>90.875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90</v>
      </c>
      <c r="Y33">
        <v>7</v>
      </c>
      <c r="Z33">
        <v>90.875</v>
      </c>
      <c r="AA33">
        <v>90.875</v>
      </c>
      <c r="AB33">
        <v>0</v>
      </c>
      <c r="AC33">
        <v>90</v>
      </c>
      <c r="AD33">
        <v>7</v>
      </c>
    </row>
    <row r="34" spans="1:32" x14ac:dyDescent="0.2">
      <c r="A34" t="s">
        <v>281</v>
      </c>
      <c r="B34" t="s">
        <v>289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0.125</v>
      </c>
      <c r="AA34">
        <v>0.25</v>
      </c>
      <c r="AB34">
        <v>-0.125</v>
      </c>
      <c r="AC34">
        <v>0</v>
      </c>
      <c r="AD34">
        <v>2</v>
      </c>
      <c r="AE34">
        <v>0</v>
      </c>
      <c r="AF34">
        <v>1</v>
      </c>
    </row>
    <row r="35" spans="1:32" x14ac:dyDescent="0.2">
      <c r="A35" t="s">
        <v>281</v>
      </c>
      <c r="B35" t="s">
        <v>179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2" x14ac:dyDescent="0.2">
      <c r="A36" t="s">
        <v>281</v>
      </c>
      <c r="B36" t="s">
        <v>179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2" x14ac:dyDescent="0.2">
      <c r="A37" t="s">
        <v>281</v>
      </c>
      <c r="B37" t="s">
        <v>179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2" x14ac:dyDescent="0.2">
      <c r="A38" t="s">
        <v>281</v>
      </c>
      <c r="B38" t="s">
        <v>179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2" x14ac:dyDescent="0.2">
      <c r="A39" t="s">
        <v>281</v>
      </c>
      <c r="B39" t="s">
        <v>253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0.125</v>
      </c>
      <c r="AA39">
        <v>0.125</v>
      </c>
      <c r="AB39">
        <v>0</v>
      </c>
      <c r="AC39">
        <v>0</v>
      </c>
      <c r="AD39">
        <v>1</v>
      </c>
    </row>
    <row r="40" spans="1:32" x14ac:dyDescent="0.2">
      <c r="A40" t="s">
        <v>281</v>
      </c>
      <c r="B40" t="s">
        <v>290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</v>
      </c>
      <c r="O40">
        <v>0</v>
      </c>
      <c r="P40">
        <v>6.5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6.5</v>
      </c>
      <c r="Y40">
        <v>0</v>
      </c>
      <c r="Z40">
        <v>6.5</v>
      </c>
      <c r="AA40">
        <v>6.5</v>
      </c>
      <c r="AB40">
        <v>0</v>
      </c>
      <c r="AC40">
        <v>6.5</v>
      </c>
      <c r="AD40">
        <v>0</v>
      </c>
    </row>
    <row r="41" spans="1:32" x14ac:dyDescent="0.2">
      <c r="A41" t="s">
        <v>281</v>
      </c>
      <c r="B41" t="s">
        <v>179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2" x14ac:dyDescent="0.2">
      <c r="A42" t="s">
        <v>281</v>
      </c>
      <c r="B42" t="s">
        <v>179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2" x14ac:dyDescent="0.2">
      <c r="A43" t="s">
        <v>281</v>
      </c>
      <c r="B43" t="s">
        <v>179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2" x14ac:dyDescent="0.2">
      <c r="A44" t="s">
        <v>281</v>
      </c>
      <c r="B44" t="s">
        <v>179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2" x14ac:dyDescent="0.2">
      <c r="A45" t="s">
        <v>281</v>
      </c>
      <c r="B45" t="s">
        <v>291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5</v>
      </c>
      <c r="P45">
        <v>4.625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5</v>
      </c>
      <c r="Z45">
        <v>4.625</v>
      </c>
      <c r="AA45">
        <v>4.625</v>
      </c>
      <c r="AB45">
        <v>0</v>
      </c>
      <c r="AC45">
        <v>4</v>
      </c>
      <c r="AD45">
        <v>5</v>
      </c>
    </row>
    <row r="46" spans="1:32" x14ac:dyDescent="0.2">
      <c r="A46" t="s">
        <v>281</v>
      </c>
      <c r="B46" t="s">
        <v>292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24</v>
      </c>
      <c r="Y46">
        <v>0</v>
      </c>
      <c r="Z46">
        <v>24</v>
      </c>
      <c r="AA46">
        <v>24</v>
      </c>
      <c r="AB46">
        <v>0</v>
      </c>
      <c r="AC46">
        <v>24</v>
      </c>
      <c r="AD46">
        <v>0</v>
      </c>
    </row>
    <row r="47" spans="1:32" x14ac:dyDescent="0.2">
      <c r="A47" t="s">
        <v>281</v>
      </c>
      <c r="B47" t="s">
        <v>179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2" x14ac:dyDescent="0.2">
      <c r="A48" t="s">
        <v>281</v>
      </c>
      <c r="B48" t="s">
        <v>179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2" x14ac:dyDescent="0.2">
      <c r="A49" t="s">
        <v>281</v>
      </c>
      <c r="B49" t="s">
        <v>179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2" x14ac:dyDescent="0.2">
      <c r="A50" t="s">
        <v>281</v>
      </c>
      <c r="B50" t="s">
        <v>179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2" x14ac:dyDescent="0.2">
      <c r="A51" t="s">
        <v>281</v>
      </c>
      <c r="B51" t="s">
        <v>293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12.5</v>
      </c>
      <c r="O51">
        <v>0</v>
      </c>
      <c r="P51">
        <v>12.5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12.5</v>
      </c>
      <c r="Y51">
        <v>0</v>
      </c>
      <c r="Z51">
        <v>12.5</v>
      </c>
      <c r="AA51">
        <v>12.5</v>
      </c>
      <c r="AB51">
        <v>0</v>
      </c>
      <c r="AC51">
        <v>12.5</v>
      </c>
      <c r="AD51">
        <v>0</v>
      </c>
    </row>
    <row r="52" spans="1:32" x14ac:dyDescent="0.2">
      <c r="A52" t="s">
        <v>281</v>
      </c>
      <c r="B52" t="s">
        <v>179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2" x14ac:dyDescent="0.2">
      <c r="A53" t="s">
        <v>281</v>
      </c>
      <c r="B53" t="s">
        <v>179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2" x14ac:dyDescent="0.2">
      <c r="A54" t="s">
        <v>281</v>
      </c>
      <c r="B54" t="s">
        <v>179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2" x14ac:dyDescent="0.2">
      <c r="A55" t="s">
        <v>281</v>
      </c>
      <c r="B55" t="s">
        <v>179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2" x14ac:dyDescent="0.2">
      <c r="A56" t="s">
        <v>281</v>
      </c>
      <c r="B56" t="s">
        <v>294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2.5</v>
      </c>
      <c r="Y56">
        <v>2</v>
      </c>
      <c r="Z56">
        <v>2.75</v>
      </c>
      <c r="AA56">
        <v>0.25</v>
      </c>
      <c r="AB56">
        <v>2.5</v>
      </c>
      <c r="AC56">
        <v>0</v>
      </c>
      <c r="AD56">
        <v>2</v>
      </c>
      <c r="AE56">
        <v>2.5</v>
      </c>
      <c r="AF56">
        <v>0</v>
      </c>
    </row>
    <row r="57" spans="1:32" x14ac:dyDescent="0.2">
      <c r="A57" t="s">
        <v>281</v>
      </c>
      <c r="B57" t="s">
        <v>295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39</v>
      </c>
      <c r="R57">
        <v>6</v>
      </c>
      <c r="S57">
        <v>39.75</v>
      </c>
      <c r="T57">
        <v>0</v>
      </c>
      <c r="U57">
        <v>0</v>
      </c>
      <c r="V57">
        <v>0</v>
      </c>
      <c r="W57">
        <v>0</v>
      </c>
      <c r="X57">
        <v>39</v>
      </c>
      <c r="Y57">
        <v>6</v>
      </c>
      <c r="Z57">
        <v>39.75</v>
      </c>
      <c r="AA57">
        <v>39.75</v>
      </c>
      <c r="AB57">
        <v>0</v>
      </c>
      <c r="AC57">
        <v>39</v>
      </c>
      <c r="AD57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5"/>
  <sheetViews>
    <sheetView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414</v>
      </c>
      <c r="N1" s="1" t="s">
        <v>415</v>
      </c>
      <c r="O1" s="1" t="s">
        <v>18</v>
      </c>
      <c r="P1" s="1" t="s">
        <v>19</v>
      </c>
      <c r="Q1" s="1" t="s">
        <v>12</v>
      </c>
      <c r="R1" s="1" t="s">
        <v>13</v>
      </c>
      <c r="S1" s="1" t="s">
        <v>20</v>
      </c>
      <c r="T1" s="1" t="s">
        <v>21</v>
      </c>
      <c r="U1" s="1" t="s">
        <v>14</v>
      </c>
      <c r="V1" s="1" t="s">
        <v>15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416</v>
      </c>
      <c r="AB1" s="1" t="s">
        <v>417</v>
      </c>
      <c r="AC1" s="1" t="s">
        <v>418</v>
      </c>
      <c r="AD1" s="1" t="s">
        <v>419</v>
      </c>
      <c r="AE1" s="1" t="s">
        <v>420</v>
      </c>
      <c r="AF1" s="1" t="s">
        <v>409</v>
      </c>
      <c r="AG1" s="1" t="s">
        <v>410</v>
      </c>
      <c r="AH1" s="1" t="s">
        <v>421</v>
      </c>
    </row>
    <row r="2" spans="1:34" x14ac:dyDescent="0.2">
      <c r="A2" t="s">
        <v>100</v>
      </c>
      <c r="B2" t="s">
        <v>101</v>
      </c>
      <c r="C2">
        <v>30.17</v>
      </c>
      <c r="D2">
        <v>30</v>
      </c>
      <c r="E2">
        <v>3</v>
      </c>
      <c r="F2">
        <v>4</v>
      </c>
      <c r="G2" t="s">
        <v>102</v>
      </c>
      <c r="H2">
        <v>90.5</v>
      </c>
      <c r="I2">
        <v>0</v>
      </c>
      <c r="J2">
        <v>90.5</v>
      </c>
      <c r="K2">
        <v>90.5</v>
      </c>
      <c r="L2">
        <v>0</v>
      </c>
      <c r="M2">
        <v>90.5</v>
      </c>
      <c r="N2">
        <v>0</v>
      </c>
      <c r="O2">
        <v>6</v>
      </c>
      <c r="P2">
        <v>8</v>
      </c>
      <c r="AA2">
        <v>0.33333333333333331</v>
      </c>
      <c r="AE2">
        <v>90.5</v>
      </c>
      <c r="AF2">
        <v>0.33333333333333331</v>
      </c>
      <c r="AG2">
        <v>0.33333333333333331</v>
      </c>
      <c r="AH2" t="s">
        <v>102</v>
      </c>
    </row>
    <row r="3" spans="1:34" x14ac:dyDescent="0.2">
      <c r="A3" t="s">
        <v>100</v>
      </c>
      <c r="B3" t="s">
        <v>103</v>
      </c>
      <c r="C3">
        <v>5.38</v>
      </c>
      <c r="D3">
        <v>5</v>
      </c>
      <c r="E3">
        <v>7</v>
      </c>
      <c r="F3">
        <v>6</v>
      </c>
      <c r="H3">
        <v>26</v>
      </c>
      <c r="I3">
        <v>7</v>
      </c>
      <c r="J3">
        <v>26.875</v>
      </c>
      <c r="K3">
        <v>26.875</v>
      </c>
      <c r="L3">
        <v>0</v>
      </c>
      <c r="M3">
        <v>26</v>
      </c>
      <c r="N3">
        <v>7</v>
      </c>
      <c r="O3">
        <v>4</v>
      </c>
      <c r="P3">
        <v>0</v>
      </c>
      <c r="AA3">
        <v>0.2</v>
      </c>
      <c r="AE3">
        <v>26.875</v>
      </c>
      <c r="AF3">
        <v>0.2</v>
      </c>
      <c r="AG3">
        <v>0.2</v>
      </c>
    </row>
    <row r="4" spans="1:34" x14ac:dyDescent="0.2">
      <c r="A4" t="s">
        <v>100</v>
      </c>
      <c r="B4" t="s">
        <v>104</v>
      </c>
      <c r="C4">
        <v>0.93</v>
      </c>
      <c r="D4">
        <v>0</v>
      </c>
      <c r="E4">
        <v>18</v>
      </c>
      <c r="F4">
        <v>6</v>
      </c>
      <c r="G4" t="s">
        <v>105</v>
      </c>
      <c r="H4">
        <v>4</v>
      </c>
      <c r="I4">
        <v>5</v>
      </c>
      <c r="J4">
        <v>4.625</v>
      </c>
      <c r="K4">
        <v>4.625</v>
      </c>
      <c r="L4">
        <v>0</v>
      </c>
      <c r="M4">
        <v>4</v>
      </c>
      <c r="N4">
        <v>5</v>
      </c>
      <c r="O4">
        <v>4</v>
      </c>
      <c r="P4">
        <v>0</v>
      </c>
      <c r="AA4">
        <v>0.2</v>
      </c>
      <c r="AE4">
        <v>4.625</v>
      </c>
      <c r="AF4">
        <v>0.2</v>
      </c>
      <c r="AG4">
        <v>0.2</v>
      </c>
      <c r="AH4" t="s">
        <v>105</v>
      </c>
    </row>
    <row r="5" spans="1:34" x14ac:dyDescent="0.2">
      <c r="A5" t="s">
        <v>100</v>
      </c>
      <c r="B5" t="s">
        <v>106</v>
      </c>
      <c r="C5">
        <v>4.6399999999999997</v>
      </c>
      <c r="D5">
        <v>4</v>
      </c>
      <c r="E5">
        <v>12</v>
      </c>
      <c r="F5">
        <v>10.5</v>
      </c>
      <c r="G5" t="s">
        <v>107</v>
      </c>
      <c r="H5">
        <v>39</v>
      </c>
      <c r="I5">
        <v>6</v>
      </c>
      <c r="J5">
        <v>39.75</v>
      </c>
      <c r="K5">
        <v>39.75</v>
      </c>
      <c r="L5">
        <v>0</v>
      </c>
      <c r="M5">
        <v>39</v>
      </c>
      <c r="N5">
        <v>6</v>
      </c>
      <c r="O5">
        <v>2</v>
      </c>
      <c r="P5">
        <v>0</v>
      </c>
      <c r="Q5">
        <v>13</v>
      </c>
      <c r="R5">
        <v>0</v>
      </c>
      <c r="S5">
        <v>2</v>
      </c>
      <c r="T5">
        <v>6</v>
      </c>
      <c r="U5">
        <v>26</v>
      </c>
      <c r="V5">
        <v>6</v>
      </c>
      <c r="AA5">
        <v>0.1</v>
      </c>
      <c r="AB5">
        <v>0.125</v>
      </c>
      <c r="AE5">
        <v>39.75</v>
      </c>
      <c r="AF5">
        <v>0.1168238993710692</v>
      </c>
      <c r="AG5">
        <v>0.1125</v>
      </c>
      <c r="AH5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2024-04-19T11:10:10Z</dcterms:created>
  <dcterms:modified xsi:type="dcterms:W3CDTF">2025-09-22T20:35:32Z</dcterms:modified>
</cp:coreProperties>
</file>
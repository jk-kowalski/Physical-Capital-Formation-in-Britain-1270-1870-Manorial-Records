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04"/>
  <workbookPr/>
  <mc:AlternateContent xmlns:mc="http://schemas.openxmlformats.org/markup-compatibility/2006">
    <mc:Choice Requires="x15">
      <x15ac:absPath xmlns:x15ac="http://schemas.microsoft.com/office/spreadsheetml/2010/11/ac" url="/Users/victoriagierok/Dropbox/Physical Capital England/Decennial 2018/Detailed Estimates/Winchester Pipe Rolls/1301-1302/final new agricultural production/"/>
    </mc:Choice>
  </mc:AlternateContent>
  <xr:revisionPtr revIDLastSave="0" documentId="13_ncr:1_{413CB436-2E0E-F842-823A-062D0D351DB6}" xr6:coauthVersionLast="47" xr6:coauthVersionMax="47" xr10:uidLastSave="{00000000-0000-0000-0000-000000000000}"/>
  <bookViews>
    <workbookView xWindow="6960" yWindow="500" windowWidth="20700" windowHeight="16580" activeTab="6" xr2:uid="{00000000-000D-0000-FFFF-FFFF00000000}"/>
  </bookViews>
  <sheets>
    <sheet name="Overview" sheetId="4" r:id="rId1"/>
    <sheet name="Receipts" sheetId="2" r:id="rId2"/>
    <sheet name="Expenses" sheetId="3" r:id="rId3"/>
    <sheet name="Issues of the Grange" sheetId="11" r:id="rId4"/>
    <sheet name="Issues of the Mills" sheetId="5" r:id="rId5"/>
    <sheet name="Stock" sheetId="6" r:id="rId6"/>
    <sheet name="raw data" sheetId="1" r:id="rId7"/>
    <sheet name="Issues of the Grange raw" sheetId="10" r:id="rId8"/>
    <sheet name="Sale of Corn Prices" sheetId="12"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80" i="4" l="1"/>
  <c r="B179" i="4"/>
  <c r="B176" i="4"/>
  <c r="B177" i="4"/>
  <c r="B175" i="4"/>
  <c r="B123" i="4"/>
  <c r="B147" i="4"/>
  <c r="B155" i="4"/>
  <c r="T79" i="6"/>
  <c r="T77" i="6"/>
  <c r="B162" i="4"/>
  <c r="B169" i="4"/>
  <c r="B168" i="4"/>
  <c r="B167" i="4"/>
  <c r="B166" i="4"/>
  <c r="B165" i="4"/>
  <c r="B159" i="4"/>
  <c r="B160" i="4"/>
  <c r="B158" i="4"/>
  <c r="T72" i="6"/>
  <c r="B154" i="4" s="1"/>
  <c r="B151" i="4"/>
  <c r="B152" i="4"/>
  <c r="B153" i="4"/>
  <c r="B150" i="4"/>
  <c r="B146" i="4"/>
  <c r="B127" i="4"/>
  <c r="B128" i="4"/>
  <c r="B129" i="4"/>
  <c r="B130" i="4"/>
  <c r="B131" i="4"/>
  <c r="B132" i="4"/>
  <c r="B133" i="4"/>
  <c r="B134" i="4"/>
  <c r="B135" i="4"/>
  <c r="B136" i="4"/>
  <c r="B137" i="4"/>
  <c r="B138" i="4"/>
  <c r="B139" i="4"/>
  <c r="B140" i="4"/>
  <c r="B141" i="4"/>
  <c r="B142" i="4"/>
  <c r="B143" i="4"/>
  <c r="B144" i="4"/>
  <c r="B145" i="4"/>
  <c r="B126" i="4"/>
  <c r="B122" i="4"/>
  <c r="B119" i="4"/>
  <c r="B120" i="4"/>
  <c r="B121" i="4"/>
  <c r="B118" i="4"/>
  <c r="B115" i="4"/>
  <c r="B112" i="4"/>
  <c r="B88" i="4"/>
  <c r="B89" i="4"/>
  <c r="B90" i="4"/>
  <c r="B91" i="4"/>
  <c r="B92" i="4"/>
  <c r="B93" i="4"/>
  <c r="B94" i="4"/>
  <c r="B95" i="4"/>
  <c r="B96" i="4"/>
  <c r="B97" i="4"/>
  <c r="B98" i="4"/>
  <c r="B99" i="4"/>
  <c r="B100" i="4"/>
  <c r="B101" i="4"/>
  <c r="B102" i="4"/>
  <c r="B103" i="4"/>
  <c r="B104" i="4"/>
  <c r="B105" i="4"/>
  <c r="B106" i="4"/>
  <c r="B107" i="4"/>
  <c r="B108" i="4"/>
  <c r="B109" i="4"/>
  <c r="B110" i="4"/>
  <c r="B111" i="4"/>
  <c r="B87" i="4"/>
  <c r="E73" i="4"/>
  <c r="B63" i="4"/>
  <c r="E63" i="4"/>
  <c r="F63" i="4"/>
  <c r="B64" i="4"/>
  <c r="E64" i="4"/>
  <c r="F64" i="4"/>
  <c r="B65" i="4"/>
  <c r="E65" i="4"/>
  <c r="F65" i="4"/>
  <c r="B66" i="4"/>
  <c r="E66" i="4"/>
  <c r="F66" i="4"/>
  <c r="B67" i="4"/>
  <c r="E67" i="4"/>
  <c r="F67" i="4"/>
  <c r="B68" i="4"/>
  <c r="E68" i="4"/>
  <c r="E71" i="4" s="1"/>
  <c r="F68" i="4"/>
  <c r="B69" i="4"/>
  <c r="E69" i="4"/>
  <c r="F69" i="4"/>
  <c r="B70" i="4"/>
  <c r="E70" i="4"/>
  <c r="F70" i="4"/>
  <c r="F62" i="4"/>
  <c r="E72" i="4" s="1"/>
  <c r="E62" i="4"/>
  <c r="B62" i="4"/>
  <c r="B45" i="4"/>
  <c r="B46" i="4"/>
  <c r="B47" i="4"/>
  <c r="B44" i="4"/>
  <c r="B25" i="4"/>
  <c r="C25" i="4" s="1"/>
  <c r="B24" i="4"/>
  <c r="B23" i="4"/>
  <c r="F107" i="3"/>
  <c r="F106" i="3"/>
  <c r="K63" i="3"/>
  <c r="K64" i="3"/>
  <c r="K65" i="3"/>
  <c r="K66" i="3"/>
  <c r="K67" i="3"/>
  <c r="K68" i="3"/>
  <c r="K69" i="3"/>
  <c r="K70" i="3"/>
  <c r="K71" i="3"/>
  <c r="K72" i="3"/>
  <c r="K73" i="3"/>
  <c r="K62" i="3"/>
  <c r="J63" i="3"/>
  <c r="J64" i="3"/>
  <c r="J65" i="3"/>
  <c r="J66" i="3"/>
  <c r="J67" i="3"/>
  <c r="J68" i="3"/>
  <c r="J69" i="3"/>
  <c r="J70" i="3"/>
  <c r="J71" i="3"/>
  <c r="J72" i="3"/>
  <c r="J73" i="3"/>
  <c r="J62" i="3"/>
  <c r="K54" i="3"/>
  <c r="K55" i="3"/>
  <c r="K56" i="3"/>
  <c r="K57" i="3"/>
  <c r="K58" i="3"/>
  <c r="K53" i="3"/>
  <c r="J54" i="3"/>
  <c r="J55" i="3"/>
  <c r="J56" i="3"/>
  <c r="J57" i="3"/>
  <c r="J58" i="3"/>
  <c r="J53" i="3"/>
  <c r="K38" i="3"/>
  <c r="K39" i="3"/>
  <c r="K40" i="3"/>
  <c r="K41" i="3"/>
  <c r="K42" i="3"/>
  <c r="K43" i="3"/>
  <c r="K44" i="3"/>
  <c r="K45" i="3"/>
  <c r="K46" i="3"/>
  <c r="K47" i="3"/>
  <c r="K37" i="3"/>
  <c r="J38" i="3"/>
  <c r="J39" i="3"/>
  <c r="J40" i="3"/>
  <c r="J41" i="3"/>
  <c r="J42" i="3"/>
  <c r="J43" i="3"/>
  <c r="J44" i="3"/>
  <c r="J45" i="3"/>
  <c r="J46" i="3"/>
  <c r="J47" i="3"/>
  <c r="J37" i="3"/>
  <c r="K26" i="3"/>
  <c r="K27" i="3"/>
  <c r="K28" i="3"/>
  <c r="J23" i="3"/>
  <c r="K23" i="3" s="1"/>
  <c r="J24" i="3"/>
  <c r="K24" i="3" s="1"/>
  <c r="J25" i="3"/>
  <c r="K25" i="3" s="1"/>
  <c r="J26" i="3"/>
  <c r="J27" i="3"/>
  <c r="J28" i="3"/>
  <c r="J29" i="3"/>
  <c r="K29" i="3" s="1"/>
  <c r="J30" i="3"/>
  <c r="K30" i="3" s="1"/>
  <c r="J31" i="3"/>
  <c r="K31" i="3" s="1"/>
  <c r="J22" i="3"/>
  <c r="K22" i="3" s="1"/>
  <c r="K4" i="3"/>
  <c r="K10" i="3"/>
  <c r="K11" i="3"/>
  <c r="K12" i="3"/>
  <c r="J4" i="3"/>
  <c r="J5" i="3"/>
  <c r="K5" i="3" s="1"/>
  <c r="J6" i="3"/>
  <c r="K6" i="3" s="1"/>
  <c r="J7" i="3"/>
  <c r="K7" i="3" s="1"/>
  <c r="J8" i="3"/>
  <c r="K8" i="3" s="1"/>
  <c r="J9" i="3"/>
  <c r="K9" i="3" s="1"/>
  <c r="J10" i="3"/>
  <c r="J11" i="3"/>
  <c r="J12" i="3"/>
  <c r="J13" i="3"/>
  <c r="K13" i="3" s="1"/>
  <c r="J3" i="3"/>
  <c r="K3" i="3" s="1"/>
  <c r="F104" i="3"/>
  <c r="G127" i="2"/>
  <c r="F127" i="2"/>
  <c r="F126" i="2"/>
  <c r="G126" i="2" s="1"/>
  <c r="T102" i="6"/>
  <c r="T101" i="6"/>
  <c r="T95" i="6"/>
  <c r="T94" i="6"/>
  <c r="T91" i="6"/>
  <c r="T90" i="6"/>
  <c r="T89" i="6"/>
  <c r="B161" i="4"/>
  <c r="B174" i="4" s="1"/>
  <c r="T76" i="6"/>
  <c r="T69" i="6"/>
  <c r="R61" i="6"/>
  <c r="R64" i="6" s="1"/>
  <c r="T44" i="6"/>
  <c r="T45" i="6"/>
  <c r="T46" i="6"/>
  <c r="T47" i="6"/>
  <c r="T48" i="6"/>
  <c r="T49" i="6"/>
  <c r="T50" i="6"/>
  <c r="T51" i="6"/>
  <c r="T52" i="6"/>
  <c r="T53" i="6"/>
  <c r="T54" i="6"/>
  <c r="T55" i="6"/>
  <c r="T56" i="6"/>
  <c r="T57" i="6"/>
  <c r="T58" i="6"/>
  <c r="T59" i="6"/>
  <c r="T60" i="6"/>
  <c r="T43" i="6"/>
  <c r="R102" i="6"/>
  <c r="R95" i="6"/>
  <c r="R91" i="6"/>
  <c r="R79" i="6"/>
  <c r="R72" i="6"/>
  <c r="T39" i="6"/>
  <c r="T37" i="6"/>
  <c r="T36" i="6"/>
  <c r="O89" i="6"/>
  <c r="O56" i="6"/>
  <c r="O60" i="6"/>
  <c r="O54" i="6"/>
  <c r="O44" i="6"/>
  <c r="O43" i="6"/>
  <c r="O12" i="6"/>
  <c r="O19" i="6"/>
  <c r="O23" i="6"/>
  <c r="R94" i="6"/>
  <c r="R90" i="6"/>
  <c r="O90" i="6" s="1"/>
  <c r="R89" i="6"/>
  <c r="J90" i="6"/>
  <c r="R101" i="6"/>
  <c r="R77" i="6"/>
  <c r="O77" i="6" s="1"/>
  <c r="R76" i="6"/>
  <c r="O76" i="6" s="1"/>
  <c r="R69" i="6"/>
  <c r="O69" i="6" s="1"/>
  <c r="R56" i="6"/>
  <c r="R58" i="6" s="1"/>
  <c r="O58" i="6" s="1"/>
  <c r="R54" i="6"/>
  <c r="R44" i="6"/>
  <c r="R43" i="6"/>
  <c r="R26" i="6"/>
  <c r="O26" i="6" s="1"/>
  <c r="R21" i="6"/>
  <c r="O21" i="6" s="1"/>
  <c r="R19" i="6"/>
  <c r="R18" i="6"/>
  <c r="O18" i="6" s="1"/>
  <c r="R14" i="6"/>
  <c r="O14" i="6" s="1"/>
  <c r="R12" i="6"/>
  <c r="R7" i="6"/>
  <c r="O7" i="6" s="1"/>
  <c r="R5" i="6"/>
  <c r="R31" i="6" s="1"/>
  <c r="C61" i="6"/>
  <c r="C60" i="6"/>
  <c r="C54" i="6"/>
  <c r="J35" i="6"/>
  <c r="T35" i="6" s="1"/>
  <c r="O18" i="11"/>
  <c r="O19" i="11"/>
  <c r="O20" i="11"/>
  <c r="O21" i="11"/>
  <c r="O22" i="11"/>
  <c r="O23" i="11"/>
  <c r="O24" i="11"/>
  <c r="O25" i="11"/>
  <c r="O17" i="11"/>
  <c r="N18" i="11"/>
  <c r="N19" i="11"/>
  <c r="N20" i="11"/>
  <c r="N21" i="11"/>
  <c r="N22" i="11"/>
  <c r="N23" i="11"/>
  <c r="N24" i="11"/>
  <c r="N25" i="11"/>
  <c r="N17" i="11"/>
  <c r="L18" i="11"/>
  <c r="L19" i="11"/>
  <c r="L20" i="11"/>
  <c r="L21" i="11"/>
  <c r="L22" i="11"/>
  <c r="L23" i="11"/>
  <c r="L24" i="11"/>
  <c r="L25" i="11"/>
  <c r="L17" i="11"/>
  <c r="E18" i="11"/>
  <c r="E19" i="11"/>
  <c r="E20" i="11"/>
  <c r="E21" i="11"/>
  <c r="E22" i="11"/>
  <c r="E23" i="11"/>
  <c r="E24" i="11"/>
  <c r="E25" i="11"/>
  <c r="E17" i="11"/>
  <c r="K18" i="11"/>
  <c r="K19" i="11"/>
  <c r="K20" i="11"/>
  <c r="K21" i="11"/>
  <c r="K22" i="11"/>
  <c r="K23" i="11"/>
  <c r="K24" i="11"/>
  <c r="K25" i="11"/>
  <c r="K17" i="11"/>
  <c r="J23" i="11"/>
  <c r="I23" i="11"/>
  <c r="I22" i="11"/>
  <c r="J22" i="11"/>
  <c r="J17" i="11"/>
  <c r="B18" i="11"/>
  <c r="B19" i="11"/>
  <c r="B20" i="11"/>
  <c r="B21" i="11"/>
  <c r="B22" i="11"/>
  <c r="B23" i="11"/>
  <c r="B24" i="11"/>
  <c r="B25" i="11"/>
  <c r="B17" i="11"/>
  <c r="I10" i="11"/>
  <c r="I3" i="11"/>
  <c r="I4" i="11"/>
  <c r="I5" i="11"/>
  <c r="I6" i="11"/>
  <c r="I7" i="11"/>
  <c r="I8" i="11"/>
  <c r="I9" i="11"/>
  <c r="I2" i="11"/>
  <c r="G3" i="11"/>
  <c r="G4" i="11"/>
  <c r="G5" i="11"/>
  <c r="G6" i="11"/>
  <c r="G7" i="11"/>
  <c r="G8" i="11"/>
  <c r="G9" i="11"/>
  <c r="G10" i="11"/>
  <c r="G2" i="11"/>
  <c r="C26" i="6"/>
  <c r="I23" i="6"/>
  <c r="J23" i="6"/>
  <c r="J22" i="6"/>
  <c r="I22" i="6"/>
  <c r="I21" i="6"/>
  <c r="J21" i="6"/>
  <c r="I19" i="6"/>
  <c r="C12" i="6"/>
  <c r="C7" i="6"/>
  <c r="C5" i="6"/>
  <c r="G100" i="3"/>
  <c r="F96" i="3"/>
  <c r="G97" i="3" s="1"/>
  <c r="F88" i="3"/>
  <c r="F90" i="3" s="1"/>
  <c r="G90" i="3" s="1"/>
  <c r="F82" i="3"/>
  <c r="F84" i="3" s="1"/>
  <c r="G84" i="3" s="1"/>
  <c r="F73" i="3"/>
  <c r="F58" i="3"/>
  <c r="F60" i="3" s="1"/>
  <c r="G60" i="3" s="1"/>
  <c r="F49" i="3"/>
  <c r="F51" i="3" s="1"/>
  <c r="G51" i="3" s="1"/>
  <c r="F33" i="3"/>
  <c r="F35" i="3" s="1"/>
  <c r="G35" i="3" s="1"/>
  <c r="F18" i="3"/>
  <c r="F20" i="3" s="1"/>
  <c r="G20" i="3" s="1"/>
  <c r="F125" i="2"/>
  <c r="F108" i="2"/>
  <c r="G109" i="2" s="1"/>
  <c r="F75" i="2"/>
  <c r="F98" i="2" s="1"/>
  <c r="G98" i="2" s="1"/>
  <c r="F96" i="2"/>
  <c r="G34" i="2"/>
  <c r="G31" i="2"/>
  <c r="F16" i="2"/>
  <c r="F18" i="2" s="1"/>
  <c r="G18" i="2" s="1"/>
  <c r="J33" i="3" l="1"/>
  <c r="K33" i="3" s="1"/>
  <c r="F105" i="3"/>
  <c r="G105" i="3" s="1"/>
  <c r="O61" i="6"/>
  <c r="T61" i="6" s="1"/>
  <c r="T64" i="6" s="1"/>
  <c r="O5"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Victoria Gierok</author>
  </authors>
  <commentList>
    <comment ref="C16" authorId="0" shapeId="0" xr:uid="{E7AF65C1-3361-1647-B06F-1050BE90689D}">
      <text>
        <r>
          <rPr>
            <b/>
            <sz val="10"/>
            <color rgb="FF000000"/>
            <rFont val="Tahoma"/>
            <family val="2"/>
          </rPr>
          <t>Victoria Gierok:</t>
        </r>
        <r>
          <rPr>
            <sz val="10"/>
            <color rgb="FF000000"/>
            <rFont val="Tahoma"/>
            <family val="2"/>
          </rPr>
          <t xml:space="preserve">
</t>
        </r>
        <r>
          <rPr>
            <sz val="10"/>
            <color rgb="FF000000"/>
            <rFont val="Tahoma"/>
            <family val="2"/>
          </rPr>
          <t xml:space="preserve">from Issue of the grange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Victoria Gierok</author>
  </authors>
  <commentList>
    <comment ref="D4" authorId="0" shapeId="0" xr:uid="{37FD902A-14F8-EB44-8889-422F4F603826}">
      <text>
        <r>
          <rPr>
            <b/>
            <sz val="10"/>
            <color rgb="FF000000"/>
            <rFont val="Tahoma"/>
            <family val="2"/>
          </rPr>
          <t>Victoria Gierok:</t>
        </r>
        <r>
          <rPr>
            <sz val="10"/>
            <color rgb="FF000000"/>
            <rFont val="Tahoma"/>
            <family val="2"/>
          </rPr>
          <t xml:space="preserve">
</t>
        </r>
        <r>
          <rPr>
            <sz val="10"/>
            <color rgb="FF000000"/>
            <rFont val="Tahoma"/>
            <family val="2"/>
          </rPr>
          <t>strays that the seem to have added to their own stock?</t>
        </r>
      </text>
    </comment>
    <comment ref="E4" authorId="0" shapeId="0" xr:uid="{C02D1B75-1120-2B46-9AC6-4E8A475B6D76}">
      <text>
        <r>
          <rPr>
            <b/>
            <sz val="10"/>
            <color rgb="FF000000"/>
            <rFont val="Tahoma"/>
            <family val="2"/>
          </rPr>
          <t>Victoria Gierok:</t>
        </r>
        <r>
          <rPr>
            <sz val="10"/>
            <color rgb="FF000000"/>
            <rFont val="Tahoma"/>
            <family val="2"/>
          </rPr>
          <t xml:space="preserve">
</t>
        </r>
        <r>
          <rPr>
            <sz val="10"/>
            <color rgb="FF000000"/>
            <rFont val="Tahoma"/>
            <family val="2"/>
          </rPr>
          <t>herbage = a type of customary payment to the lord; hence an addition to the stock</t>
        </r>
      </text>
    </comment>
  </commentList>
</comments>
</file>

<file path=xl/sharedStrings.xml><?xml version="1.0" encoding="utf-8"?>
<sst xmlns="http://schemas.openxmlformats.org/spreadsheetml/2006/main" count="1617" uniqueCount="653">
  <si>
    <t>DROXFORD</t>
  </si>
  <si>
    <t>CASH ACCOUNT</t>
  </si>
  <si>
    <t>Total in £</t>
  </si>
  <si>
    <t>Error</t>
  </si>
  <si>
    <t>Note</t>
  </si>
  <si>
    <t>RECEIPTS</t>
  </si>
  <si>
    <t>Arrears total</t>
  </si>
  <si>
    <t>Rents of assize total</t>
  </si>
  <si>
    <t>Quittances total</t>
  </si>
  <si>
    <t>Defaults of rent total</t>
  </si>
  <si>
    <t>Defaults of rent through the pestilence total</t>
  </si>
  <si>
    <t>Cotlands defaults total</t>
  </si>
  <si>
    <t>Cotlands total</t>
  </si>
  <si>
    <t>Total of quittances and defaults of rent total</t>
  </si>
  <si>
    <t>Total of rents remaining clear total</t>
  </si>
  <si>
    <t>Farms total</t>
  </si>
  <si>
    <t>Annual recognizances total</t>
  </si>
  <si>
    <t>Issues of the Manor total</t>
  </si>
  <si>
    <t>Issues of the tenements in the lord's hands total</t>
  </si>
  <si>
    <t>Sale of labour services total</t>
  </si>
  <si>
    <t>Sale of corn total</t>
  </si>
  <si>
    <t>Entry and marriage fines total</t>
  </si>
  <si>
    <t>Pleas &amp; perquisites total</t>
  </si>
  <si>
    <t>Forfeited chattels total</t>
  </si>
  <si>
    <t>Farm of the demesne land total</t>
  </si>
  <si>
    <t>Total of all receipts (calculated here)</t>
  </si>
  <si>
    <t>Total of all receipts (calculated here) incl arrears</t>
  </si>
  <si>
    <t>Total recorded in the accounts excl. arrears</t>
  </si>
  <si>
    <t>Total recorded in the accounts incl. arrears</t>
  </si>
  <si>
    <t>EXPENSES</t>
  </si>
  <si>
    <t>Cost of ploughs total</t>
  </si>
  <si>
    <t>Purchase of corn total</t>
  </si>
  <si>
    <t>Cost of carts and wagons total</t>
  </si>
  <si>
    <t>Cost of dairy total</t>
  </si>
  <si>
    <t>Purchase of stock total</t>
  </si>
  <si>
    <t>Sheepcote total</t>
  </si>
  <si>
    <t>Cost of buildings total</t>
  </si>
  <si>
    <t>Threshing total</t>
  </si>
  <si>
    <t>Barley expenses</t>
  </si>
  <si>
    <t>Expenses of the harvest total</t>
  </si>
  <si>
    <t>Necessary expenses</t>
  </si>
  <si>
    <t>Wages of the bailiff</t>
  </si>
  <si>
    <t>Steward's expenses total</t>
  </si>
  <si>
    <t>Annual fees</t>
  </si>
  <si>
    <t>Total of all expenses per account</t>
  </si>
  <si>
    <t>Total of all expenses (calculated here)</t>
  </si>
  <si>
    <t>Total fixed investment</t>
  </si>
  <si>
    <t>Total Demesne fixed investment</t>
  </si>
  <si>
    <t>Owed by the reeve</t>
  </si>
  <si>
    <t>From accounts</t>
  </si>
  <si>
    <t>Allowances</t>
  </si>
  <si>
    <t>Cash deliveries</t>
  </si>
  <si>
    <t>Sum of the above</t>
  </si>
  <si>
    <t>Total of all allowances and cash deliveries in accounts</t>
  </si>
  <si>
    <t>Net amount owed</t>
  </si>
  <si>
    <t>Net amount owed in accounts</t>
  </si>
  <si>
    <t xml:space="preserve">GRANGE ACCOUNT </t>
  </si>
  <si>
    <t>Total Production</t>
  </si>
  <si>
    <t>Grange</t>
  </si>
  <si>
    <t>qrs</t>
  </si>
  <si>
    <t>Value of total gross production in £</t>
  </si>
  <si>
    <t>Value of total net production in £</t>
  </si>
  <si>
    <t>wheat</t>
  </si>
  <si>
    <t>curall</t>
  </si>
  <si>
    <t>rye</t>
  </si>
  <si>
    <t>maslin</t>
  </si>
  <si>
    <t>bere</t>
  </si>
  <si>
    <t>barley</t>
  </si>
  <si>
    <t>oats</t>
  </si>
  <si>
    <t>peas</t>
  </si>
  <si>
    <t>vetches</t>
  </si>
  <si>
    <t>Total value of gross production (sum of the above)</t>
  </si>
  <si>
    <t>Total value of net production</t>
  </si>
  <si>
    <t>Value of sales</t>
  </si>
  <si>
    <t>MILL ACCOUNT</t>
  </si>
  <si>
    <t>Issues of the mill</t>
  </si>
  <si>
    <t>Wheat</t>
  </si>
  <si>
    <t>Oatmeal</t>
  </si>
  <si>
    <t>1st grade malt</t>
  </si>
  <si>
    <t>2nd grade malt</t>
  </si>
  <si>
    <t>Maslin</t>
  </si>
  <si>
    <t>Total value of production (sum of the above)</t>
  </si>
  <si>
    <t>STOCK ACCOUNT</t>
  </si>
  <si>
    <t>Livestock</t>
  </si>
  <si>
    <t>Sales value in £</t>
  </si>
  <si>
    <t>Cart-horses</t>
  </si>
  <si>
    <t>Mares</t>
  </si>
  <si>
    <t>Plough horses</t>
  </si>
  <si>
    <t>Colts (2 years)</t>
  </si>
  <si>
    <t>Colts (1 year)</t>
  </si>
  <si>
    <t>Foals</t>
  </si>
  <si>
    <t>Oxen</t>
  </si>
  <si>
    <t>Bulls</t>
  </si>
  <si>
    <t>Cows</t>
  </si>
  <si>
    <t>Steers</t>
  </si>
  <si>
    <t>Bullocks</t>
  </si>
  <si>
    <t>Yearlings</t>
  </si>
  <si>
    <t>Calves</t>
  </si>
  <si>
    <t>Wethers</t>
  </si>
  <si>
    <t>Rams</t>
  </si>
  <si>
    <t>Ewes</t>
  </si>
  <si>
    <t>Hoggs</t>
  </si>
  <si>
    <t>Lambs</t>
  </si>
  <si>
    <t>Boars</t>
  </si>
  <si>
    <t>Sows</t>
  </si>
  <si>
    <t>Pigs</t>
  </si>
  <si>
    <t>Hoggets</t>
  </si>
  <si>
    <t>Piglets</t>
  </si>
  <si>
    <t>Swans</t>
  </si>
  <si>
    <t>Peacocks</t>
  </si>
  <si>
    <t>Total value of stock (sum of the above)</t>
  </si>
  <si>
    <t>Total value of production</t>
  </si>
  <si>
    <t>Wool</t>
  </si>
  <si>
    <t>Value of production at sales prices £</t>
  </si>
  <si>
    <t>Coarse wool</t>
  </si>
  <si>
    <t>Lamb's wool</t>
  </si>
  <si>
    <t>Wool locks</t>
  </si>
  <si>
    <t>Wool sold at shearing</t>
  </si>
  <si>
    <t>Hides</t>
  </si>
  <si>
    <t>Ox hides</t>
  </si>
  <si>
    <t>Cow hides</t>
  </si>
  <si>
    <t>Mare hides</t>
  </si>
  <si>
    <t>Steer hides</t>
  </si>
  <si>
    <t>Yearling Calf hides</t>
  </si>
  <si>
    <t>Calf hides</t>
  </si>
  <si>
    <t>Pig hides</t>
  </si>
  <si>
    <t>Wether woolskins</t>
  </si>
  <si>
    <t>Ram woolskins</t>
  </si>
  <si>
    <t>Ewe woolskins</t>
  </si>
  <si>
    <t>Hogg woolskins</t>
  </si>
  <si>
    <t>Woolskins (total)</t>
  </si>
  <si>
    <t>Wether bareskins</t>
  </si>
  <si>
    <t>Ram bareskins</t>
  </si>
  <si>
    <t>Ewe bareskins</t>
  </si>
  <si>
    <t>Hogg bareskins</t>
  </si>
  <si>
    <t>Bareskins (total)</t>
  </si>
  <si>
    <t>Lambskins</t>
  </si>
  <si>
    <t>Rotted skins</t>
  </si>
  <si>
    <t>Shorn skins</t>
  </si>
  <si>
    <t>Poultry stock</t>
  </si>
  <si>
    <t>Hens</t>
  </si>
  <si>
    <t>Geese</t>
  </si>
  <si>
    <t>Capons (from chickens)</t>
  </si>
  <si>
    <t>Cocks &amp; hens</t>
  </si>
  <si>
    <t>Poultry production</t>
  </si>
  <si>
    <t>Eggs</t>
  </si>
  <si>
    <t>Cocks &amp; hens from churchscot of customary tenants</t>
  </si>
  <si>
    <t>Sum of above</t>
  </si>
  <si>
    <t>Total value of stock</t>
  </si>
  <si>
    <t>Dairy Production</t>
  </si>
  <si>
    <t>Butter</t>
  </si>
  <si>
    <t>Winter Cheese</t>
  </si>
  <si>
    <t>Summer Cheese</t>
  </si>
  <si>
    <t>Total Production Value of all Output (Grange, Dairy, Livestock Sales, Wools, Skins - NO Mill)</t>
  </si>
  <si>
    <t>Total Sales Value of all Output as defined above</t>
  </si>
  <si>
    <t>Total Sales of Corn + Issues of the Manor as recorded in account</t>
  </si>
  <si>
    <t>Production Value + Cash Receipts (excl. Arrears, Issues, Corn and Mill)</t>
  </si>
  <si>
    <t>% of capital expenses in terms of total production</t>
  </si>
  <si>
    <t>% of capital expenses in terms of total production + cash receipts</t>
  </si>
  <si>
    <r>
      <t xml:space="preserve">% of capital expenses as </t>
    </r>
    <r>
      <rPr>
        <b/>
        <i/>
        <sz val="12"/>
        <color rgb="FF000000"/>
        <rFont val="Calibri"/>
        <family val="2"/>
        <scheme val="minor"/>
      </rPr>
      <t>calculated previously</t>
    </r>
  </si>
  <si>
    <t>DROXFORD RECEIPTS</t>
  </si>
  <si>
    <t>Heading</t>
  </si>
  <si>
    <t>£</t>
  </si>
  <si>
    <t xml:space="preserve">s </t>
  </si>
  <si>
    <t>d</t>
  </si>
  <si>
    <t>Notes</t>
  </si>
  <si>
    <t>Arrears</t>
  </si>
  <si>
    <t>Robert de Froyle, bailiff, and William ate Hatth', reeve, render account for £25 18 shilling 9.75pence of arrears from the previous year.</t>
  </si>
  <si>
    <t>All delivered to Sir Geoffrey, treasurer of Wolvesey, by 1 tally.</t>
  </si>
  <si>
    <t>They are quit.</t>
  </si>
  <si>
    <t>Total</t>
  </si>
  <si>
    <t>Rents of assize</t>
  </si>
  <si>
    <t>The same render account for £2 18 shilling 5pence from ox-gavel (oxeye) at the feast of St Thomas the Apostle (21 December).</t>
  </si>
  <si>
    <t>17 shilling 10.5pence from wood-gavel (wodegavel) at Lammas (1 August).</t>
  </si>
  <si>
    <t>£20 19 shilling 3.5pence for rents of assize at Michaelmas (29 September).</t>
  </si>
  <si>
    <t>Total, £24 15 shilling 7.5pence</t>
  </si>
  <si>
    <t>Quittances</t>
  </si>
  <si>
    <t>In quittance of 3 ploughmen, 2 shepherds and 1 smith for the year 7 shilling 6pence, or 1 shilling 3pence each.</t>
  </si>
  <si>
    <t>the same for ox-gavel 6pence.</t>
  </si>
  <si>
    <t xml:space="preserve">1 keeper of lambs from the Nativity of St John the Baptist to Michaelmas, for 1 term, 3.75pence </t>
  </si>
  <si>
    <t>Total, 8 shilling 3.75pence</t>
  </si>
  <si>
    <t>Defaults of rent</t>
  </si>
  <si>
    <t>In default of the land of William de Swanemere for ox-gavel because he is made free 7pence.</t>
  </si>
  <si>
    <t>the land of Horn for the same 1 shilling.</t>
  </si>
  <si>
    <t>the land of Thomas de la Steple for the same 2 shilling 4pence.</t>
  </si>
  <si>
    <t>the land of Boarhunt which is called Wolfrenelond' 5 shilling.</t>
  </si>
  <si>
    <t>the chief tenement formerly of John de Molendino for ox-gavel 2.5pence, because it should in fact be put in the increment of rent by charter of the lord.</t>
  </si>
  <si>
    <t>the other tenement which the same John held, which he took on according to custom from St Swithun's whilst the manor was in their hands, for ox-gavel, 3.5pence, for the reason as before.</t>
  </si>
  <si>
    <t>a certain tenement which the same John held which was formerly a relief 7pence, for the reason as before.</t>
  </si>
  <si>
    <t>Total, 10 shilling</t>
  </si>
  <si>
    <t>Total of quittances and defaults of rent</t>
  </si>
  <si>
    <t>Total of quittances and defaults of rent, 18 shilling 3.75pence</t>
  </si>
  <si>
    <t>Total of rents remaining</t>
  </si>
  <si>
    <t>Total of rents remaining, £23 17 shilling 3.75pence</t>
  </si>
  <si>
    <t>Farm of the mill</t>
  </si>
  <si>
    <t>The same render account for £3 for the rent of the mill let at fee-farm.</t>
  </si>
  <si>
    <t>Total, £3.</t>
  </si>
  <si>
    <t>Annual recognizance</t>
  </si>
  <si>
    <t>The same render account for 3pence from Walter Molendinarius for annual recognizance.</t>
  </si>
  <si>
    <t>6pence from William le Careter for the same.</t>
  </si>
  <si>
    <t>6pence from William.</t>
  </si>
  <si>
    <t>6pence from William le YI so that he may serve outside the manor, and yet pay suit to his tithing at the steward's tourns as a villein as before.</t>
  </si>
  <si>
    <t>Total, 1 shilling 3pence</t>
  </si>
  <si>
    <t>Cumin</t>
  </si>
  <si>
    <t>The same render account for 1 lb of cumin from the rent of John, son of Henry le Careter.</t>
  </si>
  <si>
    <t>delivered to Wolvesey.</t>
  </si>
  <si>
    <t>Bows and arrows</t>
  </si>
  <si>
    <t>The same render account for 1 shilling from John de Worsted' for 1 bow and 12 arrows for 2 virgates of land which belonged to John Coleman de Shidefeld' and 1 ferling of land which belonged to Richard Crall' in the same vill, which he has by gift of lord John, bishop of Winchester, rendering at Easter according to the contents of his charter which he has from the said bishop and the whole convent of St Swithun's.</t>
  </si>
  <si>
    <t>Total, 1 shilling</t>
  </si>
  <si>
    <t>Issues of the manor</t>
  </si>
  <si>
    <t>The same render account for £1 11 shilling 2.5 pence from pannage of pigs at Martinmas, at 2pence a pig over a year old, 1.5pence a pig of 3 terms, 1pence a pig of .5 year, and .5pence a piglet, and moreover, 1 pig and 1 piglet from pannage this year because each of those who have 10 pigs in the manor will give 1 pig.</t>
  </si>
  <si>
    <t>nothing from winter pasturage this year because it was not able to be sold.</t>
  </si>
  <si>
    <t>10pence from summer pasturage sold there this year.</t>
  </si>
  <si>
    <t>nothing from the pasturage of various places nor from the pasturage in Forcrofte this year for the lord's stock.</t>
  </si>
  <si>
    <t>3 shilling 9pence from 18 geese sold.</t>
  </si>
  <si>
    <t>3 shilling 10pence from 46 hens sold.</t>
  </si>
  <si>
    <t>3 shilling 0.75pence from 1,050 eggs sold.</t>
  </si>
  <si>
    <t>3 shilling from 6 bushels of nuts sold from the wood according to custom.</t>
  </si>
  <si>
    <t>1 shilling 6pence from loppings in Suthwild' sold this year from timber felled for ploughs.</t>
  </si>
  <si>
    <t>nothing from dead trees and dead wood in Haslholte nor from underwood in la Fronches' this year.</t>
  </si>
  <si>
    <t>8 shilling from the whole hundred for release from carrying the hay of Nutschellyng'.</t>
  </si>
  <si>
    <t>19 shilling from 9.5 virgates of land for release from carrying-service.</t>
  </si>
  <si>
    <t>6pence from John Maynard for 1 piglet.</t>
  </si>
  <si>
    <t>4 shilling 9.25pence from Fyslod'.</t>
  </si>
  <si>
    <t>12 shilling 4.5pence from 2 quarters .5 bushels of rye from churchscot sold.</t>
  </si>
  <si>
    <t>5 shilling 1.5pence for release from carrying wood felled in preparation for Christmas this year.</t>
  </si>
  <si>
    <t>14 shilling 3pence from transport-service sold this year.</t>
  </si>
  <si>
    <t>3 shilling 11 pence from dairy produce sold at the audit.</t>
  </si>
  <si>
    <t xml:space="preserve">Total, £5 15 shilling 1.5pence </t>
  </si>
  <si>
    <t>And for 10 shilling from 1 old cart-horse sold.</t>
  </si>
  <si>
    <t>9 shilling from 2 old plough-horses sold, at 3 shilling for 1, and 6 shilling for 1.</t>
  </si>
  <si>
    <t>9 shilling from 1 old ox sold.</t>
  </si>
  <si>
    <t>£1 12 shilling 6pence from 4 old cows sold, at 7s .3pence each for 2, and 9 shilling each for 2.</t>
  </si>
  <si>
    <t>6 shilling from 6 late-born calves sold, at 1 shilling each.</t>
  </si>
  <si>
    <t>£1 14 shilling from 34 wethers sold at Martinmas, at 1 shilling each.</t>
  </si>
  <si>
    <t>£2 from 40 ewes sold.</t>
  </si>
  <si>
    <t>£3 3 shilling 4pence from 25 pigs sold at Martinmas, at 2 shilling 4pence each for 10, and 2 shilling 8pence each for 15.</t>
  </si>
  <si>
    <t>10 shilling from 48 feeble lambs sold, at 2.5pence each.</t>
  </si>
  <si>
    <t>nothing from coarse wool and lamb's-wool here because it is sent to Wolvesey.</t>
  </si>
  <si>
    <t>6 shilling 1.5pence from 7 cloves of wool locks sold, at 101 pence a clove.</t>
  </si>
  <si>
    <t>10 shilling 5pence from the skins sold of 18 wethers, 17 ewes and 19 hoggs in murrain before shearing, at 3pence a skin of wethers, 2.5pence a skin of ewes, and 1.5pence a skin of hoggs.</t>
  </si>
  <si>
    <t>1 shilling 9pence from the skins sold wholesale of 13 wethers and 5 ewes in murrain after shearing.</t>
  </si>
  <si>
    <t>2 shilling 2pence from the skins sold of 26 lambs in murrain before weaning, at 1pence a skin.</t>
  </si>
  <si>
    <t>1 shilling 3.75pence from the skins sold of 21 rotted sheep in murrain after weaning, at 0.75pence a skin.</t>
  </si>
  <si>
    <t>4pence from the skins sold of 12 lambs in murrain after shearing.</t>
  </si>
  <si>
    <t>2 shilling from the hide sold of 1 ox dead from murrain.</t>
  </si>
  <si>
    <t>8pence from the hide sold of 1 bullock dead from murrain.</t>
  </si>
  <si>
    <t>£1 4 shilling from 2 casks of cider sold apart from the vessels.</t>
  </si>
  <si>
    <t>3 shilling from 9.5 cloves of rowen cheese sold.</t>
  </si>
  <si>
    <t>£2 15 shilling 3pence from 6.5 weys of summer cheese sold, at 8 shilling 6pence a wey.</t>
  </si>
  <si>
    <t>4 shilling 6.5pence from 0.5 wey 1 clove of butter sold</t>
  </si>
  <si>
    <t>Total, £16 5 shilling 4.75pence</t>
  </si>
  <si>
    <t>Sale of corn</t>
  </si>
  <si>
    <t>The same render account for £12 1 shilling 3.5pence from 42 quarters 2.5 bushels of wheat sold, at 4 shilling 8d a qr for 5.5 quarters, 5 shilling a qr for 17.5 quarters 3 bushels, and 6 shilling 8pence a qr for 18.5 quarters.</t>
  </si>
  <si>
    <t>£1 1 shilling 3pence from 6 quarters 3 bushels of curall sold, at 3 shilling 4pence a qr.</t>
  </si>
  <si>
    <t>1 shilling 4pence from 4 bushels of maslin sold.</t>
  </si>
  <si>
    <t>£1 16 shilling 8pence from 11 quarters of bere sold, at 3 shilling 4pence a qr.</t>
  </si>
  <si>
    <t>£6 9 shilling 9pence from 34 quarters 1 bushels of barley sold, at 3 shilling 4pence a qr for 10 quarters 1 bushels, and 4 shilling a qr for 24 quarters.</t>
  </si>
  <si>
    <t>£4 3 shilling 2pence from 34.5 quarters 2 bushels of oats sold, at 2 shilling a qr for 14 quarters 2 bushels, and 2 shilling 8pence a qr for 20.5.</t>
  </si>
  <si>
    <t>£1 9pence from 9.5quarters 1 bus of peas sold, at 2 shilling a qr for 7 quarters 3 bushels, and 2 shilling 8pence a qr for 2 quarters 2 bushels.</t>
  </si>
  <si>
    <t xml:space="preserve">£1 5 shilling 6.5 from 14 quarters 3 bushels of vetches sold, at 1 shilling 4pence a qr for 8 quarters for 6 quarters 3 bushels </t>
  </si>
  <si>
    <t>Total, £27 19 shilling 9pence</t>
  </si>
  <si>
    <t>Entry and marriage fines</t>
  </si>
  <si>
    <t>The same render account for 10 shilling from Alice, relict of Cuppyng Breton, to retain 1 messuage and' virgate of land which belonged to her husband.</t>
  </si>
  <si>
    <t>£1 from John Seyle to have 1 messuage and 0.5 virgate of land which belonged to Isabel his mother whose heir he is.</t>
  </si>
  <si>
    <t>2 shilling from William le Y1 to have 1 messuage and 1 ferling which belonged to Alice his mother whose heir he is.</t>
  </si>
  <si>
    <t>4 shilling from Joan la Hore to have 1 messuage and .5 virgate of land which belonged to John, son of her uncle, whose heir she is.</t>
  </si>
  <si>
    <t>6 shilling 8pence from John Chapelay of Hawkley to have Joan la Hore with .5 virgate of her land.</t>
  </si>
  <si>
    <t>1 shilling from Guy Gamnoky to have 2 day-works of land by surrender of Richard de Seleford', and the said Guy will relieve the said Richard of 1pence annual rent for the year.</t>
  </si>
  <si>
    <t>Total, £2 3 shilling 8pence</t>
  </si>
  <si>
    <t>Perquisites</t>
  </si>
  <si>
    <t>The same render account for 2 shilling from Peter de Brok, overseer of the harvest, for keeping the lord's fields and pastures badly.</t>
  </si>
  <si>
    <t>16 shilling 3pence from various men for various transgressions.</t>
  </si>
  <si>
    <t>Total, 18 shilling 3pence</t>
  </si>
  <si>
    <t>Total of all receipts recorded in accounts</t>
  </si>
  <si>
    <t>Total of all receipts, £80 1 shilling 9pence</t>
  </si>
  <si>
    <t>Total cross-check without arrears</t>
  </si>
  <si>
    <t>Total cross-check with arrears</t>
  </si>
  <si>
    <t>DROXFORD EXPENSES</t>
  </si>
  <si>
    <t>Fixed investment</t>
  </si>
  <si>
    <t>Demesne fixed investment</t>
  </si>
  <si>
    <t>Cost of ploughs</t>
  </si>
  <si>
    <t>In iron and steel bought for 2 ploughs for the year and three ploughs for 1 term 6 shilling 10.5pence.</t>
  </si>
  <si>
    <t>1 ploughshare bought 9pence.</t>
  </si>
  <si>
    <t>1 plough made anew and others mended 5pence.</t>
  </si>
  <si>
    <t>trimming timber 3pence.</t>
  </si>
  <si>
    <t>3 plough feet bought 1 shilling 3pence.</t>
  </si>
  <si>
    <t>fitting the said plough with iron tyres 1.5pence.</t>
  </si>
  <si>
    <t>3 pairs of wheels bought for the same 1 shilling.</t>
  </si>
  <si>
    <t>3 halters made from the horses' own hair (de proprio pilo) 0.75pence.</t>
  </si>
  <si>
    <t>shoeing 2 plough-horses 2 shilling 6pence, because the smith shoes 2 according to custom.</t>
  </si>
  <si>
    <t>spreading dung 1 shilling 4pence.</t>
  </si>
  <si>
    <t>2 harrows made anew with others mended 4pence.</t>
  </si>
  <si>
    <t>stipend of 1 drover for the year 3 shilling.</t>
  </si>
  <si>
    <t>stipend of 1 drover for 1 term 9pence.</t>
  </si>
  <si>
    <t>stipend of 2 ploughmen who are sometimes carters for the year 6 shilling.</t>
  </si>
  <si>
    <t>4 oxen £2 1 shilling 3pence, at 10 shilling each for 3, and 11 shilling 3pence for 1..</t>
  </si>
  <si>
    <t xml:space="preserve">forage bought 8 shilling </t>
  </si>
  <si>
    <t>Total, £3 13 shilling 10.75pence</t>
  </si>
  <si>
    <t>Cost of carts</t>
  </si>
  <si>
    <t>In 1 pair of wheels bought for clearing dung 1 shilling 10pence.</t>
  </si>
  <si>
    <t>large nails bought for mending the cart 1 shilling 2.5pence.</t>
  </si>
  <si>
    <t>fitting the cart with axles with axles bought for the same 7pence.</t>
  </si>
  <si>
    <t>2 collars bought 1 shilling 2pence.</t>
  </si>
  <si>
    <t>1 pair of saddle-pads 6pence.</t>
  </si>
  <si>
    <t>clouts, nails and grease bought 9.5pence.</t>
  </si>
  <si>
    <t>1 pair of traces bought 4.5pencetethering.</t>
  </si>
  <si>
    <t>1 rope bought for horses in the pasture 3pence.</t>
  </si>
  <si>
    <t>2 halters bought 3pence.</t>
  </si>
  <si>
    <t>shoeing 2 cart-horses for the year 3 shilling 6pence.</t>
  </si>
  <si>
    <t>1 cart-horse bought 19 shilling 1 pence.</t>
  </si>
  <si>
    <t xml:space="preserve">3 pieces of iron for 3 shovels 6pence </t>
  </si>
  <si>
    <t>Total, £1 10 shilling 0.5pence</t>
  </si>
  <si>
    <t>Dairy</t>
  </si>
  <si>
    <t>In 7 bushels of salt bought for the dairy, 1 shilling 9pence this year, with the expenses of the harvest.</t>
  </si>
  <si>
    <t>earthenware pots and pans bought for the same 4pence.</t>
  </si>
  <si>
    <t>woollen and linen cloth 9pence.</t>
  </si>
  <si>
    <t>a press bought 5pence.</t>
  </si>
  <si>
    <t>1 stall made anew for bullocks 4pence.</t>
  </si>
  <si>
    <t>15 ells of canvas bought for putting wool in 4 shilling 4.5pence, at 3.5pence an ell.</t>
  </si>
  <si>
    <t>castrating piglets 1pence.</t>
  </si>
  <si>
    <t>1 tripod bought 8pence.</t>
  </si>
  <si>
    <t>1 tine bought for carrying cider 5pence.</t>
  </si>
  <si>
    <t>3 empty casks bought for putting cider in 7 shilling 2pence.</t>
  </si>
  <si>
    <t>hooping and mending 6 casks 2 shilling 2pence.</t>
  </si>
  <si>
    <t>stipend of 1 dairymaid for the year 2 shilling.</t>
  </si>
  <si>
    <t xml:space="preserve">stipend of 1 cowherd for 3 terms 1 shilling 6pence </t>
  </si>
  <si>
    <t>Total, £1 1 shilling 11.5pence</t>
  </si>
  <si>
    <t>Sheepcote</t>
  </si>
  <si>
    <t>In 16 hurdles made for the fold 8pence.</t>
  </si>
  <si>
    <t>6 hurdles made for the pen (lokett') with withies collected for the same 2pence.</t>
  </si>
  <si>
    <t>re-roofing the ewe-house in places 1 shilling 4pence.</t>
  </si>
  <si>
    <t>re-roofing the wether-house in places 8pence.</t>
  </si>
  <si>
    <t>wattling the fold with withies and stubble collected for the same 1 shilling 4.5pence.</t>
  </si>
  <si>
    <t xml:space="preserve">fat, vinegar and copperas with the stipend of the man greasing the sheep (ung')16 shilling 1pence </t>
  </si>
  <si>
    <t>Total, £1 3.5pence</t>
  </si>
  <si>
    <t>Cost of buildings</t>
  </si>
  <si>
    <t>In building the cow-shed anew with a carpenter for the same by piece-work 10 shilling.</t>
  </si>
  <si>
    <t>making 1,500 laths for the same 1 shilling.</t>
  </si>
  <si>
    <t>3,000 nails bought 2 shilling 4pence.</t>
  </si>
  <si>
    <t>re-roofing the said building by piece-work 2 shilling 8pence.</t>
  </si>
  <si>
    <t>re-roofing in places the bailiff's room, small barn, dairy building' and cart-house 1 shilling 8.5pence.</t>
  </si>
  <si>
    <t>stubble collected for the same 10pence.</t>
  </si>
  <si>
    <t>hedging to enclose around the garden 9pence.</t>
  </si>
  <si>
    <t>pulling down the fencing for the same 8pence.</t>
  </si>
  <si>
    <t>mending the walls of the great barn and putting in sills 1 shilling.</t>
  </si>
  <si>
    <t>mending the pig¬sty at Haselholte 3pence.</t>
  </si>
  <si>
    <t>1 lock bought for the door of the great barn 3pence.</t>
  </si>
  <si>
    <t xml:space="preserve">building a stack of forage in the curia 1 shilling 1pence </t>
  </si>
  <si>
    <t>Total, £1 2 shilling 6.5pence</t>
  </si>
  <si>
    <t>Threshing</t>
  </si>
  <si>
    <t>In threshing and winnowing 49 quarters 1 bushels of wheat, curall and maslin by piece-work 11 shilling 2.75pence, at 2.75pence a heaped quarter.</t>
  </si>
  <si>
    <t>threshing and winnowing 78 quarters of bere and barley by piece-work 11 shilling 4.5pence, at 1.75pence a heaped quarter.</t>
  </si>
  <si>
    <t>threshing and winnowing 75 quarters of oats 5 shilling 5.5pence, at 0.75pence a heaped quarter, and 0.25pence per 2 quarters winnowepence.</t>
  </si>
  <si>
    <t>threshing and winnowing 25 quarters 3 bushels of peas and vetches by piece-work 4 shilling 9pence, at 2.25pence a heaped quarter.</t>
  </si>
  <si>
    <t>1 sack bought 5.5pence.</t>
  </si>
  <si>
    <t>1 basket bought for corn 2.5pence</t>
  </si>
  <si>
    <t xml:space="preserve"> Total, £1 13 shilling 5.75pence</t>
  </si>
  <si>
    <t>Harvest-time</t>
  </si>
  <si>
    <t>In weeding all the corn over and above that weeded by labour service 3 shilling 9pence.</t>
  </si>
  <si>
    <t>herrings bought for 6 boon-works of 590 men having two meals a day and 4 herrings each, and for 7 boon-works of 660 men having 1 meal a day and 2 herrings each, 18 shilling 2.5pence.</t>
  </si>
  <si>
    <t xml:space="preserve">expenses of the reeve, hayward and other officials of the curia from Lammas (1 August) until the Decollation of St John the Baptist (29 August), for 4 weeks, 5 shilling 4pence </t>
  </si>
  <si>
    <t>Total, £1 7 shilling 3.5 pence</t>
  </si>
  <si>
    <t>Expenses of the steward</t>
  </si>
  <si>
    <t>In expenses of the steward for 2 tourns by 1 tally 2 shilling.</t>
  </si>
  <si>
    <t>expenses of Roger, bailiff from Michaelmas until Christmas, for his visits 3 shilling.</t>
  </si>
  <si>
    <t xml:space="preserve">expenses of Robert, bailiff from Christmas until Michaelmas, for his visits 5 shilling 3pence </t>
  </si>
  <si>
    <t>Total, 10 shilling 3pence</t>
  </si>
  <si>
    <t>Total of all expenses</t>
  </si>
  <si>
    <t>Total of all expenses, £10 19 shilling 9pence</t>
  </si>
  <si>
    <t>And he owes</t>
  </si>
  <si>
    <t>And he owes, £68 2 shilling</t>
  </si>
  <si>
    <t>Gross Output</t>
  </si>
  <si>
    <t>Total Quantity</t>
  </si>
  <si>
    <t>Account Total Quarters</t>
  </si>
  <si>
    <t>Bought in Total Quarters</t>
  </si>
  <si>
    <t>Received from churchscot</t>
  </si>
  <si>
    <t>Sold Total Quarters</t>
  </si>
  <si>
    <t>Difference Produced+Bought-Sold</t>
  </si>
  <si>
    <t>Weighted Average Price per Quarter</t>
  </si>
  <si>
    <t>Value of Total Production weighted</t>
  </si>
  <si>
    <t>Sales of corn (as recorded in accounts)</t>
  </si>
  <si>
    <t>Net output</t>
  </si>
  <si>
    <t>Gross output</t>
  </si>
  <si>
    <t>Seed quarters</t>
  </si>
  <si>
    <t>Seed bushels</t>
  </si>
  <si>
    <t>Seed total quarters</t>
  </si>
  <si>
    <t>tithe quarters</t>
  </si>
  <si>
    <t>tithe bushels</t>
  </si>
  <si>
    <t>tithe total</t>
  </si>
  <si>
    <t>manorial servants quarters</t>
  </si>
  <si>
    <t>manorial servants bushels</t>
  </si>
  <si>
    <t>manorial servants total quarters</t>
  </si>
  <si>
    <t>output net of tithe, seed, liveries</t>
  </si>
  <si>
    <t>in stock from last year</t>
  </si>
  <si>
    <t>Price in £</t>
  </si>
  <si>
    <t>Value of net output in £</t>
  </si>
  <si>
    <t>Value of sales (in "Sale of Corn") in £</t>
  </si>
  <si>
    <t>DROXFORD STOCK ACCOUNT</t>
  </si>
  <si>
    <t>added</t>
  </si>
  <si>
    <t>subtracted</t>
  </si>
  <si>
    <t>Inherited stock</t>
  </si>
  <si>
    <t>strays</t>
  </si>
  <si>
    <t>herbage</t>
  </si>
  <si>
    <t>churchscot</t>
  </si>
  <si>
    <t>of which in default</t>
  </si>
  <si>
    <t>sold</t>
  </si>
  <si>
    <t>in murrain</t>
  </si>
  <si>
    <t>accounted for elsewhere</t>
  </si>
  <si>
    <t>End-period  stock</t>
  </si>
  <si>
    <t>cross-check</t>
  </si>
  <si>
    <t>stock building</t>
  </si>
  <si>
    <t>raw production</t>
  </si>
  <si>
    <t>Unit price (£)</t>
  </si>
  <si>
    <t>Value of stock  (£) at given value</t>
  </si>
  <si>
    <t>Value of stock  (£) at sales prices</t>
  </si>
  <si>
    <t>Sales in (£)</t>
  </si>
  <si>
    <t>Value of stock building (£)</t>
  </si>
  <si>
    <t>Value of production (£) at sales prices</t>
  </si>
  <si>
    <t>Details</t>
  </si>
  <si>
    <t>Colts (unspecified years)</t>
  </si>
  <si>
    <t>Total Value</t>
  </si>
  <si>
    <t>measured in cloves</t>
  </si>
  <si>
    <t>Total wool</t>
  </si>
  <si>
    <t>bullock</t>
  </si>
  <si>
    <t>Mare</t>
  </si>
  <si>
    <t>Steer</t>
  </si>
  <si>
    <t>calves</t>
  </si>
  <si>
    <t>pigs</t>
  </si>
  <si>
    <t>Woolskins</t>
  </si>
  <si>
    <t>wethers</t>
  </si>
  <si>
    <t>rams</t>
  </si>
  <si>
    <t>ewes</t>
  </si>
  <si>
    <t>hoggs</t>
  </si>
  <si>
    <t>Bareskins</t>
  </si>
  <si>
    <t xml:space="preserve">Total </t>
  </si>
  <si>
    <t>Total poultry stock</t>
  </si>
  <si>
    <t>Total poultry excluding churchscot</t>
  </si>
  <si>
    <t>Meat</t>
  </si>
  <si>
    <t>Beef</t>
  </si>
  <si>
    <t>Mutton</t>
  </si>
  <si>
    <t>Pork</t>
  </si>
  <si>
    <t>Cheese</t>
  </si>
  <si>
    <t>Winter cheese</t>
  </si>
  <si>
    <t>Summer cheese</t>
  </si>
  <si>
    <t>0.5 wey 1 clove</t>
  </si>
  <si>
    <t>Total Dairy Sales</t>
  </si>
  <si>
    <t>Cider</t>
  </si>
  <si>
    <t>Additional Information (not necessarily useful)</t>
  </si>
  <si>
    <t>Utensils</t>
  </si>
  <si>
    <t>ploughs</t>
  </si>
  <si>
    <t>carts</t>
  </si>
  <si>
    <t>cart-ropes</t>
  </si>
  <si>
    <t>corn baskets</t>
  </si>
  <si>
    <t>seed-sacks</t>
  </si>
  <si>
    <t>seed basket</t>
  </si>
  <si>
    <t>locks for the doors</t>
  </si>
  <si>
    <t>lead vessel</t>
  </si>
  <si>
    <t>brass pots</t>
  </si>
  <si>
    <t>pans</t>
  </si>
  <si>
    <t>tripods</t>
  </si>
  <si>
    <t>mortar</t>
  </si>
  <si>
    <t>axe</t>
  </si>
  <si>
    <t>casks</t>
  </si>
  <si>
    <t>tubs</t>
  </si>
  <si>
    <t>troughs</t>
  </si>
  <si>
    <t>bucket</t>
  </si>
  <si>
    <t>cheese basket</t>
  </si>
  <si>
    <t>tables</t>
  </si>
  <si>
    <t>table with trestles</t>
  </si>
  <si>
    <t>benches</t>
  </si>
  <si>
    <t>ewer with a basin</t>
  </si>
  <si>
    <t>ladders</t>
  </si>
  <si>
    <t>cloth</t>
  </si>
  <si>
    <t>brass posnets</t>
  </si>
  <si>
    <t>Sentence</t>
  </si>
  <si>
    <t>Total in Pounds</t>
  </si>
  <si>
    <t>Pounds</t>
  </si>
  <si>
    <t>Shillings</t>
  </si>
  <si>
    <t>Pence</t>
  </si>
  <si>
    <t>Corn</t>
  </si>
  <si>
    <t>Total Quarters Except 1</t>
  </si>
  <si>
    <t>Total Bushels Except 1</t>
  </si>
  <si>
    <t>Total Corn Cross-Check</t>
  </si>
  <si>
    <t>Total Corn Manorial Account</t>
  </si>
  <si>
    <t>Corn Quantity Error</t>
  </si>
  <si>
    <t>Quarters 1</t>
  </si>
  <si>
    <t>Bushels 1</t>
  </si>
  <si>
    <t>Quarters 2</t>
  </si>
  <si>
    <t>Bushels 2</t>
  </si>
  <si>
    <t>Quarters 3</t>
  </si>
  <si>
    <t>Bushels 3</t>
  </si>
  <si>
    <t>Quarters 4</t>
  </si>
  <si>
    <t>Bushels 4</t>
  </si>
  <si>
    <t>shilling a quarter 1</t>
  </si>
  <si>
    <t>pence a quarter 1</t>
  </si>
  <si>
    <t>shilling a quarter 2</t>
  </si>
  <si>
    <t>pence a quarter 2</t>
  </si>
  <si>
    <t>shilling a quarter 3</t>
  </si>
  <si>
    <t>pence a quarter 3</t>
  </si>
  <si>
    <t>shilling a quarter 4</t>
  </si>
  <si>
    <t>pence a quarter 4</t>
  </si>
  <si>
    <t>shilling a bushel 1</t>
  </si>
  <si>
    <t>pence a bushel 1</t>
  </si>
  <si>
    <t>shilling a bushel 2</t>
  </si>
  <si>
    <t>pence a bushel 2</t>
  </si>
  <si>
    <t>shilling a bushel 3</t>
  </si>
  <si>
    <t>pence a bushel 3</t>
  </si>
  <si>
    <t>shilling a bushel 4</t>
  </si>
  <si>
    <t>pence a bushel 4</t>
  </si>
  <si>
    <t>1 keeper of lambs from the Nativity of St John the Baptist to Michaelmas, for 1 term, 3.75pence Total, 8 shilling 3.75pence</t>
  </si>
  <si>
    <t>Total, £5 15 shilling 1.5pence And for 10 shilling from 1 old cart-horse sold.</t>
  </si>
  <si>
    <t>4 shilling 6.5pence from 0.5 wey 1 clove of butter solpence Total, £16 5 shilling 4.75pence</t>
  </si>
  <si>
    <t>The same render account for £12 1 shilling 3.5pence from 42 quarters 2.5 bushels of wheat sold, at 4 shilling 8d a quarters for 5.5 quarters, 5 shilling a quarters for 17.5 quarters 3 bushels, and 6 shilling 8pence a quarters for 18.5 quarters.</t>
  </si>
  <si>
    <t>£1 1 shilling 3pence from 6 quarters 3 bushels of curall sold, at 3 shilling 4pence a quarters.</t>
  </si>
  <si>
    <t>£1 16 shilling 8pence from 11 quarters of bere sold, at 3 shilling 4pence a quarters.</t>
  </si>
  <si>
    <t>£6 9 shilling 9pence from 34 quarters 1 bushels of barley sold, at 3 shilling 4pence a quarters for 10 quarters 1 bushels, and 4 shilling a quarters for 24 quarters.</t>
  </si>
  <si>
    <t>£4 3 shilling 2pence from 34.5 quarters 2 bushels of oats sold, at 2 shilling a quarters for 14 quarters 2 bushels, and 2 shilling 8pence a quarters for 20.5.</t>
  </si>
  <si>
    <t>£1 9pence from 9.5quarters 1 bushels of peas sold, at 2 shilling a quarters for 7 quarters 3 bushels, and 2 shilling 8pence a quarters for 2 quarters 2 bushels.</t>
  </si>
  <si>
    <t>£1 5 shilling 6.5 from 14 quarters 3 bushels of vetches sold, at 1 shilling 4pence a quarters for 8 quarters for 6 quarters 3 bushels Total, £27 19 shilling 9pence</t>
  </si>
  <si>
    <t>Total of both</t>
  </si>
  <si>
    <t>Total of both, £3 1 shilling 11pence</t>
  </si>
  <si>
    <t>Total of all receipts</t>
  </si>
  <si>
    <t>Total of all receipts, £80 1 s. 9pence</t>
  </si>
  <si>
    <t>.</t>
  </si>
  <si>
    <t>forage bought 8 shilling Total, £3 13 shilling 10.75pence</t>
  </si>
  <si>
    <t>In I pair of wheels bought for clearing dung 1 shilling 10pence.</t>
  </si>
  <si>
    <t>3 pieces of iron for 3 shovels 6pence Total, £1 10 shilling 0.5pence</t>
  </si>
  <si>
    <t>In 7 bushels of salt bought for the dairy, 1 shilling 9pence this year, with the expenses of.</t>
  </si>
  <si>
    <t>The harvest.</t>
  </si>
  <si>
    <t>stipend of 1 cowherd for 3 terms 1 shilling 6pence Total, £1 1 shilling 11.5pence</t>
  </si>
  <si>
    <t>fat, vinegar and copperas with the stipend of the man greasing the sheep (ung')16 shilling 1pence Total, £1 3.5pence</t>
  </si>
  <si>
    <t>building a stack of forage in the curia 1 shilling 1pence Total, £1 2 shilling 6.5pence</t>
  </si>
  <si>
    <t>curall, maslin, wheat</t>
  </si>
  <si>
    <t>vetches, peas</t>
  </si>
  <si>
    <t>1 basket bought for corn 2.5pence Total, £1 13 shilling 5.75pence</t>
  </si>
  <si>
    <t>expenses of the reeve, hayward and other officials of the curia from Lammas (1 August) until the Decollation of St John the Baptist (29 August), for 4 weeks, 5 shilling 4pence Total, £1 7 shilling 3.54.</t>
  </si>
  <si>
    <t>expenses of Robert, bailiff from Christmas until Michaelmas, for his visits 5 shilling 3pence Total, 10 shilling 3pence</t>
  </si>
  <si>
    <t>And he owes clear</t>
  </si>
  <si>
    <t>And he owes clear, £20 12 shilling</t>
  </si>
  <si>
    <t>{yield: 1 quarters 5 bushels}</t>
  </si>
  <si>
    <t>The same render account for 47.5 quarters from the whole issue of wheat by struck measure.</t>
  </si>
  <si>
    <t>10.5 quarters 2.5 bushels from churchscot.</t>
  </si>
  <si>
    <t>Total, 58 quarters 2.5 bushels</t>
  </si>
  <si>
    <t>Sown over 154.5 acres which lie in le Sorelond', Tonforlong', le Suthemestecrofte, and Fomden', 14.5 quarters.</t>
  </si>
  <si>
    <t>that is, 1.5 bushels over 2 acres.</t>
  </si>
  <si>
    <t>customary payment to 1 sower, 1 bushels.</t>
  </si>
  <si>
    <t>provision of 1 reeve, 1 hayward keeping the woods and pasture, and 1 beadle, from Lammas until the Decollation of St John the Baptist, for 4 weeks, 6 bushels Nothing for the provison of the steward this year.</t>
  </si>
  <si>
    <t>default of the land of Horn for churchscot, 2 bushels.</t>
  </si>
  <si>
    <t>the land of Tyle, 1.5 bushels.</t>
  </si>
  <si>
    <t>the reeve (le Reve), 0.5 bushels 1 peck.</t>
  </si>
  <si>
    <t>the land of the millward (le Meleward') 0.5 bushels 1 peck.</t>
  </si>
  <si>
    <t>Sold, 42 quarters 2.5 bushels It balances.</t>
  </si>
  <si>
    <t>Curall</t>
  </si>
  <si>
    <t>The same render account for 6 quarters 3 bushels from the whole issue of curall by struck measure.</t>
  </si>
  <si>
    <t>Sold, 6 quarters 3 bushels</t>
  </si>
  <si>
    <t>Rye</t>
  </si>
  <si>
    <t>The same render account for 2 quarters 0.5 bushels of rye from churchscot.</t>
  </si>
  <si>
    <t>Sold, 2 quarters 0.5 bushels</t>
  </si>
  <si>
    <t>{yield: two-fold plus . . . 1 bushels}</t>
  </si>
  <si>
    <t>The same render account for 7.5 quarters 1 bushels from the whole issue of maslin by struck measure.</t>
  </si>
  <si>
    <t>Mixed with barley, 7 quarters 1 bushels Sold, 4 bushels</t>
  </si>
  <si>
    <t>Bere</t>
  </si>
  <si>
    <t>{yield: . . . plus 6 bushels}</t>
  </si>
  <si>
    <t>The same render account for 25 quarters 2 bushels from the whole issue of bere by struck measure.</t>
  </si>
  <si>
    <t>Sown over 21 acres as they lie in le Grove, 5 quarters 2 bushels Mixed with barley for the liveries of the manorial servants, 9 quarters.</t>
  </si>
  <si>
    <t>Sold, 11 quarters.</t>
  </si>
  <si>
    <t>Barley</t>
  </si>
  <si>
    <t>(yield: 5-fold	. 1 quarters 1 bushels)</t>
  </si>
  <si>
    <t>The same render account for 73.5 quarters 1 bushels from the whole issue of barley by struck measure.</t>
  </si>
  <si>
    <t>7 quarters 1 bushels received above from maslin.</t>
  </si>
  <si>
    <t>9 quarters received above from bere.</t>
  </si>
  <si>
    <t>3 quarters 3 bushels, received from vetches for the liveries of the manorial servants.</t>
  </si>
  <si>
    <t>Total, 93 quarters 1 bushels</t>
  </si>
  <si>
    <t>Sown over 86 acres as they lie in le Harnesgate, le Grove, and Tonforlong' behind the garden, 16 quarters 1 bushels.</t>
  </si>
  <si>
    <t>that is, 1.5 bushels an acre.</t>
  </si>
  <si>
    <t>customary payment to 1 smith, 3 bushels.</t>
  </si>
  <si>
    <t>customary payment to 1 shepherd of ewes, 3 bushels Delivered to 1 hayward from Michaelmas until Lammas and from the Decollation of St John the Baptist until Michaelmas, because for 4 weeks at harvest-time he was at table, 6 quarters, taking a quarter every 8 weeks.</t>
  </si>
  <si>
    <t>Delivered to 2 ploughmen who were sometimes carters and 1 drover for the year, 17 quarters 2 bushels, taking a quarter every 9 weeks.</t>
  </si>
  <si>
    <t>Delivered to 1 dairymaid from Michaelmas until Lammas and from the Decollation of St John the Baptist until the following Michaelmas, 4 quarters, because she was at table for 4 weeks at harvest-time, taking a quarter every 12 weeks.</t>
  </si>
  <si>
    <t>Delivered to 1 keeper of lambs from weaning until Lammas, 1 quarters.</t>
  </si>
  <si>
    <t>Delivered to 1 cowherd for the year, 4 quarters 2 bushels, taking a quarter every 12 weeks.</t>
  </si>
  <si>
    <t>provision of the reeve and officials of the curia for 4 weeks at harvest-time, 2 quarters.</t>
  </si>
  <si>
    <t>customary provision, that is, in bread at harvest-time on account of the boon-works, 7.5 quarters.</t>
  </si>
  <si>
    <t>Sold, 34 quarters 1 bushels</t>
  </si>
  <si>
    <t>Oats</t>
  </si>
  <si>
    <t>{yield: three-fold less 8 quarters 6 bushels}</t>
  </si>
  <si>
    <t>The same render account for 93.5 quarters 2 bushels from the whole issue of oats by struck measure.</t>
  </si>
  <si>
    <t>14.5 quarters by estimation in sheaves given to oxen.</t>
  </si>
  <si>
    <t>Total, 108 quarters 2 bushels Sown over 225 acres which lie in Midelcrofte, Suthfeld', and Watcumb', 42 quarters 1 bushels.</t>
  </si>
  <si>
    <t>that is, 1.5 bushels an acre, less' bushels in all.</t>
  </si>
  <si>
    <t>customary payment to 1 hayward, 1 bushels.</t>
  </si>
  <si>
    <t>fodder of 2 cart-horses and 3 plough-horses hauling the ploughs, 15.5 quarters 3 bushels.</t>
  </si>
  <si>
    <t>supporting oxen by estimation in sheaves, 14.5 quarters.</t>
  </si>
  <si>
    <t>fodder of the steward's horses, 2 bushels.</t>
  </si>
  <si>
    <t>fodder of the horse of the bailiff and clerk for his visits, 5 bushels Sold, 34.5 quarters 2 bushels</t>
  </si>
  <si>
    <t>Peas</t>
  </si>
  <si>
    <t>{yield: four-fold less 1 bushels}</t>
  </si>
  <si>
    <t>The same render account for 11.5 quarters 3 bushels from the whole issue of peas by struck measure.</t>
  </si>
  <si>
    <t>Sown over 18 acres which lie in Hynhok', 2 quarters 2 bushels.</t>
  </si>
  <si>
    <t>that is, 1 bushels an acre.</t>
  </si>
  <si>
    <t>Sold, 9.5 quarters 1 bushels</t>
  </si>
  <si>
    <t>Vetches</t>
  </si>
  <si>
    <t>{yield: three-and-a-half-fold plus 2.5 bushels}</t>
  </si>
  <si>
    <t>The same render account for 9.5 quarters of vetches remaining from the previous year in the granary.</t>
  </si>
  <si>
    <t>10 quarters 3 bushels from the whole issue of vetches this year.</t>
  </si>
  <si>
    <t>Total, 19.5 quarters 3 bushels</t>
  </si>
  <si>
    <t>Sown over 18 acres as they lie in Yforlong' and Northden', 2 quarters 1 bushels.</t>
  </si>
  <si>
    <t>that is, 1 bushels an acre, less 1 bushels in all.</t>
  </si>
  <si>
    <t>Mixed above with barley, 3 quarters 3 bushels Sold, 14 quarters 3 bushels</t>
  </si>
  <si>
    <t>Cows: 21 remain from the previous year; 2 added from steers. Total, 23. 4 sold before calving; 19 remain.</t>
  </si>
  <si>
    <t>Steers: 6 remain from the previous year's bullocks.</t>
  </si>
  <si>
    <t>4 added to oxen, 2 to cows.</t>
  </si>
  <si>
    <t>none remain.</t>
  </si>
  <si>
    <t>Hoggs: 75 remain from the previous year's lambs; 19 in murrain before shearing; 22 added to wethers, 34 to ewes; none remain.</t>
  </si>
  <si>
    <t>Lambs: 299 from the offspring of the said ewes because 29 were sterile. 27 in tithe because skins before weaning assessed for tithe separately.</t>
  </si>
  <si>
    <t>29 in murrain before weaning, 21 after weaning and before shearing, 12 after shearing.</t>
  </si>
  <si>
    <t>2 in customary payment to 1 reeve and 1 shepherd.</t>
  </si>
  <si>
    <t>48 sold before shearing because feeble.</t>
  </si>
  <si>
    <t>Total, 139. 160 remain.</t>
  </si>
  <si>
    <t>Quarters 1_x</t>
  </si>
  <si>
    <t>Bushels 1_x</t>
  </si>
  <si>
    <t>Sown Quarters</t>
  </si>
  <si>
    <t>Sown Bushels</t>
  </si>
  <si>
    <t>Sown Total Quarters</t>
  </si>
  <si>
    <t>Bought in Quarters</t>
  </si>
  <si>
    <t>Bought in Bushels</t>
  </si>
  <si>
    <t>Tithe Quarters</t>
  </si>
  <si>
    <t>Tithe Bushels</t>
  </si>
  <si>
    <t>Tithe Total Quarters</t>
  </si>
  <si>
    <t>Manorial servants &amp; livestock Quarters</t>
  </si>
  <si>
    <t>Manorial servants &amp; livestock Bushels</t>
  </si>
  <si>
    <t>Manorial servants &amp; livestock Total Quarters</t>
  </si>
  <si>
    <t>Sold Quarters</t>
  </si>
  <si>
    <t>Sold Bushels</t>
  </si>
  <si>
    <t>Account Quarters</t>
  </si>
  <si>
    <t>Account Bushels</t>
  </si>
  <si>
    <t>bought only</t>
  </si>
  <si>
    <t>Quarters 1_y</t>
  </si>
  <si>
    <t>Bushels 1_y</t>
  </si>
  <si>
    <t>{yield: 1 qr 5 bushels}</t>
  </si>
  <si>
    <t>(yield: 5-fold	. 1 qr 1 bushels)</t>
  </si>
  <si>
    <t>3 quarters 3 bus, received from vetches for the liveries of the manorial servants.</t>
  </si>
  <si>
    <t>Delivered to 1 keeper of lambs from weaning until Lammas, 1 qr.</t>
  </si>
  <si>
    <t>Quarters 0</t>
  </si>
  <si>
    <t>Bushels 0</t>
  </si>
  <si>
    <t>£ a quarter 1</t>
  </si>
  <si>
    <t>£ a quarter 2</t>
  </si>
  <si>
    <t>£ a quarter 3</t>
  </si>
  <si>
    <t>£ a quarter 4</t>
  </si>
  <si>
    <t>Quarters Sold</t>
  </si>
  <si>
    <t>Non-Weighted Average Price per Quarter</t>
  </si>
  <si>
    <t>Corn lowercase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</si>
</sst>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Calibri"/>
      <family val="2"/>
      <scheme val="minor"/>
    </font>
    <font>
      <sz val="12"/>
      <color theme="1"/>
      <name val="Calibri"/>
      <family val="2"/>
      <scheme val="minor"/>
    </font>
    <font>
      <sz val="12"/>
      <color theme="1"/>
      <name val="Calibri"/>
      <family val="2"/>
      <scheme val="minor"/>
    </font>
    <font>
      <b/>
      <sz val="11"/>
      <name val="Calibri"/>
      <family val="2"/>
    </font>
    <font>
      <b/>
      <sz val="12"/>
      <color theme="1"/>
      <name val="Calibri"/>
      <family val="2"/>
      <scheme val="minor"/>
    </font>
    <font>
      <b/>
      <sz val="12"/>
      <color rgb="FF000000"/>
      <name val="Calibri"/>
      <family val="2"/>
      <scheme val="minor"/>
    </font>
    <font>
      <sz val="12"/>
      <color rgb="FF000000"/>
      <name val="Calibri"/>
      <family val="2"/>
      <scheme val="minor"/>
    </font>
    <font>
      <b/>
      <i/>
      <sz val="12"/>
      <color theme="1"/>
      <name val="Calibri"/>
      <family val="2"/>
      <scheme val="minor"/>
    </font>
    <font>
      <b/>
      <i/>
      <sz val="12"/>
      <color rgb="FF000000"/>
      <name val="Calibri"/>
      <family val="2"/>
      <scheme val="minor"/>
    </font>
    <font>
      <i/>
      <sz val="12"/>
      <color rgb="FF000000"/>
      <name val="Calibri"/>
      <family val="2"/>
      <scheme val="minor"/>
    </font>
    <font>
      <b/>
      <sz val="12"/>
      <color theme="1"/>
      <name val="Calibri (Body)"/>
    </font>
    <font>
      <sz val="11"/>
      <color rgb="FFFF0000"/>
      <name val="Calibri (Body)"/>
    </font>
    <font>
      <b/>
      <sz val="12"/>
      <name val="Calibri"/>
      <family val="2"/>
    </font>
    <font>
      <b/>
      <sz val="12"/>
      <color rgb="FFFF0000"/>
      <name val="Calibri (Body)"/>
    </font>
    <font>
      <i/>
      <sz val="12"/>
      <color theme="1"/>
      <name val="Calibri"/>
      <family val="2"/>
      <scheme val="minor"/>
    </font>
    <font>
      <b/>
      <sz val="10"/>
      <color rgb="FF000000"/>
      <name val="Tahoma"/>
      <family val="2"/>
    </font>
    <font>
      <sz val="10"/>
      <color rgb="FF000000"/>
      <name val="Tahoma"/>
      <family val="2"/>
    </font>
    <font>
      <b/>
      <sz val="12"/>
      <color rgb="FFFF0000"/>
      <name val="Calibri"/>
      <family val="2"/>
      <scheme val="minor"/>
    </font>
    <font>
      <b/>
      <sz val="11"/>
      <color theme="1"/>
      <name val="Calibri"/>
      <family val="2"/>
      <scheme val="minor"/>
    </font>
    <font>
      <b/>
      <sz val="11"/>
      <color rgb="FF000000"/>
      <name val="Calibri"/>
      <family val="2"/>
      <scheme val="minor"/>
    </font>
    <font>
      <sz val="11"/>
      <color rgb="FFFF0000"/>
      <name val="Calibri"/>
      <family val="2"/>
      <scheme val="minor"/>
    </font>
  </fonts>
  <fills count="11">
    <fill>
      <patternFill patternType="none"/>
    </fill>
    <fill>
      <patternFill patternType="gray125"/>
    </fill>
    <fill>
      <patternFill patternType="solid">
        <fgColor rgb="FFF2F2F2"/>
        <bgColor rgb="FF000000"/>
      </patternFill>
    </fill>
    <fill>
      <patternFill patternType="solid">
        <fgColor theme="0" tint="-4.9989318521683403E-2"/>
        <bgColor indexed="64"/>
      </patternFill>
    </fill>
    <fill>
      <patternFill patternType="solid">
        <fgColor theme="7" tint="0.79998168889431442"/>
        <bgColor indexed="64"/>
      </patternFill>
    </fill>
    <fill>
      <patternFill patternType="solid">
        <fgColor theme="7" tint="0.79998168889431442"/>
        <bgColor rgb="FF000000"/>
      </patternFill>
    </fill>
    <fill>
      <patternFill patternType="solid">
        <fgColor theme="0" tint="-4.9989318521683403E-2"/>
        <bgColor rgb="FF000000"/>
      </patternFill>
    </fill>
    <fill>
      <patternFill patternType="solid">
        <fgColor theme="6" tint="0.79998168889431442"/>
        <bgColor indexed="64"/>
      </patternFill>
    </fill>
    <fill>
      <patternFill patternType="solid">
        <fgColor rgb="FFFFFF00"/>
        <bgColor indexed="64"/>
      </patternFill>
    </fill>
    <fill>
      <patternFill patternType="solid">
        <fgColor theme="2"/>
        <bgColor indexed="64"/>
      </patternFill>
    </fill>
    <fill>
      <patternFill patternType="solid">
        <fgColor theme="9" tint="0.79998168889431442"/>
        <bgColor indexed="64"/>
      </patternFill>
    </fill>
  </fills>
  <borders count="14">
    <border>
      <left/>
      <right/>
      <top/>
      <bottom/>
      <diagonal/>
    </border>
    <border>
      <left style="thin">
        <color auto="1"/>
      </left>
      <right style="thin">
        <color auto="1"/>
      </right>
      <top style="thin">
        <color auto="1"/>
      </top>
      <bottom style="thin">
        <color auto="1"/>
      </bottom>
      <diagonal/>
    </border>
    <border>
      <left/>
      <right/>
      <top style="thin">
        <color indexed="64"/>
      </top>
      <bottom/>
      <diagonal/>
    </border>
    <border>
      <left/>
      <right/>
      <top/>
      <bottom style="thin">
        <color indexed="64"/>
      </bottom>
      <diagonal/>
    </border>
    <border>
      <left/>
      <right/>
      <top/>
      <bottom style="thin">
        <color rgb="FFA6A6A6"/>
      </bottom>
      <diagonal/>
    </border>
    <border>
      <left style="medium">
        <color indexed="64"/>
      </left>
      <right/>
      <top style="medium">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right/>
      <top/>
      <bottom style="thin">
        <color theme="0" tint="-0.34998626667073579"/>
      </bottom>
      <diagonal/>
    </border>
    <border>
      <left style="thin">
        <color indexed="64"/>
      </left>
      <right/>
      <top/>
      <bottom/>
      <diagonal/>
    </border>
    <border>
      <left/>
      <right style="thin">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1">
    <xf numFmtId="0" fontId="0" fillId="0" borderId="0"/>
  </cellStyleXfs>
  <cellXfs count="87">
    <xf numFmtId="0" fontId="0" fillId="0" borderId="0" xfId="0"/>
    <xf numFmtId="0" fontId="3" fillId="0" borderId="1" xfId="0" applyFont="1" applyBorder="1" applyAlignment="1">
      <alignment horizontal="center" vertical="top"/>
    </xf>
    <xf numFmtId="0" fontId="5" fillId="0" borderId="0" xfId="0" applyFont="1"/>
    <xf numFmtId="0" fontId="5" fillId="2" borderId="0" xfId="0" applyFont="1" applyFill="1"/>
    <xf numFmtId="0" fontId="6" fillId="0" borderId="0" xfId="0" applyFont="1"/>
    <xf numFmtId="0" fontId="2" fillId="0" borderId="0" xfId="0" applyFont="1"/>
    <xf numFmtId="0" fontId="7" fillId="3" borderId="2" xfId="0" applyFont="1" applyFill="1" applyBorder="1"/>
    <xf numFmtId="0" fontId="7" fillId="3" borderId="0" xfId="0" applyFont="1" applyFill="1"/>
    <xf numFmtId="0" fontId="8" fillId="2" borderId="0" xfId="0" applyFont="1" applyFill="1"/>
    <xf numFmtId="0" fontId="6" fillId="0" borderId="3" xfId="0" applyFont="1" applyBorder="1"/>
    <xf numFmtId="0" fontId="4" fillId="0" borderId="0" xfId="0" applyFont="1"/>
    <xf numFmtId="0" fontId="6" fillId="4" borderId="0" xfId="0" applyFont="1" applyFill="1"/>
    <xf numFmtId="0" fontId="9" fillId="4" borderId="0" xfId="0" applyFont="1" applyFill="1"/>
    <xf numFmtId="0" fontId="9" fillId="5" borderId="0" xfId="0" applyFont="1" applyFill="1"/>
    <xf numFmtId="0" fontId="9" fillId="2" borderId="0" xfId="0" applyFont="1" applyFill="1"/>
    <xf numFmtId="0" fontId="5" fillId="6" borderId="0" xfId="0" applyFont="1" applyFill="1"/>
    <xf numFmtId="0" fontId="5" fillId="3" borderId="0" xfId="0" applyFont="1" applyFill="1"/>
    <xf numFmtId="0" fontId="6" fillId="0" borderId="0" xfId="0" applyFont="1" applyAlignment="1">
      <alignment wrapText="1"/>
    </xf>
    <xf numFmtId="0" fontId="9" fillId="6" borderId="0" xfId="0" applyFont="1" applyFill="1"/>
    <xf numFmtId="0" fontId="6" fillId="0" borderId="4" xfId="0" applyFont="1" applyBorder="1"/>
    <xf numFmtId="0" fontId="6" fillId="0" borderId="0" xfId="0" applyFont="1" applyAlignment="1">
      <alignment horizontal="right"/>
    </xf>
    <xf numFmtId="0" fontId="6" fillId="0" borderId="4" xfId="0" applyFont="1" applyBorder="1" applyAlignment="1">
      <alignment horizontal="left"/>
    </xf>
    <xf numFmtId="0" fontId="6" fillId="3" borderId="5" xfId="0" applyFont="1" applyFill="1" applyBorder="1"/>
    <xf numFmtId="0" fontId="9" fillId="2" borderId="6" xfId="0" applyFont="1" applyFill="1" applyBorder="1"/>
    <xf numFmtId="0" fontId="9" fillId="5" borderId="6" xfId="0" applyFont="1" applyFill="1" applyBorder="1"/>
    <xf numFmtId="0" fontId="6" fillId="0" borderId="6" xfId="0" applyFont="1" applyBorder="1"/>
    <xf numFmtId="10" fontId="9" fillId="2" borderId="6" xfId="0" applyNumberFormat="1" applyFont="1" applyFill="1" applyBorder="1"/>
    <xf numFmtId="10" fontId="9" fillId="5" borderId="7" xfId="0" applyNumberFormat="1" applyFont="1" applyFill="1" applyBorder="1"/>
    <xf numFmtId="0" fontId="10" fillId="0" borderId="0" xfId="0" applyFont="1"/>
    <xf numFmtId="0" fontId="12" fillId="0" borderId="0" xfId="0" applyFont="1" applyAlignment="1">
      <alignment horizontal="center" vertical="center"/>
    </xf>
    <xf numFmtId="4" fontId="10" fillId="0" borderId="0" xfId="0" applyNumberFormat="1" applyFont="1" applyAlignment="1">
      <alignment horizontal="center" vertical="center"/>
    </xf>
    <xf numFmtId="0" fontId="10" fillId="0" borderId="0" xfId="0" applyFont="1" applyAlignment="1">
      <alignment horizontal="center" vertical="center"/>
    </xf>
    <xf numFmtId="2" fontId="4" fillId="0" borderId="0" xfId="0" applyNumberFormat="1" applyFont="1" applyAlignment="1">
      <alignment horizontal="center" vertical="center"/>
    </xf>
    <xf numFmtId="2" fontId="13" fillId="0" borderId="0" xfId="0" applyNumberFormat="1" applyFont="1" applyAlignment="1">
      <alignment horizontal="center" vertical="center"/>
    </xf>
    <xf numFmtId="2" fontId="0" fillId="0" borderId="0" xfId="0" applyNumberFormat="1"/>
    <xf numFmtId="2" fontId="11" fillId="0" borderId="0" xfId="0" applyNumberFormat="1" applyFont="1"/>
    <xf numFmtId="0" fontId="0" fillId="0" borderId="0" xfId="0" applyAlignment="1">
      <alignment wrapText="1"/>
    </xf>
    <xf numFmtId="0" fontId="4" fillId="0" borderId="0" xfId="0" applyFont="1" applyAlignment="1">
      <alignment wrapText="1"/>
    </xf>
    <xf numFmtId="0" fontId="14" fillId="7" borderId="0" xfId="0" applyFont="1" applyFill="1"/>
    <xf numFmtId="0" fontId="0" fillId="0" borderId="8" xfId="0" applyBorder="1"/>
    <xf numFmtId="0" fontId="0" fillId="0" borderId="0" xfId="0" applyAlignment="1">
      <alignment horizontal="right"/>
    </xf>
    <xf numFmtId="0" fontId="0" fillId="0" borderId="8" xfId="0" applyBorder="1" applyAlignment="1">
      <alignment horizontal="left"/>
    </xf>
    <xf numFmtId="0" fontId="0" fillId="0" borderId="0" xfId="0" applyAlignment="1">
      <alignment horizontal="left"/>
    </xf>
    <xf numFmtId="0" fontId="0" fillId="8" borderId="0" xfId="0" applyFill="1"/>
    <xf numFmtId="0" fontId="14" fillId="3" borderId="0" xfId="0" applyFont="1" applyFill="1"/>
    <xf numFmtId="0" fontId="14" fillId="0" borderId="0" xfId="0" applyFont="1"/>
    <xf numFmtId="2" fontId="0" fillId="0" borderId="0" xfId="0" applyNumberFormat="1" applyAlignment="1">
      <alignment wrapText="1"/>
    </xf>
    <xf numFmtId="0" fontId="4" fillId="0" borderId="0" xfId="0" applyFont="1" applyAlignment="1">
      <alignment horizontal="right" wrapText="1"/>
    </xf>
    <xf numFmtId="2" fontId="4" fillId="0" borderId="0" xfId="0" applyNumberFormat="1" applyFont="1" applyAlignment="1">
      <alignment wrapText="1"/>
    </xf>
    <xf numFmtId="2" fontId="5" fillId="0" borderId="0" xfId="0" applyNumberFormat="1" applyFont="1" applyAlignment="1">
      <alignment horizontal="left" vertical="center" wrapText="1"/>
    </xf>
    <xf numFmtId="2" fontId="5" fillId="0" borderId="0" xfId="0" applyNumberFormat="1" applyFont="1" applyAlignment="1">
      <alignment horizontal="right"/>
    </xf>
    <xf numFmtId="2" fontId="17" fillId="0" borderId="0" xfId="0" applyNumberFormat="1" applyFont="1" applyAlignment="1">
      <alignment horizontal="right"/>
    </xf>
    <xf numFmtId="0" fontId="3" fillId="0" borderId="0" xfId="0" applyFont="1" applyAlignment="1">
      <alignment horizontal="center" vertical="top"/>
    </xf>
    <xf numFmtId="0" fontId="3" fillId="0" borderId="0" xfId="0" applyFont="1" applyAlignment="1">
      <alignment horizontal="center" vertical="top" wrapText="1"/>
    </xf>
    <xf numFmtId="2" fontId="3" fillId="0" borderId="0" xfId="0" applyNumberFormat="1" applyFont="1" applyAlignment="1">
      <alignment horizontal="center" vertical="top" wrapText="1"/>
    </xf>
    <xf numFmtId="0" fontId="18" fillId="0" borderId="0" xfId="0" applyFont="1"/>
    <xf numFmtId="0" fontId="18" fillId="0" borderId="0" xfId="0" applyFont="1" applyAlignment="1">
      <alignment horizontal="right" wrapText="1"/>
    </xf>
    <xf numFmtId="0" fontId="18" fillId="0" borderId="0" xfId="0" applyFont="1" applyAlignment="1">
      <alignment wrapText="1"/>
    </xf>
    <xf numFmtId="0" fontId="19" fillId="0" borderId="10" xfId="0" applyFont="1" applyBorder="1" applyAlignment="1">
      <alignment wrapText="1"/>
    </xf>
    <xf numFmtId="2" fontId="18" fillId="0" borderId="0" xfId="0" applyNumberFormat="1" applyFont="1" applyAlignment="1">
      <alignment horizontal="right" wrapText="1"/>
    </xf>
    <xf numFmtId="0" fontId="0" fillId="9" borderId="0" xfId="0" applyFill="1"/>
    <xf numFmtId="0" fontId="0" fillId="10" borderId="0" xfId="0" applyFill="1"/>
    <xf numFmtId="0" fontId="0" fillId="7" borderId="0" xfId="0" applyFill="1"/>
    <xf numFmtId="2" fontId="0" fillId="7" borderId="0" xfId="0" applyNumberFormat="1" applyFill="1"/>
    <xf numFmtId="2" fontId="4" fillId="0" borderId="0" xfId="0" applyNumberFormat="1" applyFont="1" applyAlignment="1">
      <alignment horizontal="right" wrapText="1"/>
    </xf>
    <xf numFmtId="0" fontId="1" fillId="0" borderId="0" xfId="0" applyFont="1"/>
    <xf numFmtId="2" fontId="4" fillId="0" borderId="0" xfId="0" applyNumberFormat="1" applyFont="1" applyAlignment="1">
      <alignment horizontal="center" vertical="center" wrapText="1"/>
    </xf>
    <xf numFmtId="0" fontId="20" fillId="0" borderId="0" xfId="0" applyFont="1"/>
    <xf numFmtId="2" fontId="20" fillId="0" borderId="0" xfId="0" applyNumberFormat="1" applyFont="1"/>
    <xf numFmtId="0" fontId="1" fillId="3" borderId="0" xfId="0" applyFont="1" applyFill="1"/>
    <xf numFmtId="2" fontId="1" fillId="3" borderId="0" xfId="0" applyNumberFormat="1" applyFont="1" applyFill="1"/>
    <xf numFmtId="4" fontId="4" fillId="0" borderId="0" xfId="0" applyNumberFormat="1" applyFont="1" applyAlignment="1">
      <alignment horizontal="right"/>
    </xf>
    <xf numFmtId="0" fontId="4" fillId="0" borderId="0" xfId="0" applyFont="1" applyAlignment="1">
      <alignment horizontal="right"/>
    </xf>
    <xf numFmtId="2" fontId="4" fillId="0" borderId="0" xfId="0" applyNumberFormat="1" applyFont="1"/>
    <xf numFmtId="0" fontId="0" fillId="3" borderId="0" xfId="0" applyFill="1"/>
    <xf numFmtId="0" fontId="20" fillId="3" borderId="0" xfId="0" applyFont="1" applyFill="1"/>
    <xf numFmtId="2" fontId="0" fillId="3" borderId="0" xfId="0" applyNumberFormat="1" applyFill="1"/>
    <xf numFmtId="0" fontId="18" fillId="3" borderId="0" xfId="0" applyFont="1" applyFill="1"/>
    <xf numFmtId="0" fontId="0" fillId="0" borderId="12" xfId="0" applyBorder="1"/>
    <xf numFmtId="0" fontId="0" fillId="0" borderId="13" xfId="0" applyBorder="1"/>
    <xf numFmtId="0" fontId="0" fillId="0" borderId="11" xfId="0" applyBorder="1"/>
    <xf numFmtId="2" fontId="0" fillId="0" borderId="12" xfId="0" applyNumberFormat="1" applyBorder="1"/>
    <xf numFmtId="10" fontId="0" fillId="0" borderId="12" xfId="0" applyNumberFormat="1" applyBorder="1"/>
    <xf numFmtId="0" fontId="4" fillId="3" borderId="0" xfId="0" applyFont="1" applyFill="1" applyAlignment="1">
      <alignment horizontal="center"/>
    </xf>
    <xf numFmtId="0" fontId="0" fillId="0" borderId="0" xfId="0" applyAlignment="1">
      <alignment horizontal="center" wrapText="1"/>
    </xf>
    <xf numFmtId="0" fontId="0" fillId="0" borderId="9" xfId="0" applyBorder="1" applyAlignment="1">
      <alignment horizontal="center" wrapText="1"/>
    </xf>
    <xf numFmtId="0" fontId="1" fillId="0" borderId="0" xfId="0" applyFont="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82"/>
  <sheetViews>
    <sheetView workbookViewId="0">
      <pane xSplit="1" ySplit="3" topLeftCell="B172" activePane="bottomRight" state="frozen"/>
      <selection pane="bottomRight" activeCell="B174" sqref="B174"/>
      <selection pane="bottomLeft" activeCell="A4" sqref="A4"/>
      <selection pane="topRight" activeCell="B1" sqref="B1"/>
    </sheetView>
  </sheetViews>
  <sheetFormatPr defaultColWidth="8.85546875" defaultRowHeight="15.95"/>
  <cols>
    <col min="1" max="1" width="80" style="5" bestFit="1" customWidth="1"/>
    <col min="2" max="2" width="29.140625" bestFit="1" customWidth="1"/>
    <col min="3" max="3" width="8.85546875" style="67"/>
    <col min="5" max="5" width="30.85546875" bestFit="1" customWidth="1"/>
    <col min="6" max="6" width="29.28515625" bestFit="1" customWidth="1"/>
  </cols>
  <sheetData>
    <row r="1" spans="1:4">
      <c r="A1" s="2" t="s">
        <v>0</v>
      </c>
    </row>
    <row r="2" spans="1:4">
      <c r="A2" s="2" t="s">
        <v>1</v>
      </c>
      <c r="B2" s="50" t="s">
        <v>2</v>
      </c>
      <c r="C2" s="51" t="s">
        <v>3</v>
      </c>
      <c r="D2" s="10" t="s">
        <v>4</v>
      </c>
    </row>
    <row r="3" spans="1:4">
      <c r="A3" s="3" t="s">
        <v>5</v>
      </c>
    </row>
    <row r="4" spans="1:4">
      <c r="A4" s="4" t="s">
        <v>6</v>
      </c>
    </row>
    <row r="5" spans="1:4">
      <c r="A5" s="4" t="s">
        <v>7</v>
      </c>
    </row>
    <row r="6" spans="1:4">
      <c r="A6" s="4" t="s">
        <v>8</v>
      </c>
    </row>
    <row r="7" spans="1:4">
      <c r="A7" s="4" t="s">
        <v>9</v>
      </c>
    </row>
    <row r="8" spans="1:4">
      <c r="A8" s="65" t="s">
        <v>10</v>
      </c>
    </row>
    <row r="9" spans="1:4">
      <c r="A9" s="65" t="s">
        <v>11</v>
      </c>
    </row>
    <row r="10" spans="1:4">
      <c r="A10" s="65" t="s">
        <v>12</v>
      </c>
    </row>
    <row r="11" spans="1:4">
      <c r="A11" s="65" t="s">
        <v>13</v>
      </c>
    </row>
    <row r="12" spans="1:4">
      <c r="A12" s="65" t="s">
        <v>14</v>
      </c>
    </row>
    <row r="13" spans="1:4">
      <c r="A13" s="65" t="s">
        <v>15</v>
      </c>
    </row>
    <row r="14" spans="1:4">
      <c r="A14" s="4" t="s">
        <v>16</v>
      </c>
    </row>
    <row r="15" spans="1:4">
      <c r="A15" s="4" t="s">
        <v>17</v>
      </c>
    </row>
    <row r="16" spans="1:4">
      <c r="A16" s="65" t="s">
        <v>18</v>
      </c>
    </row>
    <row r="17" spans="1:3">
      <c r="A17" s="65" t="s">
        <v>19</v>
      </c>
    </row>
    <row r="18" spans="1:3">
      <c r="A18" s="4" t="s">
        <v>20</v>
      </c>
    </row>
    <row r="19" spans="1:3">
      <c r="A19" s="4" t="s">
        <v>21</v>
      </c>
    </row>
    <row r="20" spans="1:3">
      <c r="A20" s="4" t="s">
        <v>22</v>
      </c>
    </row>
    <row r="21" spans="1:3">
      <c r="A21" s="65" t="s">
        <v>23</v>
      </c>
    </row>
    <row r="22" spans="1:3">
      <c r="A22" s="65" t="s">
        <v>24</v>
      </c>
    </row>
    <row r="23" spans="1:3">
      <c r="A23" s="6" t="s">
        <v>25</v>
      </c>
      <c r="B23" s="34">
        <f>Receipts!F126</f>
        <v>80.127083333333331</v>
      </c>
    </row>
    <row r="24" spans="1:3">
      <c r="A24" s="7" t="s">
        <v>26</v>
      </c>
      <c r="B24" s="34">
        <f>Receipts!F127</f>
        <v>106.06708333333333</v>
      </c>
    </row>
    <row r="25" spans="1:3">
      <c r="A25" s="8" t="s">
        <v>27</v>
      </c>
      <c r="B25" s="34">
        <f>Receipts!F125</f>
        <v>80.087499999999991</v>
      </c>
      <c r="C25" s="68">
        <f>B25-B23</f>
        <v>-3.9583333333339965E-2</v>
      </c>
    </row>
    <row r="26" spans="1:3">
      <c r="A26" s="8" t="s">
        <v>28</v>
      </c>
    </row>
    <row r="27" spans="1:3">
      <c r="A27" s="4"/>
    </row>
    <row r="28" spans="1:3">
      <c r="A28" s="4"/>
    </row>
    <row r="29" spans="1:3">
      <c r="A29" s="3" t="s">
        <v>29</v>
      </c>
    </row>
    <row r="30" spans="1:3">
      <c r="A30" s="4" t="s">
        <v>30</v>
      </c>
    </row>
    <row r="31" spans="1:3">
      <c r="A31" s="4" t="s">
        <v>31</v>
      </c>
    </row>
    <row r="32" spans="1:3">
      <c r="A32" s="4" t="s">
        <v>32</v>
      </c>
    </row>
    <row r="33" spans="1:2">
      <c r="A33" s="4" t="s">
        <v>33</v>
      </c>
    </row>
    <row r="34" spans="1:2">
      <c r="A34" s="4" t="s">
        <v>34</v>
      </c>
    </row>
    <row r="35" spans="1:2">
      <c r="A35" s="4" t="s">
        <v>35</v>
      </c>
    </row>
    <row r="36" spans="1:2">
      <c r="A36" s="4" t="s">
        <v>36</v>
      </c>
    </row>
    <row r="37" spans="1:2">
      <c r="A37" s="4" t="s">
        <v>37</v>
      </c>
    </row>
    <row r="38" spans="1:2">
      <c r="A38" s="4" t="s">
        <v>38</v>
      </c>
    </row>
    <row r="39" spans="1:2">
      <c r="A39" s="4" t="s">
        <v>39</v>
      </c>
    </row>
    <row r="40" spans="1:2">
      <c r="A40" s="4" t="s">
        <v>40</v>
      </c>
    </row>
    <row r="41" spans="1:2">
      <c r="A41" s="4" t="s">
        <v>41</v>
      </c>
    </row>
    <row r="42" spans="1:2">
      <c r="A42" s="4" t="s">
        <v>42</v>
      </c>
    </row>
    <row r="43" spans="1:2">
      <c r="A43" s="9" t="s">
        <v>43</v>
      </c>
    </row>
    <row r="44" spans="1:2">
      <c r="A44" s="7" t="s">
        <v>44</v>
      </c>
      <c r="B44" s="34">
        <f>Expenses!F104</f>
        <v>10.99</v>
      </c>
    </row>
    <row r="45" spans="1:2">
      <c r="A45" s="7" t="s">
        <v>45</v>
      </c>
      <c r="B45" s="34">
        <f>Expenses!F105</f>
        <v>13.05125</v>
      </c>
    </row>
    <row r="46" spans="1:2">
      <c r="A46" s="7" t="s">
        <v>46</v>
      </c>
      <c r="B46" s="34">
        <f>Expenses!F106</f>
        <v>4.3533333333333317</v>
      </c>
    </row>
    <row r="47" spans="1:2">
      <c r="A47" s="7" t="s">
        <v>47</v>
      </c>
      <c r="B47" s="34">
        <f>Expenses!F107</f>
        <v>4.3533333333333317</v>
      </c>
    </row>
    <row r="48" spans="1:2">
      <c r="A48" s="10"/>
    </row>
    <row r="49" spans="1:6">
      <c r="A49" s="11" t="s">
        <v>48</v>
      </c>
    </row>
    <row r="50" spans="1:6">
      <c r="A50" s="11" t="s">
        <v>49</v>
      </c>
    </row>
    <row r="51" spans="1:6">
      <c r="A51" s="4"/>
    </row>
    <row r="52" spans="1:6">
      <c r="A52" s="11" t="s">
        <v>50</v>
      </c>
    </row>
    <row r="53" spans="1:6">
      <c r="A53" s="11" t="s">
        <v>51</v>
      </c>
    </row>
    <row r="54" spans="1:6">
      <c r="A54" s="12" t="s">
        <v>52</v>
      </c>
    </row>
    <row r="55" spans="1:6">
      <c r="A55" s="13" t="s">
        <v>53</v>
      </c>
    </row>
    <row r="56" spans="1:6">
      <c r="A56" s="4"/>
    </row>
    <row r="57" spans="1:6">
      <c r="A57" s="11" t="s">
        <v>54</v>
      </c>
    </row>
    <row r="58" spans="1:6">
      <c r="A58" s="11" t="s">
        <v>55</v>
      </c>
    </row>
    <row r="59" spans="1:6">
      <c r="A59" s="4"/>
    </row>
    <row r="60" spans="1:6">
      <c r="A60" s="3" t="s">
        <v>56</v>
      </c>
      <c r="B60" s="83" t="s">
        <v>57</v>
      </c>
      <c r="C60" s="83"/>
      <c r="D60" s="69"/>
      <c r="E60" s="69"/>
      <c r="F60" s="70"/>
    </row>
    <row r="61" spans="1:6">
      <c r="A61" s="2" t="s">
        <v>58</v>
      </c>
      <c r="B61" s="71" t="s">
        <v>59</v>
      </c>
      <c r="C61" s="72"/>
      <c r="D61" s="65"/>
      <c r="E61" s="73" t="s">
        <v>60</v>
      </c>
      <c r="F61" s="73" t="s">
        <v>61</v>
      </c>
    </row>
    <row r="62" spans="1:6" ht="15">
      <c r="A62" t="s">
        <v>62</v>
      </c>
      <c r="B62">
        <f>'Issues of the Grange'!B2</f>
        <v>58.125</v>
      </c>
      <c r="E62" s="34">
        <f>'Issues of the Grange'!I2</f>
        <v>16.289458955223882</v>
      </c>
      <c r="F62" s="34">
        <f>'Issues of the Grange'!O17</f>
        <v>11.822994402985076</v>
      </c>
    </row>
    <row r="63" spans="1:6" ht="15">
      <c r="A63" t="s">
        <v>63</v>
      </c>
      <c r="B63">
        <f>'Issues of the Grange'!B3</f>
        <v>6.375</v>
      </c>
      <c r="E63" s="34">
        <f>'Issues of the Grange'!I3</f>
        <v>1.0625000000000002</v>
      </c>
      <c r="F63" s="34">
        <f>'Issues of the Grange'!O18</f>
        <v>1.0625000000000002</v>
      </c>
    </row>
    <row r="64" spans="1:6" ht="15">
      <c r="A64" t="s">
        <v>64</v>
      </c>
      <c r="B64">
        <f>'Issues of the Grange'!B4</f>
        <v>2.0625</v>
      </c>
      <c r="E64" s="34">
        <f>'Issues of the Grange'!I4</f>
        <v>0</v>
      </c>
      <c r="F64" s="34">
        <f>'Issues of the Grange'!O19</f>
        <v>0</v>
      </c>
    </row>
    <row r="65" spans="1:6" ht="15">
      <c r="A65" t="s">
        <v>65</v>
      </c>
      <c r="B65">
        <f>'Issues of the Grange'!B5</f>
        <v>7.625</v>
      </c>
      <c r="E65" s="34">
        <f>'Issues of the Grange'!I5</f>
        <v>1.0166666666666664</v>
      </c>
      <c r="F65" s="34">
        <f>'Issues of the Grange'!O20</f>
        <v>6.6666666666666652E-2</v>
      </c>
    </row>
    <row r="66" spans="1:6" ht="15">
      <c r="A66" t="s">
        <v>66</v>
      </c>
      <c r="B66">
        <f>'Issues of the Grange'!B6</f>
        <v>25.25</v>
      </c>
      <c r="E66" s="34">
        <f>'Issues of the Grange'!I6</f>
        <v>4.2083333333333348</v>
      </c>
      <c r="F66" s="34">
        <f>'Issues of the Grange'!O21</f>
        <v>1.8333333333333339</v>
      </c>
    </row>
    <row r="67" spans="1:6" ht="15">
      <c r="A67" t="s">
        <v>67</v>
      </c>
      <c r="B67">
        <f>'Issues of the Grange'!B7</f>
        <v>93.125</v>
      </c>
      <c r="E67" s="34">
        <f>'Issues of the Grange'!I7</f>
        <v>17.703983516483515</v>
      </c>
      <c r="F67" s="34">
        <f>'Issues of the Grange'!O22</f>
        <v>7.4618131868131865</v>
      </c>
    </row>
    <row r="68" spans="1:6" ht="15">
      <c r="A68" t="s">
        <v>68</v>
      </c>
      <c r="B68">
        <f>'Issues of the Grange'!B8</f>
        <v>108.25</v>
      </c>
      <c r="E68" s="34">
        <f>'Issues of the Grange'!I8</f>
        <v>12.953657074340528</v>
      </c>
      <c r="F68" s="34">
        <f>'Issues of the Grange'!O23</f>
        <v>4.1583333333333341</v>
      </c>
    </row>
    <row r="69" spans="1:6" ht="15">
      <c r="A69" t="s">
        <v>69</v>
      </c>
      <c r="B69">
        <f>'Issues of the Grange'!B9</f>
        <v>11.875</v>
      </c>
      <c r="E69" s="34">
        <f>'Issues of the Grange'!I9</f>
        <v>1.2800324675324677</v>
      </c>
      <c r="F69" s="34">
        <f>'Issues of the Grange'!O24</f>
        <v>1.0375000000000001</v>
      </c>
    </row>
    <row r="70" spans="1:6" ht="15">
      <c r="A70" t="s">
        <v>70</v>
      </c>
      <c r="B70">
        <f>'Issues of the Grange'!B10</f>
        <v>19.875</v>
      </c>
      <c r="E70" s="34">
        <f>'Issues of the Grange'!I10</f>
        <v>1.325</v>
      </c>
      <c r="F70" s="34">
        <f>'Issues of the Grange'!O25</f>
        <v>0.95833333333333337</v>
      </c>
    </row>
    <row r="71" spans="1:6">
      <c r="A71" s="14" t="s">
        <v>71</v>
      </c>
      <c r="B71" s="74"/>
      <c r="C71" s="75"/>
      <c r="D71" s="74"/>
      <c r="E71" s="76">
        <f>SUM(E62:E70)</f>
        <v>55.839632013580392</v>
      </c>
      <c r="F71" s="74"/>
    </row>
    <row r="72" spans="1:6">
      <c r="A72" s="14" t="s">
        <v>72</v>
      </c>
      <c r="B72" s="74"/>
      <c r="C72" s="75"/>
      <c r="D72" s="74"/>
      <c r="E72" s="76">
        <f>SUM(F62:F70)</f>
        <v>28.40147425646493</v>
      </c>
      <c r="F72" s="74"/>
    </row>
    <row r="73" spans="1:6">
      <c r="A73" s="14" t="s">
        <v>73</v>
      </c>
      <c r="B73" s="74"/>
      <c r="C73" s="75"/>
      <c r="D73" s="74"/>
      <c r="E73" s="76">
        <f>Receipts!F109</f>
        <v>27.96</v>
      </c>
      <c r="F73" s="74"/>
    </row>
    <row r="74" spans="1:6">
      <c r="A74" s="4"/>
    </row>
    <row r="75" spans="1:6">
      <c r="A75" s="3" t="s">
        <v>74</v>
      </c>
    </row>
    <row r="76" spans="1:6">
      <c r="A76" s="2" t="s">
        <v>75</v>
      </c>
    </row>
    <row r="77" spans="1:6">
      <c r="A77" s="4" t="s">
        <v>76</v>
      </c>
    </row>
    <row r="78" spans="1:6">
      <c r="A78" s="4" t="s">
        <v>77</v>
      </c>
    </row>
    <row r="79" spans="1:6">
      <c r="A79" s="4" t="s">
        <v>78</v>
      </c>
    </row>
    <row r="80" spans="1:6">
      <c r="A80" s="4" t="s">
        <v>79</v>
      </c>
    </row>
    <row r="81" spans="1:6">
      <c r="A81" s="4" t="s">
        <v>80</v>
      </c>
    </row>
    <row r="82" spans="1:6">
      <c r="A82" s="14" t="s">
        <v>81</v>
      </c>
    </row>
    <row r="83" spans="1:6">
      <c r="A83" s="14" t="s">
        <v>73</v>
      </c>
    </row>
    <row r="84" spans="1:6">
      <c r="A84" s="4"/>
    </row>
    <row r="85" spans="1:6">
      <c r="A85" s="15" t="s">
        <v>82</v>
      </c>
      <c r="B85" s="74"/>
      <c r="C85" s="75"/>
      <c r="D85" s="74"/>
      <c r="E85" s="74"/>
      <c r="F85" s="74"/>
    </row>
    <row r="86" spans="1:6">
      <c r="A86" s="16" t="s">
        <v>83</v>
      </c>
      <c r="B86" s="77" t="s">
        <v>84</v>
      </c>
      <c r="C86" s="75"/>
      <c r="D86" s="74"/>
      <c r="E86" s="74"/>
      <c r="F86" s="74"/>
    </row>
    <row r="87" spans="1:6" ht="17.100000000000001">
      <c r="A87" s="17" t="s">
        <v>85</v>
      </c>
      <c r="B87" s="34">
        <f>Stock!R5</f>
        <v>0.5</v>
      </c>
    </row>
    <row r="88" spans="1:6" ht="17.100000000000001">
      <c r="A88" s="17" t="s">
        <v>86</v>
      </c>
      <c r="B88" s="34">
        <f>Stock!R6</f>
        <v>0</v>
      </c>
    </row>
    <row r="89" spans="1:6">
      <c r="A89" s="4" t="s">
        <v>87</v>
      </c>
      <c r="B89" s="34">
        <f>Stock!R7</f>
        <v>0.45</v>
      </c>
    </row>
    <row r="90" spans="1:6">
      <c r="A90" s="4" t="s">
        <v>88</v>
      </c>
      <c r="B90" s="34">
        <f>Stock!R8</f>
        <v>0</v>
      </c>
    </row>
    <row r="91" spans="1:6">
      <c r="A91" s="4" t="s">
        <v>88</v>
      </c>
      <c r="B91" s="34">
        <f>Stock!R9</f>
        <v>0</v>
      </c>
    </row>
    <row r="92" spans="1:6">
      <c r="A92" s="4" t="s">
        <v>89</v>
      </c>
      <c r="B92" s="34">
        <f>Stock!R10</f>
        <v>0</v>
      </c>
    </row>
    <row r="93" spans="1:6">
      <c r="A93" s="4" t="s">
        <v>90</v>
      </c>
      <c r="B93" s="34">
        <f>Stock!R11</f>
        <v>0</v>
      </c>
    </row>
    <row r="94" spans="1:6">
      <c r="A94" s="4" t="s">
        <v>91</v>
      </c>
      <c r="B94" s="34">
        <f>Stock!R12</f>
        <v>0.45</v>
      </c>
    </row>
    <row r="95" spans="1:6">
      <c r="A95" s="4" t="s">
        <v>92</v>
      </c>
      <c r="B95" s="34">
        <f>Stock!R13</f>
        <v>0</v>
      </c>
    </row>
    <row r="96" spans="1:6">
      <c r="A96" s="4" t="s">
        <v>93</v>
      </c>
      <c r="B96" s="34">
        <f>Stock!R14</f>
        <v>1.62</v>
      </c>
    </row>
    <row r="97" spans="1:2">
      <c r="A97" s="4" t="s">
        <v>94</v>
      </c>
      <c r="B97" s="34">
        <f>Stock!R15</f>
        <v>0</v>
      </c>
    </row>
    <row r="98" spans="1:2">
      <c r="A98" s="4" t="s">
        <v>95</v>
      </c>
      <c r="B98" s="34">
        <f>Stock!R16</f>
        <v>0</v>
      </c>
    </row>
    <row r="99" spans="1:2">
      <c r="A99" s="4" t="s">
        <v>96</v>
      </c>
      <c r="B99" s="34">
        <f>Stock!R17</f>
        <v>0</v>
      </c>
    </row>
    <row r="100" spans="1:2">
      <c r="A100" s="4" t="s">
        <v>97</v>
      </c>
      <c r="B100" s="34">
        <f>Stock!R18</f>
        <v>0.3</v>
      </c>
    </row>
    <row r="101" spans="1:2">
      <c r="A101" s="4" t="s">
        <v>98</v>
      </c>
      <c r="B101" s="34">
        <f>Stock!R19</f>
        <v>1.7</v>
      </c>
    </row>
    <row r="102" spans="1:2">
      <c r="A102" s="4" t="s">
        <v>99</v>
      </c>
      <c r="B102" s="34">
        <f>Stock!R20</f>
        <v>0</v>
      </c>
    </row>
    <row r="103" spans="1:2">
      <c r="A103" s="4" t="s">
        <v>100</v>
      </c>
      <c r="B103" s="34">
        <f>Stock!R21</f>
        <v>2</v>
      </c>
    </row>
    <row r="104" spans="1:2">
      <c r="A104" s="4" t="s">
        <v>101</v>
      </c>
      <c r="B104" s="34">
        <f>Stock!R22</f>
        <v>0</v>
      </c>
    </row>
    <row r="105" spans="1:2">
      <c r="A105" s="4" t="s">
        <v>102</v>
      </c>
      <c r="B105" s="34">
        <f>Stock!R23</f>
        <v>0</v>
      </c>
    </row>
    <row r="106" spans="1:2">
      <c r="A106" s="4" t="s">
        <v>103</v>
      </c>
      <c r="B106" s="34">
        <f>Stock!R24</f>
        <v>0</v>
      </c>
    </row>
    <row r="107" spans="1:2">
      <c r="A107" s="4" t="s">
        <v>104</v>
      </c>
      <c r="B107" s="34">
        <f>Stock!R25</f>
        <v>0</v>
      </c>
    </row>
    <row r="108" spans="1:2">
      <c r="A108" s="4" t="s">
        <v>105</v>
      </c>
      <c r="B108" s="34">
        <f>Stock!R26</f>
        <v>3.17</v>
      </c>
    </row>
    <row r="109" spans="1:2">
      <c r="A109" s="4" t="s">
        <v>106</v>
      </c>
      <c r="B109" s="34">
        <f>Stock!R27</f>
        <v>0</v>
      </c>
    </row>
    <row r="110" spans="1:2">
      <c r="A110" s="4" t="s">
        <v>107</v>
      </c>
      <c r="B110" s="34">
        <f>Stock!R28</f>
        <v>0</v>
      </c>
    </row>
    <row r="111" spans="1:2">
      <c r="A111" s="4" t="s">
        <v>108</v>
      </c>
      <c r="B111" s="34">
        <f>Stock!R29</f>
        <v>0</v>
      </c>
    </row>
    <row r="112" spans="1:2">
      <c r="A112" s="4" t="s">
        <v>109</v>
      </c>
      <c r="B112" s="34">
        <f>Stock!R30</f>
        <v>0</v>
      </c>
    </row>
    <row r="113" spans="1:2">
      <c r="A113" s="14" t="s">
        <v>110</v>
      </c>
      <c r="B113" s="74"/>
    </row>
    <row r="114" spans="1:2">
      <c r="A114" s="14" t="s">
        <v>111</v>
      </c>
      <c r="B114" s="74"/>
    </row>
    <row r="115" spans="1:2">
      <c r="A115" s="14" t="s">
        <v>73</v>
      </c>
      <c r="B115" s="76">
        <f>Stock!R31</f>
        <v>10.19</v>
      </c>
    </row>
    <row r="116" spans="1:2">
      <c r="A116" s="4"/>
    </row>
    <row r="117" spans="1:2">
      <c r="A117" s="3" t="s">
        <v>112</v>
      </c>
      <c r="B117" s="77" t="s">
        <v>113</v>
      </c>
    </row>
    <row r="118" spans="1:2" ht="15">
      <c r="A118" t="s">
        <v>114</v>
      </c>
      <c r="B118">
        <f>Stock!T35</f>
        <v>12.48</v>
      </c>
    </row>
    <row r="119" spans="1:2" ht="15">
      <c r="A119" t="s">
        <v>115</v>
      </c>
      <c r="B119">
        <f>Stock!T36</f>
        <v>1.72</v>
      </c>
    </row>
    <row r="120" spans="1:2" ht="15">
      <c r="A120" t="s">
        <v>116</v>
      </c>
      <c r="B120">
        <f>Stock!T37</f>
        <v>0.30624999999999997</v>
      </c>
    </row>
    <row r="121" spans="1:2" ht="15">
      <c r="A121" t="s">
        <v>117</v>
      </c>
      <c r="B121">
        <f>Stock!T38</f>
        <v>0</v>
      </c>
    </row>
    <row r="122" spans="1:2">
      <c r="A122" s="18" t="s">
        <v>81</v>
      </c>
      <c r="B122" s="76">
        <f>Stock!T39</f>
        <v>14.506250000000001</v>
      </c>
    </row>
    <row r="123" spans="1:2">
      <c r="A123" s="18" t="s">
        <v>73</v>
      </c>
      <c r="B123" s="76">
        <f>Stock!R39</f>
        <v>0</v>
      </c>
    </row>
    <row r="124" spans="1:2">
      <c r="A124" s="2"/>
    </row>
    <row r="125" spans="1:2">
      <c r="A125" s="3" t="s">
        <v>118</v>
      </c>
      <c r="B125" s="77" t="s">
        <v>113</v>
      </c>
    </row>
    <row r="126" spans="1:2">
      <c r="A126" s="4" t="s">
        <v>119</v>
      </c>
      <c r="B126">
        <f>Stock!T43</f>
        <v>0.1</v>
      </c>
    </row>
    <row r="127" spans="1:2">
      <c r="A127" s="4" t="s">
        <v>120</v>
      </c>
      <c r="B127">
        <f>Stock!T44</f>
        <v>0.03</v>
      </c>
    </row>
    <row r="128" spans="1:2">
      <c r="A128" s="4" t="s">
        <v>121</v>
      </c>
      <c r="B128">
        <f>Stock!T45</f>
        <v>0</v>
      </c>
    </row>
    <row r="129" spans="1:2">
      <c r="A129" s="4" t="s">
        <v>122</v>
      </c>
      <c r="B129">
        <f>Stock!T46</f>
        <v>0</v>
      </c>
    </row>
    <row r="130" spans="1:2">
      <c r="A130" s="4" t="s">
        <v>123</v>
      </c>
      <c r="B130">
        <f>Stock!T47</f>
        <v>0</v>
      </c>
    </row>
    <row r="131" spans="1:2">
      <c r="A131" s="4" t="s">
        <v>124</v>
      </c>
      <c r="B131">
        <f>Stock!T48</f>
        <v>0</v>
      </c>
    </row>
    <row r="132" spans="1:2">
      <c r="A132" s="19" t="s">
        <v>125</v>
      </c>
      <c r="B132">
        <f>Stock!T49</f>
        <v>0</v>
      </c>
    </row>
    <row r="133" spans="1:2">
      <c r="A133" s="20" t="s">
        <v>126</v>
      </c>
      <c r="B133">
        <f>Stock!T50</f>
        <v>0</v>
      </c>
    </row>
    <row r="134" spans="1:2">
      <c r="A134" s="20" t="s">
        <v>127</v>
      </c>
      <c r="B134">
        <f>Stock!T51</f>
        <v>0</v>
      </c>
    </row>
    <row r="135" spans="1:2">
      <c r="A135" s="20" t="s">
        <v>128</v>
      </c>
      <c r="B135">
        <f>Stock!T52</f>
        <v>0</v>
      </c>
    </row>
    <row r="136" spans="1:2">
      <c r="A136" s="20" t="s">
        <v>129</v>
      </c>
      <c r="B136">
        <f>Stock!T53</f>
        <v>0</v>
      </c>
    </row>
    <row r="137" spans="1:2">
      <c r="A137" s="21" t="s">
        <v>130</v>
      </c>
      <c r="B137">
        <f>Stock!T54</f>
        <v>0.52</v>
      </c>
    </row>
    <row r="138" spans="1:2">
      <c r="A138" s="20" t="s">
        <v>131</v>
      </c>
      <c r="B138">
        <f>Stock!T55</f>
        <v>0</v>
      </c>
    </row>
    <row r="139" spans="1:2">
      <c r="A139" s="20" t="s">
        <v>132</v>
      </c>
      <c r="B139">
        <f>Stock!T56</f>
        <v>0.09</v>
      </c>
    </row>
    <row r="140" spans="1:2">
      <c r="A140" s="20" t="s">
        <v>133</v>
      </c>
      <c r="B140">
        <f>Stock!T57</f>
        <v>0</v>
      </c>
    </row>
    <row r="141" spans="1:2">
      <c r="A141" s="20" t="s">
        <v>134</v>
      </c>
      <c r="B141">
        <f>Stock!T58</f>
        <v>0.09</v>
      </c>
    </row>
    <row r="142" spans="1:2">
      <c r="A142" s="21" t="s">
        <v>135</v>
      </c>
      <c r="B142">
        <f>Stock!T59</f>
        <v>0</v>
      </c>
    </row>
    <row r="143" spans="1:2">
      <c r="A143" s="4" t="s">
        <v>136</v>
      </c>
      <c r="B143">
        <f>Stock!T60</f>
        <v>0</v>
      </c>
    </row>
    <row r="144" spans="1:2">
      <c r="A144" s="4" t="s">
        <v>137</v>
      </c>
      <c r="B144">
        <f>Stock!T61</f>
        <v>0.21016949152542372</v>
      </c>
    </row>
    <row r="145" spans="1:2">
      <c r="A145" s="4" t="s">
        <v>138</v>
      </c>
      <c r="B145">
        <f>Stock!T62</f>
        <v>0</v>
      </c>
    </row>
    <row r="146" spans="1:2">
      <c r="A146" s="14" t="s">
        <v>81</v>
      </c>
      <c r="B146" s="76">
        <f>Stock!T64</f>
        <v>1.0401694915254236</v>
      </c>
    </row>
    <row r="147" spans="1:2">
      <c r="A147" s="14" t="s">
        <v>73</v>
      </c>
      <c r="B147" s="76">
        <f>Stock!R64</f>
        <v>1.03</v>
      </c>
    </row>
    <row r="148" spans="1:2">
      <c r="A148" s="4"/>
    </row>
    <row r="149" spans="1:2">
      <c r="A149" s="3" t="s">
        <v>139</v>
      </c>
      <c r="B149" s="77" t="s">
        <v>113</v>
      </c>
    </row>
    <row r="150" spans="1:2" ht="17.100000000000001">
      <c r="A150" s="17" t="s">
        <v>140</v>
      </c>
      <c r="B150">
        <f>Stock!T68</f>
        <v>0</v>
      </c>
    </row>
    <row r="151" spans="1:2">
      <c r="A151" s="4" t="s">
        <v>141</v>
      </c>
      <c r="B151">
        <f>Stock!T69</f>
        <v>0.19</v>
      </c>
    </row>
    <row r="152" spans="1:2">
      <c r="A152" s="4" t="s">
        <v>142</v>
      </c>
      <c r="B152">
        <f>Stock!T70</f>
        <v>0</v>
      </c>
    </row>
    <row r="153" spans="1:2">
      <c r="A153" s="4" t="s">
        <v>143</v>
      </c>
      <c r="B153">
        <f>Stock!T71</f>
        <v>0</v>
      </c>
    </row>
    <row r="154" spans="1:2">
      <c r="A154" s="18" t="s">
        <v>81</v>
      </c>
      <c r="B154" s="74">
        <f>Stock!T72</f>
        <v>0.19</v>
      </c>
    </row>
    <row r="155" spans="1:2">
      <c r="A155" s="18" t="s">
        <v>73</v>
      </c>
      <c r="B155" s="76">
        <f>Stock!R72</f>
        <v>0.19</v>
      </c>
    </row>
    <row r="156" spans="1:2">
      <c r="A156" s="4"/>
    </row>
    <row r="157" spans="1:2">
      <c r="A157" s="3" t="s">
        <v>144</v>
      </c>
      <c r="B157" s="77" t="s">
        <v>113</v>
      </c>
    </row>
    <row r="158" spans="1:2">
      <c r="A158" s="4" t="s">
        <v>145</v>
      </c>
      <c r="B158" s="34">
        <f>Stock!T76</f>
        <v>0.15</v>
      </c>
    </row>
    <row r="159" spans="1:2">
      <c r="A159" s="4" t="s">
        <v>146</v>
      </c>
      <c r="B159" s="34">
        <f>Stock!T77</f>
        <v>0.19</v>
      </c>
    </row>
    <row r="160" spans="1:2">
      <c r="A160" s="4" t="s">
        <v>147</v>
      </c>
      <c r="B160" s="34">
        <f>Stock!T78</f>
        <v>0</v>
      </c>
    </row>
    <row r="161" spans="1:2">
      <c r="A161" s="14" t="s">
        <v>148</v>
      </c>
      <c r="B161" s="76">
        <f>Stock!T79</f>
        <v>0.33999999999999997</v>
      </c>
    </row>
    <row r="162" spans="1:2">
      <c r="A162" s="14" t="s">
        <v>73</v>
      </c>
      <c r="B162" s="76">
        <f>Stock!R79</f>
        <v>0.33999999999999997</v>
      </c>
    </row>
    <row r="163" spans="1:2">
      <c r="A163" s="4"/>
    </row>
    <row r="164" spans="1:2">
      <c r="A164" s="3" t="s">
        <v>149</v>
      </c>
      <c r="B164" s="77" t="s">
        <v>113</v>
      </c>
    </row>
    <row r="165" spans="1:2">
      <c r="A165" s="4" t="s">
        <v>150</v>
      </c>
      <c r="B165" s="34">
        <f>Stock!T94</f>
        <v>0.22708333333333336</v>
      </c>
    </row>
    <row r="166" spans="1:2">
      <c r="A166" s="4" t="s">
        <v>151</v>
      </c>
      <c r="B166" s="34">
        <f>Stock!T89</f>
        <v>0.15</v>
      </c>
    </row>
    <row r="167" spans="1:2">
      <c r="A167" s="4" t="s">
        <v>152</v>
      </c>
      <c r="B167" s="34">
        <f>Stock!T90</f>
        <v>3.176978417266187</v>
      </c>
    </row>
    <row r="168" spans="1:2">
      <c r="A168" s="14" t="s">
        <v>81</v>
      </c>
      <c r="B168" s="76">
        <f>SUM(B165:B167)</f>
        <v>3.5540617505995202</v>
      </c>
    </row>
    <row r="169" spans="1:2">
      <c r="A169" s="14" t="s">
        <v>73</v>
      </c>
      <c r="B169" s="76">
        <f>Stock!R91+Stock!R95</f>
        <v>3.137083333333333</v>
      </c>
    </row>
    <row r="170" spans="1:2">
      <c r="A170" s="4"/>
    </row>
    <row r="171" spans="1:2">
      <c r="A171" s="4"/>
    </row>
    <row r="172" spans="1:2" ht="17.100000000000001" thickBot="1">
      <c r="A172" s="65"/>
    </row>
    <row r="173" spans="1:2" ht="17.100000000000001" thickBot="1">
      <c r="A173" s="22"/>
      <c r="B173" s="80"/>
    </row>
    <row r="174" spans="1:2">
      <c r="A174" s="23" t="s">
        <v>153</v>
      </c>
      <c r="B174" s="81">
        <f>B168+B161+B154+B146+B122+B115+E72</f>
        <v>58.221955498589871</v>
      </c>
    </row>
    <row r="175" spans="1:2">
      <c r="A175" s="24" t="s">
        <v>154</v>
      </c>
      <c r="B175" s="81">
        <f>B169+B162+B155+B147+B123+B115+E73</f>
        <v>42.84708333333333</v>
      </c>
    </row>
    <row r="176" spans="1:2">
      <c r="A176" s="24" t="s">
        <v>155</v>
      </c>
      <c r="B176" s="81">
        <f>Receipts!F109+Receipts!F98</f>
        <v>50.017083333333332</v>
      </c>
    </row>
    <row r="177" spans="1:2">
      <c r="A177" s="24" t="s">
        <v>156</v>
      </c>
      <c r="B177" s="81">
        <f>B174+Receipts!F34+Receipts!F38+Receipts!F45+Receipts!F49+Receipts!F53+Receipts!F118+Receipts!F123</f>
        <v>88.331955498589863</v>
      </c>
    </row>
    <row r="178" spans="1:2">
      <c r="A178" s="25"/>
      <c r="B178" s="78"/>
    </row>
    <row r="179" spans="1:2">
      <c r="A179" s="26" t="s">
        <v>157</v>
      </c>
      <c r="B179" s="82">
        <f>B47/B174</f>
        <v>7.4771334903699152E-2</v>
      </c>
    </row>
    <row r="180" spans="1:2">
      <c r="A180" s="24" t="s">
        <v>158</v>
      </c>
      <c r="B180" s="82">
        <f>B47/B177</f>
        <v>4.9283787602809589E-2</v>
      </c>
    </row>
    <row r="181" spans="1:2">
      <c r="A181" s="25"/>
      <c r="B181" s="78"/>
    </row>
    <row r="182" spans="1:2" ht="17.100000000000001" thickBot="1">
      <c r="A182" s="27" t="s">
        <v>159</v>
      </c>
      <c r="B182" s="79"/>
    </row>
  </sheetData>
  <mergeCells count="1">
    <mergeCell ref="B60:C60"/>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27"/>
  <sheetViews>
    <sheetView workbookViewId="0">
      <pane xSplit="1" ySplit="2" topLeftCell="B80" activePane="bottomRight" state="frozen"/>
      <selection pane="bottomRight" activeCell="G128" sqref="G128"/>
      <selection pane="bottomLeft" activeCell="A3" sqref="A3"/>
      <selection pane="topRight" activeCell="B1" sqref="B1"/>
    </sheetView>
  </sheetViews>
  <sheetFormatPr defaultColWidth="8.85546875" defaultRowHeight="15"/>
  <cols>
    <col min="1" max="1" width="32.85546875" bestFit="1" customWidth="1"/>
    <col min="2" max="2" width="12.85546875" customWidth="1"/>
    <col min="6" max="6" width="8.85546875" style="34"/>
    <col min="7" max="7" width="8.85546875" style="35"/>
  </cols>
  <sheetData>
    <row r="1" spans="1:8" ht="15.95">
      <c r="A1" s="28" t="s">
        <v>160</v>
      </c>
    </row>
    <row r="2" spans="1:8" ht="15.95">
      <c r="A2" s="29" t="s">
        <v>161</v>
      </c>
      <c r="B2" s="30" t="s">
        <v>162</v>
      </c>
      <c r="C2" s="31" t="s">
        <v>163</v>
      </c>
      <c r="D2" s="31" t="s">
        <v>164</v>
      </c>
      <c r="E2" s="86"/>
      <c r="F2" s="32" t="s">
        <v>2</v>
      </c>
      <c r="G2" s="33" t="s">
        <v>3</v>
      </c>
      <c r="H2" s="29" t="s">
        <v>165</v>
      </c>
    </row>
    <row r="3" spans="1:8">
      <c r="A3" t="s">
        <v>166</v>
      </c>
      <c r="B3">
        <v>25</v>
      </c>
      <c r="C3">
        <v>18</v>
      </c>
      <c r="D3">
        <v>9.75</v>
      </c>
      <c r="F3" s="34">
        <v>25.94</v>
      </c>
      <c r="H3" t="s">
        <v>167</v>
      </c>
    </row>
    <row r="4" spans="1:8">
      <c r="A4" t="s">
        <v>166</v>
      </c>
      <c r="B4">
        <v>0</v>
      </c>
      <c r="C4">
        <v>0</v>
      </c>
      <c r="D4">
        <v>0</v>
      </c>
      <c r="F4" s="34">
        <v>0</v>
      </c>
      <c r="H4" t="s">
        <v>168</v>
      </c>
    </row>
    <row r="5" spans="1:8">
      <c r="A5" t="s">
        <v>166</v>
      </c>
      <c r="B5">
        <v>0</v>
      </c>
      <c r="C5">
        <v>0</v>
      </c>
      <c r="D5">
        <v>0</v>
      </c>
      <c r="F5" s="34">
        <v>0</v>
      </c>
      <c r="H5" t="s">
        <v>169</v>
      </c>
    </row>
    <row r="6" spans="1:8">
      <c r="A6" t="s">
        <v>166</v>
      </c>
      <c r="F6" s="34">
        <v>25.94</v>
      </c>
      <c r="G6" s="35">
        <v>25.94</v>
      </c>
      <c r="H6" t="s">
        <v>170</v>
      </c>
    </row>
    <row r="8" spans="1:8">
      <c r="A8" t="s">
        <v>171</v>
      </c>
      <c r="B8">
        <v>2</v>
      </c>
      <c r="C8">
        <v>18</v>
      </c>
      <c r="D8">
        <v>5</v>
      </c>
      <c r="F8" s="34">
        <v>2.92</v>
      </c>
      <c r="H8" t="s">
        <v>172</v>
      </c>
    </row>
    <row r="9" spans="1:8">
      <c r="A9" t="s">
        <v>171</v>
      </c>
      <c r="B9">
        <v>0</v>
      </c>
      <c r="C9">
        <v>17</v>
      </c>
      <c r="D9">
        <v>10.5</v>
      </c>
      <c r="F9" s="34">
        <v>0.89</v>
      </c>
      <c r="H9" t="s">
        <v>173</v>
      </c>
    </row>
    <row r="10" spans="1:8">
      <c r="A10" t="s">
        <v>171</v>
      </c>
      <c r="B10">
        <v>20</v>
      </c>
      <c r="C10">
        <v>19</v>
      </c>
      <c r="D10">
        <v>3.5</v>
      </c>
      <c r="F10" s="34">
        <v>20.96</v>
      </c>
      <c r="H10" t="s">
        <v>174</v>
      </c>
    </row>
    <row r="11" spans="1:8">
      <c r="A11" t="s">
        <v>171</v>
      </c>
      <c r="B11">
        <v>24</v>
      </c>
      <c r="C11">
        <v>15</v>
      </c>
      <c r="D11">
        <v>7.5</v>
      </c>
      <c r="F11" s="34">
        <v>24.78</v>
      </c>
      <c r="H11" t="s">
        <v>175</v>
      </c>
    </row>
    <row r="12" spans="1:8">
      <c r="A12" t="s">
        <v>171</v>
      </c>
      <c r="F12" s="34">
        <v>24.77</v>
      </c>
      <c r="G12" s="35">
        <v>-1.000000000000156E-2</v>
      </c>
      <c r="H12" t="s">
        <v>170</v>
      </c>
    </row>
    <row r="14" spans="1:8">
      <c r="A14" t="s">
        <v>176</v>
      </c>
      <c r="B14">
        <v>0</v>
      </c>
      <c r="C14">
        <v>7</v>
      </c>
      <c r="D14">
        <v>6</v>
      </c>
      <c r="F14" s="34">
        <v>0.38</v>
      </c>
      <c r="H14" t="s">
        <v>177</v>
      </c>
    </row>
    <row r="15" spans="1:8">
      <c r="A15" t="s">
        <v>176</v>
      </c>
      <c r="B15">
        <v>0</v>
      </c>
      <c r="C15">
        <v>0</v>
      </c>
      <c r="D15">
        <v>6</v>
      </c>
      <c r="F15" s="34">
        <v>0.03</v>
      </c>
      <c r="H15" t="s">
        <v>178</v>
      </c>
    </row>
    <row r="16" spans="1:8">
      <c r="A16" t="s">
        <v>176</v>
      </c>
      <c r="B16">
        <v>0</v>
      </c>
      <c r="C16">
        <v>0</v>
      </c>
      <c r="D16">
        <v>3.75</v>
      </c>
      <c r="F16" s="34">
        <f>B16+C16/20+D16/240</f>
        <v>1.5625E-2</v>
      </c>
      <c r="H16" t="s">
        <v>179</v>
      </c>
    </row>
    <row r="17" spans="1:8">
      <c r="B17">
        <v>0</v>
      </c>
      <c r="C17">
        <v>8</v>
      </c>
      <c r="D17">
        <v>3.75</v>
      </c>
      <c r="F17" s="34">
        <v>0.42</v>
      </c>
      <c r="H17" t="s">
        <v>180</v>
      </c>
    </row>
    <row r="18" spans="1:8">
      <c r="A18" t="s">
        <v>176</v>
      </c>
      <c r="F18" s="34">
        <f>SUM(F14:F16)</f>
        <v>0.42562500000000003</v>
      </c>
      <c r="G18" s="35">
        <f>F18-F17</f>
        <v>5.6250000000000466E-3</v>
      </c>
      <c r="H18" t="s">
        <v>170</v>
      </c>
    </row>
    <row r="20" spans="1:8">
      <c r="A20" t="s">
        <v>181</v>
      </c>
      <c r="B20">
        <v>0</v>
      </c>
      <c r="C20">
        <v>0</v>
      </c>
      <c r="D20">
        <v>7</v>
      </c>
      <c r="F20" s="34">
        <v>0.03</v>
      </c>
      <c r="H20" t="s">
        <v>182</v>
      </c>
    </row>
    <row r="21" spans="1:8">
      <c r="A21" t="s">
        <v>181</v>
      </c>
      <c r="B21">
        <v>0</v>
      </c>
      <c r="C21">
        <v>1</v>
      </c>
      <c r="D21">
        <v>0</v>
      </c>
      <c r="F21" s="34">
        <v>0.05</v>
      </c>
      <c r="H21" t="s">
        <v>183</v>
      </c>
    </row>
    <row r="22" spans="1:8">
      <c r="A22" t="s">
        <v>181</v>
      </c>
      <c r="B22">
        <v>0</v>
      </c>
      <c r="C22">
        <v>2</v>
      </c>
      <c r="D22">
        <v>4</v>
      </c>
      <c r="F22" s="34">
        <v>0.12</v>
      </c>
      <c r="H22" t="s">
        <v>184</v>
      </c>
    </row>
    <row r="23" spans="1:8">
      <c r="A23" t="s">
        <v>181</v>
      </c>
      <c r="B23">
        <v>0</v>
      </c>
      <c r="C23">
        <v>5</v>
      </c>
      <c r="D23">
        <v>0</v>
      </c>
      <c r="F23" s="34">
        <v>0.25</v>
      </c>
      <c r="H23" t="s">
        <v>185</v>
      </c>
    </row>
    <row r="24" spans="1:8">
      <c r="A24" t="s">
        <v>181</v>
      </c>
      <c r="B24">
        <v>0</v>
      </c>
      <c r="C24">
        <v>0</v>
      </c>
      <c r="D24">
        <v>2.5</v>
      </c>
      <c r="F24" s="34">
        <v>0.01</v>
      </c>
      <c r="H24" t="s">
        <v>186</v>
      </c>
    </row>
    <row r="25" spans="1:8">
      <c r="A25" t="s">
        <v>181</v>
      </c>
      <c r="B25">
        <v>0</v>
      </c>
      <c r="C25">
        <v>0</v>
      </c>
      <c r="D25">
        <v>3.5</v>
      </c>
      <c r="F25" s="34">
        <v>0.01</v>
      </c>
      <c r="H25" t="s">
        <v>187</v>
      </c>
    </row>
    <row r="26" spans="1:8">
      <c r="A26" t="s">
        <v>181</v>
      </c>
      <c r="B26">
        <v>0</v>
      </c>
      <c r="C26">
        <v>0</v>
      </c>
      <c r="D26">
        <v>7</v>
      </c>
      <c r="F26" s="34">
        <v>0.03</v>
      </c>
      <c r="H26" t="s">
        <v>188</v>
      </c>
    </row>
    <row r="27" spans="1:8">
      <c r="A27" t="s">
        <v>181</v>
      </c>
      <c r="B27">
        <v>0</v>
      </c>
      <c r="C27">
        <v>10</v>
      </c>
      <c r="D27">
        <v>0</v>
      </c>
      <c r="F27" s="34">
        <v>0.5</v>
      </c>
      <c r="H27" t="s">
        <v>189</v>
      </c>
    </row>
    <row r="28" spans="1:8">
      <c r="A28" t="s">
        <v>181</v>
      </c>
      <c r="F28" s="34">
        <v>0.5</v>
      </c>
      <c r="G28" s="35">
        <v>0</v>
      </c>
      <c r="H28" t="s">
        <v>170</v>
      </c>
    </row>
    <row r="30" spans="1:8">
      <c r="A30" t="s">
        <v>190</v>
      </c>
      <c r="B30">
        <v>0</v>
      </c>
      <c r="C30">
        <v>18</v>
      </c>
      <c r="D30">
        <v>3.75</v>
      </c>
      <c r="F30" s="34">
        <v>0.92</v>
      </c>
      <c r="H30" t="s">
        <v>191</v>
      </c>
    </row>
    <row r="31" spans="1:8">
      <c r="A31" t="s">
        <v>190</v>
      </c>
      <c r="F31" s="34">
        <v>0.92</v>
      </c>
      <c r="G31" s="35">
        <f>F31-F30</f>
        <v>0</v>
      </c>
      <c r="H31" t="s">
        <v>170</v>
      </c>
    </row>
    <row r="33" spans="1:8">
      <c r="A33" t="s">
        <v>192</v>
      </c>
      <c r="B33">
        <v>23</v>
      </c>
      <c r="C33">
        <v>17</v>
      </c>
      <c r="D33">
        <v>3.75</v>
      </c>
      <c r="F33" s="34">
        <v>23.87</v>
      </c>
      <c r="H33" t="s">
        <v>193</v>
      </c>
    </row>
    <row r="34" spans="1:8">
      <c r="A34" t="s">
        <v>192</v>
      </c>
      <c r="F34" s="34">
        <v>23.87</v>
      </c>
      <c r="G34" s="35">
        <f>F34-F33</f>
        <v>0</v>
      </c>
      <c r="H34" t="s">
        <v>170</v>
      </c>
    </row>
    <row r="36" spans="1:8">
      <c r="A36" t="s">
        <v>194</v>
      </c>
      <c r="B36">
        <v>3</v>
      </c>
      <c r="C36">
        <v>0</v>
      </c>
      <c r="D36">
        <v>0</v>
      </c>
      <c r="F36" s="34">
        <v>3</v>
      </c>
      <c r="H36" t="s">
        <v>195</v>
      </c>
    </row>
    <row r="37" spans="1:8">
      <c r="A37" t="s">
        <v>194</v>
      </c>
      <c r="B37">
        <v>3</v>
      </c>
      <c r="C37">
        <v>0</v>
      </c>
      <c r="D37">
        <v>0</v>
      </c>
      <c r="F37" s="34">
        <v>3</v>
      </c>
      <c r="H37" t="s">
        <v>196</v>
      </c>
    </row>
    <row r="38" spans="1:8">
      <c r="A38" t="s">
        <v>194</v>
      </c>
      <c r="F38" s="34">
        <v>3</v>
      </c>
      <c r="G38" s="35">
        <v>0</v>
      </c>
      <c r="H38" t="s">
        <v>170</v>
      </c>
    </row>
    <row r="40" spans="1:8">
      <c r="A40" t="s">
        <v>197</v>
      </c>
      <c r="B40">
        <v>0</v>
      </c>
      <c r="C40">
        <v>0</v>
      </c>
      <c r="D40">
        <v>3</v>
      </c>
      <c r="F40" s="34">
        <v>0.01</v>
      </c>
      <c r="H40" t="s">
        <v>198</v>
      </c>
    </row>
    <row r="41" spans="1:8">
      <c r="A41" t="s">
        <v>197</v>
      </c>
      <c r="B41">
        <v>0</v>
      </c>
      <c r="C41">
        <v>0</v>
      </c>
      <c r="D41">
        <v>6</v>
      </c>
      <c r="F41" s="34">
        <v>0.03</v>
      </c>
      <c r="H41" t="s">
        <v>199</v>
      </c>
    </row>
    <row r="42" spans="1:8">
      <c r="A42" t="s">
        <v>197</v>
      </c>
      <c r="B42">
        <v>0</v>
      </c>
      <c r="C42">
        <v>0</v>
      </c>
      <c r="D42">
        <v>6</v>
      </c>
      <c r="F42" s="34">
        <v>0.03</v>
      </c>
      <c r="H42" t="s">
        <v>200</v>
      </c>
    </row>
    <row r="43" spans="1:8">
      <c r="A43" t="s">
        <v>197</v>
      </c>
      <c r="B43">
        <v>0</v>
      </c>
      <c r="C43">
        <v>0</v>
      </c>
      <c r="D43">
        <v>6</v>
      </c>
      <c r="F43" s="34">
        <v>0.03</v>
      </c>
      <c r="H43" t="s">
        <v>201</v>
      </c>
    </row>
    <row r="44" spans="1:8">
      <c r="A44" t="s">
        <v>197</v>
      </c>
      <c r="B44">
        <v>0</v>
      </c>
      <c r="C44">
        <v>1</v>
      </c>
      <c r="D44">
        <v>3</v>
      </c>
      <c r="F44" s="34">
        <v>0.06</v>
      </c>
      <c r="H44" t="s">
        <v>202</v>
      </c>
    </row>
    <row r="45" spans="1:8">
      <c r="A45" t="s">
        <v>197</v>
      </c>
      <c r="F45" s="34">
        <v>0.1</v>
      </c>
      <c r="G45" s="35">
        <v>4.0000000000000008E-2</v>
      </c>
      <c r="H45" t="s">
        <v>170</v>
      </c>
    </row>
    <row r="47" spans="1:8">
      <c r="A47" t="s">
        <v>203</v>
      </c>
      <c r="B47">
        <v>0</v>
      </c>
      <c r="C47">
        <v>0</v>
      </c>
      <c r="D47">
        <v>0</v>
      </c>
      <c r="F47" s="34">
        <v>0</v>
      </c>
      <c r="H47" t="s">
        <v>204</v>
      </c>
    </row>
    <row r="48" spans="1:8">
      <c r="A48" t="s">
        <v>203</v>
      </c>
      <c r="B48">
        <v>0</v>
      </c>
      <c r="C48">
        <v>0</v>
      </c>
      <c r="D48">
        <v>0</v>
      </c>
      <c r="F48" s="34">
        <v>0</v>
      </c>
      <c r="H48" t="s">
        <v>205</v>
      </c>
    </row>
    <row r="49" spans="1:8">
      <c r="A49" t="s">
        <v>203</v>
      </c>
      <c r="F49" s="34">
        <v>0</v>
      </c>
      <c r="G49" s="35">
        <v>0</v>
      </c>
      <c r="H49" t="s">
        <v>170</v>
      </c>
    </row>
    <row r="51" spans="1:8">
      <c r="A51" t="s">
        <v>206</v>
      </c>
      <c r="B51">
        <v>0</v>
      </c>
      <c r="C51">
        <v>1</v>
      </c>
      <c r="D51">
        <v>0</v>
      </c>
      <c r="F51" s="34">
        <v>0.05</v>
      </c>
      <c r="H51" t="s">
        <v>207</v>
      </c>
    </row>
    <row r="52" spans="1:8">
      <c r="A52" t="s">
        <v>206</v>
      </c>
      <c r="B52">
        <v>0</v>
      </c>
      <c r="C52">
        <v>1</v>
      </c>
      <c r="D52">
        <v>0</v>
      </c>
      <c r="F52" s="34">
        <v>0.05</v>
      </c>
      <c r="H52" t="s">
        <v>208</v>
      </c>
    </row>
    <row r="53" spans="1:8">
      <c r="A53" t="s">
        <v>206</v>
      </c>
      <c r="F53" s="34">
        <v>0.05</v>
      </c>
      <c r="G53" s="35">
        <v>0</v>
      </c>
      <c r="H53" t="s">
        <v>170</v>
      </c>
    </row>
    <row r="55" spans="1:8">
      <c r="A55" t="s">
        <v>209</v>
      </c>
      <c r="B55">
        <v>1</v>
      </c>
      <c r="C55">
        <v>11</v>
      </c>
      <c r="D55">
        <v>2.5</v>
      </c>
      <c r="F55" s="34">
        <v>1.56</v>
      </c>
      <c r="H55" t="s">
        <v>210</v>
      </c>
    </row>
    <row r="56" spans="1:8">
      <c r="A56" t="s">
        <v>209</v>
      </c>
      <c r="B56">
        <v>0</v>
      </c>
      <c r="C56">
        <v>0</v>
      </c>
      <c r="D56">
        <v>0</v>
      </c>
      <c r="F56" s="34">
        <v>0</v>
      </c>
      <c r="H56" t="s">
        <v>211</v>
      </c>
    </row>
    <row r="57" spans="1:8">
      <c r="A57" t="s">
        <v>209</v>
      </c>
      <c r="B57">
        <v>0</v>
      </c>
      <c r="C57">
        <v>0</v>
      </c>
      <c r="D57">
        <v>10</v>
      </c>
      <c r="F57" s="34">
        <v>0.04</v>
      </c>
      <c r="H57" t="s">
        <v>212</v>
      </c>
    </row>
    <row r="58" spans="1:8">
      <c r="A58" t="s">
        <v>209</v>
      </c>
      <c r="B58">
        <v>0</v>
      </c>
      <c r="C58">
        <v>0</v>
      </c>
      <c r="D58">
        <v>0</v>
      </c>
      <c r="F58" s="34">
        <v>0</v>
      </c>
      <c r="H58" t="s">
        <v>213</v>
      </c>
    </row>
    <row r="59" spans="1:8">
      <c r="A59" t="s">
        <v>209</v>
      </c>
      <c r="B59">
        <v>0</v>
      </c>
      <c r="C59">
        <v>3</v>
      </c>
      <c r="D59">
        <v>9</v>
      </c>
      <c r="F59" s="34">
        <v>0.19</v>
      </c>
      <c r="H59" t="s">
        <v>214</v>
      </c>
    </row>
    <row r="60" spans="1:8">
      <c r="A60" t="s">
        <v>209</v>
      </c>
      <c r="B60">
        <v>0</v>
      </c>
      <c r="C60">
        <v>3</v>
      </c>
      <c r="D60">
        <v>10</v>
      </c>
      <c r="F60" s="34">
        <v>0.19</v>
      </c>
      <c r="H60" t="s">
        <v>215</v>
      </c>
    </row>
    <row r="61" spans="1:8">
      <c r="A61" t="s">
        <v>209</v>
      </c>
      <c r="B61">
        <v>0</v>
      </c>
      <c r="C61">
        <v>3</v>
      </c>
      <c r="D61">
        <v>0.75</v>
      </c>
      <c r="F61" s="34">
        <v>0.15</v>
      </c>
      <c r="H61" t="s">
        <v>216</v>
      </c>
    </row>
    <row r="62" spans="1:8">
      <c r="A62" t="s">
        <v>209</v>
      </c>
      <c r="B62">
        <v>0</v>
      </c>
      <c r="C62">
        <v>3</v>
      </c>
      <c r="D62">
        <v>0</v>
      </c>
      <c r="F62" s="34">
        <v>0.15</v>
      </c>
      <c r="H62" t="s">
        <v>217</v>
      </c>
    </row>
    <row r="63" spans="1:8">
      <c r="A63" t="s">
        <v>209</v>
      </c>
      <c r="B63">
        <v>0</v>
      </c>
      <c r="C63">
        <v>1</v>
      </c>
      <c r="D63">
        <v>6</v>
      </c>
      <c r="F63" s="34">
        <v>0.08</v>
      </c>
      <c r="H63" t="s">
        <v>218</v>
      </c>
    </row>
    <row r="64" spans="1:8">
      <c r="A64" t="s">
        <v>209</v>
      </c>
      <c r="B64">
        <v>0</v>
      </c>
      <c r="C64">
        <v>0</v>
      </c>
      <c r="D64">
        <v>0</v>
      </c>
      <c r="F64" s="34">
        <v>0</v>
      </c>
      <c r="H64" t="s">
        <v>219</v>
      </c>
    </row>
    <row r="65" spans="1:8">
      <c r="A65" t="s">
        <v>209</v>
      </c>
      <c r="B65">
        <v>0</v>
      </c>
      <c r="C65">
        <v>8</v>
      </c>
      <c r="D65">
        <v>0</v>
      </c>
      <c r="F65" s="34">
        <v>0.4</v>
      </c>
      <c r="H65" t="s">
        <v>220</v>
      </c>
    </row>
    <row r="66" spans="1:8">
      <c r="A66" t="s">
        <v>209</v>
      </c>
      <c r="B66">
        <v>0</v>
      </c>
      <c r="C66">
        <v>19</v>
      </c>
      <c r="D66">
        <v>0</v>
      </c>
      <c r="F66" s="34">
        <v>0.95</v>
      </c>
      <c r="H66" t="s">
        <v>221</v>
      </c>
    </row>
    <row r="67" spans="1:8">
      <c r="A67" t="s">
        <v>209</v>
      </c>
      <c r="B67">
        <v>0</v>
      </c>
      <c r="C67">
        <v>0</v>
      </c>
      <c r="D67">
        <v>6</v>
      </c>
      <c r="F67" s="34">
        <v>0.03</v>
      </c>
      <c r="H67" t="s">
        <v>222</v>
      </c>
    </row>
    <row r="68" spans="1:8">
      <c r="A68" t="s">
        <v>209</v>
      </c>
      <c r="B68">
        <v>0</v>
      </c>
      <c r="C68">
        <v>4</v>
      </c>
      <c r="D68">
        <v>9.25</v>
      </c>
      <c r="F68" s="34">
        <v>0.24</v>
      </c>
      <c r="H68" t="s">
        <v>223</v>
      </c>
    </row>
    <row r="69" spans="1:8">
      <c r="A69" t="s">
        <v>209</v>
      </c>
      <c r="B69">
        <v>0</v>
      </c>
      <c r="C69">
        <v>12</v>
      </c>
      <c r="D69">
        <v>4.5</v>
      </c>
      <c r="F69" s="34">
        <v>0.62</v>
      </c>
      <c r="H69" t="s">
        <v>224</v>
      </c>
    </row>
    <row r="70" spans="1:8">
      <c r="A70" t="s">
        <v>209</v>
      </c>
      <c r="B70">
        <v>0</v>
      </c>
      <c r="C70">
        <v>5</v>
      </c>
      <c r="D70">
        <v>1.5</v>
      </c>
      <c r="F70" s="34">
        <v>0.26</v>
      </c>
      <c r="H70" t="s">
        <v>225</v>
      </c>
    </row>
    <row r="71" spans="1:8">
      <c r="A71" t="s">
        <v>209</v>
      </c>
      <c r="B71">
        <v>0</v>
      </c>
      <c r="C71">
        <v>14</v>
      </c>
      <c r="D71">
        <v>3</v>
      </c>
      <c r="F71" s="34">
        <v>0.71</v>
      </c>
      <c r="H71" t="s">
        <v>226</v>
      </c>
    </row>
    <row r="72" spans="1:8">
      <c r="A72" t="s">
        <v>209</v>
      </c>
      <c r="B72">
        <v>0</v>
      </c>
      <c r="C72">
        <v>3</v>
      </c>
      <c r="D72">
        <v>11</v>
      </c>
      <c r="F72" s="34">
        <v>0.2</v>
      </c>
      <c r="H72" t="s">
        <v>227</v>
      </c>
    </row>
    <row r="73" spans="1:8">
      <c r="A73" t="s">
        <v>209</v>
      </c>
      <c r="B73">
        <v>5</v>
      </c>
      <c r="C73">
        <v>15</v>
      </c>
      <c r="D73">
        <v>1.5</v>
      </c>
      <c r="F73" s="34">
        <v>5.76</v>
      </c>
      <c r="H73" t="s">
        <v>228</v>
      </c>
    </row>
    <row r="75" spans="1:8">
      <c r="A75" t="s">
        <v>209</v>
      </c>
      <c r="B75">
        <v>0</v>
      </c>
      <c r="C75">
        <v>10</v>
      </c>
      <c r="D75">
        <v>0</v>
      </c>
      <c r="F75" s="34">
        <f>B75+C75/20+D75/240</f>
        <v>0.5</v>
      </c>
      <c r="H75" t="s">
        <v>229</v>
      </c>
    </row>
    <row r="76" spans="1:8">
      <c r="A76" t="s">
        <v>209</v>
      </c>
      <c r="B76">
        <v>0</v>
      </c>
      <c r="C76">
        <v>9</v>
      </c>
      <c r="D76">
        <v>0</v>
      </c>
      <c r="F76" s="34">
        <v>0.45</v>
      </c>
      <c r="H76" t="s">
        <v>230</v>
      </c>
    </row>
    <row r="77" spans="1:8">
      <c r="A77" t="s">
        <v>209</v>
      </c>
      <c r="B77">
        <v>0</v>
      </c>
      <c r="C77">
        <v>9</v>
      </c>
      <c r="D77">
        <v>0</v>
      </c>
      <c r="F77" s="34">
        <v>0.45</v>
      </c>
      <c r="H77" t="s">
        <v>231</v>
      </c>
    </row>
    <row r="78" spans="1:8">
      <c r="A78" t="s">
        <v>209</v>
      </c>
      <c r="B78">
        <v>1</v>
      </c>
      <c r="C78">
        <v>12</v>
      </c>
      <c r="D78">
        <v>6</v>
      </c>
      <c r="F78" s="34">
        <v>1.62</v>
      </c>
      <c r="H78" t="s">
        <v>232</v>
      </c>
    </row>
    <row r="79" spans="1:8">
      <c r="A79" t="s">
        <v>209</v>
      </c>
      <c r="B79">
        <v>0</v>
      </c>
      <c r="C79">
        <v>6</v>
      </c>
      <c r="D79">
        <v>0</v>
      </c>
      <c r="F79" s="34">
        <v>0.3</v>
      </c>
      <c r="H79" t="s">
        <v>233</v>
      </c>
    </row>
    <row r="80" spans="1:8">
      <c r="A80" t="s">
        <v>209</v>
      </c>
      <c r="B80">
        <v>1</v>
      </c>
      <c r="C80">
        <v>14</v>
      </c>
      <c r="D80">
        <v>0</v>
      </c>
      <c r="F80" s="34">
        <v>1.7</v>
      </c>
      <c r="H80" t="s">
        <v>234</v>
      </c>
    </row>
    <row r="81" spans="1:8">
      <c r="A81" t="s">
        <v>209</v>
      </c>
      <c r="B81">
        <v>2</v>
      </c>
      <c r="C81">
        <v>0</v>
      </c>
      <c r="D81">
        <v>0</v>
      </c>
      <c r="F81" s="34">
        <v>2</v>
      </c>
      <c r="H81" t="s">
        <v>235</v>
      </c>
    </row>
    <row r="82" spans="1:8">
      <c r="A82" t="s">
        <v>209</v>
      </c>
      <c r="B82">
        <v>3</v>
      </c>
      <c r="C82">
        <v>3</v>
      </c>
      <c r="D82">
        <v>4</v>
      </c>
      <c r="F82" s="34">
        <v>3.17</v>
      </c>
      <c r="H82" t="s">
        <v>236</v>
      </c>
    </row>
    <row r="83" spans="1:8">
      <c r="A83" t="s">
        <v>209</v>
      </c>
      <c r="B83">
        <v>0</v>
      </c>
      <c r="C83">
        <v>10</v>
      </c>
      <c r="D83">
        <v>2.5</v>
      </c>
      <c r="F83" s="34">
        <v>0.51</v>
      </c>
      <c r="H83" t="s">
        <v>237</v>
      </c>
    </row>
    <row r="84" spans="1:8">
      <c r="A84" t="s">
        <v>209</v>
      </c>
      <c r="B84">
        <v>0</v>
      </c>
      <c r="C84">
        <v>0</v>
      </c>
      <c r="D84">
        <v>0</v>
      </c>
      <c r="F84" s="34">
        <v>0</v>
      </c>
      <c r="H84" t="s">
        <v>238</v>
      </c>
    </row>
    <row r="85" spans="1:8">
      <c r="A85" t="s">
        <v>209</v>
      </c>
      <c r="B85">
        <v>0</v>
      </c>
      <c r="C85">
        <v>6</v>
      </c>
      <c r="D85">
        <v>1.5</v>
      </c>
      <c r="F85" s="34">
        <v>0.31</v>
      </c>
      <c r="H85" t="s">
        <v>239</v>
      </c>
    </row>
    <row r="86" spans="1:8">
      <c r="A86" t="s">
        <v>209</v>
      </c>
      <c r="B86">
        <v>0</v>
      </c>
      <c r="C86">
        <v>10</v>
      </c>
      <c r="D86">
        <v>5</v>
      </c>
      <c r="F86" s="34">
        <v>0.52</v>
      </c>
      <c r="H86" t="s">
        <v>240</v>
      </c>
    </row>
    <row r="87" spans="1:8">
      <c r="A87" t="s">
        <v>209</v>
      </c>
      <c r="B87">
        <v>0</v>
      </c>
      <c r="C87">
        <v>1</v>
      </c>
      <c r="D87">
        <v>9</v>
      </c>
      <c r="F87" s="34">
        <v>0.09</v>
      </c>
      <c r="H87" t="s">
        <v>241</v>
      </c>
    </row>
    <row r="88" spans="1:8">
      <c r="A88" t="s">
        <v>209</v>
      </c>
      <c r="B88">
        <v>0</v>
      </c>
      <c r="C88">
        <v>2</v>
      </c>
      <c r="D88">
        <v>2</v>
      </c>
      <c r="F88" s="34">
        <v>0.11</v>
      </c>
      <c r="H88" t="s">
        <v>242</v>
      </c>
    </row>
    <row r="89" spans="1:8">
      <c r="A89" t="s">
        <v>209</v>
      </c>
      <c r="B89">
        <v>0</v>
      </c>
      <c r="C89">
        <v>1</v>
      </c>
      <c r="D89">
        <v>3.75</v>
      </c>
      <c r="F89" s="34">
        <v>7.0000000000000007E-2</v>
      </c>
      <c r="H89" t="s">
        <v>243</v>
      </c>
    </row>
    <row r="90" spans="1:8">
      <c r="A90" t="s">
        <v>209</v>
      </c>
      <c r="B90">
        <v>0</v>
      </c>
      <c r="C90">
        <v>0</v>
      </c>
      <c r="D90">
        <v>4</v>
      </c>
      <c r="F90" s="34">
        <v>0.02</v>
      </c>
      <c r="H90" t="s">
        <v>244</v>
      </c>
    </row>
    <row r="91" spans="1:8">
      <c r="A91" t="s">
        <v>209</v>
      </c>
      <c r="B91">
        <v>0</v>
      </c>
      <c r="C91">
        <v>2</v>
      </c>
      <c r="D91">
        <v>0</v>
      </c>
      <c r="F91" s="34">
        <v>0.1</v>
      </c>
      <c r="H91" t="s">
        <v>245</v>
      </c>
    </row>
    <row r="92" spans="1:8">
      <c r="A92" t="s">
        <v>209</v>
      </c>
      <c r="B92">
        <v>0</v>
      </c>
      <c r="C92">
        <v>0</v>
      </c>
      <c r="D92">
        <v>8</v>
      </c>
      <c r="F92" s="34">
        <v>0.03</v>
      </c>
      <c r="H92" t="s">
        <v>246</v>
      </c>
    </row>
    <row r="93" spans="1:8">
      <c r="A93" t="s">
        <v>209</v>
      </c>
      <c r="B93">
        <v>1</v>
      </c>
      <c r="C93">
        <v>4</v>
      </c>
      <c r="D93">
        <v>0</v>
      </c>
      <c r="F93" s="34">
        <v>1.2</v>
      </c>
      <c r="H93" t="s">
        <v>247</v>
      </c>
    </row>
    <row r="94" spans="1:8">
      <c r="A94" t="s">
        <v>209</v>
      </c>
      <c r="B94">
        <v>0</v>
      </c>
      <c r="C94">
        <v>3</v>
      </c>
      <c r="D94">
        <v>0</v>
      </c>
      <c r="F94" s="34">
        <v>0.15</v>
      </c>
      <c r="H94" t="s">
        <v>248</v>
      </c>
    </row>
    <row r="95" spans="1:8">
      <c r="A95" t="s">
        <v>209</v>
      </c>
      <c r="B95">
        <v>2</v>
      </c>
      <c r="C95">
        <v>15</v>
      </c>
      <c r="D95">
        <v>3</v>
      </c>
      <c r="F95" s="34">
        <v>2.76</v>
      </c>
      <c r="H95" t="s">
        <v>249</v>
      </c>
    </row>
    <row r="96" spans="1:8">
      <c r="A96" t="s">
        <v>209</v>
      </c>
      <c r="B96">
        <v>0</v>
      </c>
      <c r="C96">
        <v>4</v>
      </c>
      <c r="D96">
        <v>6.5</v>
      </c>
      <c r="F96">
        <f>B96+C96/20+D96/240</f>
        <v>0.22708333333333336</v>
      </c>
      <c r="H96" t="s">
        <v>250</v>
      </c>
    </row>
    <row r="97" spans="1:8">
      <c r="A97" t="s">
        <v>209</v>
      </c>
      <c r="B97">
        <v>16</v>
      </c>
      <c r="C97">
        <v>5</v>
      </c>
      <c r="D97">
        <v>4.75</v>
      </c>
      <c r="F97" s="34">
        <v>16.27</v>
      </c>
      <c r="H97" t="s">
        <v>251</v>
      </c>
    </row>
    <row r="98" spans="1:8">
      <c r="A98" t="s">
        <v>209</v>
      </c>
      <c r="F98" s="34">
        <f>SUM(F55:F72)+SUM(F75:F96)</f>
        <v>22.057083333333328</v>
      </c>
      <c r="G98" s="35">
        <f>F98-(F97+F73)</f>
        <v>2.7083333333326465E-2</v>
      </c>
      <c r="H98" t="s">
        <v>170</v>
      </c>
    </row>
    <row r="100" spans="1:8">
      <c r="A100" t="s">
        <v>252</v>
      </c>
      <c r="B100">
        <v>12</v>
      </c>
      <c r="C100">
        <v>1</v>
      </c>
      <c r="D100">
        <v>3.5</v>
      </c>
      <c r="F100" s="34">
        <v>12.06</v>
      </c>
      <c r="H100" t="s">
        <v>253</v>
      </c>
    </row>
    <row r="101" spans="1:8">
      <c r="A101" t="s">
        <v>252</v>
      </c>
      <c r="B101">
        <v>1</v>
      </c>
      <c r="C101">
        <v>1</v>
      </c>
      <c r="D101">
        <v>3</v>
      </c>
      <c r="F101" s="34">
        <v>1.06</v>
      </c>
      <c r="H101" t="s">
        <v>254</v>
      </c>
    </row>
    <row r="102" spans="1:8">
      <c r="A102" t="s">
        <v>252</v>
      </c>
      <c r="B102">
        <v>0</v>
      </c>
      <c r="C102">
        <v>1</v>
      </c>
      <c r="D102">
        <v>4</v>
      </c>
      <c r="F102" s="34">
        <v>7.0000000000000007E-2</v>
      </c>
      <c r="H102" t="s">
        <v>255</v>
      </c>
    </row>
    <row r="103" spans="1:8">
      <c r="A103" t="s">
        <v>252</v>
      </c>
      <c r="B103">
        <v>1</v>
      </c>
      <c r="C103">
        <v>16</v>
      </c>
      <c r="D103">
        <v>8</v>
      </c>
      <c r="F103" s="34">
        <v>1.83</v>
      </c>
      <c r="H103" t="s">
        <v>256</v>
      </c>
    </row>
    <row r="104" spans="1:8">
      <c r="A104" t="s">
        <v>252</v>
      </c>
      <c r="B104">
        <v>6</v>
      </c>
      <c r="C104">
        <v>9</v>
      </c>
      <c r="D104">
        <v>9</v>
      </c>
      <c r="F104" s="34">
        <v>6.49</v>
      </c>
      <c r="H104" t="s">
        <v>257</v>
      </c>
    </row>
    <row r="105" spans="1:8">
      <c r="A105" t="s">
        <v>252</v>
      </c>
      <c r="B105">
        <v>4</v>
      </c>
      <c r="C105">
        <v>3</v>
      </c>
      <c r="D105">
        <v>2</v>
      </c>
      <c r="F105" s="34">
        <v>4.16</v>
      </c>
      <c r="H105" t="s">
        <v>258</v>
      </c>
    </row>
    <row r="106" spans="1:8">
      <c r="A106" t="s">
        <v>252</v>
      </c>
      <c r="B106">
        <v>1</v>
      </c>
      <c r="C106">
        <v>0</v>
      </c>
      <c r="D106">
        <v>9</v>
      </c>
      <c r="F106" s="34">
        <v>1.04</v>
      </c>
      <c r="H106" t="s">
        <v>259</v>
      </c>
    </row>
    <row r="107" spans="1:8">
      <c r="A107" t="s">
        <v>252</v>
      </c>
      <c r="B107">
        <v>1</v>
      </c>
      <c r="C107">
        <v>5</v>
      </c>
      <c r="D107">
        <v>0</v>
      </c>
      <c r="F107" s="34">
        <v>1.25</v>
      </c>
      <c r="H107" t="s">
        <v>260</v>
      </c>
    </row>
    <row r="108" spans="1:8">
      <c r="A108" t="s">
        <v>252</v>
      </c>
      <c r="B108">
        <v>27</v>
      </c>
      <c r="C108">
        <v>19</v>
      </c>
      <c r="D108">
        <v>9</v>
      </c>
      <c r="F108" s="34">
        <f>B108+C108/20+D108/240</f>
        <v>27.987500000000001</v>
      </c>
      <c r="H108" t="s">
        <v>261</v>
      </c>
    </row>
    <row r="109" spans="1:8">
      <c r="A109" t="s">
        <v>252</v>
      </c>
      <c r="F109" s="34">
        <v>27.96</v>
      </c>
      <c r="G109" s="35">
        <f>F109-F108</f>
        <v>-2.7499999999999858E-2</v>
      </c>
      <c r="H109" t="s">
        <v>170</v>
      </c>
    </row>
    <row r="111" spans="1:8">
      <c r="A111" t="s">
        <v>262</v>
      </c>
      <c r="B111">
        <v>0</v>
      </c>
      <c r="C111">
        <v>10</v>
      </c>
      <c r="D111">
        <v>0</v>
      </c>
      <c r="F111" s="34">
        <v>0.5</v>
      </c>
      <c r="H111" t="s">
        <v>263</v>
      </c>
    </row>
    <row r="112" spans="1:8">
      <c r="A112" t="s">
        <v>262</v>
      </c>
      <c r="B112">
        <v>1</v>
      </c>
      <c r="C112">
        <v>0</v>
      </c>
      <c r="D112">
        <v>0</v>
      </c>
      <c r="F112" s="34">
        <v>1</v>
      </c>
      <c r="H112" t="s">
        <v>264</v>
      </c>
    </row>
    <row r="113" spans="1:8">
      <c r="A113" t="s">
        <v>262</v>
      </c>
      <c r="B113">
        <v>0</v>
      </c>
      <c r="C113">
        <v>2</v>
      </c>
      <c r="D113">
        <v>0</v>
      </c>
      <c r="F113" s="34">
        <v>0.1</v>
      </c>
      <c r="H113" t="s">
        <v>265</v>
      </c>
    </row>
    <row r="114" spans="1:8">
      <c r="A114" t="s">
        <v>262</v>
      </c>
      <c r="B114">
        <v>0</v>
      </c>
      <c r="C114">
        <v>4</v>
      </c>
      <c r="D114">
        <v>0</v>
      </c>
      <c r="F114" s="34">
        <v>0.2</v>
      </c>
      <c r="H114" t="s">
        <v>266</v>
      </c>
    </row>
    <row r="115" spans="1:8">
      <c r="A115" t="s">
        <v>262</v>
      </c>
      <c r="B115">
        <v>0</v>
      </c>
      <c r="C115">
        <v>6</v>
      </c>
      <c r="D115">
        <v>8</v>
      </c>
      <c r="F115" s="34">
        <v>0.33</v>
      </c>
      <c r="H115" t="s">
        <v>267</v>
      </c>
    </row>
    <row r="116" spans="1:8">
      <c r="A116" t="s">
        <v>262</v>
      </c>
      <c r="B116">
        <v>0</v>
      </c>
      <c r="C116">
        <v>1</v>
      </c>
      <c r="D116">
        <v>1</v>
      </c>
      <c r="F116" s="34">
        <v>0.05</v>
      </c>
      <c r="H116" t="s">
        <v>268</v>
      </c>
    </row>
    <row r="117" spans="1:8">
      <c r="A117" t="s">
        <v>262</v>
      </c>
      <c r="B117">
        <v>2</v>
      </c>
      <c r="C117">
        <v>3</v>
      </c>
      <c r="D117">
        <v>8</v>
      </c>
      <c r="F117" s="34">
        <v>2.1800000000000002</v>
      </c>
      <c r="H117" t="s">
        <v>269</v>
      </c>
    </row>
    <row r="118" spans="1:8">
      <c r="A118" t="s">
        <v>262</v>
      </c>
      <c r="F118" s="34">
        <v>2.1800000000000002</v>
      </c>
      <c r="G118" s="35">
        <v>0</v>
      </c>
      <c r="H118" t="s">
        <v>170</v>
      </c>
    </row>
    <row r="120" spans="1:8">
      <c r="A120" t="s">
        <v>270</v>
      </c>
      <c r="B120">
        <v>0</v>
      </c>
      <c r="C120">
        <v>2</v>
      </c>
      <c r="D120">
        <v>0</v>
      </c>
      <c r="F120" s="34">
        <v>0.1</v>
      </c>
      <c r="H120" t="s">
        <v>271</v>
      </c>
    </row>
    <row r="121" spans="1:8">
      <c r="A121" t="s">
        <v>270</v>
      </c>
      <c r="B121">
        <v>0</v>
      </c>
      <c r="C121">
        <v>16</v>
      </c>
      <c r="D121">
        <v>3</v>
      </c>
      <c r="F121" s="34">
        <v>0.81</v>
      </c>
      <c r="H121" t="s">
        <v>272</v>
      </c>
    </row>
    <row r="122" spans="1:8">
      <c r="A122" t="s">
        <v>270</v>
      </c>
      <c r="B122">
        <v>0</v>
      </c>
      <c r="C122">
        <v>18</v>
      </c>
      <c r="D122">
        <v>3</v>
      </c>
      <c r="F122" s="34">
        <v>0.91</v>
      </c>
      <c r="H122" t="s">
        <v>273</v>
      </c>
    </row>
    <row r="123" spans="1:8">
      <c r="A123" t="s">
        <v>270</v>
      </c>
      <c r="F123" s="34">
        <v>0.91</v>
      </c>
      <c r="G123" s="35">
        <v>0</v>
      </c>
      <c r="H123" t="s">
        <v>170</v>
      </c>
    </row>
    <row r="125" spans="1:8">
      <c r="A125" s="55" t="s">
        <v>274</v>
      </c>
      <c r="B125">
        <v>80</v>
      </c>
      <c r="C125">
        <v>1</v>
      </c>
      <c r="D125">
        <v>9</v>
      </c>
      <c r="F125" s="34">
        <f>B125+C125/20+D125/240</f>
        <v>80.087499999999991</v>
      </c>
      <c r="H125" t="s">
        <v>275</v>
      </c>
    </row>
    <row r="126" spans="1:8" ht="15.95">
      <c r="A126" s="65" t="s">
        <v>276</v>
      </c>
      <c r="F126" s="34">
        <f>F123+F118+F109+F98+F53+F49+F45+F38+F34</f>
        <v>80.127083333333331</v>
      </c>
      <c r="G126" s="35">
        <f>F126-F125</f>
        <v>3.9583333333339965E-2</v>
      </c>
    </row>
    <row r="127" spans="1:8" ht="15.95">
      <c r="A127" s="65" t="s">
        <v>277</v>
      </c>
      <c r="F127" s="34">
        <f>F126+F6</f>
        <v>106.06708333333333</v>
      </c>
      <c r="G127" s="35">
        <f>F127-F126</f>
        <v>25.939999999999998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07"/>
  <sheetViews>
    <sheetView workbookViewId="0">
      <pane xSplit="1" ySplit="2" topLeftCell="D83" activePane="bottomRight" state="frozen"/>
      <selection pane="bottomRight" activeCell="F108" sqref="F108"/>
      <selection pane="bottomLeft" activeCell="A3" sqref="A3"/>
      <selection pane="topRight" activeCell="B1" sqref="B1"/>
    </sheetView>
  </sheetViews>
  <sheetFormatPr defaultColWidth="8.85546875" defaultRowHeight="15"/>
  <cols>
    <col min="1" max="1" width="33.140625" bestFit="1" customWidth="1"/>
    <col min="6" max="6" width="8.85546875" style="34"/>
    <col min="7" max="7" width="8.85546875" style="35"/>
    <col min="8" max="8" width="28.28515625" customWidth="1"/>
    <col min="10" max="10" width="17.28515625" customWidth="1"/>
    <col min="11" max="11" width="21" customWidth="1"/>
  </cols>
  <sheetData>
    <row r="1" spans="1:11" ht="15.95">
      <c r="A1" s="28" t="s">
        <v>278</v>
      </c>
    </row>
    <row r="2" spans="1:11" ht="33.950000000000003">
      <c r="A2" s="29" t="s">
        <v>161</v>
      </c>
      <c r="B2" s="30" t="s">
        <v>162</v>
      </c>
      <c r="C2" s="31" t="s">
        <v>163</v>
      </c>
      <c r="D2" s="31" t="s">
        <v>164</v>
      </c>
      <c r="E2" s="86"/>
      <c r="F2" s="32" t="s">
        <v>2</v>
      </c>
      <c r="G2" s="33" t="s">
        <v>3</v>
      </c>
      <c r="H2" s="29" t="s">
        <v>165</v>
      </c>
      <c r="J2" s="66" t="s">
        <v>279</v>
      </c>
      <c r="K2" s="66" t="s">
        <v>280</v>
      </c>
    </row>
    <row r="3" spans="1:11">
      <c r="A3" t="s">
        <v>281</v>
      </c>
      <c r="B3">
        <v>0</v>
      </c>
      <c r="C3">
        <v>6</v>
      </c>
      <c r="D3">
        <v>10.5</v>
      </c>
      <c r="F3" s="34">
        <v>0.34</v>
      </c>
      <c r="H3" t="s">
        <v>282</v>
      </c>
      <c r="J3" s="34">
        <f>F3</f>
        <v>0.34</v>
      </c>
      <c r="K3" s="34">
        <f>J3</f>
        <v>0.34</v>
      </c>
    </row>
    <row r="4" spans="1:11">
      <c r="A4" t="s">
        <v>281</v>
      </c>
      <c r="B4">
        <v>0</v>
      </c>
      <c r="C4">
        <v>0</v>
      </c>
      <c r="D4">
        <v>9</v>
      </c>
      <c r="F4" s="34">
        <v>0.04</v>
      </c>
      <c r="H4" t="s">
        <v>283</v>
      </c>
      <c r="J4" s="34">
        <f t="shared" ref="J4:J13" si="0">F4</f>
        <v>0.04</v>
      </c>
      <c r="K4" s="34">
        <f t="shared" ref="K4:K13" si="1">J4</f>
        <v>0.04</v>
      </c>
    </row>
    <row r="5" spans="1:11">
      <c r="A5" t="s">
        <v>281</v>
      </c>
      <c r="B5">
        <v>0</v>
      </c>
      <c r="C5">
        <v>0</v>
      </c>
      <c r="D5">
        <v>5</v>
      </c>
      <c r="F5" s="34">
        <v>0.02</v>
      </c>
      <c r="H5" t="s">
        <v>284</v>
      </c>
      <c r="J5" s="34">
        <f t="shared" si="0"/>
        <v>0.02</v>
      </c>
      <c r="K5" s="34">
        <f t="shared" si="1"/>
        <v>0.02</v>
      </c>
    </row>
    <row r="6" spans="1:11">
      <c r="A6" t="s">
        <v>281</v>
      </c>
      <c r="B6">
        <v>0</v>
      </c>
      <c r="C6">
        <v>0</v>
      </c>
      <c r="D6">
        <v>3</v>
      </c>
      <c r="F6" s="34">
        <v>0.01</v>
      </c>
      <c r="H6" t="s">
        <v>285</v>
      </c>
      <c r="J6" s="34">
        <f t="shared" si="0"/>
        <v>0.01</v>
      </c>
      <c r="K6" s="34">
        <f t="shared" si="1"/>
        <v>0.01</v>
      </c>
    </row>
    <row r="7" spans="1:11">
      <c r="A7" t="s">
        <v>281</v>
      </c>
      <c r="B7">
        <v>0</v>
      </c>
      <c r="C7">
        <v>1</v>
      </c>
      <c r="D7">
        <v>3</v>
      </c>
      <c r="F7" s="34">
        <v>0.06</v>
      </c>
      <c r="H7" t="s">
        <v>286</v>
      </c>
      <c r="J7" s="34">
        <f t="shared" si="0"/>
        <v>0.06</v>
      </c>
      <c r="K7" s="34">
        <f t="shared" si="1"/>
        <v>0.06</v>
      </c>
    </row>
    <row r="8" spans="1:11">
      <c r="A8" t="s">
        <v>281</v>
      </c>
      <c r="B8">
        <v>0</v>
      </c>
      <c r="C8">
        <v>0</v>
      </c>
      <c r="D8">
        <v>1.5</v>
      </c>
      <c r="F8" s="34">
        <v>0.01</v>
      </c>
      <c r="H8" t="s">
        <v>287</v>
      </c>
      <c r="J8" s="34">
        <f t="shared" si="0"/>
        <v>0.01</v>
      </c>
      <c r="K8" s="34">
        <f t="shared" si="1"/>
        <v>0.01</v>
      </c>
    </row>
    <row r="9" spans="1:11">
      <c r="A9" t="s">
        <v>281</v>
      </c>
      <c r="B9">
        <v>0</v>
      </c>
      <c r="C9">
        <v>1</v>
      </c>
      <c r="D9">
        <v>0</v>
      </c>
      <c r="F9" s="34">
        <v>0.05</v>
      </c>
      <c r="H9" t="s">
        <v>288</v>
      </c>
      <c r="J9" s="34">
        <f t="shared" si="0"/>
        <v>0.05</v>
      </c>
      <c r="K9" s="34">
        <f t="shared" si="1"/>
        <v>0.05</v>
      </c>
    </row>
    <row r="10" spans="1:11">
      <c r="A10" t="s">
        <v>281</v>
      </c>
      <c r="B10">
        <v>0</v>
      </c>
      <c r="C10">
        <v>0</v>
      </c>
      <c r="D10">
        <v>0.75</v>
      </c>
      <c r="F10" s="34">
        <v>0</v>
      </c>
      <c r="H10" t="s">
        <v>289</v>
      </c>
      <c r="J10" s="34">
        <f t="shared" si="0"/>
        <v>0</v>
      </c>
      <c r="K10" s="34">
        <f t="shared" si="1"/>
        <v>0</v>
      </c>
    </row>
    <row r="11" spans="1:11">
      <c r="A11" t="s">
        <v>281</v>
      </c>
      <c r="B11">
        <v>0</v>
      </c>
      <c r="C11">
        <v>2</v>
      </c>
      <c r="D11">
        <v>6</v>
      </c>
      <c r="F11" s="34">
        <v>0.12</v>
      </c>
      <c r="H11" t="s">
        <v>290</v>
      </c>
      <c r="J11" s="34">
        <f t="shared" si="0"/>
        <v>0.12</v>
      </c>
      <c r="K11" s="34">
        <f t="shared" si="1"/>
        <v>0.12</v>
      </c>
    </row>
    <row r="12" spans="1:11">
      <c r="A12" t="s">
        <v>281</v>
      </c>
      <c r="B12">
        <v>0</v>
      </c>
      <c r="C12">
        <v>1</v>
      </c>
      <c r="D12">
        <v>4</v>
      </c>
      <c r="F12" s="34">
        <v>7.0000000000000007E-2</v>
      </c>
      <c r="H12" t="s">
        <v>291</v>
      </c>
      <c r="J12" s="34">
        <f t="shared" si="0"/>
        <v>7.0000000000000007E-2</v>
      </c>
      <c r="K12" s="34">
        <f t="shared" si="1"/>
        <v>7.0000000000000007E-2</v>
      </c>
    </row>
    <row r="13" spans="1:11">
      <c r="A13" t="s">
        <v>281</v>
      </c>
      <c r="B13">
        <v>0</v>
      </c>
      <c r="C13">
        <v>0</v>
      </c>
      <c r="D13">
        <v>4</v>
      </c>
      <c r="F13" s="34">
        <v>0.02</v>
      </c>
      <c r="H13" t="s">
        <v>292</v>
      </c>
      <c r="J13" s="34">
        <f t="shared" si="0"/>
        <v>0.02</v>
      </c>
      <c r="K13" s="34">
        <f t="shared" si="1"/>
        <v>0.02</v>
      </c>
    </row>
    <row r="14" spans="1:11">
      <c r="A14" t="s">
        <v>281</v>
      </c>
      <c r="B14">
        <v>0</v>
      </c>
      <c r="C14">
        <v>3</v>
      </c>
      <c r="D14">
        <v>0</v>
      </c>
      <c r="F14" s="34">
        <v>0.15</v>
      </c>
      <c r="H14" t="s">
        <v>293</v>
      </c>
    </row>
    <row r="15" spans="1:11">
      <c r="A15" t="s">
        <v>281</v>
      </c>
      <c r="B15">
        <v>0</v>
      </c>
      <c r="C15">
        <v>0</v>
      </c>
      <c r="D15">
        <v>9</v>
      </c>
      <c r="F15" s="34">
        <v>0.04</v>
      </c>
      <c r="H15" t="s">
        <v>294</v>
      </c>
    </row>
    <row r="16" spans="1:11">
      <c r="A16" t="s">
        <v>281</v>
      </c>
      <c r="B16">
        <v>0</v>
      </c>
      <c r="C16">
        <v>6</v>
      </c>
      <c r="D16">
        <v>0</v>
      </c>
      <c r="F16" s="34">
        <v>0.3</v>
      </c>
      <c r="H16" t="s">
        <v>295</v>
      </c>
    </row>
    <row r="17" spans="1:11">
      <c r="A17" t="s">
        <v>281</v>
      </c>
      <c r="B17">
        <v>2</v>
      </c>
      <c r="C17">
        <v>1</v>
      </c>
      <c r="D17">
        <v>3</v>
      </c>
      <c r="F17" s="34">
        <v>2.06</v>
      </c>
      <c r="H17" t="s">
        <v>296</v>
      </c>
    </row>
    <row r="18" spans="1:11">
      <c r="A18" t="s">
        <v>281</v>
      </c>
      <c r="B18">
        <v>0</v>
      </c>
      <c r="C18">
        <v>8</v>
      </c>
      <c r="D18">
        <v>0</v>
      </c>
      <c r="F18" s="34">
        <f>B18+C18/20+D18/240</f>
        <v>0.4</v>
      </c>
      <c r="H18" t="s">
        <v>297</v>
      </c>
    </row>
    <row r="19" spans="1:11">
      <c r="A19" t="s">
        <v>281</v>
      </c>
      <c r="B19">
        <v>3</v>
      </c>
      <c r="C19">
        <v>13</v>
      </c>
      <c r="D19">
        <v>10.75</v>
      </c>
      <c r="F19" s="34">
        <v>3.69</v>
      </c>
      <c r="H19" t="s">
        <v>298</v>
      </c>
    </row>
    <row r="20" spans="1:11">
      <c r="A20" t="s">
        <v>281</v>
      </c>
      <c r="F20" s="34">
        <f>SUM(F3:F18)</f>
        <v>3.69</v>
      </c>
      <c r="G20" s="35">
        <f>F20-F19</f>
        <v>0</v>
      </c>
      <c r="H20" t="s">
        <v>170</v>
      </c>
    </row>
    <row r="22" spans="1:11">
      <c r="A22" t="s">
        <v>299</v>
      </c>
      <c r="B22">
        <v>0</v>
      </c>
      <c r="C22">
        <v>1</v>
      </c>
      <c r="D22">
        <v>10</v>
      </c>
      <c r="F22" s="34">
        <v>0.09</v>
      </c>
      <c r="H22" t="s">
        <v>300</v>
      </c>
      <c r="J22" s="34">
        <f>F22</f>
        <v>0.09</v>
      </c>
      <c r="K22" s="34">
        <f>J22</f>
        <v>0.09</v>
      </c>
    </row>
    <row r="23" spans="1:11">
      <c r="A23" t="s">
        <v>299</v>
      </c>
      <c r="B23">
        <v>0</v>
      </c>
      <c r="C23">
        <v>1</v>
      </c>
      <c r="D23">
        <v>2.5</v>
      </c>
      <c r="F23" s="34">
        <v>0.06</v>
      </c>
      <c r="H23" t="s">
        <v>301</v>
      </c>
      <c r="J23" s="34">
        <f t="shared" ref="J23:J31" si="2">F23</f>
        <v>0.06</v>
      </c>
      <c r="K23" s="34">
        <f t="shared" ref="K23:K33" si="3">J23</f>
        <v>0.06</v>
      </c>
    </row>
    <row r="24" spans="1:11">
      <c r="A24" t="s">
        <v>299</v>
      </c>
      <c r="B24">
        <v>0</v>
      </c>
      <c r="C24">
        <v>0</v>
      </c>
      <c r="D24">
        <v>7</v>
      </c>
      <c r="F24" s="34">
        <v>0.03</v>
      </c>
      <c r="H24" t="s">
        <v>302</v>
      </c>
      <c r="J24" s="34">
        <f t="shared" si="2"/>
        <v>0.03</v>
      </c>
      <c r="K24" s="34">
        <f t="shared" si="3"/>
        <v>0.03</v>
      </c>
    </row>
    <row r="25" spans="1:11">
      <c r="A25" t="s">
        <v>299</v>
      </c>
      <c r="B25">
        <v>0</v>
      </c>
      <c r="C25">
        <v>1</v>
      </c>
      <c r="D25">
        <v>2</v>
      </c>
      <c r="F25" s="34">
        <v>0.06</v>
      </c>
      <c r="H25" t="s">
        <v>303</v>
      </c>
      <c r="J25" s="34">
        <f t="shared" si="2"/>
        <v>0.06</v>
      </c>
      <c r="K25" s="34">
        <f t="shared" si="3"/>
        <v>0.06</v>
      </c>
    </row>
    <row r="26" spans="1:11">
      <c r="A26" t="s">
        <v>299</v>
      </c>
      <c r="B26">
        <v>0</v>
      </c>
      <c r="C26">
        <v>0</v>
      </c>
      <c r="D26">
        <v>6</v>
      </c>
      <c r="F26" s="34">
        <v>0.03</v>
      </c>
      <c r="H26" t="s">
        <v>304</v>
      </c>
      <c r="J26" s="34">
        <f t="shared" si="2"/>
        <v>0.03</v>
      </c>
      <c r="K26" s="34">
        <f t="shared" si="3"/>
        <v>0.03</v>
      </c>
    </row>
    <row r="27" spans="1:11">
      <c r="A27" t="s">
        <v>299</v>
      </c>
      <c r="B27">
        <v>0</v>
      </c>
      <c r="C27">
        <v>0</v>
      </c>
      <c r="D27">
        <v>9.5</v>
      </c>
      <c r="F27" s="34">
        <v>0.04</v>
      </c>
      <c r="H27" t="s">
        <v>305</v>
      </c>
      <c r="J27" s="34">
        <f t="shared" si="2"/>
        <v>0.04</v>
      </c>
      <c r="K27" s="34">
        <f t="shared" si="3"/>
        <v>0.04</v>
      </c>
    </row>
    <row r="28" spans="1:11">
      <c r="A28" t="s">
        <v>299</v>
      </c>
      <c r="B28">
        <v>0</v>
      </c>
      <c r="C28">
        <v>0</v>
      </c>
      <c r="D28">
        <v>4.5</v>
      </c>
      <c r="F28" s="34">
        <v>0.02</v>
      </c>
      <c r="H28" t="s">
        <v>306</v>
      </c>
      <c r="J28" s="34">
        <f t="shared" si="2"/>
        <v>0.02</v>
      </c>
      <c r="K28" s="34">
        <f t="shared" si="3"/>
        <v>0.02</v>
      </c>
    </row>
    <row r="29" spans="1:11">
      <c r="A29" t="s">
        <v>299</v>
      </c>
      <c r="B29">
        <v>0</v>
      </c>
      <c r="C29">
        <v>0</v>
      </c>
      <c r="D29">
        <v>3</v>
      </c>
      <c r="F29" s="34">
        <v>0.01</v>
      </c>
      <c r="H29" t="s">
        <v>307</v>
      </c>
      <c r="J29" s="34">
        <f t="shared" si="2"/>
        <v>0.01</v>
      </c>
      <c r="K29" s="34">
        <f t="shared" si="3"/>
        <v>0.01</v>
      </c>
    </row>
    <row r="30" spans="1:11">
      <c r="A30" t="s">
        <v>299</v>
      </c>
      <c r="B30">
        <v>0</v>
      </c>
      <c r="C30">
        <v>0</v>
      </c>
      <c r="D30">
        <v>3</v>
      </c>
      <c r="F30" s="34">
        <v>0.01</v>
      </c>
      <c r="H30" t="s">
        <v>308</v>
      </c>
      <c r="J30" s="34">
        <f t="shared" si="2"/>
        <v>0.01</v>
      </c>
      <c r="K30" s="34">
        <f t="shared" si="3"/>
        <v>0.01</v>
      </c>
    </row>
    <row r="31" spans="1:11">
      <c r="A31" t="s">
        <v>299</v>
      </c>
      <c r="B31">
        <v>0</v>
      </c>
      <c r="C31">
        <v>3</v>
      </c>
      <c r="D31">
        <v>6</v>
      </c>
      <c r="F31" s="34">
        <v>0.17</v>
      </c>
      <c r="H31" t="s">
        <v>309</v>
      </c>
      <c r="J31" s="34">
        <f t="shared" si="2"/>
        <v>0.17</v>
      </c>
      <c r="K31" s="34">
        <f t="shared" si="3"/>
        <v>0.17</v>
      </c>
    </row>
    <row r="32" spans="1:11">
      <c r="A32" t="s">
        <v>299</v>
      </c>
      <c r="B32">
        <v>0</v>
      </c>
      <c r="C32">
        <v>19</v>
      </c>
      <c r="D32">
        <v>1</v>
      </c>
      <c r="F32" s="34">
        <v>0.95</v>
      </c>
      <c r="H32" t="s">
        <v>310</v>
      </c>
      <c r="K32" s="34"/>
    </row>
    <row r="33" spans="1:11">
      <c r="A33" t="s">
        <v>299</v>
      </c>
      <c r="B33">
        <v>0</v>
      </c>
      <c r="C33">
        <v>0</v>
      </c>
      <c r="D33">
        <v>6</v>
      </c>
      <c r="F33" s="34">
        <f>B33+C33/20+D33/240</f>
        <v>2.5000000000000001E-2</v>
      </c>
      <c r="H33" t="s">
        <v>311</v>
      </c>
      <c r="J33" s="34">
        <f>F33</f>
        <v>2.5000000000000001E-2</v>
      </c>
      <c r="K33" s="34">
        <f t="shared" si="3"/>
        <v>2.5000000000000001E-2</v>
      </c>
    </row>
    <row r="34" spans="1:11">
      <c r="A34" t="s">
        <v>299</v>
      </c>
      <c r="B34">
        <v>1</v>
      </c>
      <c r="C34">
        <v>10</v>
      </c>
      <c r="D34">
        <v>0.5</v>
      </c>
      <c r="F34" s="34">
        <v>1.5</v>
      </c>
      <c r="H34" t="s">
        <v>312</v>
      </c>
    </row>
    <row r="35" spans="1:11">
      <c r="A35" t="s">
        <v>299</v>
      </c>
      <c r="F35" s="34">
        <f>SUM(F22:F33)</f>
        <v>1.4949999999999999</v>
      </c>
      <c r="G35" s="35">
        <f>F35-F34</f>
        <v>-5.0000000000001155E-3</v>
      </c>
      <c r="H35" t="s">
        <v>170</v>
      </c>
    </row>
    <row r="37" spans="1:11">
      <c r="A37" t="s">
        <v>313</v>
      </c>
      <c r="B37">
        <v>0</v>
      </c>
      <c r="C37">
        <v>1</v>
      </c>
      <c r="D37">
        <v>9</v>
      </c>
      <c r="F37" s="34">
        <v>0.09</v>
      </c>
      <c r="H37" t="s">
        <v>314</v>
      </c>
      <c r="J37" s="34">
        <f>F37</f>
        <v>0.09</v>
      </c>
      <c r="K37" s="34">
        <f>J37</f>
        <v>0.09</v>
      </c>
    </row>
    <row r="38" spans="1:11">
      <c r="A38" t="s">
        <v>313</v>
      </c>
      <c r="B38">
        <v>0</v>
      </c>
      <c r="C38">
        <v>0</v>
      </c>
      <c r="D38">
        <v>4</v>
      </c>
      <c r="F38" s="34">
        <v>0.02</v>
      </c>
      <c r="H38" t="s">
        <v>315</v>
      </c>
      <c r="J38" s="34">
        <f t="shared" ref="J38:J47" si="4">F38</f>
        <v>0.02</v>
      </c>
      <c r="K38" s="34">
        <f t="shared" ref="K38:K47" si="5">J38</f>
        <v>0.02</v>
      </c>
    </row>
    <row r="39" spans="1:11">
      <c r="A39" t="s">
        <v>313</v>
      </c>
      <c r="B39">
        <v>0</v>
      </c>
      <c r="C39">
        <v>0</v>
      </c>
      <c r="D39">
        <v>9</v>
      </c>
      <c r="F39" s="34">
        <v>0.04</v>
      </c>
      <c r="H39" t="s">
        <v>316</v>
      </c>
      <c r="J39" s="34">
        <f t="shared" si="4"/>
        <v>0.04</v>
      </c>
      <c r="K39" s="34">
        <f t="shared" si="5"/>
        <v>0.04</v>
      </c>
    </row>
    <row r="40" spans="1:11">
      <c r="A40" t="s">
        <v>313</v>
      </c>
      <c r="B40">
        <v>0</v>
      </c>
      <c r="C40">
        <v>0</v>
      </c>
      <c r="D40">
        <v>5</v>
      </c>
      <c r="F40" s="34">
        <v>0.02</v>
      </c>
      <c r="H40" t="s">
        <v>317</v>
      </c>
      <c r="J40" s="34">
        <f t="shared" si="4"/>
        <v>0.02</v>
      </c>
      <c r="K40" s="34">
        <f t="shared" si="5"/>
        <v>0.02</v>
      </c>
    </row>
    <row r="41" spans="1:11">
      <c r="A41" t="s">
        <v>313</v>
      </c>
      <c r="B41">
        <v>0</v>
      </c>
      <c r="C41">
        <v>0</v>
      </c>
      <c r="D41">
        <v>4</v>
      </c>
      <c r="F41" s="34">
        <v>0.02</v>
      </c>
      <c r="H41" t="s">
        <v>318</v>
      </c>
      <c r="J41" s="34">
        <f t="shared" si="4"/>
        <v>0.02</v>
      </c>
      <c r="K41" s="34">
        <f t="shared" si="5"/>
        <v>0.02</v>
      </c>
    </row>
    <row r="42" spans="1:11">
      <c r="A42" t="s">
        <v>313</v>
      </c>
      <c r="B42">
        <v>0</v>
      </c>
      <c r="C42">
        <v>4</v>
      </c>
      <c r="D42">
        <v>4.5</v>
      </c>
      <c r="F42" s="34">
        <v>0.22</v>
      </c>
      <c r="H42" t="s">
        <v>319</v>
      </c>
      <c r="J42" s="34">
        <f t="shared" si="4"/>
        <v>0.22</v>
      </c>
      <c r="K42" s="34">
        <f t="shared" si="5"/>
        <v>0.22</v>
      </c>
    </row>
    <row r="43" spans="1:11">
      <c r="A43" t="s">
        <v>313</v>
      </c>
      <c r="B43">
        <v>0</v>
      </c>
      <c r="C43">
        <v>0</v>
      </c>
      <c r="D43">
        <v>1</v>
      </c>
      <c r="F43" s="34">
        <v>0</v>
      </c>
      <c r="H43" t="s">
        <v>320</v>
      </c>
      <c r="J43" s="34">
        <f t="shared" si="4"/>
        <v>0</v>
      </c>
      <c r="K43" s="34">
        <f t="shared" si="5"/>
        <v>0</v>
      </c>
    </row>
    <row r="44" spans="1:11">
      <c r="A44" t="s">
        <v>313</v>
      </c>
      <c r="B44">
        <v>0</v>
      </c>
      <c r="C44">
        <v>0</v>
      </c>
      <c r="D44">
        <v>8</v>
      </c>
      <c r="F44" s="34">
        <v>0.03</v>
      </c>
      <c r="H44" t="s">
        <v>321</v>
      </c>
      <c r="J44" s="34">
        <f t="shared" si="4"/>
        <v>0.03</v>
      </c>
      <c r="K44" s="34">
        <f t="shared" si="5"/>
        <v>0.03</v>
      </c>
    </row>
    <row r="45" spans="1:11">
      <c r="A45" t="s">
        <v>313</v>
      </c>
      <c r="B45">
        <v>0</v>
      </c>
      <c r="C45">
        <v>0</v>
      </c>
      <c r="D45">
        <v>5</v>
      </c>
      <c r="F45" s="34">
        <v>0.02</v>
      </c>
      <c r="H45" t="s">
        <v>322</v>
      </c>
      <c r="J45" s="34">
        <f t="shared" si="4"/>
        <v>0.02</v>
      </c>
      <c r="K45" s="34">
        <f t="shared" si="5"/>
        <v>0.02</v>
      </c>
    </row>
    <row r="46" spans="1:11">
      <c r="A46" t="s">
        <v>313</v>
      </c>
      <c r="B46">
        <v>0</v>
      </c>
      <c r="C46">
        <v>7</v>
      </c>
      <c r="D46">
        <v>2</v>
      </c>
      <c r="F46" s="34">
        <v>0.36</v>
      </c>
      <c r="H46" t="s">
        <v>323</v>
      </c>
      <c r="J46" s="34">
        <f t="shared" si="4"/>
        <v>0.36</v>
      </c>
      <c r="K46" s="34">
        <f t="shared" si="5"/>
        <v>0.36</v>
      </c>
    </row>
    <row r="47" spans="1:11">
      <c r="A47" t="s">
        <v>313</v>
      </c>
      <c r="B47">
        <v>0</v>
      </c>
      <c r="C47">
        <v>2</v>
      </c>
      <c r="D47">
        <v>2</v>
      </c>
      <c r="F47" s="34">
        <v>0.11</v>
      </c>
      <c r="H47" t="s">
        <v>324</v>
      </c>
      <c r="J47" s="34">
        <f t="shared" si="4"/>
        <v>0.11</v>
      </c>
      <c r="K47" s="34">
        <f t="shared" si="5"/>
        <v>0.11</v>
      </c>
    </row>
    <row r="48" spans="1:11">
      <c r="A48" t="s">
        <v>313</v>
      </c>
      <c r="B48">
        <v>0</v>
      </c>
      <c r="C48">
        <v>2</v>
      </c>
      <c r="D48">
        <v>0</v>
      </c>
      <c r="F48" s="34">
        <v>0.1</v>
      </c>
      <c r="H48" t="s">
        <v>325</v>
      </c>
    </row>
    <row r="49" spans="1:11">
      <c r="A49" t="s">
        <v>313</v>
      </c>
      <c r="B49">
        <v>0</v>
      </c>
      <c r="C49">
        <v>1</v>
      </c>
      <c r="D49">
        <v>6</v>
      </c>
      <c r="F49" s="34">
        <f>B49+C49/20+D49/240</f>
        <v>7.5000000000000011E-2</v>
      </c>
      <c r="H49" t="s">
        <v>326</v>
      </c>
    </row>
    <row r="50" spans="1:11">
      <c r="A50" t="s">
        <v>313</v>
      </c>
      <c r="B50">
        <v>1</v>
      </c>
      <c r="C50">
        <v>1</v>
      </c>
      <c r="D50">
        <v>11.5</v>
      </c>
      <c r="F50" s="34">
        <v>1.1000000000000001</v>
      </c>
      <c r="H50" t="s">
        <v>327</v>
      </c>
    </row>
    <row r="51" spans="1:11">
      <c r="A51" t="s">
        <v>313</v>
      </c>
      <c r="F51" s="34">
        <f>SUM(F37:F49)</f>
        <v>1.105</v>
      </c>
      <c r="G51" s="35">
        <f>F51-F50</f>
        <v>4.9999999999998934E-3</v>
      </c>
      <c r="H51" t="s">
        <v>170</v>
      </c>
    </row>
    <row r="53" spans="1:11">
      <c r="A53" t="s">
        <v>328</v>
      </c>
      <c r="B53">
        <v>0</v>
      </c>
      <c r="C53">
        <v>0</v>
      </c>
      <c r="D53">
        <v>8</v>
      </c>
      <c r="F53" s="34">
        <v>0.03</v>
      </c>
      <c r="H53" t="s">
        <v>329</v>
      </c>
      <c r="J53" s="34">
        <f>F53</f>
        <v>0.03</v>
      </c>
      <c r="K53" s="34">
        <f>J53</f>
        <v>0.03</v>
      </c>
    </row>
    <row r="54" spans="1:11">
      <c r="A54" t="s">
        <v>328</v>
      </c>
      <c r="B54">
        <v>0</v>
      </c>
      <c r="C54">
        <v>0</v>
      </c>
      <c r="D54">
        <v>2</v>
      </c>
      <c r="F54" s="34">
        <v>0.01</v>
      </c>
      <c r="H54" t="s">
        <v>330</v>
      </c>
      <c r="J54" s="34">
        <f t="shared" ref="J54:J58" si="6">F54</f>
        <v>0.01</v>
      </c>
      <c r="K54" s="34">
        <f t="shared" ref="K54:K58" si="7">J54</f>
        <v>0.01</v>
      </c>
    </row>
    <row r="55" spans="1:11">
      <c r="A55" t="s">
        <v>328</v>
      </c>
      <c r="B55">
        <v>0</v>
      </c>
      <c r="C55">
        <v>1</v>
      </c>
      <c r="D55">
        <v>4</v>
      </c>
      <c r="F55" s="34">
        <v>7.0000000000000007E-2</v>
      </c>
      <c r="H55" t="s">
        <v>331</v>
      </c>
      <c r="J55" s="34">
        <f t="shared" si="6"/>
        <v>7.0000000000000007E-2</v>
      </c>
      <c r="K55" s="34">
        <f t="shared" si="7"/>
        <v>7.0000000000000007E-2</v>
      </c>
    </row>
    <row r="56" spans="1:11">
      <c r="A56" t="s">
        <v>328</v>
      </c>
      <c r="B56">
        <v>0</v>
      </c>
      <c r="C56">
        <v>0</v>
      </c>
      <c r="D56">
        <v>8</v>
      </c>
      <c r="F56" s="34">
        <v>0.03</v>
      </c>
      <c r="H56" t="s">
        <v>332</v>
      </c>
      <c r="J56" s="34">
        <f t="shared" si="6"/>
        <v>0.03</v>
      </c>
      <c r="K56" s="34">
        <f t="shared" si="7"/>
        <v>0.03</v>
      </c>
    </row>
    <row r="57" spans="1:11">
      <c r="A57" t="s">
        <v>328</v>
      </c>
      <c r="B57">
        <v>0</v>
      </c>
      <c r="C57">
        <v>1</v>
      </c>
      <c r="D57">
        <v>4.5</v>
      </c>
      <c r="F57" s="34">
        <v>7.0000000000000007E-2</v>
      </c>
      <c r="H57" t="s">
        <v>333</v>
      </c>
      <c r="J57" s="34">
        <f t="shared" si="6"/>
        <v>7.0000000000000007E-2</v>
      </c>
      <c r="K57" s="34">
        <f t="shared" si="7"/>
        <v>7.0000000000000007E-2</v>
      </c>
    </row>
    <row r="58" spans="1:11">
      <c r="A58" t="s">
        <v>328</v>
      </c>
      <c r="B58">
        <v>0</v>
      </c>
      <c r="C58">
        <v>16</v>
      </c>
      <c r="D58">
        <v>1</v>
      </c>
      <c r="F58" s="34">
        <f>B58+C58/20+D58/240</f>
        <v>0.8041666666666667</v>
      </c>
      <c r="H58" t="s">
        <v>334</v>
      </c>
      <c r="J58" s="34">
        <f t="shared" si="6"/>
        <v>0.8041666666666667</v>
      </c>
      <c r="K58" s="34">
        <f t="shared" si="7"/>
        <v>0.8041666666666667</v>
      </c>
    </row>
    <row r="59" spans="1:11">
      <c r="A59" t="s">
        <v>328</v>
      </c>
      <c r="B59">
        <v>1</v>
      </c>
      <c r="C59">
        <v>0</v>
      </c>
      <c r="D59">
        <v>3.5</v>
      </c>
      <c r="F59" s="34">
        <v>1.01</v>
      </c>
      <c r="H59" t="s">
        <v>335</v>
      </c>
    </row>
    <row r="60" spans="1:11">
      <c r="A60" t="s">
        <v>328</v>
      </c>
      <c r="F60" s="34">
        <f>SUM(F53:F58)</f>
        <v>1.0141666666666667</v>
      </c>
      <c r="G60" s="35">
        <f>F60-F59</f>
        <v>4.1666666666666519E-3</v>
      </c>
      <c r="H60" t="s">
        <v>170</v>
      </c>
    </row>
    <row r="62" spans="1:11">
      <c r="A62" t="s">
        <v>336</v>
      </c>
      <c r="B62">
        <v>0</v>
      </c>
      <c r="C62">
        <v>10</v>
      </c>
      <c r="D62">
        <v>0</v>
      </c>
      <c r="F62" s="34">
        <v>0.5</v>
      </c>
      <c r="H62" t="s">
        <v>337</v>
      </c>
      <c r="J62" s="34">
        <f>F62</f>
        <v>0.5</v>
      </c>
      <c r="K62" s="34">
        <f>J62</f>
        <v>0.5</v>
      </c>
    </row>
    <row r="63" spans="1:11">
      <c r="A63" t="s">
        <v>336</v>
      </c>
      <c r="B63">
        <v>0</v>
      </c>
      <c r="C63">
        <v>1</v>
      </c>
      <c r="D63">
        <v>0</v>
      </c>
      <c r="F63" s="34">
        <v>0.05</v>
      </c>
      <c r="H63" t="s">
        <v>338</v>
      </c>
      <c r="J63" s="34">
        <f t="shared" ref="J63:J73" si="8">F63</f>
        <v>0.05</v>
      </c>
      <c r="K63" s="34">
        <f t="shared" ref="K63:K73" si="9">J63</f>
        <v>0.05</v>
      </c>
    </row>
    <row r="64" spans="1:11">
      <c r="A64" t="s">
        <v>336</v>
      </c>
      <c r="B64">
        <v>0</v>
      </c>
      <c r="C64">
        <v>2</v>
      </c>
      <c r="D64">
        <v>4</v>
      </c>
      <c r="F64" s="34">
        <v>0.12</v>
      </c>
      <c r="H64" t="s">
        <v>339</v>
      </c>
      <c r="J64" s="34">
        <f t="shared" si="8"/>
        <v>0.12</v>
      </c>
      <c r="K64" s="34">
        <f t="shared" si="9"/>
        <v>0.12</v>
      </c>
    </row>
    <row r="65" spans="1:11">
      <c r="A65" t="s">
        <v>336</v>
      </c>
      <c r="B65">
        <v>0</v>
      </c>
      <c r="C65">
        <v>2</v>
      </c>
      <c r="D65">
        <v>8</v>
      </c>
      <c r="F65" s="34">
        <v>0.13</v>
      </c>
      <c r="H65" t="s">
        <v>340</v>
      </c>
      <c r="J65" s="34">
        <f t="shared" si="8"/>
        <v>0.13</v>
      </c>
      <c r="K65" s="34">
        <f t="shared" si="9"/>
        <v>0.13</v>
      </c>
    </row>
    <row r="66" spans="1:11">
      <c r="A66" t="s">
        <v>336</v>
      </c>
      <c r="B66">
        <v>0</v>
      </c>
      <c r="C66">
        <v>1</v>
      </c>
      <c r="D66">
        <v>8.5</v>
      </c>
      <c r="F66" s="34">
        <v>0.09</v>
      </c>
      <c r="H66" t="s">
        <v>341</v>
      </c>
      <c r="J66" s="34">
        <f t="shared" si="8"/>
        <v>0.09</v>
      </c>
      <c r="K66" s="34">
        <f t="shared" si="9"/>
        <v>0.09</v>
      </c>
    </row>
    <row r="67" spans="1:11">
      <c r="A67" t="s">
        <v>336</v>
      </c>
      <c r="B67">
        <v>0</v>
      </c>
      <c r="C67">
        <v>0</v>
      </c>
      <c r="D67">
        <v>10</v>
      </c>
      <c r="F67" s="34">
        <v>0.04</v>
      </c>
      <c r="H67" t="s">
        <v>342</v>
      </c>
      <c r="J67" s="34">
        <f t="shared" si="8"/>
        <v>0.04</v>
      </c>
      <c r="K67" s="34">
        <f t="shared" si="9"/>
        <v>0.04</v>
      </c>
    </row>
    <row r="68" spans="1:11">
      <c r="A68" t="s">
        <v>336</v>
      </c>
      <c r="B68">
        <v>0</v>
      </c>
      <c r="C68">
        <v>0</v>
      </c>
      <c r="D68">
        <v>9</v>
      </c>
      <c r="F68" s="34">
        <v>0.04</v>
      </c>
      <c r="H68" t="s">
        <v>343</v>
      </c>
      <c r="J68" s="34">
        <f t="shared" si="8"/>
        <v>0.04</v>
      </c>
      <c r="K68" s="34">
        <f t="shared" si="9"/>
        <v>0.04</v>
      </c>
    </row>
    <row r="69" spans="1:11">
      <c r="A69" t="s">
        <v>336</v>
      </c>
      <c r="B69">
        <v>0</v>
      </c>
      <c r="C69">
        <v>0</v>
      </c>
      <c r="D69">
        <v>8</v>
      </c>
      <c r="F69" s="34">
        <v>0.03</v>
      </c>
      <c r="H69" t="s">
        <v>344</v>
      </c>
      <c r="J69" s="34">
        <f t="shared" si="8"/>
        <v>0.03</v>
      </c>
      <c r="K69" s="34">
        <f t="shared" si="9"/>
        <v>0.03</v>
      </c>
    </row>
    <row r="70" spans="1:11">
      <c r="A70" t="s">
        <v>336</v>
      </c>
      <c r="B70">
        <v>0</v>
      </c>
      <c r="C70">
        <v>1</v>
      </c>
      <c r="D70">
        <v>0</v>
      </c>
      <c r="F70" s="34">
        <v>0.05</v>
      </c>
      <c r="H70" t="s">
        <v>345</v>
      </c>
      <c r="J70" s="34">
        <f t="shared" si="8"/>
        <v>0.05</v>
      </c>
      <c r="K70" s="34">
        <f t="shared" si="9"/>
        <v>0.05</v>
      </c>
    </row>
    <row r="71" spans="1:11">
      <c r="A71" t="s">
        <v>336</v>
      </c>
      <c r="B71">
        <v>0</v>
      </c>
      <c r="C71">
        <v>0</v>
      </c>
      <c r="D71">
        <v>3</v>
      </c>
      <c r="F71" s="34">
        <v>0.01</v>
      </c>
      <c r="H71" t="s">
        <v>346</v>
      </c>
      <c r="J71" s="34">
        <f t="shared" si="8"/>
        <v>0.01</v>
      </c>
      <c r="K71" s="34">
        <f t="shared" si="9"/>
        <v>0.01</v>
      </c>
    </row>
    <row r="72" spans="1:11">
      <c r="A72" t="s">
        <v>336</v>
      </c>
      <c r="B72">
        <v>0</v>
      </c>
      <c r="C72">
        <v>0</v>
      </c>
      <c r="D72">
        <v>3</v>
      </c>
      <c r="F72" s="34">
        <v>0.01</v>
      </c>
      <c r="H72" t="s">
        <v>347</v>
      </c>
      <c r="J72" s="34">
        <f t="shared" si="8"/>
        <v>0.01</v>
      </c>
      <c r="K72" s="34">
        <f t="shared" si="9"/>
        <v>0.01</v>
      </c>
    </row>
    <row r="73" spans="1:11">
      <c r="A73" t="s">
        <v>336</v>
      </c>
      <c r="B73">
        <v>0</v>
      </c>
      <c r="C73">
        <v>1</v>
      </c>
      <c r="D73">
        <v>1</v>
      </c>
      <c r="F73" s="34">
        <f>B73+C73/20+D73/240</f>
        <v>5.4166666666666669E-2</v>
      </c>
      <c r="H73" t="s">
        <v>348</v>
      </c>
      <c r="J73" s="34">
        <f t="shared" si="8"/>
        <v>5.4166666666666669E-2</v>
      </c>
      <c r="K73" s="34">
        <f t="shared" si="9"/>
        <v>5.4166666666666669E-2</v>
      </c>
    </row>
    <row r="74" spans="1:11">
      <c r="A74" t="s">
        <v>336</v>
      </c>
      <c r="B74">
        <v>1</v>
      </c>
      <c r="C74">
        <v>2</v>
      </c>
      <c r="D74">
        <v>6.5</v>
      </c>
      <c r="F74" s="34">
        <v>1.1299999999999999</v>
      </c>
      <c r="H74" t="s">
        <v>349</v>
      </c>
    </row>
    <row r="75" spans="1:11">
      <c r="A75" t="s">
        <v>336</v>
      </c>
      <c r="F75" s="34">
        <v>2.2000000000000002</v>
      </c>
      <c r="G75" s="35">
        <v>1.07</v>
      </c>
      <c r="H75" t="s">
        <v>170</v>
      </c>
    </row>
    <row r="77" spans="1:11">
      <c r="A77" t="s">
        <v>350</v>
      </c>
      <c r="B77">
        <v>0</v>
      </c>
      <c r="C77">
        <v>11</v>
      </c>
      <c r="D77">
        <v>2.75</v>
      </c>
      <c r="F77" s="34">
        <v>0.56000000000000005</v>
      </c>
      <c r="H77" t="s">
        <v>351</v>
      </c>
    </row>
    <row r="78" spans="1:11">
      <c r="A78" t="s">
        <v>350</v>
      </c>
      <c r="B78">
        <v>0</v>
      </c>
      <c r="C78">
        <v>11</v>
      </c>
      <c r="D78">
        <v>4.5</v>
      </c>
      <c r="F78" s="34">
        <v>0.56999999999999995</v>
      </c>
      <c r="H78" t="s">
        <v>352</v>
      </c>
    </row>
    <row r="79" spans="1:11">
      <c r="A79" t="s">
        <v>350</v>
      </c>
      <c r="B79">
        <v>0</v>
      </c>
      <c r="C79">
        <v>5</v>
      </c>
      <c r="D79">
        <v>5.5</v>
      </c>
      <c r="F79" s="34">
        <v>0.27</v>
      </c>
      <c r="H79" t="s">
        <v>353</v>
      </c>
    </row>
    <row r="80" spans="1:11">
      <c r="A80" t="s">
        <v>350</v>
      </c>
      <c r="B80">
        <v>0</v>
      </c>
      <c r="C80">
        <v>4</v>
      </c>
      <c r="D80">
        <v>9</v>
      </c>
      <c r="F80" s="34">
        <v>0.24</v>
      </c>
      <c r="H80" t="s">
        <v>354</v>
      </c>
    </row>
    <row r="81" spans="1:8">
      <c r="A81" t="s">
        <v>350</v>
      </c>
      <c r="B81">
        <v>0</v>
      </c>
      <c r="C81">
        <v>0</v>
      </c>
      <c r="D81">
        <v>5.5</v>
      </c>
      <c r="F81" s="34">
        <v>0.02</v>
      </c>
      <c r="H81" t="s">
        <v>355</v>
      </c>
    </row>
    <row r="82" spans="1:8">
      <c r="A82" t="s">
        <v>350</v>
      </c>
      <c r="B82">
        <v>0</v>
      </c>
      <c r="C82">
        <v>0</v>
      </c>
      <c r="D82">
        <v>2.5</v>
      </c>
      <c r="F82" s="34">
        <f>B82+C82/20+D82/240</f>
        <v>1.0416666666666666E-2</v>
      </c>
      <c r="G82" s="34"/>
      <c r="H82" t="s">
        <v>356</v>
      </c>
    </row>
    <row r="83" spans="1:8">
      <c r="A83" t="s">
        <v>350</v>
      </c>
      <c r="B83">
        <v>1</v>
      </c>
      <c r="C83">
        <v>13</v>
      </c>
      <c r="D83">
        <v>5.75</v>
      </c>
      <c r="F83" s="34">
        <v>1.67</v>
      </c>
      <c r="H83" t="s">
        <v>357</v>
      </c>
    </row>
    <row r="84" spans="1:8">
      <c r="A84" t="s">
        <v>350</v>
      </c>
      <c r="F84" s="34">
        <f>SUM(F77:F82)</f>
        <v>1.6704166666666667</v>
      </c>
      <c r="G84" s="35">
        <f>F84-F83</f>
        <v>4.166666666667318E-4</v>
      </c>
      <c r="H84" t="s">
        <v>170</v>
      </c>
    </row>
    <row r="86" spans="1:8">
      <c r="A86" t="s">
        <v>358</v>
      </c>
      <c r="B86">
        <v>0</v>
      </c>
      <c r="C86">
        <v>3</v>
      </c>
      <c r="D86">
        <v>9</v>
      </c>
      <c r="F86" s="34">
        <v>0.19</v>
      </c>
      <c r="H86" t="s">
        <v>359</v>
      </c>
    </row>
    <row r="87" spans="1:8">
      <c r="A87" t="s">
        <v>358</v>
      </c>
      <c r="B87">
        <v>0</v>
      </c>
      <c r="C87">
        <v>18</v>
      </c>
      <c r="D87">
        <v>2.5</v>
      </c>
      <c r="F87" s="34">
        <v>0.91</v>
      </c>
      <c r="H87" t="s">
        <v>360</v>
      </c>
    </row>
    <row r="88" spans="1:8">
      <c r="A88" t="s">
        <v>358</v>
      </c>
      <c r="B88">
        <v>0</v>
      </c>
      <c r="C88">
        <v>5</v>
      </c>
      <c r="D88">
        <v>4</v>
      </c>
      <c r="F88" s="34">
        <f>B88+C88/20+D88/240</f>
        <v>0.26666666666666666</v>
      </c>
      <c r="H88" t="s">
        <v>361</v>
      </c>
    </row>
    <row r="89" spans="1:8">
      <c r="A89" t="s">
        <v>358</v>
      </c>
      <c r="B89">
        <v>1</v>
      </c>
      <c r="C89">
        <v>7</v>
      </c>
      <c r="D89">
        <v>3.5</v>
      </c>
      <c r="F89" s="34">
        <v>1.35</v>
      </c>
      <c r="H89" t="s">
        <v>362</v>
      </c>
    </row>
    <row r="90" spans="1:8">
      <c r="A90" t="s">
        <v>358</v>
      </c>
      <c r="F90" s="34">
        <f>SUM(F86:F88)</f>
        <v>1.3666666666666667</v>
      </c>
      <c r="G90" s="35">
        <f>F90-F89</f>
        <v>1.6666666666666607E-2</v>
      </c>
      <c r="H90" t="s">
        <v>170</v>
      </c>
    </row>
    <row r="93" spans="1:8">
      <c r="A93" t="s">
        <v>363</v>
      </c>
      <c r="B93">
        <v>0</v>
      </c>
      <c r="C93">
        <v>2</v>
      </c>
      <c r="D93">
        <v>0</v>
      </c>
      <c r="F93" s="34">
        <v>0.1</v>
      </c>
      <c r="H93" t="s">
        <v>364</v>
      </c>
    </row>
    <row r="94" spans="1:8">
      <c r="A94" t="s">
        <v>363</v>
      </c>
      <c r="B94">
        <v>0</v>
      </c>
      <c r="C94">
        <v>3</v>
      </c>
      <c r="D94">
        <v>0</v>
      </c>
      <c r="F94" s="34">
        <v>0.15</v>
      </c>
      <c r="H94" t="s">
        <v>365</v>
      </c>
    </row>
    <row r="95" spans="1:8">
      <c r="A95" t="s">
        <v>363</v>
      </c>
      <c r="B95">
        <v>0</v>
      </c>
      <c r="C95">
        <v>5</v>
      </c>
      <c r="D95">
        <v>3</v>
      </c>
      <c r="F95" s="34">
        <v>0.26</v>
      </c>
      <c r="H95" t="s">
        <v>366</v>
      </c>
    </row>
    <row r="96" spans="1:8">
      <c r="A96" t="s">
        <v>363</v>
      </c>
      <c r="B96">
        <v>0</v>
      </c>
      <c r="C96">
        <v>10</v>
      </c>
      <c r="D96">
        <v>3</v>
      </c>
      <c r="F96" s="34">
        <f>B96+C96/20+D96/240</f>
        <v>0.51249999999999996</v>
      </c>
      <c r="H96" t="s">
        <v>367</v>
      </c>
    </row>
    <row r="97" spans="1:8">
      <c r="A97" t="s">
        <v>363</v>
      </c>
      <c r="F97" s="34">
        <v>0.51</v>
      </c>
      <c r="G97" s="35">
        <f>F97-F96</f>
        <v>-2.4999999999999467E-3</v>
      </c>
      <c r="H97" t="s">
        <v>170</v>
      </c>
    </row>
    <row r="99" spans="1:8">
      <c r="A99" t="s">
        <v>368</v>
      </c>
      <c r="B99">
        <v>10</v>
      </c>
      <c r="C99">
        <v>19</v>
      </c>
      <c r="D99">
        <v>9</v>
      </c>
      <c r="F99" s="34">
        <v>10.99</v>
      </c>
      <c r="H99" t="s">
        <v>369</v>
      </c>
    </row>
    <row r="100" spans="1:8">
      <c r="A100" t="s">
        <v>368</v>
      </c>
      <c r="F100" s="34">
        <v>10.99</v>
      </c>
      <c r="G100" s="35">
        <f>F100-F99</f>
        <v>0</v>
      </c>
      <c r="H100" t="s">
        <v>170</v>
      </c>
    </row>
    <row r="102" spans="1:8">
      <c r="A102" t="s">
        <v>370</v>
      </c>
      <c r="B102">
        <v>68</v>
      </c>
      <c r="C102">
        <v>2</v>
      </c>
      <c r="D102">
        <v>0</v>
      </c>
      <c r="F102" s="34">
        <v>68.099999999999994</v>
      </c>
      <c r="H102" t="s">
        <v>371</v>
      </c>
    </row>
    <row r="104" spans="1:8" ht="15.95">
      <c r="A104" s="10" t="s">
        <v>44</v>
      </c>
      <c r="F104" s="34">
        <f>F100</f>
        <v>10.99</v>
      </c>
    </row>
    <row r="105" spans="1:8" ht="15.95">
      <c r="A105" s="10" t="s">
        <v>45</v>
      </c>
      <c r="F105" s="34">
        <f>F97+F90+F84+F75+F60+F51+F35+F20</f>
        <v>13.05125</v>
      </c>
      <c r="G105" s="35">
        <f>F105-F104</f>
        <v>2.0612499999999994</v>
      </c>
    </row>
    <row r="106" spans="1:8" ht="15.95">
      <c r="A106" s="10" t="s">
        <v>46</v>
      </c>
      <c r="F106" s="34">
        <f>SUM(J3:J83)</f>
        <v>4.3533333333333317</v>
      </c>
    </row>
    <row r="107" spans="1:8" ht="15.95">
      <c r="A107" s="10" t="s">
        <v>47</v>
      </c>
      <c r="F107" s="34">
        <f>SUM(K3:K84)</f>
        <v>4.3533333333333317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P27"/>
  <sheetViews>
    <sheetView workbookViewId="0">
      <pane xSplit="1" ySplit="1" topLeftCell="J2" activePane="bottomRight" state="frozen"/>
      <selection pane="bottomRight" activeCell="A2" sqref="A2:A10"/>
      <selection pane="bottomLeft" activeCell="A2" sqref="A2"/>
      <selection pane="topRight" activeCell="B1" sqref="B1"/>
    </sheetView>
  </sheetViews>
  <sheetFormatPr defaultColWidth="8.85546875" defaultRowHeight="15"/>
  <cols>
    <col min="1" max="1" width="30" bestFit="1" customWidth="1"/>
    <col min="2" max="2" width="12.140625" bestFit="1" customWidth="1"/>
    <col min="3" max="3" width="19.140625" bestFit="1" customWidth="1"/>
    <col min="4" max="4" width="20" bestFit="1" customWidth="1"/>
    <col min="5" max="5" width="21.42578125" bestFit="1" customWidth="1"/>
    <col min="6" max="6" width="15.85546875" bestFit="1" customWidth="1"/>
    <col min="7" max="9" width="18.28515625" customWidth="1"/>
    <col min="10" max="10" width="17" customWidth="1"/>
    <col min="11" max="11" width="19.7109375" customWidth="1"/>
    <col min="12" max="12" width="18.42578125" customWidth="1"/>
    <col min="13" max="13" width="12" customWidth="1"/>
    <col min="14" max="14" width="8.140625" bestFit="1" customWidth="1"/>
    <col min="15" max="15" width="16" customWidth="1"/>
    <col min="16" max="16" width="22.28515625" customWidth="1"/>
  </cols>
  <sheetData>
    <row r="1" spans="1:16" s="55" customFormat="1" ht="48">
      <c r="A1" s="52" t="s">
        <v>372</v>
      </c>
      <c r="B1" s="52" t="s">
        <v>373</v>
      </c>
      <c r="C1" s="52" t="s">
        <v>374</v>
      </c>
      <c r="D1" s="52" t="s">
        <v>375</v>
      </c>
      <c r="E1" s="52" t="s">
        <v>376</v>
      </c>
      <c r="F1" s="52" t="s">
        <v>377</v>
      </c>
      <c r="G1" s="53" t="s">
        <v>378</v>
      </c>
      <c r="H1" s="53" t="s">
        <v>379</v>
      </c>
      <c r="I1" s="54" t="s">
        <v>380</v>
      </c>
    </row>
    <row r="2" spans="1:16">
      <c r="A2" t="s">
        <v>62</v>
      </c>
      <c r="B2">
        <v>58.125</v>
      </c>
      <c r="C2">
        <v>58.125</v>
      </c>
      <c r="D2">
        <v>0</v>
      </c>
      <c r="F2" s="34">
        <v>42.3125</v>
      </c>
      <c r="G2" s="34">
        <f>B2-F2</f>
        <v>15.8125</v>
      </c>
      <c r="H2" s="34">
        <v>0.28024875621890549</v>
      </c>
      <c r="I2" s="34">
        <f>H2*B2</f>
        <v>16.289458955223882</v>
      </c>
    </row>
    <row r="3" spans="1:16">
      <c r="A3" t="s">
        <v>63</v>
      </c>
      <c r="B3">
        <v>6.375</v>
      </c>
      <c r="C3">
        <v>6.375</v>
      </c>
      <c r="D3">
        <v>0</v>
      </c>
      <c r="F3" s="34">
        <v>6.375</v>
      </c>
      <c r="G3" s="34">
        <f t="shared" ref="G3:G10" si="0">B3-F3</f>
        <v>0</v>
      </c>
      <c r="H3" s="34">
        <v>0.16666666666666671</v>
      </c>
      <c r="I3" s="34">
        <f t="shared" ref="I3:I9" si="1">H3*B3</f>
        <v>1.0625000000000002</v>
      </c>
    </row>
    <row r="4" spans="1:16">
      <c r="A4" t="s">
        <v>64</v>
      </c>
      <c r="B4">
        <v>2.0625</v>
      </c>
      <c r="D4">
        <v>0</v>
      </c>
      <c r="E4">
        <v>2.0625</v>
      </c>
      <c r="F4" s="34"/>
      <c r="G4" s="34">
        <f t="shared" si="0"/>
        <v>2.0625</v>
      </c>
      <c r="H4" s="34"/>
      <c r="I4" s="34">
        <f t="shared" si="1"/>
        <v>0</v>
      </c>
    </row>
    <row r="5" spans="1:16">
      <c r="A5" t="s">
        <v>65</v>
      </c>
      <c r="B5">
        <v>7.625</v>
      </c>
      <c r="C5">
        <v>7.625</v>
      </c>
      <c r="D5">
        <v>0</v>
      </c>
      <c r="F5" s="34">
        <v>0.5</v>
      </c>
      <c r="G5" s="34">
        <f t="shared" si="0"/>
        <v>7.125</v>
      </c>
      <c r="H5" s="34">
        <v>0.1333333333333333</v>
      </c>
      <c r="I5" s="34">
        <f t="shared" si="1"/>
        <v>1.0166666666666664</v>
      </c>
    </row>
    <row r="6" spans="1:16">
      <c r="A6" t="s">
        <v>66</v>
      </c>
      <c r="B6">
        <v>25.25</v>
      </c>
      <c r="C6">
        <v>25.25</v>
      </c>
      <c r="D6">
        <v>0</v>
      </c>
      <c r="F6" s="34">
        <v>11</v>
      </c>
      <c r="G6" s="34">
        <f t="shared" si="0"/>
        <v>14.25</v>
      </c>
      <c r="H6" s="34">
        <v>0.16666666666666671</v>
      </c>
      <c r="I6" s="34">
        <f t="shared" si="1"/>
        <v>4.2083333333333348</v>
      </c>
    </row>
    <row r="7" spans="1:16">
      <c r="A7" t="s">
        <v>67</v>
      </c>
      <c r="B7">
        <v>93.125</v>
      </c>
      <c r="C7">
        <v>93.125</v>
      </c>
      <c r="D7">
        <v>0</v>
      </c>
      <c r="F7" s="34">
        <v>34.125</v>
      </c>
      <c r="G7" s="34">
        <f t="shared" si="0"/>
        <v>59</v>
      </c>
      <c r="H7" s="34">
        <v>0.1901098901098901</v>
      </c>
      <c r="I7" s="34">
        <f t="shared" si="1"/>
        <v>17.703983516483515</v>
      </c>
    </row>
    <row r="8" spans="1:16">
      <c r="A8" t="s">
        <v>68</v>
      </c>
      <c r="B8">
        <v>108.25</v>
      </c>
      <c r="C8">
        <v>108.25</v>
      </c>
      <c r="D8">
        <v>0</v>
      </c>
      <c r="F8" s="34">
        <v>34.75</v>
      </c>
      <c r="G8" s="34">
        <f t="shared" si="0"/>
        <v>73.5</v>
      </c>
      <c r="H8" s="34">
        <v>0.11966426858513191</v>
      </c>
      <c r="I8" s="34">
        <f t="shared" si="1"/>
        <v>12.953657074340528</v>
      </c>
    </row>
    <row r="9" spans="1:16">
      <c r="A9" t="s">
        <v>69</v>
      </c>
      <c r="B9">
        <v>11.875</v>
      </c>
      <c r="C9">
        <v>11.875</v>
      </c>
      <c r="D9">
        <v>0</v>
      </c>
      <c r="F9" s="34">
        <v>9.625</v>
      </c>
      <c r="G9" s="34">
        <f t="shared" si="0"/>
        <v>2.25</v>
      </c>
      <c r="H9" s="34">
        <v>0.1077922077922078</v>
      </c>
      <c r="I9" s="34">
        <f t="shared" si="1"/>
        <v>1.2800324675324677</v>
      </c>
    </row>
    <row r="10" spans="1:16">
      <c r="A10" t="s">
        <v>70</v>
      </c>
      <c r="B10">
        <v>19.875</v>
      </c>
      <c r="C10">
        <v>19.875</v>
      </c>
      <c r="D10">
        <v>0</v>
      </c>
      <c r="F10" s="34">
        <v>14.375</v>
      </c>
      <c r="G10" s="34">
        <f t="shared" si="0"/>
        <v>5.5</v>
      </c>
      <c r="H10" s="34">
        <v>6.6666666666666666E-2</v>
      </c>
      <c r="I10" s="34">
        <f>H10*B10</f>
        <v>1.325</v>
      </c>
    </row>
    <row r="12" spans="1:16">
      <c r="A12" s="60" t="s">
        <v>57</v>
      </c>
    </row>
    <row r="13" spans="1:16">
      <c r="A13" s="60" t="s">
        <v>381</v>
      </c>
    </row>
    <row r="14" spans="1:16">
      <c r="A14" s="60"/>
    </row>
    <row r="16" spans="1:16" ht="32.1">
      <c r="A16" s="55" t="s">
        <v>382</v>
      </c>
      <c r="B16" s="56" t="s">
        <v>383</v>
      </c>
      <c r="C16" s="57" t="s">
        <v>384</v>
      </c>
      <c r="D16" s="57" t="s">
        <v>385</v>
      </c>
      <c r="E16" s="57" t="s">
        <v>386</v>
      </c>
      <c r="F16" s="55" t="s">
        <v>387</v>
      </c>
      <c r="G16" s="57" t="s">
        <v>388</v>
      </c>
      <c r="H16" s="57" t="s">
        <v>389</v>
      </c>
      <c r="I16" s="57" t="s">
        <v>390</v>
      </c>
      <c r="J16" s="57" t="s">
        <v>391</v>
      </c>
      <c r="K16" s="58" t="s">
        <v>392</v>
      </c>
      <c r="L16" s="57" t="s">
        <v>393</v>
      </c>
      <c r="M16" s="57" t="s">
        <v>394</v>
      </c>
      <c r="N16" s="59" t="s">
        <v>395</v>
      </c>
      <c r="O16" s="59" t="s">
        <v>396</v>
      </c>
      <c r="P16" s="56" t="s">
        <v>397</v>
      </c>
    </row>
    <row r="17" spans="1:15">
      <c r="A17" t="s">
        <v>62</v>
      </c>
      <c r="B17">
        <f>B2</f>
        <v>58.125</v>
      </c>
      <c r="C17">
        <v>14.5</v>
      </c>
      <c r="E17">
        <f>C17+D17/8</f>
        <v>14.5</v>
      </c>
      <c r="J17">
        <f>1+6+2+1.5+0.5+0.5</f>
        <v>11.5</v>
      </c>
      <c r="K17">
        <f>I17+J17/8</f>
        <v>1.4375</v>
      </c>
      <c r="L17">
        <f>B17-E17-K17</f>
        <v>42.1875</v>
      </c>
      <c r="N17" s="34">
        <f>H2</f>
        <v>0.28024875621890549</v>
      </c>
      <c r="O17" s="34">
        <f>N17*L17</f>
        <v>11.822994402985076</v>
      </c>
    </row>
    <row r="18" spans="1:15">
      <c r="A18" t="s">
        <v>63</v>
      </c>
      <c r="B18">
        <f t="shared" ref="B18:B25" si="2">B3</f>
        <v>6.375</v>
      </c>
      <c r="E18">
        <f t="shared" ref="E18:E25" si="3">C18+D18/8</f>
        <v>0</v>
      </c>
      <c r="K18">
        <f t="shared" ref="K18:K25" si="4">I18+J18/8</f>
        <v>0</v>
      </c>
      <c r="L18">
        <f t="shared" ref="L18:L25" si="5">B18-E18-K18</f>
        <v>6.375</v>
      </c>
      <c r="N18" s="34">
        <f t="shared" ref="N18:N25" si="6">H3</f>
        <v>0.16666666666666671</v>
      </c>
      <c r="O18" s="34">
        <f t="shared" ref="O18:O25" si="7">N18*L18</f>
        <v>1.0625000000000002</v>
      </c>
    </row>
    <row r="19" spans="1:15">
      <c r="A19" t="s">
        <v>64</v>
      </c>
      <c r="B19">
        <f t="shared" si="2"/>
        <v>2.0625</v>
      </c>
      <c r="E19">
        <f t="shared" si="3"/>
        <v>0</v>
      </c>
      <c r="K19">
        <f t="shared" si="4"/>
        <v>0</v>
      </c>
      <c r="L19">
        <f t="shared" si="5"/>
        <v>2.0625</v>
      </c>
      <c r="N19" s="34">
        <f t="shared" si="6"/>
        <v>0</v>
      </c>
      <c r="O19" s="34">
        <f t="shared" si="7"/>
        <v>0</v>
      </c>
    </row>
    <row r="20" spans="1:15">
      <c r="A20" t="s">
        <v>65</v>
      </c>
      <c r="B20">
        <f t="shared" si="2"/>
        <v>7.625</v>
      </c>
      <c r="E20">
        <f t="shared" si="3"/>
        <v>0</v>
      </c>
      <c r="I20">
        <v>7</v>
      </c>
      <c r="J20">
        <v>1</v>
      </c>
      <c r="K20">
        <f t="shared" si="4"/>
        <v>7.125</v>
      </c>
      <c r="L20">
        <f t="shared" si="5"/>
        <v>0.5</v>
      </c>
      <c r="N20" s="34">
        <f t="shared" si="6"/>
        <v>0.1333333333333333</v>
      </c>
      <c r="O20" s="34">
        <f t="shared" si="7"/>
        <v>6.6666666666666652E-2</v>
      </c>
    </row>
    <row r="21" spans="1:15">
      <c r="A21" t="s">
        <v>66</v>
      </c>
      <c r="B21">
        <f t="shared" si="2"/>
        <v>25.25</v>
      </c>
      <c r="C21">
        <v>5</v>
      </c>
      <c r="D21">
        <v>2</v>
      </c>
      <c r="E21">
        <f t="shared" si="3"/>
        <v>5.25</v>
      </c>
      <c r="I21">
        <v>9</v>
      </c>
      <c r="K21">
        <f t="shared" si="4"/>
        <v>9</v>
      </c>
      <c r="L21">
        <f t="shared" si="5"/>
        <v>11</v>
      </c>
      <c r="N21" s="34">
        <f t="shared" si="6"/>
        <v>0.16666666666666671</v>
      </c>
      <c r="O21" s="34">
        <f t="shared" si="7"/>
        <v>1.8333333333333339</v>
      </c>
    </row>
    <row r="22" spans="1:15">
      <c r="A22" t="s">
        <v>67</v>
      </c>
      <c r="B22">
        <f t="shared" si="2"/>
        <v>93.125</v>
      </c>
      <c r="C22">
        <v>16</v>
      </c>
      <c r="D22">
        <v>1</v>
      </c>
      <c r="E22">
        <f t="shared" si="3"/>
        <v>16.125</v>
      </c>
      <c r="I22">
        <f>6+17+4+2+7.5</f>
        <v>36.5</v>
      </c>
      <c r="J22">
        <f>3+3+2+2</f>
        <v>10</v>
      </c>
      <c r="K22">
        <f t="shared" si="4"/>
        <v>37.75</v>
      </c>
      <c r="L22">
        <f t="shared" si="5"/>
        <v>39.25</v>
      </c>
      <c r="N22" s="34">
        <f t="shared" si="6"/>
        <v>0.1901098901098901</v>
      </c>
      <c r="O22" s="34">
        <f t="shared" si="7"/>
        <v>7.4618131868131865</v>
      </c>
    </row>
    <row r="23" spans="1:15">
      <c r="A23" t="s">
        <v>68</v>
      </c>
      <c r="B23">
        <f t="shared" si="2"/>
        <v>108.25</v>
      </c>
      <c r="C23">
        <v>42</v>
      </c>
      <c r="D23">
        <v>1</v>
      </c>
      <c r="E23">
        <f t="shared" si="3"/>
        <v>42.125</v>
      </c>
      <c r="I23">
        <f>15.5+14.5</f>
        <v>30</v>
      </c>
      <c r="J23">
        <f>1+3+2+5</f>
        <v>11</v>
      </c>
      <c r="K23">
        <f t="shared" si="4"/>
        <v>31.375</v>
      </c>
      <c r="L23">
        <f t="shared" si="5"/>
        <v>34.75</v>
      </c>
      <c r="N23" s="34">
        <f t="shared" si="6"/>
        <v>0.11966426858513191</v>
      </c>
      <c r="O23" s="34">
        <f t="shared" si="7"/>
        <v>4.1583333333333341</v>
      </c>
    </row>
    <row r="24" spans="1:15">
      <c r="A24" t="s">
        <v>69</v>
      </c>
      <c r="B24">
        <f t="shared" si="2"/>
        <v>11.875</v>
      </c>
      <c r="C24">
        <v>2</v>
      </c>
      <c r="D24">
        <v>2</v>
      </c>
      <c r="E24">
        <f t="shared" si="3"/>
        <v>2.25</v>
      </c>
      <c r="K24">
        <f t="shared" si="4"/>
        <v>0</v>
      </c>
      <c r="L24">
        <f t="shared" si="5"/>
        <v>9.625</v>
      </c>
      <c r="N24" s="34">
        <f t="shared" si="6"/>
        <v>0.1077922077922078</v>
      </c>
      <c r="O24" s="34">
        <f t="shared" si="7"/>
        <v>1.0375000000000001</v>
      </c>
    </row>
    <row r="25" spans="1:15">
      <c r="A25" t="s">
        <v>70</v>
      </c>
      <c r="B25">
        <f t="shared" si="2"/>
        <v>19.875</v>
      </c>
      <c r="C25">
        <v>2</v>
      </c>
      <c r="D25">
        <v>1</v>
      </c>
      <c r="E25">
        <f t="shared" si="3"/>
        <v>2.125</v>
      </c>
      <c r="I25">
        <v>3</v>
      </c>
      <c r="J25">
        <v>3</v>
      </c>
      <c r="K25">
        <f t="shared" si="4"/>
        <v>3.375</v>
      </c>
      <c r="L25">
        <f t="shared" si="5"/>
        <v>14.375</v>
      </c>
      <c r="N25" s="34">
        <f t="shared" si="6"/>
        <v>6.6666666666666666E-2</v>
      </c>
      <c r="O25" s="34">
        <f t="shared" si="7"/>
        <v>0.95833333333333337</v>
      </c>
    </row>
    <row r="27" spans="1:15">
      <c r="A27" s="61" t="s">
        <v>170</v>
      </c>
    </row>
  </sheetData>
  <pageMargins left="0.75" right="0.75" top="1" bottom="1" header="0.5" footer="0.5"/>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ColWidth="8.85546875" defaultRowHeight="15"/>
  <sheetData/>
  <pageMargins left="0.75" right="0.75" top="1" bottom="1" header="0.5" footer="0.5"/>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130"/>
  <sheetViews>
    <sheetView zoomScale="82" workbookViewId="0">
      <pane xSplit="1" ySplit="4" topLeftCell="L20" activePane="bottomRight" state="frozen"/>
      <selection pane="bottomRight" activeCell="T80" sqref="T80"/>
      <selection pane="bottomLeft" activeCell="A5" sqref="A5"/>
      <selection pane="topRight" activeCell="B1" sqref="B1"/>
    </sheetView>
  </sheetViews>
  <sheetFormatPr defaultColWidth="8.85546875" defaultRowHeight="15"/>
  <cols>
    <col min="1" max="1" width="44.28515625" bestFit="1" customWidth="1"/>
    <col min="10" max="10" width="17.28515625" customWidth="1"/>
    <col min="14" max="14" width="13.28515625" customWidth="1"/>
    <col min="15" max="15" width="8.85546875" style="34"/>
    <col min="16" max="16" width="20.7109375" customWidth="1"/>
    <col min="17" max="17" width="18.42578125" customWidth="1"/>
    <col min="18" max="18" width="8.85546875" style="34"/>
    <col min="19" max="19" width="15.140625" customWidth="1"/>
    <col min="20" max="20" width="16.42578125" customWidth="1"/>
  </cols>
  <sheetData>
    <row r="1" spans="1:21" ht="15.95">
      <c r="A1" s="10" t="s">
        <v>398</v>
      </c>
    </row>
    <row r="2" spans="1:21" ht="15.95">
      <c r="A2" s="10"/>
    </row>
    <row r="3" spans="1:21">
      <c r="A3" s="36"/>
      <c r="B3" s="36"/>
      <c r="C3" s="84" t="s">
        <v>399</v>
      </c>
      <c r="D3" s="84"/>
      <c r="E3" s="84"/>
      <c r="F3" s="84"/>
      <c r="G3" s="85" t="s">
        <v>400</v>
      </c>
      <c r="H3" s="84"/>
      <c r="I3" s="84"/>
      <c r="J3" s="84"/>
      <c r="K3" s="36"/>
      <c r="L3" s="36"/>
      <c r="M3" s="36"/>
      <c r="N3" s="36"/>
      <c r="O3" s="46"/>
      <c r="P3" s="46"/>
      <c r="Q3" s="36"/>
      <c r="R3" s="46"/>
      <c r="S3" s="36"/>
      <c r="T3" s="36"/>
    </row>
    <row r="4" spans="1:21" ht="51">
      <c r="A4" s="37" t="s">
        <v>83</v>
      </c>
      <c r="B4" s="47" t="s">
        <v>401</v>
      </c>
      <c r="C4" s="47" t="s">
        <v>399</v>
      </c>
      <c r="D4" s="10" t="s">
        <v>402</v>
      </c>
      <c r="E4" s="10" t="s">
        <v>403</v>
      </c>
      <c r="F4" s="10" t="s">
        <v>404</v>
      </c>
      <c r="G4" s="10" t="s">
        <v>405</v>
      </c>
      <c r="H4" s="47" t="s">
        <v>406</v>
      </c>
      <c r="I4" s="47" t="s">
        <v>407</v>
      </c>
      <c r="J4" s="47" t="s">
        <v>408</v>
      </c>
      <c r="K4" s="47" t="s">
        <v>409</v>
      </c>
      <c r="L4" s="47" t="s">
        <v>410</v>
      </c>
      <c r="M4" s="47" t="s">
        <v>411</v>
      </c>
      <c r="N4" s="47" t="s">
        <v>412</v>
      </c>
      <c r="O4" s="64" t="s">
        <v>413</v>
      </c>
      <c r="P4" s="48" t="s">
        <v>414</v>
      </c>
      <c r="Q4" s="37" t="s">
        <v>415</v>
      </c>
      <c r="R4" s="48" t="s">
        <v>416</v>
      </c>
      <c r="S4" s="37" t="s">
        <v>417</v>
      </c>
      <c r="T4" s="49" t="s">
        <v>418</v>
      </c>
      <c r="U4" s="47" t="s">
        <v>419</v>
      </c>
    </row>
    <row r="5" spans="1:21" ht="15.95">
      <c r="A5" s="36" t="s">
        <v>85</v>
      </c>
      <c r="B5">
        <v>2</v>
      </c>
      <c r="C5">
        <f>1+1</f>
        <v>2</v>
      </c>
      <c r="H5">
        <v>1</v>
      </c>
      <c r="J5">
        <v>1</v>
      </c>
      <c r="K5">
        <v>2</v>
      </c>
      <c r="O5" s="34">
        <f>R5/H5</f>
        <v>0.5</v>
      </c>
      <c r="R5" s="34">
        <f>Receipts!F75</f>
        <v>0.5</v>
      </c>
    </row>
    <row r="6" spans="1:21" ht="15.95">
      <c r="A6" s="36" t="s">
        <v>86</v>
      </c>
    </row>
    <row r="7" spans="1:21">
      <c r="A7" t="s">
        <v>87</v>
      </c>
      <c r="B7">
        <v>4</v>
      </c>
      <c r="C7">
        <f>1+1</f>
        <v>2</v>
      </c>
      <c r="H7">
        <v>2</v>
      </c>
      <c r="K7">
        <v>4</v>
      </c>
      <c r="O7" s="34">
        <f t="shared" ref="O7:O26" si="0">R7/H7</f>
        <v>0.22500000000000001</v>
      </c>
      <c r="R7" s="34">
        <f>Receipts!F76</f>
        <v>0.45</v>
      </c>
    </row>
    <row r="8" spans="1:21">
      <c r="A8" t="s">
        <v>420</v>
      </c>
    </row>
    <row r="9" spans="1:21">
      <c r="A9" t="s">
        <v>88</v>
      </c>
    </row>
    <row r="10" spans="1:21">
      <c r="A10" t="s">
        <v>89</v>
      </c>
    </row>
    <row r="11" spans="1:21">
      <c r="A11" t="s">
        <v>90</v>
      </c>
    </row>
    <row r="12" spans="1:21">
      <c r="A12" t="s">
        <v>91</v>
      </c>
      <c r="B12">
        <v>17</v>
      </c>
      <c r="C12">
        <f>4+4+1</f>
        <v>9</v>
      </c>
      <c r="H12">
        <v>1</v>
      </c>
      <c r="I12">
        <v>1</v>
      </c>
      <c r="K12">
        <v>24</v>
      </c>
      <c r="O12" s="34">
        <f t="shared" si="0"/>
        <v>0.45</v>
      </c>
      <c r="R12" s="34">
        <f>Receipts!F77</f>
        <v>0.45</v>
      </c>
    </row>
    <row r="13" spans="1:21">
      <c r="A13" t="s">
        <v>92</v>
      </c>
      <c r="B13">
        <v>1</v>
      </c>
      <c r="K13">
        <v>1</v>
      </c>
    </row>
    <row r="14" spans="1:21">
      <c r="A14" t="s">
        <v>93</v>
      </c>
      <c r="B14">
        <v>21</v>
      </c>
      <c r="C14">
        <v>2</v>
      </c>
      <c r="H14">
        <v>4</v>
      </c>
      <c r="K14">
        <v>19</v>
      </c>
      <c r="O14" s="34">
        <f t="shared" si="0"/>
        <v>0.40500000000000003</v>
      </c>
      <c r="R14" s="34">
        <f>Receipts!F78</f>
        <v>1.62</v>
      </c>
    </row>
    <row r="15" spans="1:21">
      <c r="A15" t="s">
        <v>94</v>
      </c>
      <c r="B15">
        <v>6</v>
      </c>
      <c r="J15">
        <v>6</v>
      </c>
      <c r="K15">
        <v>0</v>
      </c>
    </row>
    <row r="16" spans="1:21">
      <c r="A16" t="s">
        <v>95</v>
      </c>
      <c r="B16">
        <v>6</v>
      </c>
      <c r="I16">
        <v>1</v>
      </c>
      <c r="K16">
        <v>5</v>
      </c>
    </row>
    <row r="17" spans="1:18">
      <c r="A17" t="s">
        <v>96</v>
      </c>
      <c r="B17">
        <v>5</v>
      </c>
      <c r="K17">
        <v>5</v>
      </c>
    </row>
    <row r="18" spans="1:18">
      <c r="A18" t="s">
        <v>97</v>
      </c>
      <c r="B18">
        <v>13</v>
      </c>
      <c r="H18">
        <v>6</v>
      </c>
      <c r="J18">
        <v>1</v>
      </c>
      <c r="K18">
        <v>6</v>
      </c>
      <c r="O18" s="34">
        <f t="shared" si="0"/>
        <v>4.9999999999999996E-2</v>
      </c>
      <c r="R18" s="34">
        <f>Receipts!F79</f>
        <v>0.3</v>
      </c>
    </row>
    <row r="19" spans="1:18">
      <c r="A19" t="s">
        <v>98</v>
      </c>
      <c r="B19">
        <v>280</v>
      </c>
      <c r="C19">
        <v>22</v>
      </c>
      <c r="H19">
        <v>34</v>
      </c>
      <c r="I19">
        <f>18+13</f>
        <v>31</v>
      </c>
      <c r="K19">
        <v>243</v>
      </c>
      <c r="O19" s="34">
        <f t="shared" si="0"/>
        <v>4.9999999999999996E-2</v>
      </c>
      <c r="R19" s="34">
        <f>Receipts!F80</f>
        <v>1.7</v>
      </c>
    </row>
    <row r="20" spans="1:18">
      <c r="A20" t="s">
        <v>99</v>
      </c>
      <c r="B20">
        <v>10</v>
      </c>
      <c r="K20">
        <v>10</v>
      </c>
    </row>
    <row r="21" spans="1:18">
      <c r="A21" t="s">
        <v>100</v>
      </c>
      <c r="B21">
        <v>380</v>
      </c>
      <c r="C21">
        <v>34</v>
      </c>
      <c r="H21">
        <v>40</v>
      </c>
      <c r="I21">
        <f>13+4+5</f>
        <v>22</v>
      </c>
      <c r="J21">
        <f>7</f>
        <v>7</v>
      </c>
      <c r="K21">
        <v>353</v>
      </c>
      <c r="O21" s="34">
        <f t="shared" si="0"/>
        <v>0.05</v>
      </c>
      <c r="R21" s="34">
        <f>Receipts!F81</f>
        <v>2</v>
      </c>
    </row>
    <row r="22" spans="1:18">
      <c r="A22" t="s">
        <v>101</v>
      </c>
      <c r="B22">
        <v>75</v>
      </c>
      <c r="I22">
        <f>19</f>
        <v>19</v>
      </c>
      <c r="J22">
        <f>22+34</f>
        <v>56</v>
      </c>
      <c r="K22">
        <v>0</v>
      </c>
    </row>
    <row r="23" spans="1:18">
      <c r="A23" t="s">
        <v>102</v>
      </c>
      <c r="B23">
        <v>299</v>
      </c>
      <c r="H23">
        <v>48</v>
      </c>
      <c r="I23">
        <f>29+21+12</f>
        <v>62</v>
      </c>
      <c r="J23">
        <f>27+2</f>
        <v>29</v>
      </c>
      <c r="K23">
        <v>160</v>
      </c>
      <c r="O23" s="34">
        <f t="shared" si="0"/>
        <v>0</v>
      </c>
    </row>
    <row r="24" spans="1:18">
      <c r="A24" t="s">
        <v>103</v>
      </c>
    </row>
    <row r="25" spans="1:18">
      <c r="A25" t="s">
        <v>104</v>
      </c>
      <c r="B25">
        <v>3</v>
      </c>
      <c r="I25">
        <v>1</v>
      </c>
      <c r="K25">
        <v>2</v>
      </c>
    </row>
    <row r="26" spans="1:18">
      <c r="A26" t="s">
        <v>105</v>
      </c>
      <c r="B26">
        <v>33</v>
      </c>
      <c r="C26">
        <f>20+1</f>
        <v>21</v>
      </c>
      <c r="H26">
        <v>25</v>
      </c>
      <c r="I26">
        <v>9</v>
      </c>
      <c r="K26">
        <v>20</v>
      </c>
      <c r="O26" s="34">
        <f t="shared" si="0"/>
        <v>0.1268</v>
      </c>
      <c r="R26" s="34">
        <f>Receipts!F82</f>
        <v>3.17</v>
      </c>
    </row>
    <row r="27" spans="1:18">
      <c r="A27" t="s">
        <v>106</v>
      </c>
      <c r="B27">
        <v>20</v>
      </c>
      <c r="J27">
        <v>20</v>
      </c>
      <c r="K27">
        <v>0</v>
      </c>
    </row>
    <row r="28" spans="1:18">
      <c r="A28" t="s">
        <v>107</v>
      </c>
      <c r="B28">
        <v>25</v>
      </c>
      <c r="C28">
        <v>1</v>
      </c>
      <c r="I28">
        <v>4</v>
      </c>
      <c r="J28">
        <v>2</v>
      </c>
      <c r="K28">
        <v>20</v>
      </c>
    </row>
    <row r="29" spans="1:18">
      <c r="A29" t="s">
        <v>108</v>
      </c>
    </row>
    <row r="30" spans="1:18">
      <c r="A30" t="s">
        <v>109</v>
      </c>
    </row>
    <row r="31" spans="1:18" s="62" customFormat="1" ht="15.95">
      <c r="A31" s="38" t="s">
        <v>421</v>
      </c>
      <c r="O31" s="63"/>
      <c r="R31" s="63">
        <f>SUM(R5:R29)</f>
        <v>10.19</v>
      </c>
    </row>
    <row r="34" spans="1:21" ht="17.100000000000001">
      <c r="A34" s="37" t="s">
        <v>112</v>
      </c>
    </row>
    <row r="35" spans="1:21">
      <c r="A35" t="s">
        <v>114</v>
      </c>
      <c r="C35">
        <v>624</v>
      </c>
      <c r="J35">
        <f>2+622</f>
        <v>624</v>
      </c>
      <c r="K35">
        <v>0</v>
      </c>
      <c r="O35" s="34">
        <v>0.02</v>
      </c>
      <c r="T35">
        <f>O35*J35</f>
        <v>12.48</v>
      </c>
    </row>
    <row r="36" spans="1:21">
      <c r="A36" t="s">
        <v>115</v>
      </c>
      <c r="C36">
        <v>172</v>
      </c>
      <c r="J36">
        <v>172</v>
      </c>
      <c r="K36">
        <v>0</v>
      </c>
      <c r="O36" s="34">
        <v>0.01</v>
      </c>
      <c r="T36">
        <f>O36*J36</f>
        <v>1.72</v>
      </c>
    </row>
    <row r="37" spans="1:21">
      <c r="A37" t="s">
        <v>116</v>
      </c>
      <c r="C37">
        <v>7</v>
      </c>
      <c r="H37">
        <v>7</v>
      </c>
      <c r="K37">
        <v>0</v>
      </c>
      <c r="O37" s="34">
        <v>4.3749999999999997E-2</v>
      </c>
      <c r="T37" s="34">
        <f>O37*H37</f>
        <v>0.30624999999999997</v>
      </c>
      <c r="U37" t="s">
        <v>422</v>
      </c>
    </row>
    <row r="38" spans="1:21">
      <c r="A38" t="s">
        <v>117</v>
      </c>
    </row>
    <row r="39" spans="1:21" s="62" customFormat="1" ht="15.95">
      <c r="A39" s="38" t="s">
        <v>423</v>
      </c>
      <c r="O39" s="63"/>
      <c r="R39" s="63"/>
      <c r="T39" s="63">
        <f>SUM(T35:T38)</f>
        <v>14.506250000000001</v>
      </c>
    </row>
    <row r="42" spans="1:21" ht="17.100000000000001">
      <c r="A42" s="37" t="s">
        <v>118</v>
      </c>
    </row>
    <row r="43" spans="1:21">
      <c r="A43" t="s">
        <v>119</v>
      </c>
      <c r="C43">
        <v>1</v>
      </c>
      <c r="H43">
        <v>1</v>
      </c>
      <c r="K43">
        <v>0</v>
      </c>
      <c r="O43" s="34">
        <f>R43/H43</f>
        <v>0.1</v>
      </c>
      <c r="R43" s="34">
        <f>Receipts!F91</f>
        <v>0.1</v>
      </c>
      <c r="T43">
        <f>O43*C43</f>
        <v>0.1</v>
      </c>
    </row>
    <row r="44" spans="1:21">
      <c r="A44" t="s">
        <v>424</v>
      </c>
      <c r="C44">
        <v>1</v>
      </c>
      <c r="H44">
        <v>1</v>
      </c>
      <c r="K44">
        <v>0</v>
      </c>
      <c r="O44" s="34">
        <f>R44/H44</f>
        <v>0.03</v>
      </c>
      <c r="R44" s="34">
        <f>Receipts!F92</f>
        <v>0.03</v>
      </c>
      <c r="T44">
        <f t="shared" ref="T44:T61" si="1">O44*C44</f>
        <v>0.03</v>
      </c>
    </row>
    <row r="45" spans="1:21">
      <c r="A45" t="s">
        <v>425</v>
      </c>
      <c r="T45">
        <f t="shared" si="1"/>
        <v>0</v>
      </c>
    </row>
    <row r="46" spans="1:21">
      <c r="A46" t="s">
        <v>426</v>
      </c>
      <c r="T46">
        <f t="shared" si="1"/>
        <v>0</v>
      </c>
    </row>
    <row r="47" spans="1:21">
      <c r="A47" t="s">
        <v>427</v>
      </c>
      <c r="T47">
        <f t="shared" si="1"/>
        <v>0</v>
      </c>
    </row>
    <row r="48" spans="1:21">
      <c r="A48" s="39" t="s">
        <v>428</v>
      </c>
      <c r="T48">
        <f t="shared" si="1"/>
        <v>0</v>
      </c>
    </row>
    <row r="49" spans="1:20">
      <c r="A49" t="s">
        <v>429</v>
      </c>
      <c r="T49">
        <f t="shared" si="1"/>
        <v>0</v>
      </c>
    </row>
    <row r="50" spans="1:20">
      <c r="A50" s="40" t="s">
        <v>430</v>
      </c>
      <c r="C50">
        <v>18</v>
      </c>
      <c r="T50">
        <f t="shared" si="1"/>
        <v>0</v>
      </c>
    </row>
    <row r="51" spans="1:20">
      <c r="A51" s="40" t="s">
        <v>431</v>
      </c>
      <c r="T51">
        <f t="shared" si="1"/>
        <v>0</v>
      </c>
    </row>
    <row r="52" spans="1:20">
      <c r="A52" s="40" t="s">
        <v>432</v>
      </c>
      <c r="C52">
        <v>17</v>
      </c>
      <c r="T52">
        <f t="shared" si="1"/>
        <v>0</v>
      </c>
    </row>
    <row r="53" spans="1:20">
      <c r="A53" s="40" t="s">
        <v>433</v>
      </c>
      <c r="C53">
        <v>19</v>
      </c>
      <c r="T53">
        <f t="shared" si="1"/>
        <v>0</v>
      </c>
    </row>
    <row r="54" spans="1:20">
      <c r="A54" s="41" t="s">
        <v>429</v>
      </c>
      <c r="C54">
        <f>SUM(C50:C53)</f>
        <v>54</v>
      </c>
      <c r="H54">
        <v>54</v>
      </c>
      <c r="K54">
        <v>0</v>
      </c>
      <c r="O54" s="34">
        <f>R54/H54</f>
        <v>9.6296296296296303E-3</v>
      </c>
      <c r="R54" s="34">
        <f>Receipts!F86</f>
        <v>0.52</v>
      </c>
      <c r="T54">
        <f t="shared" si="1"/>
        <v>0.52</v>
      </c>
    </row>
    <row r="55" spans="1:20">
      <c r="A55" s="42" t="s">
        <v>434</v>
      </c>
      <c r="T55">
        <f t="shared" si="1"/>
        <v>0</v>
      </c>
    </row>
    <row r="56" spans="1:20">
      <c r="A56" s="40" t="s">
        <v>430</v>
      </c>
      <c r="C56">
        <v>13</v>
      </c>
      <c r="H56">
        <v>13</v>
      </c>
      <c r="O56" s="34">
        <f t="shared" ref="O56:O61" si="2">R56/H56</f>
        <v>6.9230769230769224E-3</v>
      </c>
      <c r="R56" s="34">
        <f>Receipts!F87</f>
        <v>0.09</v>
      </c>
      <c r="T56">
        <f t="shared" si="1"/>
        <v>0.09</v>
      </c>
    </row>
    <row r="57" spans="1:20">
      <c r="A57" s="40" t="s">
        <v>431</v>
      </c>
      <c r="T57">
        <f t="shared" si="1"/>
        <v>0</v>
      </c>
    </row>
    <row r="58" spans="1:20">
      <c r="A58" s="40" t="s">
        <v>432</v>
      </c>
      <c r="C58">
        <v>5</v>
      </c>
      <c r="H58">
        <v>5</v>
      </c>
      <c r="O58" s="34">
        <f t="shared" si="2"/>
        <v>1.7999999999999999E-2</v>
      </c>
      <c r="R58" s="34">
        <f>R56</f>
        <v>0.09</v>
      </c>
      <c r="T58">
        <f t="shared" si="1"/>
        <v>0.09</v>
      </c>
    </row>
    <row r="59" spans="1:20">
      <c r="A59" s="40" t="s">
        <v>433</v>
      </c>
      <c r="T59">
        <f t="shared" si="1"/>
        <v>0</v>
      </c>
    </row>
    <row r="60" spans="1:20">
      <c r="A60" s="41" t="s">
        <v>135</v>
      </c>
      <c r="C60">
        <f>SUM(C56:C59)</f>
        <v>18</v>
      </c>
      <c r="H60">
        <v>18</v>
      </c>
      <c r="K60">
        <v>0</v>
      </c>
      <c r="O60" s="34">
        <f t="shared" si="2"/>
        <v>0</v>
      </c>
      <c r="T60">
        <f t="shared" si="1"/>
        <v>0</v>
      </c>
    </row>
    <row r="61" spans="1:20">
      <c r="A61" t="s">
        <v>136</v>
      </c>
      <c r="C61">
        <f>29+21+12</f>
        <v>62</v>
      </c>
      <c r="H61">
        <v>59</v>
      </c>
      <c r="J61">
        <v>3</v>
      </c>
      <c r="K61">
        <v>0</v>
      </c>
      <c r="O61" s="34">
        <f t="shared" si="2"/>
        <v>3.3898305084745762E-3</v>
      </c>
      <c r="R61" s="34">
        <f>SUM(Receipts!F88:F90)</f>
        <v>0.19999999999999998</v>
      </c>
      <c r="T61" s="34">
        <f t="shared" si="1"/>
        <v>0.21016949152542372</v>
      </c>
    </row>
    <row r="62" spans="1:20">
      <c r="A62" t="s">
        <v>137</v>
      </c>
    </row>
    <row r="63" spans="1:20">
      <c r="A63" t="s">
        <v>138</v>
      </c>
    </row>
    <row r="64" spans="1:20" s="62" customFormat="1">
      <c r="A64" s="62" t="s">
        <v>435</v>
      </c>
      <c r="O64" s="63"/>
      <c r="R64" s="63">
        <f>SUM(R43:R63)</f>
        <v>1.03</v>
      </c>
      <c r="T64" s="63">
        <f>SUM(T43:T62)</f>
        <v>1.0401694915254236</v>
      </c>
    </row>
    <row r="67" spans="1:20" ht="17.100000000000001">
      <c r="A67" s="37" t="s">
        <v>139</v>
      </c>
    </row>
    <row r="68" spans="1:20" ht="15.95">
      <c r="A68" s="36" t="s">
        <v>140</v>
      </c>
    </row>
    <row r="69" spans="1:20">
      <c r="A69" t="s">
        <v>141</v>
      </c>
      <c r="C69">
        <v>18</v>
      </c>
      <c r="H69">
        <v>18</v>
      </c>
      <c r="K69">
        <v>0</v>
      </c>
      <c r="O69" s="34">
        <f>R69/H69</f>
        <v>1.0555555555555556E-2</v>
      </c>
      <c r="R69" s="34">
        <f>Receipts!F59</f>
        <v>0.19</v>
      </c>
      <c r="T69">
        <f>O69*C69</f>
        <v>0.19</v>
      </c>
    </row>
    <row r="70" spans="1:20">
      <c r="A70" t="s">
        <v>142</v>
      </c>
    </row>
    <row r="71" spans="1:20">
      <c r="A71" t="s">
        <v>143</v>
      </c>
    </row>
    <row r="72" spans="1:20" s="62" customFormat="1">
      <c r="A72" s="62" t="s">
        <v>436</v>
      </c>
      <c r="O72" s="63"/>
      <c r="R72" s="63">
        <f>SUM(R69:R71)</f>
        <v>0.19</v>
      </c>
      <c r="T72" s="62">
        <f>SUM(T69:T71)</f>
        <v>0.19</v>
      </c>
    </row>
    <row r="73" spans="1:20">
      <c r="A73" s="43" t="s">
        <v>437</v>
      </c>
    </row>
    <row r="75" spans="1:20" ht="15.95">
      <c r="A75" s="10" t="s">
        <v>144</v>
      </c>
    </row>
    <row r="76" spans="1:20">
      <c r="A76" t="s">
        <v>145</v>
      </c>
      <c r="C76">
        <v>1050</v>
      </c>
      <c r="H76">
        <v>1050</v>
      </c>
      <c r="O76" s="34">
        <f>R76/H76</f>
        <v>1.4285714285714284E-4</v>
      </c>
      <c r="R76" s="34">
        <f>Receipts!F61</f>
        <v>0.15</v>
      </c>
      <c r="T76" s="34">
        <f>O76*C76</f>
        <v>0.15</v>
      </c>
    </row>
    <row r="77" spans="1:20">
      <c r="A77" t="s">
        <v>146</v>
      </c>
      <c r="C77">
        <v>24</v>
      </c>
      <c r="F77">
        <v>22</v>
      </c>
      <c r="H77">
        <v>46</v>
      </c>
      <c r="K77">
        <v>0</v>
      </c>
      <c r="O77" s="34">
        <f>R77/H77</f>
        <v>4.1304347826086954E-3</v>
      </c>
      <c r="R77" s="34">
        <f>Receipts!F60</f>
        <v>0.19</v>
      </c>
      <c r="T77" s="34">
        <f>O77*(C77+F77)</f>
        <v>0.19</v>
      </c>
    </row>
    <row r="78" spans="1:20">
      <c r="A78" t="s">
        <v>147</v>
      </c>
      <c r="T78" s="34"/>
    </row>
    <row r="79" spans="1:20" s="62" customFormat="1">
      <c r="A79" s="62" t="s">
        <v>170</v>
      </c>
      <c r="O79" s="63"/>
      <c r="R79" s="63">
        <f>SUM(R76:R78)</f>
        <v>0.33999999999999997</v>
      </c>
      <c r="T79" s="63">
        <f>SUM(T76:T77)</f>
        <v>0.33999999999999997</v>
      </c>
    </row>
    <row r="82" spans="1:20" ht="15.95">
      <c r="A82" s="10" t="s">
        <v>438</v>
      </c>
    </row>
    <row r="83" spans="1:20">
      <c r="A83" t="s">
        <v>439</v>
      </c>
    </row>
    <row r="84" spans="1:20">
      <c r="A84" t="s">
        <v>440</v>
      </c>
    </row>
    <row r="85" spans="1:20">
      <c r="A85" t="s">
        <v>441</v>
      </c>
    </row>
    <row r="86" spans="1:20" ht="15.95">
      <c r="A86" s="44" t="s">
        <v>435</v>
      </c>
    </row>
    <row r="88" spans="1:20" ht="15.95">
      <c r="A88" s="10" t="s">
        <v>442</v>
      </c>
    </row>
    <row r="89" spans="1:20">
      <c r="A89" t="s">
        <v>443</v>
      </c>
      <c r="C89">
        <v>39</v>
      </c>
      <c r="H89">
        <v>39</v>
      </c>
      <c r="O89" s="34">
        <f>R89/H89</f>
        <v>3.8461538461538459E-3</v>
      </c>
      <c r="R89" s="34">
        <f>Receipts!F94</f>
        <v>0.15</v>
      </c>
      <c r="T89" s="34">
        <f>O89*C89</f>
        <v>0.15</v>
      </c>
    </row>
    <row r="90" spans="1:20">
      <c r="A90" t="s">
        <v>444</v>
      </c>
      <c r="C90">
        <v>160</v>
      </c>
      <c r="H90">
        <v>139</v>
      </c>
      <c r="J90">
        <f>16+1+2+2</f>
        <v>21</v>
      </c>
      <c r="O90" s="34">
        <f>R90/H90</f>
        <v>1.9856115107913668E-2</v>
      </c>
      <c r="R90" s="34">
        <f>Receipts!F95</f>
        <v>2.76</v>
      </c>
      <c r="T90" s="34">
        <f>O90*C90</f>
        <v>3.176978417266187</v>
      </c>
    </row>
    <row r="91" spans="1:20" s="62" customFormat="1" ht="15.95">
      <c r="A91" s="38" t="s">
        <v>170</v>
      </c>
      <c r="O91" s="63"/>
      <c r="R91" s="63">
        <f>SUM(R89:R90)</f>
        <v>2.9099999999999997</v>
      </c>
      <c r="T91" s="63">
        <f>SUM(T89:T90)</f>
        <v>3.3269784172661869</v>
      </c>
    </row>
    <row r="93" spans="1:20" ht="15.95">
      <c r="A93" s="10" t="s">
        <v>150</v>
      </c>
    </row>
    <row r="94" spans="1:20">
      <c r="A94" t="s">
        <v>150</v>
      </c>
      <c r="C94" t="s">
        <v>445</v>
      </c>
      <c r="H94" t="s">
        <v>445</v>
      </c>
      <c r="R94" s="34">
        <f>Receipts!F96</f>
        <v>0.22708333333333336</v>
      </c>
      <c r="T94" s="34">
        <f>R94</f>
        <v>0.22708333333333336</v>
      </c>
    </row>
    <row r="95" spans="1:20" s="62" customFormat="1" ht="15.95">
      <c r="A95" s="38" t="s">
        <v>170</v>
      </c>
      <c r="O95" s="63"/>
      <c r="R95" s="63">
        <f>SUM(R94)</f>
        <v>0.22708333333333336</v>
      </c>
      <c r="T95" s="63">
        <f>T94</f>
        <v>0.22708333333333336</v>
      </c>
    </row>
    <row r="96" spans="1:20" ht="15.95">
      <c r="A96" s="45"/>
    </row>
    <row r="97" spans="1:20" ht="15.95">
      <c r="A97" s="44" t="s">
        <v>446</v>
      </c>
    </row>
    <row r="100" spans="1:20" ht="15.95">
      <c r="A100" s="10" t="s">
        <v>447</v>
      </c>
    </row>
    <row r="101" spans="1:20">
      <c r="A101" t="s">
        <v>447</v>
      </c>
      <c r="B101">
        <v>2</v>
      </c>
      <c r="C101">
        <v>7</v>
      </c>
      <c r="H101">
        <v>2</v>
      </c>
      <c r="K101">
        <v>7</v>
      </c>
      <c r="R101" s="34">
        <f>Receipts!F93</f>
        <v>1.2</v>
      </c>
      <c r="T101" s="34">
        <f>R101</f>
        <v>1.2</v>
      </c>
    </row>
    <row r="102" spans="1:20" s="62" customFormat="1">
      <c r="A102" s="62" t="s">
        <v>170</v>
      </c>
      <c r="O102" s="63"/>
      <c r="R102" s="63">
        <f>SUM(R101)</f>
        <v>1.2</v>
      </c>
      <c r="T102" s="63">
        <f>T101</f>
        <v>1.2</v>
      </c>
    </row>
    <row r="104" spans="1:20" ht="15.95">
      <c r="A104" s="45" t="s">
        <v>448</v>
      </c>
    </row>
    <row r="105" spans="1:20" ht="15.95">
      <c r="A105" s="10" t="s">
        <v>449</v>
      </c>
    </row>
    <row r="106" spans="1:20">
      <c r="A106" t="s">
        <v>450</v>
      </c>
    </row>
    <row r="107" spans="1:20">
      <c r="A107" t="s">
        <v>451</v>
      </c>
    </row>
    <row r="108" spans="1:20">
      <c r="A108" t="s">
        <v>452</v>
      </c>
    </row>
    <row r="109" spans="1:20">
      <c r="A109" t="s">
        <v>453</v>
      </c>
    </row>
    <row r="110" spans="1:20">
      <c r="A110" t="s">
        <v>454</v>
      </c>
    </row>
    <row r="111" spans="1:20">
      <c r="A111" t="s">
        <v>455</v>
      </c>
    </row>
    <row r="112" spans="1:20">
      <c r="A112" t="s">
        <v>456</v>
      </c>
    </row>
    <row r="113" spans="1:1">
      <c r="A113" t="s">
        <v>457</v>
      </c>
    </row>
    <row r="114" spans="1:1">
      <c r="A114" t="s">
        <v>458</v>
      </c>
    </row>
    <row r="115" spans="1:1">
      <c r="A115" t="s">
        <v>459</v>
      </c>
    </row>
    <row r="116" spans="1:1">
      <c r="A116" t="s">
        <v>460</v>
      </c>
    </row>
    <row r="117" spans="1:1">
      <c r="A117" t="s">
        <v>461</v>
      </c>
    </row>
    <row r="118" spans="1:1">
      <c r="A118" t="s">
        <v>462</v>
      </c>
    </row>
    <row r="119" spans="1:1">
      <c r="A119" t="s">
        <v>463</v>
      </c>
    </row>
    <row r="120" spans="1:1">
      <c r="A120" t="s">
        <v>464</v>
      </c>
    </row>
    <row r="121" spans="1:1">
      <c r="A121" t="s">
        <v>465</v>
      </c>
    </row>
    <row r="122" spans="1:1">
      <c r="A122" t="s">
        <v>466</v>
      </c>
    </row>
    <row r="123" spans="1:1">
      <c r="A123" t="s">
        <v>467</v>
      </c>
    </row>
    <row r="124" spans="1:1">
      <c r="A124" t="s">
        <v>468</v>
      </c>
    </row>
    <row r="125" spans="1:1">
      <c r="A125" t="s">
        <v>469</v>
      </c>
    </row>
    <row r="126" spans="1:1">
      <c r="A126" t="s">
        <v>470</v>
      </c>
    </row>
    <row r="127" spans="1:1">
      <c r="A127" t="s">
        <v>471</v>
      </c>
    </row>
    <row r="128" spans="1:1">
      <c r="A128" t="s">
        <v>472</v>
      </c>
    </row>
    <row r="129" spans="1:1">
      <c r="A129" t="s">
        <v>473</v>
      </c>
    </row>
    <row r="130" spans="1:1">
      <c r="A130" t="s">
        <v>474</v>
      </c>
    </row>
  </sheetData>
  <mergeCells count="2">
    <mergeCell ref="C3:F3"/>
    <mergeCell ref="G3:J3"/>
  </mergeCells>
  <pageMargins left="0.75" right="0.75" top="1" bottom="1" header="0.5" footer="0.5"/>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252"/>
  <sheetViews>
    <sheetView tabSelected="1" workbookViewId="0">
      <selection activeCell="B38" sqref="B38"/>
    </sheetView>
  </sheetViews>
  <sheetFormatPr defaultColWidth="8.85546875" defaultRowHeight="15"/>
  <sheetData>
    <row r="1" spans="1:36">
      <c r="A1" s="1" t="s">
        <v>161</v>
      </c>
      <c r="B1" s="1" t="s">
        <v>475</v>
      </c>
      <c r="C1" s="1" t="s">
        <v>476</v>
      </c>
      <c r="D1" s="1" t="s">
        <v>477</v>
      </c>
      <c r="E1" s="1" t="s">
        <v>478</v>
      </c>
      <c r="F1" s="1" t="s">
        <v>479</v>
      </c>
      <c r="G1" s="1" t="s">
        <v>480</v>
      </c>
      <c r="H1" s="1" t="s">
        <v>481</v>
      </c>
      <c r="I1" s="1" t="s">
        <v>482</v>
      </c>
      <c r="J1" s="1" t="s">
        <v>483</v>
      </c>
      <c r="K1" s="1" t="s">
        <v>484</v>
      </c>
      <c r="L1" s="1" t="s">
        <v>485</v>
      </c>
      <c r="M1" s="1" t="s">
        <v>486</v>
      </c>
      <c r="N1" s="1" t="s">
        <v>487</v>
      </c>
      <c r="O1" s="1" t="s">
        <v>488</v>
      </c>
      <c r="P1" s="1" t="s">
        <v>489</v>
      </c>
      <c r="Q1" s="1" t="s">
        <v>490</v>
      </c>
      <c r="R1" s="1" t="s">
        <v>491</v>
      </c>
      <c r="S1" s="1" t="s">
        <v>492</v>
      </c>
      <c r="T1" s="1" t="s">
        <v>493</v>
      </c>
      <c r="U1" s="1" t="s">
        <v>494</v>
      </c>
      <c r="V1" s="1" t="s">
        <v>495</v>
      </c>
      <c r="W1" s="1" t="s">
        <v>496</v>
      </c>
      <c r="X1" s="1" t="s">
        <v>497</v>
      </c>
      <c r="Y1" s="1" t="s">
        <v>498</v>
      </c>
      <c r="Z1" s="1" t="s">
        <v>499</v>
      </c>
      <c r="AA1" s="1" t="s">
        <v>500</v>
      </c>
      <c r="AB1" s="1" t="s">
        <v>501</v>
      </c>
      <c r="AC1" s="1" t="s">
        <v>502</v>
      </c>
      <c r="AD1" s="1" t="s">
        <v>503</v>
      </c>
      <c r="AE1" s="1" t="s">
        <v>504</v>
      </c>
      <c r="AF1" s="1" t="s">
        <v>505</v>
      </c>
      <c r="AG1" s="1" t="s">
        <v>506</v>
      </c>
      <c r="AH1" s="1" t="s">
        <v>507</v>
      </c>
      <c r="AI1" s="1" t="s">
        <v>508</v>
      </c>
      <c r="AJ1" s="1" t="s">
        <v>509</v>
      </c>
    </row>
    <row r="2" spans="1:36">
      <c r="A2" t="s">
        <v>166</v>
      </c>
      <c r="B2" t="s">
        <v>167</v>
      </c>
      <c r="C2">
        <v>25.94</v>
      </c>
      <c r="D2">
        <v>25</v>
      </c>
      <c r="E2">
        <v>18</v>
      </c>
      <c r="F2">
        <v>9.75</v>
      </c>
      <c r="H2">
        <v>0</v>
      </c>
      <c r="I2">
        <v>0</v>
      </c>
      <c r="J2">
        <v>0</v>
      </c>
      <c r="K2">
        <v>0</v>
      </c>
      <c r="L2">
        <v>0</v>
      </c>
      <c r="M2">
        <v>0</v>
      </c>
      <c r="N2">
        <v>0</v>
      </c>
    </row>
    <row r="3" spans="1:36">
      <c r="A3" t="s">
        <v>166</v>
      </c>
      <c r="B3" t="s">
        <v>168</v>
      </c>
      <c r="C3">
        <v>0</v>
      </c>
      <c r="D3">
        <v>0</v>
      </c>
      <c r="E3">
        <v>0</v>
      </c>
      <c r="F3">
        <v>0</v>
      </c>
      <c r="H3">
        <v>0</v>
      </c>
      <c r="I3">
        <v>0</v>
      </c>
      <c r="J3">
        <v>0</v>
      </c>
      <c r="K3">
        <v>0</v>
      </c>
      <c r="L3">
        <v>0</v>
      </c>
      <c r="M3">
        <v>0</v>
      </c>
      <c r="N3">
        <v>0</v>
      </c>
    </row>
    <row r="4" spans="1:36">
      <c r="A4" t="s">
        <v>166</v>
      </c>
      <c r="B4" t="s">
        <v>169</v>
      </c>
      <c r="C4">
        <v>0</v>
      </c>
      <c r="D4">
        <v>0</v>
      </c>
      <c r="E4">
        <v>0</v>
      </c>
      <c r="F4">
        <v>0</v>
      </c>
      <c r="H4">
        <v>0</v>
      </c>
      <c r="I4">
        <v>0</v>
      </c>
      <c r="J4">
        <v>0</v>
      </c>
      <c r="K4">
        <v>0</v>
      </c>
      <c r="L4">
        <v>0</v>
      </c>
      <c r="M4">
        <v>0</v>
      </c>
      <c r="N4">
        <v>0</v>
      </c>
    </row>
    <row r="5" spans="1:36">
      <c r="A5" t="s">
        <v>171</v>
      </c>
      <c r="B5" t="s">
        <v>172</v>
      </c>
      <c r="C5">
        <v>2.92</v>
      </c>
      <c r="D5">
        <v>2</v>
      </c>
      <c r="E5">
        <v>18</v>
      </c>
      <c r="F5">
        <v>5</v>
      </c>
      <c r="H5">
        <v>0</v>
      </c>
      <c r="I5">
        <v>0</v>
      </c>
      <c r="J5">
        <v>0</v>
      </c>
      <c r="K5">
        <v>0</v>
      </c>
      <c r="L5">
        <v>0</v>
      </c>
      <c r="M5">
        <v>0</v>
      </c>
      <c r="N5">
        <v>0</v>
      </c>
    </row>
    <row r="6" spans="1:36">
      <c r="A6" t="s">
        <v>171</v>
      </c>
      <c r="B6" t="s">
        <v>173</v>
      </c>
      <c r="C6">
        <v>0.89</v>
      </c>
      <c r="D6">
        <v>0</v>
      </c>
      <c r="E6">
        <v>17</v>
      </c>
      <c r="F6">
        <v>10.5</v>
      </c>
      <c r="H6">
        <v>0</v>
      </c>
      <c r="I6">
        <v>0</v>
      </c>
      <c r="J6">
        <v>0</v>
      </c>
      <c r="K6">
        <v>0</v>
      </c>
      <c r="L6">
        <v>0</v>
      </c>
      <c r="M6">
        <v>0</v>
      </c>
      <c r="N6">
        <v>0</v>
      </c>
    </row>
    <row r="7" spans="1:36">
      <c r="A7" t="s">
        <v>171</v>
      </c>
      <c r="B7" t="s">
        <v>174</v>
      </c>
      <c r="C7">
        <v>20.96</v>
      </c>
      <c r="D7">
        <v>20</v>
      </c>
      <c r="E7">
        <v>19</v>
      </c>
      <c r="F7">
        <v>3.5</v>
      </c>
      <c r="H7">
        <v>0</v>
      </c>
      <c r="I7">
        <v>0</v>
      </c>
      <c r="J7">
        <v>0</v>
      </c>
      <c r="K7">
        <v>0</v>
      </c>
      <c r="L7">
        <v>0</v>
      </c>
      <c r="M7">
        <v>0</v>
      </c>
      <c r="N7">
        <v>0</v>
      </c>
    </row>
    <row r="8" spans="1:36">
      <c r="A8" t="s">
        <v>171</v>
      </c>
      <c r="B8" t="s">
        <v>175</v>
      </c>
      <c r="C8">
        <v>24.78</v>
      </c>
      <c r="D8">
        <v>24</v>
      </c>
      <c r="E8">
        <v>15</v>
      </c>
      <c r="F8">
        <v>7.5</v>
      </c>
      <c r="H8">
        <v>0</v>
      </c>
      <c r="I8">
        <v>0</v>
      </c>
      <c r="J8">
        <v>0</v>
      </c>
      <c r="K8">
        <v>0</v>
      </c>
      <c r="L8">
        <v>0</v>
      </c>
      <c r="M8">
        <v>0</v>
      </c>
      <c r="N8">
        <v>0</v>
      </c>
    </row>
    <row r="9" spans="1:36">
      <c r="A9" t="s">
        <v>176</v>
      </c>
      <c r="B9" t="s">
        <v>177</v>
      </c>
      <c r="C9">
        <v>0.38</v>
      </c>
      <c r="D9">
        <v>0</v>
      </c>
      <c r="E9">
        <v>7</v>
      </c>
      <c r="F9">
        <v>6</v>
      </c>
      <c r="H9">
        <v>0</v>
      </c>
      <c r="I9">
        <v>0</v>
      </c>
      <c r="J9">
        <v>0</v>
      </c>
      <c r="K9">
        <v>0</v>
      </c>
      <c r="L9">
        <v>0</v>
      </c>
      <c r="M9">
        <v>0</v>
      </c>
      <c r="N9">
        <v>0</v>
      </c>
    </row>
    <row r="10" spans="1:36">
      <c r="A10" t="s">
        <v>176</v>
      </c>
      <c r="B10" t="s">
        <v>178</v>
      </c>
      <c r="C10">
        <v>0.03</v>
      </c>
      <c r="D10">
        <v>0</v>
      </c>
      <c r="E10">
        <v>0</v>
      </c>
      <c r="F10">
        <v>6</v>
      </c>
      <c r="H10">
        <v>0</v>
      </c>
      <c r="I10">
        <v>0</v>
      </c>
      <c r="J10">
        <v>0</v>
      </c>
      <c r="K10">
        <v>0</v>
      </c>
      <c r="L10">
        <v>0</v>
      </c>
      <c r="M10">
        <v>0</v>
      </c>
      <c r="N10">
        <v>0</v>
      </c>
    </row>
    <row r="11" spans="1:36">
      <c r="A11" t="s">
        <v>176</v>
      </c>
      <c r="B11" t="s">
        <v>510</v>
      </c>
      <c r="C11">
        <v>0.42</v>
      </c>
      <c r="D11">
        <v>0</v>
      </c>
      <c r="E11">
        <v>8</v>
      </c>
      <c r="F11">
        <v>3.75</v>
      </c>
      <c r="H11">
        <v>0</v>
      </c>
      <c r="I11">
        <v>0</v>
      </c>
      <c r="J11">
        <v>0</v>
      </c>
      <c r="K11">
        <v>0</v>
      </c>
      <c r="L11">
        <v>0</v>
      </c>
      <c r="M11">
        <v>0</v>
      </c>
      <c r="N11">
        <v>0</v>
      </c>
    </row>
    <row r="12" spans="1:36">
      <c r="A12" t="s">
        <v>181</v>
      </c>
      <c r="B12" t="s">
        <v>182</v>
      </c>
      <c r="C12">
        <v>0.03</v>
      </c>
      <c r="D12">
        <v>0</v>
      </c>
      <c r="E12">
        <v>0</v>
      </c>
      <c r="F12">
        <v>7</v>
      </c>
      <c r="H12">
        <v>0</v>
      </c>
      <c r="I12">
        <v>0</v>
      </c>
      <c r="J12">
        <v>0</v>
      </c>
      <c r="K12">
        <v>0</v>
      </c>
      <c r="L12">
        <v>0</v>
      </c>
      <c r="M12">
        <v>0</v>
      </c>
      <c r="N12">
        <v>0</v>
      </c>
    </row>
    <row r="13" spans="1:36">
      <c r="A13" t="s">
        <v>181</v>
      </c>
      <c r="B13" t="s">
        <v>183</v>
      </c>
      <c r="C13">
        <v>0.05</v>
      </c>
      <c r="D13">
        <v>0</v>
      </c>
      <c r="E13">
        <v>1</v>
      </c>
      <c r="F13">
        <v>0</v>
      </c>
      <c r="H13">
        <v>0</v>
      </c>
      <c r="I13">
        <v>0</v>
      </c>
      <c r="J13">
        <v>0</v>
      </c>
      <c r="K13">
        <v>0</v>
      </c>
      <c r="L13">
        <v>0</v>
      </c>
      <c r="M13">
        <v>0</v>
      </c>
      <c r="N13">
        <v>0</v>
      </c>
    </row>
    <row r="14" spans="1:36">
      <c r="A14" t="s">
        <v>181</v>
      </c>
      <c r="B14" t="s">
        <v>184</v>
      </c>
      <c r="C14">
        <v>0.12</v>
      </c>
      <c r="D14">
        <v>0</v>
      </c>
      <c r="E14">
        <v>2</v>
      </c>
      <c r="F14">
        <v>4</v>
      </c>
      <c r="H14">
        <v>0</v>
      </c>
      <c r="I14">
        <v>0</v>
      </c>
      <c r="J14">
        <v>0</v>
      </c>
      <c r="K14">
        <v>0</v>
      </c>
      <c r="L14">
        <v>0</v>
      </c>
      <c r="M14">
        <v>0</v>
      </c>
      <c r="N14">
        <v>0</v>
      </c>
    </row>
    <row r="15" spans="1:36">
      <c r="A15" t="s">
        <v>181</v>
      </c>
      <c r="B15" t="s">
        <v>185</v>
      </c>
      <c r="C15">
        <v>0.25</v>
      </c>
      <c r="D15">
        <v>0</v>
      </c>
      <c r="E15">
        <v>5</v>
      </c>
      <c r="F15">
        <v>0</v>
      </c>
      <c r="H15">
        <v>0</v>
      </c>
      <c r="I15">
        <v>0</v>
      </c>
      <c r="J15">
        <v>0</v>
      </c>
      <c r="K15">
        <v>0</v>
      </c>
      <c r="L15">
        <v>0</v>
      </c>
      <c r="M15">
        <v>0</v>
      </c>
      <c r="N15">
        <v>0</v>
      </c>
    </row>
    <row r="16" spans="1:36">
      <c r="A16" t="s">
        <v>181</v>
      </c>
      <c r="B16" t="s">
        <v>186</v>
      </c>
      <c r="C16">
        <v>0.01</v>
      </c>
      <c r="D16">
        <v>0</v>
      </c>
      <c r="E16">
        <v>0</v>
      </c>
      <c r="F16">
        <v>2.5</v>
      </c>
      <c r="H16">
        <v>0</v>
      </c>
      <c r="I16">
        <v>0</v>
      </c>
      <c r="J16">
        <v>0</v>
      </c>
      <c r="K16">
        <v>0</v>
      </c>
      <c r="L16">
        <v>0</v>
      </c>
      <c r="M16">
        <v>0</v>
      </c>
      <c r="N16">
        <v>0</v>
      </c>
    </row>
    <row r="17" spans="1:14">
      <c r="A17" t="s">
        <v>181</v>
      </c>
      <c r="B17" t="s">
        <v>187</v>
      </c>
      <c r="C17">
        <v>0.01</v>
      </c>
      <c r="D17">
        <v>0</v>
      </c>
      <c r="E17">
        <v>0</v>
      </c>
      <c r="F17">
        <v>3.5</v>
      </c>
      <c r="H17">
        <v>0</v>
      </c>
      <c r="I17">
        <v>0</v>
      </c>
      <c r="J17">
        <v>0</v>
      </c>
      <c r="K17">
        <v>0</v>
      </c>
      <c r="L17">
        <v>0</v>
      </c>
      <c r="M17">
        <v>0</v>
      </c>
      <c r="N17">
        <v>0</v>
      </c>
    </row>
    <row r="18" spans="1:14">
      <c r="A18" t="s">
        <v>181</v>
      </c>
      <c r="B18" t="s">
        <v>188</v>
      </c>
      <c r="C18">
        <v>0.03</v>
      </c>
      <c r="D18">
        <v>0</v>
      </c>
      <c r="E18">
        <v>0</v>
      </c>
      <c r="F18">
        <v>7</v>
      </c>
      <c r="H18">
        <v>0</v>
      </c>
      <c r="I18">
        <v>0</v>
      </c>
      <c r="J18">
        <v>0</v>
      </c>
      <c r="K18">
        <v>0</v>
      </c>
      <c r="L18">
        <v>0</v>
      </c>
      <c r="M18">
        <v>0</v>
      </c>
      <c r="N18">
        <v>0</v>
      </c>
    </row>
    <row r="19" spans="1:14">
      <c r="A19" t="s">
        <v>181</v>
      </c>
      <c r="B19" t="s">
        <v>189</v>
      </c>
      <c r="C19">
        <v>0.5</v>
      </c>
      <c r="D19">
        <v>0</v>
      </c>
      <c r="E19">
        <v>10</v>
      </c>
      <c r="F19">
        <v>0</v>
      </c>
      <c r="H19">
        <v>0</v>
      </c>
      <c r="I19">
        <v>0</v>
      </c>
      <c r="J19">
        <v>0</v>
      </c>
      <c r="K19">
        <v>0</v>
      </c>
      <c r="L19">
        <v>0</v>
      </c>
      <c r="M19">
        <v>0</v>
      </c>
      <c r="N19">
        <v>0</v>
      </c>
    </row>
    <row r="20" spans="1:14">
      <c r="A20" t="s">
        <v>190</v>
      </c>
      <c r="B20" t="s">
        <v>191</v>
      </c>
      <c r="C20">
        <v>0.92</v>
      </c>
      <c r="D20">
        <v>0</v>
      </c>
      <c r="E20">
        <v>18</v>
      </c>
      <c r="F20">
        <v>3.75</v>
      </c>
      <c r="H20">
        <v>0</v>
      </c>
      <c r="I20">
        <v>0</v>
      </c>
      <c r="J20">
        <v>0</v>
      </c>
      <c r="K20">
        <v>0</v>
      </c>
      <c r="L20">
        <v>0</v>
      </c>
      <c r="M20">
        <v>0</v>
      </c>
      <c r="N20">
        <v>0</v>
      </c>
    </row>
    <row r="21" spans="1:14">
      <c r="A21" t="s">
        <v>192</v>
      </c>
      <c r="B21" t="s">
        <v>193</v>
      </c>
      <c r="C21">
        <v>23.87</v>
      </c>
      <c r="D21">
        <v>23</v>
      </c>
      <c r="E21">
        <v>17</v>
      </c>
      <c r="F21">
        <v>3.75</v>
      </c>
      <c r="H21">
        <v>0</v>
      </c>
      <c r="I21">
        <v>0</v>
      </c>
      <c r="J21">
        <v>0</v>
      </c>
      <c r="K21">
        <v>0</v>
      </c>
      <c r="L21">
        <v>0</v>
      </c>
      <c r="M21">
        <v>0</v>
      </c>
      <c r="N21">
        <v>0</v>
      </c>
    </row>
    <row r="22" spans="1:14">
      <c r="A22" t="s">
        <v>194</v>
      </c>
      <c r="B22" t="s">
        <v>195</v>
      </c>
      <c r="C22">
        <v>3</v>
      </c>
      <c r="D22">
        <v>3</v>
      </c>
      <c r="E22">
        <v>0</v>
      </c>
      <c r="F22">
        <v>0</v>
      </c>
      <c r="H22">
        <v>0</v>
      </c>
      <c r="I22">
        <v>0</v>
      </c>
      <c r="J22">
        <v>0</v>
      </c>
      <c r="K22">
        <v>0</v>
      </c>
      <c r="L22">
        <v>0</v>
      </c>
      <c r="M22">
        <v>0</v>
      </c>
      <c r="N22">
        <v>0</v>
      </c>
    </row>
    <row r="23" spans="1:14">
      <c r="A23" t="s">
        <v>194</v>
      </c>
      <c r="B23" t="s">
        <v>196</v>
      </c>
      <c r="C23">
        <v>3</v>
      </c>
      <c r="D23">
        <v>3</v>
      </c>
      <c r="E23">
        <v>0</v>
      </c>
      <c r="F23">
        <v>0</v>
      </c>
      <c r="H23">
        <v>0</v>
      </c>
      <c r="I23">
        <v>0</v>
      </c>
      <c r="J23">
        <v>0</v>
      </c>
      <c r="K23">
        <v>0</v>
      </c>
      <c r="L23">
        <v>0</v>
      </c>
      <c r="M23">
        <v>0</v>
      </c>
      <c r="N23">
        <v>0</v>
      </c>
    </row>
    <row r="24" spans="1:14">
      <c r="A24" t="s">
        <v>197</v>
      </c>
      <c r="B24" t="s">
        <v>198</v>
      </c>
      <c r="C24">
        <v>0.01</v>
      </c>
      <c r="D24">
        <v>0</v>
      </c>
      <c r="E24">
        <v>0</v>
      </c>
      <c r="F24">
        <v>3</v>
      </c>
      <c r="H24">
        <v>0</v>
      </c>
      <c r="I24">
        <v>0</v>
      </c>
      <c r="J24">
        <v>0</v>
      </c>
      <c r="K24">
        <v>0</v>
      </c>
      <c r="L24">
        <v>0</v>
      </c>
      <c r="M24">
        <v>0</v>
      </c>
      <c r="N24">
        <v>0</v>
      </c>
    </row>
    <row r="25" spans="1:14">
      <c r="A25" t="s">
        <v>197</v>
      </c>
      <c r="B25" t="s">
        <v>199</v>
      </c>
      <c r="C25">
        <v>0.03</v>
      </c>
      <c r="D25">
        <v>0</v>
      </c>
      <c r="E25">
        <v>0</v>
      </c>
      <c r="F25">
        <v>6</v>
      </c>
      <c r="H25">
        <v>0</v>
      </c>
      <c r="I25">
        <v>0</v>
      </c>
      <c r="J25">
        <v>0</v>
      </c>
      <c r="K25">
        <v>0</v>
      </c>
      <c r="L25">
        <v>0</v>
      </c>
      <c r="M25">
        <v>0</v>
      </c>
      <c r="N25">
        <v>0</v>
      </c>
    </row>
    <row r="26" spans="1:14">
      <c r="A26" t="s">
        <v>197</v>
      </c>
      <c r="B26" t="s">
        <v>200</v>
      </c>
      <c r="C26">
        <v>0.03</v>
      </c>
      <c r="D26">
        <v>0</v>
      </c>
      <c r="E26">
        <v>0</v>
      </c>
      <c r="F26">
        <v>6</v>
      </c>
      <c r="H26">
        <v>0</v>
      </c>
      <c r="I26">
        <v>0</v>
      </c>
      <c r="J26">
        <v>0</v>
      </c>
      <c r="K26">
        <v>0</v>
      </c>
      <c r="L26">
        <v>0</v>
      </c>
      <c r="M26">
        <v>0</v>
      </c>
      <c r="N26">
        <v>0</v>
      </c>
    </row>
    <row r="27" spans="1:14">
      <c r="A27" t="s">
        <v>197</v>
      </c>
      <c r="B27" t="s">
        <v>201</v>
      </c>
      <c r="C27">
        <v>0.03</v>
      </c>
      <c r="D27">
        <v>0</v>
      </c>
      <c r="E27">
        <v>0</v>
      </c>
      <c r="F27">
        <v>6</v>
      </c>
      <c r="H27">
        <v>0</v>
      </c>
      <c r="I27">
        <v>0</v>
      </c>
      <c r="J27">
        <v>0</v>
      </c>
      <c r="K27">
        <v>0</v>
      </c>
      <c r="L27">
        <v>0</v>
      </c>
      <c r="M27">
        <v>0</v>
      </c>
      <c r="N27">
        <v>0</v>
      </c>
    </row>
    <row r="28" spans="1:14">
      <c r="A28" t="s">
        <v>197</v>
      </c>
      <c r="B28" t="s">
        <v>202</v>
      </c>
      <c r="C28">
        <v>0.06</v>
      </c>
      <c r="D28">
        <v>0</v>
      </c>
      <c r="E28">
        <v>1</v>
      </c>
      <c r="F28">
        <v>3</v>
      </c>
      <c r="H28">
        <v>0</v>
      </c>
      <c r="I28">
        <v>0</v>
      </c>
      <c r="J28">
        <v>0</v>
      </c>
      <c r="K28">
        <v>0</v>
      </c>
      <c r="L28">
        <v>0</v>
      </c>
      <c r="M28">
        <v>0</v>
      </c>
      <c r="N28">
        <v>0</v>
      </c>
    </row>
    <row r="29" spans="1:14">
      <c r="A29" t="s">
        <v>203</v>
      </c>
      <c r="B29" t="s">
        <v>204</v>
      </c>
      <c r="C29">
        <v>0</v>
      </c>
      <c r="D29">
        <v>0</v>
      </c>
      <c r="E29">
        <v>0</v>
      </c>
      <c r="F29">
        <v>0</v>
      </c>
      <c r="H29">
        <v>0</v>
      </c>
      <c r="I29">
        <v>0</v>
      </c>
      <c r="J29">
        <v>0</v>
      </c>
      <c r="K29">
        <v>0</v>
      </c>
      <c r="L29">
        <v>0</v>
      </c>
      <c r="M29">
        <v>0</v>
      </c>
      <c r="N29">
        <v>0</v>
      </c>
    </row>
    <row r="30" spans="1:14">
      <c r="A30" t="s">
        <v>203</v>
      </c>
      <c r="B30" t="s">
        <v>205</v>
      </c>
      <c r="C30">
        <v>0</v>
      </c>
      <c r="D30">
        <v>0</v>
      </c>
      <c r="E30">
        <v>0</v>
      </c>
      <c r="F30">
        <v>0</v>
      </c>
      <c r="H30">
        <v>0</v>
      </c>
      <c r="I30">
        <v>0</v>
      </c>
      <c r="J30">
        <v>0</v>
      </c>
      <c r="K30">
        <v>0</v>
      </c>
      <c r="L30">
        <v>0</v>
      </c>
      <c r="M30">
        <v>0</v>
      </c>
      <c r="N30">
        <v>0</v>
      </c>
    </row>
    <row r="31" spans="1:14">
      <c r="A31" t="s">
        <v>206</v>
      </c>
      <c r="B31" t="s">
        <v>207</v>
      </c>
      <c r="C31">
        <v>0.05</v>
      </c>
      <c r="D31">
        <v>0</v>
      </c>
      <c r="E31">
        <v>1</v>
      </c>
      <c r="F31">
        <v>0</v>
      </c>
      <c r="H31">
        <v>0</v>
      </c>
      <c r="I31">
        <v>0</v>
      </c>
      <c r="J31">
        <v>0</v>
      </c>
      <c r="K31">
        <v>0</v>
      </c>
      <c r="L31">
        <v>0</v>
      </c>
      <c r="M31">
        <v>0</v>
      </c>
      <c r="N31">
        <v>0</v>
      </c>
    </row>
    <row r="32" spans="1:14">
      <c r="A32" t="s">
        <v>206</v>
      </c>
      <c r="B32" t="s">
        <v>208</v>
      </c>
      <c r="C32">
        <v>0.05</v>
      </c>
      <c r="D32">
        <v>0</v>
      </c>
      <c r="E32">
        <v>1</v>
      </c>
      <c r="F32">
        <v>0</v>
      </c>
      <c r="H32">
        <v>0</v>
      </c>
      <c r="I32">
        <v>0</v>
      </c>
      <c r="J32">
        <v>0</v>
      </c>
      <c r="K32">
        <v>0</v>
      </c>
      <c r="L32">
        <v>0</v>
      </c>
      <c r="M32">
        <v>0</v>
      </c>
      <c r="N32">
        <v>0</v>
      </c>
    </row>
    <row r="33" spans="1:16">
      <c r="A33" t="s">
        <v>209</v>
      </c>
      <c r="B33" t="s">
        <v>210</v>
      </c>
      <c r="C33">
        <v>1.56</v>
      </c>
      <c r="D33">
        <v>1</v>
      </c>
      <c r="E33">
        <v>11</v>
      </c>
      <c r="F33">
        <v>2.5</v>
      </c>
      <c r="H33">
        <v>0</v>
      </c>
      <c r="I33">
        <v>0</v>
      </c>
      <c r="J33">
        <v>0</v>
      </c>
      <c r="K33">
        <v>0</v>
      </c>
      <c r="L33">
        <v>0</v>
      </c>
      <c r="M33">
        <v>0</v>
      </c>
      <c r="N33">
        <v>0</v>
      </c>
    </row>
    <row r="34" spans="1:16">
      <c r="A34" t="s">
        <v>209</v>
      </c>
      <c r="B34" t="s">
        <v>211</v>
      </c>
      <c r="C34">
        <v>0</v>
      </c>
      <c r="D34">
        <v>0</v>
      </c>
      <c r="E34">
        <v>0</v>
      </c>
      <c r="F34">
        <v>0</v>
      </c>
      <c r="H34">
        <v>0</v>
      </c>
      <c r="I34">
        <v>0</v>
      </c>
      <c r="J34">
        <v>0</v>
      </c>
      <c r="K34">
        <v>0</v>
      </c>
      <c r="L34">
        <v>0</v>
      </c>
      <c r="M34">
        <v>0</v>
      </c>
      <c r="N34">
        <v>0</v>
      </c>
    </row>
    <row r="35" spans="1:16">
      <c r="A35" t="s">
        <v>209</v>
      </c>
      <c r="B35" t="s">
        <v>212</v>
      </c>
      <c r="C35">
        <v>0.04</v>
      </c>
      <c r="D35">
        <v>0</v>
      </c>
      <c r="E35">
        <v>0</v>
      </c>
      <c r="F35">
        <v>10</v>
      </c>
      <c r="H35">
        <v>0</v>
      </c>
      <c r="I35">
        <v>0</v>
      </c>
      <c r="J35">
        <v>0</v>
      </c>
      <c r="K35">
        <v>0</v>
      </c>
      <c r="L35">
        <v>0</v>
      </c>
      <c r="M35">
        <v>0</v>
      </c>
      <c r="N35">
        <v>0</v>
      </c>
    </row>
    <row r="36" spans="1:16">
      <c r="A36" t="s">
        <v>209</v>
      </c>
      <c r="B36" t="s">
        <v>213</v>
      </c>
      <c r="C36">
        <v>0</v>
      </c>
      <c r="D36">
        <v>0</v>
      </c>
      <c r="E36">
        <v>0</v>
      </c>
      <c r="F36">
        <v>0</v>
      </c>
      <c r="H36">
        <v>0</v>
      </c>
      <c r="I36">
        <v>0</v>
      </c>
      <c r="J36">
        <v>0</v>
      </c>
      <c r="K36">
        <v>0</v>
      </c>
      <c r="L36">
        <v>0</v>
      </c>
      <c r="M36">
        <v>0</v>
      </c>
      <c r="N36">
        <v>0</v>
      </c>
    </row>
    <row r="37" spans="1:16">
      <c r="A37" t="s">
        <v>209</v>
      </c>
      <c r="B37" t="s">
        <v>214</v>
      </c>
      <c r="C37">
        <v>0.19</v>
      </c>
      <c r="D37">
        <v>0</v>
      </c>
      <c r="E37">
        <v>3</v>
      </c>
      <c r="F37">
        <v>9</v>
      </c>
      <c r="H37">
        <v>0</v>
      </c>
      <c r="I37">
        <v>0</v>
      </c>
      <c r="J37">
        <v>0</v>
      </c>
      <c r="K37">
        <v>0</v>
      </c>
      <c r="L37">
        <v>0</v>
      </c>
      <c r="M37">
        <v>0</v>
      </c>
      <c r="N37">
        <v>0</v>
      </c>
    </row>
    <row r="38" spans="1:16">
      <c r="A38" t="s">
        <v>209</v>
      </c>
      <c r="B38" t="s">
        <v>215</v>
      </c>
      <c r="C38">
        <v>0.19</v>
      </c>
      <c r="D38">
        <v>0</v>
      </c>
      <c r="E38">
        <v>3</v>
      </c>
      <c r="F38">
        <v>10</v>
      </c>
      <c r="H38">
        <v>0</v>
      </c>
      <c r="I38">
        <v>0</v>
      </c>
      <c r="J38">
        <v>0</v>
      </c>
      <c r="K38">
        <v>0</v>
      </c>
      <c r="L38">
        <v>0</v>
      </c>
      <c r="M38">
        <v>0</v>
      </c>
      <c r="N38">
        <v>0</v>
      </c>
    </row>
    <row r="39" spans="1:16">
      <c r="A39" t="s">
        <v>209</v>
      </c>
      <c r="B39" t="s">
        <v>216</v>
      </c>
      <c r="C39">
        <v>0.15</v>
      </c>
      <c r="D39">
        <v>0</v>
      </c>
      <c r="E39">
        <v>3</v>
      </c>
      <c r="F39">
        <v>0.75</v>
      </c>
      <c r="H39">
        <v>0</v>
      </c>
      <c r="I39">
        <v>0</v>
      </c>
      <c r="J39">
        <v>0</v>
      </c>
      <c r="K39">
        <v>0</v>
      </c>
      <c r="L39">
        <v>0</v>
      </c>
      <c r="M39">
        <v>0</v>
      </c>
      <c r="N39">
        <v>0</v>
      </c>
    </row>
    <row r="40" spans="1:16">
      <c r="A40" t="s">
        <v>209</v>
      </c>
      <c r="B40" t="s">
        <v>217</v>
      </c>
      <c r="C40">
        <v>0.15</v>
      </c>
      <c r="D40">
        <v>0</v>
      </c>
      <c r="E40">
        <v>3</v>
      </c>
      <c r="F40">
        <v>0</v>
      </c>
      <c r="H40">
        <v>0</v>
      </c>
      <c r="I40">
        <v>6</v>
      </c>
      <c r="J40">
        <v>0.75</v>
      </c>
      <c r="K40">
        <v>0.75</v>
      </c>
      <c r="L40">
        <v>0</v>
      </c>
      <c r="M40">
        <v>0</v>
      </c>
      <c r="N40">
        <v>6</v>
      </c>
    </row>
    <row r="41" spans="1:16">
      <c r="A41" t="s">
        <v>209</v>
      </c>
      <c r="B41" t="s">
        <v>218</v>
      </c>
      <c r="C41">
        <v>0.08</v>
      </c>
      <c r="D41">
        <v>0</v>
      </c>
      <c r="E41">
        <v>1</v>
      </c>
      <c r="F41">
        <v>6</v>
      </c>
      <c r="H41">
        <v>0</v>
      </c>
      <c r="I41">
        <v>0</v>
      </c>
      <c r="J41">
        <v>0</v>
      </c>
      <c r="K41">
        <v>0</v>
      </c>
      <c r="L41">
        <v>0</v>
      </c>
      <c r="M41">
        <v>0</v>
      </c>
      <c r="N41">
        <v>0</v>
      </c>
    </row>
    <row r="42" spans="1:16">
      <c r="A42" t="s">
        <v>209</v>
      </c>
      <c r="B42" t="s">
        <v>219</v>
      </c>
      <c r="C42">
        <v>0</v>
      </c>
      <c r="D42">
        <v>0</v>
      </c>
      <c r="E42">
        <v>0</v>
      </c>
      <c r="F42">
        <v>0</v>
      </c>
      <c r="H42">
        <v>0</v>
      </c>
      <c r="I42">
        <v>0</v>
      </c>
      <c r="J42">
        <v>0</v>
      </c>
      <c r="K42">
        <v>0</v>
      </c>
      <c r="L42">
        <v>0</v>
      </c>
      <c r="M42">
        <v>0</v>
      </c>
      <c r="N42">
        <v>0</v>
      </c>
    </row>
    <row r="43" spans="1:16">
      <c r="A43" t="s">
        <v>209</v>
      </c>
      <c r="B43" t="s">
        <v>220</v>
      </c>
      <c r="C43">
        <v>0.4</v>
      </c>
      <c r="D43">
        <v>0</v>
      </c>
      <c r="E43">
        <v>8</v>
      </c>
      <c r="F43">
        <v>0</v>
      </c>
      <c r="H43">
        <v>0</v>
      </c>
      <c r="I43">
        <v>0</v>
      </c>
      <c r="J43">
        <v>0</v>
      </c>
      <c r="K43">
        <v>0</v>
      </c>
      <c r="L43">
        <v>0</v>
      </c>
      <c r="M43">
        <v>0</v>
      </c>
      <c r="N43">
        <v>0</v>
      </c>
    </row>
    <row r="44" spans="1:16">
      <c r="A44" t="s">
        <v>209</v>
      </c>
      <c r="B44" t="s">
        <v>221</v>
      </c>
      <c r="C44">
        <v>0.95</v>
      </c>
      <c r="D44">
        <v>0</v>
      </c>
      <c r="E44">
        <v>19</v>
      </c>
      <c r="F44">
        <v>0</v>
      </c>
      <c r="H44">
        <v>0</v>
      </c>
      <c r="I44">
        <v>0</v>
      </c>
      <c r="J44">
        <v>0</v>
      </c>
      <c r="K44">
        <v>0</v>
      </c>
      <c r="L44">
        <v>0</v>
      </c>
      <c r="M44">
        <v>0</v>
      </c>
      <c r="N44">
        <v>0</v>
      </c>
    </row>
    <row r="45" spans="1:16">
      <c r="A45" t="s">
        <v>209</v>
      </c>
      <c r="B45" t="s">
        <v>222</v>
      </c>
      <c r="C45">
        <v>0.03</v>
      </c>
      <c r="D45">
        <v>0</v>
      </c>
      <c r="E45">
        <v>0</v>
      </c>
      <c r="F45">
        <v>6</v>
      </c>
      <c r="H45">
        <v>0</v>
      </c>
      <c r="I45">
        <v>0</v>
      </c>
      <c r="J45">
        <v>0</v>
      </c>
      <c r="K45">
        <v>0</v>
      </c>
      <c r="L45">
        <v>0</v>
      </c>
      <c r="M45">
        <v>0</v>
      </c>
      <c r="N45">
        <v>0</v>
      </c>
    </row>
    <row r="46" spans="1:16">
      <c r="A46" t="s">
        <v>209</v>
      </c>
      <c r="B46" t="s">
        <v>223</v>
      </c>
      <c r="C46">
        <v>0.24</v>
      </c>
      <c r="D46">
        <v>0</v>
      </c>
      <c r="E46">
        <v>4</v>
      </c>
      <c r="F46">
        <v>9.25</v>
      </c>
      <c r="H46">
        <v>0</v>
      </c>
      <c r="I46">
        <v>0</v>
      </c>
      <c r="J46">
        <v>0</v>
      </c>
      <c r="K46">
        <v>0</v>
      </c>
      <c r="L46">
        <v>0</v>
      </c>
      <c r="M46">
        <v>0</v>
      </c>
      <c r="N46">
        <v>0</v>
      </c>
    </row>
    <row r="47" spans="1:16">
      <c r="A47" t="s">
        <v>209</v>
      </c>
      <c r="B47" t="s">
        <v>224</v>
      </c>
      <c r="C47">
        <v>0.62</v>
      </c>
      <c r="D47">
        <v>0</v>
      </c>
      <c r="E47">
        <v>12</v>
      </c>
      <c r="F47">
        <v>4.5</v>
      </c>
      <c r="G47" t="s">
        <v>64</v>
      </c>
      <c r="H47">
        <v>2</v>
      </c>
      <c r="I47">
        <v>5</v>
      </c>
      <c r="J47">
        <v>2.625</v>
      </c>
      <c r="K47">
        <v>2</v>
      </c>
      <c r="L47">
        <v>0.625</v>
      </c>
      <c r="M47">
        <v>2</v>
      </c>
      <c r="N47">
        <v>0</v>
      </c>
      <c r="O47">
        <v>0</v>
      </c>
      <c r="P47">
        <v>5</v>
      </c>
    </row>
    <row r="48" spans="1:16">
      <c r="A48" t="s">
        <v>209</v>
      </c>
      <c r="B48" t="s">
        <v>225</v>
      </c>
      <c r="C48">
        <v>0.26</v>
      </c>
      <c r="D48">
        <v>0</v>
      </c>
      <c r="E48">
        <v>5</v>
      </c>
      <c r="F48">
        <v>1.5</v>
      </c>
      <c r="H48">
        <v>0</v>
      </c>
      <c r="I48">
        <v>0</v>
      </c>
      <c r="J48">
        <v>0</v>
      </c>
      <c r="K48">
        <v>0</v>
      </c>
      <c r="L48">
        <v>0</v>
      </c>
      <c r="M48">
        <v>0</v>
      </c>
      <c r="N48">
        <v>0</v>
      </c>
    </row>
    <row r="49" spans="1:14">
      <c r="A49" t="s">
        <v>209</v>
      </c>
      <c r="B49" t="s">
        <v>226</v>
      </c>
      <c r="C49">
        <v>0.71</v>
      </c>
      <c r="D49">
        <v>0</v>
      </c>
      <c r="E49">
        <v>14</v>
      </c>
      <c r="F49">
        <v>3</v>
      </c>
      <c r="H49">
        <v>0</v>
      </c>
      <c r="I49">
        <v>0</v>
      </c>
      <c r="J49">
        <v>0</v>
      </c>
      <c r="K49">
        <v>0</v>
      </c>
      <c r="L49">
        <v>0</v>
      </c>
      <c r="M49">
        <v>0</v>
      </c>
      <c r="N49">
        <v>0</v>
      </c>
    </row>
    <row r="50" spans="1:14">
      <c r="A50" t="s">
        <v>209</v>
      </c>
      <c r="B50" t="s">
        <v>227</v>
      </c>
      <c r="C50">
        <v>0.2</v>
      </c>
      <c r="D50">
        <v>0</v>
      </c>
      <c r="E50">
        <v>3</v>
      </c>
      <c r="F50">
        <v>11</v>
      </c>
      <c r="H50">
        <v>0</v>
      </c>
      <c r="I50">
        <v>0</v>
      </c>
      <c r="J50">
        <v>0</v>
      </c>
      <c r="K50">
        <v>0</v>
      </c>
      <c r="L50">
        <v>0</v>
      </c>
      <c r="M50">
        <v>0</v>
      </c>
      <c r="N50">
        <v>0</v>
      </c>
    </row>
    <row r="51" spans="1:14">
      <c r="A51" t="s">
        <v>209</v>
      </c>
      <c r="B51" t="s">
        <v>511</v>
      </c>
      <c r="C51">
        <v>5.76</v>
      </c>
      <c r="D51">
        <v>5</v>
      </c>
      <c r="E51">
        <v>15</v>
      </c>
      <c r="F51">
        <v>1.5</v>
      </c>
      <c r="H51">
        <v>0</v>
      </c>
      <c r="I51">
        <v>0</v>
      </c>
      <c r="J51">
        <v>0</v>
      </c>
      <c r="K51">
        <v>0</v>
      </c>
      <c r="L51">
        <v>0</v>
      </c>
      <c r="M51">
        <v>0</v>
      </c>
      <c r="N51">
        <v>0</v>
      </c>
    </row>
    <row r="52" spans="1:14">
      <c r="A52" t="s">
        <v>209</v>
      </c>
      <c r="B52" t="s">
        <v>230</v>
      </c>
      <c r="C52">
        <v>0.45</v>
      </c>
      <c r="D52">
        <v>0</v>
      </c>
      <c r="E52">
        <v>9</v>
      </c>
      <c r="F52">
        <v>0</v>
      </c>
      <c r="H52">
        <v>0</v>
      </c>
      <c r="I52">
        <v>0</v>
      </c>
      <c r="J52">
        <v>0</v>
      </c>
      <c r="K52">
        <v>0</v>
      </c>
      <c r="L52">
        <v>0</v>
      </c>
      <c r="M52">
        <v>0</v>
      </c>
      <c r="N52">
        <v>0</v>
      </c>
    </row>
    <row r="53" spans="1:14">
      <c r="A53" t="s">
        <v>209</v>
      </c>
      <c r="B53" t="s">
        <v>231</v>
      </c>
      <c r="C53">
        <v>0.45</v>
      </c>
      <c r="D53">
        <v>0</v>
      </c>
      <c r="E53">
        <v>9</v>
      </c>
      <c r="F53">
        <v>0</v>
      </c>
      <c r="H53">
        <v>0</v>
      </c>
      <c r="I53">
        <v>0</v>
      </c>
      <c r="J53">
        <v>0</v>
      </c>
      <c r="K53">
        <v>0</v>
      </c>
      <c r="L53">
        <v>0</v>
      </c>
      <c r="M53">
        <v>0</v>
      </c>
      <c r="N53">
        <v>0</v>
      </c>
    </row>
    <row r="54" spans="1:14">
      <c r="A54" t="s">
        <v>209</v>
      </c>
      <c r="B54" t="s">
        <v>232</v>
      </c>
      <c r="C54">
        <v>1.62</v>
      </c>
      <c r="D54">
        <v>1</v>
      </c>
      <c r="E54">
        <v>12</v>
      </c>
      <c r="F54">
        <v>6</v>
      </c>
      <c r="H54">
        <v>0</v>
      </c>
      <c r="I54">
        <v>0</v>
      </c>
      <c r="J54">
        <v>0</v>
      </c>
      <c r="K54">
        <v>0</v>
      </c>
      <c r="L54">
        <v>0</v>
      </c>
      <c r="M54">
        <v>0</v>
      </c>
      <c r="N54">
        <v>0</v>
      </c>
    </row>
    <row r="55" spans="1:14">
      <c r="A55" t="s">
        <v>209</v>
      </c>
      <c r="B55" t="s">
        <v>233</v>
      </c>
      <c r="C55">
        <v>0.3</v>
      </c>
      <c r="D55">
        <v>0</v>
      </c>
      <c r="E55">
        <v>6</v>
      </c>
      <c r="F55">
        <v>0</v>
      </c>
      <c r="H55">
        <v>0</v>
      </c>
      <c r="I55">
        <v>0</v>
      </c>
      <c r="J55">
        <v>0</v>
      </c>
      <c r="K55">
        <v>0</v>
      </c>
      <c r="L55">
        <v>0</v>
      </c>
      <c r="M55">
        <v>0</v>
      </c>
      <c r="N55">
        <v>0</v>
      </c>
    </row>
    <row r="56" spans="1:14">
      <c r="A56" t="s">
        <v>209</v>
      </c>
      <c r="B56" t="s">
        <v>234</v>
      </c>
      <c r="C56">
        <v>1.7</v>
      </c>
      <c r="D56">
        <v>1</v>
      </c>
      <c r="E56">
        <v>14</v>
      </c>
      <c r="F56">
        <v>0</v>
      </c>
      <c r="H56">
        <v>0</v>
      </c>
      <c r="I56">
        <v>0</v>
      </c>
      <c r="J56">
        <v>0</v>
      </c>
      <c r="K56">
        <v>0</v>
      </c>
      <c r="L56">
        <v>0</v>
      </c>
      <c r="M56">
        <v>0</v>
      </c>
      <c r="N56">
        <v>0</v>
      </c>
    </row>
    <row r="57" spans="1:14">
      <c r="A57" t="s">
        <v>209</v>
      </c>
      <c r="B57" t="s">
        <v>235</v>
      </c>
      <c r="C57">
        <v>2</v>
      </c>
      <c r="D57">
        <v>2</v>
      </c>
      <c r="E57">
        <v>0</v>
      </c>
      <c r="F57">
        <v>0</v>
      </c>
      <c r="H57">
        <v>0</v>
      </c>
      <c r="I57">
        <v>0</v>
      </c>
      <c r="J57">
        <v>0</v>
      </c>
      <c r="K57">
        <v>0</v>
      </c>
      <c r="L57">
        <v>0</v>
      </c>
      <c r="M57">
        <v>0</v>
      </c>
      <c r="N57">
        <v>0</v>
      </c>
    </row>
    <row r="58" spans="1:14">
      <c r="A58" t="s">
        <v>209</v>
      </c>
      <c r="B58" t="s">
        <v>236</v>
      </c>
      <c r="C58">
        <v>3.17</v>
      </c>
      <c r="D58">
        <v>3</v>
      </c>
      <c r="E58">
        <v>3</v>
      </c>
      <c r="F58">
        <v>4</v>
      </c>
      <c r="H58">
        <v>0</v>
      </c>
      <c r="I58">
        <v>0</v>
      </c>
      <c r="J58">
        <v>0</v>
      </c>
      <c r="K58">
        <v>0</v>
      </c>
      <c r="L58">
        <v>0</v>
      </c>
      <c r="M58">
        <v>0</v>
      </c>
      <c r="N58">
        <v>0</v>
      </c>
    </row>
    <row r="59" spans="1:14">
      <c r="A59" t="s">
        <v>209</v>
      </c>
      <c r="B59" t="s">
        <v>237</v>
      </c>
      <c r="C59">
        <v>0.51</v>
      </c>
      <c r="D59">
        <v>0</v>
      </c>
      <c r="E59">
        <v>10</v>
      </c>
      <c r="F59">
        <v>2.5</v>
      </c>
      <c r="H59">
        <v>0</v>
      </c>
      <c r="I59">
        <v>0</v>
      </c>
      <c r="J59">
        <v>0</v>
      </c>
      <c r="K59">
        <v>0</v>
      </c>
      <c r="L59">
        <v>0</v>
      </c>
      <c r="M59">
        <v>0</v>
      </c>
      <c r="N59">
        <v>0</v>
      </c>
    </row>
    <row r="60" spans="1:14">
      <c r="A60" t="s">
        <v>209</v>
      </c>
      <c r="B60" t="s">
        <v>238</v>
      </c>
      <c r="C60">
        <v>0</v>
      </c>
      <c r="D60">
        <v>0</v>
      </c>
      <c r="E60">
        <v>0</v>
      </c>
      <c r="F60">
        <v>0</v>
      </c>
      <c r="H60">
        <v>0</v>
      </c>
      <c r="I60">
        <v>0</v>
      </c>
      <c r="J60">
        <v>0</v>
      </c>
      <c r="K60">
        <v>0</v>
      </c>
      <c r="L60">
        <v>0</v>
      </c>
      <c r="M60">
        <v>0</v>
      </c>
      <c r="N60">
        <v>0</v>
      </c>
    </row>
    <row r="61" spans="1:14">
      <c r="A61" t="s">
        <v>209</v>
      </c>
      <c r="B61" t="s">
        <v>239</v>
      </c>
      <c r="C61">
        <v>0.31</v>
      </c>
      <c r="D61">
        <v>0</v>
      </c>
      <c r="E61">
        <v>6</v>
      </c>
      <c r="F61">
        <v>1.5</v>
      </c>
      <c r="H61">
        <v>0</v>
      </c>
      <c r="I61">
        <v>0</v>
      </c>
      <c r="J61">
        <v>0</v>
      </c>
      <c r="K61">
        <v>0</v>
      </c>
      <c r="L61">
        <v>0</v>
      </c>
      <c r="M61">
        <v>0</v>
      </c>
      <c r="N61">
        <v>0</v>
      </c>
    </row>
    <row r="62" spans="1:14">
      <c r="A62" t="s">
        <v>209</v>
      </c>
      <c r="B62" t="s">
        <v>240</v>
      </c>
      <c r="C62">
        <v>0.52</v>
      </c>
      <c r="D62">
        <v>0</v>
      </c>
      <c r="E62">
        <v>10</v>
      </c>
      <c r="F62">
        <v>5</v>
      </c>
      <c r="H62">
        <v>0</v>
      </c>
      <c r="I62">
        <v>0</v>
      </c>
      <c r="J62">
        <v>0</v>
      </c>
      <c r="K62">
        <v>0</v>
      </c>
      <c r="L62">
        <v>0</v>
      </c>
      <c r="M62">
        <v>0</v>
      </c>
      <c r="N62">
        <v>0</v>
      </c>
    </row>
    <row r="63" spans="1:14">
      <c r="A63" t="s">
        <v>209</v>
      </c>
      <c r="B63" t="s">
        <v>241</v>
      </c>
      <c r="C63">
        <v>0.09</v>
      </c>
      <c r="D63">
        <v>0</v>
      </c>
      <c r="E63">
        <v>1</v>
      </c>
      <c r="F63">
        <v>9</v>
      </c>
      <c r="H63">
        <v>0</v>
      </c>
      <c r="I63">
        <v>0</v>
      </c>
      <c r="J63">
        <v>0</v>
      </c>
      <c r="K63">
        <v>0</v>
      </c>
      <c r="L63">
        <v>0</v>
      </c>
      <c r="M63">
        <v>0</v>
      </c>
      <c r="N63">
        <v>0</v>
      </c>
    </row>
    <row r="64" spans="1:14">
      <c r="A64" t="s">
        <v>209</v>
      </c>
      <c r="B64" t="s">
        <v>242</v>
      </c>
      <c r="C64">
        <v>0.11</v>
      </c>
      <c r="D64">
        <v>0</v>
      </c>
      <c r="E64">
        <v>2</v>
      </c>
      <c r="F64">
        <v>2</v>
      </c>
      <c r="H64">
        <v>0</v>
      </c>
      <c r="I64">
        <v>0</v>
      </c>
      <c r="J64">
        <v>0</v>
      </c>
      <c r="K64">
        <v>0</v>
      </c>
      <c r="L64">
        <v>0</v>
      </c>
      <c r="M64">
        <v>0</v>
      </c>
      <c r="N64">
        <v>0</v>
      </c>
    </row>
    <row r="65" spans="1:24">
      <c r="A65" t="s">
        <v>209</v>
      </c>
      <c r="B65" t="s">
        <v>243</v>
      </c>
      <c r="C65">
        <v>7.0000000000000007E-2</v>
      </c>
      <c r="D65">
        <v>0</v>
      </c>
      <c r="E65">
        <v>1</v>
      </c>
      <c r="F65">
        <v>3.75</v>
      </c>
      <c r="H65">
        <v>0</v>
      </c>
      <c r="I65">
        <v>0</v>
      </c>
      <c r="J65">
        <v>0</v>
      </c>
      <c r="K65">
        <v>0</v>
      </c>
      <c r="L65">
        <v>0</v>
      </c>
      <c r="M65">
        <v>0</v>
      </c>
      <c r="N65">
        <v>0</v>
      </c>
    </row>
    <row r="66" spans="1:24">
      <c r="A66" t="s">
        <v>209</v>
      </c>
      <c r="B66" t="s">
        <v>244</v>
      </c>
      <c r="C66">
        <v>0.02</v>
      </c>
      <c r="D66">
        <v>0</v>
      </c>
      <c r="E66">
        <v>0</v>
      </c>
      <c r="F66">
        <v>4</v>
      </c>
      <c r="H66">
        <v>0</v>
      </c>
      <c r="I66">
        <v>0</v>
      </c>
      <c r="J66">
        <v>0</v>
      </c>
      <c r="K66">
        <v>0</v>
      </c>
      <c r="L66">
        <v>0</v>
      </c>
      <c r="M66">
        <v>0</v>
      </c>
      <c r="N66">
        <v>0</v>
      </c>
    </row>
    <row r="67" spans="1:24">
      <c r="A67" t="s">
        <v>209</v>
      </c>
      <c r="B67" t="s">
        <v>245</v>
      </c>
      <c r="C67">
        <v>0.1</v>
      </c>
      <c r="D67">
        <v>0</v>
      </c>
      <c r="E67">
        <v>2</v>
      </c>
      <c r="F67">
        <v>0</v>
      </c>
      <c r="H67">
        <v>0</v>
      </c>
      <c r="I67">
        <v>0</v>
      </c>
      <c r="J67">
        <v>0</v>
      </c>
      <c r="K67">
        <v>0</v>
      </c>
      <c r="L67">
        <v>0</v>
      </c>
      <c r="M67">
        <v>0</v>
      </c>
      <c r="N67">
        <v>0</v>
      </c>
    </row>
    <row r="68" spans="1:24">
      <c r="A68" t="s">
        <v>209</v>
      </c>
      <c r="B68" t="s">
        <v>246</v>
      </c>
      <c r="C68">
        <v>0.03</v>
      </c>
      <c r="D68">
        <v>0</v>
      </c>
      <c r="E68">
        <v>0</v>
      </c>
      <c r="F68">
        <v>8</v>
      </c>
      <c r="H68">
        <v>0</v>
      </c>
      <c r="I68">
        <v>0</v>
      </c>
      <c r="J68">
        <v>0</v>
      </c>
      <c r="K68">
        <v>0</v>
      </c>
      <c r="L68">
        <v>0</v>
      </c>
      <c r="M68">
        <v>0</v>
      </c>
      <c r="N68">
        <v>0</v>
      </c>
    </row>
    <row r="69" spans="1:24">
      <c r="A69" t="s">
        <v>209</v>
      </c>
      <c r="B69" t="s">
        <v>247</v>
      </c>
      <c r="C69">
        <v>1.2</v>
      </c>
      <c r="D69">
        <v>1</v>
      </c>
      <c r="E69">
        <v>4</v>
      </c>
      <c r="F69">
        <v>0</v>
      </c>
      <c r="H69">
        <v>0</v>
      </c>
      <c r="I69">
        <v>0</v>
      </c>
      <c r="J69">
        <v>0</v>
      </c>
      <c r="K69">
        <v>0</v>
      </c>
      <c r="L69">
        <v>0</v>
      </c>
      <c r="M69">
        <v>0</v>
      </c>
      <c r="N69">
        <v>0</v>
      </c>
    </row>
    <row r="70" spans="1:24">
      <c r="A70" t="s">
        <v>209</v>
      </c>
      <c r="B70" t="s">
        <v>248</v>
      </c>
      <c r="C70">
        <v>0.15</v>
      </c>
      <c r="D70">
        <v>0</v>
      </c>
      <c r="E70">
        <v>3</v>
      </c>
      <c r="F70">
        <v>0</v>
      </c>
      <c r="H70">
        <v>0</v>
      </c>
      <c r="I70">
        <v>0</v>
      </c>
      <c r="J70">
        <v>0</v>
      </c>
      <c r="K70">
        <v>0</v>
      </c>
      <c r="L70">
        <v>0</v>
      </c>
      <c r="M70">
        <v>0</v>
      </c>
      <c r="N70">
        <v>0</v>
      </c>
    </row>
    <row r="71" spans="1:24">
      <c r="A71" t="s">
        <v>209</v>
      </c>
      <c r="B71" t="s">
        <v>249</v>
      </c>
      <c r="C71">
        <v>2.76</v>
      </c>
      <c r="D71">
        <v>2</v>
      </c>
      <c r="E71">
        <v>15</v>
      </c>
      <c r="F71">
        <v>3</v>
      </c>
      <c r="H71">
        <v>0</v>
      </c>
      <c r="I71">
        <v>0</v>
      </c>
      <c r="J71">
        <v>0</v>
      </c>
      <c r="K71">
        <v>0</v>
      </c>
      <c r="L71">
        <v>0</v>
      </c>
      <c r="M71">
        <v>0</v>
      </c>
      <c r="N71">
        <v>0</v>
      </c>
    </row>
    <row r="72" spans="1:24">
      <c r="A72" t="s">
        <v>209</v>
      </c>
      <c r="B72" t="s">
        <v>512</v>
      </c>
      <c r="C72">
        <v>16.27</v>
      </c>
      <c r="D72">
        <v>16</v>
      </c>
      <c r="E72">
        <v>5</v>
      </c>
      <c r="F72">
        <v>4.75</v>
      </c>
      <c r="H72">
        <v>0</v>
      </c>
      <c r="I72">
        <v>0</v>
      </c>
      <c r="J72">
        <v>0</v>
      </c>
      <c r="K72">
        <v>0</v>
      </c>
      <c r="L72">
        <v>0</v>
      </c>
      <c r="M72">
        <v>0</v>
      </c>
      <c r="N72">
        <v>0</v>
      </c>
    </row>
    <row r="73" spans="1:24">
      <c r="A73" t="s">
        <v>252</v>
      </c>
      <c r="B73" t="s">
        <v>513</v>
      </c>
      <c r="C73">
        <v>12.06</v>
      </c>
      <c r="D73">
        <v>12</v>
      </c>
      <c r="E73">
        <v>1</v>
      </c>
      <c r="F73">
        <v>3.5</v>
      </c>
      <c r="G73" t="s">
        <v>62</v>
      </c>
      <c r="H73">
        <v>41.5</v>
      </c>
      <c r="I73">
        <v>3</v>
      </c>
      <c r="J73">
        <v>41.875</v>
      </c>
      <c r="K73">
        <v>42.3125</v>
      </c>
      <c r="L73">
        <v>-0.4375</v>
      </c>
      <c r="M73">
        <v>42</v>
      </c>
      <c r="N73">
        <v>2.5</v>
      </c>
      <c r="O73">
        <v>5.5</v>
      </c>
      <c r="P73">
        <v>0</v>
      </c>
      <c r="Q73">
        <v>17.5</v>
      </c>
      <c r="R73">
        <v>3</v>
      </c>
      <c r="S73">
        <v>18.5</v>
      </c>
      <c r="T73">
        <v>0</v>
      </c>
      <c r="U73">
        <v>5</v>
      </c>
      <c r="V73">
        <v>0</v>
      </c>
      <c r="W73">
        <v>6</v>
      </c>
      <c r="X73">
        <v>8</v>
      </c>
    </row>
    <row r="74" spans="1:24">
      <c r="A74" t="s">
        <v>252</v>
      </c>
      <c r="B74" t="s">
        <v>514</v>
      </c>
      <c r="C74">
        <v>1.06</v>
      </c>
      <c r="D74">
        <v>1</v>
      </c>
      <c r="E74">
        <v>1</v>
      </c>
      <c r="F74">
        <v>3</v>
      </c>
      <c r="G74" t="s">
        <v>63</v>
      </c>
      <c r="H74">
        <v>6</v>
      </c>
      <c r="I74">
        <v>3</v>
      </c>
      <c r="J74">
        <v>6.375</v>
      </c>
      <c r="K74">
        <v>6.375</v>
      </c>
      <c r="L74">
        <v>0</v>
      </c>
      <c r="M74">
        <v>6</v>
      </c>
      <c r="N74">
        <v>3</v>
      </c>
      <c r="U74">
        <v>3</v>
      </c>
      <c r="V74">
        <v>4</v>
      </c>
    </row>
    <row r="75" spans="1:24">
      <c r="A75" t="s">
        <v>252</v>
      </c>
      <c r="B75" t="s">
        <v>255</v>
      </c>
      <c r="C75">
        <v>7.0000000000000007E-2</v>
      </c>
      <c r="D75">
        <v>0</v>
      </c>
      <c r="E75">
        <v>1</v>
      </c>
      <c r="F75">
        <v>4</v>
      </c>
      <c r="G75" t="s">
        <v>65</v>
      </c>
      <c r="H75">
        <v>0</v>
      </c>
      <c r="I75">
        <v>4</v>
      </c>
      <c r="J75">
        <v>0.5</v>
      </c>
      <c r="K75">
        <v>0.5</v>
      </c>
      <c r="L75">
        <v>0</v>
      </c>
      <c r="M75">
        <v>0</v>
      </c>
      <c r="N75">
        <v>4</v>
      </c>
    </row>
    <row r="76" spans="1:24">
      <c r="A76" t="s">
        <v>252</v>
      </c>
      <c r="B76" t="s">
        <v>515</v>
      </c>
      <c r="C76">
        <v>1.83</v>
      </c>
      <c r="D76">
        <v>1</v>
      </c>
      <c r="E76">
        <v>16</v>
      </c>
      <c r="F76">
        <v>8</v>
      </c>
      <c r="H76">
        <v>11</v>
      </c>
      <c r="I76">
        <v>0</v>
      </c>
      <c r="J76">
        <v>11</v>
      </c>
      <c r="K76">
        <v>11</v>
      </c>
      <c r="L76">
        <v>0</v>
      </c>
      <c r="M76">
        <v>11</v>
      </c>
      <c r="N76">
        <v>0</v>
      </c>
      <c r="U76">
        <v>3</v>
      </c>
      <c r="V76">
        <v>4</v>
      </c>
    </row>
    <row r="77" spans="1:24">
      <c r="A77" t="s">
        <v>252</v>
      </c>
      <c r="B77" t="s">
        <v>516</v>
      </c>
      <c r="C77">
        <v>6.49</v>
      </c>
      <c r="D77">
        <v>6</v>
      </c>
      <c r="E77">
        <v>9</v>
      </c>
      <c r="F77">
        <v>9</v>
      </c>
      <c r="G77" t="s">
        <v>67</v>
      </c>
      <c r="H77">
        <v>34</v>
      </c>
      <c r="I77">
        <v>1</v>
      </c>
      <c r="J77">
        <v>34.125</v>
      </c>
      <c r="K77">
        <v>34.125</v>
      </c>
      <c r="L77">
        <v>0</v>
      </c>
      <c r="M77">
        <v>34</v>
      </c>
      <c r="N77">
        <v>1</v>
      </c>
      <c r="O77">
        <v>10</v>
      </c>
      <c r="P77">
        <v>1</v>
      </c>
      <c r="Q77">
        <v>24</v>
      </c>
      <c r="R77">
        <v>0</v>
      </c>
      <c r="U77">
        <v>3</v>
      </c>
      <c r="V77">
        <v>4</v>
      </c>
      <c r="W77">
        <v>4</v>
      </c>
      <c r="X77">
        <v>0</v>
      </c>
    </row>
    <row r="78" spans="1:24">
      <c r="A78" t="s">
        <v>252</v>
      </c>
      <c r="B78" t="s">
        <v>517</v>
      </c>
      <c r="C78">
        <v>4.16</v>
      </c>
      <c r="D78">
        <v>4</v>
      </c>
      <c r="E78">
        <v>3</v>
      </c>
      <c r="F78">
        <v>2</v>
      </c>
      <c r="G78" t="s">
        <v>68</v>
      </c>
      <c r="H78">
        <v>14</v>
      </c>
      <c r="I78">
        <v>2</v>
      </c>
      <c r="J78">
        <v>14.25</v>
      </c>
      <c r="K78">
        <v>34.75</v>
      </c>
      <c r="L78">
        <v>-20.5</v>
      </c>
      <c r="M78">
        <v>34.5</v>
      </c>
      <c r="N78">
        <v>2</v>
      </c>
      <c r="O78">
        <v>14</v>
      </c>
      <c r="P78">
        <v>2</v>
      </c>
      <c r="U78">
        <v>2</v>
      </c>
      <c r="V78">
        <v>0</v>
      </c>
      <c r="W78">
        <v>2</v>
      </c>
      <c r="X78">
        <v>8</v>
      </c>
    </row>
    <row r="79" spans="1:24">
      <c r="A79" t="s">
        <v>252</v>
      </c>
      <c r="B79" t="s">
        <v>518</v>
      </c>
      <c r="C79">
        <v>1.04</v>
      </c>
      <c r="D79">
        <v>1</v>
      </c>
      <c r="E79">
        <v>0</v>
      </c>
      <c r="F79">
        <v>9</v>
      </c>
      <c r="G79" t="s">
        <v>69</v>
      </c>
      <c r="H79">
        <v>9</v>
      </c>
      <c r="I79">
        <v>5</v>
      </c>
      <c r="J79">
        <v>9.625</v>
      </c>
      <c r="K79">
        <v>9.625</v>
      </c>
      <c r="L79">
        <v>0</v>
      </c>
      <c r="M79">
        <v>9.5</v>
      </c>
      <c r="N79">
        <v>1</v>
      </c>
      <c r="O79">
        <v>7</v>
      </c>
      <c r="P79">
        <v>3</v>
      </c>
      <c r="Q79">
        <v>2</v>
      </c>
      <c r="R79">
        <v>2</v>
      </c>
      <c r="U79">
        <v>2</v>
      </c>
      <c r="V79">
        <v>0</v>
      </c>
      <c r="W79">
        <v>2</v>
      </c>
      <c r="X79">
        <v>8</v>
      </c>
    </row>
    <row r="80" spans="1:24">
      <c r="A80" t="s">
        <v>252</v>
      </c>
      <c r="B80" t="s">
        <v>519</v>
      </c>
      <c r="C80">
        <v>1.25</v>
      </c>
      <c r="D80">
        <v>1</v>
      </c>
      <c r="E80">
        <v>5</v>
      </c>
      <c r="F80">
        <v>0</v>
      </c>
      <c r="G80" t="s">
        <v>70</v>
      </c>
      <c r="H80">
        <v>14</v>
      </c>
      <c r="I80">
        <v>3</v>
      </c>
      <c r="J80">
        <v>14.375</v>
      </c>
      <c r="K80">
        <v>14.375</v>
      </c>
      <c r="L80">
        <v>0</v>
      </c>
      <c r="M80">
        <v>14</v>
      </c>
      <c r="N80">
        <v>3</v>
      </c>
      <c r="O80">
        <v>8</v>
      </c>
      <c r="P80">
        <v>0</v>
      </c>
      <c r="Q80">
        <v>6</v>
      </c>
      <c r="R80">
        <v>3</v>
      </c>
      <c r="U80">
        <v>1</v>
      </c>
      <c r="V80">
        <v>4</v>
      </c>
    </row>
    <row r="81" spans="1:14">
      <c r="A81" t="s">
        <v>262</v>
      </c>
      <c r="B81" t="s">
        <v>263</v>
      </c>
      <c r="C81">
        <v>0.5</v>
      </c>
      <c r="D81">
        <v>0</v>
      </c>
      <c r="E81">
        <v>10</v>
      </c>
      <c r="F81">
        <v>0</v>
      </c>
      <c r="H81">
        <v>0</v>
      </c>
      <c r="I81">
        <v>0</v>
      </c>
      <c r="J81">
        <v>0</v>
      </c>
      <c r="K81">
        <v>0</v>
      </c>
      <c r="L81">
        <v>0</v>
      </c>
      <c r="M81">
        <v>0</v>
      </c>
      <c r="N81">
        <v>0</v>
      </c>
    </row>
    <row r="82" spans="1:14">
      <c r="A82" t="s">
        <v>262</v>
      </c>
      <c r="B82" t="s">
        <v>264</v>
      </c>
      <c r="C82">
        <v>1</v>
      </c>
      <c r="D82">
        <v>1</v>
      </c>
      <c r="E82">
        <v>0</v>
      </c>
      <c r="F82">
        <v>0</v>
      </c>
      <c r="H82">
        <v>0</v>
      </c>
      <c r="I82">
        <v>0</v>
      </c>
      <c r="J82">
        <v>0</v>
      </c>
      <c r="K82">
        <v>0</v>
      </c>
      <c r="L82">
        <v>0</v>
      </c>
      <c r="M82">
        <v>0</v>
      </c>
      <c r="N82">
        <v>0</v>
      </c>
    </row>
    <row r="83" spans="1:14">
      <c r="A83" t="s">
        <v>262</v>
      </c>
      <c r="B83" t="s">
        <v>265</v>
      </c>
      <c r="C83">
        <v>0.1</v>
      </c>
      <c r="D83">
        <v>0</v>
      </c>
      <c r="E83">
        <v>2</v>
      </c>
      <c r="F83">
        <v>0</v>
      </c>
      <c r="H83">
        <v>0</v>
      </c>
      <c r="I83">
        <v>0</v>
      </c>
      <c r="J83">
        <v>0</v>
      </c>
      <c r="K83">
        <v>0</v>
      </c>
      <c r="L83">
        <v>0</v>
      </c>
      <c r="M83">
        <v>0</v>
      </c>
      <c r="N83">
        <v>0</v>
      </c>
    </row>
    <row r="84" spans="1:14">
      <c r="A84" t="s">
        <v>262</v>
      </c>
      <c r="B84" t="s">
        <v>266</v>
      </c>
      <c r="C84">
        <v>0.2</v>
      </c>
      <c r="D84">
        <v>0</v>
      </c>
      <c r="E84">
        <v>4</v>
      </c>
      <c r="F84">
        <v>0</v>
      </c>
      <c r="H84">
        <v>0</v>
      </c>
      <c r="I84">
        <v>0</v>
      </c>
      <c r="J84">
        <v>0</v>
      </c>
      <c r="K84">
        <v>0</v>
      </c>
      <c r="L84">
        <v>0</v>
      </c>
      <c r="M84">
        <v>0</v>
      </c>
      <c r="N84">
        <v>0</v>
      </c>
    </row>
    <row r="85" spans="1:14">
      <c r="A85" t="s">
        <v>262</v>
      </c>
      <c r="B85" t="s">
        <v>267</v>
      </c>
      <c r="C85">
        <v>0.33</v>
      </c>
      <c r="D85">
        <v>0</v>
      </c>
      <c r="E85">
        <v>6</v>
      </c>
      <c r="F85">
        <v>8</v>
      </c>
      <c r="H85">
        <v>0</v>
      </c>
      <c r="I85">
        <v>0</v>
      </c>
      <c r="J85">
        <v>0</v>
      </c>
      <c r="K85">
        <v>0</v>
      </c>
      <c r="L85">
        <v>0</v>
      </c>
      <c r="M85">
        <v>0</v>
      </c>
      <c r="N85">
        <v>0</v>
      </c>
    </row>
    <row r="86" spans="1:14">
      <c r="A86" t="s">
        <v>262</v>
      </c>
      <c r="B86" t="s">
        <v>268</v>
      </c>
      <c r="C86">
        <v>0.05</v>
      </c>
      <c r="D86">
        <v>0</v>
      </c>
      <c r="E86">
        <v>1</v>
      </c>
      <c r="F86">
        <v>1</v>
      </c>
      <c r="H86">
        <v>0</v>
      </c>
      <c r="I86">
        <v>0</v>
      </c>
      <c r="J86">
        <v>0</v>
      </c>
      <c r="K86">
        <v>0</v>
      </c>
      <c r="L86">
        <v>0</v>
      </c>
      <c r="M86">
        <v>0</v>
      </c>
      <c r="N86">
        <v>0</v>
      </c>
    </row>
    <row r="87" spans="1:14">
      <c r="A87" t="s">
        <v>262</v>
      </c>
      <c r="B87" t="s">
        <v>269</v>
      </c>
      <c r="C87">
        <v>2.1800000000000002</v>
      </c>
      <c r="D87">
        <v>2</v>
      </c>
      <c r="E87">
        <v>3</v>
      </c>
      <c r="F87">
        <v>8</v>
      </c>
      <c r="H87">
        <v>0</v>
      </c>
      <c r="I87">
        <v>0</v>
      </c>
      <c r="J87">
        <v>0</v>
      </c>
      <c r="K87">
        <v>0</v>
      </c>
      <c r="L87">
        <v>0</v>
      </c>
      <c r="M87">
        <v>0</v>
      </c>
      <c r="N87">
        <v>0</v>
      </c>
    </row>
    <row r="88" spans="1:14">
      <c r="A88" t="s">
        <v>270</v>
      </c>
      <c r="B88" t="s">
        <v>271</v>
      </c>
      <c r="C88">
        <v>0.1</v>
      </c>
      <c r="D88">
        <v>0</v>
      </c>
      <c r="E88">
        <v>2</v>
      </c>
      <c r="F88">
        <v>0</v>
      </c>
      <c r="H88">
        <v>0</v>
      </c>
      <c r="I88">
        <v>0</v>
      </c>
      <c r="J88">
        <v>0</v>
      </c>
      <c r="K88">
        <v>0</v>
      </c>
      <c r="L88">
        <v>0</v>
      </c>
      <c r="M88">
        <v>0</v>
      </c>
      <c r="N88">
        <v>0</v>
      </c>
    </row>
    <row r="89" spans="1:14">
      <c r="A89" t="s">
        <v>270</v>
      </c>
      <c r="B89" t="s">
        <v>272</v>
      </c>
      <c r="C89">
        <v>0.81</v>
      </c>
      <c r="D89">
        <v>0</v>
      </c>
      <c r="E89">
        <v>16</v>
      </c>
      <c r="F89">
        <v>3</v>
      </c>
      <c r="H89">
        <v>0</v>
      </c>
      <c r="I89">
        <v>0</v>
      </c>
      <c r="J89">
        <v>0</v>
      </c>
      <c r="K89">
        <v>0</v>
      </c>
      <c r="L89">
        <v>0</v>
      </c>
      <c r="M89">
        <v>0</v>
      </c>
      <c r="N89">
        <v>0</v>
      </c>
    </row>
    <row r="90" spans="1:14">
      <c r="A90" t="s">
        <v>270</v>
      </c>
      <c r="B90" t="s">
        <v>273</v>
      </c>
      <c r="C90">
        <v>0.91</v>
      </c>
      <c r="D90">
        <v>0</v>
      </c>
      <c r="E90">
        <v>18</v>
      </c>
      <c r="F90">
        <v>3</v>
      </c>
      <c r="H90">
        <v>0</v>
      </c>
      <c r="I90">
        <v>0</v>
      </c>
      <c r="J90">
        <v>0</v>
      </c>
      <c r="K90">
        <v>0</v>
      </c>
      <c r="L90">
        <v>0</v>
      </c>
      <c r="M90">
        <v>0</v>
      </c>
      <c r="N90">
        <v>0</v>
      </c>
    </row>
    <row r="91" spans="1:14">
      <c r="A91" t="s">
        <v>520</v>
      </c>
      <c r="B91" t="s">
        <v>521</v>
      </c>
      <c r="C91">
        <v>3.1</v>
      </c>
      <c r="D91">
        <v>3</v>
      </c>
      <c r="E91">
        <v>1</v>
      </c>
      <c r="F91">
        <v>11</v>
      </c>
      <c r="H91">
        <v>0</v>
      </c>
      <c r="I91">
        <v>0</v>
      </c>
      <c r="J91">
        <v>0</v>
      </c>
      <c r="K91">
        <v>0</v>
      </c>
      <c r="L91">
        <v>0</v>
      </c>
      <c r="M91">
        <v>0</v>
      </c>
      <c r="N91">
        <v>0</v>
      </c>
    </row>
    <row r="92" spans="1:14">
      <c r="A92" t="s">
        <v>522</v>
      </c>
      <c r="B92" t="s">
        <v>523</v>
      </c>
      <c r="C92">
        <v>80</v>
      </c>
      <c r="D92">
        <v>80</v>
      </c>
      <c r="E92">
        <v>0</v>
      </c>
      <c r="F92">
        <v>0</v>
      </c>
      <c r="H92">
        <v>0</v>
      </c>
      <c r="I92">
        <v>0</v>
      </c>
      <c r="J92">
        <v>0</v>
      </c>
      <c r="K92">
        <v>0</v>
      </c>
      <c r="L92">
        <v>0</v>
      </c>
      <c r="M92">
        <v>0</v>
      </c>
      <c r="N92">
        <v>0</v>
      </c>
    </row>
    <row r="93" spans="1:14">
      <c r="A93" t="s">
        <v>281</v>
      </c>
      <c r="B93" t="s">
        <v>282</v>
      </c>
      <c r="C93">
        <v>0.34</v>
      </c>
      <c r="D93">
        <v>0</v>
      </c>
      <c r="E93">
        <v>6</v>
      </c>
      <c r="F93">
        <v>10.5</v>
      </c>
      <c r="H93">
        <v>0</v>
      </c>
      <c r="I93">
        <v>0</v>
      </c>
      <c r="J93">
        <v>0</v>
      </c>
      <c r="K93">
        <v>0</v>
      </c>
      <c r="L93">
        <v>0</v>
      </c>
      <c r="M93">
        <v>0</v>
      </c>
      <c r="N93">
        <v>0</v>
      </c>
    </row>
    <row r="94" spans="1:14">
      <c r="A94" t="s">
        <v>281</v>
      </c>
      <c r="B94" t="s">
        <v>283</v>
      </c>
      <c r="C94">
        <v>0.04</v>
      </c>
      <c r="D94">
        <v>0</v>
      </c>
      <c r="E94">
        <v>0</v>
      </c>
      <c r="F94">
        <v>9</v>
      </c>
      <c r="H94">
        <v>0</v>
      </c>
      <c r="I94">
        <v>0</v>
      </c>
      <c r="J94">
        <v>0</v>
      </c>
      <c r="K94">
        <v>0</v>
      </c>
      <c r="L94">
        <v>0</v>
      </c>
      <c r="M94">
        <v>0</v>
      </c>
      <c r="N94">
        <v>0</v>
      </c>
    </row>
    <row r="95" spans="1:14">
      <c r="A95" t="s">
        <v>281</v>
      </c>
      <c r="B95" t="s">
        <v>284</v>
      </c>
      <c r="C95">
        <v>0.02</v>
      </c>
      <c r="D95">
        <v>0</v>
      </c>
      <c r="E95">
        <v>0</v>
      </c>
      <c r="F95">
        <v>5</v>
      </c>
      <c r="H95">
        <v>0</v>
      </c>
      <c r="I95">
        <v>0</v>
      </c>
      <c r="J95">
        <v>0</v>
      </c>
      <c r="K95">
        <v>0</v>
      </c>
      <c r="L95">
        <v>0</v>
      </c>
      <c r="M95">
        <v>0</v>
      </c>
      <c r="N95">
        <v>0</v>
      </c>
    </row>
    <row r="96" spans="1:14">
      <c r="A96" t="s">
        <v>281</v>
      </c>
      <c r="B96" t="s">
        <v>285</v>
      </c>
      <c r="C96">
        <v>0.01</v>
      </c>
      <c r="D96">
        <v>0</v>
      </c>
      <c r="E96">
        <v>0</v>
      </c>
      <c r="F96">
        <v>3</v>
      </c>
      <c r="H96">
        <v>0</v>
      </c>
      <c r="I96">
        <v>0</v>
      </c>
      <c r="J96">
        <v>0</v>
      </c>
      <c r="K96">
        <v>0</v>
      </c>
      <c r="L96">
        <v>0</v>
      </c>
      <c r="M96">
        <v>0</v>
      </c>
      <c r="N96">
        <v>0</v>
      </c>
    </row>
    <row r="97" spans="1:14">
      <c r="A97" t="s">
        <v>281</v>
      </c>
      <c r="B97" t="s">
        <v>286</v>
      </c>
      <c r="C97">
        <v>0.06</v>
      </c>
      <c r="D97">
        <v>0</v>
      </c>
      <c r="E97">
        <v>1</v>
      </c>
      <c r="F97">
        <v>3</v>
      </c>
      <c r="H97">
        <v>0</v>
      </c>
      <c r="I97">
        <v>0</v>
      </c>
      <c r="J97">
        <v>0</v>
      </c>
      <c r="K97">
        <v>0</v>
      </c>
      <c r="L97">
        <v>0</v>
      </c>
      <c r="M97">
        <v>0</v>
      </c>
      <c r="N97">
        <v>0</v>
      </c>
    </row>
    <row r="98" spans="1:14">
      <c r="A98" t="s">
        <v>281</v>
      </c>
      <c r="B98" t="s">
        <v>287</v>
      </c>
      <c r="C98">
        <v>0.01</v>
      </c>
      <c r="D98">
        <v>0</v>
      </c>
      <c r="E98">
        <v>0</v>
      </c>
      <c r="F98">
        <v>1.5</v>
      </c>
      <c r="H98">
        <v>0</v>
      </c>
      <c r="I98">
        <v>0</v>
      </c>
      <c r="J98">
        <v>0</v>
      </c>
      <c r="K98">
        <v>0</v>
      </c>
      <c r="L98">
        <v>0</v>
      </c>
      <c r="M98">
        <v>0</v>
      </c>
      <c r="N98">
        <v>0</v>
      </c>
    </row>
    <row r="99" spans="1:14">
      <c r="A99" t="s">
        <v>281</v>
      </c>
      <c r="B99" t="s">
        <v>288</v>
      </c>
      <c r="C99">
        <v>0.05</v>
      </c>
      <c r="D99">
        <v>0</v>
      </c>
      <c r="E99">
        <v>1</v>
      </c>
      <c r="F99">
        <v>0</v>
      </c>
      <c r="H99">
        <v>0</v>
      </c>
      <c r="I99">
        <v>0</v>
      </c>
      <c r="J99">
        <v>0</v>
      </c>
      <c r="K99">
        <v>0</v>
      </c>
      <c r="L99">
        <v>0</v>
      </c>
      <c r="M99">
        <v>0</v>
      </c>
      <c r="N99">
        <v>0</v>
      </c>
    </row>
    <row r="100" spans="1:14">
      <c r="A100" t="s">
        <v>281</v>
      </c>
      <c r="B100" t="s">
        <v>289</v>
      </c>
      <c r="C100">
        <v>0</v>
      </c>
      <c r="D100">
        <v>0</v>
      </c>
      <c r="E100">
        <v>0</v>
      </c>
      <c r="F100">
        <v>0.75</v>
      </c>
      <c r="H100">
        <v>0</v>
      </c>
      <c r="I100">
        <v>0</v>
      </c>
      <c r="J100">
        <v>0</v>
      </c>
      <c r="K100">
        <v>0</v>
      </c>
      <c r="L100">
        <v>0</v>
      </c>
      <c r="M100">
        <v>0</v>
      </c>
      <c r="N100">
        <v>0</v>
      </c>
    </row>
    <row r="101" spans="1:14">
      <c r="A101" t="s">
        <v>281</v>
      </c>
      <c r="B101" t="s">
        <v>290</v>
      </c>
      <c r="C101">
        <v>0.12</v>
      </c>
      <c r="D101">
        <v>0</v>
      </c>
      <c r="E101">
        <v>2</v>
      </c>
      <c r="F101">
        <v>6</v>
      </c>
      <c r="H101">
        <v>0</v>
      </c>
      <c r="I101">
        <v>0</v>
      </c>
      <c r="J101">
        <v>0</v>
      </c>
      <c r="K101">
        <v>0</v>
      </c>
      <c r="L101">
        <v>0</v>
      </c>
      <c r="M101">
        <v>0</v>
      </c>
      <c r="N101">
        <v>0</v>
      </c>
    </row>
    <row r="102" spans="1:14">
      <c r="A102" t="s">
        <v>281</v>
      </c>
      <c r="B102" t="s">
        <v>524</v>
      </c>
      <c r="C102">
        <v>0</v>
      </c>
      <c r="D102">
        <v>0</v>
      </c>
      <c r="E102">
        <v>0</v>
      </c>
      <c r="F102">
        <v>0</v>
      </c>
      <c r="H102">
        <v>0</v>
      </c>
      <c r="I102">
        <v>0</v>
      </c>
      <c r="J102">
        <v>0</v>
      </c>
      <c r="K102">
        <v>0</v>
      </c>
      <c r="L102">
        <v>0</v>
      </c>
      <c r="M102">
        <v>0</v>
      </c>
      <c r="N102">
        <v>0</v>
      </c>
    </row>
    <row r="103" spans="1:14">
      <c r="A103" t="s">
        <v>281</v>
      </c>
      <c r="B103" t="s">
        <v>291</v>
      </c>
      <c r="C103">
        <v>7.0000000000000007E-2</v>
      </c>
      <c r="D103">
        <v>0</v>
      </c>
      <c r="E103">
        <v>1</v>
      </c>
      <c r="F103">
        <v>4</v>
      </c>
      <c r="H103">
        <v>0</v>
      </c>
      <c r="I103">
        <v>0</v>
      </c>
      <c r="J103">
        <v>0</v>
      </c>
      <c r="K103">
        <v>0</v>
      </c>
      <c r="L103">
        <v>0</v>
      </c>
      <c r="M103">
        <v>0</v>
      </c>
      <c r="N103">
        <v>0</v>
      </c>
    </row>
    <row r="104" spans="1:14">
      <c r="A104" t="s">
        <v>281</v>
      </c>
      <c r="B104" t="s">
        <v>292</v>
      </c>
      <c r="C104">
        <v>0.02</v>
      </c>
      <c r="D104">
        <v>0</v>
      </c>
      <c r="E104">
        <v>0</v>
      </c>
      <c r="F104">
        <v>4</v>
      </c>
      <c r="H104">
        <v>0</v>
      </c>
      <c r="I104">
        <v>0</v>
      </c>
      <c r="J104">
        <v>0</v>
      </c>
      <c r="K104">
        <v>0</v>
      </c>
      <c r="L104">
        <v>0</v>
      </c>
      <c r="M104">
        <v>0</v>
      </c>
      <c r="N104">
        <v>0</v>
      </c>
    </row>
    <row r="105" spans="1:14">
      <c r="A105" t="s">
        <v>281</v>
      </c>
      <c r="B105" t="s">
        <v>293</v>
      </c>
      <c r="C105">
        <v>0.15</v>
      </c>
      <c r="D105">
        <v>0</v>
      </c>
      <c r="E105">
        <v>3</v>
      </c>
      <c r="F105">
        <v>0</v>
      </c>
      <c r="H105">
        <v>0</v>
      </c>
      <c r="I105">
        <v>0</v>
      </c>
      <c r="J105">
        <v>0</v>
      </c>
      <c r="K105">
        <v>0</v>
      </c>
      <c r="L105">
        <v>0</v>
      </c>
      <c r="M105">
        <v>0</v>
      </c>
      <c r="N105">
        <v>0</v>
      </c>
    </row>
    <row r="106" spans="1:14">
      <c r="A106" t="s">
        <v>281</v>
      </c>
      <c r="B106" t="s">
        <v>294</v>
      </c>
      <c r="C106">
        <v>0.04</v>
      </c>
      <c r="D106">
        <v>0</v>
      </c>
      <c r="E106">
        <v>0</v>
      </c>
      <c r="F106">
        <v>9</v>
      </c>
      <c r="H106">
        <v>0</v>
      </c>
      <c r="I106">
        <v>0</v>
      </c>
      <c r="J106">
        <v>0</v>
      </c>
      <c r="K106">
        <v>0</v>
      </c>
      <c r="L106">
        <v>0</v>
      </c>
      <c r="M106">
        <v>0</v>
      </c>
      <c r="N106">
        <v>0</v>
      </c>
    </row>
    <row r="107" spans="1:14">
      <c r="A107" t="s">
        <v>281</v>
      </c>
      <c r="B107" t="s">
        <v>295</v>
      </c>
      <c r="C107">
        <v>0.3</v>
      </c>
      <c r="D107">
        <v>0</v>
      </c>
      <c r="E107">
        <v>6</v>
      </c>
      <c r="F107">
        <v>0</v>
      </c>
      <c r="H107">
        <v>0</v>
      </c>
      <c r="I107">
        <v>0</v>
      </c>
      <c r="J107">
        <v>0</v>
      </c>
      <c r="K107">
        <v>0</v>
      </c>
      <c r="L107">
        <v>0</v>
      </c>
      <c r="M107">
        <v>0</v>
      </c>
      <c r="N107">
        <v>0</v>
      </c>
    </row>
    <row r="108" spans="1:14">
      <c r="A108" t="s">
        <v>281</v>
      </c>
      <c r="B108" t="s">
        <v>296</v>
      </c>
      <c r="C108">
        <v>2.06</v>
      </c>
      <c r="D108">
        <v>2</v>
      </c>
      <c r="E108">
        <v>1</v>
      </c>
      <c r="F108">
        <v>3</v>
      </c>
      <c r="H108">
        <v>0</v>
      </c>
      <c r="I108">
        <v>0</v>
      </c>
      <c r="J108">
        <v>0</v>
      </c>
      <c r="K108">
        <v>0</v>
      </c>
      <c r="L108">
        <v>0</v>
      </c>
      <c r="M108">
        <v>0</v>
      </c>
      <c r="N108">
        <v>0</v>
      </c>
    </row>
    <row r="109" spans="1:14">
      <c r="A109" t="s">
        <v>281</v>
      </c>
      <c r="B109" t="s">
        <v>525</v>
      </c>
      <c r="C109">
        <v>3.69</v>
      </c>
      <c r="D109">
        <v>3</v>
      </c>
      <c r="E109">
        <v>13</v>
      </c>
      <c r="F109">
        <v>10.75</v>
      </c>
      <c r="H109">
        <v>0</v>
      </c>
      <c r="I109">
        <v>0</v>
      </c>
      <c r="J109">
        <v>0</v>
      </c>
      <c r="K109">
        <v>0</v>
      </c>
      <c r="L109">
        <v>0</v>
      </c>
      <c r="M109">
        <v>0</v>
      </c>
      <c r="N109">
        <v>0</v>
      </c>
    </row>
    <row r="110" spans="1:14">
      <c r="A110" t="s">
        <v>299</v>
      </c>
      <c r="B110" t="s">
        <v>526</v>
      </c>
      <c r="C110">
        <v>0.09</v>
      </c>
      <c r="D110">
        <v>0</v>
      </c>
      <c r="E110">
        <v>1</v>
      </c>
      <c r="F110">
        <v>10</v>
      </c>
      <c r="H110">
        <v>0</v>
      </c>
      <c r="I110">
        <v>0</v>
      </c>
      <c r="J110">
        <v>0</v>
      </c>
      <c r="K110">
        <v>0</v>
      </c>
      <c r="L110">
        <v>0</v>
      </c>
      <c r="M110">
        <v>0</v>
      </c>
      <c r="N110">
        <v>0</v>
      </c>
    </row>
    <row r="111" spans="1:14">
      <c r="A111" t="s">
        <v>299</v>
      </c>
      <c r="B111" t="s">
        <v>301</v>
      </c>
      <c r="C111">
        <v>0.06</v>
      </c>
      <c r="D111">
        <v>0</v>
      </c>
      <c r="E111">
        <v>1</v>
      </c>
      <c r="F111">
        <v>2.5</v>
      </c>
      <c r="H111">
        <v>0</v>
      </c>
      <c r="I111">
        <v>0</v>
      </c>
      <c r="J111">
        <v>0</v>
      </c>
      <c r="K111">
        <v>0</v>
      </c>
      <c r="L111">
        <v>0</v>
      </c>
      <c r="M111">
        <v>0</v>
      </c>
      <c r="N111">
        <v>0</v>
      </c>
    </row>
    <row r="112" spans="1:14">
      <c r="A112" t="s">
        <v>299</v>
      </c>
      <c r="B112" t="s">
        <v>302</v>
      </c>
      <c r="C112">
        <v>0.03</v>
      </c>
      <c r="D112">
        <v>0</v>
      </c>
      <c r="E112">
        <v>0</v>
      </c>
      <c r="F112">
        <v>7</v>
      </c>
      <c r="H112">
        <v>0</v>
      </c>
      <c r="I112">
        <v>0</v>
      </c>
      <c r="J112">
        <v>0</v>
      </c>
      <c r="K112">
        <v>0</v>
      </c>
      <c r="L112">
        <v>0</v>
      </c>
      <c r="M112">
        <v>0</v>
      </c>
      <c r="N112">
        <v>0</v>
      </c>
    </row>
    <row r="113" spans="1:14">
      <c r="A113" t="s">
        <v>299</v>
      </c>
      <c r="B113" t="s">
        <v>303</v>
      </c>
      <c r="C113">
        <v>0.06</v>
      </c>
      <c r="D113">
        <v>0</v>
      </c>
      <c r="E113">
        <v>1</v>
      </c>
      <c r="F113">
        <v>2</v>
      </c>
      <c r="H113">
        <v>0</v>
      </c>
      <c r="I113">
        <v>0</v>
      </c>
      <c r="J113">
        <v>0</v>
      </c>
      <c r="K113">
        <v>0</v>
      </c>
      <c r="L113">
        <v>0</v>
      </c>
      <c r="M113">
        <v>0</v>
      </c>
      <c r="N113">
        <v>0</v>
      </c>
    </row>
    <row r="114" spans="1:14">
      <c r="A114" t="s">
        <v>299</v>
      </c>
      <c r="B114" t="s">
        <v>304</v>
      </c>
      <c r="C114">
        <v>0.03</v>
      </c>
      <c r="D114">
        <v>0</v>
      </c>
      <c r="E114">
        <v>0</v>
      </c>
      <c r="F114">
        <v>6</v>
      </c>
      <c r="H114">
        <v>0</v>
      </c>
      <c r="I114">
        <v>0</v>
      </c>
      <c r="J114">
        <v>0</v>
      </c>
      <c r="K114">
        <v>0</v>
      </c>
      <c r="L114">
        <v>0</v>
      </c>
      <c r="M114">
        <v>0</v>
      </c>
      <c r="N114">
        <v>0</v>
      </c>
    </row>
    <row r="115" spans="1:14">
      <c r="A115" t="s">
        <v>299</v>
      </c>
      <c r="B115" t="s">
        <v>305</v>
      </c>
      <c r="C115">
        <v>0.04</v>
      </c>
      <c r="D115">
        <v>0</v>
      </c>
      <c r="E115">
        <v>0</v>
      </c>
      <c r="F115">
        <v>9.5</v>
      </c>
      <c r="H115">
        <v>0</v>
      </c>
      <c r="I115">
        <v>0</v>
      </c>
      <c r="J115">
        <v>0</v>
      </c>
      <c r="K115">
        <v>0</v>
      </c>
      <c r="L115">
        <v>0</v>
      </c>
      <c r="M115">
        <v>0</v>
      </c>
      <c r="N115">
        <v>0</v>
      </c>
    </row>
    <row r="116" spans="1:14">
      <c r="A116" t="s">
        <v>299</v>
      </c>
      <c r="B116" t="s">
        <v>306</v>
      </c>
      <c r="C116">
        <v>0.02</v>
      </c>
      <c r="D116">
        <v>0</v>
      </c>
      <c r="E116">
        <v>0</v>
      </c>
      <c r="F116">
        <v>4.5</v>
      </c>
      <c r="H116">
        <v>0</v>
      </c>
      <c r="I116">
        <v>0</v>
      </c>
      <c r="J116">
        <v>0</v>
      </c>
      <c r="K116">
        <v>0</v>
      </c>
      <c r="L116">
        <v>0</v>
      </c>
      <c r="M116">
        <v>0</v>
      </c>
      <c r="N116">
        <v>0</v>
      </c>
    </row>
    <row r="117" spans="1:14">
      <c r="A117" t="s">
        <v>299</v>
      </c>
      <c r="B117" t="s">
        <v>307</v>
      </c>
      <c r="C117">
        <v>0.01</v>
      </c>
      <c r="D117">
        <v>0</v>
      </c>
      <c r="E117">
        <v>0</v>
      </c>
      <c r="F117">
        <v>3</v>
      </c>
      <c r="H117">
        <v>0</v>
      </c>
      <c r="I117">
        <v>0</v>
      </c>
      <c r="J117">
        <v>0</v>
      </c>
      <c r="K117">
        <v>0</v>
      </c>
      <c r="L117">
        <v>0</v>
      </c>
      <c r="M117">
        <v>0</v>
      </c>
      <c r="N117">
        <v>0</v>
      </c>
    </row>
    <row r="118" spans="1:14">
      <c r="A118" t="s">
        <v>299</v>
      </c>
      <c r="B118" t="s">
        <v>308</v>
      </c>
      <c r="C118">
        <v>0.01</v>
      </c>
      <c r="D118">
        <v>0</v>
      </c>
      <c r="E118">
        <v>0</v>
      </c>
      <c r="F118">
        <v>3</v>
      </c>
      <c r="H118">
        <v>0</v>
      </c>
      <c r="I118">
        <v>0</v>
      </c>
      <c r="J118">
        <v>0</v>
      </c>
      <c r="K118">
        <v>0</v>
      </c>
      <c r="L118">
        <v>0</v>
      </c>
      <c r="M118">
        <v>0</v>
      </c>
      <c r="N118">
        <v>0</v>
      </c>
    </row>
    <row r="119" spans="1:14">
      <c r="A119" t="s">
        <v>299</v>
      </c>
      <c r="B119" t="s">
        <v>309</v>
      </c>
      <c r="C119">
        <v>0.17</v>
      </c>
      <c r="D119">
        <v>0</v>
      </c>
      <c r="E119">
        <v>3</v>
      </c>
      <c r="F119">
        <v>6</v>
      </c>
      <c r="H119">
        <v>0</v>
      </c>
      <c r="I119">
        <v>0</v>
      </c>
      <c r="J119">
        <v>0</v>
      </c>
      <c r="K119">
        <v>0</v>
      </c>
      <c r="L119">
        <v>0</v>
      </c>
      <c r="M119">
        <v>0</v>
      </c>
      <c r="N119">
        <v>0</v>
      </c>
    </row>
    <row r="120" spans="1:14">
      <c r="A120" t="s">
        <v>299</v>
      </c>
      <c r="B120" t="s">
        <v>310</v>
      </c>
      <c r="C120">
        <v>0.95</v>
      </c>
      <c r="D120">
        <v>0</v>
      </c>
      <c r="E120">
        <v>19</v>
      </c>
      <c r="F120">
        <v>1</v>
      </c>
      <c r="H120">
        <v>0</v>
      </c>
      <c r="I120">
        <v>0</v>
      </c>
      <c r="J120">
        <v>0</v>
      </c>
      <c r="K120">
        <v>0</v>
      </c>
      <c r="L120">
        <v>0</v>
      </c>
      <c r="M120">
        <v>0</v>
      </c>
      <c r="N120">
        <v>0</v>
      </c>
    </row>
    <row r="121" spans="1:14">
      <c r="A121" t="s">
        <v>299</v>
      </c>
      <c r="B121" t="s">
        <v>527</v>
      </c>
      <c r="C121">
        <v>1.5</v>
      </c>
      <c r="D121">
        <v>1</v>
      </c>
      <c r="E121">
        <v>10</v>
      </c>
      <c r="F121">
        <v>0.5</v>
      </c>
      <c r="H121">
        <v>0</v>
      </c>
      <c r="I121">
        <v>0</v>
      </c>
      <c r="J121">
        <v>0</v>
      </c>
      <c r="K121">
        <v>0</v>
      </c>
      <c r="L121">
        <v>0</v>
      </c>
      <c r="M121">
        <v>0</v>
      </c>
      <c r="N121">
        <v>0</v>
      </c>
    </row>
    <row r="122" spans="1:14">
      <c r="A122" t="s">
        <v>313</v>
      </c>
      <c r="B122" t="s">
        <v>528</v>
      </c>
      <c r="C122">
        <v>0.09</v>
      </c>
      <c r="D122">
        <v>0</v>
      </c>
      <c r="E122">
        <v>1</v>
      </c>
      <c r="F122">
        <v>9</v>
      </c>
      <c r="H122">
        <v>0</v>
      </c>
      <c r="I122">
        <v>7</v>
      </c>
      <c r="J122">
        <v>0.875</v>
      </c>
      <c r="K122">
        <v>0.875</v>
      </c>
      <c r="L122">
        <v>0</v>
      </c>
      <c r="M122">
        <v>0</v>
      </c>
      <c r="N122">
        <v>7</v>
      </c>
    </row>
    <row r="123" spans="1:14">
      <c r="A123" t="s">
        <v>313</v>
      </c>
      <c r="B123" t="s">
        <v>529</v>
      </c>
      <c r="C123">
        <v>0</v>
      </c>
      <c r="D123">
        <v>0</v>
      </c>
      <c r="E123">
        <v>0</v>
      </c>
      <c r="F123">
        <v>0</v>
      </c>
      <c r="H123">
        <v>0</v>
      </c>
      <c r="I123">
        <v>0</v>
      </c>
      <c r="J123">
        <v>0</v>
      </c>
      <c r="K123">
        <v>0</v>
      </c>
      <c r="L123">
        <v>0</v>
      </c>
      <c r="M123">
        <v>0</v>
      </c>
      <c r="N123">
        <v>0</v>
      </c>
    </row>
    <row r="124" spans="1:14">
      <c r="A124" t="s">
        <v>313</v>
      </c>
      <c r="B124" t="s">
        <v>524</v>
      </c>
      <c r="C124">
        <v>0</v>
      </c>
      <c r="D124">
        <v>0</v>
      </c>
      <c r="E124">
        <v>0</v>
      </c>
      <c r="F124">
        <v>0</v>
      </c>
      <c r="H124">
        <v>0</v>
      </c>
      <c r="I124">
        <v>0</v>
      </c>
      <c r="J124">
        <v>0</v>
      </c>
      <c r="K124">
        <v>0</v>
      </c>
      <c r="L124">
        <v>0</v>
      </c>
      <c r="M124">
        <v>0</v>
      </c>
      <c r="N124">
        <v>0</v>
      </c>
    </row>
    <row r="125" spans="1:14">
      <c r="A125" t="s">
        <v>313</v>
      </c>
      <c r="B125" t="s">
        <v>315</v>
      </c>
      <c r="C125">
        <v>0.02</v>
      </c>
      <c r="D125">
        <v>0</v>
      </c>
      <c r="E125">
        <v>0</v>
      </c>
      <c r="F125">
        <v>4</v>
      </c>
      <c r="H125">
        <v>0</v>
      </c>
      <c r="I125">
        <v>0</v>
      </c>
      <c r="J125">
        <v>0</v>
      </c>
      <c r="K125">
        <v>0</v>
      </c>
      <c r="L125">
        <v>0</v>
      </c>
      <c r="M125">
        <v>0</v>
      </c>
      <c r="N125">
        <v>0</v>
      </c>
    </row>
    <row r="126" spans="1:14">
      <c r="A126" t="s">
        <v>313</v>
      </c>
      <c r="B126" t="s">
        <v>316</v>
      </c>
      <c r="C126">
        <v>0.04</v>
      </c>
      <c r="D126">
        <v>0</v>
      </c>
      <c r="E126">
        <v>0</v>
      </c>
      <c r="F126">
        <v>9</v>
      </c>
      <c r="H126">
        <v>0</v>
      </c>
      <c r="I126">
        <v>0</v>
      </c>
      <c r="J126">
        <v>0</v>
      </c>
      <c r="K126">
        <v>0</v>
      </c>
      <c r="L126">
        <v>0</v>
      </c>
      <c r="M126">
        <v>0</v>
      </c>
      <c r="N126">
        <v>0</v>
      </c>
    </row>
    <row r="127" spans="1:14">
      <c r="A127" t="s">
        <v>313</v>
      </c>
      <c r="B127" t="s">
        <v>317</v>
      </c>
      <c r="C127">
        <v>0.02</v>
      </c>
      <c r="D127">
        <v>0</v>
      </c>
      <c r="E127">
        <v>0</v>
      </c>
      <c r="F127">
        <v>5</v>
      </c>
      <c r="H127">
        <v>0</v>
      </c>
      <c r="I127">
        <v>0</v>
      </c>
      <c r="J127">
        <v>0</v>
      </c>
      <c r="K127">
        <v>0</v>
      </c>
      <c r="L127">
        <v>0</v>
      </c>
      <c r="M127">
        <v>0</v>
      </c>
      <c r="N127">
        <v>0</v>
      </c>
    </row>
    <row r="128" spans="1:14">
      <c r="A128" t="s">
        <v>313</v>
      </c>
      <c r="B128" t="s">
        <v>318</v>
      </c>
      <c r="C128">
        <v>0.02</v>
      </c>
      <c r="D128">
        <v>0</v>
      </c>
      <c r="E128">
        <v>0</v>
      </c>
      <c r="F128">
        <v>4</v>
      </c>
      <c r="H128">
        <v>0</v>
      </c>
      <c r="I128">
        <v>0</v>
      </c>
      <c r="J128">
        <v>0</v>
      </c>
      <c r="K128">
        <v>0</v>
      </c>
      <c r="L128">
        <v>0</v>
      </c>
      <c r="M128">
        <v>0</v>
      </c>
      <c r="N128">
        <v>0</v>
      </c>
    </row>
    <row r="129" spans="1:14">
      <c r="A129" t="s">
        <v>313</v>
      </c>
      <c r="B129" t="s">
        <v>319</v>
      </c>
      <c r="C129">
        <v>0.22</v>
      </c>
      <c r="D129">
        <v>0</v>
      </c>
      <c r="E129">
        <v>4</v>
      </c>
      <c r="F129">
        <v>4.5</v>
      </c>
      <c r="H129">
        <v>0</v>
      </c>
      <c r="I129">
        <v>0</v>
      </c>
      <c r="J129">
        <v>0</v>
      </c>
      <c r="K129">
        <v>0</v>
      </c>
      <c r="L129">
        <v>0</v>
      </c>
      <c r="M129">
        <v>0</v>
      </c>
      <c r="N129">
        <v>0</v>
      </c>
    </row>
    <row r="130" spans="1:14">
      <c r="A130" t="s">
        <v>313</v>
      </c>
      <c r="B130" t="s">
        <v>524</v>
      </c>
      <c r="C130">
        <v>0</v>
      </c>
      <c r="D130">
        <v>0</v>
      </c>
      <c r="E130">
        <v>0</v>
      </c>
      <c r="F130">
        <v>0</v>
      </c>
      <c r="H130">
        <v>0</v>
      </c>
      <c r="I130">
        <v>0</v>
      </c>
      <c r="J130">
        <v>0</v>
      </c>
      <c r="K130">
        <v>0</v>
      </c>
      <c r="L130">
        <v>0</v>
      </c>
      <c r="M130">
        <v>0</v>
      </c>
      <c r="N130">
        <v>0</v>
      </c>
    </row>
    <row r="131" spans="1:14">
      <c r="A131" t="s">
        <v>313</v>
      </c>
      <c r="B131" t="s">
        <v>320</v>
      </c>
      <c r="C131">
        <v>0</v>
      </c>
      <c r="D131">
        <v>0</v>
      </c>
      <c r="E131">
        <v>0</v>
      </c>
      <c r="F131">
        <v>1</v>
      </c>
      <c r="H131">
        <v>0</v>
      </c>
      <c r="I131">
        <v>0</v>
      </c>
      <c r="J131">
        <v>0</v>
      </c>
      <c r="K131">
        <v>0</v>
      </c>
      <c r="L131">
        <v>0</v>
      </c>
      <c r="M131">
        <v>0</v>
      </c>
      <c r="N131">
        <v>0</v>
      </c>
    </row>
    <row r="132" spans="1:14">
      <c r="A132" t="s">
        <v>313</v>
      </c>
      <c r="B132" t="s">
        <v>321</v>
      </c>
      <c r="C132">
        <v>0.03</v>
      </c>
      <c r="D132">
        <v>0</v>
      </c>
      <c r="E132">
        <v>0</v>
      </c>
      <c r="F132">
        <v>8</v>
      </c>
      <c r="H132">
        <v>0</v>
      </c>
      <c r="I132">
        <v>0</v>
      </c>
      <c r="J132">
        <v>0</v>
      </c>
      <c r="K132">
        <v>0</v>
      </c>
      <c r="L132">
        <v>0</v>
      </c>
      <c r="M132">
        <v>0</v>
      </c>
      <c r="N132">
        <v>0</v>
      </c>
    </row>
    <row r="133" spans="1:14">
      <c r="A133" t="s">
        <v>313</v>
      </c>
      <c r="B133" t="s">
        <v>322</v>
      </c>
      <c r="C133">
        <v>0.02</v>
      </c>
      <c r="D133">
        <v>0</v>
      </c>
      <c r="E133">
        <v>0</v>
      </c>
      <c r="F133">
        <v>5</v>
      </c>
      <c r="H133">
        <v>0</v>
      </c>
      <c r="I133">
        <v>0</v>
      </c>
      <c r="J133">
        <v>0</v>
      </c>
      <c r="K133">
        <v>0</v>
      </c>
      <c r="L133">
        <v>0</v>
      </c>
      <c r="M133">
        <v>0</v>
      </c>
      <c r="N133">
        <v>0</v>
      </c>
    </row>
    <row r="134" spans="1:14">
      <c r="A134" t="s">
        <v>313</v>
      </c>
      <c r="B134" t="s">
        <v>323</v>
      </c>
      <c r="C134">
        <v>0.36</v>
      </c>
      <c r="D134">
        <v>0</v>
      </c>
      <c r="E134">
        <v>7</v>
      </c>
      <c r="F134">
        <v>2</v>
      </c>
      <c r="H134">
        <v>0</v>
      </c>
      <c r="I134">
        <v>0</v>
      </c>
      <c r="J134">
        <v>0</v>
      </c>
      <c r="K134">
        <v>0</v>
      </c>
      <c r="L134">
        <v>0</v>
      </c>
      <c r="M134">
        <v>0</v>
      </c>
      <c r="N134">
        <v>0</v>
      </c>
    </row>
    <row r="135" spans="1:14">
      <c r="A135" t="s">
        <v>313</v>
      </c>
      <c r="B135" t="s">
        <v>324</v>
      </c>
      <c r="C135">
        <v>0.11</v>
      </c>
      <c r="D135">
        <v>0</v>
      </c>
      <c r="E135">
        <v>2</v>
      </c>
      <c r="F135">
        <v>2</v>
      </c>
      <c r="H135">
        <v>0</v>
      </c>
      <c r="I135">
        <v>0</v>
      </c>
      <c r="J135">
        <v>0</v>
      </c>
      <c r="K135">
        <v>0</v>
      </c>
      <c r="L135">
        <v>0</v>
      </c>
      <c r="M135">
        <v>0</v>
      </c>
      <c r="N135">
        <v>0</v>
      </c>
    </row>
    <row r="136" spans="1:14">
      <c r="A136" t="s">
        <v>313</v>
      </c>
      <c r="B136" t="s">
        <v>325</v>
      </c>
      <c r="C136">
        <v>0.1</v>
      </c>
      <c r="D136">
        <v>0</v>
      </c>
      <c r="E136">
        <v>2</v>
      </c>
      <c r="F136">
        <v>0</v>
      </c>
      <c r="H136">
        <v>0</v>
      </c>
      <c r="I136">
        <v>0</v>
      </c>
      <c r="J136">
        <v>0</v>
      </c>
      <c r="K136">
        <v>0</v>
      </c>
      <c r="L136">
        <v>0</v>
      </c>
      <c r="M136">
        <v>0</v>
      </c>
      <c r="N136">
        <v>0</v>
      </c>
    </row>
    <row r="137" spans="1:14">
      <c r="A137" t="s">
        <v>313</v>
      </c>
      <c r="B137" t="s">
        <v>530</v>
      </c>
      <c r="C137">
        <v>1.1000000000000001</v>
      </c>
      <c r="D137">
        <v>1</v>
      </c>
      <c r="E137">
        <v>1</v>
      </c>
      <c r="F137">
        <v>11.5</v>
      </c>
      <c r="H137">
        <v>0</v>
      </c>
      <c r="I137">
        <v>0</v>
      </c>
      <c r="J137">
        <v>0</v>
      </c>
      <c r="K137">
        <v>0</v>
      </c>
      <c r="L137">
        <v>0</v>
      </c>
      <c r="M137">
        <v>0</v>
      </c>
      <c r="N137">
        <v>0</v>
      </c>
    </row>
    <row r="138" spans="1:14">
      <c r="A138" t="s">
        <v>328</v>
      </c>
      <c r="B138" t="s">
        <v>329</v>
      </c>
      <c r="C138">
        <v>0.03</v>
      </c>
      <c r="D138">
        <v>0</v>
      </c>
      <c r="E138">
        <v>0</v>
      </c>
      <c r="F138">
        <v>8</v>
      </c>
      <c r="H138">
        <v>0</v>
      </c>
      <c r="I138">
        <v>0</v>
      </c>
      <c r="J138">
        <v>0</v>
      </c>
      <c r="K138">
        <v>0</v>
      </c>
      <c r="L138">
        <v>0</v>
      </c>
      <c r="M138">
        <v>0</v>
      </c>
      <c r="N138">
        <v>0</v>
      </c>
    </row>
    <row r="139" spans="1:14">
      <c r="A139" t="s">
        <v>328</v>
      </c>
      <c r="B139" t="s">
        <v>330</v>
      </c>
      <c r="C139">
        <v>0.01</v>
      </c>
      <c r="D139">
        <v>0</v>
      </c>
      <c r="E139">
        <v>0</v>
      </c>
      <c r="F139">
        <v>2</v>
      </c>
      <c r="H139">
        <v>0</v>
      </c>
      <c r="I139">
        <v>0</v>
      </c>
      <c r="J139">
        <v>0</v>
      </c>
      <c r="K139">
        <v>0</v>
      </c>
      <c r="L139">
        <v>0</v>
      </c>
      <c r="M139">
        <v>0</v>
      </c>
      <c r="N139">
        <v>0</v>
      </c>
    </row>
    <row r="140" spans="1:14">
      <c r="A140" t="s">
        <v>328</v>
      </c>
      <c r="B140" t="s">
        <v>331</v>
      </c>
      <c r="C140">
        <v>7.0000000000000007E-2</v>
      </c>
      <c r="D140">
        <v>0</v>
      </c>
      <c r="E140">
        <v>1</v>
      </c>
      <c r="F140">
        <v>4</v>
      </c>
      <c r="H140">
        <v>0</v>
      </c>
      <c r="I140">
        <v>0</v>
      </c>
      <c r="J140">
        <v>0</v>
      </c>
      <c r="K140">
        <v>0</v>
      </c>
      <c r="L140">
        <v>0</v>
      </c>
      <c r="M140">
        <v>0</v>
      </c>
      <c r="N140">
        <v>0</v>
      </c>
    </row>
    <row r="141" spans="1:14">
      <c r="A141" t="s">
        <v>328</v>
      </c>
      <c r="B141" t="s">
        <v>332</v>
      </c>
      <c r="C141">
        <v>0.03</v>
      </c>
      <c r="D141">
        <v>0</v>
      </c>
      <c r="E141">
        <v>0</v>
      </c>
      <c r="F141">
        <v>8</v>
      </c>
      <c r="H141">
        <v>0</v>
      </c>
      <c r="I141">
        <v>0</v>
      </c>
      <c r="J141">
        <v>0</v>
      </c>
      <c r="K141">
        <v>0</v>
      </c>
      <c r="L141">
        <v>0</v>
      </c>
      <c r="M141">
        <v>0</v>
      </c>
      <c r="N141">
        <v>0</v>
      </c>
    </row>
    <row r="142" spans="1:14">
      <c r="A142" t="s">
        <v>328</v>
      </c>
      <c r="B142" t="s">
        <v>333</v>
      </c>
      <c r="C142">
        <v>7.0000000000000007E-2</v>
      </c>
      <c r="D142">
        <v>0</v>
      </c>
      <c r="E142">
        <v>1</v>
      </c>
      <c r="F142">
        <v>4.5</v>
      </c>
      <c r="H142">
        <v>0</v>
      </c>
      <c r="I142">
        <v>0</v>
      </c>
      <c r="J142">
        <v>0</v>
      </c>
      <c r="K142">
        <v>0</v>
      </c>
      <c r="L142">
        <v>0</v>
      </c>
      <c r="M142">
        <v>0</v>
      </c>
      <c r="N142">
        <v>0</v>
      </c>
    </row>
    <row r="143" spans="1:14">
      <c r="A143" t="s">
        <v>328</v>
      </c>
      <c r="B143" t="s">
        <v>531</v>
      </c>
      <c r="C143">
        <v>1.01</v>
      </c>
      <c r="D143">
        <v>1</v>
      </c>
      <c r="E143">
        <v>0</v>
      </c>
      <c r="F143">
        <v>3.5</v>
      </c>
      <c r="H143">
        <v>0</v>
      </c>
      <c r="I143">
        <v>0</v>
      </c>
      <c r="J143">
        <v>0</v>
      </c>
      <c r="K143">
        <v>0</v>
      </c>
      <c r="L143">
        <v>0</v>
      </c>
      <c r="M143">
        <v>0</v>
      </c>
      <c r="N143">
        <v>0</v>
      </c>
    </row>
    <row r="144" spans="1:14">
      <c r="A144" t="s">
        <v>336</v>
      </c>
      <c r="B144" t="s">
        <v>337</v>
      </c>
      <c r="C144">
        <v>0.5</v>
      </c>
      <c r="D144">
        <v>0</v>
      </c>
      <c r="E144">
        <v>10</v>
      </c>
      <c r="F144">
        <v>0</v>
      </c>
      <c r="H144">
        <v>0</v>
      </c>
      <c r="I144">
        <v>0</v>
      </c>
      <c r="J144">
        <v>0</v>
      </c>
      <c r="K144">
        <v>0</v>
      </c>
      <c r="L144">
        <v>0</v>
      </c>
      <c r="M144">
        <v>0</v>
      </c>
      <c r="N144">
        <v>0</v>
      </c>
    </row>
    <row r="145" spans="1:16">
      <c r="A145" t="s">
        <v>336</v>
      </c>
      <c r="B145" t="s">
        <v>338</v>
      </c>
      <c r="C145">
        <v>0.05</v>
      </c>
      <c r="D145">
        <v>0</v>
      </c>
      <c r="E145">
        <v>1</v>
      </c>
      <c r="F145">
        <v>0</v>
      </c>
      <c r="H145">
        <v>0</v>
      </c>
      <c r="I145">
        <v>0</v>
      </c>
      <c r="J145">
        <v>0</v>
      </c>
      <c r="K145">
        <v>0</v>
      </c>
      <c r="L145">
        <v>0</v>
      </c>
      <c r="M145">
        <v>0</v>
      </c>
      <c r="N145">
        <v>0</v>
      </c>
    </row>
    <row r="146" spans="1:16">
      <c r="A146" t="s">
        <v>336</v>
      </c>
      <c r="B146" t="s">
        <v>339</v>
      </c>
      <c r="C146">
        <v>0.12</v>
      </c>
      <c r="D146">
        <v>0</v>
      </c>
      <c r="E146">
        <v>2</v>
      </c>
      <c r="F146">
        <v>4</v>
      </c>
      <c r="H146">
        <v>0</v>
      </c>
      <c r="I146">
        <v>0</v>
      </c>
      <c r="J146">
        <v>0</v>
      </c>
      <c r="K146">
        <v>0</v>
      </c>
      <c r="L146">
        <v>0</v>
      </c>
      <c r="M146">
        <v>0</v>
      </c>
      <c r="N146">
        <v>0</v>
      </c>
    </row>
    <row r="147" spans="1:16">
      <c r="A147" t="s">
        <v>336</v>
      </c>
      <c r="B147" t="s">
        <v>340</v>
      </c>
      <c r="C147">
        <v>0.13</v>
      </c>
      <c r="D147">
        <v>0</v>
      </c>
      <c r="E147">
        <v>2</v>
      </c>
      <c r="F147">
        <v>8</v>
      </c>
      <c r="H147">
        <v>0</v>
      </c>
      <c r="I147">
        <v>0</v>
      </c>
      <c r="J147">
        <v>0</v>
      </c>
      <c r="K147">
        <v>0</v>
      </c>
      <c r="L147">
        <v>0</v>
      </c>
      <c r="M147">
        <v>0</v>
      </c>
      <c r="N147">
        <v>0</v>
      </c>
    </row>
    <row r="148" spans="1:16">
      <c r="A148" t="s">
        <v>336</v>
      </c>
      <c r="B148" t="s">
        <v>341</v>
      </c>
      <c r="C148">
        <v>0.09</v>
      </c>
      <c r="D148">
        <v>0</v>
      </c>
      <c r="E148">
        <v>1</v>
      </c>
      <c r="F148">
        <v>8.5</v>
      </c>
      <c r="H148">
        <v>0</v>
      </c>
      <c r="I148">
        <v>0</v>
      </c>
      <c r="J148">
        <v>0</v>
      </c>
      <c r="K148">
        <v>0</v>
      </c>
      <c r="L148">
        <v>0</v>
      </c>
      <c r="M148">
        <v>0</v>
      </c>
      <c r="N148">
        <v>0</v>
      </c>
    </row>
    <row r="149" spans="1:16">
      <c r="A149" t="s">
        <v>336</v>
      </c>
      <c r="B149" t="s">
        <v>342</v>
      </c>
      <c r="C149">
        <v>0.04</v>
      </c>
      <c r="D149">
        <v>0</v>
      </c>
      <c r="E149">
        <v>0</v>
      </c>
      <c r="F149">
        <v>10</v>
      </c>
      <c r="H149">
        <v>0</v>
      </c>
      <c r="I149">
        <v>0</v>
      </c>
      <c r="J149">
        <v>0</v>
      </c>
      <c r="K149">
        <v>0</v>
      </c>
      <c r="L149">
        <v>0</v>
      </c>
      <c r="M149">
        <v>0</v>
      </c>
      <c r="N149">
        <v>0</v>
      </c>
    </row>
    <row r="150" spans="1:16">
      <c r="A150" t="s">
        <v>336</v>
      </c>
      <c r="B150" t="s">
        <v>343</v>
      </c>
      <c r="C150">
        <v>0.04</v>
      </c>
      <c r="D150">
        <v>0</v>
      </c>
      <c r="E150">
        <v>0</v>
      </c>
      <c r="F150">
        <v>9</v>
      </c>
      <c r="H150">
        <v>0</v>
      </c>
      <c r="I150">
        <v>0</v>
      </c>
      <c r="J150">
        <v>0</v>
      </c>
      <c r="K150">
        <v>0</v>
      </c>
      <c r="L150">
        <v>0</v>
      </c>
      <c r="M150">
        <v>0</v>
      </c>
      <c r="N150">
        <v>0</v>
      </c>
    </row>
    <row r="151" spans="1:16">
      <c r="A151" t="s">
        <v>336</v>
      </c>
      <c r="B151" t="s">
        <v>344</v>
      </c>
      <c r="C151">
        <v>0.03</v>
      </c>
      <c r="D151">
        <v>0</v>
      </c>
      <c r="E151">
        <v>0</v>
      </c>
      <c r="F151">
        <v>8</v>
      </c>
      <c r="H151">
        <v>0</v>
      </c>
      <c r="I151">
        <v>0</v>
      </c>
      <c r="J151">
        <v>0</v>
      </c>
      <c r="K151">
        <v>0</v>
      </c>
      <c r="L151">
        <v>0</v>
      </c>
      <c r="M151">
        <v>0</v>
      </c>
      <c r="N151">
        <v>0</v>
      </c>
    </row>
    <row r="152" spans="1:16">
      <c r="A152" t="s">
        <v>336</v>
      </c>
      <c r="B152" t="s">
        <v>345</v>
      </c>
      <c r="C152">
        <v>0.05</v>
      </c>
      <c r="D152">
        <v>0</v>
      </c>
      <c r="E152">
        <v>1</v>
      </c>
      <c r="F152">
        <v>0</v>
      </c>
      <c r="H152">
        <v>0</v>
      </c>
      <c r="I152">
        <v>0</v>
      </c>
      <c r="J152">
        <v>0</v>
      </c>
      <c r="K152">
        <v>0</v>
      </c>
      <c r="L152">
        <v>0</v>
      </c>
      <c r="M152">
        <v>0</v>
      </c>
      <c r="N152">
        <v>0</v>
      </c>
    </row>
    <row r="153" spans="1:16">
      <c r="A153" t="s">
        <v>336</v>
      </c>
      <c r="B153" t="s">
        <v>346</v>
      </c>
      <c r="C153">
        <v>0.01</v>
      </c>
      <c r="D153">
        <v>0</v>
      </c>
      <c r="E153">
        <v>0</v>
      </c>
      <c r="F153">
        <v>3</v>
      </c>
      <c r="H153">
        <v>0</v>
      </c>
      <c r="I153">
        <v>0</v>
      </c>
      <c r="J153">
        <v>0</v>
      </c>
      <c r="K153">
        <v>0</v>
      </c>
      <c r="L153">
        <v>0</v>
      </c>
      <c r="M153">
        <v>0</v>
      </c>
      <c r="N153">
        <v>0</v>
      </c>
    </row>
    <row r="154" spans="1:16">
      <c r="A154" t="s">
        <v>336</v>
      </c>
      <c r="B154" t="s">
        <v>347</v>
      </c>
      <c r="C154">
        <v>0.01</v>
      </c>
      <c r="D154">
        <v>0</v>
      </c>
      <c r="E154">
        <v>0</v>
      </c>
      <c r="F154">
        <v>3</v>
      </c>
      <c r="H154">
        <v>0</v>
      </c>
      <c r="I154">
        <v>0</v>
      </c>
      <c r="J154">
        <v>0</v>
      </c>
      <c r="K154">
        <v>0</v>
      </c>
      <c r="L154">
        <v>0</v>
      </c>
      <c r="M154">
        <v>0</v>
      </c>
      <c r="N154">
        <v>0</v>
      </c>
    </row>
    <row r="155" spans="1:16">
      <c r="A155" t="s">
        <v>336</v>
      </c>
      <c r="B155" t="s">
        <v>532</v>
      </c>
      <c r="C155">
        <v>1.1299999999999999</v>
      </c>
      <c r="D155">
        <v>1</v>
      </c>
      <c r="E155">
        <v>2</v>
      </c>
      <c r="F155">
        <v>6.5</v>
      </c>
      <c r="H155">
        <v>0</v>
      </c>
      <c r="I155">
        <v>0</v>
      </c>
      <c r="J155">
        <v>0</v>
      </c>
      <c r="K155">
        <v>0</v>
      </c>
      <c r="L155">
        <v>0</v>
      </c>
      <c r="M155">
        <v>0</v>
      </c>
      <c r="N155">
        <v>0</v>
      </c>
    </row>
    <row r="156" spans="1:16">
      <c r="A156" t="s">
        <v>350</v>
      </c>
      <c r="B156" t="s">
        <v>351</v>
      </c>
      <c r="C156">
        <v>0.56000000000000005</v>
      </c>
      <c r="D156">
        <v>0</v>
      </c>
      <c r="E156">
        <v>11</v>
      </c>
      <c r="F156">
        <v>2.75</v>
      </c>
      <c r="G156" t="s">
        <v>533</v>
      </c>
      <c r="H156">
        <v>49</v>
      </c>
      <c r="I156">
        <v>1</v>
      </c>
      <c r="J156">
        <v>49.125</v>
      </c>
      <c r="K156">
        <v>49.125</v>
      </c>
      <c r="L156">
        <v>0</v>
      </c>
      <c r="M156">
        <v>49</v>
      </c>
      <c r="N156">
        <v>1</v>
      </c>
    </row>
    <row r="157" spans="1:16">
      <c r="A157" t="s">
        <v>350</v>
      </c>
      <c r="B157" t="s">
        <v>524</v>
      </c>
      <c r="C157">
        <v>0</v>
      </c>
      <c r="D157">
        <v>0</v>
      </c>
      <c r="E157">
        <v>0</v>
      </c>
      <c r="F157">
        <v>0</v>
      </c>
      <c r="H157">
        <v>0</v>
      </c>
      <c r="I157">
        <v>0</v>
      </c>
      <c r="J157">
        <v>0</v>
      </c>
      <c r="K157">
        <v>0</v>
      </c>
      <c r="L157">
        <v>0</v>
      </c>
      <c r="M157">
        <v>0</v>
      </c>
      <c r="N157">
        <v>0</v>
      </c>
    </row>
    <row r="158" spans="1:16">
      <c r="A158" t="s">
        <v>350</v>
      </c>
      <c r="B158" t="s">
        <v>352</v>
      </c>
      <c r="C158">
        <v>0.56999999999999995</v>
      </c>
      <c r="D158">
        <v>0</v>
      </c>
      <c r="E158">
        <v>11</v>
      </c>
      <c r="F158">
        <v>4.5</v>
      </c>
      <c r="G158" t="s">
        <v>67</v>
      </c>
      <c r="H158">
        <v>78</v>
      </c>
      <c r="I158">
        <v>0</v>
      </c>
      <c r="J158">
        <v>78</v>
      </c>
      <c r="K158">
        <v>78</v>
      </c>
      <c r="L158">
        <v>0</v>
      </c>
      <c r="M158">
        <v>78</v>
      </c>
      <c r="N158">
        <v>0</v>
      </c>
    </row>
    <row r="159" spans="1:16">
      <c r="A159" t="s">
        <v>350</v>
      </c>
      <c r="B159" t="s">
        <v>524</v>
      </c>
      <c r="C159">
        <v>0</v>
      </c>
      <c r="D159">
        <v>0</v>
      </c>
      <c r="E159">
        <v>0</v>
      </c>
      <c r="F159">
        <v>0</v>
      </c>
      <c r="H159">
        <v>0</v>
      </c>
      <c r="I159">
        <v>0</v>
      </c>
      <c r="J159">
        <v>0</v>
      </c>
      <c r="K159">
        <v>0</v>
      </c>
      <c r="L159">
        <v>0</v>
      </c>
      <c r="M159">
        <v>0</v>
      </c>
      <c r="N159">
        <v>0</v>
      </c>
    </row>
    <row r="160" spans="1:16">
      <c r="A160" t="s">
        <v>350</v>
      </c>
      <c r="B160" t="s">
        <v>353</v>
      </c>
      <c r="C160">
        <v>0.27</v>
      </c>
      <c r="D160">
        <v>0</v>
      </c>
      <c r="E160">
        <v>5</v>
      </c>
      <c r="F160">
        <v>5.5</v>
      </c>
      <c r="G160" t="s">
        <v>68</v>
      </c>
      <c r="H160">
        <v>2</v>
      </c>
      <c r="I160">
        <v>0</v>
      </c>
      <c r="J160">
        <v>2</v>
      </c>
      <c r="K160">
        <v>75</v>
      </c>
      <c r="L160">
        <v>-73</v>
      </c>
      <c r="M160">
        <v>75</v>
      </c>
      <c r="N160">
        <v>0</v>
      </c>
      <c r="O160">
        <v>2</v>
      </c>
      <c r="P160">
        <v>0</v>
      </c>
    </row>
    <row r="161" spans="1:14">
      <c r="A161" t="s">
        <v>350</v>
      </c>
      <c r="B161" t="s">
        <v>354</v>
      </c>
      <c r="C161">
        <v>0.24</v>
      </c>
      <c r="D161">
        <v>0</v>
      </c>
      <c r="E161">
        <v>4</v>
      </c>
      <c r="F161">
        <v>9</v>
      </c>
      <c r="G161" t="s">
        <v>534</v>
      </c>
      <c r="H161">
        <v>25</v>
      </c>
      <c r="I161">
        <v>3</v>
      </c>
      <c r="J161">
        <v>25.375</v>
      </c>
      <c r="K161">
        <v>25.375</v>
      </c>
      <c r="L161">
        <v>0</v>
      </c>
      <c r="M161">
        <v>25</v>
      </c>
      <c r="N161">
        <v>3</v>
      </c>
    </row>
    <row r="162" spans="1:14">
      <c r="A162" t="s">
        <v>350</v>
      </c>
      <c r="B162" t="s">
        <v>524</v>
      </c>
      <c r="C162">
        <v>0</v>
      </c>
      <c r="D162">
        <v>0</v>
      </c>
      <c r="E162">
        <v>0</v>
      </c>
      <c r="F162">
        <v>0</v>
      </c>
      <c r="H162">
        <v>0</v>
      </c>
      <c r="I162">
        <v>0</v>
      </c>
      <c r="J162">
        <v>0</v>
      </c>
      <c r="K162">
        <v>0</v>
      </c>
      <c r="L162">
        <v>0</v>
      </c>
      <c r="M162">
        <v>0</v>
      </c>
      <c r="N162">
        <v>0</v>
      </c>
    </row>
    <row r="163" spans="1:14">
      <c r="A163" t="s">
        <v>350</v>
      </c>
      <c r="B163" t="s">
        <v>355</v>
      </c>
      <c r="C163">
        <v>0.02</v>
      </c>
      <c r="D163">
        <v>0</v>
      </c>
      <c r="E163">
        <v>0</v>
      </c>
      <c r="F163">
        <v>5.5</v>
      </c>
      <c r="H163">
        <v>0</v>
      </c>
      <c r="I163">
        <v>0</v>
      </c>
      <c r="J163">
        <v>0</v>
      </c>
      <c r="K163">
        <v>0</v>
      </c>
      <c r="L163">
        <v>0</v>
      </c>
      <c r="M163">
        <v>0</v>
      </c>
      <c r="N163">
        <v>0</v>
      </c>
    </row>
    <row r="164" spans="1:14">
      <c r="A164" t="s">
        <v>350</v>
      </c>
      <c r="B164" t="s">
        <v>535</v>
      </c>
      <c r="C164">
        <v>1.67</v>
      </c>
      <c r="D164">
        <v>1</v>
      </c>
      <c r="E164">
        <v>13</v>
      </c>
      <c r="F164">
        <v>5.75</v>
      </c>
      <c r="H164">
        <v>0</v>
      </c>
      <c r="I164">
        <v>0</v>
      </c>
      <c r="J164">
        <v>0</v>
      </c>
      <c r="K164">
        <v>0</v>
      </c>
      <c r="L164">
        <v>0</v>
      </c>
      <c r="M164">
        <v>0</v>
      </c>
      <c r="N164">
        <v>0</v>
      </c>
    </row>
    <row r="165" spans="1:14">
      <c r="A165" t="s">
        <v>358</v>
      </c>
      <c r="B165" t="s">
        <v>359</v>
      </c>
      <c r="C165">
        <v>0.19</v>
      </c>
      <c r="D165">
        <v>0</v>
      </c>
      <c r="E165">
        <v>3</v>
      </c>
      <c r="F165">
        <v>9</v>
      </c>
      <c r="H165">
        <v>0</v>
      </c>
      <c r="I165">
        <v>0</v>
      </c>
      <c r="J165">
        <v>0</v>
      </c>
      <c r="K165">
        <v>0</v>
      </c>
      <c r="L165">
        <v>0</v>
      </c>
      <c r="M165">
        <v>0</v>
      </c>
      <c r="N165">
        <v>0</v>
      </c>
    </row>
    <row r="166" spans="1:14">
      <c r="A166" t="s">
        <v>358</v>
      </c>
      <c r="B166" t="s">
        <v>360</v>
      </c>
      <c r="C166">
        <v>0.91</v>
      </c>
      <c r="D166">
        <v>0</v>
      </c>
      <c r="E166">
        <v>18</v>
      </c>
      <c r="F166">
        <v>2.5</v>
      </c>
      <c r="H166">
        <v>0</v>
      </c>
      <c r="I166">
        <v>0</v>
      </c>
      <c r="J166">
        <v>0</v>
      </c>
      <c r="K166">
        <v>0</v>
      </c>
      <c r="L166">
        <v>0</v>
      </c>
      <c r="M166">
        <v>0</v>
      </c>
      <c r="N166">
        <v>0</v>
      </c>
    </row>
    <row r="167" spans="1:14">
      <c r="A167" t="s">
        <v>358</v>
      </c>
      <c r="B167" t="s">
        <v>536</v>
      </c>
      <c r="C167">
        <v>1.35</v>
      </c>
      <c r="D167">
        <v>1</v>
      </c>
      <c r="E167">
        <v>7</v>
      </c>
      <c r="F167">
        <v>0</v>
      </c>
      <c r="H167">
        <v>0</v>
      </c>
      <c r="I167">
        <v>0</v>
      </c>
      <c r="J167">
        <v>0</v>
      </c>
      <c r="K167">
        <v>0</v>
      </c>
      <c r="L167">
        <v>0</v>
      </c>
      <c r="M167">
        <v>0</v>
      </c>
      <c r="N167">
        <v>0</v>
      </c>
    </row>
    <row r="168" spans="1:14">
      <c r="A168" t="s">
        <v>363</v>
      </c>
      <c r="B168" t="s">
        <v>364</v>
      </c>
      <c r="C168">
        <v>0.1</v>
      </c>
      <c r="D168">
        <v>0</v>
      </c>
      <c r="E168">
        <v>2</v>
      </c>
      <c r="F168">
        <v>0</v>
      </c>
      <c r="H168">
        <v>0</v>
      </c>
      <c r="I168">
        <v>0</v>
      </c>
      <c r="J168">
        <v>0</v>
      </c>
      <c r="K168">
        <v>0</v>
      </c>
      <c r="L168">
        <v>0</v>
      </c>
      <c r="M168">
        <v>0</v>
      </c>
      <c r="N168">
        <v>0</v>
      </c>
    </row>
    <row r="169" spans="1:14">
      <c r="A169" t="s">
        <v>363</v>
      </c>
      <c r="B169" t="s">
        <v>365</v>
      </c>
      <c r="C169">
        <v>0.15</v>
      </c>
      <c r="D169">
        <v>0</v>
      </c>
      <c r="E169">
        <v>3</v>
      </c>
      <c r="F169">
        <v>0</v>
      </c>
      <c r="H169">
        <v>0</v>
      </c>
      <c r="I169">
        <v>0</v>
      </c>
      <c r="J169">
        <v>0</v>
      </c>
      <c r="K169">
        <v>0</v>
      </c>
      <c r="L169">
        <v>0</v>
      </c>
      <c r="M169">
        <v>0</v>
      </c>
      <c r="N169">
        <v>0</v>
      </c>
    </row>
    <row r="170" spans="1:14">
      <c r="A170" t="s">
        <v>363</v>
      </c>
      <c r="B170" t="s">
        <v>537</v>
      </c>
      <c r="C170">
        <v>0.26</v>
      </c>
      <c r="D170">
        <v>0</v>
      </c>
      <c r="E170">
        <v>5</v>
      </c>
      <c r="F170">
        <v>3</v>
      </c>
      <c r="H170">
        <v>0</v>
      </c>
      <c r="I170">
        <v>0</v>
      </c>
      <c r="J170">
        <v>0</v>
      </c>
      <c r="K170">
        <v>0</v>
      </c>
      <c r="L170">
        <v>0</v>
      </c>
      <c r="M170">
        <v>0</v>
      </c>
      <c r="N170">
        <v>0</v>
      </c>
    </row>
    <row r="171" spans="1:14">
      <c r="A171" t="s">
        <v>368</v>
      </c>
      <c r="B171" t="s">
        <v>369</v>
      </c>
      <c r="C171">
        <v>10.99</v>
      </c>
      <c r="D171">
        <v>10</v>
      </c>
      <c r="E171">
        <v>19</v>
      </c>
      <c r="F171">
        <v>9</v>
      </c>
      <c r="H171">
        <v>0</v>
      </c>
      <c r="I171">
        <v>0</v>
      </c>
      <c r="J171">
        <v>0</v>
      </c>
      <c r="K171">
        <v>0</v>
      </c>
      <c r="L171">
        <v>0</v>
      </c>
      <c r="M171">
        <v>0</v>
      </c>
      <c r="N171">
        <v>0</v>
      </c>
    </row>
    <row r="172" spans="1:14">
      <c r="A172" t="s">
        <v>370</v>
      </c>
      <c r="B172" t="s">
        <v>371</v>
      </c>
      <c r="C172">
        <v>68.099999999999994</v>
      </c>
      <c r="D172">
        <v>68</v>
      </c>
      <c r="E172">
        <v>2</v>
      </c>
      <c r="F172">
        <v>0</v>
      </c>
      <c r="H172">
        <v>0</v>
      </c>
      <c r="I172">
        <v>0</v>
      </c>
      <c r="J172">
        <v>0</v>
      </c>
      <c r="K172">
        <v>0</v>
      </c>
      <c r="L172">
        <v>0</v>
      </c>
      <c r="M172">
        <v>0</v>
      </c>
      <c r="N172">
        <v>0</v>
      </c>
    </row>
    <row r="173" spans="1:14">
      <c r="A173" t="s">
        <v>538</v>
      </c>
      <c r="B173" t="s">
        <v>539</v>
      </c>
      <c r="C173">
        <v>20.6</v>
      </c>
      <c r="D173">
        <v>20</v>
      </c>
      <c r="E173">
        <v>12</v>
      </c>
      <c r="F173">
        <v>0</v>
      </c>
      <c r="H173">
        <v>0</v>
      </c>
      <c r="I173">
        <v>0</v>
      </c>
      <c r="J173">
        <v>0</v>
      </c>
      <c r="K173">
        <v>0</v>
      </c>
      <c r="L173">
        <v>0</v>
      </c>
      <c r="M173">
        <v>0</v>
      </c>
      <c r="N173">
        <v>0</v>
      </c>
    </row>
    <row r="174" spans="1:14">
      <c r="A174" t="s">
        <v>76</v>
      </c>
      <c r="B174" t="s">
        <v>540</v>
      </c>
      <c r="C174">
        <v>0</v>
      </c>
      <c r="D174">
        <v>0</v>
      </c>
      <c r="E174">
        <v>0</v>
      </c>
      <c r="F174">
        <v>0</v>
      </c>
      <c r="H174">
        <v>1</v>
      </c>
      <c r="I174">
        <v>5</v>
      </c>
      <c r="J174">
        <v>1.625</v>
      </c>
      <c r="K174">
        <v>1.625</v>
      </c>
      <c r="L174">
        <v>0</v>
      </c>
      <c r="M174">
        <v>1</v>
      </c>
      <c r="N174">
        <v>5</v>
      </c>
    </row>
    <row r="175" spans="1:14">
      <c r="A175" t="s">
        <v>76</v>
      </c>
      <c r="B175" t="s">
        <v>541</v>
      </c>
      <c r="C175">
        <v>0</v>
      </c>
      <c r="D175">
        <v>0</v>
      </c>
      <c r="E175">
        <v>0</v>
      </c>
      <c r="F175">
        <v>0</v>
      </c>
      <c r="G175" t="s">
        <v>62</v>
      </c>
      <c r="H175">
        <v>47.5</v>
      </c>
      <c r="I175">
        <v>0</v>
      </c>
      <c r="J175">
        <v>47.5</v>
      </c>
      <c r="K175">
        <v>47.5</v>
      </c>
      <c r="L175">
        <v>0</v>
      </c>
      <c r="M175">
        <v>47.5</v>
      </c>
      <c r="N175">
        <v>0</v>
      </c>
    </row>
    <row r="176" spans="1:14">
      <c r="A176" t="s">
        <v>76</v>
      </c>
      <c r="B176" t="s">
        <v>542</v>
      </c>
      <c r="C176">
        <v>0</v>
      </c>
      <c r="D176">
        <v>0</v>
      </c>
      <c r="E176">
        <v>0</v>
      </c>
      <c r="F176">
        <v>0</v>
      </c>
      <c r="H176">
        <v>10.5</v>
      </c>
      <c r="I176">
        <v>2.5</v>
      </c>
      <c r="J176">
        <v>10.8125</v>
      </c>
      <c r="K176">
        <v>10.8125</v>
      </c>
      <c r="L176">
        <v>0</v>
      </c>
      <c r="M176">
        <v>10.5</v>
      </c>
      <c r="N176">
        <v>2.5</v>
      </c>
    </row>
    <row r="177" spans="1:14">
      <c r="A177" t="s">
        <v>76</v>
      </c>
      <c r="B177" t="s">
        <v>543</v>
      </c>
      <c r="C177">
        <v>0</v>
      </c>
      <c r="D177">
        <v>0</v>
      </c>
      <c r="E177">
        <v>0</v>
      </c>
      <c r="F177">
        <v>0</v>
      </c>
      <c r="H177">
        <v>58</v>
      </c>
      <c r="I177">
        <v>2.5</v>
      </c>
      <c r="J177">
        <v>58.3125</v>
      </c>
      <c r="K177">
        <v>58.3125</v>
      </c>
      <c r="L177">
        <v>0</v>
      </c>
      <c r="M177">
        <v>58</v>
      </c>
      <c r="N177">
        <v>2.5</v>
      </c>
    </row>
    <row r="178" spans="1:14">
      <c r="A178" t="s">
        <v>76</v>
      </c>
      <c r="B178" t="s">
        <v>544</v>
      </c>
      <c r="C178">
        <v>0</v>
      </c>
      <c r="D178">
        <v>0</v>
      </c>
      <c r="E178">
        <v>0</v>
      </c>
      <c r="F178">
        <v>0</v>
      </c>
      <c r="H178">
        <v>14.5</v>
      </c>
      <c r="I178">
        <v>0</v>
      </c>
      <c r="J178">
        <v>14.5</v>
      </c>
      <c r="K178">
        <v>14.5</v>
      </c>
      <c r="L178">
        <v>0</v>
      </c>
      <c r="M178">
        <v>14.5</v>
      </c>
      <c r="N178">
        <v>0</v>
      </c>
    </row>
    <row r="179" spans="1:14">
      <c r="A179" t="s">
        <v>76</v>
      </c>
      <c r="B179" t="s">
        <v>545</v>
      </c>
      <c r="C179">
        <v>0</v>
      </c>
      <c r="D179">
        <v>0</v>
      </c>
      <c r="E179">
        <v>0</v>
      </c>
      <c r="F179">
        <v>0</v>
      </c>
      <c r="H179">
        <v>0</v>
      </c>
      <c r="I179">
        <v>1.5</v>
      </c>
      <c r="J179">
        <v>0.1875</v>
      </c>
      <c r="K179">
        <v>0.1875</v>
      </c>
      <c r="L179">
        <v>0</v>
      </c>
      <c r="M179">
        <v>0</v>
      </c>
      <c r="N179">
        <v>1.5</v>
      </c>
    </row>
    <row r="180" spans="1:14">
      <c r="A180" t="s">
        <v>76</v>
      </c>
      <c r="B180" t="s">
        <v>524</v>
      </c>
      <c r="C180">
        <v>0</v>
      </c>
      <c r="D180">
        <v>0</v>
      </c>
      <c r="E180">
        <v>0</v>
      </c>
      <c r="F180">
        <v>0</v>
      </c>
      <c r="H180">
        <v>0</v>
      </c>
      <c r="I180">
        <v>0</v>
      </c>
      <c r="J180">
        <v>0</v>
      </c>
      <c r="K180">
        <v>0</v>
      </c>
      <c r="L180">
        <v>0</v>
      </c>
      <c r="M180">
        <v>0</v>
      </c>
      <c r="N180">
        <v>0</v>
      </c>
    </row>
    <row r="181" spans="1:14">
      <c r="A181" t="s">
        <v>76</v>
      </c>
      <c r="B181" t="s">
        <v>546</v>
      </c>
      <c r="C181">
        <v>0</v>
      </c>
      <c r="D181">
        <v>0</v>
      </c>
      <c r="E181">
        <v>0</v>
      </c>
      <c r="F181">
        <v>0</v>
      </c>
      <c r="H181">
        <v>0</v>
      </c>
      <c r="I181">
        <v>1</v>
      </c>
      <c r="J181">
        <v>0.125</v>
      </c>
      <c r="K181">
        <v>0.125</v>
      </c>
      <c r="L181">
        <v>0</v>
      </c>
      <c r="M181">
        <v>0</v>
      </c>
      <c r="N181">
        <v>1</v>
      </c>
    </row>
    <row r="182" spans="1:14">
      <c r="A182" t="s">
        <v>76</v>
      </c>
      <c r="B182" t="s">
        <v>547</v>
      </c>
      <c r="C182">
        <v>0</v>
      </c>
      <c r="D182">
        <v>0</v>
      </c>
      <c r="E182">
        <v>0</v>
      </c>
      <c r="F182">
        <v>0</v>
      </c>
      <c r="H182">
        <v>0</v>
      </c>
      <c r="I182">
        <v>6</v>
      </c>
      <c r="J182">
        <v>0.75</v>
      </c>
      <c r="K182">
        <v>0.75</v>
      </c>
      <c r="L182">
        <v>0</v>
      </c>
      <c r="M182">
        <v>0</v>
      </c>
      <c r="N182">
        <v>6</v>
      </c>
    </row>
    <row r="183" spans="1:14">
      <c r="A183" t="s">
        <v>76</v>
      </c>
      <c r="B183" t="s">
        <v>524</v>
      </c>
      <c r="C183">
        <v>0</v>
      </c>
      <c r="D183">
        <v>0</v>
      </c>
      <c r="E183">
        <v>0</v>
      </c>
      <c r="F183">
        <v>0</v>
      </c>
      <c r="H183">
        <v>0</v>
      </c>
      <c r="I183">
        <v>0</v>
      </c>
      <c r="J183">
        <v>0</v>
      </c>
      <c r="K183">
        <v>0</v>
      </c>
      <c r="L183">
        <v>0</v>
      </c>
      <c r="M183">
        <v>0</v>
      </c>
      <c r="N183">
        <v>0</v>
      </c>
    </row>
    <row r="184" spans="1:14">
      <c r="A184" t="s">
        <v>76</v>
      </c>
      <c r="B184" t="s">
        <v>548</v>
      </c>
      <c r="C184">
        <v>0</v>
      </c>
      <c r="D184">
        <v>0</v>
      </c>
      <c r="E184">
        <v>0</v>
      </c>
      <c r="F184">
        <v>0</v>
      </c>
      <c r="H184">
        <v>0</v>
      </c>
      <c r="I184">
        <v>2</v>
      </c>
      <c r="J184">
        <v>0.25</v>
      </c>
      <c r="K184">
        <v>0.25</v>
      </c>
      <c r="L184">
        <v>0</v>
      </c>
      <c r="M184">
        <v>0</v>
      </c>
      <c r="N184">
        <v>2</v>
      </c>
    </row>
    <row r="185" spans="1:14">
      <c r="A185" t="s">
        <v>76</v>
      </c>
      <c r="B185" t="s">
        <v>549</v>
      </c>
      <c r="C185">
        <v>0</v>
      </c>
      <c r="D185">
        <v>0</v>
      </c>
      <c r="E185">
        <v>0</v>
      </c>
      <c r="F185">
        <v>0</v>
      </c>
      <c r="H185">
        <v>0</v>
      </c>
      <c r="I185">
        <v>1.5</v>
      </c>
      <c r="J185">
        <v>0.1875</v>
      </c>
      <c r="K185">
        <v>0.1875</v>
      </c>
      <c r="L185">
        <v>0</v>
      </c>
      <c r="M185">
        <v>0</v>
      </c>
      <c r="N185">
        <v>1.5</v>
      </c>
    </row>
    <row r="186" spans="1:14">
      <c r="A186" t="s">
        <v>76</v>
      </c>
      <c r="B186" t="s">
        <v>550</v>
      </c>
      <c r="C186">
        <v>0</v>
      </c>
      <c r="D186">
        <v>0</v>
      </c>
      <c r="E186">
        <v>0</v>
      </c>
      <c r="F186">
        <v>0</v>
      </c>
      <c r="H186">
        <v>0</v>
      </c>
      <c r="I186">
        <v>0.5</v>
      </c>
      <c r="J186">
        <v>6.25E-2</v>
      </c>
      <c r="K186">
        <v>6.25E-2</v>
      </c>
      <c r="L186">
        <v>0</v>
      </c>
      <c r="M186">
        <v>0</v>
      </c>
      <c r="N186">
        <v>0.5</v>
      </c>
    </row>
    <row r="187" spans="1:14">
      <c r="A187" t="s">
        <v>76</v>
      </c>
      <c r="B187" t="s">
        <v>551</v>
      </c>
      <c r="C187">
        <v>0</v>
      </c>
      <c r="D187">
        <v>0</v>
      </c>
      <c r="E187">
        <v>0</v>
      </c>
      <c r="F187">
        <v>0</v>
      </c>
      <c r="H187">
        <v>0</v>
      </c>
      <c r="I187">
        <v>0.5</v>
      </c>
      <c r="J187">
        <v>6.25E-2</v>
      </c>
      <c r="K187">
        <v>6.25E-2</v>
      </c>
      <c r="L187">
        <v>0</v>
      </c>
      <c r="M187">
        <v>0</v>
      </c>
      <c r="N187">
        <v>0.5</v>
      </c>
    </row>
    <row r="188" spans="1:14">
      <c r="A188" t="s">
        <v>76</v>
      </c>
      <c r="B188" t="s">
        <v>552</v>
      </c>
      <c r="C188">
        <v>0</v>
      </c>
      <c r="D188">
        <v>0</v>
      </c>
      <c r="E188">
        <v>0</v>
      </c>
      <c r="F188">
        <v>0</v>
      </c>
      <c r="H188">
        <v>42</v>
      </c>
      <c r="I188">
        <v>2.5</v>
      </c>
      <c r="J188">
        <v>42.3125</v>
      </c>
      <c r="K188">
        <v>42.3125</v>
      </c>
      <c r="L188">
        <v>0</v>
      </c>
      <c r="M188">
        <v>42</v>
      </c>
      <c r="N188">
        <v>2.5</v>
      </c>
    </row>
    <row r="189" spans="1:14">
      <c r="A189" t="s">
        <v>553</v>
      </c>
      <c r="B189" t="s">
        <v>554</v>
      </c>
      <c r="C189">
        <v>0</v>
      </c>
      <c r="D189">
        <v>0</v>
      </c>
      <c r="E189">
        <v>0</v>
      </c>
      <c r="F189">
        <v>0</v>
      </c>
      <c r="G189" t="s">
        <v>63</v>
      </c>
      <c r="H189">
        <v>6</v>
      </c>
      <c r="I189">
        <v>3</v>
      </c>
      <c r="J189">
        <v>6.375</v>
      </c>
      <c r="K189">
        <v>6.375</v>
      </c>
      <c r="L189">
        <v>0</v>
      </c>
      <c r="M189">
        <v>6</v>
      </c>
      <c r="N189">
        <v>3</v>
      </c>
    </row>
    <row r="190" spans="1:14">
      <c r="A190" t="s">
        <v>553</v>
      </c>
      <c r="B190" t="s">
        <v>555</v>
      </c>
      <c r="C190">
        <v>0</v>
      </c>
      <c r="D190">
        <v>0</v>
      </c>
      <c r="E190">
        <v>0</v>
      </c>
      <c r="F190">
        <v>0</v>
      </c>
      <c r="H190">
        <v>6</v>
      </c>
      <c r="I190">
        <v>3</v>
      </c>
      <c r="J190">
        <v>6.375</v>
      </c>
      <c r="K190">
        <v>6.375</v>
      </c>
      <c r="L190">
        <v>0</v>
      </c>
      <c r="M190">
        <v>6</v>
      </c>
      <c r="N190">
        <v>3</v>
      </c>
    </row>
    <row r="191" spans="1:14">
      <c r="A191" t="s">
        <v>556</v>
      </c>
      <c r="B191" t="s">
        <v>557</v>
      </c>
      <c r="C191">
        <v>0</v>
      </c>
      <c r="D191">
        <v>0</v>
      </c>
      <c r="E191">
        <v>0</v>
      </c>
      <c r="F191">
        <v>0</v>
      </c>
      <c r="G191" t="s">
        <v>64</v>
      </c>
      <c r="H191">
        <v>2</v>
      </c>
      <c r="I191">
        <v>0.5</v>
      </c>
      <c r="J191">
        <v>2.0625</v>
      </c>
      <c r="K191">
        <v>2.0625</v>
      </c>
      <c r="L191">
        <v>0</v>
      </c>
      <c r="M191">
        <v>2</v>
      </c>
      <c r="N191">
        <v>0.5</v>
      </c>
    </row>
    <row r="192" spans="1:14">
      <c r="A192" t="s">
        <v>556</v>
      </c>
      <c r="B192" t="s">
        <v>558</v>
      </c>
      <c r="C192">
        <v>0</v>
      </c>
      <c r="D192">
        <v>0</v>
      </c>
      <c r="E192">
        <v>0</v>
      </c>
      <c r="F192">
        <v>0</v>
      </c>
      <c r="H192">
        <v>2</v>
      </c>
      <c r="I192">
        <v>0.5</v>
      </c>
      <c r="J192">
        <v>2.0625</v>
      </c>
      <c r="K192">
        <v>2.0625</v>
      </c>
      <c r="L192">
        <v>0</v>
      </c>
      <c r="M192">
        <v>2</v>
      </c>
      <c r="N192">
        <v>0.5</v>
      </c>
    </row>
    <row r="193" spans="1:16">
      <c r="A193" t="s">
        <v>80</v>
      </c>
      <c r="B193" t="s">
        <v>559</v>
      </c>
      <c r="C193">
        <v>0</v>
      </c>
      <c r="D193">
        <v>0</v>
      </c>
      <c r="E193">
        <v>0</v>
      </c>
      <c r="F193">
        <v>0</v>
      </c>
      <c r="H193">
        <v>0</v>
      </c>
      <c r="I193">
        <v>1</v>
      </c>
      <c r="J193">
        <v>0.125</v>
      </c>
      <c r="K193">
        <v>0.125</v>
      </c>
      <c r="L193">
        <v>0</v>
      </c>
      <c r="M193">
        <v>0</v>
      </c>
      <c r="N193">
        <v>1</v>
      </c>
    </row>
    <row r="194" spans="1:16">
      <c r="A194" t="s">
        <v>80</v>
      </c>
      <c r="B194" t="s">
        <v>560</v>
      </c>
      <c r="C194">
        <v>0</v>
      </c>
      <c r="D194">
        <v>0</v>
      </c>
      <c r="E194">
        <v>0</v>
      </c>
      <c r="F194">
        <v>0</v>
      </c>
      <c r="G194" t="s">
        <v>65</v>
      </c>
      <c r="H194">
        <v>7.5</v>
      </c>
      <c r="I194">
        <v>1</v>
      </c>
      <c r="J194">
        <v>7.625</v>
      </c>
      <c r="K194">
        <v>7.625</v>
      </c>
      <c r="L194">
        <v>0</v>
      </c>
      <c r="M194">
        <v>7.5</v>
      </c>
      <c r="N194">
        <v>1</v>
      </c>
    </row>
    <row r="195" spans="1:16">
      <c r="A195" t="s">
        <v>80</v>
      </c>
      <c r="B195" t="s">
        <v>561</v>
      </c>
      <c r="C195">
        <v>0</v>
      </c>
      <c r="D195">
        <v>0</v>
      </c>
      <c r="E195">
        <v>0</v>
      </c>
      <c r="F195">
        <v>0</v>
      </c>
      <c r="G195" t="s">
        <v>67</v>
      </c>
      <c r="H195">
        <v>7</v>
      </c>
      <c r="I195">
        <v>4</v>
      </c>
      <c r="J195">
        <v>7.5</v>
      </c>
      <c r="K195">
        <v>7.125</v>
      </c>
      <c r="L195">
        <v>0.375</v>
      </c>
      <c r="M195">
        <v>7</v>
      </c>
      <c r="N195">
        <v>1</v>
      </c>
      <c r="O195">
        <v>0</v>
      </c>
      <c r="P195">
        <v>4</v>
      </c>
    </row>
    <row r="196" spans="1:16">
      <c r="A196" t="s">
        <v>562</v>
      </c>
      <c r="B196" t="s">
        <v>563</v>
      </c>
      <c r="C196">
        <v>0</v>
      </c>
      <c r="D196">
        <v>0</v>
      </c>
      <c r="E196">
        <v>0</v>
      </c>
      <c r="F196">
        <v>0</v>
      </c>
      <c r="H196">
        <v>0</v>
      </c>
      <c r="I196">
        <v>6</v>
      </c>
      <c r="J196">
        <v>0.75</v>
      </c>
      <c r="K196">
        <v>0.75</v>
      </c>
      <c r="L196">
        <v>0</v>
      </c>
      <c r="M196">
        <v>0</v>
      </c>
      <c r="N196">
        <v>6</v>
      </c>
    </row>
    <row r="197" spans="1:16">
      <c r="A197" t="s">
        <v>562</v>
      </c>
      <c r="B197" t="s">
        <v>564</v>
      </c>
      <c r="C197">
        <v>0</v>
      </c>
      <c r="D197">
        <v>0</v>
      </c>
      <c r="E197">
        <v>0</v>
      </c>
      <c r="F197">
        <v>0</v>
      </c>
      <c r="H197">
        <v>25</v>
      </c>
      <c r="I197">
        <v>2</v>
      </c>
      <c r="J197">
        <v>25.25</v>
      </c>
      <c r="K197">
        <v>25.25</v>
      </c>
      <c r="L197">
        <v>0</v>
      </c>
      <c r="M197">
        <v>25</v>
      </c>
      <c r="N197">
        <v>2</v>
      </c>
    </row>
    <row r="198" spans="1:16">
      <c r="A198" t="s">
        <v>562</v>
      </c>
      <c r="B198" t="s">
        <v>565</v>
      </c>
      <c r="C198">
        <v>0</v>
      </c>
      <c r="D198">
        <v>0</v>
      </c>
      <c r="E198">
        <v>0</v>
      </c>
      <c r="F198">
        <v>0</v>
      </c>
      <c r="G198" t="s">
        <v>67</v>
      </c>
      <c r="H198">
        <v>9</v>
      </c>
      <c r="I198">
        <v>2</v>
      </c>
      <c r="J198">
        <v>9.25</v>
      </c>
      <c r="K198">
        <v>5.25</v>
      </c>
      <c r="L198">
        <v>4</v>
      </c>
      <c r="M198">
        <v>5</v>
      </c>
      <c r="N198">
        <v>2</v>
      </c>
      <c r="O198">
        <v>9</v>
      </c>
      <c r="P198">
        <v>0</v>
      </c>
    </row>
    <row r="199" spans="1:16">
      <c r="A199" t="s">
        <v>562</v>
      </c>
      <c r="B199" t="s">
        <v>566</v>
      </c>
      <c r="C199">
        <v>0</v>
      </c>
      <c r="D199">
        <v>0</v>
      </c>
      <c r="E199">
        <v>0</v>
      </c>
      <c r="F199">
        <v>0</v>
      </c>
      <c r="H199">
        <v>11</v>
      </c>
      <c r="I199">
        <v>0</v>
      </c>
      <c r="J199">
        <v>11</v>
      </c>
      <c r="K199">
        <v>11</v>
      </c>
      <c r="L199">
        <v>0</v>
      </c>
      <c r="M199">
        <v>11</v>
      </c>
      <c r="N199">
        <v>0</v>
      </c>
    </row>
    <row r="200" spans="1:16">
      <c r="A200" t="s">
        <v>567</v>
      </c>
      <c r="B200" t="s">
        <v>568</v>
      </c>
      <c r="C200">
        <v>0</v>
      </c>
      <c r="D200">
        <v>0</v>
      </c>
      <c r="E200">
        <v>0</v>
      </c>
      <c r="F200">
        <v>0</v>
      </c>
      <c r="H200">
        <v>1</v>
      </c>
      <c r="I200">
        <v>1</v>
      </c>
      <c r="J200">
        <v>1.125</v>
      </c>
      <c r="K200">
        <v>1.125</v>
      </c>
      <c r="L200">
        <v>0</v>
      </c>
      <c r="M200">
        <v>1</v>
      </c>
      <c r="N200">
        <v>1</v>
      </c>
    </row>
    <row r="201" spans="1:16">
      <c r="A201" t="s">
        <v>567</v>
      </c>
      <c r="B201" t="s">
        <v>569</v>
      </c>
      <c r="C201">
        <v>0</v>
      </c>
      <c r="D201">
        <v>0</v>
      </c>
      <c r="E201">
        <v>0</v>
      </c>
      <c r="F201">
        <v>0</v>
      </c>
      <c r="G201" t="s">
        <v>67</v>
      </c>
      <c r="H201">
        <v>73.5</v>
      </c>
      <c r="I201">
        <v>1</v>
      </c>
      <c r="J201">
        <v>73.625</v>
      </c>
      <c r="K201">
        <v>73.625</v>
      </c>
      <c r="L201">
        <v>0</v>
      </c>
      <c r="M201">
        <v>73.5</v>
      </c>
      <c r="N201">
        <v>1</v>
      </c>
    </row>
    <row r="202" spans="1:16">
      <c r="A202" t="s">
        <v>567</v>
      </c>
      <c r="B202" t="s">
        <v>570</v>
      </c>
      <c r="C202">
        <v>0</v>
      </c>
      <c r="D202">
        <v>0</v>
      </c>
      <c r="E202">
        <v>0</v>
      </c>
      <c r="F202">
        <v>0</v>
      </c>
      <c r="G202" t="s">
        <v>65</v>
      </c>
      <c r="H202">
        <v>7</v>
      </c>
      <c r="I202">
        <v>1</v>
      </c>
      <c r="J202">
        <v>7.125</v>
      </c>
      <c r="K202">
        <v>7.125</v>
      </c>
      <c r="L202">
        <v>0</v>
      </c>
      <c r="M202">
        <v>7</v>
      </c>
      <c r="N202">
        <v>1</v>
      </c>
    </row>
    <row r="203" spans="1:16">
      <c r="A203" t="s">
        <v>567</v>
      </c>
      <c r="B203" t="s">
        <v>571</v>
      </c>
      <c r="C203">
        <v>0</v>
      </c>
      <c r="D203">
        <v>0</v>
      </c>
      <c r="E203">
        <v>0</v>
      </c>
      <c r="F203">
        <v>0</v>
      </c>
      <c r="H203">
        <v>9</v>
      </c>
      <c r="I203">
        <v>0</v>
      </c>
      <c r="J203">
        <v>9</v>
      </c>
      <c r="K203">
        <v>9</v>
      </c>
      <c r="L203">
        <v>0</v>
      </c>
      <c r="M203">
        <v>9</v>
      </c>
      <c r="N203">
        <v>0</v>
      </c>
    </row>
    <row r="204" spans="1:16">
      <c r="A204" t="s">
        <v>567</v>
      </c>
      <c r="B204" t="s">
        <v>572</v>
      </c>
      <c r="C204">
        <v>0</v>
      </c>
      <c r="D204">
        <v>0</v>
      </c>
      <c r="E204">
        <v>0</v>
      </c>
      <c r="F204">
        <v>0</v>
      </c>
      <c r="G204" t="s">
        <v>70</v>
      </c>
      <c r="H204">
        <v>3</v>
      </c>
      <c r="I204">
        <v>3</v>
      </c>
      <c r="J204">
        <v>3.375</v>
      </c>
      <c r="K204">
        <v>3.375</v>
      </c>
      <c r="L204">
        <v>0</v>
      </c>
      <c r="M204">
        <v>3</v>
      </c>
      <c r="N204">
        <v>3</v>
      </c>
    </row>
    <row r="205" spans="1:16">
      <c r="A205" t="s">
        <v>567</v>
      </c>
      <c r="B205" t="s">
        <v>573</v>
      </c>
      <c r="C205">
        <v>0</v>
      </c>
      <c r="D205">
        <v>0</v>
      </c>
      <c r="E205">
        <v>0</v>
      </c>
      <c r="F205">
        <v>0</v>
      </c>
      <c r="H205">
        <v>93</v>
      </c>
      <c r="I205">
        <v>1</v>
      </c>
      <c r="J205">
        <v>93.125</v>
      </c>
      <c r="K205">
        <v>93.125</v>
      </c>
      <c r="L205">
        <v>0</v>
      </c>
      <c r="M205">
        <v>93</v>
      </c>
      <c r="N205">
        <v>1</v>
      </c>
    </row>
    <row r="206" spans="1:16">
      <c r="A206" t="s">
        <v>567</v>
      </c>
      <c r="B206" t="s">
        <v>574</v>
      </c>
      <c r="C206">
        <v>0</v>
      </c>
      <c r="D206">
        <v>0</v>
      </c>
      <c r="E206">
        <v>0</v>
      </c>
      <c r="F206">
        <v>0</v>
      </c>
      <c r="H206">
        <v>16</v>
      </c>
      <c r="I206">
        <v>1</v>
      </c>
      <c r="J206">
        <v>16.125</v>
      </c>
      <c r="K206">
        <v>16.125</v>
      </c>
      <c r="L206">
        <v>0</v>
      </c>
      <c r="M206">
        <v>16</v>
      </c>
      <c r="N206">
        <v>1</v>
      </c>
    </row>
    <row r="207" spans="1:16">
      <c r="A207" t="s">
        <v>567</v>
      </c>
      <c r="B207" t="s">
        <v>575</v>
      </c>
      <c r="C207">
        <v>0</v>
      </c>
      <c r="D207">
        <v>0</v>
      </c>
      <c r="E207">
        <v>0</v>
      </c>
      <c r="F207">
        <v>0</v>
      </c>
      <c r="H207">
        <v>0</v>
      </c>
      <c r="I207">
        <v>1.5</v>
      </c>
      <c r="J207">
        <v>0.1875</v>
      </c>
      <c r="K207">
        <v>0.1875</v>
      </c>
      <c r="L207">
        <v>0</v>
      </c>
      <c r="M207">
        <v>0</v>
      </c>
      <c r="N207">
        <v>1.5</v>
      </c>
    </row>
    <row r="208" spans="1:16">
      <c r="A208" t="s">
        <v>567</v>
      </c>
      <c r="B208" t="s">
        <v>524</v>
      </c>
      <c r="C208">
        <v>0</v>
      </c>
      <c r="D208">
        <v>0</v>
      </c>
      <c r="E208">
        <v>0</v>
      </c>
      <c r="F208">
        <v>0</v>
      </c>
      <c r="H208">
        <v>0</v>
      </c>
      <c r="I208">
        <v>0</v>
      </c>
      <c r="J208">
        <v>0</v>
      </c>
      <c r="K208">
        <v>0</v>
      </c>
      <c r="L208">
        <v>0</v>
      </c>
      <c r="M208">
        <v>0</v>
      </c>
      <c r="N208">
        <v>0</v>
      </c>
    </row>
    <row r="209" spans="1:16">
      <c r="A209" t="s">
        <v>567</v>
      </c>
      <c r="B209" t="s">
        <v>546</v>
      </c>
      <c r="C209">
        <v>0</v>
      </c>
      <c r="D209">
        <v>0</v>
      </c>
      <c r="E209">
        <v>0</v>
      </c>
      <c r="F209">
        <v>0</v>
      </c>
      <c r="H209">
        <v>0</v>
      </c>
      <c r="I209">
        <v>1</v>
      </c>
      <c r="J209">
        <v>0.125</v>
      </c>
      <c r="K209">
        <v>0.125</v>
      </c>
      <c r="L209">
        <v>0</v>
      </c>
      <c r="M209">
        <v>0</v>
      </c>
      <c r="N209">
        <v>1</v>
      </c>
    </row>
    <row r="210" spans="1:16">
      <c r="A210" t="s">
        <v>567</v>
      </c>
      <c r="B210" t="s">
        <v>576</v>
      </c>
      <c r="C210">
        <v>0</v>
      </c>
      <c r="D210">
        <v>0</v>
      </c>
      <c r="E210">
        <v>0</v>
      </c>
      <c r="F210">
        <v>0</v>
      </c>
      <c r="H210">
        <v>0</v>
      </c>
      <c r="I210">
        <v>3</v>
      </c>
      <c r="J210">
        <v>0.375</v>
      </c>
      <c r="K210">
        <v>0.375</v>
      </c>
      <c r="L210">
        <v>0</v>
      </c>
      <c r="M210">
        <v>0</v>
      </c>
      <c r="N210">
        <v>3</v>
      </c>
    </row>
    <row r="211" spans="1:16">
      <c r="A211" t="s">
        <v>567</v>
      </c>
      <c r="B211" t="s">
        <v>577</v>
      </c>
      <c r="C211">
        <v>0</v>
      </c>
      <c r="D211">
        <v>0</v>
      </c>
      <c r="E211">
        <v>0</v>
      </c>
      <c r="F211">
        <v>0</v>
      </c>
      <c r="H211">
        <v>6</v>
      </c>
      <c r="I211">
        <v>3</v>
      </c>
      <c r="J211">
        <v>6.375</v>
      </c>
      <c r="K211">
        <v>0.375</v>
      </c>
      <c r="L211">
        <v>6</v>
      </c>
      <c r="M211">
        <v>0</v>
      </c>
      <c r="N211">
        <v>3</v>
      </c>
      <c r="O211">
        <v>6</v>
      </c>
      <c r="P211">
        <v>0</v>
      </c>
    </row>
    <row r="212" spans="1:16">
      <c r="A212" t="s">
        <v>567</v>
      </c>
      <c r="B212" t="s">
        <v>578</v>
      </c>
      <c r="C212">
        <v>0</v>
      </c>
      <c r="D212">
        <v>0</v>
      </c>
      <c r="E212">
        <v>0</v>
      </c>
      <c r="F212">
        <v>0</v>
      </c>
      <c r="H212">
        <v>17</v>
      </c>
      <c r="I212">
        <v>2</v>
      </c>
      <c r="J212">
        <v>17.25</v>
      </c>
      <c r="K212">
        <v>17.25</v>
      </c>
      <c r="L212">
        <v>0</v>
      </c>
      <c r="M212">
        <v>17</v>
      </c>
      <c r="N212">
        <v>2</v>
      </c>
    </row>
    <row r="213" spans="1:16">
      <c r="A213" t="s">
        <v>567</v>
      </c>
      <c r="B213" t="s">
        <v>579</v>
      </c>
      <c r="C213">
        <v>0</v>
      </c>
      <c r="D213">
        <v>0</v>
      </c>
      <c r="E213">
        <v>0</v>
      </c>
      <c r="F213">
        <v>0</v>
      </c>
      <c r="H213">
        <v>4</v>
      </c>
      <c r="I213">
        <v>0</v>
      </c>
      <c r="J213">
        <v>4</v>
      </c>
      <c r="K213">
        <v>4</v>
      </c>
      <c r="L213">
        <v>0</v>
      </c>
      <c r="M213">
        <v>4</v>
      </c>
      <c r="N213">
        <v>0</v>
      </c>
    </row>
    <row r="214" spans="1:16">
      <c r="A214" t="s">
        <v>567</v>
      </c>
      <c r="B214" t="s">
        <v>580</v>
      </c>
      <c r="C214">
        <v>0</v>
      </c>
      <c r="D214">
        <v>0</v>
      </c>
      <c r="E214">
        <v>0</v>
      </c>
      <c r="F214">
        <v>0</v>
      </c>
      <c r="H214">
        <v>1</v>
      </c>
      <c r="I214">
        <v>0</v>
      </c>
      <c r="J214">
        <v>1</v>
      </c>
      <c r="K214">
        <v>1</v>
      </c>
      <c r="L214">
        <v>0</v>
      </c>
      <c r="M214">
        <v>1</v>
      </c>
      <c r="N214">
        <v>0</v>
      </c>
    </row>
    <row r="215" spans="1:16">
      <c r="A215" t="s">
        <v>567</v>
      </c>
      <c r="B215" t="s">
        <v>581</v>
      </c>
      <c r="C215">
        <v>0</v>
      </c>
      <c r="D215">
        <v>0</v>
      </c>
      <c r="E215">
        <v>0</v>
      </c>
      <c r="F215">
        <v>0</v>
      </c>
      <c r="H215">
        <v>4</v>
      </c>
      <c r="I215">
        <v>2</v>
      </c>
      <c r="J215">
        <v>4.25</v>
      </c>
      <c r="K215">
        <v>4.25</v>
      </c>
      <c r="L215">
        <v>0</v>
      </c>
      <c r="M215">
        <v>4</v>
      </c>
      <c r="N215">
        <v>2</v>
      </c>
    </row>
    <row r="216" spans="1:16">
      <c r="A216" t="s">
        <v>567</v>
      </c>
      <c r="B216" t="s">
        <v>524</v>
      </c>
      <c r="C216">
        <v>0</v>
      </c>
      <c r="D216">
        <v>0</v>
      </c>
      <c r="E216">
        <v>0</v>
      </c>
      <c r="F216">
        <v>0</v>
      </c>
      <c r="H216">
        <v>0</v>
      </c>
      <c r="I216">
        <v>0</v>
      </c>
      <c r="J216">
        <v>0</v>
      </c>
      <c r="K216">
        <v>0</v>
      </c>
      <c r="L216">
        <v>0</v>
      </c>
      <c r="M216">
        <v>0</v>
      </c>
      <c r="N216">
        <v>0</v>
      </c>
    </row>
    <row r="217" spans="1:16">
      <c r="A217" t="s">
        <v>567</v>
      </c>
      <c r="B217" t="s">
        <v>582</v>
      </c>
      <c r="C217">
        <v>0</v>
      </c>
      <c r="D217">
        <v>0</v>
      </c>
      <c r="E217">
        <v>0</v>
      </c>
      <c r="F217">
        <v>0</v>
      </c>
      <c r="H217">
        <v>2</v>
      </c>
      <c r="I217">
        <v>0</v>
      </c>
      <c r="J217">
        <v>2</v>
      </c>
      <c r="K217">
        <v>2</v>
      </c>
      <c r="L217">
        <v>0</v>
      </c>
      <c r="M217">
        <v>2</v>
      </c>
      <c r="N217">
        <v>0</v>
      </c>
    </row>
    <row r="218" spans="1:16">
      <c r="A218" t="s">
        <v>567</v>
      </c>
      <c r="B218" t="s">
        <v>524</v>
      </c>
      <c r="C218">
        <v>0</v>
      </c>
      <c r="D218">
        <v>0</v>
      </c>
      <c r="E218">
        <v>0</v>
      </c>
      <c r="F218">
        <v>0</v>
      </c>
      <c r="H218">
        <v>0</v>
      </c>
      <c r="I218">
        <v>0</v>
      </c>
      <c r="J218">
        <v>0</v>
      </c>
      <c r="K218">
        <v>0</v>
      </c>
      <c r="L218">
        <v>0</v>
      </c>
      <c r="M218">
        <v>0</v>
      </c>
      <c r="N218">
        <v>0</v>
      </c>
    </row>
    <row r="219" spans="1:16">
      <c r="A219" t="s">
        <v>567</v>
      </c>
      <c r="B219" t="s">
        <v>583</v>
      </c>
      <c r="C219">
        <v>0</v>
      </c>
      <c r="D219">
        <v>0</v>
      </c>
      <c r="E219">
        <v>0</v>
      </c>
      <c r="F219">
        <v>0</v>
      </c>
      <c r="H219">
        <v>7.5</v>
      </c>
      <c r="I219">
        <v>0</v>
      </c>
      <c r="J219">
        <v>7.5</v>
      </c>
      <c r="K219">
        <v>7.5</v>
      </c>
      <c r="L219">
        <v>0</v>
      </c>
      <c r="M219">
        <v>7.5</v>
      </c>
      <c r="N219">
        <v>0</v>
      </c>
    </row>
    <row r="220" spans="1:16">
      <c r="A220" t="s">
        <v>567</v>
      </c>
      <c r="B220" t="s">
        <v>584</v>
      </c>
      <c r="C220">
        <v>0</v>
      </c>
      <c r="D220">
        <v>0</v>
      </c>
      <c r="E220">
        <v>0</v>
      </c>
      <c r="F220">
        <v>0</v>
      </c>
      <c r="H220">
        <v>34</v>
      </c>
      <c r="I220">
        <v>1</v>
      </c>
      <c r="J220">
        <v>34.125</v>
      </c>
      <c r="K220">
        <v>34.125</v>
      </c>
      <c r="L220">
        <v>0</v>
      </c>
      <c r="M220">
        <v>34</v>
      </c>
      <c r="N220">
        <v>1</v>
      </c>
    </row>
    <row r="221" spans="1:16">
      <c r="A221" t="s">
        <v>585</v>
      </c>
      <c r="B221" t="s">
        <v>586</v>
      </c>
      <c r="C221">
        <v>0</v>
      </c>
      <c r="D221">
        <v>0</v>
      </c>
      <c r="E221">
        <v>0</v>
      </c>
      <c r="F221">
        <v>0</v>
      </c>
      <c r="H221">
        <v>8</v>
      </c>
      <c r="I221">
        <v>6</v>
      </c>
      <c r="J221">
        <v>8.75</v>
      </c>
      <c r="K221">
        <v>8.75</v>
      </c>
      <c r="L221">
        <v>0</v>
      </c>
      <c r="M221">
        <v>8</v>
      </c>
      <c r="N221">
        <v>6</v>
      </c>
    </row>
    <row r="222" spans="1:16">
      <c r="A222" t="s">
        <v>585</v>
      </c>
      <c r="B222" t="s">
        <v>587</v>
      </c>
      <c r="C222">
        <v>0</v>
      </c>
      <c r="D222">
        <v>0</v>
      </c>
      <c r="E222">
        <v>0</v>
      </c>
      <c r="F222">
        <v>0</v>
      </c>
      <c r="G222" t="s">
        <v>68</v>
      </c>
      <c r="H222">
        <v>93.5</v>
      </c>
      <c r="I222">
        <v>2</v>
      </c>
      <c r="J222">
        <v>93.75</v>
      </c>
      <c r="K222">
        <v>93.75</v>
      </c>
      <c r="L222">
        <v>0</v>
      </c>
      <c r="M222">
        <v>93.5</v>
      </c>
      <c r="N222">
        <v>2</v>
      </c>
    </row>
    <row r="223" spans="1:16">
      <c r="A223" t="s">
        <v>585</v>
      </c>
      <c r="B223" t="s">
        <v>588</v>
      </c>
      <c r="C223">
        <v>0</v>
      </c>
      <c r="D223">
        <v>0</v>
      </c>
      <c r="E223">
        <v>0</v>
      </c>
      <c r="F223">
        <v>0</v>
      </c>
      <c r="H223">
        <v>14.5</v>
      </c>
      <c r="I223">
        <v>0</v>
      </c>
      <c r="J223">
        <v>14.5</v>
      </c>
      <c r="K223">
        <v>14.5</v>
      </c>
      <c r="L223">
        <v>0</v>
      </c>
      <c r="M223">
        <v>14.5</v>
      </c>
      <c r="N223">
        <v>0</v>
      </c>
    </row>
    <row r="224" spans="1:16">
      <c r="A224" t="s">
        <v>585</v>
      </c>
      <c r="B224" t="s">
        <v>589</v>
      </c>
      <c r="C224">
        <v>0</v>
      </c>
      <c r="D224">
        <v>0</v>
      </c>
      <c r="E224">
        <v>0</v>
      </c>
      <c r="F224">
        <v>0</v>
      </c>
      <c r="H224">
        <v>42</v>
      </c>
      <c r="I224">
        <v>1</v>
      </c>
      <c r="J224">
        <v>42.125</v>
      </c>
      <c r="K224">
        <v>108.25</v>
      </c>
      <c r="L224">
        <v>-66.125</v>
      </c>
      <c r="M224">
        <v>108</v>
      </c>
      <c r="N224">
        <v>2</v>
      </c>
      <c r="O224">
        <v>42</v>
      </c>
      <c r="P224">
        <v>1</v>
      </c>
    </row>
    <row r="225" spans="1:16">
      <c r="A225" t="s">
        <v>585</v>
      </c>
      <c r="B225" t="s">
        <v>590</v>
      </c>
      <c r="C225">
        <v>0</v>
      </c>
      <c r="D225">
        <v>0</v>
      </c>
      <c r="E225">
        <v>0</v>
      </c>
      <c r="F225">
        <v>0</v>
      </c>
      <c r="H225">
        <v>0</v>
      </c>
      <c r="I225">
        <v>1.5</v>
      </c>
      <c r="J225">
        <v>0.1875</v>
      </c>
      <c r="K225">
        <v>0.1875</v>
      </c>
      <c r="L225">
        <v>0</v>
      </c>
      <c r="M225">
        <v>0</v>
      </c>
      <c r="N225">
        <v>1.5</v>
      </c>
    </row>
    <row r="226" spans="1:16">
      <c r="A226" t="s">
        <v>585</v>
      </c>
      <c r="B226" t="s">
        <v>524</v>
      </c>
      <c r="C226">
        <v>0</v>
      </c>
      <c r="D226">
        <v>0</v>
      </c>
      <c r="E226">
        <v>0</v>
      </c>
      <c r="F226">
        <v>0</v>
      </c>
      <c r="H226">
        <v>0</v>
      </c>
      <c r="I226">
        <v>0</v>
      </c>
      <c r="J226">
        <v>0</v>
      </c>
      <c r="K226">
        <v>0</v>
      </c>
      <c r="L226">
        <v>0</v>
      </c>
      <c r="M226">
        <v>0</v>
      </c>
      <c r="N226">
        <v>0</v>
      </c>
    </row>
    <row r="227" spans="1:16">
      <c r="A227" t="s">
        <v>585</v>
      </c>
      <c r="B227" t="s">
        <v>591</v>
      </c>
      <c r="C227">
        <v>0</v>
      </c>
      <c r="D227">
        <v>0</v>
      </c>
      <c r="E227">
        <v>0</v>
      </c>
      <c r="F227">
        <v>0</v>
      </c>
      <c r="H227">
        <v>0</v>
      </c>
      <c r="I227">
        <v>1</v>
      </c>
      <c r="J227">
        <v>0.125</v>
      </c>
      <c r="K227">
        <v>0.125</v>
      </c>
      <c r="L227">
        <v>0</v>
      </c>
      <c r="M227">
        <v>0</v>
      </c>
      <c r="N227">
        <v>1</v>
      </c>
    </row>
    <row r="228" spans="1:16">
      <c r="A228" t="s">
        <v>585</v>
      </c>
      <c r="B228" t="s">
        <v>592</v>
      </c>
      <c r="C228">
        <v>0</v>
      </c>
      <c r="D228">
        <v>0</v>
      </c>
      <c r="E228">
        <v>0</v>
      </c>
      <c r="F228">
        <v>0</v>
      </c>
      <c r="H228">
        <v>15.5</v>
      </c>
      <c r="I228">
        <v>3</v>
      </c>
      <c r="J228">
        <v>15.875</v>
      </c>
      <c r="K228">
        <v>15.875</v>
      </c>
      <c r="L228">
        <v>0</v>
      </c>
      <c r="M228">
        <v>15.5</v>
      </c>
      <c r="N228">
        <v>3</v>
      </c>
    </row>
    <row r="229" spans="1:16">
      <c r="A229" t="s">
        <v>585</v>
      </c>
      <c r="B229" t="s">
        <v>593</v>
      </c>
      <c r="C229">
        <v>0</v>
      </c>
      <c r="D229">
        <v>0</v>
      </c>
      <c r="E229">
        <v>0</v>
      </c>
      <c r="F229">
        <v>0</v>
      </c>
      <c r="H229">
        <v>14.5</v>
      </c>
      <c r="I229">
        <v>0</v>
      </c>
      <c r="J229">
        <v>14.5</v>
      </c>
      <c r="K229">
        <v>14.5</v>
      </c>
      <c r="L229">
        <v>0</v>
      </c>
      <c r="M229">
        <v>14.5</v>
      </c>
      <c r="N229">
        <v>0</v>
      </c>
    </row>
    <row r="230" spans="1:16">
      <c r="A230" t="s">
        <v>585</v>
      </c>
      <c r="B230" t="s">
        <v>524</v>
      </c>
      <c r="C230">
        <v>0</v>
      </c>
      <c r="D230">
        <v>0</v>
      </c>
      <c r="E230">
        <v>0</v>
      </c>
      <c r="F230">
        <v>0</v>
      </c>
      <c r="H230">
        <v>0</v>
      </c>
      <c r="I230">
        <v>0</v>
      </c>
      <c r="J230">
        <v>0</v>
      </c>
      <c r="K230">
        <v>0</v>
      </c>
      <c r="L230">
        <v>0</v>
      </c>
      <c r="M230">
        <v>0</v>
      </c>
      <c r="N230">
        <v>0</v>
      </c>
    </row>
    <row r="231" spans="1:16">
      <c r="A231" t="s">
        <v>585</v>
      </c>
      <c r="B231" t="s">
        <v>594</v>
      </c>
      <c r="C231">
        <v>0</v>
      </c>
      <c r="D231">
        <v>0</v>
      </c>
      <c r="E231">
        <v>0</v>
      </c>
      <c r="F231">
        <v>0</v>
      </c>
      <c r="H231">
        <v>0</v>
      </c>
      <c r="I231">
        <v>2</v>
      </c>
      <c r="J231">
        <v>0.25</v>
      </c>
      <c r="K231">
        <v>0.25</v>
      </c>
      <c r="L231">
        <v>0</v>
      </c>
      <c r="M231">
        <v>0</v>
      </c>
      <c r="N231">
        <v>2</v>
      </c>
    </row>
    <row r="232" spans="1:16">
      <c r="A232" t="s">
        <v>585</v>
      </c>
      <c r="B232" t="s">
        <v>595</v>
      </c>
      <c r="C232">
        <v>0</v>
      </c>
      <c r="D232">
        <v>0</v>
      </c>
      <c r="E232">
        <v>0</v>
      </c>
      <c r="F232">
        <v>0</v>
      </c>
      <c r="H232">
        <v>34.5</v>
      </c>
      <c r="I232">
        <v>2</v>
      </c>
      <c r="J232">
        <v>34.75</v>
      </c>
      <c r="K232">
        <v>0.625</v>
      </c>
      <c r="L232">
        <v>34.125</v>
      </c>
      <c r="M232">
        <v>0</v>
      </c>
      <c r="N232">
        <v>5</v>
      </c>
      <c r="O232">
        <v>34.5</v>
      </c>
      <c r="P232">
        <v>2</v>
      </c>
    </row>
    <row r="233" spans="1:16">
      <c r="A233" t="s">
        <v>596</v>
      </c>
      <c r="B233" t="s">
        <v>597</v>
      </c>
      <c r="C233">
        <v>0</v>
      </c>
      <c r="D233">
        <v>0</v>
      </c>
      <c r="E233">
        <v>0</v>
      </c>
      <c r="F233">
        <v>0</v>
      </c>
      <c r="H233">
        <v>0</v>
      </c>
      <c r="I233">
        <v>1</v>
      </c>
      <c r="J233">
        <v>0.125</v>
      </c>
      <c r="K233">
        <v>0.125</v>
      </c>
      <c r="L233">
        <v>0</v>
      </c>
      <c r="M233">
        <v>0</v>
      </c>
      <c r="N233">
        <v>1</v>
      </c>
    </row>
    <row r="234" spans="1:16">
      <c r="A234" t="s">
        <v>596</v>
      </c>
      <c r="B234" t="s">
        <v>598</v>
      </c>
      <c r="C234">
        <v>0</v>
      </c>
      <c r="D234">
        <v>0</v>
      </c>
      <c r="E234">
        <v>0</v>
      </c>
      <c r="F234">
        <v>0</v>
      </c>
      <c r="G234" t="s">
        <v>69</v>
      </c>
      <c r="H234">
        <v>11.5</v>
      </c>
      <c r="I234">
        <v>3</v>
      </c>
      <c r="J234">
        <v>11.875</v>
      </c>
      <c r="K234">
        <v>11.875</v>
      </c>
      <c r="L234">
        <v>0</v>
      </c>
      <c r="M234">
        <v>11.5</v>
      </c>
      <c r="N234">
        <v>3</v>
      </c>
    </row>
    <row r="235" spans="1:16">
      <c r="A235" t="s">
        <v>596</v>
      </c>
      <c r="B235" t="s">
        <v>599</v>
      </c>
      <c r="C235">
        <v>0</v>
      </c>
      <c r="D235">
        <v>0</v>
      </c>
      <c r="E235">
        <v>0</v>
      </c>
      <c r="F235">
        <v>0</v>
      </c>
      <c r="H235">
        <v>2</v>
      </c>
      <c r="I235">
        <v>2</v>
      </c>
      <c r="J235">
        <v>2.25</v>
      </c>
      <c r="K235">
        <v>2.25</v>
      </c>
      <c r="L235">
        <v>0</v>
      </c>
      <c r="M235">
        <v>2</v>
      </c>
      <c r="N235">
        <v>2</v>
      </c>
    </row>
    <row r="236" spans="1:16">
      <c r="A236" t="s">
        <v>596</v>
      </c>
      <c r="B236" t="s">
        <v>600</v>
      </c>
      <c r="C236">
        <v>0</v>
      </c>
      <c r="D236">
        <v>0</v>
      </c>
      <c r="E236">
        <v>0</v>
      </c>
      <c r="F236">
        <v>0</v>
      </c>
      <c r="H236">
        <v>0</v>
      </c>
      <c r="I236">
        <v>1</v>
      </c>
      <c r="J236">
        <v>0.125</v>
      </c>
      <c r="K236">
        <v>0.125</v>
      </c>
      <c r="L236">
        <v>0</v>
      </c>
      <c r="M236">
        <v>0</v>
      </c>
      <c r="N236">
        <v>1</v>
      </c>
    </row>
    <row r="237" spans="1:16">
      <c r="A237" t="s">
        <v>596</v>
      </c>
      <c r="B237" t="s">
        <v>601</v>
      </c>
      <c r="C237">
        <v>0</v>
      </c>
      <c r="D237">
        <v>0</v>
      </c>
      <c r="E237">
        <v>0</v>
      </c>
      <c r="F237">
        <v>0</v>
      </c>
      <c r="H237">
        <v>9.5</v>
      </c>
      <c r="I237">
        <v>1</v>
      </c>
      <c r="J237">
        <v>9.625</v>
      </c>
      <c r="K237">
        <v>9.625</v>
      </c>
      <c r="L237">
        <v>0</v>
      </c>
      <c r="M237">
        <v>9.5</v>
      </c>
      <c r="N237">
        <v>1</v>
      </c>
    </row>
    <row r="238" spans="1:16">
      <c r="A238" t="s">
        <v>602</v>
      </c>
      <c r="B238" t="s">
        <v>603</v>
      </c>
      <c r="C238">
        <v>0</v>
      </c>
      <c r="D238">
        <v>0</v>
      </c>
      <c r="E238">
        <v>0</v>
      </c>
      <c r="F238">
        <v>0</v>
      </c>
      <c r="H238">
        <v>0</v>
      </c>
      <c r="I238">
        <v>2.5</v>
      </c>
      <c r="J238">
        <v>0.3125</v>
      </c>
      <c r="K238">
        <v>0.3125</v>
      </c>
      <c r="L238">
        <v>0</v>
      </c>
      <c r="M238">
        <v>0</v>
      </c>
      <c r="N238">
        <v>2.5</v>
      </c>
    </row>
    <row r="239" spans="1:16">
      <c r="A239" t="s">
        <v>602</v>
      </c>
      <c r="B239" t="s">
        <v>604</v>
      </c>
      <c r="C239">
        <v>0</v>
      </c>
      <c r="D239">
        <v>0</v>
      </c>
      <c r="E239">
        <v>0</v>
      </c>
      <c r="F239">
        <v>0</v>
      </c>
      <c r="G239" t="s">
        <v>70</v>
      </c>
      <c r="H239">
        <v>9.5</v>
      </c>
      <c r="I239">
        <v>0</v>
      </c>
      <c r="J239">
        <v>9.5</v>
      </c>
      <c r="K239">
        <v>9.5</v>
      </c>
      <c r="L239">
        <v>0</v>
      </c>
      <c r="M239">
        <v>9.5</v>
      </c>
      <c r="N239">
        <v>0</v>
      </c>
    </row>
    <row r="240" spans="1:16">
      <c r="A240" t="s">
        <v>602</v>
      </c>
      <c r="B240" t="s">
        <v>605</v>
      </c>
      <c r="C240">
        <v>0</v>
      </c>
      <c r="D240">
        <v>0</v>
      </c>
      <c r="E240">
        <v>0</v>
      </c>
      <c r="F240">
        <v>0</v>
      </c>
      <c r="G240" t="s">
        <v>70</v>
      </c>
      <c r="H240">
        <v>10</v>
      </c>
      <c r="I240">
        <v>3</v>
      </c>
      <c r="J240">
        <v>10.375</v>
      </c>
      <c r="K240">
        <v>10.375</v>
      </c>
      <c r="L240">
        <v>0</v>
      </c>
      <c r="M240">
        <v>10</v>
      </c>
      <c r="N240">
        <v>3</v>
      </c>
    </row>
    <row r="241" spans="1:16">
      <c r="A241" t="s">
        <v>602</v>
      </c>
      <c r="B241" t="s">
        <v>606</v>
      </c>
      <c r="C241">
        <v>0</v>
      </c>
      <c r="D241">
        <v>0</v>
      </c>
      <c r="E241">
        <v>0</v>
      </c>
      <c r="F241">
        <v>0</v>
      </c>
      <c r="H241">
        <v>19.5</v>
      </c>
      <c r="I241">
        <v>3</v>
      </c>
      <c r="J241">
        <v>19.875</v>
      </c>
      <c r="K241">
        <v>19.875</v>
      </c>
      <c r="L241">
        <v>0</v>
      </c>
      <c r="M241">
        <v>19.5</v>
      </c>
      <c r="N241">
        <v>3</v>
      </c>
    </row>
    <row r="242" spans="1:16">
      <c r="A242" t="s">
        <v>602</v>
      </c>
      <c r="B242" t="s">
        <v>607</v>
      </c>
      <c r="C242">
        <v>0</v>
      </c>
      <c r="D242">
        <v>0</v>
      </c>
      <c r="E242">
        <v>0</v>
      </c>
      <c r="F242">
        <v>0</v>
      </c>
      <c r="H242">
        <v>2</v>
      </c>
      <c r="I242">
        <v>1</v>
      </c>
      <c r="J242">
        <v>2.125</v>
      </c>
      <c r="K242">
        <v>2.125</v>
      </c>
      <c r="L242">
        <v>0</v>
      </c>
      <c r="M242">
        <v>2</v>
      </c>
      <c r="N242">
        <v>1</v>
      </c>
    </row>
    <row r="243" spans="1:16">
      <c r="A243" t="s">
        <v>602</v>
      </c>
      <c r="B243" t="s">
        <v>608</v>
      </c>
      <c r="C243">
        <v>0</v>
      </c>
      <c r="D243">
        <v>0</v>
      </c>
      <c r="E243">
        <v>0</v>
      </c>
      <c r="F243">
        <v>0</v>
      </c>
      <c r="H243">
        <v>0</v>
      </c>
      <c r="I243">
        <v>1</v>
      </c>
      <c r="J243">
        <v>0.125</v>
      </c>
      <c r="K243">
        <v>0.125</v>
      </c>
      <c r="L243">
        <v>0</v>
      </c>
      <c r="M243">
        <v>0</v>
      </c>
      <c r="N243">
        <v>1</v>
      </c>
      <c r="O243">
        <v>0</v>
      </c>
      <c r="P243">
        <v>1</v>
      </c>
    </row>
    <row r="244" spans="1:16">
      <c r="A244" t="s">
        <v>602</v>
      </c>
      <c r="B244" t="s">
        <v>609</v>
      </c>
      <c r="C244">
        <v>0</v>
      </c>
      <c r="D244">
        <v>0</v>
      </c>
      <c r="E244">
        <v>0</v>
      </c>
      <c r="F244">
        <v>0</v>
      </c>
      <c r="G244" t="s">
        <v>67</v>
      </c>
      <c r="H244">
        <v>14</v>
      </c>
      <c r="I244">
        <v>3</v>
      </c>
      <c r="J244">
        <v>14.375</v>
      </c>
      <c r="K244">
        <v>3.375</v>
      </c>
      <c r="L244">
        <v>11</v>
      </c>
      <c r="M244">
        <v>3</v>
      </c>
      <c r="N244">
        <v>3</v>
      </c>
      <c r="O244">
        <v>14</v>
      </c>
      <c r="P244">
        <v>3</v>
      </c>
    </row>
    <row r="245" spans="1:16">
      <c r="A245" t="s">
        <v>610</v>
      </c>
      <c r="B245" t="s">
        <v>611</v>
      </c>
      <c r="C245">
        <v>0</v>
      </c>
      <c r="D245">
        <v>0</v>
      </c>
      <c r="E245">
        <v>0</v>
      </c>
      <c r="F245">
        <v>0</v>
      </c>
      <c r="H245">
        <v>0</v>
      </c>
      <c r="I245">
        <v>0</v>
      </c>
      <c r="J245">
        <v>0</v>
      </c>
      <c r="K245">
        <v>0</v>
      </c>
      <c r="L245">
        <v>0</v>
      </c>
      <c r="M245">
        <v>0</v>
      </c>
      <c r="N245">
        <v>0</v>
      </c>
    </row>
    <row r="246" spans="1:16">
      <c r="A246" t="s">
        <v>610</v>
      </c>
      <c r="B246" t="s">
        <v>612</v>
      </c>
      <c r="C246">
        <v>0</v>
      </c>
      <c r="D246">
        <v>0</v>
      </c>
      <c r="E246">
        <v>0</v>
      </c>
      <c r="F246">
        <v>0</v>
      </c>
      <c r="H246">
        <v>0</v>
      </c>
      <c r="I246">
        <v>0</v>
      </c>
      <c r="J246">
        <v>0</v>
      </c>
      <c r="K246">
        <v>0</v>
      </c>
      <c r="L246">
        <v>0</v>
      </c>
      <c r="M246">
        <v>0</v>
      </c>
      <c r="N246">
        <v>0</v>
      </c>
    </row>
    <row r="247" spans="1:16">
      <c r="A247" t="s">
        <v>610</v>
      </c>
      <c r="B247" t="s">
        <v>613</v>
      </c>
      <c r="C247">
        <v>0</v>
      </c>
      <c r="D247">
        <v>0</v>
      </c>
      <c r="E247">
        <v>0</v>
      </c>
      <c r="F247">
        <v>0</v>
      </c>
      <c r="H247">
        <v>0</v>
      </c>
      <c r="I247">
        <v>0</v>
      </c>
      <c r="J247">
        <v>0</v>
      </c>
      <c r="K247">
        <v>0</v>
      </c>
      <c r="L247">
        <v>0</v>
      </c>
      <c r="M247">
        <v>0</v>
      </c>
      <c r="N247">
        <v>0</v>
      </c>
    </row>
    <row r="248" spans="1:16">
      <c r="A248" t="s">
        <v>614</v>
      </c>
      <c r="B248" t="s">
        <v>615</v>
      </c>
      <c r="C248">
        <v>0</v>
      </c>
      <c r="D248">
        <v>0</v>
      </c>
      <c r="E248">
        <v>0</v>
      </c>
      <c r="F248">
        <v>0</v>
      </c>
      <c r="H248">
        <v>0</v>
      </c>
      <c r="I248">
        <v>0</v>
      </c>
      <c r="J248">
        <v>0</v>
      </c>
      <c r="K248">
        <v>0</v>
      </c>
      <c r="L248">
        <v>0</v>
      </c>
      <c r="M248">
        <v>0</v>
      </c>
      <c r="N248">
        <v>0</v>
      </c>
    </row>
    <row r="249" spans="1:16">
      <c r="A249" t="s">
        <v>614</v>
      </c>
      <c r="B249" t="s">
        <v>616</v>
      </c>
      <c r="C249">
        <v>0</v>
      </c>
      <c r="D249">
        <v>0</v>
      </c>
      <c r="E249">
        <v>0</v>
      </c>
      <c r="F249">
        <v>0</v>
      </c>
      <c r="H249">
        <v>0</v>
      </c>
      <c r="I249">
        <v>0</v>
      </c>
      <c r="J249">
        <v>0</v>
      </c>
      <c r="K249">
        <v>0</v>
      </c>
      <c r="L249">
        <v>0</v>
      </c>
      <c r="M249">
        <v>0</v>
      </c>
      <c r="N249">
        <v>0</v>
      </c>
    </row>
    <row r="250" spans="1:16">
      <c r="A250" t="s">
        <v>614</v>
      </c>
      <c r="B250" t="s">
        <v>617</v>
      </c>
      <c r="C250">
        <v>0</v>
      </c>
      <c r="D250">
        <v>0</v>
      </c>
      <c r="E250">
        <v>0</v>
      </c>
      <c r="F250">
        <v>0</v>
      </c>
      <c r="H250">
        <v>0</v>
      </c>
      <c r="I250">
        <v>0</v>
      </c>
      <c r="J250">
        <v>0</v>
      </c>
      <c r="K250">
        <v>0</v>
      </c>
      <c r="L250">
        <v>0</v>
      </c>
      <c r="M250">
        <v>0</v>
      </c>
      <c r="N250">
        <v>0</v>
      </c>
    </row>
    <row r="251" spans="1:16">
      <c r="A251" t="s">
        <v>614</v>
      </c>
      <c r="B251" t="s">
        <v>618</v>
      </c>
      <c r="C251">
        <v>0</v>
      </c>
      <c r="D251">
        <v>0</v>
      </c>
      <c r="E251">
        <v>0</v>
      </c>
      <c r="F251">
        <v>0</v>
      </c>
      <c r="H251">
        <v>0</v>
      </c>
      <c r="I251">
        <v>0</v>
      </c>
      <c r="J251">
        <v>0</v>
      </c>
      <c r="K251">
        <v>0</v>
      </c>
      <c r="L251">
        <v>0</v>
      </c>
      <c r="M251">
        <v>0</v>
      </c>
      <c r="N251">
        <v>0</v>
      </c>
    </row>
    <row r="252" spans="1:16">
      <c r="A252" t="s">
        <v>614</v>
      </c>
      <c r="B252" t="s">
        <v>619</v>
      </c>
      <c r="C252">
        <v>0</v>
      </c>
      <c r="D252">
        <v>0</v>
      </c>
      <c r="E252">
        <v>0</v>
      </c>
      <c r="F252">
        <v>0</v>
      </c>
      <c r="H252">
        <v>0</v>
      </c>
      <c r="I252">
        <v>0</v>
      </c>
      <c r="J252">
        <v>0</v>
      </c>
      <c r="K252">
        <v>0</v>
      </c>
      <c r="L252">
        <v>0</v>
      </c>
      <c r="M252">
        <v>0</v>
      </c>
      <c r="N252">
        <v>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J87"/>
  <sheetViews>
    <sheetView workbookViewId="0"/>
  </sheetViews>
  <sheetFormatPr defaultColWidth="8.85546875" defaultRowHeight="15"/>
  <sheetData>
    <row r="1" spans="1:36">
      <c r="A1" s="1" t="s">
        <v>161</v>
      </c>
      <c r="B1" s="1" t="s">
        <v>475</v>
      </c>
      <c r="C1" s="1" t="s">
        <v>620</v>
      </c>
      <c r="D1" s="1" t="s">
        <v>621</v>
      </c>
      <c r="E1" s="1" t="s">
        <v>622</v>
      </c>
      <c r="F1" s="1" t="s">
        <v>623</v>
      </c>
      <c r="G1" s="1" t="s">
        <v>624</v>
      </c>
      <c r="H1" s="1" t="s">
        <v>625</v>
      </c>
      <c r="I1" s="1" t="s">
        <v>626</v>
      </c>
      <c r="J1" s="1" t="s">
        <v>375</v>
      </c>
      <c r="K1" s="1" t="s">
        <v>627</v>
      </c>
      <c r="L1" s="1" t="s">
        <v>628</v>
      </c>
      <c r="M1" s="1" t="s">
        <v>629</v>
      </c>
      <c r="N1" s="1" t="s">
        <v>630</v>
      </c>
      <c r="O1" s="1" t="s">
        <v>631</v>
      </c>
      <c r="P1" s="1" t="s">
        <v>632</v>
      </c>
      <c r="Q1" s="1" t="s">
        <v>633</v>
      </c>
      <c r="R1" s="1" t="s">
        <v>634</v>
      </c>
      <c r="S1" s="1" t="s">
        <v>377</v>
      </c>
      <c r="T1" s="1" t="s">
        <v>635</v>
      </c>
      <c r="U1" s="1" t="s">
        <v>636</v>
      </c>
      <c r="V1" s="1" t="s">
        <v>374</v>
      </c>
      <c r="W1" s="1" t="s">
        <v>637</v>
      </c>
      <c r="X1" s="1" t="s">
        <v>481</v>
      </c>
      <c r="Y1" s="1" t="s">
        <v>482</v>
      </c>
      <c r="Z1" s="1" t="s">
        <v>483</v>
      </c>
      <c r="AA1" s="1" t="s">
        <v>484</v>
      </c>
      <c r="AB1" s="1" t="s">
        <v>485</v>
      </c>
      <c r="AC1" s="1" t="s">
        <v>638</v>
      </c>
      <c r="AD1" s="1" t="s">
        <v>639</v>
      </c>
      <c r="AE1" s="1" t="s">
        <v>488</v>
      </c>
      <c r="AF1" s="1" t="s">
        <v>489</v>
      </c>
      <c r="AG1" s="1" t="s">
        <v>490</v>
      </c>
      <c r="AH1" s="1" t="s">
        <v>491</v>
      </c>
      <c r="AI1" s="1" t="s">
        <v>492</v>
      </c>
      <c r="AJ1" s="1" t="s">
        <v>493</v>
      </c>
    </row>
    <row r="2" spans="1:36">
      <c r="A2" t="s">
        <v>370</v>
      </c>
      <c r="B2" t="s">
        <v>170</v>
      </c>
      <c r="C2">
        <v>0</v>
      </c>
      <c r="D2">
        <v>0</v>
      </c>
      <c r="E2">
        <v>0</v>
      </c>
      <c r="F2">
        <v>0</v>
      </c>
      <c r="G2">
        <v>0</v>
      </c>
      <c r="H2">
        <v>0</v>
      </c>
      <c r="I2">
        <v>0</v>
      </c>
      <c r="J2">
        <v>0</v>
      </c>
      <c r="K2">
        <v>0</v>
      </c>
      <c r="L2">
        <v>0</v>
      </c>
      <c r="M2">
        <v>0</v>
      </c>
      <c r="N2">
        <v>0</v>
      </c>
      <c r="O2">
        <v>0</v>
      </c>
      <c r="P2">
        <v>0</v>
      </c>
      <c r="Q2">
        <v>0</v>
      </c>
      <c r="R2">
        <v>0</v>
      </c>
      <c r="S2">
        <v>0</v>
      </c>
      <c r="T2">
        <v>0</v>
      </c>
      <c r="U2">
        <v>0</v>
      </c>
      <c r="V2">
        <v>0</v>
      </c>
      <c r="W2">
        <v>0</v>
      </c>
    </row>
    <row r="3" spans="1:36">
      <c r="A3" t="s">
        <v>76</v>
      </c>
      <c r="B3" t="s">
        <v>640</v>
      </c>
      <c r="C3">
        <v>0</v>
      </c>
      <c r="D3">
        <v>0</v>
      </c>
      <c r="E3">
        <v>0</v>
      </c>
      <c r="F3">
        <v>0</v>
      </c>
      <c r="G3">
        <v>0</v>
      </c>
      <c r="H3">
        <v>0</v>
      </c>
      <c r="I3">
        <v>0</v>
      </c>
      <c r="J3">
        <v>0</v>
      </c>
      <c r="K3">
        <v>0</v>
      </c>
      <c r="L3">
        <v>0</v>
      </c>
      <c r="M3">
        <v>0</v>
      </c>
      <c r="N3">
        <v>0</v>
      </c>
      <c r="O3">
        <v>0</v>
      </c>
      <c r="P3">
        <v>0</v>
      </c>
      <c r="Q3">
        <v>0</v>
      </c>
      <c r="R3">
        <v>0</v>
      </c>
      <c r="S3">
        <v>0</v>
      </c>
      <c r="T3">
        <v>0</v>
      </c>
      <c r="U3">
        <v>0</v>
      </c>
      <c r="V3">
        <v>0</v>
      </c>
      <c r="W3">
        <v>0</v>
      </c>
    </row>
    <row r="4" spans="1:36">
      <c r="A4" t="s">
        <v>76</v>
      </c>
      <c r="B4" t="s">
        <v>541</v>
      </c>
      <c r="C4">
        <v>0</v>
      </c>
      <c r="D4">
        <v>0</v>
      </c>
      <c r="E4">
        <v>0</v>
      </c>
      <c r="F4">
        <v>0</v>
      </c>
      <c r="G4">
        <v>0</v>
      </c>
      <c r="H4">
        <v>0</v>
      </c>
      <c r="I4">
        <v>0</v>
      </c>
      <c r="J4">
        <v>0</v>
      </c>
      <c r="K4">
        <v>0</v>
      </c>
      <c r="L4">
        <v>0</v>
      </c>
      <c r="M4">
        <v>0</v>
      </c>
      <c r="N4">
        <v>0</v>
      </c>
      <c r="O4">
        <v>0</v>
      </c>
      <c r="P4">
        <v>0</v>
      </c>
      <c r="Q4">
        <v>0</v>
      </c>
      <c r="R4">
        <v>0</v>
      </c>
      <c r="S4">
        <v>0</v>
      </c>
      <c r="T4">
        <v>47.5</v>
      </c>
      <c r="U4">
        <v>0</v>
      </c>
      <c r="V4">
        <v>47.5</v>
      </c>
      <c r="W4">
        <v>0</v>
      </c>
      <c r="X4">
        <v>47.5</v>
      </c>
      <c r="Y4">
        <v>0</v>
      </c>
      <c r="Z4">
        <v>47.5</v>
      </c>
      <c r="AA4">
        <v>47.5</v>
      </c>
      <c r="AB4">
        <v>0</v>
      </c>
      <c r="AC4">
        <v>47.5</v>
      </c>
      <c r="AD4">
        <v>0</v>
      </c>
    </row>
    <row r="5" spans="1:36">
      <c r="A5" t="s">
        <v>76</v>
      </c>
      <c r="B5" t="s">
        <v>542</v>
      </c>
      <c r="C5">
        <v>0</v>
      </c>
      <c r="D5">
        <v>0</v>
      </c>
      <c r="E5">
        <v>0</v>
      </c>
      <c r="F5">
        <v>0</v>
      </c>
      <c r="G5">
        <v>0</v>
      </c>
      <c r="H5">
        <v>0</v>
      </c>
      <c r="I5">
        <v>0</v>
      </c>
      <c r="J5">
        <v>0</v>
      </c>
      <c r="K5">
        <v>0</v>
      </c>
      <c r="L5">
        <v>0</v>
      </c>
      <c r="M5">
        <v>0</v>
      </c>
      <c r="N5">
        <v>0</v>
      </c>
      <c r="O5">
        <v>0</v>
      </c>
      <c r="P5">
        <v>0</v>
      </c>
      <c r="Q5">
        <v>0</v>
      </c>
      <c r="R5">
        <v>0</v>
      </c>
      <c r="S5">
        <v>0</v>
      </c>
      <c r="T5">
        <v>0</v>
      </c>
      <c r="U5">
        <v>0</v>
      </c>
      <c r="V5">
        <v>0</v>
      </c>
      <c r="W5">
        <v>0</v>
      </c>
      <c r="X5">
        <v>10.5</v>
      </c>
      <c r="Y5">
        <v>2.5</v>
      </c>
      <c r="Z5">
        <v>10.8125</v>
      </c>
      <c r="AA5">
        <v>10.8125</v>
      </c>
      <c r="AB5">
        <v>0</v>
      </c>
      <c r="AC5">
        <v>10.5</v>
      </c>
      <c r="AD5">
        <v>2.5</v>
      </c>
    </row>
    <row r="6" spans="1:36">
      <c r="A6" t="s">
        <v>76</v>
      </c>
      <c r="B6" t="s">
        <v>543</v>
      </c>
      <c r="C6">
        <v>0</v>
      </c>
      <c r="D6">
        <v>0</v>
      </c>
      <c r="E6">
        <v>0</v>
      </c>
      <c r="F6">
        <v>0</v>
      </c>
      <c r="G6">
        <v>0</v>
      </c>
      <c r="H6">
        <v>0</v>
      </c>
      <c r="I6">
        <v>0</v>
      </c>
      <c r="J6">
        <v>0</v>
      </c>
      <c r="K6">
        <v>0</v>
      </c>
      <c r="L6">
        <v>0</v>
      </c>
      <c r="M6">
        <v>0</v>
      </c>
      <c r="N6">
        <v>0</v>
      </c>
      <c r="O6">
        <v>0</v>
      </c>
      <c r="P6">
        <v>0</v>
      </c>
      <c r="Q6">
        <v>0</v>
      </c>
      <c r="R6">
        <v>0</v>
      </c>
      <c r="S6">
        <v>0</v>
      </c>
      <c r="T6">
        <v>0</v>
      </c>
      <c r="U6">
        <v>0</v>
      </c>
      <c r="V6">
        <v>0</v>
      </c>
      <c r="W6">
        <v>0</v>
      </c>
      <c r="X6">
        <v>58</v>
      </c>
      <c r="Y6">
        <v>2.5</v>
      </c>
      <c r="Z6">
        <v>58.3125</v>
      </c>
      <c r="AA6">
        <v>58.3125</v>
      </c>
      <c r="AB6">
        <v>0</v>
      </c>
      <c r="AC6">
        <v>58</v>
      </c>
      <c r="AD6">
        <v>2.5</v>
      </c>
    </row>
    <row r="7" spans="1:36">
      <c r="A7" t="s">
        <v>76</v>
      </c>
      <c r="B7" t="s">
        <v>544</v>
      </c>
      <c r="C7">
        <v>0</v>
      </c>
      <c r="D7">
        <v>0</v>
      </c>
      <c r="E7">
        <v>14.5</v>
      </c>
      <c r="F7">
        <v>0</v>
      </c>
      <c r="G7">
        <v>14.5</v>
      </c>
      <c r="H7">
        <v>0</v>
      </c>
      <c r="I7">
        <v>0</v>
      </c>
      <c r="J7">
        <v>0</v>
      </c>
      <c r="K7">
        <v>0</v>
      </c>
      <c r="L7">
        <v>0</v>
      </c>
      <c r="M7">
        <v>0</v>
      </c>
      <c r="N7">
        <v>0</v>
      </c>
      <c r="O7">
        <v>0</v>
      </c>
      <c r="P7">
        <v>0</v>
      </c>
      <c r="Q7">
        <v>0</v>
      </c>
      <c r="R7">
        <v>0</v>
      </c>
      <c r="S7">
        <v>0</v>
      </c>
      <c r="T7">
        <v>0</v>
      </c>
      <c r="U7">
        <v>0</v>
      </c>
      <c r="V7">
        <v>0</v>
      </c>
      <c r="W7">
        <v>0</v>
      </c>
      <c r="X7">
        <v>14.5</v>
      </c>
      <c r="Y7">
        <v>0</v>
      </c>
      <c r="Z7">
        <v>14.5</v>
      </c>
      <c r="AA7">
        <v>14.5</v>
      </c>
      <c r="AB7">
        <v>0</v>
      </c>
      <c r="AC7">
        <v>14.5</v>
      </c>
      <c r="AD7">
        <v>0</v>
      </c>
    </row>
    <row r="8" spans="1:36">
      <c r="A8" t="s">
        <v>76</v>
      </c>
      <c r="B8" t="s">
        <v>545</v>
      </c>
      <c r="C8">
        <v>0</v>
      </c>
      <c r="D8">
        <v>0</v>
      </c>
      <c r="E8">
        <v>0</v>
      </c>
      <c r="F8">
        <v>0</v>
      </c>
      <c r="G8">
        <v>0</v>
      </c>
      <c r="H8">
        <v>0</v>
      </c>
      <c r="I8">
        <v>0</v>
      </c>
      <c r="J8">
        <v>0</v>
      </c>
      <c r="K8">
        <v>0</v>
      </c>
      <c r="L8">
        <v>0</v>
      </c>
      <c r="M8">
        <v>0</v>
      </c>
      <c r="N8">
        <v>0</v>
      </c>
      <c r="O8">
        <v>0</v>
      </c>
      <c r="P8">
        <v>0</v>
      </c>
      <c r="Q8">
        <v>0</v>
      </c>
      <c r="R8">
        <v>0</v>
      </c>
      <c r="S8">
        <v>0</v>
      </c>
      <c r="T8">
        <v>0</v>
      </c>
      <c r="U8">
        <v>0</v>
      </c>
      <c r="V8">
        <v>0</v>
      </c>
      <c r="W8">
        <v>0</v>
      </c>
      <c r="X8">
        <v>0</v>
      </c>
      <c r="Y8">
        <v>1.5</v>
      </c>
      <c r="Z8">
        <v>0.1875</v>
      </c>
      <c r="AA8">
        <v>0.1875</v>
      </c>
      <c r="AB8">
        <v>0</v>
      </c>
      <c r="AC8">
        <v>0</v>
      </c>
      <c r="AD8">
        <v>1.5</v>
      </c>
    </row>
    <row r="9" spans="1:36">
      <c r="A9" t="s">
        <v>76</v>
      </c>
      <c r="B9" t="s">
        <v>524</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row>
    <row r="10" spans="1:36">
      <c r="A10" t="s">
        <v>76</v>
      </c>
      <c r="B10" t="s">
        <v>524</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row>
    <row r="11" spans="1:36">
      <c r="A11" t="s">
        <v>76</v>
      </c>
      <c r="B11" t="s">
        <v>546</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1</v>
      </c>
      <c r="Z11">
        <v>0.125</v>
      </c>
      <c r="AA11">
        <v>0.125</v>
      </c>
      <c r="AB11">
        <v>0</v>
      </c>
      <c r="AC11">
        <v>0</v>
      </c>
      <c r="AD11">
        <v>1</v>
      </c>
    </row>
    <row r="12" spans="1:36">
      <c r="A12" t="s">
        <v>76</v>
      </c>
      <c r="B12" t="s">
        <v>547</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6</v>
      </c>
      <c r="Z12">
        <v>0.75</v>
      </c>
      <c r="AA12">
        <v>0.75</v>
      </c>
      <c r="AB12">
        <v>0</v>
      </c>
      <c r="AC12">
        <v>0</v>
      </c>
      <c r="AD12">
        <v>6</v>
      </c>
    </row>
    <row r="13" spans="1:36">
      <c r="A13" t="s">
        <v>76</v>
      </c>
      <c r="B13" t="s">
        <v>524</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row>
    <row r="14" spans="1:36">
      <c r="A14" t="s">
        <v>76</v>
      </c>
      <c r="B14" t="s">
        <v>524</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row>
    <row r="15" spans="1:36">
      <c r="A15" t="s">
        <v>76</v>
      </c>
      <c r="B15" t="s">
        <v>548</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2</v>
      </c>
      <c r="Z15">
        <v>0.25</v>
      </c>
      <c r="AA15">
        <v>0.25</v>
      </c>
      <c r="AB15">
        <v>0</v>
      </c>
      <c r="AC15">
        <v>0</v>
      </c>
      <c r="AD15">
        <v>2</v>
      </c>
    </row>
    <row r="16" spans="1:36">
      <c r="A16" t="s">
        <v>76</v>
      </c>
      <c r="B16" t="s">
        <v>549</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1.5</v>
      </c>
      <c r="Z16">
        <v>0.1875</v>
      </c>
      <c r="AA16">
        <v>0.1875</v>
      </c>
      <c r="AB16">
        <v>0</v>
      </c>
      <c r="AC16">
        <v>0</v>
      </c>
      <c r="AD16">
        <v>1.5</v>
      </c>
    </row>
    <row r="17" spans="1:32">
      <c r="A17" t="s">
        <v>76</v>
      </c>
      <c r="B17" t="s">
        <v>550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0.5</v>
      </c>
      <c r="Z17">
        <v>6.25E-2</v>
      </c>
      <c r="AA17">
        <v>6.25E-2</v>
      </c>
      <c r="AB17">
        <v>0</v>
      </c>
      <c r="AC17">
        <v>0</v>
      </c>
      <c r="AD17">
        <v>0.5</v>
      </c>
    </row>
    <row r="18" spans="1:32">
      <c r="A18" t="s">
        <v>76</v>
      </c>
      <c r="B18" t="s">
        <v>551</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0.5</v>
      </c>
      <c r="Z18">
        <v>6.25E-2</v>
      </c>
      <c r="AA18">
        <v>6.25E-2</v>
      </c>
      <c r="AB18">
        <v>0</v>
      </c>
      <c r="AC18">
        <v>0</v>
      </c>
      <c r="AD18">
        <v>0.5</v>
      </c>
    </row>
    <row r="19" spans="1:32">
      <c r="A19" t="s">
        <v>76</v>
      </c>
      <c r="B19" t="s">
        <v>552</v>
      </c>
      <c r="C19">
        <v>0</v>
      </c>
      <c r="D19">
        <v>0</v>
      </c>
      <c r="E19">
        <v>0</v>
      </c>
      <c r="F19">
        <v>0</v>
      </c>
      <c r="G19">
        <v>0</v>
      </c>
      <c r="H19">
        <v>0</v>
      </c>
      <c r="I19">
        <v>0</v>
      </c>
      <c r="J19">
        <v>0</v>
      </c>
      <c r="K19">
        <v>0</v>
      </c>
      <c r="L19">
        <v>0</v>
      </c>
      <c r="M19">
        <v>0</v>
      </c>
      <c r="N19">
        <v>0</v>
      </c>
      <c r="O19">
        <v>0</v>
      </c>
      <c r="P19">
        <v>0</v>
      </c>
      <c r="Q19">
        <v>42</v>
      </c>
      <c r="R19">
        <v>2.5</v>
      </c>
      <c r="S19">
        <v>42.3125</v>
      </c>
      <c r="T19">
        <v>0</v>
      </c>
      <c r="U19">
        <v>0</v>
      </c>
      <c r="V19">
        <v>0</v>
      </c>
      <c r="W19">
        <v>0</v>
      </c>
      <c r="X19">
        <v>42</v>
      </c>
      <c r="Y19">
        <v>2.5</v>
      </c>
      <c r="Z19">
        <v>42.3125</v>
      </c>
      <c r="AA19">
        <v>42.3125</v>
      </c>
      <c r="AB19">
        <v>0</v>
      </c>
      <c r="AC19">
        <v>42</v>
      </c>
      <c r="AD19">
        <v>2.5</v>
      </c>
    </row>
    <row r="20" spans="1:32">
      <c r="A20" t="s">
        <v>76</v>
      </c>
      <c r="B20" t="s">
        <v>170</v>
      </c>
      <c r="C20">
        <v>0</v>
      </c>
      <c r="D20">
        <v>0</v>
      </c>
      <c r="E20">
        <v>0</v>
      </c>
      <c r="F20">
        <v>0</v>
      </c>
      <c r="G20">
        <v>0</v>
      </c>
      <c r="H20">
        <v>0</v>
      </c>
      <c r="I20">
        <v>0</v>
      </c>
      <c r="J20">
        <v>0</v>
      </c>
      <c r="K20">
        <v>0</v>
      </c>
      <c r="L20">
        <v>0</v>
      </c>
      <c r="M20">
        <v>0</v>
      </c>
      <c r="N20">
        <v>0</v>
      </c>
      <c r="O20">
        <v>0</v>
      </c>
      <c r="P20">
        <v>0</v>
      </c>
      <c r="Q20">
        <v>0</v>
      </c>
      <c r="R20">
        <v>0</v>
      </c>
      <c r="S20">
        <v>0</v>
      </c>
      <c r="T20">
        <v>0</v>
      </c>
      <c r="U20">
        <v>0</v>
      </c>
      <c r="V20">
        <v>0</v>
      </c>
      <c r="W20">
        <v>0</v>
      </c>
    </row>
    <row r="21" spans="1:32">
      <c r="A21" t="s">
        <v>553</v>
      </c>
      <c r="B21" t="s">
        <v>554</v>
      </c>
      <c r="C21">
        <v>0</v>
      </c>
      <c r="D21">
        <v>0</v>
      </c>
      <c r="E21">
        <v>0</v>
      </c>
      <c r="F21">
        <v>0</v>
      </c>
      <c r="G21">
        <v>0</v>
      </c>
      <c r="H21">
        <v>0</v>
      </c>
      <c r="I21">
        <v>0</v>
      </c>
      <c r="J21">
        <v>0</v>
      </c>
      <c r="K21">
        <v>0</v>
      </c>
      <c r="L21">
        <v>0</v>
      </c>
      <c r="M21">
        <v>0</v>
      </c>
      <c r="N21">
        <v>0</v>
      </c>
      <c r="O21">
        <v>0</v>
      </c>
      <c r="P21">
        <v>0</v>
      </c>
      <c r="Q21">
        <v>0</v>
      </c>
      <c r="R21">
        <v>0</v>
      </c>
      <c r="S21">
        <v>0</v>
      </c>
      <c r="T21">
        <v>6</v>
      </c>
      <c r="U21">
        <v>3</v>
      </c>
      <c r="V21">
        <v>6.375</v>
      </c>
      <c r="W21">
        <v>0</v>
      </c>
      <c r="X21">
        <v>6</v>
      </c>
      <c r="Y21">
        <v>3</v>
      </c>
      <c r="Z21">
        <v>6.375</v>
      </c>
      <c r="AA21">
        <v>6.375</v>
      </c>
      <c r="AB21">
        <v>0</v>
      </c>
      <c r="AC21">
        <v>6</v>
      </c>
      <c r="AD21">
        <v>3</v>
      </c>
    </row>
    <row r="22" spans="1:32">
      <c r="A22" t="s">
        <v>553</v>
      </c>
      <c r="B22" t="s">
        <v>555</v>
      </c>
      <c r="C22">
        <v>0</v>
      </c>
      <c r="D22">
        <v>0</v>
      </c>
      <c r="E22">
        <v>0</v>
      </c>
      <c r="F22">
        <v>0</v>
      </c>
      <c r="G22">
        <v>0</v>
      </c>
      <c r="H22">
        <v>0</v>
      </c>
      <c r="I22">
        <v>0</v>
      </c>
      <c r="J22">
        <v>0</v>
      </c>
      <c r="K22">
        <v>0</v>
      </c>
      <c r="L22">
        <v>0</v>
      </c>
      <c r="M22">
        <v>0</v>
      </c>
      <c r="N22">
        <v>0</v>
      </c>
      <c r="O22">
        <v>0</v>
      </c>
      <c r="P22">
        <v>0</v>
      </c>
      <c r="Q22">
        <v>6</v>
      </c>
      <c r="R22">
        <v>3</v>
      </c>
      <c r="S22">
        <v>6.375</v>
      </c>
      <c r="T22">
        <v>0</v>
      </c>
      <c r="U22">
        <v>0</v>
      </c>
      <c r="V22">
        <v>0</v>
      </c>
      <c r="W22">
        <v>0</v>
      </c>
      <c r="X22">
        <v>6</v>
      </c>
      <c r="Y22">
        <v>3</v>
      </c>
      <c r="Z22">
        <v>6.375</v>
      </c>
      <c r="AA22">
        <v>6.375</v>
      </c>
      <c r="AB22">
        <v>0</v>
      </c>
      <c r="AC22">
        <v>6</v>
      </c>
      <c r="AD22">
        <v>3</v>
      </c>
    </row>
    <row r="23" spans="1:32">
      <c r="A23" t="s">
        <v>553</v>
      </c>
      <c r="B23" t="s">
        <v>170</v>
      </c>
      <c r="C23">
        <v>0</v>
      </c>
      <c r="D23">
        <v>0</v>
      </c>
      <c r="E23">
        <v>0</v>
      </c>
      <c r="F23">
        <v>0</v>
      </c>
      <c r="G23">
        <v>0</v>
      </c>
      <c r="H23">
        <v>0</v>
      </c>
      <c r="I23">
        <v>0</v>
      </c>
      <c r="J23">
        <v>0</v>
      </c>
      <c r="K23">
        <v>0</v>
      </c>
      <c r="L23">
        <v>0</v>
      </c>
      <c r="M23">
        <v>0</v>
      </c>
      <c r="N23">
        <v>0</v>
      </c>
      <c r="O23">
        <v>0</v>
      </c>
      <c r="P23">
        <v>0</v>
      </c>
      <c r="Q23">
        <v>0</v>
      </c>
      <c r="R23">
        <v>0</v>
      </c>
      <c r="S23">
        <v>0</v>
      </c>
      <c r="T23">
        <v>0</v>
      </c>
      <c r="U23">
        <v>0</v>
      </c>
      <c r="V23">
        <v>0</v>
      </c>
      <c r="W23">
        <v>0</v>
      </c>
    </row>
    <row r="24" spans="1:32">
      <c r="A24" t="s">
        <v>556</v>
      </c>
      <c r="B24" t="s">
        <v>557</v>
      </c>
      <c r="C24">
        <v>0</v>
      </c>
      <c r="D24">
        <v>0</v>
      </c>
      <c r="E24">
        <v>0</v>
      </c>
      <c r="F24">
        <v>0</v>
      </c>
      <c r="G24">
        <v>0</v>
      </c>
      <c r="H24">
        <v>0</v>
      </c>
      <c r="I24">
        <v>0</v>
      </c>
      <c r="J24">
        <v>0</v>
      </c>
      <c r="K24">
        <v>0</v>
      </c>
      <c r="L24">
        <v>0</v>
      </c>
      <c r="M24">
        <v>0</v>
      </c>
      <c r="N24">
        <v>0</v>
      </c>
      <c r="O24">
        <v>0</v>
      </c>
      <c r="P24">
        <v>0</v>
      </c>
      <c r="Q24">
        <v>0</v>
      </c>
      <c r="R24">
        <v>0</v>
      </c>
      <c r="S24">
        <v>0</v>
      </c>
      <c r="T24">
        <v>2</v>
      </c>
      <c r="U24">
        <v>0.5</v>
      </c>
      <c r="V24">
        <v>2.0625</v>
      </c>
      <c r="W24">
        <v>0</v>
      </c>
      <c r="X24">
        <v>2</v>
      </c>
      <c r="Y24">
        <v>0.5</v>
      </c>
      <c r="Z24">
        <v>2.0625</v>
      </c>
      <c r="AA24">
        <v>2.0625</v>
      </c>
      <c r="AB24">
        <v>0</v>
      </c>
      <c r="AC24">
        <v>2</v>
      </c>
      <c r="AD24">
        <v>0.5</v>
      </c>
    </row>
    <row r="25" spans="1:32">
      <c r="A25" t="s">
        <v>556</v>
      </c>
      <c r="B25" t="s">
        <v>558</v>
      </c>
      <c r="C25">
        <v>0</v>
      </c>
      <c r="D25">
        <v>0</v>
      </c>
      <c r="E25">
        <v>0</v>
      </c>
      <c r="F25">
        <v>0</v>
      </c>
      <c r="G25">
        <v>0</v>
      </c>
      <c r="H25">
        <v>0</v>
      </c>
      <c r="I25">
        <v>0</v>
      </c>
      <c r="J25">
        <v>0</v>
      </c>
      <c r="K25">
        <v>0</v>
      </c>
      <c r="L25">
        <v>0</v>
      </c>
      <c r="M25">
        <v>0</v>
      </c>
      <c r="N25">
        <v>0</v>
      </c>
      <c r="O25">
        <v>0</v>
      </c>
      <c r="P25">
        <v>0</v>
      </c>
      <c r="Q25">
        <v>2</v>
      </c>
      <c r="R25">
        <v>0.5</v>
      </c>
      <c r="S25">
        <v>2.0625</v>
      </c>
      <c r="T25">
        <v>0</v>
      </c>
      <c r="U25">
        <v>0</v>
      </c>
      <c r="V25">
        <v>0</v>
      </c>
      <c r="W25">
        <v>0</v>
      </c>
      <c r="X25">
        <v>2</v>
      </c>
      <c r="Y25">
        <v>0.5</v>
      </c>
      <c r="Z25">
        <v>2.0625</v>
      </c>
      <c r="AA25">
        <v>2.0625</v>
      </c>
      <c r="AB25">
        <v>0</v>
      </c>
      <c r="AC25">
        <v>2</v>
      </c>
      <c r="AD25">
        <v>0.5</v>
      </c>
    </row>
    <row r="26" spans="1:32">
      <c r="A26" t="s">
        <v>556</v>
      </c>
      <c r="B26" t="s">
        <v>170</v>
      </c>
      <c r="C26">
        <v>0</v>
      </c>
      <c r="D26">
        <v>0</v>
      </c>
      <c r="E26">
        <v>0</v>
      </c>
      <c r="F26">
        <v>0</v>
      </c>
      <c r="G26">
        <v>0</v>
      </c>
      <c r="H26">
        <v>0</v>
      </c>
      <c r="I26">
        <v>0</v>
      </c>
      <c r="J26">
        <v>0</v>
      </c>
      <c r="K26">
        <v>0</v>
      </c>
      <c r="L26">
        <v>0</v>
      </c>
      <c r="M26">
        <v>0</v>
      </c>
      <c r="N26">
        <v>0</v>
      </c>
      <c r="O26">
        <v>0</v>
      </c>
      <c r="P26">
        <v>0</v>
      </c>
      <c r="Q26">
        <v>0</v>
      </c>
      <c r="R26">
        <v>0</v>
      </c>
      <c r="S26">
        <v>0</v>
      </c>
      <c r="T26">
        <v>0</v>
      </c>
      <c r="U26">
        <v>0</v>
      </c>
      <c r="V26">
        <v>0</v>
      </c>
      <c r="W26">
        <v>0</v>
      </c>
    </row>
    <row r="27" spans="1:32">
      <c r="A27" t="s">
        <v>80</v>
      </c>
      <c r="B27" t="s">
        <v>559</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1</v>
      </c>
      <c r="Z27">
        <v>0.125</v>
      </c>
      <c r="AA27">
        <v>0.125</v>
      </c>
      <c r="AB27">
        <v>0</v>
      </c>
      <c r="AC27">
        <v>0</v>
      </c>
      <c r="AD27">
        <v>1</v>
      </c>
    </row>
    <row r="28" spans="1:32">
      <c r="A28" t="s">
        <v>80</v>
      </c>
      <c r="B28" t="s">
        <v>560</v>
      </c>
      <c r="C28">
        <v>0</v>
      </c>
      <c r="D28">
        <v>0</v>
      </c>
      <c r="E28">
        <v>0</v>
      </c>
      <c r="F28">
        <v>0</v>
      </c>
      <c r="G28">
        <v>0</v>
      </c>
      <c r="H28">
        <v>0</v>
      </c>
      <c r="I28">
        <v>0</v>
      </c>
      <c r="J28">
        <v>0</v>
      </c>
      <c r="K28">
        <v>0</v>
      </c>
      <c r="L28">
        <v>0</v>
      </c>
      <c r="M28">
        <v>0</v>
      </c>
      <c r="N28">
        <v>0</v>
      </c>
      <c r="O28">
        <v>0</v>
      </c>
      <c r="P28">
        <v>0</v>
      </c>
      <c r="Q28">
        <v>0</v>
      </c>
      <c r="R28">
        <v>0</v>
      </c>
      <c r="S28">
        <v>0</v>
      </c>
      <c r="T28">
        <v>7.5</v>
      </c>
      <c r="U28">
        <v>1</v>
      </c>
      <c r="V28">
        <v>7.625</v>
      </c>
      <c r="W28">
        <v>0</v>
      </c>
      <c r="X28">
        <v>7.5</v>
      </c>
      <c r="Y28">
        <v>1</v>
      </c>
      <c r="Z28">
        <v>7.625</v>
      </c>
      <c r="AA28">
        <v>7.625</v>
      </c>
      <c r="AB28">
        <v>0</v>
      </c>
      <c r="AC28">
        <v>7.5</v>
      </c>
      <c r="AD28">
        <v>1</v>
      </c>
    </row>
    <row r="29" spans="1:32">
      <c r="A29" t="s">
        <v>80</v>
      </c>
      <c r="B29" t="s">
        <v>561</v>
      </c>
      <c r="C29">
        <v>0</v>
      </c>
      <c r="D29">
        <v>0</v>
      </c>
      <c r="E29">
        <v>0</v>
      </c>
      <c r="F29">
        <v>0</v>
      </c>
      <c r="G29">
        <v>0</v>
      </c>
      <c r="H29">
        <v>0</v>
      </c>
      <c r="I29">
        <v>0</v>
      </c>
      <c r="J29">
        <v>0</v>
      </c>
      <c r="K29">
        <v>0</v>
      </c>
      <c r="L29">
        <v>0</v>
      </c>
      <c r="M29">
        <v>0</v>
      </c>
      <c r="N29">
        <v>0</v>
      </c>
      <c r="O29">
        <v>0</v>
      </c>
      <c r="P29">
        <v>0</v>
      </c>
      <c r="Q29">
        <v>7</v>
      </c>
      <c r="R29">
        <v>1</v>
      </c>
      <c r="S29">
        <v>7.125</v>
      </c>
      <c r="T29">
        <v>0</v>
      </c>
      <c r="U29">
        <v>0</v>
      </c>
      <c r="V29">
        <v>0</v>
      </c>
      <c r="W29">
        <v>0</v>
      </c>
      <c r="X29">
        <v>7</v>
      </c>
      <c r="Y29">
        <v>4</v>
      </c>
      <c r="Z29">
        <v>7.5</v>
      </c>
      <c r="AA29">
        <v>7.125</v>
      </c>
      <c r="AB29">
        <v>0.375</v>
      </c>
      <c r="AC29">
        <v>7</v>
      </c>
      <c r="AD29">
        <v>1</v>
      </c>
      <c r="AE29">
        <v>0</v>
      </c>
      <c r="AF29">
        <v>4</v>
      </c>
    </row>
    <row r="30" spans="1:32">
      <c r="A30" t="s">
        <v>80</v>
      </c>
      <c r="B30" t="s">
        <v>170</v>
      </c>
      <c r="C30">
        <v>0</v>
      </c>
      <c r="D30">
        <v>0</v>
      </c>
      <c r="E30">
        <v>0</v>
      </c>
      <c r="F30">
        <v>0</v>
      </c>
      <c r="G30">
        <v>0</v>
      </c>
      <c r="H30">
        <v>0</v>
      </c>
      <c r="I30">
        <v>0</v>
      </c>
      <c r="J30">
        <v>0</v>
      </c>
      <c r="K30">
        <v>0</v>
      </c>
      <c r="L30">
        <v>0</v>
      </c>
      <c r="M30">
        <v>0</v>
      </c>
      <c r="N30">
        <v>0</v>
      </c>
      <c r="O30">
        <v>0</v>
      </c>
      <c r="P30">
        <v>0</v>
      </c>
      <c r="Q30">
        <v>0</v>
      </c>
      <c r="R30">
        <v>0</v>
      </c>
      <c r="S30">
        <v>0</v>
      </c>
      <c r="T30">
        <v>0</v>
      </c>
      <c r="U30">
        <v>0</v>
      </c>
      <c r="V30">
        <v>0</v>
      </c>
      <c r="W30">
        <v>0</v>
      </c>
    </row>
    <row r="31" spans="1:32">
      <c r="A31" t="s">
        <v>567</v>
      </c>
      <c r="B31" t="s">
        <v>641</v>
      </c>
      <c r="C31">
        <v>0</v>
      </c>
      <c r="D31">
        <v>0</v>
      </c>
      <c r="E31">
        <v>0</v>
      </c>
      <c r="F31">
        <v>0</v>
      </c>
      <c r="G31">
        <v>0</v>
      </c>
      <c r="H31">
        <v>0</v>
      </c>
      <c r="I31">
        <v>0</v>
      </c>
      <c r="J31">
        <v>0</v>
      </c>
      <c r="K31">
        <v>0</v>
      </c>
      <c r="L31">
        <v>0</v>
      </c>
      <c r="M31">
        <v>0</v>
      </c>
      <c r="N31">
        <v>0</v>
      </c>
      <c r="O31">
        <v>0</v>
      </c>
      <c r="P31">
        <v>0</v>
      </c>
      <c r="Q31">
        <v>0</v>
      </c>
      <c r="R31">
        <v>0</v>
      </c>
      <c r="S31">
        <v>0</v>
      </c>
      <c r="T31">
        <v>0</v>
      </c>
      <c r="U31">
        <v>0</v>
      </c>
      <c r="V31">
        <v>0</v>
      </c>
      <c r="W31">
        <v>0</v>
      </c>
    </row>
    <row r="32" spans="1:32">
      <c r="A32" t="s">
        <v>567</v>
      </c>
      <c r="B32" t="s">
        <v>569</v>
      </c>
      <c r="C32">
        <v>0</v>
      </c>
      <c r="D32">
        <v>0</v>
      </c>
      <c r="E32">
        <v>0</v>
      </c>
      <c r="F32">
        <v>0</v>
      </c>
      <c r="G32">
        <v>0</v>
      </c>
      <c r="H32">
        <v>0</v>
      </c>
      <c r="I32">
        <v>0</v>
      </c>
      <c r="J32">
        <v>0</v>
      </c>
      <c r="K32">
        <v>0</v>
      </c>
      <c r="L32">
        <v>0</v>
      </c>
      <c r="M32">
        <v>0</v>
      </c>
      <c r="N32">
        <v>0</v>
      </c>
      <c r="O32">
        <v>0</v>
      </c>
      <c r="P32">
        <v>0</v>
      </c>
      <c r="Q32">
        <v>0</v>
      </c>
      <c r="R32">
        <v>0</v>
      </c>
      <c r="S32">
        <v>0</v>
      </c>
      <c r="T32">
        <v>73.5</v>
      </c>
      <c r="U32">
        <v>1</v>
      </c>
      <c r="V32">
        <v>73.625</v>
      </c>
      <c r="W32">
        <v>0</v>
      </c>
      <c r="X32">
        <v>73.5</v>
      </c>
      <c r="Y32">
        <v>1</v>
      </c>
      <c r="Z32">
        <v>73.625</v>
      </c>
      <c r="AA32">
        <v>73.625</v>
      </c>
      <c r="AB32">
        <v>0</v>
      </c>
      <c r="AC32">
        <v>73.5</v>
      </c>
      <c r="AD32">
        <v>1</v>
      </c>
    </row>
    <row r="33" spans="1:32">
      <c r="A33" t="s">
        <v>567</v>
      </c>
      <c r="B33" t="s">
        <v>570</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7</v>
      </c>
      <c r="Y33">
        <v>1</v>
      </c>
      <c r="Z33">
        <v>7.125</v>
      </c>
      <c r="AA33">
        <v>7.125</v>
      </c>
      <c r="AB33">
        <v>0</v>
      </c>
      <c r="AC33">
        <v>7</v>
      </c>
      <c r="AD33">
        <v>1</v>
      </c>
    </row>
    <row r="34" spans="1:32">
      <c r="A34" t="s">
        <v>567</v>
      </c>
      <c r="B34" t="s">
        <v>571</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9</v>
      </c>
      <c r="Y34">
        <v>0</v>
      </c>
      <c r="Z34">
        <v>9</v>
      </c>
      <c r="AA34">
        <v>9</v>
      </c>
      <c r="AB34">
        <v>0</v>
      </c>
      <c r="AC34">
        <v>9</v>
      </c>
      <c r="AD34">
        <v>0</v>
      </c>
    </row>
    <row r="35" spans="1:32">
      <c r="A35" t="s">
        <v>567</v>
      </c>
      <c r="B35" t="s">
        <v>642</v>
      </c>
      <c r="C35">
        <v>0</v>
      </c>
      <c r="D35">
        <v>0</v>
      </c>
      <c r="E35">
        <v>0</v>
      </c>
      <c r="F35">
        <v>0</v>
      </c>
      <c r="G35">
        <v>0</v>
      </c>
      <c r="H35">
        <v>0</v>
      </c>
      <c r="I35">
        <v>0</v>
      </c>
      <c r="J35">
        <v>0</v>
      </c>
      <c r="K35">
        <v>0</v>
      </c>
      <c r="L35">
        <v>0</v>
      </c>
      <c r="M35">
        <v>0</v>
      </c>
      <c r="N35">
        <v>3</v>
      </c>
      <c r="O35">
        <v>0</v>
      </c>
      <c r="P35">
        <v>3</v>
      </c>
      <c r="Q35">
        <v>0</v>
      </c>
      <c r="R35">
        <v>0</v>
      </c>
      <c r="S35">
        <v>0</v>
      </c>
      <c r="T35">
        <v>0</v>
      </c>
      <c r="U35">
        <v>0</v>
      </c>
      <c r="V35">
        <v>0</v>
      </c>
      <c r="W35">
        <v>0</v>
      </c>
    </row>
    <row r="36" spans="1:32">
      <c r="A36" t="s">
        <v>567</v>
      </c>
      <c r="B36" t="s">
        <v>573</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93</v>
      </c>
      <c r="Y36">
        <v>1</v>
      </c>
      <c r="Z36">
        <v>93.125</v>
      </c>
      <c r="AA36">
        <v>93.125</v>
      </c>
      <c r="AB36">
        <v>0</v>
      </c>
      <c r="AC36">
        <v>93</v>
      </c>
      <c r="AD36">
        <v>1</v>
      </c>
    </row>
    <row r="37" spans="1:32">
      <c r="A37" t="s">
        <v>567</v>
      </c>
      <c r="B37" t="s">
        <v>574</v>
      </c>
      <c r="C37">
        <v>0</v>
      </c>
      <c r="D37">
        <v>0</v>
      </c>
      <c r="E37">
        <v>16</v>
      </c>
      <c r="F37">
        <v>1</v>
      </c>
      <c r="G37">
        <v>16.125</v>
      </c>
      <c r="H37">
        <v>0</v>
      </c>
      <c r="I37">
        <v>0</v>
      </c>
      <c r="J37">
        <v>0</v>
      </c>
      <c r="K37">
        <v>0</v>
      </c>
      <c r="L37">
        <v>0</v>
      </c>
      <c r="M37">
        <v>0</v>
      </c>
      <c r="N37">
        <v>0</v>
      </c>
      <c r="O37">
        <v>0</v>
      </c>
      <c r="P37">
        <v>0</v>
      </c>
      <c r="Q37">
        <v>0</v>
      </c>
      <c r="R37">
        <v>0</v>
      </c>
      <c r="S37">
        <v>0</v>
      </c>
      <c r="T37">
        <v>0</v>
      </c>
      <c r="U37">
        <v>0</v>
      </c>
      <c r="V37">
        <v>0</v>
      </c>
      <c r="W37">
        <v>0</v>
      </c>
      <c r="X37">
        <v>16</v>
      </c>
      <c r="Y37">
        <v>1</v>
      </c>
      <c r="Z37">
        <v>16.125</v>
      </c>
      <c r="AA37">
        <v>16.125</v>
      </c>
      <c r="AB37">
        <v>0</v>
      </c>
      <c r="AC37">
        <v>16</v>
      </c>
      <c r="AD37">
        <v>1</v>
      </c>
    </row>
    <row r="38" spans="1:32">
      <c r="A38" t="s">
        <v>567</v>
      </c>
      <c r="B38" t="s">
        <v>575</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1.5</v>
      </c>
      <c r="Z38">
        <v>0.1875</v>
      </c>
      <c r="AA38">
        <v>0.1875</v>
      </c>
      <c r="AB38">
        <v>0</v>
      </c>
      <c r="AC38">
        <v>0</v>
      </c>
      <c r="AD38">
        <v>1.5</v>
      </c>
    </row>
    <row r="39" spans="1:32">
      <c r="A39" t="s">
        <v>567</v>
      </c>
      <c r="B39" t="s">
        <v>524</v>
      </c>
      <c r="C39">
        <v>0</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row>
    <row r="40" spans="1:32">
      <c r="A40" t="s">
        <v>567</v>
      </c>
      <c r="B40" t="s">
        <v>524</v>
      </c>
      <c r="C40">
        <v>0</v>
      </c>
      <c r="D40">
        <v>0</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row>
    <row r="41" spans="1:32">
      <c r="A41" t="s">
        <v>567</v>
      </c>
      <c r="B41" t="s">
        <v>524</v>
      </c>
      <c r="C41">
        <v>0</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row>
    <row r="42" spans="1:32">
      <c r="A42" t="s">
        <v>567</v>
      </c>
      <c r="B42" t="s">
        <v>546</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1</v>
      </c>
      <c r="Z42">
        <v>0.125</v>
      </c>
      <c r="AA42">
        <v>0.125</v>
      </c>
      <c r="AB42">
        <v>0</v>
      </c>
      <c r="AC42">
        <v>0</v>
      </c>
      <c r="AD42">
        <v>1</v>
      </c>
    </row>
    <row r="43" spans="1:32">
      <c r="A43" t="s">
        <v>567</v>
      </c>
      <c r="B43" t="s">
        <v>576</v>
      </c>
      <c r="C43">
        <v>0</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3</v>
      </c>
      <c r="Z43">
        <v>0.375</v>
      </c>
      <c r="AA43">
        <v>0.375</v>
      </c>
      <c r="AB43">
        <v>0</v>
      </c>
      <c r="AC43">
        <v>0</v>
      </c>
      <c r="AD43">
        <v>3</v>
      </c>
    </row>
    <row r="44" spans="1:32">
      <c r="A44" t="s">
        <v>567</v>
      </c>
      <c r="B44" t="s">
        <v>577</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6</v>
      </c>
      <c r="Y44">
        <v>3</v>
      </c>
      <c r="Z44">
        <v>6.375</v>
      </c>
      <c r="AA44">
        <v>0.375</v>
      </c>
      <c r="AB44">
        <v>6</v>
      </c>
      <c r="AC44">
        <v>0</v>
      </c>
      <c r="AD44">
        <v>3</v>
      </c>
      <c r="AE44">
        <v>6</v>
      </c>
      <c r="AF44">
        <v>0</v>
      </c>
    </row>
    <row r="45" spans="1:32">
      <c r="A45" t="s">
        <v>567</v>
      </c>
      <c r="B45" t="s">
        <v>578</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17</v>
      </c>
      <c r="Y45">
        <v>2</v>
      </c>
      <c r="Z45">
        <v>17.25</v>
      </c>
      <c r="AA45">
        <v>17.25</v>
      </c>
      <c r="AB45">
        <v>0</v>
      </c>
      <c r="AC45">
        <v>17</v>
      </c>
      <c r="AD45">
        <v>2</v>
      </c>
    </row>
    <row r="46" spans="1:32">
      <c r="A46" t="s">
        <v>567</v>
      </c>
      <c r="B46" t="s">
        <v>579</v>
      </c>
      <c r="C46">
        <v>0</v>
      </c>
      <c r="D46">
        <v>0</v>
      </c>
      <c r="E46">
        <v>0</v>
      </c>
      <c r="F46">
        <v>0</v>
      </c>
      <c r="G46">
        <v>0</v>
      </c>
      <c r="H46">
        <v>0</v>
      </c>
      <c r="I46">
        <v>0</v>
      </c>
      <c r="J46">
        <v>0</v>
      </c>
      <c r="K46">
        <v>0</v>
      </c>
      <c r="L46">
        <v>0</v>
      </c>
      <c r="M46">
        <v>0</v>
      </c>
      <c r="N46">
        <v>0</v>
      </c>
      <c r="O46">
        <v>0</v>
      </c>
      <c r="P46">
        <v>0</v>
      </c>
      <c r="Q46">
        <v>0</v>
      </c>
      <c r="R46">
        <v>0</v>
      </c>
      <c r="S46">
        <v>0</v>
      </c>
      <c r="T46">
        <v>0</v>
      </c>
      <c r="U46">
        <v>0</v>
      </c>
      <c r="V46">
        <v>0</v>
      </c>
      <c r="W46">
        <v>0</v>
      </c>
      <c r="X46">
        <v>4</v>
      </c>
      <c r="Y46">
        <v>0</v>
      </c>
      <c r="Z46">
        <v>4</v>
      </c>
      <c r="AA46">
        <v>4</v>
      </c>
      <c r="AB46">
        <v>0</v>
      </c>
      <c r="AC46">
        <v>4</v>
      </c>
      <c r="AD46">
        <v>0</v>
      </c>
    </row>
    <row r="47" spans="1:32">
      <c r="A47" t="s">
        <v>567</v>
      </c>
      <c r="B47" t="s">
        <v>643</v>
      </c>
      <c r="C47">
        <v>0</v>
      </c>
      <c r="D47">
        <v>0</v>
      </c>
      <c r="E47">
        <v>0</v>
      </c>
      <c r="F47">
        <v>0</v>
      </c>
      <c r="G47">
        <v>0</v>
      </c>
      <c r="H47">
        <v>0</v>
      </c>
      <c r="I47">
        <v>0</v>
      </c>
      <c r="J47">
        <v>0</v>
      </c>
      <c r="K47">
        <v>0</v>
      </c>
      <c r="L47">
        <v>0</v>
      </c>
      <c r="M47">
        <v>0</v>
      </c>
      <c r="N47">
        <v>0</v>
      </c>
      <c r="O47">
        <v>0</v>
      </c>
      <c r="P47">
        <v>0</v>
      </c>
      <c r="Q47">
        <v>0</v>
      </c>
      <c r="R47">
        <v>0</v>
      </c>
      <c r="S47">
        <v>0</v>
      </c>
      <c r="T47">
        <v>0</v>
      </c>
      <c r="U47">
        <v>0</v>
      </c>
      <c r="V47">
        <v>0</v>
      </c>
      <c r="W47">
        <v>0</v>
      </c>
    </row>
    <row r="48" spans="1:32">
      <c r="A48" t="s">
        <v>567</v>
      </c>
      <c r="B48" t="s">
        <v>581</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4</v>
      </c>
      <c r="Y48">
        <v>2</v>
      </c>
      <c r="Z48">
        <v>4.25</v>
      </c>
      <c r="AA48">
        <v>4.25</v>
      </c>
      <c r="AB48">
        <v>0</v>
      </c>
      <c r="AC48">
        <v>4</v>
      </c>
      <c r="AD48">
        <v>2</v>
      </c>
    </row>
    <row r="49" spans="1:32">
      <c r="A49" t="s">
        <v>567</v>
      </c>
      <c r="B49" t="s">
        <v>524</v>
      </c>
      <c r="C49">
        <v>0</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row>
    <row r="50" spans="1:32">
      <c r="A50" t="s">
        <v>567</v>
      </c>
      <c r="B50" t="s">
        <v>524</v>
      </c>
      <c r="C50">
        <v>0</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row>
    <row r="51" spans="1:32">
      <c r="A51" t="s">
        <v>567</v>
      </c>
      <c r="B51" t="s">
        <v>524</v>
      </c>
      <c r="C51">
        <v>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row>
    <row r="52" spans="1:32">
      <c r="A52" t="s">
        <v>567</v>
      </c>
      <c r="B52" t="s">
        <v>582</v>
      </c>
      <c r="C52">
        <v>0</v>
      </c>
      <c r="D52">
        <v>0</v>
      </c>
      <c r="E52">
        <v>0</v>
      </c>
      <c r="F52">
        <v>0</v>
      </c>
      <c r="G52">
        <v>0</v>
      </c>
      <c r="H52">
        <v>0</v>
      </c>
      <c r="I52">
        <v>0</v>
      </c>
      <c r="J52">
        <v>0</v>
      </c>
      <c r="K52">
        <v>0</v>
      </c>
      <c r="L52">
        <v>0</v>
      </c>
      <c r="M52">
        <v>0</v>
      </c>
      <c r="N52">
        <v>0</v>
      </c>
      <c r="O52">
        <v>0</v>
      </c>
      <c r="P52">
        <v>0</v>
      </c>
      <c r="Q52">
        <v>0</v>
      </c>
      <c r="R52">
        <v>0</v>
      </c>
      <c r="S52">
        <v>0</v>
      </c>
      <c r="T52">
        <v>0</v>
      </c>
      <c r="U52">
        <v>0</v>
      </c>
      <c r="V52">
        <v>0</v>
      </c>
      <c r="W52">
        <v>0</v>
      </c>
      <c r="X52">
        <v>2</v>
      </c>
      <c r="Y52">
        <v>0</v>
      </c>
      <c r="Z52">
        <v>2</v>
      </c>
      <c r="AA52">
        <v>2</v>
      </c>
      <c r="AB52">
        <v>0</v>
      </c>
      <c r="AC52">
        <v>2</v>
      </c>
      <c r="AD52">
        <v>0</v>
      </c>
    </row>
    <row r="53" spans="1:32">
      <c r="A53" t="s">
        <v>567</v>
      </c>
      <c r="B53" t="s">
        <v>524</v>
      </c>
      <c r="C53">
        <v>0</v>
      </c>
      <c r="D53">
        <v>0</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row>
    <row r="54" spans="1:32">
      <c r="A54" t="s">
        <v>567</v>
      </c>
      <c r="B54" t="s">
        <v>524</v>
      </c>
      <c r="C54">
        <v>0</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row>
    <row r="55" spans="1:32">
      <c r="A55" t="s">
        <v>567</v>
      </c>
      <c r="B55" t="s">
        <v>524</v>
      </c>
      <c r="C55">
        <v>0</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row>
    <row r="56" spans="1:32">
      <c r="A56" t="s">
        <v>567</v>
      </c>
      <c r="B56" t="s">
        <v>583</v>
      </c>
      <c r="C56">
        <v>0</v>
      </c>
      <c r="D56">
        <v>0</v>
      </c>
      <c r="E56">
        <v>0</v>
      </c>
      <c r="F56">
        <v>0</v>
      </c>
      <c r="G56">
        <v>0</v>
      </c>
      <c r="H56">
        <v>0</v>
      </c>
      <c r="I56">
        <v>0</v>
      </c>
      <c r="J56">
        <v>0</v>
      </c>
      <c r="K56">
        <v>0</v>
      </c>
      <c r="L56">
        <v>0</v>
      </c>
      <c r="M56">
        <v>0</v>
      </c>
      <c r="N56">
        <v>0</v>
      </c>
      <c r="O56">
        <v>0</v>
      </c>
      <c r="P56">
        <v>0</v>
      </c>
      <c r="Q56">
        <v>0</v>
      </c>
      <c r="R56">
        <v>0</v>
      </c>
      <c r="S56">
        <v>0</v>
      </c>
      <c r="T56">
        <v>0</v>
      </c>
      <c r="U56">
        <v>0</v>
      </c>
      <c r="V56">
        <v>0</v>
      </c>
      <c r="W56">
        <v>0</v>
      </c>
      <c r="X56">
        <v>7.5</v>
      </c>
      <c r="Y56">
        <v>0</v>
      </c>
      <c r="Z56">
        <v>7.5</v>
      </c>
      <c r="AA56">
        <v>7.5</v>
      </c>
      <c r="AB56">
        <v>0</v>
      </c>
      <c r="AC56">
        <v>7.5</v>
      </c>
      <c r="AD56">
        <v>0</v>
      </c>
    </row>
    <row r="57" spans="1:32">
      <c r="A57" t="s">
        <v>567</v>
      </c>
      <c r="B57" t="s">
        <v>584</v>
      </c>
      <c r="C57">
        <v>0</v>
      </c>
      <c r="D57">
        <v>0</v>
      </c>
      <c r="E57">
        <v>0</v>
      </c>
      <c r="F57">
        <v>0</v>
      </c>
      <c r="G57">
        <v>0</v>
      </c>
      <c r="H57">
        <v>0</v>
      </c>
      <c r="I57">
        <v>0</v>
      </c>
      <c r="J57">
        <v>0</v>
      </c>
      <c r="K57">
        <v>0</v>
      </c>
      <c r="L57">
        <v>0</v>
      </c>
      <c r="M57">
        <v>0</v>
      </c>
      <c r="N57">
        <v>0</v>
      </c>
      <c r="O57">
        <v>0</v>
      </c>
      <c r="P57">
        <v>0</v>
      </c>
      <c r="Q57">
        <v>34</v>
      </c>
      <c r="R57">
        <v>1</v>
      </c>
      <c r="S57">
        <v>34.125</v>
      </c>
      <c r="T57">
        <v>0</v>
      </c>
      <c r="U57">
        <v>0</v>
      </c>
      <c r="V57">
        <v>0</v>
      </c>
      <c r="W57">
        <v>0</v>
      </c>
      <c r="X57">
        <v>34</v>
      </c>
      <c r="Y57">
        <v>1</v>
      </c>
      <c r="Z57">
        <v>34.125</v>
      </c>
      <c r="AA57">
        <v>34.125</v>
      </c>
      <c r="AB57">
        <v>0</v>
      </c>
      <c r="AC57">
        <v>34</v>
      </c>
      <c r="AD57">
        <v>1</v>
      </c>
    </row>
    <row r="58" spans="1:32">
      <c r="A58" t="s">
        <v>567</v>
      </c>
      <c r="B58" t="s">
        <v>170</v>
      </c>
      <c r="C58">
        <v>0</v>
      </c>
      <c r="D58">
        <v>0</v>
      </c>
      <c r="E58">
        <v>0</v>
      </c>
      <c r="F58">
        <v>0</v>
      </c>
      <c r="G58">
        <v>0</v>
      </c>
      <c r="H58">
        <v>0</v>
      </c>
      <c r="I58">
        <v>0</v>
      </c>
      <c r="J58">
        <v>0</v>
      </c>
      <c r="K58">
        <v>0</v>
      </c>
      <c r="L58">
        <v>0</v>
      </c>
      <c r="M58">
        <v>0</v>
      </c>
      <c r="N58">
        <v>0</v>
      </c>
      <c r="O58">
        <v>0</v>
      </c>
      <c r="P58">
        <v>0</v>
      </c>
      <c r="Q58">
        <v>0</v>
      </c>
      <c r="R58">
        <v>0</v>
      </c>
      <c r="S58">
        <v>0</v>
      </c>
      <c r="T58">
        <v>0</v>
      </c>
      <c r="U58">
        <v>0</v>
      </c>
      <c r="V58">
        <v>0</v>
      </c>
      <c r="W58">
        <v>0</v>
      </c>
    </row>
    <row r="59" spans="1:32">
      <c r="A59" t="s">
        <v>585</v>
      </c>
      <c r="B59" t="s">
        <v>586</v>
      </c>
      <c r="C59">
        <v>0</v>
      </c>
      <c r="D59">
        <v>0</v>
      </c>
      <c r="E59">
        <v>0</v>
      </c>
      <c r="F59">
        <v>0</v>
      </c>
      <c r="G59">
        <v>0</v>
      </c>
      <c r="H59">
        <v>0</v>
      </c>
      <c r="I59">
        <v>0</v>
      </c>
      <c r="J59">
        <v>0</v>
      </c>
      <c r="K59">
        <v>0</v>
      </c>
      <c r="L59">
        <v>0</v>
      </c>
      <c r="M59">
        <v>0</v>
      </c>
      <c r="N59">
        <v>0</v>
      </c>
      <c r="O59">
        <v>0</v>
      </c>
      <c r="P59">
        <v>0</v>
      </c>
      <c r="Q59">
        <v>0</v>
      </c>
      <c r="R59">
        <v>0</v>
      </c>
      <c r="S59">
        <v>0</v>
      </c>
      <c r="T59">
        <v>0</v>
      </c>
      <c r="U59">
        <v>0</v>
      </c>
      <c r="V59">
        <v>0</v>
      </c>
      <c r="W59">
        <v>0</v>
      </c>
      <c r="X59">
        <v>8</v>
      </c>
      <c r="Y59">
        <v>6</v>
      </c>
      <c r="Z59">
        <v>8.75</v>
      </c>
      <c r="AA59">
        <v>8.75</v>
      </c>
      <c r="AB59">
        <v>0</v>
      </c>
      <c r="AC59">
        <v>8</v>
      </c>
      <c r="AD59">
        <v>6</v>
      </c>
    </row>
    <row r="60" spans="1:32">
      <c r="A60" t="s">
        <v>585</v>
      </c>
      <c r="B60" t="s">
        <v>587</v>
      </c>
      <c r="C60">
        <v>0</v>
      </c>
      <c r="D60">
        <v>0</v>
      </c>
      <c r="E60">
        <v>0</v>
      </c>
      <c r="F60">
        <v>0</v>
      </c>
      <c r="G60">
        <v>0</v>
      </c>
      <c r="H60">
        <v>0</v>
      </c>
      <c r="I60">
        <v>0</v>
      </c>
      <c r="J60">
        <v>0</v>
      </c>
      <c r="K60">
        <v>0</v>
      </c>
      <c r="L60">
        <v>0</v>
      </c>
      <c r="M60">
        <v>0</v>
      </c>
      <c r="N60">
        <v>0</v>
      </c>
      <c r="O60">
        <v>0</v>
      </c>
      <c r="P60">
        <v>0</v>
      </c>
      <c r="Q60">
        <v>0</v>
      </c>
      <c r="R60">
        <v>0</v>
      </c>
      <c r="S60">
        <v>0</v>
      </c>
      <c r="T60">
        <v>93.5</v>
      </c>
      <c r="U60">
        <v>2</v>
      </c>
      <c r="V60">
        <v>93.75</v>
      </c>
      <c r="W60">
        <v>0</v>
      </c>
      <c r="X60">
        <v>93.5</v>
      </c>
      <c r="Y60">
        <v>2</v>
      </c>
      <c r="Z60">
        <v>93.75</v>
      </c>
      <c r="AA60">
        <v>93.75</v>
      </c>
      <c r="AB60">
        <v>0</v>
      </c>
      <c r="AC60">
        <v>93.5</v>
      </c>
      <c r="AD60">
        <v>2</v>
      </c>
    </row>
    <row r="61" spans="1:32">
      <c r="A61" t="s">
        <v>585</v>
      </c>
      <c r="B61" t="s">
        <v>588</v>
      </c>
      <c r="C61">
        <v>0</v>
      </c>
      <c r="D61">
        <v>0</v>
      </c>
      <c r="E61">
        <v>0</v>
      </c>
      <c r="F61">
        <v>0</v>
      </c>
      <c r="G61">
        <v>0</v>
      </c>
      <c r="H61">
        <v>0</v>
      </c>
      <c r="I61">
        <v>0</v>
      </c>
      <c r="J61">
        <v>0</v>
      </c>
      <c r="K61">
        <v>0</v>
      </c>
      <c r="L61">
        <v>0</v>
      </c>
      <c r="M61">
        <v>0</v>
      </c>
      <c r="N61">
        <v>0</v>
      </c>
      <c r="O61">
        <v>0</v>
      </c>
      <c r="P61">
        <v>0</v>
      </c>
      <c r="Q61">
        <v>0</v>
      </c>
      <c r="R61">
        <v>0</v>
      </c>
      <c r="S61">
        <v>0</v>
      </c>
      <c r="T61">
        <v>0</v>
      </c>
      <c r="U61">
        <v>0</v>
      </c>
      <c r="V61">
        <v>0</v>
      </c>
      <c r="W61">
        <v>0</v>
      </c>
      <c r="X61">
        <v>14.5</v>
      </c>
      <c r="Y61">
        <v>0</v>
      </c>
      <c r="Z61">
        <v>14.5</v>
      </c>
      <c r="AA61">
        <v>14.5</v>
      </c>
      <c r="AB61">
        <v>0</v>
      </c>
      <c r="AC61">
        <v>14.5</v>
      </c>
      <c r="AD61">
        <v>0</v>
      </c>
    </row>
    <row r="62" spans="1:32">
      <c r="A62" t="s">
        <v>585</v>
      </c>
      <c r="B62" t="s">
        <v>589</v>
      </c>
      <c r="C62">
        <v>0</v>
      </c>
      <c r="D62">
        <v>0</v>
      </c>
      <c r="E62">
        <v>150</v>
      </c>
      <c r="F62">
        <v>3</v>
      </c>
      <c r="G62">
        <v>150.375</v>
      </c>
      <c r="H62">
        <v>0</v>
      </c>
      <c r="I62">
        <v>0</v>
      </c>
      <c r="J62">
        <v>0</v>
      </c>
      <c r="K62">
        <v>0</v>
      </c>
      <c r="L62">
        <v>0</v>
      </c>
      <c r="M62">
        <v>0</v>
      </c>
      <c r="N62">
        <v>0</v>
      </c>
      <c r="O62">
        <v>0</v>
      </c>
      <c r="P62">
        <v>0</v>
      </c>
      <c r="Q62">
        <v>0</v>
      </c>
      <c r="R62">
        <v>0</v>
      </c>
      <c r="S62">
        <v>0</v>
      </c>
      <c r="T62">
        <v>0</v>
      </c>
      <c r="U62">
        <v>0</v>
      </c>
      <c r="V62">
        <v>0</v>
      </c>
      <c r="W62">
        <v>0</v>
      </c>
      <c r="X62">
        <v>42</v>
      </c>
      <c r="Y62">
        <v>1</v>
      </c>
      <c r="Z62">
        <v>42.125</v>
      </c>
      <c r="AA62">
        <v>108.25</v>
      </c>
      <c r="AB62">
        <v>-66.125</v>
      </c>
      <c r="AC62">
        <v>108</v>
      </c>
      <c r="AD62">
        <v>2</v>
      </c>
      <c r="AE62">
        <v>42</v>
      </c>
      <c r="AF62">
        <v>1</v>
      </c>
    </row>
    <row r="63" spans="1:32">
      <c r="A63" t="s">
        <v>585</v>
      </c>
      <c r="B63" t="s">
        <v>590</v>
      </c>
      <c r="C63">
        <v>0</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1.5</v>
      </c>
      <c r="Z63">
        <v>0.1875</v>
      </c>
      <c r="AA63">
        <v>0.1875</v>
      </c>
      <c r="AB63">
        <v>0</v>
      </c>
      <c r="AC63">
        <v>0</v>
      </c>
      <c r="AD63">
        <v>1.5</v>
      </c>
    </row>
    <row r="64" spans="1:32">
      <c r="A64" t="s">
        <v>585</v>
      </c>
      <c r="B64" t="s">
        <v>524</v>
      </c>
      <c r="C64">
        <v>0</v>
      </c>
      <c r="D64">
        <v>0</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row>
    <row r="65" spans="1:32">
      <c r="A65" t="s">
        <v>585</v>
      </c>
      <c r="B65" t="s">
        <v>524</v>
      </c>
      <c r="C65">
        <v>0</v>
      </c>
      <c r="D65">
        <v>0</v>
      </c>
      <c r="E65">
        <v>0</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row>
    <row r="66" spans="1:32">
      <c r="A66" t="s">
        <v>585</v>
      </c>
      <c r="B66" t="s">
        <v>591</v>
      </c>
      <c r="C66">
        <v>0</v>
      </c>
      <c r="D66">
        <v>0</v>
      </c>
      <c r="E66">
        <v>0</v>
      </c>
      <c r="F66">
        <v>0</v>
      </c>
      <c r="G66">
        <v>0</v>
      </c>
      <c r="H66">
        <v>0</v>
      </c>
      <c r="I66">
        <v>0</v>
      </c>
      <c r="J66">
        <v>0</v>
      </c>
      <c r="K66">
        <v>0</v>
      </c>
      <c r="L66">
        <v>0</v>
      </c>
      <c r="M66">
        <v>0</v>
      </c>
      <c r="N66">
        <v>0</v>
      </c>
      <c r="O66">
        <v>0</v>
      </c>
      <c r="P66">
        <v>0</v>
      </c>
      <c r="Q66">
        <v>0</v>
      </c>
      <c r="R66">
        <v>0</v>
      </c>
      <c r="S66">
        <v>0</v>
      </c>
      <c r="T66">
        <v>0</v>
      </c>
      <c r="U66">
        <v>0</v>
      </c>
      <c r="V66">
        <v>0</v>
      </c>
      <c r="W66">
        <v>0</v>
      </c>
      <c r="X66">
        <v>0</v>
      </c>
      <c r="Y66">
        <v>1</v>
      </c>
      <c r="Z66">
        <v>0.125</v>
      </c>
      <c r="AA66">
        <v>0.125</v>
      </c>
      <c r="AB66">
        <v>0</v>
      </c>
      <c r="AC66">
        <v>0</v>
      </c>
      <c r="AD66">
        <v>1</v>
      </c>
    </row>
    <row r="67" spans="1:32">
      <c r="A67" t="s">
        <v>585</v>
      </c>
      <c r="B67" t="s">
        <v>592</v>
      </c>
      <c r="C67">
        <v>0</v>
      </c>
      <c r="D67">
        <v>0</v>
      </c>
      <c r="E67">
        <v>0</v>
      </c>
      <c r="F67">
        <v>0</v>
      </c>
      <c r="G67">
        <v>0</v>
      </c>
      <c r="H67">
        <v>0</v>
      </c>
      <c r="I67">
        <v>0</v>
      </c>
      <c r="J67">
        <v>0</v>
      </c>
      <c r="K67">
        <v>0</v>
      </c>
      <c r="L67">
        <v>0</v>
      </c>
      <c r="M67">
        <v>0</v>
      </c>
      <c r="N67">
        <v>15.5</v>
      </c>
      <c r="O67">
        <v>3</v>
      </c>
      <c r="P67">
        <v>15.875</v>
      </c>
      <c r="Q67">
        <v>0</v>
      </c>
      <c r="R67">
        <v>0</v>
      </c>
      <c r="S67">
        <v>0</v>
      </c>
      <c r="T67">
        <v>0</v>
      </c>
      <c r="U67">
        <v>0</v>
      </c>
      <c r="V67">
        <v>0</v>
      </c>
      <c r="W67">
        <v>0</v>
      </c>
      <c r="X67">
        <v>15.5</v>
      </c>
      <c r="Y67">
        <v>3</v>
      </c>
      <c r="Z67">
        <v>15.875</v>
      </c>
      <c r="AA67">
        <v>15.875</v>
      </c>
      <c r="AB67">
        <v>0</v>
      </c>
      <c r="AC67">
        <v>15.5</v>
      </c>
      <c r="AD67">
        <v>3</v>
      </c>
    </row>
    <row r="68" spans="1:32">
      <c r="A68" t="s">
        <v>585</v>
      </c>
      <c r="B68" t="s">
        <v>593</v>
      </c>
      <c r="C68">
        <v>0</v>
      </c>
      <c r="D68">
        <v>0</v>
      </c>
      <c r="E68">
        <v>0</v>
      </c>
      <c r="F68">
        <v>0</v>
      </c>
      <c r="G68">
        <v>0</v>
      </c>
      <c r="H68">
        <v>0</v>
      </c>
      <c r="I68">
        <v>0</v>
      </c>
      <c r="J68">
        <v>0</v>
      </c>
      <c r="K68">
        <v>0</v>
      </c>
      <c r="L68">
        <v>0</v>
      </c>
      <c r="M68">
        <v>0</v>
      </c>
      <c r="N68">
        <v>0</v>
      </c>
      <c r="O68">
        <v>0</v>
      </c>
      <c r="P68">
        <v>0</v>
      </c>
      <c r="Q68">
        <v>0</v>
      </c>
      <c r="R68">
        <v>0</v>
      </c>
      <c r="S68">
        <v>0</v>
      </c>
      <c r="T68">
        <v>0</v>
      </c>
      <c r="U68">
        <v>0</v>
      </c>
      <c r="V68">
        <v>0</v>
      </c>
      <c r="W68">
        <v>0</v>
      </c>
      <c r="X68">
        <v>14.5</v>
      </c>
      <c r="Y68">
        <v>0</v>
      </c>
      <c r="Z68">
        <v>14.5</v>
      </c>
      <c r="AA68">
        <v>14.5</v>
      </c>
      <c r="AB68">
        <v>0</v>
      </c>
      <c r="AC68">
        <v>14.5</v>
      </c>
      <c r="AD68">
        <v>0</v>
      </c>
    </row>
    <row r="69" spans="1:32">
      <c r="A69" t="s">
        <v>585</v>
      </c>
      <c r="B69" t="s">
        <v>524</v>
      </c>
      <c r="C69">
        <v>0</v>
      </c>
      <c r="D69">
        <v>0</v>
      </c>
      <c r="E69">
        <v>0</v>
      </c>
      <c r="F69">
        <v>0</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0</v>
      </c>
      <c r="AD69">
        <v>0</v>
      </c>
    </row>
    <row r="70" spans="1:32">
      <c r="A70" t="s">
        <v>585</v>
      </c>
      <c r="B70" t="s">
        <v>524</v>
      </c>
      <c r="C70">
        <v>0</v>
      </c>
      <c r="D70">
        <v>0</v>
      </c>
      <c r="E70">
        <v>0</v>
      </c>
      <c r="F70">
        <v>0</v>
      </c>
      <c r="G70">
        <v>0</v>
      </c>
      <c r="H70">
        <v>0</v>
      </c>
      <c r="I70">
        <v>0</v>
      </c>
      <c r="J70">
        <v>0</v>
      </c>
      <c r="K70">
        <v>0</v>
      </c>
      <c r="L70">
        <v>0</v>
      </c>
      <c r="M70">
        <v>0</v>
      </c>
      <c r="N70">
        <v>0</v>
      </c>
      <c r="O70">
        <v>0</v>
      </c>
      <c r="P70">
        <v>0</v>
      </c>
      <c r="Q70">
        <v>0</v>
      </c>
      <c r="R70">
        <v>0</v>
      </c>
      <c r="S70">
        <v>0</v>
      </c>
      <c r="T70">
        <v>0</v>
      </c>
      <c r="U70">
        <v>0</v>
      </c>
      <c r="V70">
        <v>0</v>
      </c>
      <c r="W70">
        <v>0</v>
      </c>
      <c r="X70">
        <v>0</v>
      </c>
      <c r="Y70">
        <v>0</v>
      </c>
      <c r="Z70">
        <v>0</v>
      </c>
      <c r="AA70">
        <v>0</v>
      </c>
      <c r="AB70">
        <v>0</v>
      </c>
      <c r="AC70">
        <v>0</v>
      </c>
      <c r="AD70">
        <v>0</v>
      </c>
    </row>
    <row r="71" spans="1:32">
      <c r="A71" t="s">
        <v>585</v>
      </c>
      <c r="B71" t="s">
        <v>594</v>
      </c>
      <c r="C71">
        <v>0</v>
      </c>
      <c r="D71">
        <v>0</v>
      </c>
      <c r="E71">
        <v>0</v>
      </c>
      <c r="F71">
        <v>0</v>
      </c>
      <c r="G71">
        <v>0</v>
      </c>
      <c r="H71">
        <v>0</v>
      </c>
      <c r="I71">
        <v>0</v>
      </c>
      <c r="J71">
        <v>0</v>
      </c>
      <c r="K71">
        <v>0</v>
      </c>
      <c r="L71">
        <v>0</v>
      </c>
      <c r="M71">
        <v>0</v>
      </c>
      <c r="N71">
        <v>0</v>
      </c>
      <c r="O71">
        <v>0</v>
      </c>
      <c r="P71">
        <v>0</v>
      </c>
      <c r="Q71">
        <v>0</v>
      </c>
      <c r="R71">
        <v>0</v>
      </c>
      <c r="S71">
        <v>0</v>
      </c>
      <c r="T71">
        <v>0</v>
      </c>
      <c r="U71">
        <v>0</v>
      </c>
      <c r="V71">
        <v>0</v>
      </c>
      <c r="W71">
        <v>0</v>
      </c>
      <c r="X71">
        <v>0</v>
      </c>
      <c r="Y71">
        <v>2</v>
      </c>
      <c r="Z71">
        <v>0.25</v>
      </c>
      <c r="AA71">
        <v>0.25</v>
      </c>
      <c r="AB71">
        <v>0</v>
      </c>
      <c r="AC71">
        <v>0</v>
      </c>
      <c r="AD71">
        <v>2</v>
      </c>
    </row>
    <row r="72" spans="1:32">
      <c r="A72" t="s">
        <v>585</v>
      </c>
      <c r="B72" t="s">
        <v>595</v>
      </c>
      <c r="C72">
        <v>0</v>
      </c>
      <c r="D72">
        <v>0</v>
      </c>
      <c r="E72">
        <v>0</v>
      </c>
      <c r="F72">
        <v>0</v>
      </c>
      <c r="G72">
        <v>0</v>
      </c>
      <c r="H72">
        <v>0</v>
      </c>
      <c r="I72">
        <v>0</v>
      </c>
      <c r="J72">
        <v>0</v>
      </c>
      <c r="K72">
        <v>0</v>
      </c>
      <c r="L72">
        <v>0</v>
      </c>
      <c r="M72">
        <v>0</v>
      </c>
      <c r="N72">
        <v>34.5</v>
      </c>
      <c r="O72">
        <v>2</v>
      </c>
      <c r="P72">
        <v>34.75</v>
      </c>
      <c r="Q72">
        <v>34.5</v>
      </c>
      <c r="R72">
        <v>2</v>
      </c>
      <c r="S72">
        <v>34.75</v>
      </c>
      <c r="T72">
        <v>0</v>
      </c>
      <c r="U72">
        <v>0</v>
      </c>
      <c r="V72">
        <v>0</v>
      </c>
      <c r="W72">
        <v>0</v>
      </c>
      <c r="X72">
        <v>34.5</v>
      </c>
      <c r="Y72">
        <v>2</v>
      </c>
      <c r="Z72">
        <v>34.75</v>
      </c>
      <c r="AA72">
        <v>0.625</v>
      </c>
      <c r="AB72">
        <v>34.125</v>
      </c>
      <c r="AC72">
        <v>0</v>
      </c>
      <c r="AD72">
        <v>5</v>
      </c>
      <c r="AE72">
        <v>34.5</v>
      </c>
      <c r="AF72">
        <v>2</v>
      </c>
    </row>
    <row r="73" spans="1:32">
      <c r="A73" t="s">
        <v>585</v>
      </c>
      <c r="B73" t="s">
        <v>170</v>
      </c>
      <c r="C73">
        <v>0</v>
      </c>
      <c r="D73">
        <v>0</v>
      </c>
      <c r="E73">
        <v>0</v>
      </c>
      <c r="F73">
        <v>0</v>
      </c>
      <c r="G73">
        <v>0</v>
      </c>
      <c r="H73">
        <v>0</v>
      </c>
      <c r="I73">
        <v>0</v>
      </c>
      <c r="J73">
        <v>0</v>
      </c>
      <c r="K73">
        <v>0</v>
      </c>
      <c r="L73">
        <v>0</v>
      </c>
      <c r="M73">
        <v>0</v>
      </c>
      <c r="N73">
        <v>0</v>
      </c>
      <c r="O73">
        <v>0</v>
      </c>
      <c r="P73">
        <v>0</v>
      </c>
      <c r="Q73">
        <v>0</v>
      </c>
      <c r="R73">
        <v>0</v>
      </c>
      <c r="S73">
        <v>0</v>
      </c>
      <c r="T73">
        <v>0</v>
      </c>
      <c r="U73">
        <v>0</v>
      </c>
      <c r="V73">
        <v>0</v>
      </c>
      <c r="W73">
        <v>0</v>
      </c>
    </row>
    <row r="74" spans="1:32">
      <c r="A74" t="s">
        <v>596</v>
      </c>
      <c r="B74" t="s">
        <v>597</v>
      </c>
      <c r="C74">
        <v>0</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1</v>
      </c>
      <c r="Z74">
        <v>0.125</v>
      </c>
      <c r="AA74">
        <v>0.125</v>
      </c>
      <c r="AB74">
        <v>0</v>
      </c>
      <c r="AC74">
        <v>0</v>
      </c>
      <c r="AD74">
        <v>1</v>
      </c>
    </row>
    <row r="75" spans="1:32">
      <c r="A75" t="s">
        <v>596</v>
      </c>
      <c r="B75" t="s">
        <v>598</v>
      </c>
      <c r="C75">
        <v>0</v>
      </c>
      <c r="D75">
        <v>0</v>
      </c>
      <c r="E75">
        <v>0</v>
      </c>
      <c r="F75">
        <v>0</v>
      </c>
      <c r="G75">
        <v>0</v>
      </c>
      <c r="H75">
        <v>0</v>
      </c>
      <c r="I75">
        <v>0</v>
      </c>
      <c r="J75">
        <v>0</v>
      </c>
      <c r="K75">
        <v>0</v>
      </c>
      <c r="L75">
        <v>0</v>
      </c>
      <c r="M75">
        <v>0</v>
      </c>
      <c r="N75">
        <v>0</v>
      </c>
      <c r="O75">
        <v>0</v>
      </c>
      <c r="P75">
        <v>0</v>
      </c>
      <c r="Q75">
        <v>0</v>
      </c>
      <c r="R75">
        <v>0</v>
      </c>
      <c r="S75">
        <v>0</v>
      </c>
      <c r="T75">
        <v>11.5</v>
      </c>
      <c r="U75">
        <v>3</v>
      </c>
      <c r="V75">
        <v>11.875</v>
      </c>
      <c r="W75">
        <v>0</v>
      </c>
      <c r="X75">
        <v>11.5</v>
      </c>
      <c r="Y75">
        <v>3</v>
      </c>
      <c r="Z75">
        <v>11.875</v>
      </c>
      <c r="AA75">
        <v>11.875</v>
      </c>
      <c r="AB75">
        <v>0</v>
      </c>
      <c r="AC75">
        <v>11.5</v>
      </c>
      <c r="AD75">
        <v>3</v>
      </c>
    </row>
    <row r="76" spans="1:32">
      <c r="A76" t="s">
        <v>596</v>
      </c>
      <c r="B76" t="s">
        <v>599</v>
      </c>
      <c r="C76">
        <v>0</v>
      </c>
      <c r="D76">
        <v>0</v>
      </c>
      <c r="E76">
        <v>2</v>
      </c>
      <c r="F76">
        <v>2</v>
      </c>
      <c r="G76">
        <v>2.25</v>
      </c>
      <c r="H76">
        <v>0</v>
      </c>
      <c r="I76">
        <v>0</v>
      </c>
      <c r="J76">
        <v>0</v>
      </c>
      <c r="K76">
        <v>0</v>
      </c>
      <c r="L76">
        <v>0</v>
      </c>
      <c r="M76">
        <v>0</v>
      </c>
      <c r="N76">
        <v>0</v>
      </c>
      <c r="O76">
        <v>0</v>
      </c>
      <c r="P76">
        <v>0</v>
      </c>
      <c r="Q76">
        <v>0</v>
      </c>
      <c r="R76">
        <v>0</v>
      </c>
      <c r="S76">
        <v>0</v>
      </c>
      <c r="T76">
        <v>0</v>
      </c>
      <c r="U76">
        <v>0</v>
      </c>
      <c r="V76">
        <v>0</v>
      </c>
      <c r="W76">
        <v>0</v>
      </c>
      <c r="X76">
        <v>2</v>
      </c>
      <c r="Y76">
        <v>2</v>
      </c>
      <c r="Z76">
        <v>2.25</v>
      </c>
      <c r="AA76">
        <v>2.25</v>
      </c>
      <c r="AB76">
        <v>0</v>
      </c>
      <c r="AC76">
        <v>2</v>
      </c>
      <c r="AD76">
        <v>2</v>
      </c>
    </row>
    <row r="77" spans="1:32">
      <c r="A77" t="s">
        <v>596</v>
      </c>
      <c r="B77" t="s">
        <v>600</v>
      </c>
      <c r="C77">
        <v>0</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1</v>
      </c>
      <c r="Z77">
        <v>0.125</v>
      </c>
      <c r="AA77">
        <v>0.125</v>
      </c>
      <c r="AB77">
        <v>0</v>
      </c>
      <c r="AC77">
        <v>0</v>
      </c>
      <c r="AD77">
        <v>1</v>
      </c>
    </row>
    <row r="78" spans="1:32">
      <c r="A78" t="s">
        <v>596</v>
      </c>
      <c r="B78" t="s">
        <v>601</v>
      </c>
      <c r="C78">
        <v>0</v>
      </c>
      <c r="D78">
        <v>0</v>
      </c>
      <c r="E78">
        <v>0</v>
      </c>
      <c r="F78">
        <v>0</v>
      </c>
      <c r="G78">
        <v>0</v>
      </c>
      <c r="H78">
        <v>0</v>
      </c>
      <c r="I78">
        <v>0</v>
      </c>
      <c r="J78">
        <v>0</v>
      </c>
      <c r="K78">
        <v>0</v>
      </c>
      <c r="L78">
        <v>0</v>
      </c>
      <c r="M78">
        <v>0</v>
      </c>
      <c r="N78">
        <v>0</v>
      </c>
      <c r="O78">
        <v>0</v>
      </c>
      <c r="P78">
        <v>0</v>
      </c>
      <c r="Q78">
        <v>9.5</v>
      </c>
      <c r="R78">
        <v>1</v>
      </c>
      <c r="S78">
        <v>9.625</v>
      </c>
      <c r="T78">
        <v>0</v>
      </c>
      <c r="U78">
        <v>0</v>
      </c>
      <c r="V78">
        <v>0</v>
      </c>
      <c r="W78">
        <v>0</v>
      </c>
      <c r="X78">
        <v>9.5</v>
      </c>
      <c r="Y78">
        <v>1</v>
      </c>
      <c r="Z78">
        <v>9.625</v>
      </c>
      <c r="AA78">
        <v>9.625</v>
      </c>
      <c r="AB78">
        <v>0</v>
      </c>
      <c r="AC78">
        <v>9.5</v>
      </c>
      <c r="AD78">
        <v>1</v>
      </c>
    </row>
    <row r="79" spans="1:32">
      <c r="A79" t="s">
        <v>596</v>
      </c>
      <c r="B79" t="s">
        <v>170</v>
      </c>
      <c r="C79">
        <v>0</v>
      </c>
      <c r="D79">
        <v>0</v>
      </c>
      <c r="E79">
        <v>0</v>
      </c>
      <c r="F79">
        <v>0</v>
      </c>
      <c r="G79">
        <v>0</v>
      </c>
      <c r="H79">
        <v>0</v>
      </c>
      <c r="I79">
        <v>0</v>
      </c>
      <c r="J79">
        <v>0</v>
      </c>
      <c r="K79">
        <v>0</v>
      </c>
      <c r="L79">
        <v>0</v>
      </c>
      <c r="M79">
        <v>0</v>
      </c>
      <c r="N79">
        <v>0</v>
      </c>
      <c r="O79">
        <v>0</v>
      </c>
      <c r="P79">
        <v>0</v>
      </c>
      <c r="Q79">
        <v>0</v>
      </c>
      <c r="R79">
        <v>0</v>
      </c>
      <c r="S79">
        <v>0</v>
      </c>
      <c r="T79">
        <v>0</v>
      </c>
      <c r="U79">
        <v>0</v>
      </c>
      <c r="V79">
        <v>0</v>
      </c>
      <c r="W79">
        <v>0</v>
      </c>
    </row>
    <row r="80" spans="1:32">
      <c r="A80" t="s">
        <v>602</v>
      </c>
      <c r="B80" t="s">
        <v>603</v>
      </c>
      <c r="C80">
        <v>0</v>
      </c>
      <c r="D80">
        <v>0</v>
      </c>
      <c r="E80">
        <v>0</v>
      </c>
      <c r="F80">
        <v>0</v>
      </c>
      <c r="G80">
        <v>0</v>
      </c>
      <c r="H80">
        <v>0</v>
      </c>
      <c r="I80">
        <v>0</v>
      </c>
      <c r="J80">
        <v>0</v>
      </c>
      <c r="K80">
        <v>0</v>
      </c>
      <c r="L80">
        <v>0</v>
      </c>
      <c r="M80">
        <v>0</v>
      </c>
      <c r="N80">
        <v>0</v>
      </c>
      <c r="O80">
        <v>0</v>
      </c>
      <c r="P80">
        <v>0</v>
      </c>
      <c r="Q80">
        <v>0</v>
      </c>
      <c r="R80">
        <v>0</v>
      </c>
      <c r="S80">
        <v>0</v>
      </c>
      <c r="T80">
        <v>0</v>
      </c>
      <c r="U80">
        <v>0</v>
      </c>
      <c r="V80">
        <v>0</v>
      </c>
      <c r="W80">
        <v>0</v>
      </c>
      <c r="X80">
        <v>0</v>
      </c>
      <c r="Y80">
        <v>2.5</v>
      </c>
      <c r="Z80">
        <v>0.3125</v>
      </c>
      <c r="AA80">
        <v>0.3125</v>
      </c>
      <c r="AB80">
        <v>0</v>
      </c>
      <c r="AC80">
        <v>0</v>
      </c>
      <c r="AD80">
        <v>2.5</v>
      </c>
    </row>
    <row r="81" spans="1:32">
      <c r="A81" t="s">
        <v>602</v>
      </c>
      <c r="B81" t="s">
        <v>604</v>
      </c>
      <c r="C81">
        <v>0</v>
      </c>
      <c r="D81">
        <v>0</v>
      </c>
      <c r="E81">
        <v>0</v>
      </c>
      <c r="F81">
        <v>0</v>
      </c>
      <c r="G81">
        <v>0</v>
      </c>
      <c r="H81">
        <v>0</v>
      </c>
      <c r="I81">
        <v>0</v>
      </c>
      <c r="J81">
        <v>0</v>
      </c>
      <c r="K81">
        <v>0</v>
      </c>
      <c r="L81">
        <v>0</v>
      </c>
      <c r="M81">
        <v>0</v>
      </c>
      <c r="N81">
        <v>0</v>
      </c>
      <c r="O81">
        <v>0</v>
      </c>
      <c r="P81">
        <v>0</v>
      </c>
      <c r="Q81">
        <v>0</v>
      </c>
      <c r="R81">
        <v>0</v>
      </c>
      <c r="S81">
        <v>0</v>
      </c>
      <c r="T81">
        <v>9.5</v>
      </c>
      <c r="U81">
        <v>0</v>
      </c>
      <c r="V81">
        <v>9.5</v>
      </c>
      <c r="W81">
        <v>0</v>
      </c>
      <c r="X81">
        <v>9.5</v>
      </c>
      <c r="Y81">
        <v>0</v>
      </c>
      <c r="Z81">
        <v>9.5</v>
      </c>
      <c r="AA81">
        <v>9.5</v>
      </c>
      <c r="AB81">
        <v>0</v>
      </c>
      <c r="AC81">
        <v>9.5</v>
      </c>
      <c r="AD81">
        <v>0</v>
      </c>
    </row>
    <row r="82" spans="1:32">
      <c r="A82" t="s">
        <v>602</v>
      </c>
      <c r="B82" t="s">
        <v>605</v>
      </c>
      <c r="C82">
        <v>0</v>
      </c>
      <c r="D82">
        <v>0</v>
      </c>
      <c r="E82">
        <v>0</v>
      </c>
      <c r="F82">
        <v>0</v>
      </c>
      <c r="G82">
        <v>0</v>
      </c>
      <c r="H82">
        <v>0</v>
      </c>
      <c r="I82">
        <v>0</v>
      </c>
      <c r="J82">
        <v>0</v>
      </c>
      <c r="K82">
        <v>0</v>
      </c>
      <c r="L82">
        <v>0</v>
      </c>
      <c r="M82">
        <v>0</v>
      </c>
      <c r="N82">
        <v>0</v>
      </c>
      <c r="O82">
        <v>0</v>
      </c>
      <c r="P82">
        <v>0</v>
      </c>
      <c r="Q82">
        <v>0</v>
      </c>
      <c r="R82">
        <v>0</v>
      </c>
      <c r="S82">
        <v>0</v>
      </c>
      <c r="T82">
        <v>10</v>
      </c>
      <c r="U82">
        <v>3</v>
      </c>
      <c r="V82">
        <v>10.375</v>
      </c>
      <c r="W82">
        <v>0</v>
      </c>
      <c r="X82">
        <v>10</v>
      </c>
      <c r="Y82">
        <v>3</v>
      </c>
      <c r="Z82">
        <v>10.375</v>
      </c>
      <c r="AA82">
        <v>10.375</v>
      </c>
      <c r="AB82">
        <v>0</v>
      </c>
      <c r="AC82">
        <v>10</v>
      </c>
      <c r="AD82">
        <v>3</v>
      </c>
    </row>
    <row r="83" spans="1:32">
      <c r="A83" t="s">
        <v>602</v>
      </c>
      <c r="B83" t="s">
        <v>606</v>
      </c>
      <c r="C83">
        <v>0</v>
      </c>
      <c r="D83">
        <v>0</v>
      </c>
      <c r="E83">
        <v>0</v>
      </c>
      <c r="F83">
        <v>0</v>
      </c>
      <c r="G83">
        <v>0</v>
      </c>
      <c r="H83">
        <v>0</v>
      </c>
      <c r="I83">
        <v>0</v>
      </c>
      <c r="J83">
        <v>0</v>
      </c>
      <c r="K83">
        <v>0</v>
      </c>
      <c r="L83">
        <v>0</v>
      </c>
      <c r="M83">
        <v>0</v>
      </c>
      <c r="N83">
        <v>0</v>
      </c>
      <c r="O83">
        <v>0</v>
      </c>
      <c r="P83">
        <v>0</v>
      </c>
      <c r="Q83">
        <v>0</v>
      </c>
      <c r="R83">
        <v>0</v>
      </c>
      <c r="S83">
        <v>0</v>
      </c>
      <c r="T83">
        <v>0</v>
      </c>
      <c r="U83">
        <v>0</v>
      </c>
      <c r="V83">
        <v>0</v>
      </c>
      <c r="W83">
        <v>0</v>
      </c>
      <c r="X83">
        <v>19.5</v>
      </c>
      <c r="Y83">
        <v>3</v>
      </c>
      <c r="Z83">
        <v>19.875</v>
      </c>
      <c r="AA83">
        <v>19.875</v>
      </c>
      <c r="AB83">
        <v>0</v>
      </c>
      <c r="AC83">
        <v>19.5</v>
      </c>
      <c r="AD83">
        <v>3</v>
      </c>
    </row>
    <row r="84" spans="1:32">
      <c r="A84" t="s">
        <v>602</v>
      </c>
      <c r="B84" t="s">
        <v>607</v>
      </c>
      <c r="C84">
        <v>0</v>
      </c>
      <c r="D84">
        <v>0</v>
      </c>
      <c r="E84">
        <v>2</v>
      </c>
      <c r="F84">
        <v>1</v>
      </c>
      <c r="G84">
        <v>2.125</v>
      </c>
      <c r="H84">
        <v>0</v>
      </c>
      <c r="I84">
        <v>0</v>
      </c>
      <c r="J84">
        <v>0</v>
      </c>
      <c r="K84">
        <v>0</v>
      </c>
      <c r="L84">
        <v>0</v>
      </c>
      <c r="M84">
        <v>0</v>
      </c>
      <c r="N84">
        <v>0</v>
      </c>
      <c r="O84">
        <v>0</v>
      </c>
      <c r="P84">
        <v>0</v>
      </c>
      <c r="Q84">
        <v>0</v>
      </c>
      <c r="R84">
        <v>0</v>
      </c>
      <c r="S84">
        <v>0</v>
      </c>
      <c r="T84">
        <v>0</v>
      </c>
      <c r="U84">
        <v>0</v>
      </c>
      <c r="V84">
        <v>0</v>
      </c>
      <c r="W84">
        <v>0</v>
      </c>
      <c r="X84">
        <v>2</v>
      </c>
      <c r="Y84">
        <v>1</v>
      </c>
      <c r="Z84">
        <v>2.125</v>
      </c>
      <c r="AA84">
        <v>2.125</v>
      </c>
      <c r="AB84">
        <v>0</v>
      </c>
      <c r="AC84">
        <v>2</v>
      </c>
      <c r="AD84">
        <v>1</v>
      </c>
    </row>
    <row r="85" spans="1:32">
      <c r="A85" t="s">
        <v>602</v>
      </c>
      <c r="B85" t="s">
        <v>608</v>
      </c>
      <c r="C85">
        <v>0</v>
      </c>
      <c r="D85">
        <v>0</v>
      </c>
      <c r="E85">
        <v>0</v>
      </c>
      <c r="F85">
        <v>0</v>
      </c>
      <c r="G85">
        <v>0</v>
      </c>
      <c r="H85">
        <v>0</v>
      </c>
      <c r="I85">
        <v>0</v>
      </c>
      <c r="J85">
        <v>0</v>
      </c>
      <c r="K85">
        <v>0</v>
      </c>
      <c r="L85">
        <v>0</v>
      </c>
      <c r="M85">
        <v>0</v>
      </c>
      <c r="N85">
        <v>0</v>
      </c>
      <c r="O85">
        <v>0</v>
      </c>
      <c r="P85">
        <v>0</v>
      </c>
      <c r="Q85">
        <v>0</v>
      </c>
      <c r="R85">
        <v>0</v>
      </c>
      <c r="S85">
        <v>0</v>
      </c>
      <c r="T85">
        <v>0</v>
      </c>
      <c r="U85">
        <v>0</v>
      </c>
      <c r="V85">
        <v>0</v>
      </c>
      <c r="W85">
        <v>0</v>
      </c>
      <c r="X85">
        <v>0</v>
      </c>
      <c r="Y85">
        <v>1</v>
      </c>
      <c r="Z85">
        <v>0.125</v>
      </c>
      <c r="AA85">
        <v>0.125</v>
      </c>
      <c r="AB85">
        <v>0</v>
      </c>
      <c r="AC85">
        <v>0</v>
      </c>
      <c r="AD85">
        <v>1</v>
      </c>
      <c r="AE85">
        <v>0</v>
      </c>
      <c r="AF85">
        <v>1</v>
      </c>
    </row>
    <row r="86" spans="1:32">
      <c r="A86" t="s">
        <v>602</v>
      </c>
      <c r="B86" t="s">
        <v>609</v>
      </c>
      <c r="C86">
        <v>0</v>
      </c>
      <c r="D86">
        <v>0</v>
      </c>
      <c r="E86">
        <v>0</v>
      </c>
      <c r="F86">
        <v>0</v>
      </c>
      <c r="G86">
        <v>0</v>
      </c>
      <c r="H86">
        <v>0</v>
      </c>
      <c r="I86">
        <v>0</v>
      </c>
      <c r="J86">
        <v>0</v>
      </c>
      <c r="K86">
        <v>0</v>
      </c>
      <c r="L86">
        <v>0</v>
      </c>
      <c r="M86">
        <v>0</v>
      </c>
      <c r="N86">
        <v>0</v>
      </c>
      <c r="O86">
        <v>0</v>
      </c>
      <c r="P86">
        <v>0</v>
      </c>
      <c r="Q86">
        <v>17</v>
      </c>
      <c r="R86">
        <v>6</v>
      </c>
      <c r="S86">
        <v>17.75</v>
      </c>
      <c r="T86">
        <v>0</v>
      </c>
      <c r="U86">
        <v>0</v>
      </c>
      <c r="V86">
        <v>0</v>
      </c>
      <c r="W86">
        <v>0</v>
      </c>
      <c r="X86">
        <v>14</v>
      </c>
      <c r="Y86">
        <v>3</v>
      </c>
      <c r="Z86">
        <v>14.375</v>
      </c>
      <c r="AA86">
        <v>3.375</v>
      </c>
      <c r="AB86">
        <v>11</v>
      </c>
      <c r="AC86">
        <v>3</v>
      </c>
      <c r="AD86">
        <v>3</v>
      </c>
      <c r="AE86">
        <v>14</v>
      </c>
      <c r="AF86">
        <v>3</v>
      </c>
    </row>
    <row r="87" spans="1:32">
      <c r="A87" t="s">
        <v>602</v>
      </c>
      <c r="B87" t="s">
        <v>170</v>
      </c>
      <c r="C87">
        <v>0</v>
      </c>
      <c r="D87">
        <v>0</v>
      </c>
      <c r="E87">
        <v>0</v>
      </c>
      <c r="F87">
        <v>0</v>
      </c>
      <c r="G87">
        <v>0</v>
      </c>
      <c r="H87">
        <v>0</v>
      </c>
      <c r="I87">
        <v>0</v>
      </c>
      <c r="J87">
        <v>0</v>
      </c>
      <c r="K87">
        <v>0</v>
      </c>
      <c r="L87">
        <v>0</v>
      </c>
      <c r="M87">
        <v>0</v>
      </c>
      <c r="N87">
        <v>0</v>
      </c>
      <c r="O87">
        <v>0</v>
      </c>
      <c r="P87">
        <v>0</v>
      </c>
      <c r="Q87">
        <v>0</v>
      </c>
      <c r="R87">
        <v>0</v>
      </c>
      <c r="S87">
        <v>0</v>
      </c>
      <c r="T87">
        <v>0</v>
      </c>
      <c r="U87">
        <v>0</v>
      </c>
      <c r="V87">
        <v>0</v>
      </c>
      <c r="W87">
        <v>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J9"/>
  <sheetViews>
    <sheetView workbookViewId="0"/>
  </sheetViews>
  <sheetFormatPr defaultColWidth="8.85546875" defaultRowHeight="15"/>
  <sheetData>
    <row r="1" spans="1:36">
      <c r="A1" s="1" t="s">
        <v>161</v>
      </c>
      <c r="B1" s="1" t="s">
        <v>475</v>
      </c>
      <c r="C1" s="1" t="s">
        <v>476</v>
      </c>
      <c r="D1" s="1" t="s">
        <v>477</v>
      </c>
      <c r="E1" s="1" t="s">
        <v>478</v>
      </c>
      <c r="F1" s="1" t="s">
        <v>479</v>
      </c>
      <c r="G1" s="1" t="s">
        <v>480</v>
      </c>
      <c r="H1" s="1" t="s">
        <v>481</v>
      </c>
      <c r="I1" s="1" t="s">
        <v>482</v>
      </c>
      <c r="J1" s="1" t="s">
        <v>483</v>
      </c>
      <c r="K1" s="1" t="s">
        <v>484</v>
      </c>
      <c r="L1" s="1" t="s">
        <v>485</v>
      </c>
      <c r="M1" s="1" t="s">
        <v>644</v>
      </c>
      <c r="N1" s="1" t="s">
        <v>645</v>
      </c>
      <c r="O1" s="1" t="s">
        <v>494</v>
      </c>
      <c r="P1" s="1" t="s">
        <v>495</v>
      </c>
      <c r="Q1" s="1" t="s">
        <v>486</v>
      </c>
      <c r="R1" s="1" t="s">
        <v>487</v>
      </c>
      <c r="S1" s="1" t="s">
        <v>496</v>
      </c>
      <c r="T1" s="1" t="s">
        <v>497</v>
      </c>
      <c r="U1" s="1" t="s">
        <v>488</v>
      </c>
      <c r="V1" s="1" t="s">
        <v>489</v>
      </c>
      <c r="W1" s="1" t="s">
        <v>498</v>
      </c>
      <c r="X1" s="1" t="s">
        <v>499</v>
      </c>
      <c r="Y1" s="1" t="s">
        <v>490</v>
      </c>
      <c r="Z1" s="1" t="s">
        <v>491</v>
      </c>
      <c r="AA1" s="1" t="s">
        <v>500</v>
      </c>
      <c r="AB1" s="1" t="s">
        <v>501</v>
      </c>
      <c r="AC1" s="1" t="s">
        <v>646</v>
      </c>
      <c r="AD1" s="1" t="s">
        <v>647</v>
      </c>
      <c r="AE1" s="1" t="s">
        <v>648</v>
      </c>
      <c r="AF1" s="1" t="s">
        <v>649</v>
      </c>
      <c r="AG1" s="1" t="s">
        <v>650</v>
      </c>
      <c r="AH1" s="1" t="s">
        <v>379</v>
      </c>
      <c r="AI1" s="1" t="s">
        <v>651</v>
      </c>
      <c r="AJ1" s="1" t="s">
        <v>652</v>
      </c>
    </row>
    <row r="2" spans="1:36">
      <c r="A2" t="s">
        <v>252</v>
      </c>
      <c r="B2" t="s">
        <v>513</v>
      </c>
      <c r="C2">
        <v>12.06</v>
      </c>
      <c r="D2">
        <v>12</v>
      </c>
      <c r="E2">
        <v>1</v>
      </c>
      <c r="F2">
        <v>3.5</v>
      </c>
      <c r="G2" t="s">
        <v>62</v>
      </c>
      <c r="H2">
        <v>41.5</v>
      </c>
      <c r="I2">
        <v>3</v>
      </c>
      <c r="J2">
        <v>41.875</v>
      </c>
      <c r="K2">
        <v>42.3125</v>
      </c>
      <c r="L2">
        <v>-0.4375</v>
      </c>
      <c r="M2">
        <v>42</v>
      </c>
      <c r="N2">
        <v>2.5</v>
      </c>
      <c r="O2">
        <v>5</v>
      </c>
      <c r="P2">
        <v>0</v>
      </c>
      <c r="Q2">
        <v>5.5</v>
      </c>
      <c r="R2">
        <v>0</v>
      </c>
      <c r="S2">
        <v>6</v>
      </c>
      <c r="T2">
        <v>8</v>
      </c>
      <c r="U2">
        <v>17.5</v>
      </c>
      <c r="V2">
        <v>3</v>
      </c>
      <c r="Y2">
        <v>18.5</v>
      </c>
      <c r="Z2">
        <v>0</v>
      </c>
      <c r="AC2">
        <v>0.25</v>
      </c>
      <c r="AD2">
        <v>0.33333333333333331</v>
      </c>
      <c r="AG2">
        <v>42.3125</v>
      </c>
      <c r="AH2">
        <v>0.31372549019607843</v>
      </c>
      <c r="AI2">
        <v>0.29166666666666657</v>
      </c>
      <c r="AJ2" t="s">
        <v>62</v>
      </c>
    </row>
    <row r="3" spans="1:36">
      <c r="A3" t="s">
        <v>252</v>
      </c>
      <c r="B3" t="s">
        <v>514</v>
      </c>
      <c r="C3">
        <v>1.06</v>
      </c>
      <c r="D3">
        <v>1</v>
      </c>
      <c r="E3">
        <v>1</v>
      </c>
      <c r="F3">
        <v>3</v>
      </c>
      <c r="G3" t="s">
        <v>63</v>
      </c>
      <c r="H3">
        <v>6</v>
      </c>
      <c r="I3">
        <v>3</v>
      </c>
      <c r="J3">
        <v>6.375</v>
      </c>
      <c r="K3">
        <v>6.375</v>
      </c>
      <c r="L3">
        <v>0</v>
      </c>
      <c r="M3">
        <v>6</v>
      </c>
      <c r="N3">
        <v>3</v>
      </c>
      <c r="O3">
        <v>3</v>
      </c>
      <c r="P3">
        <v>4</v>
      </c>
      <c r="AC3">
        <v>0.16666666666666671</v>
      </c>
      <c r="AG3">
        <v>6.375</v>
      </c>
      <c r="AH3">
        <v>0.16666666666666671</v>
      </c>
      <c r="AI3">
        <v>0.16666666666666671</v>
      </c>
      <c r="AJ3" t="s">
        <v>63</v>
      </c>
    </row>
    <row r="4" spans="1:36">
      <c r="A4" t="s">
        <v>252</v>
      </c>
      <c r="B4" t="s">
        <v>255</v>
      </c>
      <c r="C4">
        <v>7.0000000000000007E-2</v>
      </c>
      <c r="D4">
        <v>0</v>
      </c>
      <c r="E4">
        <v>1</v>
      </c>
      <c r="F4">
        <v>4</v>
      </c>
      <c r="G4" t="s">
        <v>65</v>
      </c>
      <c r="H4">
        <v>0</v>
      </c>
      <c r="I4">
        <v>4</v>
      </c>
      <c r="J4">
        <v>0.5</v>
      </c>
      <c r="K4">
        <v>0.5</v>
      </c>
      <c r="L4">
        <v>0</v>
      </c>
      <c r="M4">
        <v>0</v>
      </c>
      <c r="N4">
        <v>4</v>
      </c>
      <c r="AC4">
        <v>0.14000000000000001</v>
      </c>
      <c r="AG4">
        <v>0.5</v>
      </c>
      <c r="AH4">
        <v>0.14000000000000001</v>
      </c>
      <c r="AI4">
        <v>0.14000000000000001</v>
      </c>
      <c r="AJ4" t="s">
        <v>65</v>
      </c>
    </row>
    <row r="5" spans="1:36">
      <c r="A5" t="s">
        <v>252</v>
      </c>
      <c r="B5" t="s">
        <v>515</v>
      </c>
      <c r="C5">
        <v>1.83</v>
      </c>
      <c r="D5">
        <v>1</v>
      </c>
      <c r="E5">
        <v>16</v>
      </c>
      <c r="F5">
        <v>8</v>
      </c>
      <c r="H5">
        <v>11</v>
      </c>
      <c r="I5">
        <v>0</v>
      </c>
      <c r="J5">
        <v>11</v>
      </c>
      <c r="K5">
        <v>11</v>
      </c>
      <c r="L5">
        <v>0</v>
      </c>
      <c r="M5">
        <v>11</v>
      </c>
      <c r="N5">
        <v>0</v>
      </c>
      <c r="O5">
        <v>3</v>
      </c>
      <c r="P5">
        <v>4</v>
      </c>
      <c r="AC5">
        <v>0.16666666666666671</v>
      </c>
      <c r="AG5">
        <v>11</v>
      </c>
      <c r="AH5">
        <v>0.16666666666666671</v>
      </c>
      <c r="AI5">
        <v>0.16666666666666671</v>
      </c>
    </row>
    <row r="6" spans="1:36">
      <c r="A6" t="s">
        <v>252</v>
      </c>
      <c r="B6" t="s">
        <v>516</v>
      </c>
      <c r="C6">
        <v>6.49</v>
      </c>
      <c r="D6">
        <v>6</v>
      </c>
      <c r="E6">
        <v>9</v>
      </c>
      <c r="F6">
        <v>9</v>
      </c>
      <c r="G6" t="s">
        <v>67</v>
      </c>
      <c r="H6">
        <v>34</v>
      </c>
      <c r="I6">
        <v>1</v>
      </c>
      <c r="J6">
        <v>34.125</v>
      </c>
      <c r="K6">
        <v>34.125</v>
      </c>
      <c r="L6">
        <v>0</v>
      </c>
      <c r="M6">
        <v>34</v>
      </c>
      <c r="N6">
        <v>1</v>
      </c>
      <c r="O6">
        <v>3</v>
      </c>
      <c r="P6">
        <v>4</v>
      </c>
      <c r="Q6">
        <v>10</v>
      </c>
      <c r="R6">
        <v>1</v>
      </c>
      <c r="S6">
        <v>4</v>
      </c>
      <c r="T6">
        <v>0</v>
      </c>
      <c r="U6">
        <v>24</v>
      </c>
      <c r="V6">
        <v>0</v>
      </c>
      <c r="AC6">
        <v>0.16666666666666671</v>
      </c>
      <c r="AD6">
        <v>0.2</v>
      </c>
      <c r="AG6">
        <v>34.125</v>
      </c>
      <c r="AH6">
        <v>0.1901098901098901</v>
      </c>
      <c r="AI6">
        <v>0.18333333333333329</v>
      </c>
      <c r="AJ6" t="s">
        <v>67</v>
      </c>
    </row>
    <row r="7" spans="1:36">
      <c r="A7" t="s">
        <v>252</v>
      </c>
      <c r="B7" t="s">
        <v>517</v>
      </c>
      <c r="C7">
        <v>4.16</v>
      </c>
      <c r="D7">
        <v>4</v>
      </c>
      <c r="E7">
        <v>3</v>
      </c>
      <c r="F7">
        <v>2</v>
      </c>
      <c r="G7" t="s">
        <v>68</v>
      </c>
      <c r="H7">
        <v>14</v>
      </c>
      <c r="I7">
        <v>2</v>
      </c>
      <c r="J7">
        <v>14.25</v>
      </c>
      <c r="K7">
        <v>34.75</v>
      </c>
      <c r="L7">
        <v>-20.5</v>
      </c>
      <c r="M7">
        <v>34.5</v>
      </c>
      <c r="N7">
        <v>2</v>
      </c>
      <c r="O7">
        <v>2</v>
      </c>
      <c r="P7">
        <v>0</v>
      </c>
      <c r="Q7">
        <v>14</v>
      </c>
      <c r="R7">
        <v>2</v>
      </c>
      <c r="S7">
        <v>2</v>
      </c>
      <c r="T7">
        <v>8</v>
      </c>
      <c r="AC7">
        <v>0.1</v>
      </c>
      <c r="AD7">
        <v>0.1333333333333333</v>
      </c>
      <c r="AG7">
        <v>34.75</v>
      </c>
      <c r="AI7">
        <v>0.1166666666666667</v>
      </c>
      <c r="AJ7" t="s">
        <v>68</v>
      </c>
    </row>
    <row r="8" spans="1:36">
      <c r="A8" t="s">
        <v>252</v>
      </c>
      <c r="B8" t="s">
        <v>518</v>
      </c>
      <c r="C8">
        <v>1.04</v>
      </c>
      <c r="D8">
        <v>1</v>
      </c>
      <c r="E8">
        <v>0</v>
      </c>
      <c r="F8">
        <v>9</v>
      </c>
      <c r="G8" t="s">
        <v>69</v>
      </c>
      <c r="H8">
        <v>9</v>
      </c>
      <c r="I8">
        <v>5</v>
      </c>
      <c r="J8">
        <v>9.625</v>
      </c>
      <c r="K8">
        <v>9.625</v>
      </c>
      <c r="L8">
        <v>0</v>
      </c>
      <c r="M8">
        <v>9.5</v>
      </c>
      <c r="N8">
        <v>1</v>
      </c>
      <c r="O8">
        <v>2</v>
      </c>
      <c r="P8">
        <v>0</v>
      </c>
      <c r="Q8">
        <v>7</v>
      </c>
      <c r="R8">
        <v>3</v>
      </c>
      <c r="S8">
        <v>2</v>
      </c>
      <c r="T8">
        <v>8</v>
      </c>
      <c r="U8">
        <v>2</v>
      </c>
      <c r="V8">
        <v>2</v>
      </c>
      <c r="AC8">
        <v>0.1</v>
      </c>
      <c r="AD8">
        <v>0.1333333333333333</v>
      </c>
      <c r="AG8">
        <v>9.625</v>
      </c>
      <c r="AH8">
        <v>0.1077922077922078</v>
      </c>
      <c r="AI8">
        <v>0.1166666666666667</v>
      </c>
      <c r="AJ8" t="s">
        <v>69</v>
      </c>
    </row>
    <row r="9" spans="1:36">
      <c r="A9" t="s">
        <v>252</v>
      </c>
      <c r="B9" t="s">
        <v>519</v>
      </c>
      <c r="C9">
        <v>1.25</v>
      </c>
      <c r="D9">
        <v>1</v>
      </c>
      <c r="E9">
        <v>5</v>
      </c>
      <c r="F9">
        <v>0</v>
      </c>
      <c r="G9" t="s">
        <v>70</v>
      </c>
      <c r="H9">
        <v>14</v>
      </c>
      <c r="I9">
        <v>3</v>
      </c>
      <c r="J9">
        <v>14.375</v>
      </c>
      <c r="K9">
        <v>14.375</v>
      </c>
      <c r="L9">
        <v>0</v>
      </c>
      <c r="M9">
        <v>14</v>
      </c>
      <c r="N9">
        <v>3</v>
      </c>
      <c r="O9">
        <v>1</v>
      </c>
      <c r="P9">
        <v>4</v>
      </c>
      <c r="Q9">
        <v>8</v>
      </c>
      <c r="R9">
        <v>0</v>
      </c>
      <c r="U9">
        <v>6</v>
      </c>
      <c r="V9">
        <v>3</v>
      </c>
      <c r="AC9">
        <v>6.6666666666666666E-2</v>
      </c>
      <c r="AG9">
        <v>14.375</v>
      </c>
      <c r="AH9">
        <v>6.6666666666666666E-2</v>
      </c>
      <c r="AI9">
        <v>6.6666666666666666E-2</v>
      </c>
      <c r="AJ9" t="s">
        <v>70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Kuba Kowalski</cp:lastModifiedBy>
  <cp:revision/>
  <dcterms:created xsi:type="dcterms:W3CDTF">2024-04-19T11:10:11Z</dcterms:created>
  <dcterms:modified xsi:type="dcterms:W3CDTF">2025-10-10T14:29:42Z</dcterms:modified>
  <cp:category/>
  <cp:contentStatus/>
</cp:coreProperties>
</file>
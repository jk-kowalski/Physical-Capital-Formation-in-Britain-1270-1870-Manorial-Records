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victoriagierok/Dropbox/Physical Capital England/Decennial 2018/Detailed Estimates/Winchester Pipe Rolls/1301-1302/final new agricultural production/"/>
    </mc:Choice>
  </mc:AlternateContent>
  <xr:revisionPtr revIDLastSave="0" documentId="13_ncr:1_{40ADD284-F9B2-E543-B987-01911ED6A794}" xr6:coauthVersionLast="47" xr6:coauthVersionMax="47" xr10:uidLastSave="{00000000-0000-0000-0000-000000000000}"/>
  <bookViews>
    <workbookView xWindow="0" yWindow="500" windowWidth="24080" windowHeight="16520" activeTab="5" xr2:uid="{00000000-000D-0000-FFFF-FFFF00000000}"/>
  </bookViews>
  <sheets>
    <sheet name="Overview" sheetId="4" r:id="rId1"/>
    <sheet name="Receipts" sheetId="2" r:id="rId2"/>
    <sheet name="Expenses" sheetId="3" r:id="rId3"/>
    <sheet name="Issues of the Grange" sheetId="5" r:id="rId4"/>
    <sheet name="Issues of the Mills" sheetId="6" r:id="rId5"/>
    <sheet name="Stock" sheetId="7" r:id="rId6"/>
    <sheet name="raw data" sheetId="1"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5" i="2" l="1"/>
  <c r="F24" i="2"/>
  <c r="F25" i="2"/>
  <c r="F23" i="2"/>
  <c r="F41" i="2"/>
  <c r="G41" i="2" s="1"/>
  <c r="F17" i="2"/>
  <c r="F8" i="3"/>
</calcChain>
</file>

<file path=xl/sharedStrings.xml><?xml version="1.0" encoding="utf-8"?>
<sst xmlns="http://schemas.openxmlformats.org/spreadsheetml/2006/main" count="726" uniqueCount="427">
  <si>
    <t>Heading</t>
  </si>
  <si>
    <t>Sentence</t>
  </si>
  <si>
    <t>Total in Pounds</t>
  </si>
  <si>
    <t>Pounds</t>
  </si>
  <si>
    <t>Shillings</t>
  </si>
  <si>
    <t>Pence</t>
  </si>
  <si>
    <t>Corn</t>
  </si>
  <si>
    <t>Total Quarters Except 1</t>
  </si>
  <si>
    <t>Total Bushels Except 1</t>
  </si>
  <si>
    <t>Total Corn Cross-Check</t>
  </si>
  <si>
    <t>Total Corn Manorial Account</t>
  </si>
  <si>
    <t>Corn Quantity Error</t>
  </si>
  <si>
    <t>Quarters 1</t>
  </si>
  <si>
    <t>Bushels 1</t>
  </si>
  <si>
    <t>shilling a quarter 1</t>
  </si>
  <si>
    <t>pence a quarter 1</t>
  </si>
  <si>
    <t>shilling a quarter 2</t>
  </si>
  <si>
    <t>pence a quarter 2</t>
  </si>
  <si>
    <t>shilling a quarter 3</t>
  </si>
  <si>
    <t>pence a quarter 3</t>
  </si>
  <si>
    <t>shilling a quarter 4</t>
  </si>
  <si>
    <t>pence a quarter 4</t>
  </si>
  <si>
    <t>shilling a bushel 1</t>
  </si>
  <si>
    <t>pence a bushel 1</t>
  </si>
  <si>
    <t>shilling a bushel 2</t>
  </si>
  <si>
    <t>pence a bushel 2</t>
  </si>
  <si>
    <t>shilling a bushel 3</t>
  </si>
  <si>
    <t>pence a bushel 3</t>
  </si>
  <si>
    <t>shilling a bushel 4</t>
  </si>
  <si>
    <t>pence a bushel 4</t>
  </si>
  <si>
    <t>Arrears</t>
  </si>
  <si>
    <t>John de Heriyerd, bailiff, John le Portir and Gilbert Horsemayn, sergeants, render account for £7 7 shilling of arrears from the previous year.</t>
  </si>
  <si>
    <t>All delivered to Sir Geoffrey, treasurer of Wolvesey, by 1 tally.</t>
  </si>
  <si>
    <t>They are quit.</t>
  </si>
  <si>
    <t>Rents of assize</t>
  </si>
  <si>
    <t>The same render account for £8 11pence for rents of assize outside East Gate.</t>
  </si>
  <si>
    <t>3 shilling from John son of Henry in exchange for 3 shilling which the Dominicans were accustomed to render for certain plots in Buck Street within the enclosure of the same.</t>
  </si>
  <si>
    <t>7 shilling 10pence from Ralph de Clayville in exchange for 7 shilling 10pence which William le Blunt, Godfrey de Berton', the monks of Hyde and Adam Catchelove were accustomed to render for certain plots in Wongar Street and Tanner Street bought to enlarge the site where the Franciscans dwell.</t>
  </si>
  <si>
    <t>6pence from the increment for the year for certain land outside Durn Gate leased to Henry de Dernegate in fee by lord Aymer, bishop elect.</t>
  </si>
  <si>
    <t>£3 12 shilling 6pence for rents of assize outside the gate on Kingsgate Street.</t>
  </si>
  <si>
    <t>2 shilling from Richard le Porter in exchange for 2 shilling of rent which the Dominicans were accustomed to render for certain plots in Buck Street within the enclosure of the same.</t>
  </si>
  <si>
    <t>13 shilling 2pence for rents of assize in Mullelane.</t>
  </si>
  <si>
    <t>£1 9 shilling 6pence for rents of assize in Sevetwichene.</t>
  </si>
  <si>
    <t>£1 8pence for rents of assize in Paillardestwichene.</t>
  </si>
  <si>
    <t>6pence from the increment of rent for land which sometime belonged to Henry Prince which was leased to Henry Cocus for 1 shilling a year.</t>
  </si>
  <si>
    <t>3pence from the increment for land which belonged to Bernard de Celar' which was leased to Richard le Porter for 6pence a year.</t>
  </si>
  <si>
    <t>6pence from certain land which was leased to Walter le Blunt on the city ditch.</t>
  </si>
  <si>
    <t>£1 11 shilling 6pence for rents of assize outside South Gate.</t>
  </si>
  <si>
    <t>5 shilling 11pence for rents of assize outside the castle gate.</t>
  </si>
  <si>
    <t>13 shilling 3pence for rents of assize outside West Gate.</t>
  </si>
  <si>
    <t>£1 9 shilling .5pence for rents of assize outside North Gate.</t>
  </si>
  <si>
    <t>5pence from increment.</t>
  </si>
  <si>
    <t>4pence from the increment for land of Osbert le Maddar', William de Ponte and William, son of Herbert Capellanus, which was leased to Peter Clericus for 3 shilling 4pence a year.</t>
  </si>
  <si>
    <t>£1 7 shilling 6pence for rents of assize in Parchment Street.</t>
  </si>
  <si>
    <t>15 shilling 6pence for rents of assize in Tanner Street.</t>
  </si>
  <si>
    <t>£1 2.5pence for rents of assize in Wongar Street.</t>
  </si>
  <si>
    <t>7 shilling 9pence for rents of assize in Buck Street.</t>
  </si>
  <si>
    <t>5 shilling for rents of assize in Colebrook Street.</t>
  </si>
  <si>
    <t>£2 4pence for rents of assize in High Street.</t>
  </si>
  <si>
    <t>1 shilling 4pence from the increment of rent for the house of Newbridge.</t>
  </si>
  <si>
    <t>£1 10 shilling 4pence for rents of assize in Gar Street.</t>
  </si>
  <si>
    <t>£1 19 shilling 0.5pence for rents of assize in Sparkford.</t>
  </si>
  <si>
    <t>3pence from the increment for land outside East Gate which belonged to Adam 'Symple which was leased to Henry Prior in fee for 1 shilling 3pence a year by lord Aymer, bishop elect.</t>
  </si>
  <si>
    <t>4pence from a certain forge built on the street leading to St Giles's Hill.</t>
  </si>
  <si>
    <t>1pence from the increment for a certain plot in Gar Street which belonged to Amice Petyt.</t>
  </si>
  <si>
    <t>2pence from the increment for the year for certain land outside West Gate which was leased to William Carp' in fee.</t>
  </si>
  <si>
    <t>1 pence from the increment for land which belonged to William Carp' which was leased to Elias Carpenter in fee for 10pence a year.</t>
  </si>
  <si>
    <t>Total, £28 19 shilling 8.5pence</t>
  </si>
  <si>
    <t>Defaults of rent outside East Gate</t>
  </si>
  <si>
    <t>In default of the land where John Page dwelt 1 shilling 2.25pence, which was leased to Walter le Paum' for 1 shilling 8pence by Bishop Godfrey.</t>
  </si>
  <si>
    <t>certain land which was leased to Richard Horsemayn in fee for 1 shilling a year by Bishop William, 8pence.</t>
  </si>
  <si>
    <t>the land which belonged to Raymond 2 shilling 8pence, which was leased to Thomas de Chaucumbe in fee for 9 shilling a year.</t>
  </si>
  <si>
    <t>the land of William Swyft 1 shilling, which was leased to William le Tukare and Oscar in fee for 2 shilling a year by Bishop Godfrey.</t>
  </si>
  <si>
    <t>that leased to Peter son of Raymond there by Bishop Richard £2 13 shilling 5pence.</t>
  </si>
  <si>
    <t>the land which Baldric held 2 shilling, which was leased to Roger Decanus in fee for 2 shilling a year by Bishop Godfrey.</t>
  </si>
  <si>
    <t>1 forge within Barr', 1 shilling a year by Bishop Richard.</t>
  </si>
  <si>
    <t>1 marsh outside Durn Gate 4 shilling, which was leased to the miller of Durn Gate.</t>
  </si>
  <si>
    <t>the land of William Horsemayn 3 shilling, because it was leased to Payn de Dubbour in fee for 2 shilling a year by Bishop William.</t>
  </si>
  <si>
    <t>Godwin 1.5pence.</t>
  </si>
  <si>
    <t>the land of Hugh Faber 6pence.</t>
  </si>
  <si>
    <t>the land which Walter Drappar' held 7pence.</t>
  </si>
  <si>
    <t>1 stone building with a cellar which sometime belonged to Thomas de Chaucumbe 7 shilling 6pence, because 1 shilling 6pence was paid by the almoner of Hyde who leased it for the same rent from Bishop John de Pontissara.</t>
  </si>
  <si>
    <t>Robert le Bal on the water beside le Brottwyn' 4pence.</t>
  </si>
  <si>
    <t>the land of Geoffrey le Lung' 6pence, which was leased to Adam Burgeys for 2 shilling 6pence a year by Bishop John.</t>
  </si>
  <si>
    <t>the lands formerly of Thomas de Horsemayn 6pence, which were leased to William de Wandlesworth' for 6pence a year by Bishop John.</t>
  </si>
  <si>
    <t>the land of Ralph de Gavelacre beyond the bridge 2 shilling 6pence, this being the third year.</t>
  </si>
  <si>
    <t>the tenement formerly of Ralph de Gavelacre 1 shilling, this being the second year.</t>
  </si>
  <si>
    <t>Total, £4 2 shilling 5.25pence</t>
  </si>
  <si>
    <t>Kingsgate Street</t>
  </si>
  <si>
    <t>In default of the lands of Roger de Insula and Nicholas Cole and Roger 8pence, because they were leased to Gilbert Flanndr' in fee for 1 shilling 8pence a year.</t>
  </si>
  <si>
    <t>the land of the physician which Bishop Richard gave to the church of St Michael 2 shilling.</t>
  </si>
  <si>
    <t>the house where Master Hugh used to live which Bishop Henry gave to H., archdeacon of Canterbury, 11 shilling 4pence.</t>
  </si>
  <si>
    <t>the land of Rayner which belonged to Henry de Enefond 1 shilling.</t>
  </si>
  <si>
    <t>the land of the keeper of the altar of the blessed Mary within King's Gate because of a widespread fire in the city 10pence.</t>
  </si>
  <si>
    <t>the land which William Carbonel held because of the aforesaid fire 2 shilling.</t>
  </si>
  <si>
    <t>the land of William Talon by encroachment of the ditch of the city of Winchester 3 shilling.</t>
  </si>
  <si>
    <t>1 tenement which the infirmary held 6pence, this being the ninth year.</t>
  </si>
  <si>
    <t>Total, £1 1 shilling 4pence</t>
  </si>
  <si>
    <t>Mullelane</t>
  </si>
  <si>
    <t>In default of the land which belonged to Rowland and the almoner of St Swithun's 1 shilling 4pence, because it was leased to William Parmentar' in fee for 1 shilling 8pence a year by Bishop William.</t>
  </si>
  <si>
    <t>Total, 1 shilling 4pence</t>
  </si>
  <si>
    <t>Sevetwichene</t>
  </si>
  <si>
    <t>In default of 3 tenements which Richard Med' and Azo held, surrendered to J. son of Peter, infirmarer of Bishop Richard, by the same bishop, 6 shilling.</t>
  </si>
  <si>
    <t>the same Peter 6pence.</t>
  </si>
  <si>
    <t>the garden which Henry and Walter Aghtman held 3 shilling, because it was leased to John Morarmd' in fee by Bishop John de Pontissara for 2 shilling a year.</t>
  </si>
  <si>
    <t>Total, 9 shilling 6pence</t>
  </si>
  <si>
    <t>Paillardestwichene</t>
  </si>
  <si>
    <t>In default of the land which belonged to Jocelyn Pistor 6 shilling, because it was leased to Osbert Marescall' in fee by Bishop Godfrey for 1 shilling 6pence a year.</t>
  </si>
  <si>
    <t>2 tenements which Peter Saier held by encroachment of the city ditch 1 shilling.</t>
  </si>
  <si>
    <t>the land of William Hamond which belonged to Ralph de Okebourn' 6pence, because it was vacant for this the 15th year.</t>
  </si>
  <si>
    <t>the land of Thomas de Chaucumbe which belonged to Emma Burgeys 6pence, because it was vacant for this the 19th year.</t>
  </si>
  <si>
    <t>Total, 8 shilling</t>
  </si>
  <si>
    <t>South Gate</t>
  </si>
  <si>
    <t>In default of 2 tenements which Bernard Speciar' and Albred Kay held surrendered to J. son of Peter, infirmarer of Bishop Richard, by the same bishop, 3 shilling 6pence.</t>
  </si>
  <si>
    <t>the land which Henry Brian held 4pence.</t>
  </si>
  <si>
    <t>the land which Peter de Ponte held consumed by a widespread fire in the city of Winchester 1 shilling.</t>
  </si>
  <si>
    <t>the land of Peter Saier which Richard Hamund and Peter Short held 6pence, this being the 18th year.</t>
  </si>
  <si>
    <t>Total, 5 shilling 4pence</t>
  </si>
  <si>
    <t>Before the castle gate</t>
  </si>
  <si>
    <t>In default of the land of the watchman (vigilli) which formerly belonged to Walter Vigilus 4pence Total, 4pence {Henceforth account for nothing except 3pence in default}</t>
  </si>
  <si>
    <t>Outside North Gate</t>
  </si>
  <si>
    <t>In default of the land of Alice de la Doun' given to William son of Roginald by Bishop Richard 4 shilling 6pence.</t>
  </si>
  <si>
    <t>the land of Henry Juet which William Beaupyn' held 2 shilling, this being the 20th year.</t>
  </si>
  <si>
    <t>Total, 6 shilling 6pence</t>
  </si>
  <si>
    <t>Parchment Street</t>
  </si>
  <si>
    <t>In default of the land which Simon Clericus held, surrendered to J. son of Peter, infirmarer of Bishop Richard, by the same bishop, 19 shilling 4pence Total, 19 shilling 4pence</t>
  </si>
  <si>
    <t>Wongar Street</t>
  </si>
  <si>
    <t>In default of the house of Alan de Englefeud', surrendered to the same Alan by Bishop Richard, 5 shilling.</t>
  </si>
  <si>
    <t>the land of the Knights Templar 6pence.</t>
  </si>
  <si>
    <t>the land which belonged to John Garland 1 shilling 10pence, because Henry Prince paid for the same land from his chief house outside West Gate.</t>
  </si>
  <si>
    <t>the land of William Blunt 3 shilling 5pence, because Geoffrey de Clayvill' paid for the same land from his chief house outside East Gate.</t>
  </si>
  <si>
    <t>1 shilling 7pence from those totals in chief exceeding the total of receipts and defaults.</t>
  </si>
  <si>
    <t>Total, 12 shilling 4pence</t>
  </si>
  <si>
    <t>Tanner Street</t>
  </si>
  <si>
    <t>In default of the land of Godfrey de Berton', the monks of Hyde and Adam Catchelove 4 shilling 4pence, because Ralph de Clavill' answered for the same land from his chief house outside East Gate, and the same Ralph has bound himself and all his tenements which he has or by any chance befalling is able to have in the suburb of Winchester to pay the aforesaid rent, by his writing, for himself and his heirs.</t>
  </si>
  <si>
    <t>the land of Juliana David which sometime belonged to Agatha, daughter of Bartholomew de Walyngeford', 6pence.</t>
  </si>
  <si>
    <t>1 shilling from those totals in chief exceeding the total of receipts and defaults.</t>
  </si>
  <si>
    <t>Total, 5 shilling 10pence</t>
  </si>
  <si>
    <t>Buck Street</t>
  </si>
  <si>
    <t>In default of the land of the Dominicans 5 shilling, because John son of Henry answers for 3 shilling from his chief messuage outside East Gate and Richard le Porter answers for 2 shilling for the same land from certain land which was leased to him outside King's Gate which sometime belonged to Thomas de Tymynges, and the aforesaid John and Richard have bound themselves to pay the aforesaid rent in the same way as the aforesaid Ralph.</t>
  </si>
  <si>
    <t>4pence from those totals in chief exceeding the total of receipts and defaults.</t>
  </si>
  <si>
    <t>Colebrook Street</t>
  </si>
  <si>
    <t>In default of 2 tenements there surrendered to Peter son of Raymond 3 shilling Total, 3 shilling</t>
  </si>
  <si>
    <t>High Street</t>
  </si>
  <si>
    <t>In default of the land which John Yessyr held and which was in the bishop's hands and is now surrendered to the Hospital of St Cross 13 shilling 4pence.</t>
  </si>
  <si>
    <t>the land of Mice de la Bouue which John Messyr held given to William son of Roginald by Bishop Richard 4 shilling.</t>
  </si>
  <si>
    <t>the house at Newbridge leased to Peter le Bal by Bishop Richard 16 shilling 4pence Total, £1 13 shilling 8pence</t>
  </si>
  <si>
    <t>Gar Street</t>
  </si>
  <si>
    <t>In default of the land which Hugh Lovera3 held 1 shilling, because it was leased to Geoffrey de Sancta Cruce in fee for 2 shilling a year by Bishop Richard.</t>
  </si>
  <si>
    <t>Adam Speciar' and 2 acres of land of Silvester Capellanus 2 shilling 3pence, because it was leased to Hugh Lovera3 in fee for 4 shilling a year.</t>
  </si>
  <si>
    <t>the sacrist of St Swithun's in Winchester 4 shilling 1pence, by encroachment of the ditch.</t>
  </si>
  <si>
    <t>the land which Hugh Puke held 1pence.</t>
  </si>
  <si>
    <t>the land which John and Nicholas Keppyng' held 2 shilling 8pence, because it was vacant for this the 20th year.</t>
  </si>
  <si>
    <t>the land of the subprior of St Swithun's in Winchester 6pence, because it was leased to John Saladyn for 9pence a year by Bishop John de Pontissara.</t>
  </si>
  <si>
    <t>the land of Amice Petyt 9pence, because it was leased to William le Plum' for 6pence a year.</t>
  </si>
  <si>
    <t>Total, 11 shilling 4pence</t>
  </si>
  <si>
    <t>Sparkford</t>
  </si>
  <si>
    <t>In default of the vacant land which belonged to Walter Pouk' 1 shilling 8.5pence.</t>
  </si>
  <si>
    <t>a certain garden within the enclosure of the house of St Cross 4 shilling 2pence Total, 5 shilling 10.5pence</t>
  </si>
  <si>
    <t>Total of all defaults</t>
  </si>
  <si>
    <t>Total of all defaults, £11 11 shilling 6.25pence</t>
  </si>
  <si>
    <t xml:space="preserve">Total of rents remaining </t>
  </si>
  <si>
    <t>Total of rents remaining, £17 8 shilling 2.25pence</t>
  </si>
  <si>
    <t>Nothing should be found for the quittance of 10pence this year because it is not being charged in chief, nor of 2 shilling because before they ran in default.</t>
  </si>
  <si>
    <t>Payments for the mill-race (aquaticum)</t>
  </si>
  <si>
    <t>The same render account for £1 from the mill of the Abbess of St Mary's for the mill-race.</t>
  </si>
  <si>
    <t>£1 from the mill of le Bal for the same.</t>
  </si>
  <si>
    <t>£1 from the mill of Andrew Poverey for the same.</t>
  </si>
  <si>
    <t>Total, £4, paid in equal portions at 4 terms.</t>
  </si>
  <si>
    <t>`Spengabulum'</t>
  </si>
  <si>
    <t>5 shilling from the official of wheels (ministerio rotarum) at farm this year.</t>
  </si>
  <si>
    <t>Total, 5 shilling</t>
  </si>
  <si>
    <t>Brewgable (Brugabulum)</t>
  </si>
  <si>
    <t>The same render account for 5pence from William de Beriton' for brewgable.</t>
  </si>
  <si>
    <t>2.5pence from William le Lomere.</t>
  </si>
  <si>
    <t>5pence from Henry Doucevyl'.</t>
  </si>
  <si>
    <t>1 5pence from John Huberd.</t>
  </si>
  <si>
    <t>5pence from John Gentyl.</t>
  </si>
  <si>
    <t>2.5pence from John de Northwold'.</t>
  </si>
  <si>
    <t>5pence from Adam le Bal.</t>
  </si>
  <si>
    <t>5pence from John Crwnpelhorn.</t>
  </si>
  <si>
    <t>5pence from John de Byketon'.</t>
  </si>
  <si>
    <t>5pence from the tenement of Nicholas Dalron.</t>
  </si>
  <si>
    <t>5pence from Walter de Tysted'.</t>
  </si>
  <si>
    <t>5pence from Robert Carnifex.</t>
  </si>
  <si>
    <t>5pence from Simon de Bromly.</t>
  </si>
  <si>
    <t>5pence from the tenement of Laurence de Ann'.</t>
  </si>
  <si>
    <t>5pence from Alice de Wautham.</t>
  </si>
  <si>
    <t>The same render account for 5pence from Thomas Ywon for brewgable.</t>
  </si>
  <si>
    <t>5pence from John de Houlond'.</t>
  </si>
  <si>
    <t>5pence from Robert de Oterbum'.</t>
  </si>
  <si>
    <t>5pence from the relict of Pershore.</t>
  </si>
  <si>
    <t>Total, 1 shilling 8pence</t>
  </si>
  <si>
    <t>The same render account for 5pence from the tenement of John de Houlond' for brewgable.</t>
  </si>
  <si>
    <t>Total, 5pence</t>
  </si>
  <si>
    <t>North Gate</t>
  </si>
  <si>
    <t>The same render account for 5pence from the brewgable of Robert de Farnham.</t>
  </si>
  <si>
    <t>The same render account for 5pence from the brewgable of Richard Cury.</t>
  </si>
  <si>
    <t>Nothing from Wongar Street this year.</t>
  </si>
  <si>
    <t>The same render account' for 5pence from the house at Newbridge for brewgable.</t>
  </si>
  <si>
    <t>Total of all brewgab</t>
  </si>
  <si>
    <t>Total of all brewgable, 9 shilling 2pence</t>
  </si>
  <si>
    <t>Internal perquisites</t>
  </si>
  <si>
    <t>The same render account for £2 6pence from the small perquisites of the court this year.</t>
  </si>
  <si>
    <t>4 shilling from the rent of the tenement of John de Irmongere.</t>
  </si>
  <si>
    <t>2 shilling 9pence from the tenement of William le Deveneys.</t>
  </si>
  <si>
    <t>Total, £2 7 shilling 3pence</t>
  </si>
  <si>
    <t>Foreign perquisites</t>
  </si>
  <si>
    <t>The same render account for 5 shilling from the relict of Geoffrey de Wynggeham for release from her suit of court this year.</t>
  </si>
  <si>
    <t>5 shilling from Joan de Colrych' for the same.</t>
  </si>
  <si>
    <t>4 shilling from John de Roches for the same.</t>
  </si>
  <si>
    <t>4 shilling from John Daundely for the same.</t>
  </si>
  <si>
    <t>2 shilling from Alan Plukenet for the same.</t>
  </si>
  <si>
    <t>2 shilling from the Lady of Hunton' for the same.</t>
  </si>
  <si>
    <t>4 shilling from Andrew de Hautot for the same.</t>
  </si>
  <si>
    <t>2 shilling from Andrew Payn for the same.</t>
  </si>
  <si>
    <t>2 shilling from Philip de Exton for the same.</t>
  </si>
  <si>
    <t>2 shilling from Henry Huse for the same.</t>
  </si>
  <si>
    <t>2 shilling from Thomas Paynel for the same.</t>
  </si>
  <si>
    <t>1 shilling from Luke de Brunewych' for the same.</t>
  </si>
  <si>
    <t>2 shilling from John de Chitthebom' for the same.</t>
  </si>
  <si>
    <t>nothing from Richard le Warnir because he is in wardship.</t>
  </si>
  <si>
    <t>2 shilling from Mary de Wyntreshull' for the same.</t>
  </si>
  <si>
    <t>2 shilling from John de Molendino for the same.</t>
  </si>
  <si>
    <t>2 shilling from John Meriet for the same.</t>
  </si>
  <si>
    <t>4 shilling from John de Syghenhurst because he is not proceeding.</t>
  </si>
  <si>
    <t>6pence from Isabel, who was wife of Richard le Portyr, because she is not proceeding.</t>
  </si>
  <si>
    <t>Total, £2 7 shilling 6pence</t>
  </si>
  <si>
    <t>Total of both</t>
  </si>
  <si>
    <t>Total of both, £4 14 shilling 9pence</t>
  </si>
  <si>
    <t>Total of all receipts</t>
  </si>
  <si>
    <t>Total of all receipts, £26 17 shilling 1.25pence</t>
  </si>
  <si>
    <t>Expenses</t>
  </si>
  <si>
    <t>In re-roofing and mending the house formerly of William le Deveneys 3 shilling.</t>
  </si>
  <si>
    <t>wages of the bailiff for the year £3 10pence.</t>
  </si>
  <si>
    <t>stipend of 2 sergeants for the year 10 shilling.</t>
  </si>
  <si>
    <t>the oblations of the same 4pence.</t>
  </si>
  <si>
    <t>stipend of the clerk 5 shilling.</t>
  </si>
  <si>
    <t>parchment 4pence Total, £3 19 shilling 6pence</t>
  </si>
  <si>
    <t>Allowance</t>
  </si>
  <si>
    <t>In allowance of the same for gifts made to Alice de Warultham and Laurence de Ann' 10pence Total, 10pence</t>
  </si>
  <si>
    <t>And he owes, £22 16 shilling 9.25pence</t>
  </si>
  <si>
    <t>Delivered to Sir Geoffrey, treasurer of Wolvesey, by 1 tally, £11.</t>
  </si>
  <si>
    <t>And he owes clear, £11 16 shilling 9.25pence, of which £2 7 shilling 6pence are charged to the marshal.</t>
  </si>
  <si>
    <t>On Wednesday after the feast of St Giles in the year 30 Edward I (5 September 1302) Nicholas Horsemayn and Alice his wife came to the Pavilion and acknowledged themselves to have given, granted and by their charter confirmed to John de Northwold' and Joan his wife and their heirs and also their assigns 3pence of annual rent freely and quietly.</t>
  </si>
  <si>
    <t>The contents of the document which follows is to undergo examination:</t>
  </si>
  <si>
    <t>Know all men present and future that we, Nicholas Horsemayn and Alice, wife of the same, with equal will, have given, granted and by this our present charter confirmed, to John de Northwolde and Joan, wife of the same, threepence of annual rent freely and quietly, to be received yearly at Michaelmas from us and our heirs from a certain tenement in the suburb and Soke of Winchester in the parish of St Michael' on the Hill, which is situated between the tenement of John Gentyl on the north side and the tenement of the said John and Joan on the south side.</t>
  </si>
  <si>
    <t>To have and to receive the aforesaid threepence of annual rent with all its appurtenances to the aforesaid John and Joan, their heirs or assigns, freely, quietly, peaceably, by right and inheritance forever.</t>
  </si>
  <si>
    <t>And we the aforesaid Nicholas and Alice, wife of the same, and our heirs will warrant and defend forever against all people the aforesaid threepence of annual rent to the aforesaid John and Joan and their heirs or assigns.</t>
  </si>
  <si>
    <t>For this authority, gift, grant and warrant the aforesaid John and Joan for themselves and their heirs have discharged us and our heirs from the maintenance of a certain gutter and wall, if damage to the same should happen to be incurred, just as is fully contained in that writing, a bipartite indenture, made between us.</t>
  </si>
  <si>
    <t>.</t>
  </si>
  <si>
    <t>witness of which thing, we have affixed our seals to the present charter.</t>
  </si>
  <si>
    <t>These being witnesses, Sir Philip de Hoyvill', knight, Sir Robert de Harewedon', then steward of the bishop of Winchester, John de Westcote, then justice of the Pavilion, Richard de Marwell', Adam Poveray, John de Anne, cleric Walter le Butelyr, Roger de Wynehale, Adam le Bal, John Gentyl, and Richard Scrilby, and many others.</t>
  </si>
  <si>
    <t>Also on the aforesaid day and year, the aforesaid Nicholas and Alice for themselves and their heirs, and the aforesaid John and Joan for themselves and their heirs, in the aforesaid court granted and had ratified all agreements and ordinances which were contained in a certain chirograph made between them, to last thereafter forever, in these words: Be it known to all men by these present that a dispute had been provoked between Nicholas Horsemayn and Alice, wife of the same, plaintiffs, on the one side, and John de Northwold' and Joan his wife, defendants, on the other, because the aforesaid Nicholas and Alice had claimed to have a part and an easement of a certain wall of the tenement of the aforesaid John and Joan in the suburb of Winchester in the Soke, which wall is indeed of the tenement of the aforesaid John and Joan on the north side of the same, and which formerly was the south wall of a certain cellar, on which wall the aforesaid Nicholas and Alice were bound to maintain a certain gutter at their own cost, so that the same wall might not be damaged by the aforesaid gutter.</t>
  </si>
  <si>
    <t>And if it were damaged, the aforesaid Alice should repair it, just as is more fully contained in a certain writing on this point made by the aforesaid Joan and Alice at the time of the division of the inheritance of the said Alice and Joan and made with their agreement.</t>
  </si>
  <si>
    <t>Common friends mediated on Wednesday after the feast of St Giles in the year 30 Edward I.</t>
  </si>
  <si>
    <t>It was settled in this way, that is, that the aforesaid wall should remain to the said John and Joan and their heirs, so that henceforth the aforesaid Nicholas and Alice or their heirs should not have any right or claim to the aforesaid wall or be able to sell or make any exaction relating to it.</t>
  </si>
  <si>
    <t>And it is lawful for the said John and Joan and their heirs to make, arrange and dispose of the aforesaid wall and the gutter built on it, or otherwise, according to their free will without condition or any other impediment of the aforesaid Nicholas and Alice or their heirs.</t>
  </si>
  <si>
    <t>And the aforesaid John and Joan granted for themselves and their heirs that the aforesaid Nicholas and Alice should be discharged from the maintenance of the above-mentioned gutter and wall for a 3pence annual rent, of which the said Nicholas and Alice enfeoffed the aforesaid John and Joan, to be received at Michaelmas from the tenement of the said Nicholas and Alice, which is between the aforesaid wall of the tenement of the aforesaid John and Joan and the tenement of John Gentyl in the above-mentioned suburb and Soke, by a charter which the said Nicholas and Alice made therefor with the same John and Joan.</t>
  </si>
  <si>
    <t>And the said parties, that is, the said John and Joan in their tenement, and the said Nicholas and Alice in their tenement, will maintain without any dispute, the drain (hantande) carrying rainwater or waste (mundatio) on their own grounpence And the parties have hereupon bound themselves to observe inviolate, faithfully and without deceit, the aforementioned premises, agreement, peace and ordinance, and each and every thing aforementioned, that is, should they be unwilling to fulfil, obey or observe in whole or in part the said agreement, peace and ordinance, it is lawful for the bailiffs of the places and other officials of the king and bishop to distrain the party opposing the full and fullest observation of each and every part of the aforesaid agreement, peace and ordinance.</t>
  </si>
  <si>
    <t>And the party opposing the aforementioned will pay the losses and expenses which the party not opposing them shall sustain on account of the aforementionepence On these matters credence shall be given to the simple word of the party not opposing the aforementionepence Moreover, the aforesaid parties pledge faith mutually to observe each and every part of the aforesaid, so that if either party is reported for a breach of faith in this matter, in whatever manner, then that party concedes that it shall be held over on account of the report and shall sustain on account of the breach of faith corporal punishment imposed by ecclesiastical censure, or will provide or make satisfaction for 40 shilling of the alms of the lord bishop of Winchester, and nonetheless will pay one mark of silver in aid of the Holy Land without power of postponement or objection whatsoever.</t>
  </si>
  <si>
    <t>witness of which thing the parties have hereupon affixed their seals to this bipartite writing.</t>
  </si>
  <si>
    <t>These being witnesses, Sir Philip de Hoyvill', knight, Sir Robert de Harewedon', then steward of the bishop of Winchester, John de Westcot', then justice of the Pavilion, Richard de Marewell', Adam Poveray, John de Anne, clerk, Walter le Botelyr, Rogero de Wynehal', Adam le Bal, John Gentyl, and Richard Schull', and many others.</t>
  </si>
  <si>
    <t>Error</t>
  </si>
  <si>
    <t>Total</t>
  </si>
  <si>
    <t>CASH ACCOUNT</t>
  </si>
  <si>
    <t>RECEIPTS</t>
  </si>
  <si>
    <t>Arrears total</t>
  </si>
  <si>
    <t>Rents of assize total</t>
  </si>
  <si>
    <t>Quittances total</t>
  </si>
  <si>
    <t>Defaults of rent total</t>
  </si>
  <si>
    <t>Defaults of rent through the pestilence total</t>
  </si>
  <si>
    <t>Cotlands defaults total</t>
  </si>
  <si>
    <t>Cotlands total</t>
  </si>
  <si>
    <t>Total of quittances and defaults of rent total</t>
  </si>
  <si>
    <t>Total of rents remaining clear total</t>
  </si>
  <si>
    <t>Farms total</t>
  </si>
  <si>
    <t>Annual recognizances total</t>
  </si>
  <si>
    <t>Issues of the Manor total</t>
  </si>
  <si>
    <t>Issues of the tenements in the lord's hands total</t>
  </si>
  <si>
    <t>Sale of labour services total</t>
  </si>
  <si>
    <t>Sale of corn total</t>
  </si>
  <si>
    <t>Entry and marriage fines total</t>
  </si>
  <si>
    <t>Pleas &amp; perquisites total</t>
  </si>
  <si>
    <t>Forfeited chattels total</t>
  </si>
  <si>
    <t>Farm of the demesne land total</t>
  </si>
  <si>
    <t>Total of all receipts (calculated here)</t>
  </si>
  <si>
    <t>Total of all receipts (calculated here) incl arrears</t>
  </si>
  <si>
    <t>Total recorded in the accounts excl. arrears</t>
  </si>
  <si>
    <t>Total recorded in the accounts incl. arrears</t>
  </si>
  <si>
    <t>EXPENSES</t>
  </si>
  <si>
    <t>Cost of ploughs total</t>
  </si>
  <si>
    <t>Purchase of corn total</t>
  </si>
  <si>
    <t>Cost of carts and wagons total</t>
  </si>
  <si>
    <t>Cost of dairy total</t>
  </si>
  <si>
    <t>Purchase of stock total</t>
  </si>
  <si>
    <t>Sheepcote total</t>
  </si>
  <si>
    <t>Cost of buildings total</t>
  </si>
  <si>
    <t>Threshing total</t>
  </si>
  <si>
    <t>Barley expenses</t>
  </si>
  <si>
    <t>Expenses of the harvest total</t>
  </si>
  <si>
    <t>Necessary expenses</t>
  </si>
  <si>
    <t>Wages of the bailiff</t>
  </si>
  <si>
    <t>Steward's expenses total</t>
  </si>
  <si>
    <t>Annual fees</t>
  </si>
  <si>
    <t>Total of all expenses per account</t>
  </si>
  <si>
    <t>Total of all expenses (calculated here)</t>
  </si>
  <si>
    <t>Total fixed investment</t>
  </si>
  <si>
    <t>Total Demesne fixed investment</t>
  </si>
  <si>
    <t>Owed by the reeve</t>
  </si>
  <si>
    <t>From accounts</t>
  </si>
  <si>
    <t>Allowances</t>
  </si>
  <si>
    <t>Cash deliveries</t>
  </si>
  <si>
    <t>Sum of the above</t>
  </si>
  <si>
    <t>Total of all allowances and cash deliveries in accounts</t>
  </si>
  <si>
    <t>Net amount owed</t>
  </si>
  <si>
    <t>Net amount owed in accounts</t>
  </si>
  <si>
    <t xml:space="preserve">GRANGE ACCOUNT </t>
  </si>
  <si>
    <t>Grange</t>
  </si>
  <si>
    <t>Wheat</t>
  </si>
  <si>
    <t>Rye</t>
  </si>
  <si>
    <t>Dredge</t>
  </si>
  <si>
    <t>Curall</t>
  </si>
  <si>
    <t>Barley</t>
  </si>
  <si>
    <t>Oats</t>
  </si>
  <si>
    <t>Beans</t>
  </si>
  <si>
    <t>Peas</t>
  </si>
  <si>
    <t>Vetches</t>
  </si>
  <si>
    <t>Total value of gross production (sum of the above)</t>
  </si>
  <si>
    <t>Total value of net production</t>
  </si>
  <si>
    <t>Value of sales</t>
  </si>
  <si>
    <t>MILL ACCOUNT</t>
  </si>
  <si>
    <t>Issues of the mill</t>
  </si>
  <si>
    <t>Oatmeal</t>
  </si>
  <si>
    <t>1st grade malt</t>
  </si>
  <si>
    <t>2nd grade malt</t>
  </si>
  <si>
    <t>Maslin</t>
  </si>
  <si>
    <t>Total value of production (sum of the above)</t>
  </si>
  <si>
    <t>STOCK ACCOUNT</t>
  </si>
  <si>
    <t>Livestock</t>
  </si>
  <si>
    <t>Cart-horses</t>
  </si>
  <si>
    <t>Mares</t>
  </si>
  <si>
    <t>Plough horses</t>
  </si>
  <si>
    <t>Colts (2 years)</t>
  </si>
  <si>
    <t>Colts (1 year)</t>
  </si>
  <si>
    <t>Foals</t>
  </si>
  <si>
    <t>Oxen</t>
  </si>
  <si>
    <t>Bulls</t>
  </si>
  <si>
    <t>Cows</t>
  </si>
  <si>
    <t>Steers</t>
  </si>
  <si>
    <t>Bullocks</t>
  </si>
  <si>
    <t>Yearlings</t>
  </si>
  <si>
    <t>Calves</t>
  </si>
  <si>
    <t>Wethers</t>
  </si>
  <si>
    <t>Rams</t>
  </si>
  <si>
    <t>Ewes</t>
  </si>
  <si>
    <t>Hoggs</t>
  </si>
  <si>
    <t>Lambs</t>
  </si>
  <si>
    <t>Boars</t>
  </si>
  <si>
    <t>Sows</t>
  </si>
  <si>
    <t>Pigs</t>
  </si>
  <si>
    <t>Hoggets</t>
  </si>
  <si>
    <t>Piglets</t>
  </si>
  <si>
    <t>Swans</t>
  </si>
  <si>
    <t>Peacocks</t>
  </si>
  <si>
    <t>Total value of stock (sum of the above)</t>
  </si>
  <si>
    <t>Total value of production</t>
  </si>
  <si>
    <t>Wool</t>
  </si>
  <si>
    <t>Fleeces</t>
  </si>
  <si>
    <t>Coarse wool</t>
  </si>
  <si>
    <t>Lamb's wool</t>
  </si>
  <si>
    <t>Wool locks</t>
  </si>
  <si>
    <t>Wool sold at shearing</t>
  </si>
  <si>
    <t>Hides</t>
  </si>
  <si>
    <t>Ox hides</t>
  </si>
  <si>
    <t>Cow hides</t>
  </si>
  <si>
    <t>Mare hides</t>
  </si>
  <si>
    <t>Steer hides</t>
  </si>
  <si>
    <t>Yearling Calf hides</t>
  </si>
  <si>
    <t>Calf hides</t>
  </si>
  <si>
    <t>Pig hides</t>
  </si>
  <si>
    <t>Wether woolskins</t>
  </si>
  <si>
    <t>Ram woolskins</t>
  </si>
  <si>
    <t>Ewe woolskins</t>
  </si>
  <si>
    <t>Hogg woolskins</t>
  </si>
  <si>
    <t>Woolskins (total)</t>
  </si>
  <si>
    <t>Wether bareskins</t>
  </si>
  <si>
    <t>Ram bareskins</t>
  </si>
  <si>
    <t>Ewe bareskins</t>
  </si>
  <si>
    <t>Hogg bareskins</t>
  </si>
  <si>
    <t>Bareskins (total)</t>
  </si>
  <si>
    <t>Lambskins</t>
  </si>
  <si>
    <t>Rotted skins</t>
  </si>
  <si>
    <t>Shorn skins</t>
  </si>
  <si>
    <t>Poultry stock</t>
  </si>
  <si>
    <t>Hens</t>
  </si>
  <si>
    <t>Geese</t>
  </si>
  <si>
    <t>Capons (from chickens)</t>
  </si>
  <si>
    <t>Cocks &amp; hens</t>
  </si>
  <si>
    <t>Poultry production</t>
  </si>
  <si>
    <t>Eggs</t>
  </si>
  <si>
    <t>Cocks &amp; hens from churchscot of customary tenants</t>
  </si>
  <si>
    <t>Sum of above</t>
  </si>
  <si>
    <t>Total value of stock</t>
  </si>
  <si>
    <t>Dairy Production</t>
  </si>
  <si>
    <t>Butter</t>
  </si>
  <si>
    <t>Winter Cheese</t>
  </si>
  <si>
    <t>Summer Cheese</t>
  </si>
  <si>
    <t>Total Production Value of all Output (Grange, Dairy, Livestock Sales, Wools, Skins - NO Mill)</t>
  </si>
  <si>
    <t>Total Sales Value of all Output as defined above</t>
  </si>
  <si>
    <t>Total Sales of Corn + Issues of the Manor as recorded in account</t>
  </si>
  <si>
    <t>Production Value + Cash Receipts (excl. Arrears, Issues, Corn and Mill)</t>
  </si>
  <si>
    <t>% of capital expenses in terms of total production</t>
  </si>
  <si>
    <t>% of capital expenses in terms of total production + cash receipts</t>
  </si>
  <si>
    <r>
      <t xml:space="preserve">% of capital expenses as </t>
    </r>
    <r>
      <rPr>
        <b/>
        <i/>
        <sz val="12"/>
        <color rgb="FF000000"/>
        <rFont val="Calibri"/>
        <family val="2"/>
        <scheme val="minor"/>
      </rPr>
      <t>calculated previously</t>
    </r>
  </si>
  <si>
    <t>SOKE OF WINCHESTER</t>
  </si>
  <si>
    <t>Total in £</t>
  </si>
  <si>
    <t>Note</t>
  </si>
  <si>
    <t>SOKE OF WINCHESTER RECEIPTS</t>
  </si>
  <si>
    <t>SOKE OF WINCHESTER EXPENSES</t>
  </si>
  <si>
    <t>£</t>
  </si>
  <si>
    <t xml:space="preserve">s </t>
  </si>
  <si>
    <t>d</t>
  </si>
  <si>
    <t>Notes</t>
  </si>
  <si>
    <t xml:space="preserve">parchment 4pence </t>
  </si>
  <si>
    <t>Total, £3 19 shilling 6pence</t>
  </si>
  <si>
    <t>no grange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</si>
</sst>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2"/>
      <color theme="1"/>
      <name val="Calibri"/>
      <family val="2"/>
      <scheme val="minor"/>
    </font>
    <font>
      <b/>
      <sz val="11"/>
      <name val="Calibri"/>
      <family val="2"/>
    </font>
    <font>
      <b/>
      <sz val="12"/>
      <color theme="1"/>
      <name val="Calibri"/>
      <family val="2"/>
      <scheme val="minor"/>
    </font>
    <font>
      <b/>
      <sz val="12"/>
      <color rgb="FF000000"/>
      <name val="Calibri"/>
      <family val="2"/>
      <scheme val="minor"/>
    </font>
    <font>
      <sz val="12"/>
      <color rgb="FF000000"/>
      <name val="Calibri"/>
      <family val="2"/>
      <scheme val="minor"/>
    </font>
    <font>
      <b/>
      <i/>
      <sz val="12"/>
      <color theme="1"/>
      <name val="Calibri"/>
      <family val="2"/>
      <scheme val="minor"/>
    </font>
    <font>
      <b/>
      <i/>
      <sz val="12"/>
      <color rgb="FF000000"/>
      <name val="Calibri"/>
      <family val="2"/>
      <scheme val="minor"/>
    </font>
    <font>
      <i/>
      <sz val="12"/>
      <color rgb="FF000000"/>
      <name val="Calibri"/>
      <family val="2"/>
      <scheme val="minor"/>
    </font>
    <font>
      <b/>
      <sz val="12"/>
      <color rgb="FFFF0000"/>
      <name val="Calibri"/>
      <family val="2"/>
      <scheme val="minor"/>
    </font>
    <font>
      <b/>
      <sz val="12"/>
      <color theme="1"/>
      <name val="Calibri (Body)"/>
    </font>
    <font>
      <sz val="11"/>
      <color rgb="FFFF0000"/>
      <name val="Calibri (Body)"/>
    </font>
    <font>
      <b/>
      <sz val="12"/>
      <name val="Calibri"/>
      <family val="2"/>
    </font>
    <font>
      <b/>
      <sz val="12"/>
      <color rgb="FFFF0000"/>
      <name val="Calibri (Body)"/>
    </font>
  </fonts>
  <fills count="7">
    <fill>
      <patternFill patternType="none"/>
    </fill>
    <fill>
      <patternFill patternType="gray125"/>
    </fill>
    <fill>
      <patternFill patternType="solid">
        <fgColor rgb="FFF2F2F2"/>
        <bgColor rgb="FF000000"/>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7" tint="0.79998168889431442"/>
        <bgColor rgb="FF000000"/>
      </patternFill>
    </fill>
    <fill>
      <patternFill patternType="solid">
        <fgColor theme="0" tint="-4.9989318521683403E-2"/>
        <bgColor rgb="FF000000"/>
      </patternFill>
    </fill>
  </fills>
  <borders count="8">
    <border>
      <left/>
      <right/>
      <top/>
      <bottom/>
      <diagonal/>
    </border>
    <border>
      <left style="thin">
        <color auto="1"/>
      </left>
      <right style="thin">
        <color auto="1"/>
      </right>
      <top style="thin">
        <color auto="1"/>
      </top>
      <bottom style="thin">
        <color auto="1"/>
      </bottom>
      <diagonal/>
    </border>
    <border>
      <left/>
      <right/>
      <top style="thin">
        <color indexed="64"/>
      </top>
      <bottom/>
      <diagonal/>
    </border>
    <border>
      <left/>
      <right/>
      <top/>
      <bottom style="thin">
        <color indexed="64"/>
      </bottom>
      <diagonal/>
    </border>
    <border>
      <left/>
      <right/>
      <top/>
      <bottom style="thin">
        <color rgb="FFA6A6A6"/>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s>
  <cellStyleXfs count="1">
    <xf numFmtId="0" fontId="0" fillId="0" borderId="0"/>
  </cellStyleXfs>
  <cellXfs count="39">
    <xf numFmtId="0" fontId="0" fillId="0" borderId="0" xfId="0"/>
    <xf numFmtId="0" fontId="2" fillId="0" borderId="1" xfId="0" applyFont="1" applyBorder="1" applyAlignment="1">
      <alignment horizontal="center" vertical="top"/>
    </xf>
    <xf numFmtId="0" fontId="4" fillId="0" borderId="0" xfId="0" applyFont="1"/>
    <xf numFmtId="0" fontId="4" fillId="2" borderId="0" xfId="0" applyFont="1" applyFill="1"/>
    <xf numFmtId="0" fontId="5" fillId="0" borderId="0" xfId="0" applyFont="1"/>
    <xf numFmtId="0" fontId="1" fillId="0" borderId="0" xfId="0" applyFont="1"/>
    <xf numFmtId="0" fontId="6" fillId="3" borderId="2" xfId="0" applyFont="1" applyFill="1" applyBorder="1"/>
    <xf numFmtId="0" fontId="6" fillId="3" borderId="0" xfId="0" applyFont="1" applyFill="1"/>
    <xf numFmtId="0" fontId="7" fillId="2" borderId="0" xfId="0" applyFont="1" applyFill="1"/>
    <xf numFmtId="0" fontId="5" fillId="0" borderId="3" xfId="0" applyFont="1" applyBorder="1"/>
    <xf numFmtId="0" fontId="3" fillId="0" borderId="0" xfId="0" applyFont="1"/>
    <xf numFmtId="0" fontId="5" fillId="4" borderId="0" xfId="0" applyFont="1" applyFill="1"/>
    <xf numFmtId="0" fontId="8" fillId="4" borderId="0" xfId="0" applyFont="1" applyFill="1"/>
    <xf numFmtId="0" fontId="8" fillId="5" borderId="0" xfId="0" applyFont="1" applyFill="1"/>
    <xf numFmtId="0" fontId="8" fillId="2" borderId="0" xfId="0" applyFont="1" applyFill="1"/>
    <xf numFmtId="0" fontId="4" fillId="6" borderId="0" xfId="0" applyFont="1" applyFill="1"/>
    <xf numFmtId="0" fontId="4" fillId="3" borderId="0" xfId="0" applyFont="1" applyFill="1"/>
    <xf numFmtId="0" fontId="5" fillId="0" borderId="0" xfId="0" applyFont="1" applyAlignment="1">
      <alignment wrapText="1"/>
    </xf>
    <xf numFmtId="0" fontId="8" fillId="6" borderId="0" xfId="0" applyFont="1" applyFill="1"/>
    <xf numFmtId="0" fontId="5" fillId="0" borderId="4" xfId="0" applyFont="1" applyBorder="1"/>
    <xf numFmtId="0" fontId="5" fillId="0" borderId="0" xfId="0" applyFont="1" applyAlignment="1">
      <alignment horizontal="right"/>
    </xf>
    <xf numFmtId="0" fontId="5" fillId="0" borderId="4" xfId="0" applyFont="1" applyBorder="1" applyAlignment="1">
      <alignment horizontal="left"/>
    </xf>
    <xf numFmtId="0" fontId="5" fillId="3" borderId="5" xfId="0" applyFont="1" applyFill="1" applyBorder="1"/>
    <xf numFmtId="0" fontId="8" fillId="2" borderId="6" xfId="0" applyFont="1" applyFill="1" applyBorder="1"/>
    <xf numFmtId="0" fontId="8" fillId="5" borderId="6" xfId="0" applyFont="1" applyFill="1" applyBorder="1"/>
    <xf numFmtId="0" fontId="5" fillId="0" borderId="6" xfId="0" applyFont="1" applyBorder="1"/>
    <xf numFmtId="10" fontId="8" fillId="2" borderId="6" xfId="0" applyNumberFormat="1" applyFont="1" applyFill="1" applyBorder="1"/>
    <xf numFmtId="10" fontId="8" fillId="5" borderId="7" xfId="0" applyNumberFormat="1" applyFont="1" applyFill="1" applyBorder="1"/>
    <xf numFmtId="2" fontId="4" fillId="0" borderId="0" xfId="0" applyNumberFormat="1" applyFont="1" applyAlignment="1">
      <alignment horizontal="right"/>
    </xf>
    <xf numFmtId="2" fontId="9" fillId="0" borderId="0" xfId="0" applyNumberFormat="1" applyFont="1" applyAlignment="1">
      <alignment horizontal="right"/>
    </xf>
    <xf numFmtId="0" fontId="10" fillId="0" borderId="0" xfId="0" applyFont="1"/>
    <xf numFmtId="0" fontId="12" fillId="0" borderId="0" xfId="0" applyFont="1" applyAlignment="1">
      <alignment horizontal="center" vertical="top"/>
    </xf>
    <xf numFmtId="4" fontId="10" fillId="0" borderId="0" xfId="0" applyNumberFormat="1" applyFont="1" applyAlignment="1">
      <alignment horizontal="right"/>
    </xf>
    <xf numFmtId="0" fontId="10" fillId="0" borderId="0" xfId="0" applyFont="1" applyAlignment="1">
      <alignment horizontal="right"/>
    </xf>
    <xf numFmtId="0" fontId="12" fillId="0" borderId="0" xfId="0" applyFont="1" applyAlignment="1">
      <alignment horizontal="left" vertical="top"/>
    </xf>
    <xf numFmtId="2" fontId="0" fillId="0" borderId="0" xfId="0" applyNumberFormat="1"/>
    <xf numFmtId="2" fontId="11" fillId="0" borderId="0" xfId="0" applyNumberFormat="1" applyFont="1"/>
    <xf numFmtId="2" fontId="3" fillId="0" borderId="0" xfId="0" applyNumberFormat="1" applyFont="1" applyAlignment="1">
      <alignment horizontal="center"/>
    </xf>
    <xf numFmtId="2" fontId="13" fillId="0" borderId="0" xfId="0" applyNumberFormat="1" applyFont="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83"/>
  <sheetViews>
    <sheetView workbookViewId="0">
      <pane xSplit="1" ySplit="1" topLeftCell="B2" activePane="bottomRight" state="frozen"/>
      <selection pane="topRight" activeCell="B1" sqref="B1"/>
      <selection pane="bottomLeft" activeCell="A2" sqref="A2"/>
      <selection pane="bottomRight" activeCell="A14" sqref="A14"/>
    </sheetView>
  </sheetViews>
  <sheetFormatPr baseColWidth="10" defaultColWidth="8.83203125" defaultRowHeight="16" x14ac:dyDescent="0.2"/>
  <cols>
    <col min="1" max="1" width="80" style="5" bestFit="1" customWidth="1"/>
  </cols>
  <sheetData>
    <row r="1" spans="1:4" x14ac:dyDescent="0.2">
      <c r="A1" s="2" t="s">
        <v>415</v>
      </c>
      <c r="B1" s="28" t="s">
        <v>416</v>
      </c>
      <c r="C1" s="29" t="s">
        <v>263</v>
      </c>
      <c r="D1" s="10" t="s">
        <v>417</v>
      </c>
    </row>
    <row r="2" spans="1:4" x14ac:dyDescent="0.2">
      <c r="A2" s="2" t="s">
        <v>265</v>
      </c>
    </row>
    <row r="3" spans="1:4" x14ac:dyDescent="0.2">
      <c r="A3" s="3" t="s">
        <v>266</v>
      </c>
    </row>
    <row r="4" spans="1:4" x14ac:dyDescent="0.2">
      <c r="A4" s="4" t="s">
        <v>267</v>
      </c>
    </row>
    <row r="5" spans="1:4" x14ac:dyDescent="0.2">
      <c r="A5" s="4" t="s">
        <v>268</v>
      </c>
    </row>
    <row r="6" spans="1:4" x14ac:dyDescent="0.2">
      <c r="A6" s="4" t="s">
        <v>269</v>
      </c>
    </row>
    <row r="7" spans="1:4" x14ac:dyDescent="0.2">
      <c r="A7" s="4" t="s">
        <v>270</v>
      </c>
    </row>
    <row r="8" spans="1:4" x14ac:dyDescent="0.2">
      <c r="A8" s="5" t="s">
        <v>271</v>
      </c>
    </row>
    <row r="9" spans="1:4" x14ac:dyDescent="0.2">
      <c r="A9" s="5" t="s">
        <v>272</v>
      </c>
    </row>
    <row r="10" spans="1:4" x14ac:dyDescent="0.2">
      <c r="A10" s="5" t="s">
        <v>273</v>
      </c>
    </row>
    <row r="11" spans="1:4" x14ac:dyDescent="0.2">
      <c r="A11" s="5" t="s">
        <v>274</v>
      </c>
    </row>
    <row r="12" spans="1:4" x14ac:dyDescent="0.2">
      <c r="A12" s="5" t="s">
        <v>275</v>
      </c>
    </row>
    <row r="13" spans="1:4" x14ac:dyDescent="0.2">
      <c r="A13" s="5" t="s">
        <v>276</v>
      </c>
    </row>
    <row r="14" spans="1:4" x14ac:dyDescent="0.2">
      <c r="A14" s="4" t="s">
        <v>277</v>
      </c>
    </row>
    <row r="15" spans="1:4" x14ac:dyDescent="0.2">
      <c r="A15" s="4" t="s">
        <v>278</v>
      </c>
    </row>
    <row r="16" spans="1:4" x14ac:dyDescent="0.2">
      <c r="A16" s="5" t="s">
        <v>279</v>
      </c>
    </row>
    <row r="17" spans="1:1" x14ac:dyDescent="0.2">
      <c r="A17" s="5" t="s">
        <v>280</v>
      </c>
    </row>
    <row r="18" spans="1:1" x14ac:dyDescent="0.2">
      <c r="A18" s="4" t="s">
        <v>281</v>
      </c>
    </row>
    <row r="19" spans="1:1" x14ac:dyDescent="0.2">
      <c r="A19" s="4" t="s">
        <v>282</v>
      </c>
    </row>
    <row r="20" spans="1:1" x14ac:dyDescent="0.2">
      <c r="A20" s="4" t="s">
        <v>283</v>
      </c>
    </row>
    <row r="21" spans="1:1" x14ac:dyDescent="0.2">
      <c r="A21" s="5" t="s">
        <v>284</v>
      </c>
    </row>
    <row r="22" spans="1:1" x14ac:dyDescent="0.2">
      <c r="A22" s="5" t="s">
        <v>285</v>
      </c>
    </row>
    <row r="23" spans="1:1" x14ac:dyDescent="0.2">
      <c r="A23" s="6" t="s">
        <v>286</v>
      </c>
    </row>
    <row r="24" spans="1:1" x14ac:dyDescent="0.2">
      <c r="A24" s="7" t="s">
        <v>287</v>
      </c>
    </row>
    <row r="25" spans="1:1" x14ac:dyDescent="0.2">
      <c r="A25" s="8" t="s">
        <v>288</v>
      </c>
    </row>
    <row r="26" spans="1:1" x14ac:dyDescent="0.2">
      <c r="A26" s="8" t="s">
        <v>289</v>
      </c>
    </row>
    <row r="27" spans="1:1" x14ac:dyDescent="0.2">
      <c r="A27" s="4"/>
    </row>
    <row r="28" spans="1:1" x14ac:dyDescent="0.2">
      <c r="A28" s="4"/>
    </row>
    <row r="29" spans="1:1" x14ac:dyDescent="0.2">
      <c r="A29" s="3" t="s">
        <v>290</v>
      </c>
    </row>
    <row r="30" spans="1:1" x14ac:dyDescent="0.2">
      <c r="A30" s="4" t="s">
        <v>291</v>
      </c>
    </row>
    <row r="31" spans="1:1" x14ac:dyDescent="0.2">
      <c r="A31" s="4" t="s">
        <v>292</v>
      </c>
    </row>
    <row r="32" spans="1:1" x14ac:dyDescent="0.2">
      <c r="A32" s="4" t="s">
        <v>293</v>
      </c>
    </row>
    <row r="33" spans="1:1" x14ac:dyDescent="0.2">
      <c r="A33" s="4" t="s">
        <v>294</v>
      </c>
    </row>
    <row r="34" spans="1:1" x14ac:dyDescent="0.2">
      <c r="A34" s="4" t="s">
        <v>295</v>
      </c>
    </row>
    <row r="35" spans="1:1" x14ac:dyDescent="0.2">
      <c r="A35" s="4" t="s">
        <v>296</v>
      </c>
    </row>
    <row r="36" spans="1:1" x14ac:dyDescent="0.2">
      <c r="A36" s="4" t="s">
        <v>297</v>
      </c>
    </row>
    <row r="37" spans="1:1" x14ac:dyDescent="0.2">
      <c r="A37" s="4" t="s">
        <v>298</v>
      </c>
    </row>
    <row r="38" spans="1:1" x14ac:dyDescent="0.2">
      <c r="A38" s="4" t="s">
        <v>299</v>
      </c>
    </row>
    <row r="39" spans="1:1" x14ac:dyDescent="0.2">
      <c r="A39" s="4" t="s">
        <v>300</v>
      </c>
    </row>
    <row r="40" spans="1:1" x14ac:dyDescent="0.2">
      <c r="A40" s="4" t="s">
        <v>301</v>
      </c>
    </row>
    <row r="41" spans="1:1" x14ac:dyDescent="0.2">
      <c r="A41" s="4" t="s">
        <v>302</v>
      </c>
    </row>
    <row r="42" spans="1:1" x14ac:dyDescent="0.2">
      <c r="A42" s="4" t="s">
        <v>303</v>
      </c>
    </row>
    <row r="43" spans="1:1" x14ac:dyDescent="0.2">
      <c r="A43" s="9" t="s">
        <v>304</v>
      </c>
    </row>
    <row r="44" spans="1:1" x14ac:dyDescent="0.2">
      <c r="A44" s="7" t="s">
        <v>305</v>
      </c>
    </row>
    <row r="45" spans="1:1" x14ac:dyDescent="0.2">
      <c r="A45" s="7" t="s">
        <v>306</v>
      </c>
    </row>
    <row r="46" spans="1:1" x14ac:dyDescent="0.2">
      <c r="A46" s="7" t="s">
        <v>307</v>
      </c>
    </row>
    <row r="47" spans="1:1" x14ac:dyDescent="0.2">
      <c r="A47" s="7" t="s">
        <v>308</v>
      </c>
    </row>
    <row r="48" spans="1:1" x14ac:dyDescent="0.2">
      <c r="A48" s="10"/>
    </row>
    <row r="49" spans="1:1" x14ac:dyDescent="0.2">
      <c r="A49" s="11" t="s">
        <v>309</v>
      </c>
    </row>
    <row r="50" spans="1:1" x14ac:dyDescent="0.2">
      <c r="A50" s="11" t="s">
        <v>310</v>
      </c>
    </row>
    <row r="51" spans="1:1" x14ac:dyDescent="0.2">
      <c r="A51" s="4"/>
    </row>
    <row r="52" spans="1:1" x14ac:dyDescent="0.2">
      <c r="A52" s="11" t="s">
        <v>311</v>
      </c>
    </row>
    <row r="53" spans="1:1" x14ac:dyDescent="0.2">
      <c r="A53" s="11" t="s">
        <v>312</v>
      </c>
    </row>
    <row r="54" spans="1:1" x14ac:dyDescent="0.2">
      <c r="A54" s="12" t="s">
        <v>313</v>
      </c>
    </row>
    <row r="55" spans="1:1" x14ac:dyDescent="0.2">
      <c r="A55" s="13" t="s">
        <v>314</v>
      </c>
    </row>
    <row r="56" spans="1:1" x14ac:dyDescent="0.2">
      <c r="A56" s="4"/>
    </row>
    <row r="57" spans="1:1" x14ac:dyDescent="0.2">
      <c r="A57" s="11" t="s">
        <v>315</v>
      </c>
    </row>
    <row r="58" spans="1:1" x14ac:dyDescent="0.2">
      <c r="A58" s="11" t="s">
        <v>316</v>
      </c>
    </row>
    <row r="59" spans="1:1" x14ac:dyDescent="0.2">
      <c r="A59" s="4"/>
    </row>
    <row r="60" spans="1:1" x14ac:dyDescent="0.2">
      <c r="A60" s="3" t="s">
        <v>317</v>
      </c>
    </row>
    <row r="61" spans="1:1" x14ac:dyDescent="0.2">
      <c r="A61" s="2" t="s">
        <v>318</v>
      </c>
    </row>
    <row r="62" spans="1:1" x14ac:dyDescent="0.2">
      <c r="A62" s="5" t="s">
        <v>319</v>
      </c>
    </row>
    <row r="63" spans="1:1" x14ac:dyDescent="0.2">
      <c r="A63" s="5" t="s">
        <v>320</v>
      </c>
    </row>
    <row r="64" spans="1:1" x14ac:dyDescent="0.2">
      <c r="A64" s="5" t="s">
        <v>321</v>
      </c>
    </row>
    <row r="65" spans="1:1" x14ac:dyDescent="0.2">
      <c r="A65" s="5" t="s">
        <v>322</v>
      </c>
    </row>
    <row r="66" spans="1:1" x14ac:dyDescent="0.2">
      <c r="A66" s="5" t="s">
        <v>323</v>
      </c>
    </row>
    <row r="67" spans="1:1" x14ac:dyDescent="0.2">
      <c r="A67" s="5" t="s">
        <v>324</v>
      </c>
    </row>
    <row r="68" spans="1:1" x14ac:dyDescent="0.2">
      <c r="A68" s="5" t="s">
        <v>325</v>
      </c>
    </row>
    <row r="69" spans="1:1" x14ac:dyDescent="0.2">
      <c r="A69" s="5" t="s">
        <v>326</v>
      </c>
    </row>
    <row r="70" spans="1:1" x14ac:dyDescent="0.2">
      <c r="A70" s="5" t="s">
        <v>327</v>
      </c>
    </row>
    <row r="71" spans="1:1" x14ac:dyDescent="0.2">
      <c r="A71" s="14" t="s">
        <v>328</v>
      </c>
    </row>
    <row r="72" spans="1:1" x14ac:dyDescent="0.2">
      <c r="A72" s="14" t="s">
        <v>329</v>
      </c>
    </row>
    <row r="73" spans="1:1" x14ac:dyDescent="0.2">
      <c r="A73" s="14" t="s">
        <v>330</v>
      </c>
    </row>
    <row r="74" spans="1:1" x14ac:dyDescent="0.2">
      <c r="A74" s="4"/>
    </row>
    <row r="75" spans="1:1" x14ac:dyDescent="0.2">
      <c r="A75" s="3" t="s">
        <v>331</v>
      </c>
    </row>
    <row r="76" spans="1:1" x14ac:dyDescent="0.2">
      <c r="A76" s="2" t="s">
        <v>332</v>
      </c>
    </row>
    <row r="77" spans="1:1" x14ac:dyDescent="0.2">
      <c r="A77" s="4" t="s">
        <v>319</v>
      </c>
    </row>
    <row r="78" spans="1:1" x14ac:dyDescent="0.2">
      <c r="A78" s="4" t="s">
        <v>333</v>
      </c>
    </row>
    <row r="79" spans="1:1" x14ac:dyDescent="0.2">
      <c r="A79" s="4" t="s">
        <v>334</v>
      </c>
    </row>
    <row r="80" spans="1:1" x14ac:dyDescent="0.2">
      <c r="A80" s="4" t="s">
        <v>335</v>
      </c>
    </row>
    <row r="81" spans="1:1" x14ac:dyDescent="0.2">
      <c r="A81" s="4" t="s">
        <v>336</v>
      </c>
    </row>
    <row r="82" spans="1:1" x14ac:dyDescent="0.2">
      <c r="A82" s="14" t="s">
        <v>337</v>
      </c>
    </row>
    <row r="83" spans="1:1" x14ac:dyDescent="0.2">
      <c r="A83" s="14" t="s">
        <v>330</v>
      </c>
    </row>
    <row r="84" spans="1:1" x14ac:dyDescent="0.2">
      <c r="A84" s="4"/>
    </row>
    <row r="85" spans="1:1" x14ac:dyDescent="0.2">
      <c r="A85" s="15" t="s">
        <v>338</v>
      </c>
    </row>
    <row r="86" spans="1:1" x14ac:dyDescent="0.2">
      <c r="A86" s="16" t="s">
        <v>339</v>
      </c>
    </row>
    <row r="87" spans="1:1" ht="17" x14ac:dyDescent="0.2">
      <c r="A87" s="17" t="s">
        <v>340</v>
      </c>
    </row>
    <row r="88" spans="1:1" ht="17" x14ac:dyDescent="0.2">
      <c r="A88" s="17" t="s">
        <v>341</v>
      </c>
    </row>
    <row r="89" spans="1:1" x14ac:dyDescent="0.2">
      <c r="A89" s="4" t="s">
        <v>342</v>
      </c>
    </row>
    <row r="90" spans="1:1" x14ac:dyDescent="0.2">
      <c r="A90" s="4" t="s">
        <v>343</v>
      </c>
    </row>
    <row r="91" spans="1:1" x14ac:dyDescent="0.2">
      <c r="A91" s="4" t="s">
        <v>343</v>
      </c>
    </row>
    <row r="92" spans="1:1" x14ac:dyDescent="0.2">
      <c r="A92" s="4" t="s">
        <v>344</v>
      </c>
    </row>
    <row r="93" spans="1:1" x14ac:dyDescent="0.2">
      <c r="A93" s="4" t="s">
        <v>345</v>
      </c>
    </row>
    <row r="94" spans="1:1" x14ac:dyDescent="0.2">
      <c r="A94" s="4" t="s">
        <v>346</v>
      </c>
    </row>
    <row r="95" spans="1:1" x14ac:dyDescent="0.2">
      <c r="A95" s="4" t="s">
        <v>347</v>
      </c>
    </row>
    <row r="96" spans="1:1" x14ac:dyDescent="0.2">
      <c r="A96" s="4" t="s">
        <v>348</v>
      </c>
    </row>
    <row r="97" spans="1:1" x14ac:dyDescent="0.2">
      <c r="A97" s="4" t="s">
        <v>349</v>
      </c>
    </row>
    <row r="98" spans="1:1" x14ac:dyDescent="0.2">
      <c r="A98" s="4" t="s">
        <v>350</v>
      </c>
    </row>
    <row r="99" spans="1:1" x14ac:dyDescent="0.2">
      <c r="A99" s="4" t="s">
        <v>351</v>
      </c>
    </row>
    <row r="100" spans="1:1" x14ac:dyDescent="0.2">
      <c r="A100" s="4" t="s">
        <v>352</v>
      </c>
    </row>
    <row r="101" spans="1:1" x14ac:dyDescent="0.2">
      <c r="A101" s="4" t="s">
        <v>353</v>
      </c>
    </row>
    <row r="102" spans="1:1" x14ac:dyDescent="0.2">
      <c r="A102" s="4" t="s">
        <v>354</v>
      </c>
    </row>
    <row r="103" spans="1:1" x14ac:dyDescent="0.2">
      <c r="A103" s="4" t="s">
        <v>355</v>
      </c>
    </row>
    <row r="104" spans="1:1" x14ac:dyDescent="0.2">
      <c r="A104" s="4" t="s">
        <v>356</v>
      </c>
    </row>
    <row r="105" spans="1:1" x14ac:dyDescent="0.2">
      <c r="A105" s="4" t="s">
        <v>357</v>
      </c>
    </row>
    <row r="106" spans="1:1" x14ac:dyDescent="0.2">
      <c r="A106" s="4" t="s">
        <v>358</v>
      </c>
    </row>
    <row r="107" spans="1:1" x14ac:dyDescent="0.2">
      <c r="A107" s="4" t="s">
        <v>359</v>
      </c>
    </row>
    <row r="108" spans="1:1" x14ac:dyDescent="0.2">
      <c r="A108" s="4" t="s">
        <v>360</v>
      </c>
    </row>
    <row r="109" spans="1:1" x14ac:dyDescent="0.2">
      <c r="A109" s="4" t="s">
        <v>361</v>
      </c>
    </row>
    <row r="110" spans="1:1" x14ac:dyDescent="0.2">
      <c r="A110" s="4" t="s">
        <v>362</v>
      </c>
    </row>
    <row r="111" spans="1:1" x14ac:dyDescent="0.2">
      <c r="A111" s="4" t="s">
        <v>363</v>
      </c>
    </row>
    <row r="112" spans="1:1" x14ac:dyDescent="0.2">
      <c r="A112" s="4" t="s">
        <v>364</v>
      </c>
    </row>
    <row r="113" spans="1:1" x14ac:dyDescent="0.2">
      <c r="A113" s="14" t="s">
        <v>365</v>
      </c>
    </row>
    <row r="114" spans="1:1" x14ac:dyDescent="0.2">
      <c r="A114" s="14" t="s">
        <v>366</v>
      </c>
    </row>
    <row r="115" spans="1:1" x14ac:dyDescent="0.2">
      <c r="A115" s="14" t="s">
        <v>330</v>
      </c>
    </row>
    <row r="116" spans="1:1" x14ac:dyDescent="0.2">
      <c r="A116" s="4"/>
    </row>
    <row r="117" spans="1:1" x14ac:dyDescent="0.2">
      <c r="A117" s="3" t="s">
        <v>367</v>
      </c>
    </row>
    <row r="118" spans="1:1" ht="17" x14ac:dyDescent="0.2">
      <c r="A118" s="17" t="s">
        <v>368</v>
      </c>
    </row>
    <row r="119" spans="1:1" x14ac:dyDescent="0.2">
      <c r="A119" s="4" t="s">
        <v>369</v>
      </c>
    </row>
    <row r="120" spans="1:1" x14ac:dyDescent="0.2">
      <c r="A120" s="4" t="s">
        <v>370</v>
      </c>
    </row>
    <row r="121" spans="1:1" x14ac:dyDescent="0.2">
      <c r="A121" s="4" t="s">
        <v>371</v>
      </c>
    </row>
    <row r="122" spans="1:1" x14ac:dyDescent="0.2">
      <c r="A122" s="4" t="s">
        <v>372</v>
      </c>
    </row>
    <row r="123" spans="1:1" x14ac:dyDescent="0.2">
      <c r="A123" s="18" t="s">
        <v>337</v>
      </c>
    </row>
    <row r="124" spans="1:1" x14ac:dyDescent="0.2">
      <c r="A124" s="18" t="s">
        <v>330</v>
      </c>
    </row>
    <row r="125" spans="1:1" x14ac:dyDescent="0.2">
      <c r="A125" s="2"/>
    </row>
    <row r="126" spans="1:1" x14ac:dyDescent="0.2">
      <c r="A126" s="3" t="s">
        <v>373</v>
      </c>
    </row>
    <row r="127" spans="1:1" x14ac:dyDescent="0.2">
      <c r="A127" s="4" t="s">
        <v>374</v>
      </c>
    </row>
    <row r="128" spans="1:1" x14ac:dyDescent="0.2">
      <c r="A128" s="4" t="s">
        <v>375</v>
      </c>
    </row>
    <row r="129" spans="1:1" x14ac:dyDescent="0.2">
      <c r="A129" s="4" t="s">
        <v>376</v>
      </c>
    </row>
    <row r="130" spans="1:1" x14ac:dyDescent="0.2">
      <c r="A130" s="4" t="s">
        <v>377</v>
      </c>
    </row>
    <row r="131" spans="1:1" x14ac:dyDescent="0.2">
      <c r="A131" s="4" t="s">
        <v>378</v>
      </c>
    </row>
    <row r="132" spans="1:1" x14ac:dyDescent="0.2">
      <c r="A132" s="4" t="s">
        <v>379</v>
      </c>
    </row>
    <row r="133" spans="1:1" x14ac:dyDescent="0.2">
      <c r="A133" s="19" t="s">
        <v>380</v>
      </c>
    </row>
    <row r="134" spans="1:1" x14ac:dyDescent="0.2">
      <c r="A134" s="20" t="s">
        <v>381</v>
      </c>
    </row>
    <row r="135" spans="1:1" x14ac:dyDescent="0.2">
      <c r="A135" s="20" t="s">
        <v>382</v>
      </c>
    </row>
    <row r="136" spans="1:1" x14ac:dyDescent="0.2">
      <c r="A136" s="20" t="s">
        <v>383</v>
      </c>
    </row>
    <row r="137" spans="1:1" x14ac:dyDescent="0.2">
      <c r="A137" s="20" t="s">
        <v>384</v>
      </c>
    </row>
    <row r="138" spans="1:1" x14ac:dyDescent="0.2">
      <c r="A138" s="21" t="s">
        <v>385</v>
      </c>
    </row>
    <row r="139" spans="1:1" x14ac:dyDescent="0.2">
      <c r="A139" s="20" t="s">
        <v>386</v>
      </c>
    </row>
    <row r="140" spans="1:1" x14ac:dyDescent="0.2">
      <c r="A140" s="20" t="s">
        <v>387</v>
      </c>
    </row>
    <row r="141" spans="1:1" x14ac:dyDescent="0.2">
      <c r="A141" s="20" t="s">
        <v>388</v>
      </c>
    </row>
    <row r="142" spans="1:1" x14ac:dyDescent="0.2">
      <c r="A142" s="20" t="s">
        <v>389</v>
      </c>
    </row>
    <row r="143" spans="1:1" x14ac:dyDescent="0.2">
      <c r="A143" s="21" t="s">
        <v>390</v>
      </c>
    </row>
    <row r="144" spans="1:1" x14ac:dyDescent="0.2">
      <c r="A144" s="4" t="s">
        <v>391</v>
      </c>
    </row>
    <row r="145" spans="1:1" x14ac:dyDescent="0.2">
      <c r="A145" s="4" t="s">
        <v>392</v>
      </c>
    </row>
    <row r="146" spans="1:1" x14ac:dyDescent="0.2">
      <c r="A146" s="4" t="s">
        <v>393</v>
      </c>
    </row>
    <row r="147" spans="1:1" x14ac:dyDescent="0.2">
      <c r="A147" s="14" t="s">
        <v>337</v>
      </c>
    </row>
    <row r="148" spans="1:1" x14ac:dyDescent="0.2">
      <c r="A148" s="14" t="s">
        <v>330</v>
      </c>
    </row>
    <row r="149" spans="1:1" x14ac:dyDescent="0.2">
      <c r="A149" s="4"/>
    </row>
    <row r="150" spans="1:1" x14ac:dyDescent="0.2">
      <c r="A150" s="3" t="s">
        <v>394</v>
      </c>
    </row>
    <row r="151" spans="1:1" ht="17" x14ac:dyDescent="0.2">
      <c r="A151" s="17" t="s">
        <v>395</v>
      </c>
    </row>
    <row r="152" spans="1:1" x14ac:dyDescent="0.2">
      <c r="A152" s="4" t="s">
        <v>396</v>
      </c>
    </row>
    <row r="153" spans="1:1" x14ac:dyDescent="0.2">
      <c r="A153" s="4" t="s">
        <v>397</v>
      </c>
    </row>
    <row r="154" spans="1:1" x14ac:dyDescent="0.2">
      <c r="A154" s="4" t="s">
        <v>398</v>
      </c>
    </row>
    <row r="155" spans="1:1" x14ac:dyDescent="0.2">
      <c r="A155" s="18" t="s">
        <v>337</v>
      </c>
    </row>
    <row r="156" spans="1:1" x14ac:dyDescent="0.2">
      <c r="A156" s="18" t="s">
        <v>330</v>
      </c>
    </row>
    <row r="157" spans="1:1" x14ac:dyDescent="0.2">
      <c r="A157" s="4"/>
    </row>
    <row r="158" spans="1:1" x14ac:dyDescent="0.2">
      <c r="A158" s="3" t="s">
        <v>399</v>
      </c>
    </row>
    <row r="159" spans="1:1" x14ac:dyDescent="0.2">
      <c r="A159" s="4" t="s">
        <v>400</v>
      </c>
    </row>
    <row r="160" spans="1:1" x14ac:dyDescent="0.2">
      <c r="A160" s="4" t="s">
        <v>401</v>
      </c>
    </row>
    <row r="161" spans="1:1" x14ac:dyDescent="0.2">
      <c r="A161" s="4" t="s">
        <v>402</v>
      </c>
    </row>
    <row r="162" spans="1:1" x14ac:dyDescent="0.2">
      <c r="A162" s="14" t="s">
        <v>403</v>
      </c>
    </row>
    <row r="163" spans="1:1" x14ac:dyDescent="0.2">
      <c r="A163" s="14" t="s">
        <v>330</v>
      </c>
    </row>
    <row r="164" spans="1:1" x14ac:dyDescent="0.2">
      <c r="A164" s="4"/>
    </row>
    <row r="165" spans="1:1" x14ac:dyDescent="0.2">
      <c r="A165" s="3" t="s">
        <v>404</v>
      </c>
    </row>
    <row r="166" spans="1:1" x14ac:dyDescent="0.2">
      <c r="A166" s="4" t="s">
        <v>405</v>
      </c>
    </row>
    <row r="167" spans="1:1" x14ac:dyDescent="0.2">
      <c r="A167" s="4" t="s">
        <v>406</v>
      </c>
    </row>
    <row r="168" spans="1:1" x14ac:dyDescent="0.2">
      <c r="A168" s="4" t="s">
        <v>407</v>
      </c>
    </row>
    <row r="169" spans="1:1" x14ac:dyDescent="0.2">
      <c r="A169" s="14" t="s">
        <v>337</v>
      </c>
    </row>
    <row r="170" spans="1:1" x14ac:dyDescent="0.2">
      <c r="A170" s="14" t="s">
        <v>330</v>
      </c>
    </row>
    <row r="171" spans="1:1" x14ac:dyDescent="0.2">
      <c r="A171" s="4"/>
    </row>
    <row r="172" spans="1:1" x14ac:dyDescent="0.2">
      <c r="A172" s="4"/>
    </row>
    <row r="173" spans="1:1" ht="17" thickBot="1" x14ac:dyDescent="0.25"/>
    <row r="174" spans="1:1" ht="17" thickBot="1" x14ac:dyDescent="0.25">
      <c r="A174" s="22"/>
    </row>
    <row r="175" spans="1:1" x14ac:dyDescent="0.2">
      <c r="A175" s="23" t="s">
        <v>408</v>
      </c>
    </row>
    <row r="176" spans="1:1" x14ac:dyDescent="0.2">
      <c r="A176" s="24" t="s">
        <v>409</v>
      </c>
    </row>
    <row r="177" spans="1:1" x14ac:dyDescent="0.2">
      <c r="A177" s="24" t="s">
        <v>410</v>
      </c>
    </row>
    <row r="178" spans="1:1" x14ac:dyDescent="0.2">
      <c r="A178" s="24" t="s">
        <v>411</v>
      </c>
    </row>
    <row r="179" spans="1:1" x14ac:dyDescent="0.2">
      <c r="A179" s="25"/>
    </row>
    <row r="180" spans="1:1" x14ac:dyDescent="0.2">
      <c r="A180" s="26" t="s">
        <v>412</v>
      </c>
    </row>
    <row r="181" spans="1:1" x14ac:dyDescent="0.2">
      <c r="A181" s="24" t="s">
        <v>413</v>
      </c>
    </row>
    <row r="182" spans="1:1" x14ac:dyDescent="0.2">
      <c r="A182" s="25"/>
    </row>
    <row r="183" spans="1:1" ht="17" thickBot="1" x14ac:dyDescent="0.25">
      <c r="A183" s="27" t="s">
        <v>414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4"/>
  <sheetViews>
    <sheetView workbookViewId="0">
      <pane xSplit="1" ySplit="2" topLeftCell="B28" activePane="bottomRight" state="frozen"/>
      <selection pane="topRight" activeCell="B1" sqref="B1"/>
      <selection pane="bottomLeft" activeCell="A3" sqref="A3"/>
      <selection pane="bottomRight" activeCell="B3" sqref="B3"/>
    </sheetView>
  </sheetViews>
  <sheetFormatPr baseColWidth="10" defaultColWidth="8.83203125" defaultRowHeight="15" x14ac:dyDescent="0.2"/>
  <cols>
    <col min="1" max="1" width="28.83203125" bestFit="1" customWidth="1"/>
    <col min="6" max="6" width="8.83203125" style="35"/>
    <col min="7" max="7" width="8.83203125" style="36"/>
  </cols>
  <sheetData>
    <row r="1" spans="1:8" ht="16" x14ac:dyDescent="0.2">
      <c r="A1" s="30" t="s">
        <v>418</v>
      </c>
    </row>
    <row r="2" spans="1:8" ht="16" x14ac:dyDescent="0.2">
      <c r="A2" s="31" t="s">
        <v>0</v>
      </c>
      <c r="B2" s="32" t="s">
        <v>420</v>
      </c>
      <c r="C2" s="33" t="s">
        <v>421</v>
      </c>
      <c r="D2" s="33" t="s">
        <v>422</v>
      </c>
      <c r="E2" s="33"/>
      <c r="F2" s="37" t="s">
        <v>416</v>
      </c>
      <c r="G2" s="38" t="s">
        <v>263</v>
      </c>
      <c r="H2" s="34" t="s">
        <v>423</v>
      </c>
    </row>
    <row r="3" spans="1:8" x14ac:dyDescent="0.2">
      <c r="A3" t="s">
        <v>30</v>
      </c>
      <c r="B3">
        <v>7</v>
      </c>
      <c r="C3">
        <v>7</v>
      </c>
      <c r="D3">
        <v>0</v>
      </c>
      <c r="F3" s="35">
        <v>7.35</v>
      </c>
      <c r="H3" t="s">
        <v>31</v>
      </c>
    </row>
    <row r="4" spans="1:8" x14ac:dyDescent="0.2">
      <c r="A4" t="s">
        <v>30</v>
      </c>
      <c r="B4">
        <v>0</v>
      </c>
      <c r="C4">
        <v>0</v>
      </c>
      <c r="D4">
        <v>0</v>
      </c>
      <c r="F4" s="35">
        <v>0</v>
      </c>
      <c r="H4" t="s">
        <v>32</v>
      </c>
    </row>
    <row r="5" spans="1:8" x14ac:dyDescent="0.2">
      <c r="A5" t="s">
        <v>30</v>
      </c>
      <c r="B5">
        <v>0</v>
      </c>
      <c r="C5">
        <v>0</v>
      </c>
      <c r="D5">
        <v>0</v>
      </c>
      <c r="F5" s="35">
        <v>0</v>
      </c>
      <c r="H5" t="s">
        <v>33</v>
      </c>
    </row>
    <row r="6" spans="1:8" x14ac:dyDescent="0.2">
      <c r="A6" t="s">
        <v>30</v>
      </c>
      <c r="F6" s="35">
        <v>7.35</v>
      </c>
      <c r="G6" s="36">
        <v>7.35</v>
      </c>
      <c r="H6" t="s">
        <v>264</v>
      </c>
    </row>
    <row r="8" spans="1:8" x14ac:dyDescent="0.2">
      <c r="A8" t="s">
        <v>34</v>
      </c>
      <c r="B8">
        <v>8</v>
      </c>
      <c r="C8">
        <v>0</v>
      </c>
      <c r="D8">
        <v>11</v>
      </c>
      <c r="F8" s="35">
        <v>8.0500000000000007</v>
      </c>
      <c r="H8" t="s">
        <v>35</v>
      </c>
    </row>
    <row r="9" spans="1:8" x14ac:dyDescent="0.2">
      <c r="A9" t="s">
        <v>34</v>
      </c>
      <c r="B9">
        <v>0</v>
      </c>
      <c r="C9">
        <v>3</v>
      </c>
      <c r="D9">
        <v>0</v>
      </c>
      <c r="F9" s="35">
        <v>0.15</v>
      </c>
      <c r="H9" t="s">
        <v>36</v>
      </c>
    </row>
    <row r="10" spans="1:8" x14ac:dyDescent="0.2">
      <c r="A10" t="s">
        <v>34</v>
      </c>
      <c r="B10">
        <v>0</v>
      </c>
      <c r="C10">
        <v>7</v>
      </c>
      <c r="D10">
        <v>10</v>
      </c>
      <c r="F10" s="35">
        <v>0.39</v>
      </c>
      <c r="H10" t="s">
        <v>37</v>
      </c>
    </row>
    <row r="11" spans="1:8" x14ac:dyDescent="0.2">
      <c r="A11" t="s">
        <v>34</v>
      </c>
      <c r="B11">
        <v>0</v>
      </c>
      <c r="C11">
        <v>0</v>
      </c>
      <c r="D11">
        <v>6</v>
      </c>
      <c r="F11" s="35">
        <v>0.03</v>
      </c>
      <c r="H11" t="s">
        <v>38</v>
      </c>
    </row>
    <row r="12" spans="1:8" x14ac:dyDescent="0.2">
      <c r="A12" t="s">
        <v>34</v>
      </c>
      <c r="B12">
        <v>3</v>
      </c>
      <c r="C12">
        <v>12</v>
      </c>
      <c r="D12">
        <v>6</v>
      </c>
      <c r="F12" s="35">
        <v>3.62</v>
      </c>
      <c r="H12" t="s">
        <v>39</v>
      </c>
    </row>
    <row r="13" spans="1:8" x14ac:dyDescent="0.2">
      <c r="A13" t="s">
        <v>34</v>
      </c>
      <c r="B13">
        <v>0</v>
      </c>
      <c r="C13">
        <v>2</v>
      </c>
      <c r="D13">
        <v>0</v>
      </c>
      <c r="F13" s="35">
        <v>0.1</v>
      </c>
      <c r="H13" t="s">
        <v>40</v>
      </c>
    </row>
    <row r="14" spans="1:8" x14ac:dyDescent="0.2">
      <c r="A14" t="s">
        <v>34</v>
      </c>
      <c r="B14">
        <v>0</v>
      </c>
      <c r="C14">
        <v>13</v>
      </c>
      <c r="D14">
        <v>2</v>
      </c>
      <c r="F14" s="35">
        <v>0.66</v>
      </c>
      <c r="H14" t="s">
        <v>41</v>
      </c>
    </row>
    <row r="15" spans="1:8" x14ac:dyDescent="0.2">
      <c r="A15" t="s">
        <v>34</v>
      </c>
      <c r="B15">
        <v>1</v>
      </c>
      <c r="C15">
        <v>9</v>
      </c>
      <c r="D15">
        <v>6</v>
      </c>
      <c r="F15" s="35">
        <v>1.47</v>
      </c>
      <c r="H15" t="s">
        <v>42</v>
      </c>
    </row>
    <row r="16" spans="1:8" x14ac:dyDescent="0.2">
      <c r="A16" t="s">
        <v>34</v>
      </c>
      <c r="B16">
        <v>1</v>
      </c>
      <c r="C16">
        <v>0</v>
      </c>
      <c r="D16">
        <v>8</v>
      </c>
      <c r="F16" s="35">
        <v>1.03</v>
      </c>
      <c r="H16" t="s">
        <v>43</v>
      </c>
    </row>
    <row r="17" spans="1:8" x14ac:dyDescent="0.2">
      <c r="A17" t="s">
        <v>34</v>
      </c>
      <c r="B17">
        <v>0</v>
      </c>
      <c r="C17">
        <v>0</v>
      </c>
      <c r="D17">
        <v>6</v>
      </c>
      <c r="F17" s="35">
        <f>B17+C17/20+D17/240</f>
        <v>2.5000000000000001E-2</v>
      </c>
      <c r="H17" t="s">
        <v>44</v>
      </c>
    </row>
    <row r="18" spans="1:8" x14ac:dyDescent="0.2">
      <c r="A18" t="s">
        <v>34</v>
      </c>
      <c r="B18">
        <v>0</v>
      </c>
      <c r="C18">
        <v>0</v>
      </c>
      <c r="D18">
        <v>3</v>
      </c>
      <c r="F18" s="35">
        <v>0.01</v>
      </c>
      <c r="H18" t="s">
        <v>45</v>
      </c>
    </row>
    <row r="19" spans="1:8" x14ac:dyDescent="0.2">
      <c r="A19" t="s">
        <v>34</v>
      </c>
      <c r="B19">
        <v>0</v>
      </c>
      <c r="C19">
        <v>0</v>
      </c>
      <c r="D19">
        <v>6</v>
      </c>
      <c r="F19" s="35">
        <v>0.03</v>
      </c>
      <c r="H19" t="s">
        <v>46</v>
      </c>
    </row>
    <row r="20" spans="1:8" x14ac:dyDescent="0.2">
      <c r="A20" t="s">
        <v>34</v>
      </c>
      <c r="B20">
        <v>1</v>
      </c>
      <c r="C20">
        <v>11</v>
      </c>
      <c r="D20">
        <v>6</v>
      </c>
      <c r="F20" s="35">
        <v>1.57</v>
      </c>
      <c r="H20" t="s">
        <v>47</v>
      </c>
    </row>
    <row r="21" spans="1:8" x14ac:dyDescent="0.2">
      <c r="A21" t="s">
        <v>34</v>
      </c>
      <c r="B21">
        <v>0</v>
      </c>
      <c r="C21">
        <v>5</v>
      </c>
      <c r="D21">
        <v>11</v>
      </c>
      <c r="F21" s="35">
        <v>0.3</v>
      </c>
      <c r="H21" t="s">
        <v>48</v>
      </c>
    </row>
    <row r="22" spans="1:8" x14ac:dyDescent="0.2">
      <c r="A22" t="s">
        <v>34</v>
      </c>
      <c r="B22">
        <v>0</v>
      </c>
      <c r="C22">
        <v>13</v>
      </c>
      <c r="D22">
        <v>3</v>
      </c>
      <c r="F22" s="35">
        <v>0.66</v>
      </c>
      <c r="H22" t="s">
        <v>49</v>
      </c>
    </row>
    <row r="23" spans="1:8" x14ac:dyDescent="0.2">
      <c r="A23" t="s">
        <v>34</v>
      </c>
      <c r="B23">
        <v>1</v>
      </c>
      <c r="C23">
        <v>9</v>
      </c>
      <c r="D23">
        <v>0.5</v>
      </c>
      <c r="F23" s="35">
        <f>B23+C23/20+D23/240</f>
        <v>1.4520833333333334</v>
      </c>
      <c r="H23" t="s">
        <v>50</v>
      </c>
    </row>
    <row r="24" spans="1:8" x14ac:dyDescent="0.2">
      <c r="A24" t="s">
        <v>34</v>
      </c>
      <c r="B24">
        <v>0</v>
      </c>
      <c r="C24">
        <v>0</v>
      </c>
      <c r="D24">
        <v>5</v>
      </c>
      <c r="F24" s="35">
        <f t="shared" ref="F24:F25" si="0">B24+C24/20+D24/240</f>
        <v>2.0833333333333332E-2</v>
      </c>
      <c r="H24" t="s">
        <v>51</v>
      </c>
    </row>
    <row r="25" spans="1:8" x14ac:dyDescent="0.2">
      <c r="A25" t="s">
        <v>34</v>
      </c>
      <c r="B25">
        <v>0</v>
      </c>
      <c r="C25">
        <v>0</v>
      </c>
      <c r="D25">
        <v>4</v>
      </c>
      <c r="F25" s="35">
        <f t="shared" si="0"/>
        <v>1.6666666666666666E-2</v>
      </c>
      <c r="H25" t="s">
        <v>52</v>
      </c>
    </row>
    <row r="26" spans="1:8" x14ac:dyDescent="0.2">
      <c r="A26" t="s">
        <v>34</v>
      </c>
      <c r="B26">
        <v>1</v>
      </c>
      <c r="C26">
        <v>7</v>
      </c>
      <c r="D26">
        <v>6</v>
      </c>
      <c r="F26" s="35">
        <v>1.38</v>
      </c>
      <c r="H26" t="s">
        <v>53</v>
      </c>
    </row>
    <row r="27" spans="1:8" x14ac:dyDescent="0.2">
      <c r="A27" t="s">
        <v>34</v>
      </c>
      <c r="B27">
        <v>0</v>
      </c>
      <c r="C27">
        <v>15</v>
      </c>
      <c r="D27">
        <v>6</v>
      </c>
      <c r="F27" s="35">
        <v>0.78</v>
      </c>
      <c r="H27" t="s">
        <v>54</v>
      </c>
    </row>
    <row r="28" spans="1:8" x14ac:dyDescent="0.2">
      <c r="A28" t="s">
        <v>34</v>
      </c>
      <c r="B28">
        <v>1</v>
      </c>
      <c r="C28">
        <v>0</v>
      </c>
      <c r="D28">
        <v>2.5</v>
      </c>
      <c r="F28" s="35">
        <v>1.01</v>
      </c>
      <c r="H28" t="s">
        <v>55</v>
      </c>
    </row>
    <row r="29" spans="1:8" x14ac:dyDescent="0.2">
      <c r="A29" t="s">
        <v>34</v>
      </c>
      <c r="B29">
        <v>0</v>
      </c>
      <c r="C29">
        <v>7</v>
      </c>
      <c r="D29">
        <v>9</v>
      </c>
      <c r="F29" s="35">
        <v>0.39</v>
      </c>
      <c r="H29" t="s">
        <v>56</v>
      </c>
    </row>
    <row r="30" spans="1:8" x14ac:dyDescent="0.2">
      <c r="A30" t="s">
        <v>34</v>
      </c>
      <c r="B30">
        <v>0</v>
      </c>
      <c r="C30">
        <v>5</v>
      </c>
      <c r="D30">
        <v>0</v>
      </c>
      <c r="F30" s="35">
        <v>0.25</v>
      </c>
      <c r="H30" t="s">
        <v>57</v>
      </c>
    </row>
    <row r="31" spans="1:8" x14ac:dyDescent="0.2">
      <c r="A31" t="s">
        <v>34</v>
      </c>
      <c r="B31">
        <v>2</v>
      </c>
      <c r="C31">
        <v>0</v>
      </c>
      <c r="D31">
        <v>4</v>
      </c>
      <c r="F31" s="35">
        <v>2.02</v>
      </c>
      <c r="H31" t="s">
        <v>58</v>
      </c>
    </row>
    <row r="32" spans="1:8" x14ac:dyDescent="0.2">
      <c r="A32" t="s">
        <v>34</v>
      </c>
      <c r="B32">
        <v>0</v>
      </c>
      <c r="C32">
        <v>1</v>
      </c>
      <c r="D32">
        <v>4</v>
      </c>
      <c r="F32" s="35">
        <v>7.0000000000000007E-2</v>
      </c>
      <c r="H32" t="s">
        <v>59</v>
      </c>
    </row>
    <row r="33" spans="1:8" x14ac:dyDescent="0.2">
      <c r="A33" t="s">
        <v>34</v>
      </c>
      <c r="B33">
        <v>1</v>
      </c>
      <c r="C33">
        <v>10</v>
      </c>
      <c r="D33">
        <v>4</v>
      </c>
      <c r="F33" s="35">
        <v>1.52</v>
      </c>
      <c r="H33" t="s">
        <v>60</v>
      </c>
    </row>
    <row r="34" spans="1:8" x14ac:dyDescent="0.2">
      <c r="A34" t="s">
        <v>34</v>
      </c>
      <c r="B34">
        <v>1</v>
      </c>
      <c r="C34">
        <v>19</v>
      </c>
      <c r="D34">
        <v>0.5</v>
      </c>
      <c r="F34" s="35">
        <v>1.95</v>
      </c>
      <c r="H34" t="s">
        <v>61</v>
      </c>
    </row>
    <row r="35" spans="1:8" x14ac:dyDescent="0.2">
      <c r="A35" t="s">
        <v>34</v>
      </c>
      <c r="B35">
        <v>0</v>
      </c>
      <c r="C35">
        <v>0</v>
      </c>
      <c r="D35">
        <v>3</v>
      </c>
      <c r="F35" s="35">
        <f>B35+C35/20+D35/240</f>
        <v>1.2500000000000001E-2</v>
      </c>
      <c r="H35" t="s">
        <v>62</v>
      </c>
    </row>
    <row r="36" spans="1:8" x14ac:dyDescent="0.2">
      <c r="A36" t="s">
        <v>34</v>
      </c>
      <c r="B36">
        <v>0</v>
      </c>
      <c r="C36">
        <v>0</v>
      </c>
      <c r="D36">
        <v>4</v>
      </c>
      <c r="F36" s="35">
        <v>0.02</v>
      </c>
      <c r="H36" t="s">
        <v>63</v>
      </c>
    </row>
    <row r="37" spans="1:8" x14ac:dyDescent="0.2">
      <c r="A37" t="s">
        <v>34</v>
      </c>
      <c r="B37">
        <v>0</v>
      </c>
      <c r="C37">
        <v>0</v>
      </c>
      <c r="D37">
        <v>1</v>
      </c>
      <c r="F37" s="35">
        <v>0</v>
      </c>
      <c r="H37" t="s">
        <v>64</v>
      </c>
    </row>
    <row r="38" spans="1:8" x14ac:dyDescent="0.2">
      <c r="A38" t="s">
        <v>34</v>
      </c>
      <c r="B38">
        <v>0</v>
      </c>
      <c r="C38">
        <v>0</v>
      </c>
      <c r="D38">
        <v>2</v>
      </c>
      <c r="F38" s="35">
        <v>0.01</v>
      </c>
      <c r="H38" t="s">
        <v>65</v>
      </c>
    </row>
    <row r="39" spans="1:8" x14ac:dyDescent="0.2">
      <c r="A39" t="s">
        <v>34</v>
      </c>
      <c r="B39">
        <v>0</v>
      </c>
      <c r="C39">
        <v>0</v>
      </c>
      <c r="D39">
        <v>1</v>
      </c>
      <c r="F39" s="35">
        <v>0</v>
      </c>
      <c r="H39" t="s">
        <v>66</v>
      </c>
    </row>
    <row r="40" spans="1:8" x14ac:dyDescent="0.2">
      <c r="A40" t="s">
        <v>34</v>
      </c>
      <c r="B40">
        <v>28</v>
      </c>
      <c r="C40">
        <v>19</v>
      </c>
      <c r="D40">
        <v>8.5</v>
      </c>
      <c r="F40" s="35">
        <v>28.99</v>
      </c>
      <c r="H40" t="s">
        <v>67</v>
      </c>
    </row>
    <row r="41" spans="1:8" x14ac:dyDescent="0.2">
      <c r="A41" t="s">
        <v>34</v>
      </c>
      <c r="F41" s="35">
        <f>SUM(F8:F39)</f>
        <v>28.997083333333336</v>
      </c>
      <c r="G41" s="36">
        <f>F41-F40</f>
        <v>7.0833333333375492E-3</v>
      </c>
      <c r="H41" t="s">
        <v>264</v>
      </c>
    </row>
    <row r="44" spans="1:8" x14ac:dyDescent="0.2">
      <c r="A44" t="s">
        <v>230</v>
      </c>
      <c r="B44">
        <v>26</v>
      </c>
      <c r="C44">
        <v>17</v>
      </c>
      <c r="D44">
        <v>1.25</v>
      </c>
      <c r="F44" s="35">
        <v>26.86</v>
      </c>
      <c r="H44" t="s">
        <v>231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
  <sheetViews>
    <sheetView workbookViewId="0">
      <pane xSplit="1" ySplit="2" topLeftCell="B3" activePane="bottomRight" state="frozen"/>
      <selection pane="topRight" activeCell="B1" sqref="B1"/>
      <selection pane="bottomLeft" activeCell="A3" sqref="A3"/>
      <selection pane="bottomRight" activeCell="D12" sqref="D12"/>
    </sheetView>
  </sheetViews>
  <sheetFormatPr baseColWidth="10" defaultColWidth="8.83203125" defaultRowHeight="15" x14ac:dyDescent="0.2"/>
  <cols>
    <col min="1" max="1" width="29.6640625" bestFit="1" customWidth="1"/>
    <col min="6" max="6" width="8.83203125" style="35"/>
    <col min="7" max="7" width="8.83203125" style="36"/>
  </cols>
  <sheetData>
    <row r="1" spans="1:8" ht="16" x14ac:dyDescent="0.2">
      <c r="A1" s="30" t="s">
        <v>419</v>
      </c>
    </row>
    <row r="2" spans="1:8" ht="16" x14ac:dyDescent="0.2">
      <c r="A2" s="31" t="s">
        <v>0</v>
      </c>
      <c r="B2" s="32" t="s">
        <v>420</v>
      </c>
      <c r="C2" s="33" t="s">
        <v>421</v>
      </c>
      <c r="D2" s="33" t="s">
        <v>422</v>
      </c>
      <c r="E2" s="33"/>
      <c r="F2" s="37" t="s">
        <v>416</v>
      </c>
      <c r="G2" s="38" t="s">
        <v>263</v>
      </c>
      <c r="H2" s="34" t="s">
        <v>423</v>
      </c>
    </row>
    <row r="3" spans="1:8" x14ac:dyDescent="0.2">
      <c r="A3" t="s">
        <v>232</v>
      </c>
      <c r="B3">
        <v>0</v>
      </c>
      <c r="C3">
        <v>3</v>
      </c>
      <c r="D3">
        <v>0</v>
      </c>
      <c r="F3" s="35">
        <v>0.15</v>
      </c>
      <c r="H3" t="s">
        <v>233</v>
      </c>
    </row>
    <row r="4" spans="1:8" x14ac:dyDescent="0.2">
      <c r="A4" t="s">
        <v>232</v>
      </c>
      <c r="B4">
        <v>3</v>
      </c>
      <c r="C4">
        <v>0</v>
      </c>
      <c r="D4">
        <v>10</v>
      </c>
      <c r="F4" s="35">
        <v>3.04</v>
      </c>
      <c r="H4" t="s">
        <v>234</v>
      </c>
    </row>
    <row r="5" spans="1:8" x14ac:dyDescent="0.2">
      <c r="A5" t="s">
        <v>232</v>
      </c>
      <c r="B5">
        <v>0</v>
      </c>
      <c r="C5">
        <v>10</v>
      </c>
      <c r="D5">
        <v>0</v>
      </c>
      <c r="F5" s="35">
        <v>0.5</v>
      </c>
      <c r="H5" t="s">
        <v>235</v>
      </c>
    </row>
    <row r="6" spans="1:8" x14ac:dyDescent="0.2">
      <c r="A6" t="s">
        <v>232</v>
      </c>
      <c r="B6">
        <v>0</v>
      </c>
      <c r="C6">
        <v>0</v>
      </c>
      <c r="D6">
        <v>4</v>
      </c>
      <c r="F6" s="35">
        <v>0.02</v>
      </c>
      <c r="H6" t="s">
        <v>236</v>
      </c>
    </row>
    <row r="7" spans="1:8" x14ac:dyDescent="0.2">
      <c r="A7" t="s">
        <v>232</v>
      </c>
      <c r="B7">
        <v>0</v>
      </c>
      <c r="C7">
        <v>5</v>
      </c>
      <c r="D7">
        <v>0</v>
      </c>
      <c r="F7" s="35">
        <v>0.25</v>
      </c>
      <c r="H7" t="s">
        <v>237</v>
      </c>
    </row>
    <row r="8" spans="1:8" x14ac:dyDescent="0.2">
      <c r="A8" t="s">
        <v>232</v>
      </c>
      <c r="B8">
        <v>0</v>
      </c>
      <c r="C8">
        <v>0</v>
      </c>
      <c r="D8">
        <v>4</v>
      </c>
      <c r="F8" s="35">
        <f>B8+C8/20+D8/240</f>
        <v>1.6666666666666666E-2</v>
      </c>
      <c r="H8" t="s">
        <v>424</v>
      </c>
    </row>
    <row r="9" spans="1:8" x14ac:dyDescent="0.2">
      <c r="A9" t="s">
        <v>232</v>
      </c>
      <c r="B9">
        <v>3</v>
      </c>
      <c r="C9">
        <v>19</v>
      </c>
      <c r="D9">
        <v>6</v>
      </c>
      <c r="F9" s="35">
        <v>3.98</v>
      </c>
      <c r="H9" t="s">
        <v>425</v>
      </c>
    </row>
    <row r="10" spans="1:8" x14ac:dyDescent="0.2">
      <c r="A10" t="s">
        <v>232</v>
      </c>
      <c r="F10" s="35">
        <v>7.94</v>
      </c>
      <c r="G10" s="36">
        <v>3.96</v>
      </c>
      <c r="H10" t="s">
        <v>264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activeCell="A2" sqref="A2"/>
    </sheetView>
  </sheetViews>
  <sheetFormatPr baseColWidth="10" defaultColWidth="8.83203125" defaultRowHeight="15" x14ac:dyDescent="0.2"/>
  <sheetData>
    <row r="1" spans="1:1" x14ac:dyDescent="0.2">
      <c r="A1" t="s">
        <v>426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baseColWidth="10" defaultColWidth="8.83203125" defaultRowHeight="15" x14ac:dyDescent="0.2"/>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abSelected="1" workbookViewId="0"/>
  </sheetViews>
  <sheetFormatPr baseColWidth="10" defaultColWidth="8.83203125" defaultRowHeight="15" x14ac:dyDescent="0.2"/>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10"/>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t="s">
        <v>31</v>
      </c>
      <c r="C2">
        <v>7.35</v>
      </c>
      <c r="D2">
        <v>7</v>
      </c>
      <c r="E2">
        <v>7</v>
      </c>
      <c r="F2">
        <v>0</v>
      </c>
      <c r="H2">
        <v>0</v>
      </c>
      <c r="I2">
        <v>0</v>
      </c>
      <c r="J2">
        <v>0</v>
      </c>
      <c r="K2">
        <v>0</v>
      </c>
      <c r="L2">
        <v>0</v>
      </c>
      <c r="M2">
        <v>0</v>
      </c>
      <c r="N2">
        <v>0</v>
      </c>
    </row>
    <row r="3" spans="1:30" x14ac:dyDescent="0.2">
      <c r="A3" t="s">
        <v>30</v>
      </c>
      <c r="B3" t="s">
        <v>32</v>
      </c>
      <c r="C3">
        <v>0</v>
      </c>
      <c r="D3">
        <v>0</v>
      </c>
      <c r="E3">
        <v>0</v>
      </c>
      <c r="F3">
        <v>0</v>
      </c>
      <c r="H3">
        <v>0</v>
      </c>
      <c r="I3">
        <v>0</v>
      </c>
      <c r="J3">
        <v>0</v>
      </c>
      <c r="K3">
        <v>0</v>
      </c>
      <c r="L3">
        <v>0</v>
      </c>
      <c r="M3">
        <v>0</v>
      </c>
      <c r="N3">
        <v>0</v>
      </c>
    </row>
    <row r="4" spans="1:30" x14ac:dyDescent="0.2">
      <c r="A4" t="s">
        <v>30</v>
      </c>
      <c r="B4" t="s">
        <v>33</v>
      </c>
      <c r="C4">
        <v>0</v>
      </c>
      <c r="D4">
        <v>0</v>
      </c>
      <c r="E4">
        <v>0</v>
      </c>
      <c r="F4">
        <v>0</v>
      </c>
      <c r="H4">
        <v>0</v>
      </c>
      <c r="I4">
        <v>0</v>
      </c>
      <c r="J4">
        <v>0</v>
      </c>
      <c r="K4">
        <v>0</v>
      </c>
      <c r="L4">
        <v>0</v>
      </c>
      <c r="M4">
        <v>0</v>
      </c>
      <c r="N4">
        <v>0</v>
      </c>
    </row>
    <row r="5" spans="1:30" x14ac:dyDescent="0.2">
      <c r="A5" t="s">
        <v>34</v>
      </c>
      <c r="B5" t="s">
        <v>35</v>
      </c>
      <c r="C5">
        <v>8.0500000000000007</v>
      </c>
      <c r="D5">
        <v>8</v>
      </c>
      <c r="E5">
        <v>0</v>
      </c>
      <c r="F5">
        <v>11</v>
      </c>
      <c r="H5">
        <v>0</v>
      </c>
      <c r="I5">
        <v>0</v>
      </c>
      <c r="J5">
        <v>0</v>
      </c>
      <c r="K5">
        <v>0</v>
      </c>
      <c r="L5">
        <v>0</v>
      </c>
      <c r="M5">
        <v>0</v>
      </c>
      <c r="N5">
        <v>0</v>
      </c>
    </row>
    <row r="6" spans="1:30" x14ac:dyDescent="0.2">
      <c r="A6" t="s">
        <v>34</v>
      </c>
      <c r="B6" t="s">
        <v>36</v>
      </c>
      <c r="C6">
        <v>0.15</v>
      </c>
      <c r="D6">
        <v>0</v>
      </c>
      <c r="E6">
        <v>3</v>
      </c>
      <c r="F6">
        <v>0</v>
      </c>
      <c r="H6">
        <v>0</v>
      </c>
      <c r="I6">
        <v>0</v>
      </c>
      <c r="J6">
        <v>0</v>
      </c>
      <c r="K6">
        <v>0</v>
      </c>
      <c r="L6">
        <v>0</v>
      </c>
      <c r="M6">
        <v>0</v>
      </c>
      <c r="N6">
        <v>0</v>
      </c>
    </row>
    <row r="7" spans="1:30" x14ac:dyDescent="0.2">
      <c r="A7" t="s">
        <v>34</v>
      </c>
      <c r="B7" t="s">
        <v>37</v>
      </c>
      <c r="C7">
        <v>0.39</v>
      </c>
      <c r="D7">
        <v>0</v>
      </c>
      <c r="E7">
        <v>7</v>
      </c>
      <c r="F7">
        <v>10</v>
      </c>
      <c r="H7">
        <v>0</v>
      </c>
      <c r="I7">
        <v>0</v>
      </c>
      <c r="J7">
        <v>0</v>
      </c>
      <c r="K7">
        <v>0</v>
      </c>
      <c r="L7">
        <v>0</v>
      </c>
      <c r="M7">
        <v>0</v>
      </c>
      <c r="N7">
        <v>0</v>
      </c>
    </row>
    <row r="8" spans="1:30" x14ac:dyDescent="0.2">
      <c r="A8" t="s">
        <v>34</v>
      </c>
      <c r="B8" t="s">
        <v>38</v>
      </c>
      <c r="C8">
        <v>0.03</v>
      </c>
      <c r="D8">
        <v>0</v>
      </c>
      <c r="E8">
        <v>0</v>
      </c>
      <c r="F8">
        <v>6</v>
      </c>
      <c r="H8">
        <v>0</v>
      </c>
      <c r="I8">
        <v>0</v>
      </c>
      <c r="J8">
        <v>0</v>
      </c>
      <c r="K8">
        <v>0</v>
      </c>
      <c r="L8">
        <v>0</v>
      </c>
      <c r="M8">
        <v>0</v>
      </c>
      <c r="N8">
        <v>0</v>
      </c>
    </row>
    <row r="9" spans="1:30" x14ac:dyDescent="0.2">
      <c r="A9" t="s">
        <v>34</v>
      </c>
      <c r="B9" t="s">
        <v>39</v>
      </c>
      <c r="C9">
        <v>3.62</v>
      </c>
      <c r="D9">
        <v>3</v>
      </c>
      <c r="E9">
        <v>12</v>
      </c>
      <c r="F9">
        <v>6</v>
      </c>
      <c r="H9">
        <v>0</v>
      </c>
      <c r="I9">
        <v>0</v>
      </c>
      <c r="J9">
        <v>0</v>
      </c>
      <c r="K9">
        <v>0</v>
      </c>
      <c r="L9">
        <v>0</v>
      </c>
      <c r="M9">
        <v>0</v>
      </c>
      <c r="N9">
        <v>0</v>
      </c>
    </row>
    <row r="10" spans="1:30" x14ac:dyDescent="0.2">
      <c r="A10" t="s">
        <v>34</v>
      </c>
      <c r="B10" t="s">
        <v>40</v>
      </c>
      <c r="C10">
        <v>0.1</v>
      </c>
      <c r="D10">
        <v>0</v>
      </c>
      <c r="E10">
        <v>2</v>
      </c>
      <c r="F10">
        <v>0</v>
      </c>
      <c r="H10">
        <v>0</v>
      </c>
      <c r="I10">
        <v>0</v>
      </c>
      <c r="J10">
        <v>0</v>
      </c>
      <c r="K10">
        <v>0</v>
      </c>
      <c r="L10">
        <v>0</v>
      </c>
      <c r="M10">
        <v>0</v>
      </c>
      <c r="N10">
        <v>0</v>
      </c>
    </row>
    <row r="11" spans="1:30" x14ac:dyDescent="0.2">
      <c r="A11" t="s">
        <v>34</v>
      </c>
      <c r="B11" t="s">
        <v>41</v>
      </c>
      <c r="C11">
        <v>0.66</v>
      </c>
      <c r="D11">
        <v>0</v>
      </c>
      <c r="E11">
        <v>13</v>
      </c>
      <c r="F11">
        <v>2</v>
      </c>
      <c r="H11">
        <v>0</v>
      </c>
      <c r="I11">
        <v>0</v>
      </c>
      <c r="J11">
        <v>0</v>
      </c>
      <c r="K11">
        <v>0</v>
      </c>
      <c r="L11">
        <v>0</v>
      </c>
      <c r="M11">
        <v>0</v>
      </c>
      <c r="N11">
        <v>0</v>
      </c>
    </row>
    <row r="12" spans="1:30" x14ac:dyDescent="0.2">
      <c r="A12" t="s">
        <v>34</v>
      </c>
      <c r="B12" t="s">
        <v>42</v>
      </c>
      <c r="C12">
        <v>1.47</v>
      </c>
      <c r="D12">
        <v>1</v>
      </c>
      <c r="E12">
        <v>9</v>
      </c>
      <c r="F12">
        <v>6</v>
      </c>
      <c r="H12">
        <v>0</v>
      </c>
      <c r="I12">
        <v>0</v>
      </c>
      <c r="J12">
        <v>0</v>
      </c>
      <c r="K12">
        <v>0</v>
      </c>
      <c r="L12">
        <v>0</v>
      </c>
      <c r="M12">
        <v>0</v>
      </c>
      <c r="N12">
        <v>0</v>
      </c>
    </row>
    <row r="13" spans="1:30" x14ac:dyDescent="0.2">
      <c r="A13" t="s">
        <v>34</v>
      </c>
      <c r="B13" t="s">
        <v>43</v>
      </c>
      <c r="C13">
        <v>1.03</v>
      </c>
      <c r="D13">
        <v>1</v>
      </c>
      <c r="E13">
        <v>0</v>
      </c>
      <c r="F13">
        <v>8</v>
      </c>
      <c r="H13">
        <v>0</v>
      </c>
      <c r="I13">
        <v>0</v>
      </c>
      <c r="J13">
        <v>0</v>
      </c>
      <c r="K13">
        <v>0</v>
      </c>
      <c r="L13">
        <v>0</v>
      </c>
      <c r="M13">
        <v>0</v>
      </c>
      <c r="N13">
        <v>0</v>
      </c>
    </row>
    <row r="14" spans="1:30" x14ac:dyDescent="0.2">
      <c r="A14" t="s">
        <v>34</v>
      </c>
      <c r="B14" t="s">
        <v>44</v>
      </c>
      <c r="C14">
        <v>0.08</v>
      </c>
      <c r="D14">
        <v>0</v>
      </c>
      <c r="E14">
        <v>1</v>
      </c>
      <c r="F14">
        <v>6</v>
      </c>
      <c r="H14">
        <v>0</v>
      </c>
      <c r="I14">
        <v>0</v>
      </c>
      <c r="J14">
        <v>0</v>
      </c>
      <c r="K14">
        <v>0</v>
      </c>
      <c r="L14">
        <v>0</v>
      </c>
      <c r="M14">
        <v>0</v>
      </c>
      <c r="N14">
        <v>0</v>
      </c>
    </row>
    <row r="15" spans="1:30" x14ac:dyDescent="0.2">
      <c r="A15" t="s">
        <v>34</v>
      </c>
      <c r="B15" t="s">
        <v>45</v>
      </c>
      <c r="C15">
        <v>0.01</v>
      </c>
      <c r="D15">
        <v>0</v>
      </c>
      <c r="E15">
        <v>0</v>
      </c>
      <c r="F15">
        <v>3</v>
      </c>
      <c r="H15">
        <v>0</v>
      </c>
      <c r="I15">
        <v>0</v>
      </c>
      <c r="J15">
        <v>0</v>
      </c>
      <c r="K15">
        <v>0</v>
      </c>
      <c r="L15">
        <v>0</v>
      </c>
      <c r="M15">
        <v>0</v>
      </c>
      <c r="N15">
        <v>0</v>
      </c>
    </row>
    <row r="16" spans="1:30" x14ac:dyDescent="0.2">
      <c r="A16" t="s">
        <v>34</v>
      </c>
      <c r="B16" t="s">
        <v>46</v>
      </c>
      <c r="C16">
        <v>0.03</v>
      </c>
      <c r="D16">
        <v>0</v>
      </c>
      <c r="E16">
        <v>0</v>
      </c>
      <c r="F16">
        <v>6</v>
      </c>
      <c r="H16">
        <v>0</v>
      </c>
      <c r="I16">
        <v>0</v>
      </c>
      <c r="J16">
        <v>0</v>
      </c>
      <c r="K16">
        <v>0</v>
      </c>
      <c r="L16">
        <v>0</v>
      </c>
      <c r="M16">
        <v>0</v>
      </c>
      <c r="N16">
        <v>0</v>
      </c>
    </row>
    <row r="17" spans="1:14" x14ac:dyDescent="0.2">
      <c r="A17" t="s">
        <v>34</v>
      </c>
      <c r="B17" t="s">
        <v>47</v>
      </c>
      <c r="C17">
        <v>1.57</v>
      </c>
      <c r="D17">
        <v>1</v>
      </c>
      <c r="E17">
        <v>11</v>
      </c>
      <c r="F17">
        <v>6</v>
      </c>
      <c r="H17">
        <v>0</v>
      </c>
      <c r="I17">
        <v>0</v>
      </c>
      <c r="J17">
        <v>0</v>
      </c>
      <c r="K17">
        <v>0</v>
      </c>
      <c r="L17">
        <v>0</v>
      </c>
      <c r="M17">
        <v>0</v>
      </c>
      <c r="N17">
        <v>0</v>
      </c>
    </row>
    <row r="18" spans="1:14" x14ac:dyDescent="0.2">
      <c r="A18" t="s">
        <v>34</v>
      </c>
      <c r="B18" t="s">
        <v>48</v>
      </c>
      <c r="C18">
        <v>0.3</v>
      </c>
      <c r="D18">
        <v>0</v>
      </c>
      <c r="E18">
        <v>5</v>
      </c>
      <c r="F18">
        <v>11</v>
      </c>
      <c r="H18">
        <v>0</v>
      </c>
      <c r="I18">
        <v>0</v>
      </c>
      <c r="J18">
        <v>0</v>
      </c>
      <c r="K18">
        <v>0</v>
      </c>
      <c r="L18">
        <v>0</v>
      </c>
      <c r="M18">
        <v>0</v>
      </c>
      <c r="N18">
        <v>0</v>
      </c>
    </row>
    <row r="19" spans="1:14" x14ac:dyDescent="0.2">
      <c r="A19" t="s">
        <v>34</v>
      </c>
      <c r="B19" t="s">
        <v>49</v>
      </c>
      <c r="C19">
        <v>0.66</v>
      </c>
      <c r="D19">
        <v>0</v>
      </c>
      <c r="E19">
        <v>13</v>
      </c>
      <c r="F19">
        <v>3</v>
      </c>
      <c r="H19">
        <v>0</v>
      </c>
      <c r="I19">
        <v>0</v>
      </c>
      <c r="J19">
        <v>0</v>
      </c>
      <c r="K19">
        <v>0</v>
      </c>
      <c r="L19">
        <v>0</v>
      </c>
      <c r="M19">
        <v>0</v>
      </c>
      <c r="N19">
        <v>0</v>
      </c>
    </row>
    <row r="20" spans="1:14" x14ac:dyDescent="0.2">
      <c r="A20" t="s">
        <v>34</v>
      </c>
      <c r="B20" t="s">
        <v>50</v>
      </c>
      <c r="C20">
        <v>1.45</v>
      </c>
      <c r="D20">
        <v>1</v>
      </c>
      <c r="E20">
        <v>9</v>
      </c>
      <c r="F20">
        <v>0</v>
      </c>
      <c r="H20">
        <v>0</v>
      </c>
      <c r="I20">
        <v>0</v>
      </c>
      <c r="J20">
        <v>0</v>
      </c>
      <c r="K20">
        <v>0</v>
      </c>
      <c r="L20">
        <v>0</v>
      </c>
      <c r="M20">
        <v>0</v>
      </c>
      <c r="N20">
        <v>0</v>
      </c>
    </row>
    <row r="21" spans="1:14" x14ac:dyDescent="0.2">
      <c r="A21" t="s">
        <v>34</v>
      </c>
      <c r="B21" t="s">
        <v>51</v>
      </c>
      <c r="C21">
        <v>0.02</v>
      </c>
      <c r="D21">
        <v>0</v>
      </c>
      <c r="E21">
        <v>0</v>
      </c>
      <c r="F21">
        <v>5</v>
      </c>
      <c r="H21">
        <v>0</v>
      </c>
      <c r="I21">
        <v>0</v>
      </c>
      <c r="J21">
        <v>0</v>
      </c>
      <c r="K21">
        <v>0</v>
      </c>
      <c r="L21">
        <v>0</v>
      </c>
      <c r="M21">
        <v>0</v>
      </c>
      <c r="N21">
        <v>0</v>
      </c>
    </row>
    <row r="22" spans="1:14" x14ac:dyDescent="0.2">
      <c r="A22" t="s">
        <v>34</v>
      </c>
      <c r="B22" t="s">
        <v>52</v>
      </c>
      <c r="C22">
        <v>0.17</v>
      </c>
      <c r="D22">
        <v>0</v>
      </c>
      <c r="E22">
        <v>3</v>
      </c>
      <c r="F22">
        <v>4</v>
      </c>
      <c r="H22">
        <v>0</v>
      </c>
      <c r="I22">
        <v>0</v>
      </c>
      <c r="J22">
        <v>0</v>
      </c>
      <c r="K22">
        <v>0</v>
      </c>
      <c r="L22">
        <v>0</v>
      </c>
      <c r="M22">
        <v>0</v>
      </c>
      <c r="N22">
        <v>0</v>
      </c>
    </row>
    <row r="23" spans="1:14" x14ac:dyDescent="0.2">
      <c r="A23" t="s">
        <v>34</v>
      </c>
      <c r="B23" t="s">
        <v>53</v>
      </c>
      <c r="C23">
        <v>1.38</v>
      </c>
      <c r="D23">
        <v>1</v>
      </c>
      <c r="E23">
        <v>7</v>
      </c>
      <c r="F23">
        <v>6</v>
      </c>
      <c r="H23">
        <v>0</v>
      </c>
      <c r="I23">
        <v>0</v>
      </c>
      <c r="J23">
        <v>0</v>
      </c>
      <c r="K23">
        <v>0</v>
      </c>
      <c r="L23">
        <v>0</v>
      </c>
      <c r="M23">
        <v>0</v>
      </c>
      <c r="N23">
        <v>0</v>
      </c>
    </row>
    <row r="24" spans="1:14" x14ac:dyDescent="0.2">
      <c r="A24" t="s">
        <v>34</v>
      </c>
      <c r="B24" t="s">
        <v>54</v>
      </c>
      <c r="C24">
        <v>0.78</v>
      </c>
      <c r="D24">
        <v>0</v>
      </c>
      <c r="E24">
        <v>15</v>
      </c>
      <c r="F24">
        <v>6</v>
      </c>
      <c r="H24">
        <v>0</v>
      </c>
      <c r="I24">
        <v>0</v>
      </c>
      <c r="J24">
        <v>0</v>
      </c>
      <c r="K24">
        <v>0</v>
      </c>
      <c r="L24">
        <v>0</v>
      </c>
      <c r="M24">
        <v>0</v>
      </c>
      <c r="N24">
        <v>0</v>
      </c>
    </row>
    <row r="25" spans="1:14" x14ac:dyDescent="0.2">
      <c r="A25" t="s">
        <v>34</v>
      </c>
      <c r="B25" t="s">
        <v>55</v>
      </c>
      <c r="C25">
        <v>1.01</v>
      </c>
      <c r="D25">
        <v>1</v>
      </c>
      <c r="E25">
        <v>0</v>
      </c>
      <c r="F25">
        <v>2.5</v>
      </c>
      <c r="H25">
        <v>0</v>
      </c>
      <c r="I25">
        <v>0</v>
      </c>
      <c r="J25">
        <v>0</v>
      </c>
      <c r="K25">
        <v>0</v>
      </c>
      <c r="L25">
        <v>0</v>
      </c>
      <c r="M25">
        <v>0</v>
      </c>
      <c r="N25">
        <v>0</v>
      </c>
    </row>
    <row r="26" spans="1:14" x14ac:dyDescent="0.2">
      <c r="A26" t="s">
        <v>34</v>
      </c>
      <c r="B26" t="s">
        <v>56</v>
      </c>
      <c r="C26">
        <v>0.39</v>
      </c>
      <c r="D26">
        <v>0</v>
      </c>
      <c r="E26">
        <v>7</v>
      </c>
      <c r="F26">
        <v>9</v>
      </c>
      <c r="H26">
        <v>0</v>
      </c>
      <c r="I26">
        <v>0</v>
      </c>
      <c r="J26">
        <v>0</v>
      </c>
      <c r="K26">
        <v>0</v>
      </c>
      <c r="L26">
        <v>0</v>
      </c>
      <c r="M26">
        <v>0</v>
      </c>
      <c r="N26">
        <v>0</v>
      </c>
    </row>
    <row r="27" spans="1:14" x14ac:dyDescent="0.2">
      <c r="A27" t="s">
        <v>34</v>
      </c>
      <c r="B27" t="s">
        <v>57</v>
      </c>
      <c r="C27">
        <v>0.25</v>
      </c>
      <c r="D27">
        <v>0</v>
      </c>
      <c r="E27">
        <v>5</v>
      </c>
      <c r="F27">
        <v>0</v>
      </c>
      <c r="H27">
        <v>0</v>
      </c>
      <c r="I27">
        <v>0</v>
      </c>
      <c r="J27">
        <v>0</v>
      </c>
      <c r="K27">
        <v>0</v>
      </c>
      <c r="L27">
        <v>0</v>
      </c>
      <c r="M27">
        <v>0</v>
      </c>
      <c r="N27">
        <v>0</v>
      </c>
    </row>
    <row r="28" spans="1:14" x14ac:dyDescent="0.2">
      <c r="A28" t="s">
        <v>34</v>
      </c>
      <c r="B28" t="s">
        <v>58</v>
      </c>
      <c r="C28">
        <v>2.02</v>
      </c>
      <c r="D28">
        <v>2</v>
      </c>
      <c r="E28">
        <v>0</v>
      </c>
      <c r="F28">
        <v>4</v>
      </c>
      <c r="H28">
        <v>0</v>
      </c>
      <c r="I28">
        <v>0</v>
      </c>
      <c r="J28">
        <v>0</v>
      </c>
      <c r="K28">
        <v>0</v>
      </c>
      <c r="L28">
        <v>0</v>
      </c>
      <c r="M28">
        <v>0</v>
      </c>
      <c r="N28">
        <v>0</v>
      </c>
    </row>
    <row r="29" spans="1:14" x14ac:dyDescent="0.2">
      <c r="A29" t="s">
        <v>34</v>
      </c>
      <c r="B29" t="s">
        <v>59</v>
      </c>
      <c r="C29">
        <v>7.0000000000000007E-2</v>
      </c>
      <c r="D29">
        <v>0</v>
      </c>
      <c r="E29">
        <v>1</v>
      </c>
      <c r="F29">
        <v>4</v>
      </c>
      <c r="H29">
        <v>0</v>
      </c>
      <c r="I29">
        <v>0</v>
      </c>
      <c r="J29">
        <v>0</v>
      </c>
      <c r="K29">
        <v>0</v>
      </c>
      <c r="L29">
        <v>0</v>
      </c>
      <c r="M29">
        <v>0</v>
      </c>
      <c r="N29">
        <v>0</v>
      </c>
    </row>
    <row r="30" spans="1:14" x14ac:dyDescent="0.2">
      <c r="A30" t="s">
        <v>34</v>
      </c>
      <c r="B30" t="s">
        <v>60</v>
      </c>
      <c r="C30">
        <v>1.52</v>
      </c>
      <c r="D30">
        <v>1</v>
      </c>
      <c r="E30">
        <v>10</v>
      </c>
      <c r="F30">
        <v>4</v>
      </c>
      <c r="H30">
        <v>0</v>
      </c>
      <c r="I30">
        <v>0</v>
      </c>
      <c r="J30">
        <v>0</v>
      </c>
      <c r="K30">
        <v>0</v>
      </c>
      <c r="L30">
        <v>0</v>
      </c>
      <c r="M30">
        <v>0</v>
      </c>
      <c r="N30">
        <v>0</v>
      </c>
    </row>
    <row r="31" spans="1:14" x14ac:dyDescent="0.2">
      <c r="A31" t="s">
        <v>34</v>
      </c>
      <c r="B31" t="s">
        <v>61</v>
      </c>
      <c r="C31">
        <v>1.95</v>
      </c>
      <c r="D31">
        <v>1</v>
      </c>
      <c r="E31">
        <v>19</v>
      </c>
      <c r="F31">
        <v>0.5</v>
      </c>
      <c r="H31">
        <v>0</v>
      </c>
      <c r="I31">
        <v>0</v>
      </c>
      <c r="J31">
        <v>0</v>
      </c>
      <c r="K31">
        <v>0</v>
      </c>
      <c r="L31">
        <v>0</v>
      </c>
      <c r="M31">
        <v>0</v>
      </c>
      <c r="N31">
        <v>0</v>
      </c>
    </row>
    <row r="32" spans="1:14" x14ac:dyDescent="0.2">
      <c r="A32" t="s">
        <v>34</v>
      </c>
      <c r="B32" t="s">
        <v>62</v>
      </c>
      <c r="C32">
        <v>0.06</v>
      </c>
      <c r="D32">
        <v>0</v>
      </c>
      <c r="E32">
        <v>1</v>
      </c>
      <c r="F32">
        <v>3</v>
      </c>
      <c r="H32">
        <v>0</v>
      </c>
      <c r="I32">
        <v>0</v>
      </c>
      <c r="J32">
        <v>0</v>
      </c>
      <c r="K32">
        <v>0</v>
      </c>
      <c r="L32">
        <v>0</v>
      </c>
      <c r="M32">
        <v>0</v>
      </c>
      <c r="N32">
        <v>0</v>
      </c>
    </row>
    <row r="33" spans="1:14" x14ac:dyDescent="0.2">
      <c r="A33" t="s">
        <v>34</v>
      </c>
      <c r="B33" t="s">
        <v>63</v>
      </c>
      <c r="C33">
        <v>0.02</v>
      </c>
      <c r="D33">
        <v>0</v>
      </c>
      <c r="E33">
        <v>0</v>
      </c>
      <c r="F33">
        <v>4</v>
      </c>
      <c r="H33">
        <v>0</v>
      </c>
      <c r="I33">
        <v>0</v>
      </c>
      <c r="J33">
        <v>0</v>
      </c>
      <c r="K33">
        <v>0</v>
      </c>
      <c r="L33">
        <v>0</v>
      </c>
      <c r="M33">
        <v>0</v>
      </c>
      <c r="N33">
        <v>0</v>
      </c>
    </row>
    <row r="34" spans="1:14" x14ac:dyDescent="0.2">
      <c r="A34" t="s">
        <v>34</v>
      </c>
      <c r="B34" t="s">
        <v>64</v>
      </c>
      <c r="C34">
        <v>0</v>
      </c>
      <c r="D34">
        <v>0</v>
      </c>
      <c r="E34">
        <v>0</v>
      </c>
      <c r="F34">
        <v>1</v>
      </c>
      <c r="H34">
        <v>0</v>
      </c>
      <c r="I34">
        <v>0</v>
      </c>
      <c r="J34">
        <v>0</v>
      </c>
      <c r="K34">
        <v>0</v>
      </c>
      <c r="L34">
        <v>0</v>
      </c>
      <c r="M34">
        <v>0</v>
      </c>
      <c r="N34">
        <v>0</v>
      </c>
    </row>
    <row r="35" spans="1:14" x14ac:dyDescent="0.2">
      <c r="A35" t="s">
        <v>34</v>
      </c>
      <c r="B35" t="s">
        <v>65</v>
      </c>
      <c r="C35">
        <v>0.01</v>
      </c>
      <c r="D35">
        <v>0</v>
      </c>
      <c r="E35">
        <v>0</v>
      </c>
      <c r="F35">
        <v>2</v>
      </c>
      <c r="H35">
        <v>0</v>
      </c>
      <c r="I35">
        <v>0</v>
      </c>
      <c r="J35">
        <v>0</v>
      </c>
      <c r="K35">
        <v>0</v>
      </c>
      <c r="L35">
        <v>0</v>
      </c>
      <c r="M35">
        <v>0</v>
      </c>
      <c r="N35">
        <v>0</v>
      </c>
    </row>
    <row r="36" spans="1:14" x14ac:dyDescent="0.2">
      <c r="A36" t="s">
        <v>34</v>
      </c>
      <c r="B36" t="s">
        <v>66</v>
      </c>
      <c r="C36">
        <v>0</v>
      </c>
      <c r="D36">
        <v>0</v>
      </c>
      <c r="E36">
        <v>0</v>
      </c>
      <c r="F36">
        <v>1</v>
      </c>
      <c r="H36">
        <v>0</v>
      </c>
      <c r="I36">
        <v>0</v>
      </c>
      <c r="J36">
        <v>0</v>
      </c>
      <c r="K36">
        <v>0</v>
      </c>
      <c r="L36">
        <v>0</v>
      </c>
      <c r="M36">
        <v>0</v>
      </c>
      <c r="N36">
        <v>0</v>
      </c>
    </row>
    <row r="37" spans="1:14" x14ac:dyDescent="0.2">
      <c r="A37" t="s">
        <v>34</v>
      </c>
      <c r="B37" t="s">
        <v>67</v>
      </c>
      <c r="C37">
        <v>28.99</v>
      </c>
      <c r="D37">
        <v>28</v>
      </c>
      <c r="E37">
        <v>19</v>
      </c>
      <c r="F37">
        <v>8.5</v>
      </c>
      <c r="H37">
        <v>0</v>
      </c>
      <c r="I37">
        <v>0</v>
      </c>
      <c r="J37">
        <v>0</v>
      </c>
      <c r="K37">
        <v>0</v>
      </c>
      <c r="L37">
        <v>0</v>
      </c>
      <c r="M37">
        <v>0</v>
      </c>
      <c r="N37">
        <v>0</v>
      </c>
    </row>
    <row r="38" spans="1:14" x14ac:dyDescent="0.2">
      <c r="A38" t="s">
        <v>68</v>
      </c>
      <c r="B38" t="s">
        <v>69</v>
      </c>
      <c r="C38">
        <v>0.06</v>
      </c>
      <c r="D38">
        <v>0</v>
      </c>
      <c r="E38">
        <v>1</v>
      </c>
      <c r="F38">
        <v>2.25</v>
      </c>
      <c r="H38">
        <v>0</v>
      </c>
      <c r="I38">
        <v>0</v>
      </c>
      <c r="J38">
        <v>0</v>
      </c>
      <c r="K38">
        <v>0</v>
      </c>
      <c r="L38">
        <v>0</v>
      </c>
      <c r="M38">
        <v>0</v>
      </c>
      <c r="N38">
        <v>0</v>
      </c>
    </row>
    <row r="39" spans="1:14" x14ac:dyDescent="0.2">
      <c r="A39" t="s">
        <v>68</v>
      </c>
      <c r="B39" t="s">
        <v>70</v>
      </c>
      <c r="C39">
        <v>0.08</v>
      </c>
      <c r="D39">
        <v>0</v>
      </c>
      <c r="E39">
        <v>1</v>
      </c>
      <c r="F39">
        <v>8</v>
      </c>
      <c r="H39">
        <v>0</v>
      </c>
      <c r="I39">
        <v>0</v>
      </c>
      <c r="J39">
        <v>0</v>
      </c>
      <c r="K39">
        <v>0</v>
      </c>
      <c r="L39">
        <v>0</v>
      </c>
      <c r="M39">
        <v>0</v>
      </c>
      <c r="N39">
        <v>0</v>
      </c>
    </row>
    <row r="40" spans="1:14" x14ac:dyDescent="0.2">
      <c r="A40" t="s">
        <v>68</v>
      </c>
      <c r="B40" t="s">
        <v>71</v>
      </c>
      <c r="C40">
        <v>0.13</v>
      </c>
      <c r="D40">
        <v>0</v>
      </c>
      <c r="E40">
        <v>2</v>
      </c>
      <c r="F40">
        <v>8</v>
      </c>
      <c r="H40">
        <v>0</v>
      </c>
      <c r="I40">
        <v>0</v>
      </c>
      <c r="J40">
        <v>0</v>
      </c>
      <c r="K40">
        <v>0</v>
      </c>
      <c r="L40">
        <v>0</v>
      </c>
      <c r="M40">
        <v>0</v>
      </c>
      <c r="N40">
        <v>0</v>
      </c>
    </row>
    <row r="41" spans="1:14" x14ac:dyDescent="0.2">
      <c r="A41" t="s">
        <v>68</v>
      </c>
      <c r="B41" t="s">
        <v>72</v>
      </c>
      <c r="C41">
        <v>0.05</v>
      </c>
      <c r="D41">
        <v>0</v>
      </c>
      <c r="E41">
        <v>1</v>
      </c>
      <c r="F41">
        <v>0</v>
      </c>
      <c r="H41">
        <v>0</v>
      </c>
      <c r="I41">
        <v>0</v>
      </c>
      <c r="J41">
        <v>0</v>
      </c>
      <c r="K41">
        <v>0</v>
      </c>
      <c r="L41">
        <v>0</v>
      </c>
      <c r="M41">
        <v>0</v>
      </c>
      <c r="N41">
        <v>0</v>
      </c>
    </row>
    <row r="42" spans="1:14" x14ac:dyDescent="0.2">
      <c r="A42" t="s">
        <v>68</v>
      </c>
      <c r="B42" t="s">
        <v>73</v>
      </c>
      <c r="C42">
        <v>2.67</v>
      </c>
      <c r="D42">
        <v>2</v>
      </c>
      <c r="E42">
        <v>13</v>
      </c>
      <c r="F42">
        <v>5</v>
      </c>
      <c r="H42">
        <v>0</v>
      </c>
      <c r="I42">
        <v>0</v>
      </c>
      <c r="J42">
        <v>0</v>
      </c>
      <c r="K42">
        <v>0</v>
      </c>
      <c r="L42">
        <v>0</v>
      </c>
      <c r="M42">
        <v>0</v>
      </c>
      <c r="N42">
        <v>0</v>
      </c>
    </row>
    <row r="43" spans="1:14" x14ac:dyDescent="0.2">
      <c r="A43" t="s">
        <v>68</v>
      </c>
      <c r="B43" t="s">
        <v>74</v>
      </c>
      <c r="C43">
        <v>0.1</v>
      </c>
      <c r="D43">
        <v>0</v>
      </c>
      <c r="E43">
        <v>2</v>
      </c>
      <c r="F43">
        <v>0</v>
      </c>
      <c r="H43">
        <v>0</v>
      </c>
      <c r="I43">
        <v>0</v>
      </c>
      <c r="J43">
        <v>0</v>
      </c>
      <c r="K43">
        <v>0</v>
      </c>
      <c r="L43">
        <v>0</v>
      </c>
      <c r="M43">
        <v>0</v>
      </c>
      <c r="N43">
        <v>0</v>
      </c>
    </row>
    <row r="44" spans="1:14" x14ac:dyDescent="0.2">
      <c r="A44" t="s">
        <v>68</v>
      </c>
      <c r="B44" t="s">
        <v>75</v>
      </c>
      <c r="C44">
        <v>0.05</v>
      </c>
      <c r="D44">
        <v>0</v>
      </c>
      <c r="E44">
        <v>1</v>
      </c>
      <c r="F44">
        <v>0</v>
      </c>
      <c r="H44">
        <v>0</v>
      </c>
      <c r="I44">
        <v>0</v>
      </c>
      <c r="J44">
        <v>0</v>
      </c>
      <c r="K44">
        <v>0</v>
      </c>
      <c r="L44">
        <v>0</v>
      </c>
      <c r="M44">
        <v>0</v>
      </c>
      <c r="N44">
        <v>0</v>
      </c>
    </row>
    <row r="45" spans="1:14" x14ac:dyDescent="0.2">
      <c r="A45" t="s">
        <v>68</v>
      </c>
      <c r="B45" t="s">
        <v>76</v>
      </c>
      <c r="C45">
        <v>0.2</v>
      </c>
      <c r="D45">
        <v>0</v>
      </c>
      <c r="E45">
        <v>4</v>
      </c>
      <c r="F45">
        <v>0</v>
      </c>
      <c r="H45">
        <v>0</v>
      </c>
      <c r="I45">
        <v>0</v>
      </c>
      <c r="J45">
        <v>0</v>
      </c>
      <c r="K45">
        <v>0</v>
      </c>
      <c r="L45">
        <v>0</v>
      </c>
      <c r="M45">
        <v>0</v>
      </c>
      <c r="N45">
        <v>0</v>
      </c>
    </row>
    <row r="46" spans="1:14" x14ac:dyDescent="0.2">
      <c r="A46" t="s">
        <v>68</v>
      </c>
      <c r="B46" t="s">
        <v>77</v>
      </c>
      <c r="C46">
        <v>0.15</v>
      </c>
      <c r="D46">
        <v>0</v>
      </c>
      <c r="E46">
        <v>3</v>
      </c>
      <c r="F46">
        <v>0</v>
      </c>
      <c r="H46">
        <v>0</v>
      </c>
      <c r="I46">
        <v>0</v>
      </c>
      <c r="J46">
        <v>0</v>
      </c>
      <c r="K46">
        <v>0</v>
      </c>
      <c r="L46">
        <v>0</v>
      </c>
      <c r="M46">
        <v>0</v>
      </c>
      <c r="N46">
        <v>0</v>
      </c>
    </row>
    <row r="47" spans="1:14" x14ac:dyDescent="0.2">
      <c r="A47" t="s">
        <v>68</v>
      </c>
      <c r="B47" t="s">
        <v>78</v>
      </c>
      <c r="C47">
        <v>0.01</v>
      </c>
      <c r="D47">
        <v>0</v>
      </c>
      <c r="E47">
        <v>0</v>
      </c>
      <c r="F47">
        <v>1.5</v>
      </c>
      <c r="H47">
        <v>0</v>
      </c>
      <c r="I47">
        <v>0</v>
      </c>
      <c r="J47">
        <v>0</v>
      </c>
      <c r="K47">
        <v>0</v>
      </c>
      <c r="L47">
        <v>0</v>
      </c>
      <c r="M47">
        <v>0</v>
      </c>
      <c r="N47">
        <v>0</v>
      </c>
    </row>
    <row r="48" spans="1:14" x14ac:dyDescent="0.2">
      <c r="A48" t="s">
        <v>68</v>
      </c>
      <c r="B48" t="s">
        <v>79</v>
      </c>
      <c r="C48">
        <v>0.03</v>
      </c>
      <c r="D48">
        <v>0</v>
      </c>
      <c r="E48">
        <v>0</v>
      </c>
      <c r="F48">
        <v>6</v>
      </c>
      <c r="H48">
        <v>0</v>
      </c>
      <c r="I48">
        <v>0</v>
      </c>
      <c r="J48">
        <v>0</v>
      </c>
      <c r="K48">
        <v>0</v>
      </c>
      <c r="L48">
        <v>0</v>
      </c>
      <c r="M48">
        <v>0</v>
      </c>
      <c r="N48">
        <v>0</v>
      </c>
    </row>
    <row r="49" spans="1:14" x14ac:dyDescent="0.2">
      <c r="A49" t="s">
        <v>68</v>
      </c>
      <c r="B49" t="s">
        <v>80</v>
      </c>
      <c r="C49">
        <v>0.03</v>
      </c>
      <c r="D49">
        <v>0</v>
      </c>
      <c r="E49">
        <v>0</v>
      </c>
      <c r="F49">
        <v>7</v>
      </c>
      <c r="H49">
        <v>0</v>
      </c>
      <c r="I49">
        <v>0</v>
      </c>
      <c r="J49">
        <v>0</v>
      </c>
      <c r="K49">
        <v>0</v>
      </c>
      <c r="L49">
        <v>0</v>
      </c>
      <c r="M49">
        <v>0</v>
      </c>
      <c r="N49">
        <v>0</v>
      </c>
    </row>
    <row r="50" spans="1:14" x14ac:dyDescent="0.2">
      <c r="A50" t="s">
        <v>68</v>
      </c>
      <c r="B50" t="s">
        <v>81</v>
      </c>
      <c r="C50">
        <v>0.38</v>
      </c>
      <c r="D50">
        <v>0</v>
      </c>
      <c r="E50">
        <v>7</v>
      </c>
      <c r="F50">
        <v>6</v>
      </c>
      <c r="H50">
        <v>0</v>
      </c>
      <c r="I50">
        <v>0</v>
      </c>
      <c r="J50">
        <v>0</v>
      </c>
      <c r="K50">
        <v>0</v>
      </c>
      <c r="L50">
        <v>0</v>
      </c>
      <c r="M50">
        <v>0</v>
      </c>
      <c r="N50">
        <v>0</v>
      </c>
    </row>
    <row r="51" spans="1:14" x14ac:dyDescent="0.2">
      <c r="A51" t="s">
        <v>68</v>
      </c>
      <c r="B51" t="s">
        <v>82</v>
      </c>
      <c r="C51">
        <v>0.02</v>
      </c>
      <c r="D51">
        <v>0</v>
      </c>
      <c r="E51">
        <v>0</v>
      </c>
      <c r="F51">
        <v>4</v>
      </c>
      <c r="H51">
        <v>0</v>
      </c>
      <c r="I51">
        <v>0</v>
      </c>
      <c r="J51">
        <v>0</v>
      </c>
      <c r="K51">
        <v>0</v>
      </c>
      <c r="L51">
        <v>0</v>
      </c>
      <c r="M51">
        <v>0</v>
      </c>
      <c r="N51">
        <v>0</v>
      </c>
    </row>
    <row r="52" spans="1:14" x14ac:dyDescent="0.2">
      <c r="A52" t="s">
        <v>68</v>
      </c>
      <c r="B52" t="s">
        <v>83</v>
      </c>
      <c r="C52">
        <v>0.12</v>
      </c>
      <c r="D52">
        <v>0</v>
      </c>
      <c r="E52">
        <v>2</v>
      </c>
      <c r="F52">
        <v>6</v>
      </c>
      <c r="H52">
        <v>0</v>
      </c>
      <c r="I52">
        <v>0</v>
      </c>
      <c r="J52">
        <v>0</v>
      </c>
      <c r="K52">
        <v>0</v>
      </c>
      <c r="L52">
        <v>0</v>
      </c>
      <c r="M52">
        <v>0</v>
      </c>
      <c r="N52">
        <v>0</v>
      </c>
    </row>
    <row r="53" spans="1:14" x14ac:dyDescent="0.2">
      <c r="A53" t="s">
        <v>68</v>
      </c>
      <c r="B53" t="s">
        <v>84</v>
      </c>
      <c r="C53">
        <v>0.03</v>
      </c>
      <c r="D53">
        <v>0</v>
      </c>
      <c r="E53">
        <v>0</v>
      </c>
      <c r="F53">
        <v>6</v>
      </c>
      <c r="H53">
        <v>0</v>
      </c>
      <c r="I53">
        <v>0</v>
      </c>
      <c r="J53">
        <v>0</v>
      </c>
      <c r="K53">
        <v>0</v>
      </c>
      <c r="L53">
        <v>0</v>
      </c>
      <c r="M53">
        <v>0</v>
      </c>
      <c r="N53">
        <v>0</v>
      </c>
    </row>
    <row r="54" spans="1:14" x14ac:dyDescent="0.2">
      <c r="A54" t="s">
        <v>68</v>
      </c>
      <c r="B54" t="s">
        <v>85</v>
      </c>
      <c r="C54">
        <v>0.12</v>
      </c>
      <c r="D54">
        <v>0</v>
      </c>
      <c r="E54">
        <v>2</v>
      </c>
      <c r="F54">
        <v>6</v>
      </c>
      <c r="H54">
        <v>0</v>
      </c>
      <c r="I54">
        <v>0</v>
      </c>
      <c r="J54">
        <v>0</v>
      </c>
      <c r="K54">
        <v>0</v>
      </c>
      <c r="L54">
        <v>0</v>
      </c>
      <c r="M54">
        <v>0</v>
      </c>
      <c r="N54">
        <v>0</v>
      </c>
    </row>
    <row r="55" spans="1:14" x14ac:dyDescent="0.2">
      <c r="A55" t="s">
        <v>68</v>
      </c>
      <c r="B55" t="s">
        <v>86</v>
      </c>
      <c r="C55">
        <v>0.05</v>
      </c>
      <c r="D55">
        <v>0</v>
      </c>
      <c r="E55">
        <v>1</v>
      </c>
      <c r="F55">
        <v>0</v>
      </c>
      <c r="H55">
        <v>0</v>
      </c>
      <c r="I55">
        <v>0</v>
      </c>
      <c r="J55">
        <v>0</v>
      </c>
      <c r="K55">
        <v>0</v>
      </c>
      <c r="L55">
        <v>0</v>
      </c>
      <c r="M55">
        <v>0</v>
      </c>
      <c r="N55">
        <v>0</v>
      </c>
    </row>
    <row r="56" spans="1:14" x14ac:dyDescent="0.2">
      <c r="A56" t="s">
        <v>68</v>
      </c>
      <c r="B56" t="s">
        <v>87</v>
      </c>
      <c r="C56">
        <v>4.12</v>
      </c>
      <c r="D56">
        <v>4</v>
      </c>
      <c r="E56">
        <v>2</v>
      </c>
      <c r="F56">
        <v>5.25</v>
      </c>
      <c r="H56">
        <v>0</v>
      </c>
      <c r="I56">
        <v>0</v>
      </c>
      <c r="J56">
        <v>0</v>
      </c>
      <c r="K56">
        <v>0</v>
      </c>
      <c r="L56">
        <v>0</v>
      </c>
      <c r="M56">
        <v>0</v>
      </c>
      <c r="N56">
        <v>0</v>
      </c>
    </row>
    <row r="57" spans="1:14" x14ac:dyDescent="0.2">
      <c r="A57" t="s">
        <v>88</v>
      </c>
      <c r="B57" t="s">
        <v>89</v>
      </c>
      <c r="C57">
        <v>0.08</v>
      </c>
      <c r="D57">
        <v>0</v>
      </c>
      <c r="E57">
        <v>1</v>
      </c>
      <c r="F57">
        <v>8</v>
      </c>
      <c r="H57">
        <v>0</v>
      </c>
      <c r="I57">
        <v>0</v>
      </c>
      <c r="J57">
        <v>0</v>
      </c>
      <c r="K57">
        <v>0</v>
      </c>
      <c r="L57">
        <v>0</v>
      </c>
      <c r="M57">
        <v>0</v>
      </c>
      <c r="N57">
        <v>0</v>
      </c>
    </row>
    <row r="58" spans="1:14" x14ac:dyDescent="0.2">
      <c r="A58" t="s">
        <v>88</v>
      </c>
      <c r="B58" t="s">
        <v>90</v>
      </c>
      <c r="C58">
        <v>0.1</v>
      </c>
      <c r="D58">
        <v>0</v>
      </c>
      <c r="E58">
        <v>2</v>
      </c>
      <c r="F58">
        <v>0</v>
      </c>
      <c r="H58">
        <v>0</v>
      </c>
      <c r="I58">
        <v>0</v>
      </c>
      <c r="J58">
        <v>0</v>
      </c>
      <c r="K58">
        <v>0</v>
      </c>
      <c r="L58">
        <v>0</v>
      </c>
      <c r="M58">
        <v>0</v>
      </c>
      <c r="N58">
        <v>0</v>
      </c>
    </row>
    <row r="59" spans="1:14" x14ac:dyDescent="0.2">
      <c r="A59" t="s">
        <v>88</v>
      </c>
      <c r="B59" t="s">
        <v>91</v>
      </c>
      <c r="C59">
        <v>0.56999999999999995</v>
      </c>
      <c r="D59">
        <v>0</v>
      </c>
      <c r="E59">
        <v>11</v>
      </c>
      <c r="F59">
        <v>4</v>
      </c>
      <c r="H59">
        <v>0</v>
      </c>
      <c r="I59">
        <v>0</v>
      </c>
      <c r="J59">
        <v>0</v>
      </c>
      <c r="K59">
        <v>0</v>
      </c>
      <c r="L59">
        <v>0</v>
      </c>
      <c r="M59">
        <v>0</v>
      </c>
      <c r="N59">
        <v>0</v>
      </c>
    </row>
    <row r="60" spans="1:14" x14ac:dyDescent="0.2">
      <c r="A60" t="s">
        <v>88</v>
      </c>
      <c r="B60" t="s">
        <v>92</v>
      </c>
      <c r="C60">
        <v>0.05</v>
      </c>
      <c r="D60">
        <v>0</v>
      </c>
      <c r="E60">
        <v>1</v>
      </c>
      <c r="F60">
        <v>0</v>
      </c>
      <c r="H60">
        <v>0</v>
      </c>
      <c r="I60">
        <v>0</v>
      </c>
      <c r="J60">
        <v>0</v>
      </c>
      <c r="K60">
        <v>0</v>
      </c>
      <c r="L60">
        <v>0</v>
      </c>
      <c r="M60">
        <v>0</v>
      </c>
      <c r="N60">
        <v>0</v>
      </c>
    </row>
    <row r="61" spans="1:14" x14ac:dyDescent="0.2">
      <c r="A61" t="s">
        <v>88</v>
      </c>
      <c r="B61" t="s">
        <v>93</v>
      </c>
      <c r="C61">
        <v>0.04</v>
      </c>
      <c r="D61">
        <v>0</v>
      </c>
      <c r="E61">
        <v>0</v>
      </c>
      <c r="F61">
        <v>10</v>
      </c>
      <c r="H61">
        <v>0</v>
      </c>
      <c r="I61">
        <v>0</v>
      </c>
      <c r="J61">
        <v>0</v>
      </c>
      <c r="K61">
        <v>0</v>
      </c>
      <c r="L61">
        <v>0</v>
      </c>
      <c r="M61">
        <v>0</v>
      </c>
      <c r="N61">
        <v>0</v>
      </c>
    </row>
    <row r="62" spans="1:14" x14ac:dyDescent="0.2">
      <c r="A62" t="s">
        <v>88</v>
      </c>
      <c r="B62" t="s">
        <v>94</v>
      </c>
      <c r="C62">
        <v>0.1</v>
      </c>
      <c r="D62">
        <v>0</v>
      </c>
      <c r="E62">
        <v>2</v>
      </c>
      <c r="F62">
        <v>0</v>
      </c>
      <c r="H62">
        <v>0</v>
      </c>
      <c r="I62">
        <v>0</v>
      </c>
      <c r="J62">
        <v>0</v>
      </c>
      <c r="K62">
        <v>0</v>
      </c>
      <c r="L62">
        <v>0</v>
      </c>
      <c r="M62">
        <v>0</v>
      </c>
      <c r="N62">
        <v>0</v>
      </c>
    </row>
    <row r="63" spans="1:14" x14ac:dyDescent="0.2">
      <c r="A63" t="s">
        <v>88</v>
      </c>
      <c r="B63" t="s">
        <v>95</v>
      </c>
      <c r="C63">
        <v>0.15</v>
      </c>
      <c r="D63">
        <v>0</v>
      </c>
      <c r="E63">
        <v>3</v>
      </c>
      <c r="F63">
        <v>0</v>
      </c>
      <c r="H63">
        <v>0</v>
      </c>
      <c r="I63">
        <v>0</v>
      </c>
      <c r="J63">
        <v>0</v>
      </c>
      <c r="K63">
        <v>0</v>
      </c>
      <c r="L63">
        <v>0</v>
      </c>
      <c r="M63">
        <v>0</v>
      </c>
      <c r="N63">
        <v>0</v>
      </c>
    </row>
    <row r="64" spans="1:14" x14ac:dyDescent="0.2">
      <c r="A64" t="s">
        <v>88</v>
      </c>
      <c r="B64" t="s">
        <v>96</v>
      </c>
      <c r="C64">
        <v>0.03</v>
      </c>
      <c r="D64">
        <v>0</v>
      </c>
      <c r="E64">
        <v>0</v>
      </c>
      <c r="F64">
        <v>6</v>
      </c>
      <c r="H64">
        <v>0</v>
      </c>
      <c r="I64">
        <v>0</v>
      </c>
      <c r="J64">
        <v>0</v>
      </c>
      <c r="K64">
        <v>0</v>
      </c>
      <c r="L64">
        <v>0</v>
      </c>
      <c r="M64">
        <v>0</v>
      </c>
      <c r="N64">
        <v>0</v>
      </c>
    </row>
    <row r="65" spans="1:14" x14ac:dyDescent="0.2">
      <c r="A65" t="s">
        <v>88</v>
      </c>
      <c r="B65" t="s">
        <v>97</v>
      </c>
      <c r="C65">
        <v>1.07</v>
      </c>
      <c r="D65">
        <v>1</v>
      </c>
      <c r="E65">
        <v>1</v>
      </c>
      <c r="F65">
        <v>4</v>
      </c>
      <c r="H65">
        <v>0</v>
      </c>
      <c r="I65">
        <v>0</v>
      </c>
      <c r="J65">
        <v>0</v>
      </c>
      <c r="K65">
        <v>0</v>
      </c>
      <c r="L65">
        <v>0</v>
      </c>
      <c r="M65">
        <v>0</v>
      </c>
      <c r="N65">
        <v>0</v>
      </c>
    </row>
    <row r="66" spans="1:14" x14ac:dyDescent="0.2">
      <c r="A66" t="s">
        <v>98</v>
      </c>
      <c r="B66" t="s">
        <v>99</v>
      </c>
      <c r="C66">
        <v>7.0000000000000007E-2</v>
      </c>
      <c r="D66">
        <v>0</v>
      </c>
      <c r="E66">
        <v>1</v>
      </c>
      <c r="F66">
        <v>4</v>
      </c>
      <c r="H66">
        <v>0</v>
      </c>
      <c r="I66">
        <v>0</v>
      </c>
      <c r="J66">
        <v>0</v>
      </c>
      <c r="K66">
        <v>0</v>
      </c>
      <c r="L66">
        <v>0</v>
      </c>
      <c r="M66">
        <v>0</v>
      </c>
      <c r="N66">
        <v>0</v>
      </c>
    </row>
    <row r="67" spans="1:14" x14ac:dyDescent="0.2">
      <c r="A67" t="s">
        <v>98</v>
      </c>
      <c r="B67" t="s">
        <v>100</v>
      </c>
      <c r="C67">
        <v>7.0000000000000007E-2</v>
      </c>
      <c r="D67">
        <v>0</v>
      </c>
      <c r="E67">
        <v>1</v>
      </c>
      <c r="F67">
        <v>4</v>
      </c>
      <c r="H67">
        <v>0</v>
      </c>
      <c r="I67">
        <v>0</v>
      </c>
      <c r="J67">
        <v>0</v>
      </c>
      <c r="K67">
        <v>0</v>
      </c>
      <c r="L67">
        <v>0</v>
      </c>
      <c r="M67">
        <v>0</v>
      </c>
      <c r="N67">
        <v>0</v>
      </c>
    </row>
    <row r="68" spans="1:14" x14ac:dyDescent="0.2">
      <c r="A68" t="s">
        <v>101</v>
      </c>
      <c r="B68" t="s">
        <v>102</v>
      </c>
      <c r="C68">
        <v>0.3</v>
      </c>
      <c r="D68">
        <v>0</v>
      </c>
      <c r="E68">
        <v>6</v>
      </c>
      <c r="F68">
        <v>0</v>
      </c>
      <c r="H68">
        <v>0</v>
      </c>
      <c r="I68">
        <v>0</v>
      </c>
      <c r="J68">
        <v>0</v>
      </c>
      <c r="K68">
        <v>0</v>
      </c>
      <c r="L68">
        <v>0</v>
      </c>
      <c r="M68">
        <v>0</v>
      </c>
      <c r="N68">
        <v>0</v>
      </c>
    </row>
    <row r="69" spans="1:14" x14ac:dyDescent="0.2">
      <c r="A69" t="s">
        <v>101</v>
      </c>
      <c r="B69" t="s">
        <v>103</v>
      </c>
      <c r="C69">
        <v>0.03</v>
      </c>
      <c r="D69">
        <v>0</v>
      </c>
      <c r="E69">
        <v>0</v>
      </c>
      <c r="F69">
        <v>6</v>
      </c>
      <c r="H69">
        <v>0</v>
      </c>
      <c r="I69">
        <v>0</v>
      </c>
      <c r="J69">
        <v>0</v>
      </c>
      <c r="K69">
        <v>0</v>
      </c>
      <c r="L69">
        <v>0</v>
      </c>
      <c r="M69">
        <v>0</v>
      </c>
      <c r="N69">
        <v>0</v>
      </c>
    </row>
    <row r="70" spans="1:14" x14ac:dyDescent="0.2">
      <c r="A70" t="s">
        <v>101</v>
      </c>
      <c r="B70" t="s">
        <v>104</v>
      </c>
      <c r="C70">
        <v>0.15</v>
      </c>
      <c r="D70">
        <v>0</v>
      </c>
      <c r="E70">
        <v>3</v>
      </c>
      <c r="F70">
        <v>0</v>
      </c>
      <c r="H70">
        <v>0</v>
      </c>
      <c r="I70">
        <v>0</v>
      </c>
      <c r="J70">
        <v>0</v>
      </c>
      <c r="K70">
        <v>0</v>
      </c>
      <c r="L70">
        <v>0</v>
      </c>
      <c r="M70">
        <v>0</v>
      </c>
      <c r="N70">
        <v>0</v>
      </c>
    </row>
    <row r="71" spans="1:14" x14ac:dyDescent="0.2">
      <c r="A71" t="s">
        <v>101</v>
      </c>
      <c r="B71" t="s">
        <v>105</v>
      </c>
      <c r="C71">
        <v>0.48</v>
      </c>
      <c r="D71">
        <v>0</v>
      </c>
      <c r="E71">
        <v>9</v>
      </c>
      <c r="F71">
        <v>6</v>
      </c>
      <c r="H71">
        <v>0</v>
      </c>
      <c r="I71">
        <v>0</v>
      </c>
      <c r="J71">
        <v>0</v>
      </c>
      <c r="K71">
        <v>0</v>
      </c>
      <c r="L71">
        <v>0</v>
      </c>
      <c r="M71">
        <v>0</v>
      </c>
      <c r="N71">
        <v>0</v>
      </c>
    </row>
    <row r="72" spans="1:14" x14ac:dyDescent="0.2">
      <c r="A72" t="s">
        <v>106</v>
      </c>
      <c r="B72" t="s">
        <v>107</v>
      </c>
      <c r="C72">
        <v>0.33</v>
      </c>
      <c r="D72">
        <v>0</v>
      </c>
      <c r="E72">
        <v>6</v>
      </c>
      <c r="F72">
        <v>6</v>
      </c>
      <c r="H72">
        <v>0</v>
      </c>
      <c r="I72">
        <v>0</v>
      </c>
      <c r="J72">
        <v>0</v>
      </c>
      <c r="K72">
        <v>0</v>
      </c>
      <c r="L72">
        <v>0</v>
      </c>
      <c r="M72">
        <v>0</v>
      </c>
      <c r="N72">
        <v>0</v>
      </c>
    </row>
    <row r="73" spans="1:14" x14ac:dyDescent="0.2">
      <c r="A73" t="s">
        <v>106</v>
      </c>
      <c r="B73" t="s">
        <v>108</v>
      </c>
      <c r="C73">
        <v>0.05</v>
      </c>
      <c r="D73">
        <v>0</v>
      </c>
      <c r="E73">
        <v>1</v>
      </c>
      <c r="F73">
        <v>0</v>
      </c>
      <c r="H73">
        <v>0</v>
      </c>
      <c r="I73">
        <v>0</v>
      </c>
      <c r="J73">
        <v>0</v>
      </c>
      <c r="K73">
        <v>0</v>
      </c>
      <c r="L73">
        <v>0</v>
      </c>
      <c r="M73">
        <v>0</v>
      </c>
      <c r="N73">
        <v>0</v>
      </c>
    </row>
    <row r="74" spans="1:14" x14ac:dyDescent="0.2">
      <c r="A74" t="s">
        <v>106</v>
      </c>
      <c r="B74" t="s">
        <v>109</v>
      </c>
      <c r="C74">
        <v>0.03</v>
      </c>
      <c r="D74">
        <v>0</v>
      </c>
      <c r="E74">
        <v>0</v>
      </c>
      <c r="F74">
        <v>6</v>
      </c>
      <c r="H74">
        <v>0</v>
      </c>
      <c r="I74">
        <v>0</v>
      </c>
      <c r="J74">
        <v>0</v>
      </c>
      <c r="K74">
        <v>0</v>
      </c>
      <c r="L74">
        <v>0</v>
      </c>
      <c r="M74">
        <v>0</v>
      </c>
      <c r="N74">
        <v>0</v>
      </c>
    </row>
    <row r="75" spans="1:14" x14ac:dyDescent="0.2">
      <c r="A75" t="s">
        <v>106</v>
      </c>
      <c r="B75" t="s">
        <v>110</v>
      </c>
      <c r="C75">
        <v>0.03</v>
      </c>
      <c r="D75">
        <v>0</v>
      </c>
      <c r="E75">
        <v>0</v>
      </c>
      <c r="F75">
        <v>6</v>
      </c>
      <c r="H75">
        <v>0</v>
      </c>
      <c r="I75">
        <v>0</v>
      </c>
      <c r="J75">
        <v>0</v>
      </c>
      <c r="K75">
        <v>0</v>
      </c>
      <c r="L75">
        <v>0</v>
      </c>
      <c r="M75">
        <v>0</v>
      </c>
      <c r="N75">
        <v>0</v>
      </c>
    </row>
    <row r="76" spans="1:14" x14ac:dyDescent="0.2">
      <c r="A76" t="s">
        <v>106</v>
      </c>
      <c r="B76" t="s">
        <v>111</v>
      </c>
      <c r="C76">
        <v>0.4</v>
      </c>
      <c r="D76">
        <v>0</v>
      </c>
      <c r="E76">
        <v>8</v>
      </c>
      <c r="F76">
        <v>0</v>
      </c>
      <c r="H76">
        <v>0</v>
      </c>
      <c r="I76">
        <v>0</v>
      </c>
      <c r="J76">
        <v>0</v>
      </c>
      <c r="K76">
        <v>0</v>
      </c>
      <c r="L76">
        <v>0</v>
      </c>
      <c r="M76">
        <v>0</v>
      </c>
      <c r="N76">
        <v>0</v>
      </c>
    </row>
    <row r="77" spans="1:14" x14ac:dyDescent="0.2">
      <c r="A77" t="s">
        <v>112</v>
      </c>
      <c r="B77" t="s">
        <v>113</v>
      </c>
      <c r="C77">
        <v>0.17</v>
      </c>
      <c r="D77">
        <v>0</v>
      </c>
      <c r="E77">
        <v>3</v>
      </c>
      <c r="F77">
        <v>6</v>
      </c>
      <c r="H77">
        <v>0</v>
      </c>
      <c r="I77">
        <v>0</v>
      </c>
      <c r="J77">
        <v>0</v>
      </c>
      <c r="K77">
        <v>0</v>
      </c>
      <c r="L77">
        <v>0</v>
      </c>
      <c r="M77">
        <v>0</v>
      </c>
      <c r="N77">
        <v>0</v>
      </c>
    </row>
    <row r="78" spans="1:14" x14ac:dyDescent="0.2">
      <c r="A78" t="s">
        <v>112</v>
      </c>
      <c r="B78" t="s">
        <v>114</v>
      </c>
      <c r="C78">
        <v>0.02</v>
      </c>
      <c r="D78">
        <v>0</v>
      </c>
      <c r="E78">
        <v>0</v>
      </c>
      <c r="F78">
        <v>4</v>
      </c>
      <c r="H78">
        <v>0</v>
      </c>
      <c r="I78">
        <v>0</v>
      </c>
      <c r="J78">
        <v>0</v>
      </c>
      <c r="K78">
        <v>0</v>
      </c>
      <c r="L78">
        <v>0</v>
      </c>
      <c r="M78">
        <v>0</v>
      </c>
      <c r="N78">
        <v>0</v>
      </c>
    </row>
    <row r="79" spans="1:14" x14ac:dyDescent="0.2">
      <c r="A79" t="s">
        <v>112</v>
      </c>
      <c r="B79" t="s">
        <v>115</v>
      </c>
      <c r="C79">
        <v>0.05</v>
      </c>
      <c r="D79">
        <v>0</v>
      </c>
      <c r="E79">
        <v>1</v>
      </c>
      <c r="F79">
        <v>0</v>
      </c>
      <c r="H79">
        <v>0</v>
      </c>
      <c r="I79">
        <v>0</v>
      </c>
      <c r="J79">
        <v>0</v>
      </c>
      <c r="K79">
        <v>0</v>
      </c>
      <c r="L79">
        <v>0</v>
      </c>
      <c r="M79">
        <v>0</v>
      </c>
      <c r="N79">
        <v>0</v>
      </c>
    </row>
    <row r="80" spans="1:14" x14ac:dyDescent="0.2">
      <c r="A80" t="s">
        <v>112</v>
      </c>
      <c r="B80" t="s">
        <v>116</v>
      </c>
      <c r="C80">
        <v>0.03</v>
      </c>
      <c r="D80">
        <v>0</v>
      </c>
      <c r="E80">
        <v>0</v>
      </c>
      <c r="F80">
        <v>6</v>
      </c>
      <c r="H80">
        <v>0</v>
      </c>
      <c r="I80">
        <v>0</v>
      </c>
      <c r="J80">
        <v>0</v>
      </c>
      <c r="K80">
        <v>0</v>
      </c>
      <c r="L80">
        <v>0</v>
      </c>
      <c r="M80">
        <v>0</v>
      </c>
      <c r="N80">
        <v>0</v>
      </c>
    </row>
    <row r="81" spans="1:14" x14ac:dyDescent="0.2">
      <c r="A81" t="s">
        <v>112</v>
      </c>
      <c r="B81" t="s">
        <v>117</v>
      </c>
      <c r="C81">
        <v>0.27</v>
      </c>
      <c r="D81">
        <v>0</v>
      </c>
      <c r="E81">
        <v>5</v>
      </c>
      <c r="F81">
        <v>4</v>
      </c>
      <c r="H81">
        <v>0</v>
      </c>
      <c r="I81">
        <v>0</v>
      </c>
      <c r="J81">
        <v>0</v>
      </c>
      <c r="K81">
        <v>0</v>
      </c>
      <c r="L81">
        <v>0</v>
      </c>
      <c r="M81">
        <v>0</v>
      </c>
      <c r="N81">
        <v>0</v>
      </c>
    </row>
    <row r="82" spans="1:14" x14ac:dyDescent="0.2">
      <c r="A82" t="s">
        <v>118</v>
      </c>
      <c r="B82" t="s">
        <v>119</v>
      </c>
      <c r="C82">
        <v>0.02</v>
      </c>
      <c r="D82">
        <v>0</v>
      </c>
      <c r="E82">
        <v>0</v>
      </c>
      <c r="F82">
        <v>4</v>
      </c>
      <c r="H82">
        <v>0</v>
      </c>
      <c r="I82">
        <v>0</v>
      </c>
      <c r="J82">
        <v>0</v>
      </c>
      <c r="K82">
        <v>0</v>
      </c>
      <c r="L82">
        <v>0</v>
      </c>
      <c r="M82">
        <v>0</v>
      </c>
      <c r="N82">
        <v>0</v>
      </c>
    </row>
    <row r="83" spans="1:14" x14ac:dyDescent="0.2">
      <c r="A83" t="s">
        <v>120</v>
      </c>
      <c r="B83" t="s">
        <v>121</v>
      </c>
      <c r="C83">
        <v>0.23</v>
      </c>
      <c r="D83">
        <v>0</v>
      </c>
      <c r="E83">
        <v>4</v>
      </c>
      <c r="F83">
        <v>6</v>
      </c>
      <c r="H83">
        <v>0</v>
      </c>
      <c r="I83">
        <v>0</v>
      </c>
      <c r="J83">
        <v>0</v>
      </c>
      <c r="K83">
        <v>0</v>
      </c>
      <c r="L83">
        <v>0</v>
      </c>
      <c r="M83">
        <v>0</v>
      </c>
      <c r="N83">
        <v>0</v>
      </c>
    </row>
    <row r="84" spans="1:14" x14ac:dyDescent="0.2">
      <c r="A84" t="s">
        <v>120</v>
      </c>
      <c r="B84" t="s">
        <v>122</v>
      </c>
      <c r="C84">
        <v>0.1</v>
      </c>
      <c r="D84">
        <v>0</v>
      </c>
      <c r="E84">
        <v>2</v>
      </c>
      <c r="F84">
        <v>0</v>
      </c>
      <c r="H84">
        <v>0</v>
      </c>
      <c r="I84">
        <v>0</v>
      </c>
      <c r="J84">
        <v>0</v>
      </c>
      <c r="K84">
        <v>0</v>
      </c>
      <c r="L84">
        <v>0</v>
      </c>
      <c r="M84">
        <v>0</v>
      </c>
      <c r="N84">
        <v>0</v>
      </c>
    </row>
    <row r="85" spans="1:14" x14ac:dyDescent="0.2">
      <c r="A85" t="s">
        <v>120</v>
      </c>
      <c r="B85" t="s">
        <v>123</v>
      </c>
      <c r="C85">
        <v>0.33</v>
      </c>
      <c r="D85">
        <v>0</v>
      </c>
      <c r="E85">
        <v>6</v>
      </c>
      <c r="F85">
        <v>6</v>
      </c>
      <c r="H85">
        <v>0</v>
      </c>
      <c r="I85">
        <v>0</v>
      </c>
      <c r="J85">
        <v>0</v>
      </c>
      <c r="K85">
        <v>0</v>
      </c>
      <c r="L85">
        <v>0</v>
      </c>
      <c r="M85">
        <v>0</v>
      </c>
      <c r="N85">
        <v>0</v>
      </c>
    </row>
    <row r="86" spans="1:14" x14ac:dyDescent="0.2">
      <c r="A86" t="s">
        <v>124</v>
      </c>
      <c r="B86" t="s">
        <v>125</v>
      </c>
      <c r="C86">
        <v>0.97</v>
      </c>
      <c r="D86">
        <v>0</v>
      </c>
      <c r="E86">
        <v>19</v>
      </c>
      <c r="F86">
        <v>4</v>
      </c>
      <c r="H86">
        <v>0</v>
      </c>
      <c r="I86">
        <v>0</v>
      </c>
      <c r="J86">
        <v>0</v>
      </c>
      <c r="K86">
        <v>0</v>
      </c>
      <c r="L86">
        <v>0</v>
      </c>
      <c r="M86">
        <v>0</v>
      </c>
      <c r="N86">
        <v>0</v>
      </c>
    </row>
    <row r="87" spans="1:14" x14ac:dyDescent="0.2">
      <c r="A87" t="s">
        <v>126</v>
      </c>
      <c r="B87" t="s">
        <v>127</v>
      </c>
      <c r="C87">
        <v>0.25</v>
      </c>
      <c r="D87">
        <v>0</v>
      </c>
      <c r="E87">
        <v>5</v>
      </c>
      <c r="F87">
        <v>0</v>
      </c>
      <c r="H87">
        <v>0</v>
      </c>
      <c r="I87">
        <v>0</v>
      </c>
      <c r="J87">
        <v>0</v>
      </c>
      <c r="K87">
        <v>0</v>
      </c>
      <c r="L87">
        <v>0</v>
      </c>
      <c r="M87">
        <v>0</v>
      </c>
      <c r="N87">
        <v>0</v>
      </c>
    </row>
    <row r="88" spans="1:14" x14ac:dyDescent="0.2">
      <c r="A88" t="s">
        <v>126</v>
      </c>
      <c r="B88" t="s">
        <v>128</v>
      </c>
      <c r="C88">
        <v>0.03</v>
      </c>
      <c r="D88">
        <v>0</v>
      </c>
      <c r="E88">
        <v>0</v>
      </c>
      <c r="F88">
        <v>6</v>
      </c>
      <c r="H88">
        <v>0</v>
      </c>
      <c r="I88">
        <v>0</v>
      </c>
      <c r="J88">
        <v>0</v>
      </c>
      <c r="K88">
        <v>0</v>
      </c>
      <c r="L88">
        <v>0</v>
      </c>
      <c r="M88">
        <v>0</v>
      </c>
      <c r="N88">
        <v>0</v>
      </c>
    </row>
    <row r="89" spans="1:14" x14ac:dyDescent="0.2">
      <c r="A89" t="s">
        <v>126</v>
      </c>
      <c r="B89" t="s">
        <v>129</v>
      </c>
      <c r="C89">
        <v>0.09</v>
      </c>
      <c r="D89">
        <v>0</v>
      </c>
      <c r="E89">
        <v>1</v>
      </c>
      <c r="F89">
        <v>10</v>
      </c>
      <c r="H89">
        <v>0</v>
      </c>
      <c r="I89">
        <v>0</v>
      </c>
      <c r="J89">
        <v>0</v>
      </c>
      <c r="K89">
        <v>0</v>
      </c>
      <c r="L89">
        <v>0</v>
      </c>
      <c r="M89">
        <v>0</v>
      </c>
      <c r="N89">
        <v>0</v>
      </c>
    </row>
    <row r="90" spans="1:14" x14ac:dyDescent="0.2">
      <c r="A90" t="s">
        <v>126</v>
      </c>
      <c r="B90" t="s">
        <v>130</v>
      </c>
      <c r="C90">
        <v>0.17</v>
      </c>
      <c r="D90">
        <v>0</v>
      </c>
      <c r="E90">
        <v>3</v>
      </c>
      <c r="F90">
        <v>5</v>
      </c>
      <c r="H90">
        <v>0</v>
      </c>
      <c r="I90">
        <v>0</v>
      </c>
      <c r="J90">
        <v>0</v>
      </c>
      <c r="K90">
        <v>0</v>
      </c>
      <c r="L90">
        <v>0</v>
      </c>
      <c r="M90">
        <v>0</v>
      </c>
      <c r="N90">
        <v>0</v>
      </c>
    </row>
    <row r="91" spans="1:14" x14ac:dyDescent="0.2">
      <c r="A91" t="s">
        <v>126</v>
      </c>
      <c r="B91" t="s">
        <v>131</v>
      </c>
      <c r="C91">
        <v>0.08</v>
      </c>
      <c r="D91">
        <v>0</v>
      </c>
      <c r="E91">
        <v>1</v>
      </c>
      <c r="F91">
        <v>7</v>
      </c>
      <c r="H91">
        <v>0</v>
      </c>
      <c r="I91">
        <v>0</v>
      </c>
      <c r="J91">
        <v>0</v>
      </c>
      <c r="K91">
        <v>0</v>
      </c>
      <c r="L91">
        <v>0</v>
      </c>
      <c r="M91">
        <v>0</v>
      </c>
      <c r="N91">
        <v>0</v>
      </c>
    </row>
    <row r="92" spans="1:14" x14ac:dyDescent="0.2">
      <c r="A92" t="s">
        <v>126</v>
      </c>
      <c r="B92" t="s">
        <v>132</v>
      </c>
      <c r="C92">
        <v>0.62</v>
      </c>
      <c r="D92">
        <v>0</v>
      </c>
      <c r="E92">
        <v>12</v>
      </c>
      <c r="F92">
        <v>4</v>
      </c>
      <c r="H92">
        <v>0</v>
      </c>
      <c r="I92">
        <v>0</v>
      </c>
      <c r="J92">
        <v>0</v>
      </c>
      <c r="K92">
        <v>0</v>
      </c>
      <c r="L92">
        <v>0</v>
      </c>
      <c r="M92">
        <v>0</v>
      </c>
      <c r="N92">
        <v>0</v>
      </c>
    </row>
    <row r="93" spans="1:14" x14ac:dyDescent="0.2">
      <c r="A93" t="s">
        <v>133</v>
      </c>
      <c r="B93" t="s">
        <v>134</v>
      </c>
      <c r="C93">
        <v>0.22</v>
      </c>
      <c r="D93">
        <v>0</v>
      </c>
      <c r="E93">
        <v>4</v>
      </c>
      <c r="F93">
        <v>4</v>
      </c>
      <c r="H93">
        <v>0</v>
      </c>
      <c r="I93">
        <v>0</v>
      </c>
      <c r="J93">
        <v>0</v>
      </c>
      <c r="K93">
        <v>0</v>
      </c>
      <c r="L93">
        <v>0</v>
      </c>
      <c r="M93">
        <v>0</v>
      </c>
      <c r="N93">
        <v>0</v>
      </c>
    </row>
    <row r="94" spans="1:14" x14ac:dyDescent="0.2">
      <c r="A94" t="s">
        <v>133</v>
      </c>
      <c r="B94" t="s">
        <v>135</v>
      </c>
      <c r="C94">
        <v>0.03</v>
      </c>
      <c r="D94">
        <v>0</v>
      </c>
      <c r="E94">
        <v>0</v>
      </c>
      <c r="F94">
        <v>6</v>
      </c>
      <c r="H94">
        <v>0</v>
      </c>
      <c r="I94">
        <v>0</v>
      </c>
      <c r="J94">
        <v>0</v>
      </c>
      <c r="K94">
        <v>0</v>
      </c>
      <c r="L94">
        <v>0</v>
      </c>
      <c r="M94">
        <v>0</v>
      </c>
      <c r="N94">
        <v>0</v>
      </c>
    </row>
    <row r="95" spans="1:14" x14ac:dyDescent="0.2">
      <c r="A95" t="s">
        <v>133</v>
      </c>
      <c r="B95" t="s">
        <v>136</v>
      </c>
      <c r="C95">
        <v>0.05</v>
      </c>
      <c r="D95">
        <v>0</v>
      </c>
      <c r="E95">
        <v>1</v>
      </c>
      <c r="F95">
        <v>0</v>
      </c>
      <c r="H95">
        <v>0</v>
      </c>
      <c r="I95">
        <v>0</v>
      </c>
      <c r="J95">
        <v>0</v>
      </c>
      <c r="K95">
        <v>0</v>
      </c>
      <c r="L95">
        <v>0</v>
      </c>
      <c r="M95">
        <v>0</v>
      </c>
      <c r="N95">
        <v>0</v>
      </c>
    </row>
    <row r="96" spans="1:14" x14ac:dyDescent="0.2">
      <c r="A96" t="s">
        <v>133</v>
      </c>
      <c r="B96" t="s">
        <v>137</v>
      </c>
      <c r="C96">
        <v>0.28999999999999998</v>
      </c>
      <c r="D96">
        <v>0</v>
      </c>
      <c r="E96">
        <v>5</v>
      </c>
      <c r="F96">
        <v>10</v>
      </c>
      <c r="H96">
        <v>0</v>
      </c>
      <c r="I96">
        <v>0</v>
      </c>
      <c r="J96">
        <v>0</v>
      </c>
      <c r="K96">
        <v>0</v>
      </c>
      <c r="L96">
        <v>0</v>
      </c>
      <c r="M96">
        <v>0</v>
      </c>
      <c r="N96">
        <v>0</v>
      </c>
    </row>
    <row r="97" spans="1:14" x14ac:dyDescent="0.2">
      <c r="A97" t="s">
        <v>138</v>
      </c>
      <c r="B97" t="s">
        <v>139</v>
      </c>
      <c r="C97">
        <v>0.25</v>
      </c>
      <c r="D97">
        <v>0</v>
      </c>
      <c r="E97">
        <v>5</v>
      </c>
      <c r="F97">
        <v>0</v>
      </c>
      <c r="H97">
        <v>0</v>
      </c>
      <c r="I97">
        <v>0</v>
      </c>
      <c r="J97">
        <v>0</v>
      </c>
      <c r="K97">
        <v>0</v>
      </c>
      <c r="L97">
        <v>0</v>
      </c>
      <c r="M97">
        <v>0</v>
      </c>
      <c r="N97">
        <v>0</v>
      </c>
    </row>
    <row r="98" spans="1:14" x14ac:dyDescent="0.2">
      <c r="A98" t="s">
        <v>138</v>
      </c>
      <c r="B98" t="s">
        <v>140</v>
      </c>
      <c r="C98">
        <v>0.02</v>
      </c>
      <c r="D98">
        <v>0</v>
      </c>
      <c r="E98">
        <v>0</v>
      </c>
      <c r="F98">
        <v>4</v>
      </c>
      <c r="H98">
        <v>0</v>
      </c>
      <c r="I98">
        <v>0</v>
      </c>
      <c r="J98">
        <v>0</v>
      </c>
      <c r="K98">
        <v>0</v>
      </c>
      <c r="L98">
        <v>0</v>
      </c>
      <c r="M98">
        <v>0</v>
      </c>
      <c r="N98">
        <v>0</v>
      </c>
    </row>
    <row r="99" spans="1:14" x14ac:dyDescent="0.2">
      <c r="A99" t="s">
        <v>138</v>
      </c>
      <c r="B99" t="s">
        <v>117</v>
      </c>
      <c r="C99">
        <v>0.27</v>
      </c>
      <c r="D99">
        <v>0</v>
      </c>
      <c r="E99">
        <v>5</v>
      </c>
      <c r="F99">
        <v>4</v>
      </c>
      <c r="H99">
        <v>0</v>
      </c>
      <c r="I99">
        <v>0</v>
      </c>
      <c r="J99">
        <v>0</v>
      </c>
      <c r="K99">
        <v>0</v>
      </c>
      <c r="L99">
        <v>0</v>
      </c>
      <c r="M99">
        <v>0</v>
      </c>
      <c r="N99">
        <v>0</v>
      </c>
    </row>
    <row r="100" spans="1:14" x14ac:dyDescent="0.2">
      <c r="A100" t="s">
        <v>141</v>
      </c>
      <c r="B100" t="s">
        <v>142</v>
      </c>
      <c r="C100">
        <v>0.15</v>
      </c>
      <c r="D100">
        <v>0</v>
      </c>
      <c r="E100">
        <v>3</v>
      </c>
      <c r="F100">
        <v>0</v>
      </c>
      <c r="H100">
        <v>0</v>
      </c>
      <c r="I100">
        <v>0</v>
      </c>
      <c r="J100">
        <v>0</v>
      </c>
      <c r="K100">
        <v>0</v>
      </c>
      <c r="L100">
        <v>0</v>
      </c>
      <c r="M100">
        <v>0</v>
      </c>
      <c r="N100">
        <v>0</v>
      </c>
    </row>
    <row r="101" spans="1:14" x14ac:dyDescent="0.2">
      <c r="A101" t="s">
        <v>143</v>
      </c>
      <c r="B101" t="s">
        <v>144</v>
      </c>
      <c r="C101">
        <v>0.67</v>
      </c>
      <c r="D101">
        <v>0</v>
      </c>
      <c r="E101">
        <v>13</v>
      </c>
      <c r="F101">
        <v>4</v>
      </c>
      <c r="H101">
        <v>0</v>
      </c>
      <c r="I101">
        <v>0</v>
      </c>
      <c r="J101">
        <v>0</v>
      </c>
      <c r="K101">
        <v>0</v>
      </c>
      <c r="L101">
        <v>0</v>
      </c>
      <c r="M101">
        <v>0</v>
      </c>
      <c r="N101">
        <v>0</v>
      </c>
    </row>
    <row r="102" spans="1:14" x14ac:dyDescent="0.2">
      <c r="A102" t="s">
        <v>143</v>
      </c>
      <c r="B102" t="s">
        <v>145</v>
      </c>
      <c r="C102">
        <v>0.2</v>
      </c>
      <c r="D102">
        <v>0</v>
      </c>
      <c r="E102">
        <v>4</v>
      </c>
      <c r="F102">
        <v>0</v>
      </c>
      <c r="H102">
        <v>0</v>
      </c>
      <c r="I102">
        <v>0</v>
      </c>
      <c r="J102">
        <v>0</v>
      </c>
      <c r="K102">
        <v>0</v>
      </c>
      <c r="L102">
        <v>0</v>
      </c>
      <c r="M102">
        <v>0</v>
      </c>
      <c r="N102">
        <v>0</v>
      </c>
    </row>
    <row r="103" spans="1:14" x14ac:dyDescent="0.2">
      <c r="A103" t="s">
        <v>143</v>
      </c>
      <c r="B103" t="s">
        <v>146</v>
      </c>
      <c r="C103">
        <v>1.68</v>
      </c>
      <c r="D103">
        <v>1</v>
      </c>
      <c r="E103">
        <v>13</v>
      </c>
      <c r="F103">
        <v>8</v>
      </c>
      <c r="H103">
        <v>0</v>
      </c>
      <c r="I103">
        <v>0</v>
      </c>
      <c r="J103">
        <v>0</v>
      </c>
      <c r="K103">
        <v>0</v>
      </c>
      <c r="L103">
        <v>0</v>
      </c>
      <c r="M103">
        <v>0</v>
      </c>
      <c r="N103">
        <v>0</v>
      </c>
    </row>
    <row r="104" spans="1:14" x14ac:dyDescent="0.2">
      <c r="A104" t="s">
        <v>147</v>
      </c>
      <c r="B104" t="s">
        <v>148</v>
      </c>
      <c r="C104">
        <v>0.05</v>
      </c>
      <c r="D104">
        <v>0</v>
      </c>
      <c r="E104">
        <v>1</v>
      </c>
      <c r="F104">
        <v>0</v>
      </c>
      <c r="H104">
        <v>0</v>
      </c>
      <c r="I104">
        <v>0</v>
      </c>
      <c r="J104">
        <v>0</v>
      </c>
      <c r="K104">
        <v>0</v>
      </c>
      <c r="L104">
        <v>0</v>
      </c>
      <c r="M104">
        <v>0</v>
      </c>
      <c r="N104">
        <v>0</v>
      </c>
    </row>
    <row r="105" spans="1:14" x14ac:dyDescent="0.2">
      <c r="A105" t="s">
        <v>147</v>
      </c>
      <c r="B105" t="s">
        <v>149</v>
      </c>
      <c r="C105">
        <v>0.11</v>
      </c>
      <c r="D105">
        <v>0</v>
      </c>
      <c r="E105">
        <v>2</v>
      </c>
      <c r="F105">
        <v>3</v>
      </c>
      <c r="H105">
        <v>0</v>
      </c>
      <c r="I105">
        <v>0</v>
      </c>
      <c r="J105">
        <v>0</v>
      </c>
      <c r="K105">
        <v>0</v>
      </c>
      <c r="L105">
        <v>0</v>
      </c>
      <c r="M105">
        <v>0</v>
      </c>
      <c r="N105">
        <v>0</v>
      </c>
    </row>
    <row r="106" spans="1:14" x14ac:dyDescent="0.2">
      <c r="A106" t="s">
        <v>147</v>
      </c>
      <c r="B106" t="s">
        <v>150</v>
      </c>
      <c r="C106">
        <v>0.2</v>
      </c>
      <c r="D106">
        <v>0</v>
      </c>
      <c r="E106">
        <v>4</v>
      </c>
      <c r="F106">
        <v>1</v>
      </c>
      <c r="H106">
        <v>0</v>
      </c>
      <c r="I106">
        <v>0</v>
      </c>
      <c r="J106">
        <v>0</v>
      </c>
      <c r="K106">
        <v>0</v>
      </c>
      <c r="L106">
        <v>0</v>
      </c>
      <c r="M106">
        <v>0</v>
      </c>
      <c r="N106">
        <v>0</v>
      </c>
    </row>
    <row r="107" spans="1:14" x14ac:dyDescent="0.2">
      <c r="A107" t="s">
        <v>147</v>
      </c>
      <c r="B107" t="s">
        <v>151</v>
      </c>
      <c r="C107">
        <v>0</v>
      </c>
      <c r="D107">
        <v>0</v>
      </c>
      <c r="E107">
        <v>0</v>
      </c>
      <c r="F107">
        <v>1</v>
      </c>
      <c r="H107">
        <v>0</v>
      </c>
      <c r="I107">
        <v>0</v>
      </c>
      <c r="J107">
        <v>0</v>
      </c>
      <c r="K107">
        <v>0</v>
      </c>
      <c r="L107">
        <v>0</v>
      </c>
      <c r="M107">
        <v>0</v>
      </c>
      <c r="N107">
        <v>0</v>
      </c>
    </row>
    <row r="108" spans="1:14" x14ac:dyDescent="0.2">
      <c r="A108" t="s">
        <v>147</v>
      </c>
      <c r="B108" t="s">
        <v>152</v>
      </c>
      <c r="C108">
        <v>0.13</v>
      </c>
      <c r="D108">
        <v>0</v>
      </c>
      <c r="E108">
        <v>2</v>
      </c>
      <c r="F108">
        <v>8</v>
      </c>
      <c r="H108">
        <v>0</v>
      </c>
      <c r="I108">
        <v>0</v>
      </c>
      <c r="J108">
        <v>0</v>
      </c>
      <c r="K108">
        <v>0</v>
      </c>
      <c r="L108">
        <v>0</v>
      </c>
      <c r="M108">
        <v>0</v>
      </c>
      <c r="N108">
        <v>0</v>
      </c>
    </row>
    <row r="109" spans="1:14" x14ac:dyDescent="0.2">
      <c r="A109" t="s">
        <v>147</v>
      </c>
      <c r="B109" t="s">
        <v>153</v>
      </c>
      <c r="C109">
        <v>0.03</v>
      </c>
      <c r="D109">
        <v>0</v>
      </c>
      <c r="E109">
        <v>0</v>
      </c>
      <c r="F109">
        <v>6</v>
      </c>
      <c r="H109">
        <v>0</v>
      </c>
      <c r="I109">
        <v>0</v>
      </c>
      <c r="J109">
        <v>0</v>
      </c>
      <c r="K109">
        <v>0</v>
      </c>
      <c r="L109">
        <v>0</v>
      </c>
      <c r="M109">
        <v>0</v>
      </c>
      <c r="N109">
        <v>0</v>
      </c>
    </row>
    <row r="110" spans="1:14" x14ac:dyDescent="0.2">
      <c r="A110" t="s">
        <v>147</v>
      </c>
      <c r="B110" t="s">
        <v>154</v>
      </c>
      <c r="C110">
        <v>0.04</v>
      </c>
      <c r="D110">
        <v>0</v>
      </c>
      <c r="E110">
        <v>0</v>
      </c>
      <c r="F110">
        <v>9</v>
      </c>
      <c r="H110">
        <v>0</v>
      </c>
      <c r="I110">
        <v>0</v>
      </c>
      <c r="J110">
        <v>0</v>
      </c>
      <c r="K110">
        <v>0</v>
      </c>
      <c r="L110">
        <v>0</v>
      </c>
      <c r="M110">
        <v>0</v>
      </c>
      <c r="N110">
        <v>0</v>
      </c>
    </row>
    <row r="111" spans="1:14" x14ac:dyDescent="0.2">
      <c r="A111" t="s">
        <v>147</v>
      </c>
      <c r="B111" t="s">
        <v>155</v>
      </c>
      <c r="C111">
        <v>0.56999999999999995</v>
      </c>
      <c r="D111">
        <v>0</v>
      </c>
      <c r="E111">
        <v>11</v>
      </c>
      <c r="F111">
        <v>4</v>
      </c>
      <c r="H111">
        <v>0</v>
      </c>
      <c r="I111">
        <v>0</v>
      </c>
      <c r="J111">
        <v>0</v>
      </c>
      <c r="K111">
        <v>0</v>
      </c>
      <c r="L111">
        <v>0</v>
      </c>
      <c r="M111">
        <v>0</v>
      </c>
      <c r="N111">
        <v>0</v>
      </c>
    </row>
    <row r="112" spans="1:14" x14ac:dyDescent="0.2">
      <c r="A112" t="s">
        <v>156</v>
      </c>
      <c r="B112" t="s">
        <v>157</v>
      </c>
      <c r="C112">
        <v>0.09</v>
      </c>
      <c r="D112">
        <v>0</v>
      </c>
      <c r="E112">
        <v>1</v>
      </c>
      <c r="F112">
        <v>8.5</v>
      </c>
      <c r="H112">
        <v>0</v>
      </c>
      <c r="I112">
        <v>0</v>
      </c>
      <c r="J112">
        <v>0</v>
      </c>
      <c r="K112">
        <v>0</v>
      </c>
      <c r="L112">
        <v>0</v>
      </c>
      <c r="M112">
        <v>0</v>
      </c>
      <c r="N112">
        <v>0</v>
      </c>
    </row>
    <row r="113" spans="1:14" x14ac:dyDescent="0.2">
      <c r="A113" t="s">
        <v>156</v>
      </c>
      <c r="B113" t="s">
        <v>158</v>
      </c>
      <c r="C113">
        <v>0.21</v>
      </c>
      <c r="D113">
        <v>0</v>
      </c>
      <c r="E113">
        <v>4</v>
      </c>
      <c r="F113">
        <v>2</v>
      </c>
      <c r="H113">
        <v>0</v>
      </c>
      <c r="I113">
        <v>0</v>
      </c>
      <c r="J113">
        <v>0</v>
      </c>
      <c r="K113">
        <v>0</v>
      </c>
      <c r="L113">
        <v>0</v>
      </c>
      <c r="M113">
        <v>0</v>
      </c>
      <c r="N113">
        <v>0</v>
      </c>
    </row>
    <row r="114" spans="1:14" x14ac:dyDescent="0.2">
      <c r="A114" t="s">
        <v>159</v>
      </c>
      <c r="B114" t="s">
        <v>160</v>
      </c>
      <c r="C114">
        <v>11.58</v>
      </c>
      <c r="D114">
        <v>11</v>
      </c>
      <c r="E114">
        <v>11</v>
      </c>
      <c r="F114">
        <v>6.25</v>
      </c>
      <c r="H114">
        <v>0</v>
      </c>
      <c r="I114">
        <v>0</v>
      </c>
      <c r="J114">
        <v>0</v>
      </c>
      <c r="K114">
        <v>0</v>
      </c>
      <c r="L114">
        <v>0</v>
      </c>
      <c r="M114">
        <v>0</v>
      </c>
      <c r="N114">
        <v>0</v>
      </c>
    </row>
    <row r="115" spans="1:14" x14ac:dyDescent="0.2">
      <c r="A115" t="s">
        <v>161</v>
      </c>
      <c r="B115" t="s">
        <v>162</v>
      </c>
      <c r="C115">
        <v>17.41</v>
      </c>
      <c r="D115">
        <v>17</v>
      </c>
      <c r="E115">
        <v>8</v>
      </c>
      <c r="F115">
        <v>2.25</v>
      </c>
      <c r="H115">
        <v>0</v>
      </c>
      <c r="I115">
        <v>0</v>
      </c>
      <c r="J115">
        <v>0</v>
      </c>
      <c r="K115">
        <v>0</v>
      </c>
      <c r="L115">
        <v>0</v>
      </c>
      <c r="M115">
        <v>0</v>
      </c>
      <c r="N115">
        <v>0</v>
      </c>
    </row>
    <row r="116" spans="1:14" x14ac:dyDescent="0.2">
      <c r="A116" t="s">
        <v>161</v>
      </c>
      <c r="B116" t="s">
        <v>163</v>
      </c>
      <c r="C116">
        <v>0.14000000000000001</v>
      </c>
      <c r="D116">
        <v>0</v>
      </c>
      <c r="E116">
        <v>2</v>
      </c>
      <c r="F116">
        <v>10</v>
      </c>
      <c r="H116">
        <v>0</v>
      </c>
      <c r="I116">
        <v>0</v>
      </c>
      <c r="J116">
        <v>0</v>
      </c>
      <c r="K116">
        <v>0</v>
      </c>
      <c r="L116">
        <v>0</v>
      </c>
      <c r="M116">
        <v>0</v>
      </c>
      <c r="N116">
        <v>0</v>
      </c>
    </row>
    <row r="117" spans="1:14" x14ac:dyDescent="0.2">
      <c r="A117" t="s">
        <v>164</v>
      </c>
      <c r="B117" t="s">
        <v>165</v>
      </c>
      <c r="C117">
        <v>1</v>
      </c>
      <c r="D117">
        <v>1</v>
      </c>
      <c r="E117">
        <v>0</v>
      </c>
      <c r="F117">
        <v>0</v>
      </c>
      <c r="H117">
        <v>0</v>
      </c>
      <c r="I117">
        <v>0</v>
      </c>
      <c r="J117">
        <v>0</v>
      </c>
      <c r="K117">
        <v>0</v>
      </c>
      <c r="L117">
        <v>0</v>
      </c>
      <c r="M117">
        <v>0</v>
      </c>
      <c r="N117">
        <v>0</v>
      </c>
    </row>
    <row r="118" spans="1:14" x14ac:dyDescent="0.2">
      <c r="A118" t="s">
        <v>164</v>
      </c>
      <c r="B118" t="s">
        <v>166</v>
      </c>
      <c r="C118">
        <v>1</v>
      </c>
      <c r="D118">
        <v>1</v>
      </c>
      <c r="E118">
        <v>0</v>
      </c>
      <c r="F118">
        <v>0</v>
      </c>
      <c r="H118">
        <v>0</v>
      </c>
      <c r="I118">
        <v>0</v>
      </c>
      <c r="J118">
        <v>0</v>
      </c>
      <c r="K118">
        <v>0</v>
      </c>
      <c r="L118">
        <v>0</v>
      </c>
      <c r="M118">
        <v>0</v>
      </c>
      <c r="N118">
        <v>0</v>
      </c>
    </row>
    <row r="119" spans="1:14" x14ac:dyDescent="0.2">
      <c r="A119" t="s">
        <v>164</v>
      </c>
      <c r="B119" t="s">
        <v>167</v>
      </c>
      <c r="C119">
        <v>1</v>
      </c>
      <c r="D119">
        <v>1</v>
      </c>
      <c r="E119">
        <v>0</v>
      </c>
      <c r="F119">
        <v>0</v>
      </c>
      <c r="H119">
        <v>0</v>
      </c>
      <c r="I119">
        <v>0</v>
      </c>
      <c r="J119">
        <v>0</v>
      </c>
      <c r="K119">
        <v>0</v>
      </c>
      <c r="L119">
        <v>0</v>
      </c>
      <c r="M119">
        <v>0</v>
      </c>
      <c r="N119">
        <v>0</v>
      </c>
    </row>
    <row r="120" spans="1:14" x14ac:dyDescent="0.2">
      <c r="A120" t="s">
        <v>164</v>
      </c>
      <c r="B120" t="s">
        <v>167</v>
      </c>
      <c r="C120">
        <v>1</v>
      </c>
      <c r="D120">
        <v>1</v>
      </c>
      <c r="E120">
        <v>0</v>
      </c>
      <c r="F120">
        <v>0</v>
      </c>
      <c r="H120">
        <v>0</v>
      </c>
      <c r="I120">
        <v>0</v>
      </c>
      <c r="J120">
        <v>0</v>
      </c>
      <c r="K120">
        <v>0</v>
      </c>
      <c r="L120">
        <v>0</v>
      </c>
      <c r="M120">
        <v>0</v>
      </c>
      <c r="N120">
        <v>0</v>
      </c>
    </row>
    <row r="121" spans="1:14" x14ac:dyDescent="0.2">
      <c r="A121" t="s">
        <v>164</v>
      </c>
      <c r="B121" t="s">
        <v>168</v>
      </c>
      <c r="C121">
        <v>4</v>
      </c>
      <c r="D121">
        <v>4</v>
      </c>
      <c r="E121">
        <v>0</v>
      </c>
      <c r="F121">
        <v>0</v>
      </c>
      <c r="H121">
        <v>0</v>
      </c>
      <c r="I121">
        <v>0</v>
      </c>
      <c r="J121">
        <v>0</v>
      </c>
      <c r="K121">
        <v>0</v>
      </c>
      <c r="L121">
        <v>0</v>
      </c>
      <c r="M121">
        <v>0</v>
      </c>
      <c r="N121">
        <v>0</v>
      </c>
    </row>
    <row r="122" spans="1:14" x14ac:dyDescent="0.2">
      <c r="A122" t="s">
        <v>169</v>
      </c>
      <c r="B122" t="s">
        <v>170</v>
      </c>
      <c r="C122">
        <v>0.25</v>
      </c>
      <c r="D122">
        <v>0</v>
      </c>
      <c r="E122">
        <v>5</v>
      </c>
      <c r="F122">
        <v>0</v>
      </c>
      <c r="H122">
        <v>0</v>
      </c>
      <c r="I122">
        <v>0</v>
      </c>
      <c r="J122">
        <v>0</v>
      </c>
      <c r="K122">
        <v>0</v>
      </c>
      <c r="L122">
        <v>0</v>
      </c>
      <c r="M122">
        <v>0</v>
      </c>
      <c r="N122">
        <v>0</v>
      </c>
    </row>
    <row r="123" spans="1:14" x14ac:dyDescent="0.2">
      <c r="A123" t="s">
        <v>169</v>
      </c>
      <c r="B123" t="s">
        <v>171</v>
      </c>
      <c r="C123">
        <v>0.25</v>
      </c>
      <c r="D123">
        <v>0</v>
      </c>
      <c r="E123">
        <v>5</v>
      </c>
      <c r="F123">
        <v>0</v>
      </c>
      <c r="H123">
        <v>0</v>
      </c>
      <c r="I123">
        <v>0</v>
      </c>
      <c r="J123">
        <v>0</v>
      </c>
      <c r="K123">
        <v>0</v>
      </c>
      <c r="L123">
        <v>0</v>
      </c>
      <c r="M123">
        <v>0</v>
      </c>
      <c r="N123">
        <v>0</v>
      </c>
    </row>
    <row r="124" spans="1:14" x14ac:dyDescent="0.2">
      <c r="A124" t="s">
        <v>172</v>
      </c>
      <c r="B124" t="s">
        <v>173</v>
      </c>
      <c r="C124">
        <v>0.02</v>
      </c>
      <c r="D124">
        <v>0</v>
      </c>
      <c r="E124">
        <v>0</v>
      </c>
      <c r="F124">
        <v>5</v>
      </c>
      <c r="H124">
        <v>0</v>
      </c>
      <c r="I124">
        <v>0</v>
      </c>
      <c r="J124">
        <v>0</v>
      </c>
      <c r="K124">
        <v>0</v>
      </c>
      <c r="L124">
        <v>0</v>
      </c>
      <c r="M124">
        <v>0</v>
      </c>
      <c r="N124">
        <v>0</v>
      </c>
    </row>
    <row r="125" spans="1:14" x14ac:dyDescent="0.2">
      <c r="A125" t="s">
        <v>172</v>
      </c>
      <c r="B125" t="s">
        <v>174</v>
      </c>
      <c r="C125">
        <v>0.01</v>
      </c>
      <c r="D125">
        <v>0</v>
      </c>
      <c r="E125">
        <v>0</v>
      </c>
      <c r="F125">
        <v>2.5</v>
      </c>
      <c r="H125">
        <v>0</v>
      </c>
      <c r="I125">
        <v>0</v>
      </c>
      <c r="J125">
        <v>0</v>
      </c>
      <c r="K125">
        <v>0</v>
      </c>
      <c r="L125">
        <v>0</v>
      </c>
      <c r="M125">
        <v>0</v>
      </c>
      <c r="N125">
        <v>0</v>
      </c>
    </row>
    <row r="126" spans="1:14" x14ac:dyDescent="0.2">
      <c r="A126" t="s">
        <v>172</v>
      </c>
      <c r="B126" t="s">
        <v>175</v>
      </c>
      <c r="C126">
        <v>0.02</v>
      </c>
      <c r="D126">
        <v>0</v>
      </c>
      <c r="E126">
        <v>0</v>
      </c>
      <c r="F126">
        <v>5</v>
      </c>
      <c r="H126">
        <v>0</v>
      </c>
      <c r="I126">
        <v>0</v>
      </c>
      <c r="J126">
        <v>0</v>
      </c>
      <c r="K126">
        <v>0</v>
      </c>
      <c r="L126">
        <v>0</v>
      </c>
      <c r="M126">
        <v>0</v>
      </c>
      <c r="N126">
        <v>0</v>
      </c>
    </row>
    <row r="127" spans="1:14" x14ac:dyDescent="0.2">
      <c r="A127" t="s">
        <v>172</v>
      </c>
      <c r="B127" t="s">
        <v>176</v>
      </c>
      <c r="C127">
        <v>0.02</v>
      </c>
      <c r="D127">
        <v>0</v>
      </c>
      <c r="E127">
        <v>0</v>
      </c>
      <c r="F127">
        <v>5</v>
      </c>
      <c r="H127">
        <v>0</v>
      </c>
      <c r="I127">
        <v>0</v>
      </c>
      <c r="J127">
        <v>0</v>
      </c>
      <c r="K127">
        <v>0</v>
      </c>
      <c r="L127">
        <v>0</v>
      </c>
      <c r="M127">
        <v>0</v>
      </c>
      <c r="N127">
        <v>0</v>
      </c>
    </row>
    <row r="128" spans="1:14" x14ac:dyDescent="0.2">
      <c r="A128" t="s">
        <v>172</v>
      </c>
      <c r="B128" t="s">
        <v>177</v>
      </c>
      <c r="C128">
        <v>0.02</v>
      </c>
      <c r="D128">
        <v>0</v>
      </c>
      <c r="E128">
        <v>0</v>
      </c>
      <c r="F128">
        <v>5</v>
      </c>
      <c r="H128">
        <v>0</v>
      </c>
      <c r="I128">
        <v>0</v>
      </c>
      <c r="J128">
        <v>0</v>
      </c>
      <c r="K128">
        <v>0</v>
      </c>
      <c r="L128">
        <v>0</v>
      </c>
      <c r="M128">
        <v>0</v>
      </c>
      <c r="N128">
        <v>0</v>
      </c>
    </row>
    <row r="129" spans="1:14" x14ac:dyDescent="0.2">
      <c r="A129" t="s">
        <v>172</v>
      </c>
      <c r="B129" t="s">
        <v>178</v>
      </c>
      <c r="C129">
        <v>0.01</v>
      </c>
      <c r="D129">
        <v>0</v>
      </c>
      <c r="E129">
        <v>0</v>
      </c>
      <c r="F129">
        <v>2.5</v>
      </c>
      <c r="H129">
        <v>0</v>
      </c>
      <c r="I129">
        <v>0</v>
      </c>
      <c r="J129">
        <v>0</v>
      </c>
      <c r="K129">
        <v>0</v>
      </c>
      <c r="L129">
        <v>0</v>
      </c>
      <c r="M129">
        <v>0</v>
      </c>
      <c r="N129">
        <v>0</v>
      </c>
    </row>
    <row r="130" spans="1:14" x14ac:dyDescent="0.2">
      <c r="A130" t="s">
        <v>172</v>
      </c>
      <c r="B130" t="s">
        <v>179</v>
      </c>
      <c r="C130">
        <v>0.02</v>
      </c>
      <c r="D130">
        <v>0</v>
      </c>
      <c r="E130">
        <v>0</v>
      </c>
      <c r="F130">
        <v>5</v>
      </c>
      <c r="H130">
        <v>0</v>
      </c>
      <c r="I130">
        <v>0</v>
      </c>
      <c r="J130">
        <v>0</v>
      </c>
      <c r="K130">
        <v>0</v>
      </c>
      <c r="L130">
        <v>0</v>
      </c>
      <c r="M130">
        <v>0</v>
      </c>
      <c r="N130">
        <v>0</v>
      </c>
    </row>
    <row r="131" spans="1:14" x14ac:dyDescent="0.2">
      <c r="A131" t="s">
        <v>172</v>
      </c>
      <c r="B131" t="s">
        <v>180</v>
      </c>
      <c r="C131">
        <v>0.02</v>
      </c>
      <c r="D131">
        <v>0</v>
      </c>
      <c r="E131">
        <v>0</v>
      </c>
      <c r="F131">
        <v>5</v>
      </c>
      <c r="H131">
        <v>0</v>
      </c>
      <c r="I131">
        <v>0</v>
      </c>
      <c r="J131">
        <v>0</v>
      </c>
      <c r="K131">
        <v>0</v>
      </c>
      <c r="L131">
        <v>0</v>
      </c>
      <c r="M131">
        <v>0</v>
      </c>
      <c r="N131">
        <v>0</v>
      </c>
    </row>
    <row r="132" spans="1:14" x14ac:dyDescent="0.2">
      <c r="A132" t="s">
        <v>172</v>
      </c>
      <c r="B132" t="s">
        <v>181</v>
      </c>
      <c r="C132">
        <v>0.02</v>
      </c>
      <c r="D132">
        <v>0</v>
      </c>
      <c r="E132">
        <v>0</v>
      </c>
      <c r="F132">
        <v>5</v>
      </c>
      <c r="H132">
        <v>0</v>
      </c>
      <c r="I132">
        <v>0</v>
      </c>
      <c r="J132">
        <v>0</v>
      </c>
      <c r="K132">
        <v>0</v>
      </c>
      <c r="L132">
        <v>0</v>
      </c>
      <c r="M132">
        <v>0</v>
      </c>
      <c r="N132">
        <v>0</v>
      </c>
    </row>
    <row r="133" spans="1:14" x14ac:dyDescent="0.2">
      <c r="A133" t="s">
        <v>172</v>
      </c>
      <c r="B133" t="s">
        <v>182</v>
      </c>
      <c r="C133">
        <v>0.02</v>
      </c>
      <c r="D133">
        <v>0</v>
      </c>
      <c r="E133">
        <v>0</v>
      </c>
      <c r="F133">
        <v>5</v>
      </c>
      <c r="H133">
        <v>0</v>
      </c>
      <c r="I133">
        <v>0</v>
      </c>
      <c r="J133">
        <v>0</v>
      </c>
      <c r="K133">
        <v>0</v>
      </c>
      <c r="L133">
        <v>0</v>
      </c>
      <c r="M133">
        <v>0</v>
      </c>
      <c r="N133">
        <v>0</v>
      </c>
    </row>
    <row r="134" spans="1:14" x14ac:dyDescent="0.2">
      <c r="A134" t="s">
        <v>172</v>
      </c>
      <c r="B134" t="s">
        <v>183</v>
      </c>
      <c r="C134">
        <v>0.02</v>
      </c>
      <c r="D134">
        <v>0</v>
      </c>
      <c r="E134">
        <v>0</v>
      </c>
      <c r="F134">
        <v>5</v>
      </c>
      <c r="H134">
        <v>0</v>
      </c>
      <c r="I134">
        <v>0</v>
      </c>
      <c r="J134">
        <v>0</v>
      </c>
      <c r="K134">
        <v>0</v>
      </c>
      <c r="L134">
        <v>0</v>
      </c>
      <c r="M134">
        <v>0</v>
      </c>
      <c r="N134">
        <v>0</v>
      </c>
    </row>
    <row r="135" spans="1:14" x14ac:dyDescent="0.2">
      <c r="A135" t="s">
        <v>172</v>
      </c>
      <c r="B135" t="s">
        <v>184</v>
      </c>
      <c r="C135">
        <v>0.02</v>
      </c>
      <c r="D135">
        <v>0</v>
      </c>
      <c r="E135">
        <v>0</v>
      </c>
      <c r="F135">
        <v>5</v>
      </c>
      <c r="H135">
        <v>0</v>
      </c>
      <c r="I135">
        <v>0</v>
      </c>
      <c r="J135">
        <v>0</v>
      </c>
      <c r="K135">
        <v>0</v>
      </c>
      <c r="L135">
        <v>0</v>
      </c>
      <c r="M135">
        <v>0</v>
      </c>
      <c r="N135">
        <v>0</v>
      </c>
    </row>
    <row r="136" spans="1:14" x14ac:dyDescent="0.2">
      <c r="A136" t="s">
        <v>172</v>
      </c>
      <c r="B136" t="s">
        <v>185</v>
      </c>
      <c r="C136">
        <v>0.02</v>
      </c>
      <c r="D136">
        <v>0</v>
      </c>
      <c r="E136">
        <v>0</v>
      </c>
      <c r="F136">
        <v>5</v>
      </c>
      <c r="H136">
        <v>0</v>
      </c>
      <c r="I136">
        <v>0</v>
      </c>
      <c r="J136">
        <v>0</v>
      </c>
      <c r="K136">
        <v>0</v>
      </c>
      <c r="L136">
        <v>0</v>
      </c>
      <c r="M136">
        <v>0</v>
      </c>
      <c r="N136">
        <v>0</v>
      </c>
    </row>
    <row r="137" spans="1:14" x14ac:dyDescent="0.2">
      <c r="A137" t="s">
        <v>172</v>
      </c>
      <c r="B137" t="s">
        <v>186</v>
      </c>
      <c r="C137">
        <v>0.02</v>
      </c>
      <c r="D137">
        <v>0</v>
      </c>
      <c r="E137">
        <v>0</v>
      </c>
      <c r="F137">
        <v>5</v>
      </c>
      <c r="H137">
        <v>0</v>
      </c>
      <c r="I137">
        <v>0</v>
      </c>
      <c r="J137">
        <v>0</v>
      </c>
      <c r="K137">
        <v>0</v>
      </c>
      <c r="L137">
        <v>0</v>
      </c>
      <c r="M137">
        <v>0</v>
      </c>
      <c r="N137">
        <v>0</v>
      </c>
    </row>
    <row r="138" spans="1:14" x14ac:dyDescent="0.2">
      <c r="A138" t="s">
        <v>172</v>
      </c>
      <c r="B138" t="s">
        <v>187</v>
      </c>
      <c r="C138">
        <v>0.02</v>
      </c>
      <c r="D138">
        <v>0</v>
      </c>
      <c r="E138">
        <v>0</v>
      </c>
      <c r="F138">
        <v>5</v>
      </c>
      <c r="H138">
        <v>0</v>
      </c>
      <c r="I138">
        <v>0</v>
      </c>
      <c r="J138">
        <v>0</v>
      </c>
      <c r="K138">
        <v>0</v>
      </c>
      <c r="L138">
        <v>0</v>
      </c>
      <c r="M138">
        <v>0</v>
      </c>
      <c r="N138">
        <v>0</v>
      </c>
    </row>
    <row r="139" spans="1:14" x14ac:dyDescent="0.2">
      <c r="A139" t="s">
        <v>172</v>
      </c>
      <c r="B139" t="s">
        <v>137</v>
      </c>
      <c r="C139">
        <v>0.28999999999999998</v>
      </c>
      <c r="D139">
        <v>0</v>
      </c>
      <c r="E139">
        <v>5</v>
      </c>
      <c r="F139">
        <v>10</v>
      </c>
      <c r="H139">
        <v>0</v>
      </c>
      <c r="I139">
        <v>0</v>
      </c>
      <c r="J139">
        <v>0</v>
      </c>
      <c r="K139">
        <v>0</v>
      </c>
      <c r="L139">
        <v>0</v>
      </c>
      <c r="M139">
        <v>0</v>
      </c>
      <c r="N139">
        <v>0</v>
      </c>
    </row>
    <row r="140" spans="1:14" x14ac:dyDescent="0.2">
      <c r="A140" t="s">
        <v>88</v>
      </c>
      <c r="B140" t="s">
        <v>188</v>
      </c>
      <c r="C140">
        <v>0.02</v>
      </c>
      <c r="D140">
        <v>0</v>
      </c>
      <c r="E140">
        <v>0</v>
      </c>
      <c r="F140">
        <v>5</v>
      </c>
      <c r="H140">
        <v>0</v>
      </c>
      <c r="I140">
        <v>0</v>
      </c>
      <c r="J140">
        <v>0</v>
      </c>
      <c r="K140">
        <v>0</v>
      </c>
      <c r="L140">
        <v>0</v>
      </c>
      <c r="M140">
        <v>0</v>
      </c>
      <c r="N140">
        <v>0</v>
      </c>
    </row>
    <row r="141" spans="1:14" x14ac:dyDescent="0.2">
      <c r="A141" t="s">
        <v>88</v>
      </c>
      <c r="B141" t="s">
        <v>189</v>
      </c>
      <c r="C141">
        <v>0.02</v>
      </c>
      <c r="D141">
        <v>0</v>
      </c>
      <c r="E141">
        <v>0</v>
      </c>
      <c r="F141">
        <v>5</v>
      </c>
      <c r="H141">
        <v>0</v>
      </c>
      <c r="I141">
        <v>0</v>
      </c>
      <c r="J141">
        <v>0</v>
      </c>
      <c r="K141">
        <v>0</v>
      </c>
      <c r="L141">
        <v>0</v>
      </c>
      <c r="M141">
        <v>0</v>
      </c>
      <c r="N141">
        <v>0</v>
      </c>
    </row>
    <row r="142" spans="1:14" x14ac:dyDescent="0.2">
      <c r="A142" t="s">
        <v>88</v>
      </c>
      <c r="B142" t="s">
        <v>190</v>
      </c>
      <c r="C142">
        <v>0.02</v>
      </c>
      <c r="D142">
        <v>0</v>
      </c>
      <c r="E142">
        <v>0</v>
      </c>
      <c r="F142">
        <v>5</v>
      </c>
      <c r="H142">
        <v>0</v>
      </c>
      <c r="I142">
        <v>0</v>
      </c>
      <c r="J142">
        <v>0</v>
      </c>
      <c r="K142">
        <v>0</v>
      </c>
      <c r="L142">
        <v>0</v>
      </c>
      <c r="M142">
        <v>0</v>
      </c>
      <c r="N142">
        <v>0</v>
      </c>
    </row>
    <row r="143" spans="1:14" x14ac:dyDescent="0.2">
      <c r="A143" t="s">
        <v>88</v>
      </c>
      <c r="B143" t="s">
        <v>191</v>
      </c>
      <c r="C143">
        <v>0.02</v>
      </c>
      <c r="D143">
        <v>0</v>
      </c>
      <c r="E143">
        <v>0</v>
      </c>
      <c r="F143">
        <v>5</v>
      </c>
      <c r="H143">
        <v>0</v>
      </c>
      <c r="I143">
        <v>0</v>
      </c>
      <c r="J143">
        <v>0</v>
      </c>
      <c r="K143">
        <v>0</v>
      </c>
      <c r="L143">
        <v>0</v>
      </c>
      <c r="M143">
        <v>0</v>
      </c>
      <c r="N143">
        <v>0</v>
      </c>
    </row>
    <row r="144" spans="1:14" x14ac:dyDescent="0.2">
      <c r="A144" t="s">
        <v>88</v>
      </c>
      <c r="B144" t="s">
        <v>192</v>
      </c>
      <c r="C144">
        <v>0.08</v>
      </c>
      <c r="D144">
        <v>0</v>
      </c>
      <c r="E144">
        <v>1</v>
      </c>
      <c r="F144">
        <v>8</v>
      </c>
      <c r="H144">
        <v>0</v>
      </c>
      <c r="I144">
        <v>0</v>
      </c>
      <c r="J144">
        <v>0</v>
      </c>
      <c r="K144">
        <v>0</v>
      </c>
      <c r="L144">
        <v>0</v>
      </c>
      <c r="M144">
        <v>0</v>
      </c>
      <c r="N144">
        <v>0</v>
      </c>
    </row>
    <row r="145" spans="1:14" x14ac:dyDescent="0.2">
      <c r="A145" t="s">
        <v>112</v>
      </c>
      <c r="B145" t="s">
        <v>193</v>
      </c>
      <c r="C145">
        <v>0.02</v>
      </c>
      <c r="D145">
        <v>0</v>
      </c>
      <c r="E145">
        <v>0</v>
      </c>
      <c r="F145">
        <v>5</v>
      </c>
      <c r="H145">
        <v>0</v>
      </c>
      <c r="I145">
        <v>0</v>
      </c>
      <c r="J145">
        <v>0</v>
      </c>
      <c r="K145">
        <v>0</v>
      </c>
      <c r="L145">
        <v>0</v>
      </c>
      <c r="M145">
        <v>0</v>
      </c>
      <c r="N145">
        <v>0</v>
      </c>
    </row>
    <row r="146" spans="1:14" x14ac:dyDescent="0.2">
      <c r="A146" t="s">
        <v>112</v>
      </c>
      <c r="B146" t="s">
        <v>194</v>
      </c>
      <c r="C146">
        <v>0.02</v>
      </c>
      <c r="D146">
        <v>0</v>
      </c>
      <c r="E146">
        <v>0</v>
      </c>
      <c r="F146">
        <v>5</v>
      </c>
      <c r="H146">
        <v>0</v>
      </c>
      <c r="I146">
        <v>0</v>
      </c>
      <c r="J146">
        <v>0</v>
      </c>
      <c r="K146">
        <v>0</v>
      </c>
      <c r="L146">
        <v>0</v>
      </c>
      <c r="M146">
        <v>0</v>
      </c>
      <c r="N146">
        <v>0</v>
      </c>
    </row>
    <row r="147" spans="1:14" x14ac:dyDescent="0.2">
      <c r="A147" t="s">
        <v>195</v>
      </c>
      <c r="B147" t="s">
        <v>196</v>
      </c>
      <c r="C147">
        <v>0.02</v>
      </c>
      <c r="D147">
        <v>0</v>
      </c>
      <c r="E147">
        <v>0</v>
      </c>
      <c r="F147">
        <v>5</v>
      </c>
      <c r="H147">
        <v>0</v>
      </c>
      <c r="I147">
        <v>0</v>
      </c>
      <c r="J147">
        <v>0</v>
      </c>
      <c r="K147">
        <v>0</v>
      </c>
      <c r="L147">
        <v>0</v>
      </c>
      <c r="M147">
        <v>0</v>
      </c>
      <c r="N147">
        <v>0</v>
      </c>
    </row>
    <row r="148" spans="1:14" x14ac:dyDescent="0.2">
      <c r="A148" t="s">
        <v>195</v>
      </c>
      <c r="B148" t="s">
        <v>194</v>
      </c>
      <c r="C148">
        <v>0.02</v>
      </c>
      <c r="D148">
        <v>0</v>
      </c>
      <c r="E148">
        <v>0</v>
      </c>
      <c r="F148">
        <v>5</v>
      </c>
      <c r="H148">
        <v>0</v>
      </c>
      <c r="I148">
        <v>0</v>
      </c>
      <c r="J148">
        <v>0</v>
      </c>
      <c r="K148">
        <v>0</v>
      </c>
      <c r="L148">
        <v>0</v>
      </c>
      <c r="M148">
        <v>0</v>
      </c>
      <c r="N148">
        <v>0</v>
      </c>
    </row>
    <row r="149" spans="1:14" x14ac:dyDescent="0.2">
      <c r="A149" t="s">
        <v>124</v>
      </c>
      <c r="B149" t="s">
        <v>197</v>
      </c>
      <c r="C149">
        <v>0.02</v>
      </c>
      <c r="D149">
        <v>0</v>
      </c>
      <c r="E149">
        <v>0</v>
      </c>
      <c r="F149">
        <v>5</v>
      </c>
      <c r="H149">
        <v>0</v>
      </c>
      <c r="I149">
        <v>0</v>
      </c>
      <c r="J149">
        <v>0</v>
      </c>
      <c r="K149">
        <v>0</v>
      </c>
      <c r="L149">
        <v>0</v>
      </c>
      <c r="M149">
        <v>0</v>
      </c>
      <c r="N149">
        <v>0</v>
      </c>
    </row>
    <row r="150" spans="1:14" x14ac:dyDescent="0.2">
      <c r="A150" t="s">
        <v>124</v>
      </c>
      <c r="B150" t="s">
        <v>194</v>
      </c>
      <c r="C150">
        <v>0.02</v>
      </c>
      <c r="D150">
        <v>0</v>
      </c>
      <c r="E150">
        <v>0</v>
      </c>
      <c r="F150">
        <v>5</v>
      </c>
      <c r="H150">
        <v>0</v>
      </c>
      <c r="I150">
        <v>0</v>
      </c>
      <c r="J150">
        <v>0</v>
      </c>
      <c r="K150">
        <v>0</v>
      </c>
      <c r="L150">
        <v>0</v>
      </c>
      <c r="M150">
        <v>0</v>
      </c>
      <c r="N150">
        <v>0</v>
      </c>
    </row>
    <row r="151" spans="1:14" x14ac:dyDescent="0.2">
      <c r="A151" t="s">
        <v>126</v>
      </c>
      <c r="B151" t="s">
        <v>198</v>
      </c>
      <c r="C151">
        <v>0</v>
      </c>
      <c r="D151">
        <v>0</v>
      </c>
      <c r="E151">
        <v>0</v>
      </c>
      <c r="F151">
        <v>0</v>
      </c>
      <c r="H151">
        <v>0</v>
      </c>
      <c r="I151">
        <v>0</v>
      </c>
      <c r="J151">
        <v>0</v>
      </c>
      <c r="K151">
        <v>0</v>
      </c>
      <c r="L151">
        <v>0</v>
      </c>
      <c r="M151">
        <v>0</v>
      </c>
      <c r="N151">
        <v>0</v>
      </c>
    </row>
    <row r="152" spans="1:14" x14ac:dyDescent="0.2">
      <c r="A152" t="s">
        <v>143</v>
      </c>
      <c r="B152" t="s">
        <v>199</v>
      </c>
      <c r="C152">
        <v>0.02</v>
      </c>
      <c r="D152">
        <v>0</v>
      </c>
      <c r="E152">
        <v>0</v>
      </c>
      <c r="F152">
        <v>5</v>
      </c>
      <c r="H152">
        <v>0</v>
      </c>
      <c r="I152">
        <v>0</v>
      </c>
      <c r="J152">
        <v>0</v>
      </c>
      <c r="K152">
        <v>0</v>
      </c>
      <c r="L152">
        <v>0</v>
      </c>
      <c r="M152">
        <v>0</v>
      </c>
      <c r="N152">
        <v>0</v>
      </c>
    </row>
    <row r="153" spans="1:14" x14ac:dyDescent="0.2">
      <c r="A153" t="s">
        <v>143</v>
      </c>
      <c r="B153" t="s">
        <v>194</v>
      </c>
      <c r="C153">
        <v>0.02</v>
      </c>
      <c r="D153">
        <v>0</v>
      </c>
      <c r="E153">
        <v>0</v>
      </c>
      <c r="F153">
        <v>5</v>
      </c>
      <c r="H153">
        <v>0</v>
      </c>
      <c r="I153">
        <v>0</v>
      </c>
      <c r="J153">
        <v>0</v>
      </c>
      <c r="K153">
        <v>0</v>
      </c>
      <c r="L153">
        <v>0</v>
      </c>
      <c r="M153">
        <v>0</v>
      </c>
      <c r="N153">
        <v>0</v>
      </c>
    </row>
    <row r="154" spans="1:14" x14ac:dyDescent="0.2">
      <c r="A154" t="s">
        <v>200</v>
      </c>
      <c r="B154" t="s">
        <v>201</v>
      </c>
      <c r="C154">
        <v>0.46</v>
      </c>
      <c r="D154">
        <v>0</v>
      </c>
      <c r="E154">
        <v>9</v>
      </c>
      <c r="F154">
        <v>2</v>
      </c>
      <c r="H154">
        <v>0</v>
      </c>
      <c r="I154">
        <v>0</v>
      </c>
      <c r="J154">
        <v>0</v>
      </c>
      <c r="K154">
        <v>0</v>
      </c>
      <c r="L154">
        <v>0</v>
      </c>
      <c r="M154">
        <v>0</v>
      </c>
      <c r="N154">
        <v>0</v>
      </c>
    </row>
    <row r="155" spans="1:14" x14ac:dyDescent="0.2">
      <c r="A155" t="s">
        <v>202</v>
      </c>
      <c r="B155" t="s">
        <v>203</v>
      </c>
      <c r="C155">
        <v>2.02</v>
      </c>
      <c r="D155">
        <v>2</v>
      </c>
      <c r="E155">
        <v>0</v>
      </c>
      <c r="F155">
        <v>6</v>
      </c>
      <c r="H155">
        <v>0</v>
      </c>
      <c r="I155">
        <v>0</v>
      </c>
      <c r="J155">
        <v>0</v>
      </c>
      <c r="K155">
        <v>0</v>
      </c>
      <c r="L155">
        <v>0</v>
      </c>
      <c r="M155">
        <v>0</v>
      </c>
      <c r="N155">
        <v>0</v>
      </c>
    </row>
    <row r="156" spans="1:14" x14ac:dyDescent="0.2">
      <c r="A156" t="s">
        <v>202</v>
      </c>
      <c r="B156" t="s">
        <v>204</v>
      </c>
      <c r="C156">
        <v>0.2</v>
      </c>
      <c r="D156">
        <v>0</v>
      </c>
      <c r="E156">
        <v>4</v>
      </c>
      <c r="F156">
        <v>0</v>
      </c>
      <c r="H156">
        <v>0</v>
      </c>
      <c r="I156">
        <v>0</v>
      </c>
      <c r="J156">
        <v>0</v>
      </c>
      <c r="K156">
        <v>0</v>
      </c>
      <c r="L156">
        <v>0</v>
      </c>
      <c r="M156">
        <v>0</v>
      </c>
      <c r="N156">
        <v>0</v>
      </c>
    </row>
    <row r="157" spans="1:14" x14ac:dyDescent="0.2">
      <c r="A157" t="s">
        <v>202</v>
      </c>
      <c r="B157" t="s">
        <v>205</v>
      </c>
      <c r="C157">
        <v>0.14000000000000001</v>
      </c>
      <c r="D157">
        <v>0</v>
      </c>
      <c r="E157">
        <v>2</v>
      </c>
      <c r="F157">
        <v>9</v>
      </c>
      <c r="H157">
        <v>0</v>
      </c>
      <c r="I157">
        <v>0</v>
      </c>
      <c r="J157">
        <v>0</v>
      </c>
      <c r="K157">
        <v>0</v>
      </c>
      <c r="L157">
        <v>0</v>
      </c>
      <c r="M157">
        <v>0</v>
      </c>
      <c r="N157">
        <v>0</v>
      </c>
    </row>
    <row r="158" spans="1:14" x14ac:dyDescent="0.2">
      <c r="A158" t="s">
        <v>202</v>
      </c>
      <c r="B158" t="s">
        <v>206</v>
      </c>
      <c r="C158">
        <v>2.36</v>
      </c>
      <c r="D158">
        <v>2</v>
      </c>
      <c r="E158">
        <v>7</v>
      </c>
      <c r="F158">
        <v>3</v>
      </c>
      <c r="H158">
        <v>0</v>
      </c>
      <c r="I158">
        <v>0</v>
      </c>
      <c r="J158">
        <v>0</v>
      </c>
      <c r="K158">
        <v>0</v>
      </c>
      <c r="L158">
        <v>0</v>
      </c>
      <c r="M158">
        <v>0</v>
      </c>
      <c r="N158">
        <v>0</v>
      </c>
    </row>
    <row r="159" spans="1:14" x14ac:dyDescent="0.2">
      <c r="A159" t="s">
        <v>207</v>
      </c>
      <c r="B159" t="s">
        <v>208</v>
      </c>
      <c r="C159">
        <v>0.25</v>
      </c>
      <c r="D159">
        <v>0</v>
      </c>
      <c r="E159">
        <v>5</v>
      </c>
      <c r="F159">
        <v>0</v>
      </c>
      <c r="H159">
        <v>0</v>
      </c>
      <c r="I159">
        <v>0</v>
      </c>
      <c r="J159">
        <v>0</v>
      </c>
      <c r="K159">
        <v>0</v>
      </c>
      <c r="L159">
        <v>0</v>
      </c>
      <c r="M159">
        <v>0</v>
      </c>
      <c r="N159">
        <v>0</v>
      </c>
    </row>
    <row r="160" spans="1:14" x14ac:dyDescent="0.2">
      <c r="A160" t="s">
        <v>207</v>
      </c>
      <c r="B160" t="s">
        <v>209</v>
      </c>
      <c r="C160">
        <v>0.25</v>
      </c>
      <c r="D160">
        <v>0</v>
      </c>
      <c r="E160">
        <v>5</v>
      </c>
      <c r="F160">
        <v>0</v>
      </c>
      <c r="H160">
        <v>0</v>
      </c>
      <c r="I160">
        <v>0</v>
      </c>
      <c r="J160">
        <v>0</v>
      </c>
      <c r="K160">
        <v>0</v>
      </c>
      <c r="L160">
        <v>0</v>
      </c>
      <c r="M160">
        <v>0</v>
      </c>
      <c r="N160">
        <v>0</v>
      </c>
    </row>
    <row r="161" spans="1:14" x14ac:dyDescent="0.2">
      <c r="A161" t="s">
        <v>207</v>
      </c>
      <c r="B161" t="s">
        <v>210</v>
      </c>
      <c r="C161">
        <v>0.2</v>
      </c>
      <c r="D161">
        <v>0</v>
      </c>
      <c r="E161">
        <v>4</v>
      </c>
      <c r="F161">
        <v>0</v>
      </c>
      <c r="H161">
        <v>0</v>
      </c>
      <c r="I161">
        <v>0</v>
      </c>
      <c r="J161">
        <v>0</v>
      </c>
      <c r="K161">
        <v>0</v>
      </c>
      <c r="L161">
        <v>0</v>
      </c>
      <c r="M161">
        <v>0</v>
      </c>
      <c r="N161">
        <v>0</v>
      </c>
    </row>
    <row r="162" spans="1:14" x14ac:dyDescent="0.2">
      <c r="A162" t="s">
        <v>207</v>
      </c>
      <c r="B162" t="s">
        <v>211</v>
      </c>
      <c r="C162">
        <v>0.2</v>
      </c>
      <c r="D162">
        <v>0</v>
      </c>
      <c r="E162">
        <v>4</v>
      </c>
      <c r="F162">
        <v>0</v>
      </c>
      <c r="H162">
        <v>0</v>
      </c>
      <c r="I162">
        <v>0</v>
      </c>
      <c r="J162">
        <v>0</v>
      </c>
      <c r="K162">
        <v>0</v>
      </c>
      <c r="L162">
        <v>0</v>
      </c>
      <c r="M162">
        <v>0</v>
      </c>
      <c r="N162">
        <v>0</v>
      </c>
    </row>
    <row r="163" spans="1:14" x14ac:dyDescent="0.2">
      <c r="A163" t="s">
        <v>207</v>
      </c>
      <c r="B163" t="s">
        <v>212</v>
      </c>
      <c r="C163">
        <v>0.1</v>
      </c>
      <c r="D163">
        <v>0</v>
      </c>
      <c r="E163">
        <v>2</v>
      </c>
      <c r="F163">
        <v>0</v>
      </c>
      <c r="H163">
        <v>0</v>
      </c>
      <c r="I163">
        <v>0</v>
      </c>
      <c r="J163">
        <v>0</v>
      </c>
      <c r="K163">
        <v>0</v>
      </c>
      <c r="L163">
        <v>0</v>
      </c>
      <c r="M163">
        <v>0</v>
      </c>
      <c r="N163">
        <v>0</v>
      </c>
    </row>
    <row r="164" spans="1:14" x14ac:dyDescent="0.2">
      <c r="A164" t="s">
        <v>207</v>
      </c>
      <c r="B164" t="s">
        <v>213</v>
      </c>
      <c r="C164">
        <v>0.1</v>
      </c>
      <c r="D164">
        <v>0</v>
      </c>
      <c r="E164">
        <v>2</v>
      </c>
      <c r="F164">
        <v>0</v>
      </c>
      <c r="H164">
        <v>0</v>
      </c>
      <c r="I164">
        <v>0</v>
      </c>
      <c r="J164">
        <v>0</v>
      </c>
      <c r="K164">
        <v>0</v>
      </c>
      <c r="L164">
        <v>0</v>
      </c>
      <c r="M164">
        <v>0</v>
      </c>
      <c r="N164">
        <v>0</v>
      </c>
    </row>
    <row r="165" spans="1:14" x14ac:dyDescent="0.2">
      <c r="A165" t="s">
        <v>207</v>
      </c>
      <c r="B165" t="s">
        <v>214</v>
      </c>
      <c r="C165">
        <v>0.2</v>
      </c>
      <c r="D165">
        <v>0</v>
      </c>
      <c r="E165">
        <v>4</v>
      </c>
      <c r="F165">
        <v>0</v>
      </c>
      <c r="H165">
        <v>0</v>
      </c>
      <c r="I165">
        <v>0</v>
      </c>
      <c r="J165">
        <v>0</v>
      </c>
      <c r="K165">
        <v>0</v>
      </c>
      <c r="L165">
        <v>0</v>
      </c>
      <c r="M165">
        <v>0</v>
      </c>
      <c r="N165">
        <v>0</v>
      </c>
    </row>
    <row r="166" spans="1:14" x14ac:dyDescent="0.2">
      <c r="A166" t="s">
        <v>207</v>
      </c>
      <c r="B166" t="s">
        <v>215</v>
      </c>
      <c r="C166">
        <v>0.1</v>
      </c>
      <c r="D166">
        <v>0</v>
      </c>
      <c r="E166">
        <v>2</v>
      </c>
      <c r="F166">
        <v>0</v>
      </c>
      <c r="H166">
        <v>0</v>
      </c>
      <c r="I166">
        <v>0</v>
      </c>
      <c r="J166">
        <v>0</v>
      </c>
      <c r="K166">
        <v>0</v>
      </c>
      <c r="L166">
        <v>0</v>
      </c>
      <c r="M166">
        <v>0</v>
      </c>
      <c r="N166">
        <v>0</v>
      </c>
    </row>
    <row r="167" spans="1:14" x14ac:dyDescent="0.2">
      <c r="A167" t="s">
        <v>207</v>
      </c>
      <c r="B167" t="s">
        <v>216</v>
      </c>
      <c r="C167">
        <v>0.1</v>
      </c>
      <c r="D167">
        <v>0</v>
      </c>
      <c r="E167">
        <v>2</v>
      </c>
      <c r="F167">
        <v>0</v>
      </c>
      <c r="H167">
        <v>0</v>
      </c>
      <c r="I167">
        <v>0</v>
      </c>
      <c r="J167">
        <v>0</v>
      </c>
      <c r="K167">
        <v>0</v>
      </c>
      <c r="L167">
        <v>0</v>
      </c>
      <c r="M167">
        <v>0</v>
      </c>
      <c r="N167">
        <v>0</v>
      </c>
    </row>
    <row r="168" spans="1:14" x14ac:dyDescent="0.2">
      <c r="A168" t="s">
        <v>207</v>
      </c>
      <c r="B168" t="s">
        <v>217</v>
      </c>
      <c r="C168">
        <v>0.1</v>
      </c>
      <c r="D168">
        <v>0</v>
      </c>
      <c r="E168">
        <v>2</v>
      </c>
      <c r="F168">
        <v>0</v>
      </c>
      <c r="H168">
        <v>0</v>
      </c>
      <c r="I168">
        <v>0</v>
      </c>
      <c r="J168">
        <v>0</v>
      </c>
      <c r="K168">
        <v>0</v>
      </c>
      <c r="L168">
        <v>0</v>
      </c>
      <c r="M168">
        <v>0</v>
      </c>
      <c r="N168">
        <v>0</v>
      </c>
    </row>
    <row r="169" spans="1:14" x14ac:dyDescent="0.2">
      <c r="A169" t="s">
        <v>207</v>
      </c>
      <c r="B169" t="s">
        <v>218</v>
      </c>
      <c r="C169">
        <v>0.1</v>
      </c>
      <c r="D169">
        <v>0</v>
      </c>
      <c r="E169">
        <v>2</v>
      </c>
      <c r="F169">
        <v>0</v>
      </c>
      <c r="H169">
        <v>0</v>
      </c>
      <c r="I169">
        <v>0</v>
      </c>
      <c r="J169">
        <v>0</v>
      </c>
      <c r="K169">
        <v>0</v>
      </c>
      <c r="L169">
        <v>0</v>
      </c>
      <c r="M169">
        <v>0</v>
      </c>
      <c r="N169">
        <v>0</v>
      </c>
    </row>
    <row r="170" spans="1:14" x14ac:dyDescent="0.2">
      <c r="A170" t="s">
        <v>207</v>
      </c>
      <c r="B170" t="s">
        <v>219</v>
      </c>
      <c r="C170">
        <v>0.05</v>
      </c>
      <c r="D170">
        <v>0</v>
      </c>
      <c r="E170">
        <v>1</v>
      </c>
      <c r="F170">
        <v>0</v>
      </c>
      <c r="H170">
        <v>0</v>
      </c>
      <c r="I170">
        <v>0</v>
      </c>
      <c r="J170">
        <v>0</v>
      </c>
      <c r="K170">
        <v>0</v>
      </c>
      <c r="L170">
        <v>0</v>
      </c>
      <c r="M170">
        <v>0</v>
      </c>
      <c r="N170">
        <v>0</v>
      </c>
    </row>
    <row r="171" spans="1:14" x14ac:dyDescent="0.2">
      <c r="A171" t="s">
        <v>207</v>
      </c>
      <c r="B171" t="s">
        <v>220</v>
      </c>
      <c r="C171">
        <v>0.1</v>
      </c>
      <c r="D171">
        <v>0</v>
      </c>
      <c r="E171">
        <v>2</v>
      </c>
      <c r="F171">
        <v>0</v>
      </c>
      <c r="H171">
        <v>0</v>
      </c>
      <c r="I171">
        <v>0</v>
      </c>
      <c r="J171">
        <v>0</v>
      </c>
      <c r="K171">
        <v>0</v>
      </c>
      <c r="L171">
        <v>0</v>
      </c>
      <c r="M171">
        <v>0</v>
      </c>
      <c r="N171">
        <v>0</v>
      </c>
    </row>
    <row r="172" spans="1:14" x14ac:dyDescent="0.2">
      <c r="A172" t="s">
        <v>207</v>
      </c>
      <c r="B172" t="s">
        <v>221</v>
      </c>
      <c r="C172">
        <v>0</v>
      </c>
      <c r="D172">
        <v>0</v>
      </c>
      <c r="E172">
        <v>0</v>
      </c>
      <c r="F172">
        <v>0</v>
      </c>
      <c r="H172">
        <v>0</v>
      </c>
      <c r="I172">
        <v>0</v>
      </c>
      <c r="J172">
        <v>0</v>
      </c>
      <c r="K172">
        <v>0</v>
      </c>
      <c r="L172">
        <v>0</v>
      </c>
      <c r="M172">
        <v>0</v>
      </c>
      <c r="N172">
        <v>0</v>
      </c>
    </row>
    <row r="173" spans="1:14" x14ac:dyDescent="0.2">
      <c r="A173" t="s">
        <v>207</v>
      </c>
      <c r="B173" t="s">
        <v>222</v>
      </c>
      <c r="C173">
        <v>0.1</v>
      </c>
      <c r="D173">
        <v>0</v>
      </c>
      <c r="E173">
        <v>2</v>
      </c>
      <c r="F173">
        <v>0</v>
      </c>
      <c r="H173">
        <v>0</v>
      </c>
      <c r="I173">
        <v>0</v>
      </c>
      <c r="J173">
        <v>0</v>
      </c>
      <c r="K173">
        <v>0</v>
      </c>
      <c r="L173">
        <v>0</v>
      </c>
      <c r="M173">
        <v>0</v>
      </c>
      <c r="N173">
        <v>0</v>
      </c>
    </row>
    <row r="174" spans="1:14" x14ac:dyDescent="0.2">
      <c r="A174" t="s">
        <v>207</v>
      </c>
      <c r="B174" t="s">
        <v>223</v>
      </c>
      <c r="C174">
        <v>0.1</v>
      </c>
      <c r="D174">
        <v>0</v>
      </c>
      <c r="E174">
        <v>2</v>
      </c>
      <c r="F174">
        <v>0</v>
      </c>
      <c r="H174">
        <v>0</v>
      </c>
      <c r="I174">
        <v>0</v>
      </c>
      <c r="J174">
        <v>0</v>
      </c>
      <c r="K174">
        <v>0</v>
      </c>
      <c r="L174">
        <v>0</v>
      </c>
      <c r="M174">
        <v>0</v>
      </c>
      <c r="N174">
        <v>0</v>
      </c>
    </row>
    <row r="175" spans="1:14" x14ac:dyDescent="0.2">
      <c r="A175" t="s">
        <v>207</v>
      </c>
      <c r="B175" t="s">
        <v>224</v>
      </c>
      <c r="C175">
        <v>0.1</v>
      </c>
      <c r="D175">
        <v>0</v>
      </c>
      <c r="E175">
        <v>2</v>
      </c>
      <c r="F175">
        <v>0</v>
      </c>
      <c r="H175">
        <v>0</v>
      </c>
      <c r="I175">
        <v>0</v>
      </c>
      <c r="J175">
        <v>0</v>
      </c>
      <c r="K175">
        <v>0</v>
      </c>
      <c r="L175">
        <v>0</v>
      </c>
      <c r="M175">
        <v>0</v>
      </c>
      <c r="N175">
        <v>0</v>
      </c>
    </row>
    <row r="176" spans="1:14" x14ac:dyDescent="0.2">
      <c r="A176" t="s">
        <v>207</v>
      </c>
      <c r="B176" t="s">
        <v>225</v>
      </c>
      <c r="C176">
        <v>0.2</v>
      </c>
      <c r="D176">
        <v>0</v>
      </c>
      <c r="E176">
        <v>4</v>
      </c>
      <c r="F176">
        <v>0</v>
      </c>
      <c r="H176">
        <v>0</v>
      </c>
      <c r="I176">
        <v>0</v>
      </c>
      <c r="J176">
        <v>0</v>
      </c>
      <c r="K176">
        <v>0</v>
      </c>
      <c r="L176">
        <v>0</v>
      </c>
      <c r="M176">
        <v>0</v>
      </c>
      <c r="N176">
        <v>0</v>
      </c>
    </row>
    <row r="177" spans="1:14" x14ac:dyDescent="0.2">
      <c r="A177" t="s">
        <v>207</v>
      </c>
      <c r="B177" t="s">
        <v>226</v>
      </c>
      <c r="C177">
        <v>0.03</v>
      </c>
      <c r="D177">
        <v>0</v>
      </c>
      <c r="E177">
        <v>0</v>
      </c>
      <c r="F177">
        <v>6</v>
      </c>
      <c r="H177">
        <v>0</v>
      </c>
      <c r="I177">
        <v>0</v>
      </c>
      <c r="J177">
        <v>0</v>
      </c>
      <c r="K177">
        <v>0</v>
      </c>
      <c r="L177">
        <v>0</v>
      </c>
      <c r="M177">
        <v>0</v>
      </c>
      <c r="N177">
        <v>0</v>
      </c>
    </row>
    <row r="178" spans="1:14" x14ac:dyDescent="0.2">
      <c r="A178" t="s">
        <v>207</v>
      </c>
      <c r="B178" t="s">
        <v>227</v>
      </c>
      <c r="C178">
        <v>2.38</v>
      </c>
      <c r="D178">
        <v>2</v>
      </c>
      <c r="E178">
        <v>7</v>
      </c>
      <c r="F178">
        <v>6</v>
      </c>
      <c r="H178">
        <v>0</v>
      </c>
      <c r="I178">
        <v>0</v>
      </c>
      <c r="J178">
        <v>0</v>
      </c>
      <c r="K178">
        <v>0</v>
      </c>
      <c r="L178">
        <v>0</v>
      </c>
      <c r="M178">
        <v>0</v>
      </c>
      <c r="N178">
        <v>0</v>
      </c>
    </row>
    <row r="179" spans="1:14" x14ac:dyDescent="0.2">
      <c r="A179" t="s">
        <v>228</v>
      </c>
      <c r="B179" t="s">
        <v>229</v>
      </c>
      <c r="C179">
        <v>4.74</v>
      </c>
      <c r="D179">
        <v>4</v>
      </c>
      <c r="E179">
        <v>14</v>
      </c>
      <c r="F179">
        <v>9</v>
      </c>
      <c r="H179">
        <v>0</v>
      </c>
      <c r="I179">
        <v>0</v>
      </c>
      <c r="J179">
        <v>0</v>
      </c>
      <c r="K179">
        <v>0</v>
      </c>
      <c r="L179">
        <v>0</v>
      </c>
      <c r="M179">
        <v>0</v>
      </c>
      <c r="N179">
        <v>0</v>
      </c>
    </row>
    <row r="180" spans="1:14" x14ac:dyDescent="0.2">
      <c r="A180" t="s">
        <v>230</v>
      </c>
      <c r="B180" t="s">
        <v>231</v>
      </c>
      <c r="C180">
        <v>26.86</v>
      </c>
      <c r="D180">
        <v>26</v>
      </c>
      <c r="E180">
        <v>17</v>
      </c>
      <c r="F180">
        <v>1.25</v>
      </c>
      <c r="H180">
        <v>0</v>
      </c>
      <c r="I180">
        <v>0</v>
      </c>
      <c r="J180">
        <v>0</v>
      </c>
      <c r="K180">
        <v>0</v>
      </c>
      <c r="L180">
        <v>0</v>
      </c>
      <c r="M180">
        <v>0</v>
      </c>
      <c r="N180">
        <v>0</v>
      </c>
    </row>
    <row r="181" spans="1:14" x14ac:dyDescent="0.2">
      <c r="A181" t="s">
        <v>232</v>
      </c>
      <c r="B181" t="s">
        <v>233</v>
      </c>
      <c r="C181">
        <v>0.15</v>
      </c>
      <c r="D181">
        <v>0</v>
      </c>
      <c r="E181">
        <v>3</v>
      </c>
      <c r="F181">
        <v>0</v>
      </c>
      <c r="H181">
        <v>0</v>
      </c>
      <c r="I181">
        <v>0</v>
      </c>
      <c r="J181">
        <v>0</v>
      </c>
      <c r="K181">
        <v>0</v>
      </c>
      <c r="L181">
        <v>0</v>
      </c>
      <c r="M181">
        <v>0</v>
      </c>
      <c r="N181">
        <v>0</v>
      </c>
    </row>
    <row r="182" spans="1:14" x14ac:dyDescent="0.2">
      <c r="A182" t="s">
        <v>232</v>
      </c>
      <c r="B182" t="s">
        <v>234</v>
      </c>
      <c r="C182">
        <v>3.04</v>
      </c>
      <c r="D182">
        <v>3</v>
      </c>
      <c r="E182">
        <v>0</v>
      </c>
      <c r="F182">
        <v>10</v>
      </c>
      <c r="H182">
        <v>0</v>
      </c>
      <c r="I182">
        <v>0</v>
      </c>
      <c r="J182">
        <v>0</v>
      </c>
      <c r="K182">
        <v>0</v>
      </c>
      <c r="L182">
        <v>0</v>
      </c>
      <c r="M182">
        <v>0</v>
      </c>
      <c r="N182">
        <v>0</v>
      </c>
    </row>
    <row r="183" spans="1:14" x14ac:dyDescent="0.2">
      <c r="A183" t="s">
        <v>232</v>
      </c>
      <c r="B183" t="s">
        <v>235</v>
      </c>
      <c r="C183">
        <v>0.5</v>
      </c>
      <c r="D183">
        <v>0</v>
      </c>
      <c r="E183">
        <v>10</v>
      </c>
      <c r="F183">
        <v>0</v>
      </c>
      <c r="H183">
        <v>0</v>
      </c>
      <c r="I183">
        <v>0</v>
      </c>
      <c r="J183">
        <v>0</v>
      </c>
      <c r="K183">
        <v>0</v>
      </c>
      <c r="L183">
        <v>0</v>
      </c>
      <c r="M183">
        <v>0</v>
      </c>
      <c r="N183">
        <v>0</v>
      </c>
    </row>
    <row r="184" spans="1:14" x14ac:dyDescent="0.2">
      <c r="A184" t="s">
        <v>232</v>
      </c>
      <c r="B184" t="s">
        <v>236</v>
      </c>
      <c r="C184">
        <v>0.02</v>
      </c>
      <c r="D184">
        <v>0</v>
      </c>
      <c r="E184">
        <v>0</v>
      </c>
      <c r="F184">
        <v>4</v>
      </c>
      <c r="H184">
        <v>0</v>
      </c>
      <c r="I184">
        <v>0</v>
      </c>
      <c r="J184">
        <v>0</v>
      </c>
      <c r="K184">
        <v>0</v>
      </c>
      <c r="L184">
        <v>0</v>
      </c>
      <c r="M184">
        <v>0</v>
      </c>
      <c r="N184">
        <v>0</v>
      </c>
    </row>
    <row r="185" spans="1:14" x14ac:dyDescent="0.2">
      <c r="A185" t="s">
        <v>232</v>
      </c>
      <c r="B185" t="s">
        <v>237</v>
      </c>
      <c r="C185">
        <v>0.25</v>
      </c>
      <c r="D185">
        <v>0</v>
      </c>
      <c r="E185">
        <v>5</v>
      </c>
      <c r="F185">
        <v>0</v>
      </c>
      <c r="H185">
        <v>0</v>
      </c>
      <c r="I185">
        <v>0</v>
      </c>
      <c r="J185">
        <v>0</v>
      </c>
      <c r="K185">
        <v>0</v>
      </c>
      <c r="L185">
        <v>0</v>
      </c>
      <c r="M185">
        <v>0</v>
      </c>
      <c r="N185">
        <v>0</v>
      </c>
    </row>
    <row r="186" spans="1:14" x14ac:dyDescent="0.2">
      <c r="A186" t="s">
        <v>232</v>
      </c>
      <c r="B186" t="s">
        <v>238</v>
      </c>
      <c r="C186">
        <v>3.98</v>
      </c>
      <c r="D186">
        <v>3</v>
      </c>
      <c r="E186">
        <v>19</v>
      </c>
      <c r="F186">
        <v>6</v>
      </c>
      <c r="H186">
        <v>0</v>
      </c>
      <c r="I186">
        <v>0</v>
      </c>
      <c r="J186">
        <v>0</v>
      </c>
      <c r="K186">
        <v>0</v>
      </c>
      <c r="L186">
        <v>0</v>
      </c>
      <c r="M186">
        <v>0</v>
      </c>
      <c r="N186">
        <v>0</v>
      </c>
    </row>
    <row r="187" spans="1:14" x14ac:dyDescent="0.2">
      <c r="A187" t="s">
        <v>239</v>
      </c>
      <c r="B187" t="s">
        <v>240</v>
      </c>
      <c r="C187">
        <v>0.04</v>
      </c>
      <c r="D187">
        <v>0</v>
      </c>
      <c r="E187">
        <v>0</v>
      </c>
      <c r="F187">
        <v>10</v>
      </c>
      <c r="H187">
        <v>0</v>
      </c>
      <c r="I187">
        <v>0</v>
      </c>
      <c r="J187">
        <v>0</v>
      </c>
      <c r="K187">
        <v>0</v>
      </c>
      <c r="L187">
        <v>0</v>
      </c>
      <c r="M187">
        <v>0</v>
      </c>
      <c r="N187">
        <v>0</v>
      </c>
    </row>
    <row r="188" spans="1:14" x14ac:dyDescent="0.2">
      <c r="A188" t="s">
        <v>239</v>
      </c>
      <c r="B188" t="s">
        <v>241</v>
      </c>
      <c r="C188">
        <v>22.84</v>
      </c>
      <c r="D188">
        <v>22</v>
      </c>
      <c r="E188">
        <v>16</v>
      </c>
      <c r="F188">
        <v>9.25</v>
      </c>
      <c r="H188">
        <v>0</v>
      </c>
      <c r="I188">
        <v>0</v>
      </c>
      <c r="J188">
        <v>0</v>
      </c>
      <c r="K188">
        <v>0</v>
      </c>
      <c r="L188">
        <v>0</v>
      </c>
      <c r="M188">
        <v>0</v>
      </c>
      <c r="N188">
        <v>0</v>
      </c>
    </row>
    <row r="189" spans="1:14" x14ac:dyDescent="0.2">
      <c r="A189" t="s">
        <v>239</v>
      </c>
      <c r="B189" t="s">
        <v>242</v>
      </c>
      <c r="C189">
        <v>11</v>
      </c>
      <c r="D189">
        <v>11</v>
      </c>
      <c r="E189">
        <v>0</v>
      </c>
      <c r="F189">
        <v>0</v>
      </c>
      <c r="H189">
        <v>0</v>
      </c>
      <c r="I189">
        <v>0</v>
      </c>
      <c r="J189">
        <v>0</v>
      </c>
      <c r="K189">
        <v>0</v>
      </c>
      <c r="L189">
        <v>0</v>
      </c>
      <c r="M189">
        <v>0</v>
      </c>
      <c r="N189">
        <v>0</v>
      </c>
    </row>
    <row r="190" spans="1:14" x14ac:dyDescent="0.2">
      <c r="A190" t="s">
        <v>239</v>
      </c>
      <c r="B190" t="s">
        <v>243</v>
      </c>
      <c r="C190">
        <v>11.84</v>
      </c>
      <c r="D190">
        <v>11</v>
      </c>
      <c r="E190">
        <v>16</v>
      </c>
      <c r="F190">
        <v>9.25</v>
      </c>
      <c r="H190">
        <v>0</v>
      </c>
      <c r="I190">
        <v>0</v>
      </c>
      <c r="J190">
        <v>0</v>
      </c>
      <c r="K190">
        <v>0</v>
      </c>
      <c r="L190">
        <v>0</v>
      </c>
      <c r="M190">
        <v>0</v>
      </c>
      <c r="N190">
        <v>0</v>
      </c>
    </row>
    <row r="191" spans="1:14" x14ac:dyDescent="0.2">
      <c r="A191" t="s">
        <v>239</v>
      </c>
      <c r="B191" t="s">
        <v>244</v>
      </c>
      <c r="C191">
        <v>0.01</v>
      </c>
      <c r="D191">
        <v>0</v>
      </c>
      <c r="E191">
        <v>0</v>
      </c>
      <c r="F191">
        <v>3</v>
      </c>
      <c r="H191">
        <v>0</v>
      </c>
      <c r="I191">
        <v>0</v>
      </c>
      <c r="J191">
        <v>0</v>
      </c>
      <c r="K191">
        <v>0</v>
      </c>
      <c r="L191">
        <v>0</v>
      </c>
      <c r="M191">
        <v>0</v>
      </c>
      <c r="N191">
        <v>0</v>
      </c>
    </row>
    <row r="192" spans="1:14" x14ac:dyDescent="0.2">
      <c r="A192" t="s">
        <v>239</v>
      </c>
      <c r="B192" t="s">
        <v>245</v>
      </c>
      <c r="C192">
        <v>0</v>
      </c>
      <c r="D192">
        <v>0</v>
      </c>
      <c r="E192">
        <v>0</v>
      </c>
      <c r="F192">
        <v>0</v>
      </c>
      <c r="H192">
        <v>0</v>
      </c>
      <c r="I192">
        <v>0</v>
      </c>
      <c r="J192">
        <v>0</v>
      </c>
      <c r="K192">
        <v>0</v>
      </c>
      <c r="L192">
        <v>0</v>
      </c>
      <c r="M192">
        <v>0</v>
      </c>
      <c r="N192">
        <v>0</v>
      </c>
    </row>
    <row r="193" spans="1:14" x14ac:dyDescent="0.2">
      <c r="A193" t="s">
        <v>239</v>
      </c>
      <c r="B193" t="s">
        <v>246</v>
      </c>
      <c r="C193">
        <v>0</v>
      </c>
      <c r="D193">
        <v>0</v>
      </c>
      <c r="E193">
        <v>0</v>
      </c>
      <c r="F193">
        <v>0</v>
      </c>
      <c r="H193">
        <v>0</v>
      </c>
      <c r="I193">
        <v>0</v>
      </c>
      <c r="J193">
        <v>0</v>
      </c>
      <c r="K193">
        <v>0</v>
      </c>
      <c r="L193">
        <v>0</v>
      </c>
      <c r="M193">
        <v>0</v>
      </c>
      <c r="N193">
        <v>0</v>
      </c>
    </row>
    <row r="194" spans="1:14" x14ac:dyDescent="0.2">
      <c r="A194" t="s">
        <v>239</v>
      </c>
      <c r="B194" t="s">
        <v>247</v>
      </c>
      <c r="C194">
        <v>0</v>
      </c>
      <c r="D194">
        <v>0</v>
      </c>
      <c r="E194">
        <v>0</v>
      </c>
      <c r="F194">
        <v>0</v>
      </c>
      <c r="H194">
        <v>0</v>
      </c>
      <c r="I194">
        <v>0</v>
      </c>
      <c r="J194">
        <v>0</v>
      </c>
      <c r="K194">
        <v>0</v>
      </c>
      <c r="L194">
        <v>0</v>
      </c>
      <c r="M194">
        <v>0</v>
      </c>
      <c r="N194">
        <v>0</v>
      </c>
    </row>
    <row r="195" spans="1:14" x14ac:dyDescent="0.2">
      <c r="A195" t="s">
        <v>239</v>
      </c>
      <c r="B195" t="s">
        <v>248</v>
      </c>
      <c r="C195">
        <v>0</v>
      </c>
      <c r="D195">
        <v>0</v>
      </c>
      <c r="E195">
        <v>0</v>
      </c>
      <c r="F195">
        <v>0</v>
      </c>
      <c r="H195">
        <v>0</v>
      </c>
      <c r="I195">
        <v>0</v>
      </c>
      <c r="J195">
        <v>0</v>
      </c>
      <c r="K195">
        <v>0</v>
      </c>
      <c r="L195">
        <v>0</v>
      </c>
      <c r="M195">
        <v>0</v>
      </c>
      <c r="N195">
        <v>0</v>
      </c>
    </row>
    <row r="196" spans="1:14" x14ac:dyDescent="0.2">
      <c r="A196" t="s">
        <v>239</v>
      </c>
      <c r="B196" t="s">
        <v>249</v>
      </c>
      <c r="C196">
        <v>0</v>
      </c>
      <c r="D196">
        <v>0</v>
      </c>
      <c r="E196">
        <v>0</v>
      </c>
      <c r="F196">
        <v>0</v>
      </c>
      <c r="H196">
        <v>0</v>
      </c>
      <c r="I196">
        <v>0</v>
      </c>
      <c r="J196">
        <v>0</v>
      </c>
      <c r="K196">
        <v>0</v>
      </c>
      <c r="L196">
        <v>0</v>
      </c>
      <c r="M196">
        <v>0</v>
      </c>
      <c r="N196">
        <v>0</v>
      </c>
    </row>
    <row r="197" spans="1:14" x14ac:dyDescent="0.2">
      <c r="A197" t="s">
        <v>239</v>
      </c>
      <c r="B197" t="s">
        <v>250</v>
      </c>
      <c r="C197">
        <v>0</v>
      </c>
      <c r="D197">
        <v>0</v>
      </c>
      <c r="E197">
        <v>0</v>
      </c>
      <c r="F197">
        <v>0</v>
      </c>
      <c r="H197">
        <v>0</v>
      </c>
      <c r="I197">
        <v>0</v>
      </c>
      <c r="J197">
        <v>0</v>
      </c>
      <c r="K197">
        <v>0</v>
      </c>
      <c r="L197">
        <v>0</v>
      </c>
      <c r="M197">
        <v>0</v>
      </c>
      <c r="N197">
        <v>0</v>
      </c>
    </row>
    <row r="198" spans="1:14" x14ac:dyDescent="0.2">
      <c r="A198" t="s">
        <v>239</v>
      </c>
      <c r="B198" t="s">
        <v>251</v>
      </c>
      <c r="C198">
        <v>0</v>
      </c>
      <c r="D198">
        <v>0</v>
      </c>
      <c r="E198">
        <v>0</v>
      </c>
      <c r="F198">
        <v>0</v>
      </c>
      <c r="H198">
        <v>0</v>
      </c>
      <c r="I198">
        <v>0</v>
      </c>
      <c r="J198">
        <v>0</v>
      </c>
      <c r="K198">
        <v>0</v>
      </c>
      <c r="L198">
        <v>0</v>
      </c>
      <c r="M198">
        <v>0</v>
      </c>
      <c r="N198">
        <v>0</v>
      </c>
    </row>
    <row r="199" spans="1:14" x14ac:dyDescent="0.2">
      <c r="A199" t="s">
        <v>239</v>
      </c>
      <c r="B199" t="s">
        <v>252</v>
      </c>
      <c r="C199">
        <v>0</v>
      </c>
      <c r="D199">
        <v>0</v>
      </c>
      <c r="E199">
        <v>0</v>
      </c>
      <c r="F199">
        <v>0</v>
      </c>
      <c r="H199">
        <v>0</v>
      </c>
      <c r="I199">
        <v>0</v>
      </c>
      <c r="J199">
        <v>0</v>
      </c>
      <c r="K199">
        <v>0</v>
      </c>
      <c r="L199">
        <v>0</v>
      </c>
      <c r="M199">
        <v>0</v>
      </c>
      <c r="N199">
        <v>0</v>
      </c>
    </row>
    <row r="200" spans="1:14" x14ac:dyDescent="0.2">
      <c r="A200" t="s">
        <v>239</v>
      </c>
      <c r="B200" t="s">
        <v>253</v>
      </c>
      <c r="C200">
        <v>0</v>
      </c>
      <c r="D200">
        <v>0</v>
      </c>
      <c r="E200">
        <v>0</v>
      </c>
      <c r="F200">
        <v>0</v>
      </c>
      <c r="H200">
        <v>0</v>
      </c>
      <c r="I200">
        <v>0</v>
      </c>
      <c r="J200">
        <v>0</v>
      </c>
      <c r="K200">
        <v>0</v>
      </c>
      <c r="L200">
        <v>0</v>
      </c>
      <c r="M200">
        <v>0</v>
      </c>
      <c r="N200">
        <v>0</v>
      </c>
    </row>
    <row r="201" spans="1:14" x14ac:dyDescent="0.2">
      <c r="A201" t="s">
        <v>239</v>
      </c>
      <c r="B201" t="s">
        <v>254</v>
      </c>
      <c r="C201">
        <v>0</v>
      </c>
      <c r="D201">
        <v>0</v>
      </c>
      <c r="E201">
        <v>0</v>
      </c>
      <c r="F201">
        <v>0</v>
      </c>
      <c r="H201">
        <v>0</v>
      </c>
      <c r="I201">
        <v>0</v>
      </c>
      <c r="J201">
        <v>0</v>
      </c>
      <c r="K201">
        <v>0</v>
      </c>
      <c r="L201">
        <v>0</v>
      </c>
      <c r="M201">
        <v>0</v>
      </c>
      <c r="N201">
        <v>0</v>
      </c>
    </row>
    <row r="202" spans="1:14" x14ac:dyDescent="0.2">
      <c r="A202" t="s">
        <v>239</v>
      </c>
      <c r="B202" t="s">
        <v>255</v>
      </c>
      <c r="C202">
        <v>0</v>
      </c>
      <c r="D202">
        <v>0</v>
      </c>
      <c r="E202">
        <v>0</v>
      </c>
      <c r="F202">
        <v>0</v>
      </c>
      <c r="H202">
        <v>0</v>
      </c>
      <c r="I202">
        <v>0</v>
      </c>
      <c r="J202">
        <v>0</v>
      </c>
      <c r="K202">
        <v>0</v>
      </c>
      <c r="L202">
        <v>0</v>
      </c>
      <c r="M202">
        <v>0</v>
      </c>
      <c r="N202">
        <v>0</v>
      </c>
    </row>
    <row r="203" spans="1:14" x14ac:dyDescent="0.2">
      <c r="A203" t="s">
        <v>239</v>
      </c>
      <c r="B203" t="s">
        <v>256</v>
      </c>
      <c r="C203">
        <v>0</v>
      </c>
      <c r="D203">
        <v>0</v>
      </c>
      <c r="E203">
        <v>0</v>
      </c>
      <c r="F203">
        <v>0</v>
      </c>
      <c r="H203">
        <v>0</v>
      </c>
      <c r="I203">
        <v>0</v>
      </c>
      <c r="J203">
        <v>0</v>
      </c>
      <c r="K203">
        <v>0</v>
      </c>
      <c r="L203">
        <v>0</v>
      </c>
      <c r="M203">
        <v>0</v>
      </c>
      <c r="N203">
        <v>0</v>
      </c>
    </row>
    <row r="204" spans="1:14" x14ac:dyDescent="0.2">
      <c r="A204" t="s">
        <v>239</v>
      </c>
      <c r="B204" t="s">
        <v>257</v>
      </c>
      <c r="C204">
        <v>0</v>
      </c>
      <c r="D204">
        <v>0</v>
      </c>
      <c r="E204">
        <v>0</v>
      </c>
      <c r="F204">
        <v>0</v>
      </c>
      <c r="H204">
        <v>0</v>
      </c>
      <c r="I204">
        <v>0</v>
      </c>
      <c r="J204">
        <v>0</v>
      </c>
      <c r="K204">
        <v>0</v>
      </c>
      <c r="L204">
        <v>0</v>
      </c>
      <c r="M204">
        <v>0</v>
      </c>
      <c r="N204">
        <v>0</v>
      </c>
    </row>
    <row r="205" spans="1:14" x14ac:dyDescent="0.2">
      <c r="A205" t="s">
        <v>239</v>
      </c>
      <c r="B205" t="s">
        <v>258</v>
      </c>
      <c r="C205">
        <v>0.01</v>
      </c>
      <c r="D205">
        <v>0</v>
      </c>
      <c r="E205">
        <v>0</v>
      </c>
      <c r="F205">
        <v>3</v>
      </c>
      <c r="H205">
        <v>0</v>
      </c>
      <c r="I205">
        <v>0</v>
      </c>
      <c r="J205">
        <v>0</v>
      </c>
      <c r="K205">
        <v>0</v>
      </c>
      <c r="L205">
        <v>0</v>
      </c>
      <c r="M205">
        <v>0</v>
      </c>
      <c r="N205">
        <v>0</v>
      </c>
    </row>
    <row r="206" spans="1:14" x14ac:dyDescent="0.2">
      <c r="A206" t="s">
        <v>239</v>
      </c>
      <c r="B206" t="s">
        <v>259</v>
      </c>
      <c r="C206">
        <v>0</v>
      </c>
      <c r="D206">
        <v>0</v>
      </c>
      <c r="E206">
        <v>0</v>
      </c>
      <c r="F206">
        <v>0</v>
      </c>
      <c r="H206">
        <v>0</v>
      </c>
      <c r="I206">
        <v>0</v>
      </c>
      <c r="J206">
        <v>0</v>
      </c>
      <c r="K206">
        <v>0</v>
      </c>
      <c r="L206">
        <v>0</v>
      </c>
      <c r="M206">
        <v>0</v>
      </c>
      <c r="N206">
        <v>0</v>
      </c>
    </row>
    <row r="207" spans="1:14" x14ac:dyDescent="0.2">
      <c r="A207" t="s">
        <v>239</v>
      </c>
      <c r="B207" t="s">
        <v>260</v>
      </c>
      <c r="C207">
        <v>2</v>
      </c>
      <c r="D207">
        <v>0</v>
      </c>
      <c r="E207">
        <v>40</v>
      </c>
      <c r="F207">
        <v>0</v>
      </c>
      <c r="H207">
        <v>0</v>
      </c>
      <c r="I207">
        <v>0</v>
      </c>
      <c r="J207">
        <v>0</v>
      </c>
      <c r="K207">
        <v>0</v>
      </c>
      <c r="L207">
        <v>0</v>
      </c>
      <c r="M207">
        <v>0</v>
      </c>
      <c r="N207">
        <v>0</v>
      </c>
    </row>
    <row r="208" spans="1:14" x14ac:dyDescent="0.2">
      <c r="A208" t="s">
        <v>239</v>
      </c>
      <c r="B208" t="s">
        <v>250</v>
      </c>
      <c r="C208">
        <v>0</v>
      </c>
      <c r="D208">
        <v>0</v>
      </c>
      <c r="E208">
        <v>0</v>
      </c>
      <c r="F208">
        <v>0</v>
      </c>
      <c r="H208">
        <v>0</v>
      </c>
      <c r="I208">
        <v>0</v>
      </c>
      <c r="J208">
        <v>0</v>
      </c>
      <c r="K208">
        <v>0</v>
      </c>
      <c r="L208">
        <v>0</v>
      </c>
      <c r="M208">
        <v>0</v>
      </c>
      <c r="N208">
        <v>0</v>
      </c>
    </row>
    <row r="209" spans="1:14" x14ac:dyDescent="0.2">
      <c r="A209" t="s">
        <v>239</v>
      </c>
      <c r="B209" t="s">
        <v>261</v>
      </c>
      <c r="C209">
        <v>0</v>
      </c>
      <c r="D209">
        <v>0</v>
      </c>
      <c r="E209">
        <v>0</v>
      </c>
      <c r="F209">
        <v>0</v>
      </c>
      <c r="H209">
        <v>0</v>
      </c>
      <c r="I209">
        <v>0</v>
      </c>
      <c r="J209">
        <v>0</v>
      </c>
      <c r="K209">
        <v>0</v>
      </c>
      <c r="L209">
        <v>0</v>
      </c>
      <c r="M209">
        <v>0</v>
      </c>
      <c r="N209">
        <v>0</v>
      </c>
    </row>
    <row r="210" spans="1:14" x14ac:dyDescent="0.2">
      <c r="A210" t="s">
        <v>239</v>
      </c>
      <c r="B210" t="s">
        <v>262</v>
      </c>
      <c r="C210">
        <v>0</v>
      </c>
      <c r="D210">
        <v>0</v>
      </c>
      <c r="E210">
        <v>0</v>
      </c>
      <c r="F210">
        <v>0</v>
      </c>
      <c r="H210">
        <v>0</v>
      </c>
      <c r="I210">
        <v>0</v>
      </c>
      <c r="J210">
        <v>0</v>
      </c>
      <c r="K210">
        <v>0</v>
      </c>
      <c r="L210">
        <v>0</v>
      </c>
      <c r="M210">
        <v>0</v>
      </c>
      <c r="N210">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Receipts</vt:lpstr>
      <vt:lpstr>Expenses</vt:lpstr>
      <vt:lpstr>Issues of the Grange</vt:lpstr>
      <vt:lpstr>Issues of the Mills</vt:lpstr>
      <vt:lpstr>Stock</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Victoria Gierok</cp:lastModifiedBy>
  <dcterms:created xsi:type="dcterms:W3CDTF">2024-04-19T11:10:16Z</dcterms:created>
  <dcterms:modified xsi:type="dcterms:W3CDTF">2025-08-29T14:48:23Z</dcterms:modified>
</cp:coreProperties>
</file>
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545345D5-441F-E347-B13B-C099AE2AF1CB}" xr6:coauthVersionLast="47" xr6:coauthVersionMax="47" xr10:uidLastSave="{00000000-0000-0000-0000-000000000000}"/>
  <bookViews>
    <workbookView xWindow="380" yWindow="500" windowWidth="28160" windowHeight="16520" activeTab="2" xr2:uid="{00000000-000D-0000-FFFF-FFFF00000000}"/>
  </bookViews>
  <sheets>
    <sheet name="Overview" sheetId="5" r:id="rId1"/>
    <sheet name="Receipts" sheetId="2" r:id="rId2"/>
    <sheet name="Expenses" sheetId="3" r:id="rId3"/>
    <sheet name="Issues of the Grange" sheetId="11" r:id="rId4"/>
    <sheet name="Issues of the Mills" sheetId="6" r:id="rId5"/>
    <sheet name="Stock" sheetId="4" r:id="rId6"/>
    <sheet name="raw data" sheetId="1" r:id="rId7"/>
    <sheet name="Issues of the Grange raw" sheetId="10" r:id="rId8"/>
    <sheet name="Sale of Corn Price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5" i="3" l="1"/>
  <c r="F84" i="3"/>
  <c r="K47" i="3"/>
  <c r="K48" i="3"/>
  <c r="K49" i="3"/>
  <c r="K50" i="3"/>
  <c r="K46" i="3"/>
  <c r="J47" i="3"/>
  <c r="J48" i="3"/>
  <c r="J49" i="3"/>
  <c r="J50" i="3"/>
  <c r="J46" i="3"/>
  <c r="J40" i="3"/>
  <c r="K36" i="3"/>
  <c r="K37" i="3"/>
  <c r="K38" i="3"/>
  <c r="K39" i="3"/>
  <c r="K35" i="3"/>
  <c r="J36" i="3"/>
  <c r="J37" i="3"/>
  <c r="J38" i="3"/>
  <c r="J39" i="3"/>
  <c r="J35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30" i="3"/>
  <c r="K22" i="3"/>
  <c r="J22" i="3"/>
  <c r="K14" i="3"/>
  <c r="K4" i="3"/>
  <c r="K5" i="3"/>
  <c r="K6" i="3"/>
  <c r="K7" i="3"/>
  <c r="K8" i="3"/>
  <c r="K9" i="3"/>
  <c r="K10" i="3"/>
  <c r="K11" i="3"/>
  <c r="K3" i="3"/>
  <c r="J4" i="3"/>
  <c r="J5" i="3"/>
  <c r="J6" i="3"/>
  <c r="J7" i="3"/>
  <c r="J8" i="3"/>
  <c r="J9" i="3"/>
  <c r="J10" i="3"/>
  <c r="J11" i="3"/>
  <c r="J14" i="3"/>
  <c r="J3" i="3"/>
  <c r="G83" i="3"/>
  <c r="F83" i="3"/>
  <c r="F82" i="3"/>
  <c r="G114" i="2"/>
  <c r="F115" i="2"/>
  <c r="F114" i="2"/>
  <c r="R71" i="4"/>
  <c r="R67" i="4"/>
  <c r="T39" i="4"/>
  <c r="T36" i="4"/>
  <c r="T35" i="4"/>
  <c r="R78" i="4"/>
  <c r="R63" i="4"/>
  <c r="R31" i="4"/>
  <c r="O75" i="4"/>
  <c r="R75" i="4"/>
  <c r="O59" i="4"/>
  <c r="H59" i="4"/>
  <c r="C59" i="4"/>
  <c r="R59" i="4"/>
  <c r="O52" i="4"/>
  <c r="O49" i="4"/>
  <c r="R49" i="4"/>
  <c r="R52" i="4"/>
  <c r="O12" i="4"/>
  <c r="O19" i="4"/>
  <c r="O22" i="4"/>
  <c r="O26" i="4"/>
  <c r="O6" i="4"/>
  <c r="C53" i="4"/>
  <c r="J35" i="4"/>
  <c r="R26" i="4"/>
  <c r="R22" i="4"/>
  <c r="R19" i="4"/>
  <c r="R12" i="4"/>
  <c r="R6" i="4"/>
  <c r="O15" i="11"/>
  <c r="O16" i="11"/>
  <c r="O17" i="11"/>
  <c r="O18" i="11"/>
  <c r="O19" i="11"/>
  <c r="O14" i="11"/>
  <c r="N15" i="11"/>
  <c r="N16" i="11"/>
  <c r="N17" i="11"/>
  <c r="N18" i="11"/>
  <c r="N19" i="11"/>
  <c r="N14" i="11"/>
  <c r="L15" i="11"/>
  <c r="L16" i="11"/>
  <c r="L17" i="11"/>
  <c r="L18" i="11"/>
  <c r="L19" i="11"/>
  <c r="L14" i="11"/>
  <c r="E15" i="11"/>
  <c r="E16" i="11"/>
  <c r="E17" i="11"/>
  <c r="E18" i="11"/>
  <c r="E19" i="11"/>
  <c r="E14" i="11"/>
  <c r="K15" i="11"/>
  <c r="K16" i="11"/>
  <c r="K17" i="11"/>
  <c r="K18" i="11"/>
  <c r="K19" i="11"/>
  <c r="K14" i="11"/>
  <c r="J18" i="11"/>
  <c r="I18" i="11"/>
  <c r="J16" i="11"/>
  <c r="I16" i="11"/>
  <c r="I14" i="11"/>
  <c r="J14" i="11"/>
  <c r="B15" i="11"/>
  <c r="B16" i="11"/>
  <c r="B17" i="11"/>
  <c r="B18" i="11"/>
  <c r="B19" i="11"/>
  <c r="B14" i="11"/>
  <c r="B4" i="11"/>
  <c r="I3" i="11"/>
  <c r="I4" i="11"/>
  <c r="I5" i="11"/>
  <c r="I6" i="11"/>
  <c r="I7" i="11"/>
  <c r="I2" i="11"/>
  <c r="G3" i="11"/>
  <c r="G4" i="11"/>
  <c r="G5" i="11"/>
  <c r="G6" i="11"/>
  <c r="G7" i="11"/>
  <c r="G2" i="11"/>
  <c r="I23" i="4"/>
  <c r="C23" i="4"/>
  <c r="J22" i="4"/>
  <c r="I22" i="4"/>
  <c r="I19" i="4"/>
  <c r="C19" i="4"/>
  <c r="C12" i="4"/>
  <c r="F61" i="3"/>
  <c r="F63" i="3" s="1"/>
  <c r="G63" i="3" s="1"/>
  <c r="F46" i="3"/>
  <c r="F52" i="3"/>
  <c r="F42" i="3"/>
  <c r="F44" i="3" s="1"/>
  <c r="G44" i="3" s="1"/>
  <c r="F32" i="3"/>
  <c r="G33" i="3" s="1"/>
  <c r="G111" i="2"/>
  <c r="F111" i="2"/>
  <c r="F109" i="2"/>
  <c r="F70" i="2"/>
  <c r="F71" i="2"/>
  <c r="F72" i="2"/>
  <c r="F73" i="2"/>
  <c r="F74" i="2"/>
  <c r="F75" i="2"/>
  <c r="F59" i="2"/>
  <c r="F61" i="2" s="1"/>
  <c r="G61" i="2" s="1"/>
  <c r="G33" i="2"/>
  <c r="G30" i="2"/>
  <c r="F23" i="2"/>
  <c r="F22" i="2"/>
  <c r="G6" i="2"/>
  <c r="F54" i="3" l="1"/>
  <c r="G54" i="3" s="1"/>
  <c r="F77" i="2"/>
  <c r="G77" i="2" s="1"/>
  <c r="G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3" authorId="0" shapeId="0" xr:uid="{647F1ED0-87C3-3F41-99F6-C645A36A5736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4" authorId="0" shapeId="0" xr:uid="{99E388DE-13B4-5A4B-A17E-1065AA2EA8D4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strays that the seem to have added to their own stock?</t>
        </r>
      </text>
    </comment>
    <comment ref="E4" authorId="0" shapeId="0" xr:uid="{FB77B1C7-F3B6-2D41-8DC6-A8E007A12BB0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herbage = a type of customary payment to the lord; hence an addition to the stock</t>
        </r>
      </text>
    </comment>
  </commentList>
</comments>
</file>

<file path=xl/sharedStrings.xml><?xml version="1.0" encoding="utf-8"?>
<sst xmlns="http://schemas.openxmlformats.org/spreadsheetml/2006/main" count="1526" uniqueCount="643">
  <si>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</si>
  <si>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</si>
  <si>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</si>
  <si>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</si>
  <si>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</si>
  <si>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</si>
  <si>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</si>
  <si>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</si>
  <si>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</si>
  <si>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</si>
  <si>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</si>
  <si>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</si>
  <si>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</si>
  <si>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</si>
  <si>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</si>
  <si>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</si>
  <si>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</si>
  <si>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</si>
  <si>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</si>
  <si>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</si>
  <si>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</si>
  <si>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</si>
  <si>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</si>
  <si>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</si>
  <si>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</si>
  <si>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</si>
  <si>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</si>
  <si>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</si>
  <si>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</si>
  <si>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</si>
  <si>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</si>
  <si>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</si>
  <si>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</si>
  <si>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</si>
  <si>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Arrears</t>
  </si>
  <si>
    <t>Henry la Wayte, bailiff, and Richard le Yong', reeve, render account for £16 13 shilling 2.75pence of arrears from the previous year.</t>
  </si>
  <si>
    <t>All delivered to Sir Geoffrey, treasurer of Wolvesey, by 1 tally.</t>
  </si>
  <si>
    <t>They are quit.</t>
  </si>
  <si>
    <t>Rents</t>
  </si>
  <si>
    <t>The same render account for £1 17 shilling 3.5 pence for all rents of assize at Christmas.</t>
  </si>
  <si>
    <t>£1 17 shilling 3.5pence at Easter (22 April).</t>
  </si>
  <si>
    <t>£1 17 shilling 3.5pence at the Nativity of St John the Baptist (24 June).</t>
  </si>
  <si>
    <t>£6 7 shilling 3.5pence at Michaelmas (29 September).</t>
  </si>
  <si>
    <t>Total, £11 19 shilling 2pence</t>
  </si>
  <si>
    <t>Quittances</t>
  </si>
  <si>
    <t>In quittance of 1 reeve for the year 3 shilling 6pence.</t>
  </si>
  <si>
    <t>1 hayward for the year 2 shilling.</t>
  </si>
  <si>
    <t>3 ploughmen for the year 6 shilling.</t>
  </si>
  <si>
    <t>1 ploughman for 2.5 terms 1 shilling 3pence.</t>
  </si>
  <si>
    <t>2 ploughmen for' year 2 shilling.</t>
  </si>
  <si>
    <t>1 keeper of wethers for the year 2 shilling.</t>
  </si>
  <si>
    <t>1 keeper of hoggs for 2.5 terms 1 shilling 3pence Total, 18 shilling</t>
  </si>
  <si>
    <t>Defaults of rent</t>
  </si>
  <si>
    <t>In default of the land of Greg' drawn into demesne, 4pence for the year.</t>
  </si>
  <si>
    <t>Total, 4pence</t>
  </si>
  <si>
    <t>Total of quittances and defaults of rent</t>
  </si>
  <si>
    <t>Total of quittances and defaults of rent, 18 shilling 4pence</t>
  </si>
  <si>
    <t>Total of rents remaining</t>
  </si>
  <si>
    <t>Total of rents remaining, £11 10pence</t>
  </si>
  <si>
    <t>Release from labour service</t>
  </si>
  <si>
    <t>The same render account for 7 shilling 1pence from Richard de Brochurst for release from his labour service for 1 virgate of land which belonged to Walter le Mareschal for the year.</t>
  </si>
  <si>
    <t>3 shilling 6pence from William Faber for release from his labour service for 1 virgate of land for the year.</t>
  </si>
  <si>
    <t>Total, 10 shilling 7pence</t>
  </si>
  <si>
    <t>Issues of the manor</t>
  </si>
  <si>
    <t>The same render account for 15 shilling 5.5pence from pannage of pigs at Martinmas, that is, from 180 pigs, 11 piglets, at 1pence a pig and 0.5pence a piglet.</t>
  </si>
  <si>
    <t>nothing from foreign pannage this year for a want of mast.</t>
  </si>
  <si>
    <t>6 shilling 2.5pence from 32 oxen and 13 bullocks within, and 15 foreign oxen and 6 foreign bullocks, agisted in the pasture of Asselye in summer, at 1pence an ox and .5pence a bullock within, and 2pence a foreign ox and 1pence a foreign bullock.</t>
  </si>
  <si>
    <t>nothing from the pasturage in Stapeleost and Privet on account of the lord's stock.</t>
  </si>
  <si>
    <t>nothing from the pasturage in la Lynde for the same reason.</t>
  </si>
  <si>
    <t>nothing from the herbage of the meadow of Sydmonton because the meadow was mowed this year.</t>
  </si>
  <si>
    <t>3 shilling from the pasturage sold in the same meadow after mowing.</t>
  </si>
  <si>
    <t>8.5pence from the pinfold this year, at 1pence for 10 sheep.</t>
  </si>
  <si>
    <t>16 shilling from 1 mare sold.</t>
  </si>
  <si>
    <t>7 shilling from 1 ox from a heriot sold.</t>
  </si>
  <si>
    <t>£1 11 shilling 6pence from 27 wethers sold at Martinmas, at 1 shilling 2pence each.</t>
  </si>
  <si>
    <t>10 shilling 1pence from 22 feeble lambs sold at Martinmas, at 5.5pence each.</t>
  </si>
  <si>
    <t>1 shilling from the skins sold of 4 wethers in murrain before shearing, at 3pence a skin.</t>
  </si>
  <si>
    <t>3 shilling 10.5pence from the skins sold of 31 hoggs in murrain before shearing, at 1.5pence a skin.</t>
  </si>
  <si>
    <t>3pence from the skins sold wholesale of 2 wethers and 2 hoggs in murrain after shearing.</t>
  </si>
  <si>
    <t>6pence from the skins sold wholesale of 4 lambs in murrain before shearing and 4 after shearing.</t>
  </si>
  <si>
    <t>9 shilling 9pence from 117 hens from churchscot sold.</t>
  </si>
  <si>
    <t>2 shilling from 800 eggs sold, received according to custom at Easter, at 3pence a hundred.</t>
  </si>
  <si>
    <t>10 shilling from 2 pigs solpence Total, £5 17 shilling 4pence</t>
  </si>
  <si>
    <t>Annual recognizance</t>
  </si>
  <si>
    <t>The same render account for 3pence from William atte Flod' for annual recognizance.</t>
  </si>
  <si>
    <t>3pence from William le Yong' for the same.</t>
  </si>
  <si>
    <t>6pence from John Cumyn for the same.</t>
  </si>
  <si>
    <t>6pence from Richard Pollard for the same.</t>
  </si>
  <si>
    <t>Total, 1 shilling 6pence</t>
  </si>
  <si>
    <t>Sale of corn</t>
  </si>
  <si>
    <t>The same render account for £17 l 1 shilling 5pence from 53 quarters of wheat sold, at 6 shilling a quarters for 2 quarters 7 bushels, 6 shilling 8pence a quarters for 50 quarters 1 bushels.</t>
  </si>
  <si>
    <t>wheat</t>
  </si>
  <si>
    <t>4 shilling from 1 quarters of curall sold.</t>
  </si>
  <si>
    <t>curall</t>
  </si>
  <si>
    <t>£1 10 shilling 3pence from 7 quarters 4.5 bushels of bere sold, at 4 shilling a quarters.</t>
  </si>
  <si>
    <t>£2 13 shilling 6pence from 13 quarters 3 bushels of barley sold, at 4 shilling a quarters.</t>
  </si>
  <si>
    <t>barley</t>
  </si>
  <si>
    <t>£3 5 shilling from 26 quarters of oats sold, at 2 shilling 6pence a quarters.</t>
  </si>
  <si>
    <t>oats</t>
  </si>
  <si>
    <t>6pence from 4 bushels of vetches solpence Total, £25 4 shilling 8pence</t>
  </si>
  <si>
    <t>vetches</t>
  </si>
  <si>
    <t>Entry and marriage fines</t>
  </si>
  <si>
    <t>The same render account for 13 shilling 4pence from tithingpenny at the two hundred-courts for the year.</t>
  </si>
  <si>
    <t>£2 from Thomas atte Norhmull' to have 1 messuage, 1 mill and 1 cotland which belonged to Juliana his mother.</t>
  </si>
  <si>
    <t>1 shilling from Edith Legat for marrying Agnes her daughter within.</t>
  </si>
  <si>
    <t>4 shilling from Hugh atte Place for marrying Edith his daughter outside.</t>
  </si>
  <si>
    <t>10 shilling from John Legat to have Alice La3 with her land.</t>
  </si>
  <si>
    <t>£1 from Christina de Brochurst to retain 1 virgate of land which belonged to her husband and to have 1 virgate of land which belonged to Walter Mareschall'.</t>
  </si>
  <si>
    <t>Total, £4 8 shilling 4pence</t>
  </si>
  <si>
    <t>Perquisites</t>
  </si>
  <si>
    <t>The same render account for 9pence from Edith Rolf for keeping the meadow badly.</t>
  </si>
  <si>
    <t>6pence from the tithing of Ecchinswell because it did not produce in court.</t>
  </si>
  <si>
    <t>6pence from Henry le Whyte for concealment.</t>
  </si>
  <si>
    <t>9pence from Edith Rolf and her fellows for concealment.</t>
  </si>
  <si>
    <t>6pence from Alice La3 for concealment of pannage.</t>
  </si>
  <si>
    <t>1 shilling from G. le Knyt for levying a debt.</t>
  </si>
  <si>
    <t>6pence from the whole tithing because it did not produce in court.</t>
  </si>
  <si>
    <t>1 shilling 6pence from John Den', John Tylye, John Porch' for not doing their offices well.</t>
  </si>
  <si>
    <t>6pence from Hugh atte Place for unjustly withholding.</t>
  </si>
  <si>
    <t>6pence from Stephen atte Brigg' for bad threshing.</t>
  </si>
  <si>
    <t>2 shilling 9pence from John atte Suthmull', John Duce and their fellows for trespass of pasture and wood.</t>
  </si>
  <si>
    <t>1 shilling 6pence from Scholastica (Scolast'), Alice le Taverner' and their fellows for breaking the assize.</t>
  </si>
  <si>
    <t>4 shilling from the whole tithing for no longer guaranteeing the default of John and John Raynold until they have returned.</t>
  </si>
  <si>
    <t>2 shilling from Richard Ram, William Wale and their fellows for trespass of wood and pasture.</t>
  </si>
  <si>
    <t>6pence from the whole tithing because it did not produce in court those it had bailed.</t>
  </si>
  <si>
    <t>3pence from John atte Hurn' for default.</t>
  </si>
  <si>
    <t>6pence from Adam Lunt and William Faber for trespass of pasture.</t>
  </si>
  <si>
    <t>4 shilling from 4 ploughmen for keeping the oxen badly and bad ploughing.</t>
  </si>
  <si>
    <t>6pence from Richard Mokel for default.</t>
  </si>
  <si>
    <t>3 shilling 6pence from Henry Lanceleveye and his fellows for trespass of corn and pasture.</t>
  </si>
  <si>
    <t>6pence from John Wolfrich and Matilda Den' because they came late to the lord's labour service.</t>
  </si>
  <si>
    <t>3pence from John Bukel for trespass of woopence Total, £1 7 shilling 3pence</t>
  </si>
  <si>
    <t>Total of both</t>
  </si>
  <si>
    <t>Total of both, £5 15 shilling 7pence</t>
  </si>
  <si>
    <t xml:space="preserve">Total of all receipts </t>
  </si>
  <si>
    <t>Total of all receipts, £48 10 shilling 6pence</t>
  </si>
  <si>
    <t>Cost of ploughs</t>
  </si>
  <si>
    <t>In iron and steel bought for the ironwork of 2 ploughs for the year and 1 plough for nearly' year for fallowing 4 shilling 6pence.</t>
  </si>
  <si>
    <t>stipend of the smith, nothing, because he takes 1 acre of wheat for repairing the said ironwork for the year.</t>
  </si>
  <si>
    <t>.</t>
  </si>
  <si>
    <t>3 plough-irons bought 9pence.</t>
  </si>
  <si>
    <t>2 ploughshares 1 shilling 8pence.</t>
  </si>
  <si>
    <t>3 ploughs made anew and others mended 1 shilling.</t>
  </si>
  <si>
    <t>fitting the same with iron tyres 6pence.</t>
  </si>
  <si>
    <t>6 yokes bought 6pence.</t>
  </si>
  <si>
    <t>6 wheels bought 1 shilling.</t>
  </si>
  <si>
    <t>boon-works of 25 ploughmen in winter and 23 in Lent who ploughed as many acres as they lie 8 shilling, at 2pence each a day.</t>
  </si>
  <si>
    <t>Moreover, each ploughman will plough 1 acre in summer for fallow without food according to custom.</t>
  </si>
  <si>
    <t>reward of 3 ploughmen for their Saturday ploughings for the year, 1 for 2.5 terms, and 2 for' year, except for those Saturdays which were feast days or on which it was raining, £1 9.5pence, or 4 shilling 6pence each for the year, and this through Bishop John because before they had nothing except 3 shilling a year.</t>
  </si>
  <si>
    <t>1 seed-basket bought 1pence.</t>
  </si>
  <si>
    <t>stipend of 1 oxherd for 1.5 terms 9pence.</t>
  </si>
  <si>
    <t>3 oxen bought £1 14 shilling, at 11 shilling 4pence each.</t>
  </si>
  <si>
    <t>6 bushels of wheat bought 3 shilling 9pence, at 7.5pence a bushels.</t>
  </si>
  <si>
    <t>2 quarters 7 bushels of bere bought for sowing and for the liveries of the manorial servants 9 shilling 7pence, at 3 shilling 4pence a quarters.</t>
  </si>
  <si>
    <t>Total, £4 6 shilling 10.5pence</t>
  </si>
  <si>
    <t>Cost of carts</t>
  </si>
  <si>
    <t>In 1 pair of wooden wheels made from the lord's timber 8pence.</t>
  </si>
  <si>
    <t>clouts, nails and grease bought for the cart for fitting the same with axles for the year 1 shilling 5.5pence.</t>
  </si>
  <si>
    <t>white leather bought for mending harnesses 3pence.</t>
  </si>
  <si>
    <t>1 pair of saddle-pads 6pence.</t>
  </si>
  <si>
    <t>1 saddle 2.5pence.</t>
  </si>
  <si>
    <t>2 collars bought 1 shilling 1pence.</t>
  </si>
  <si>
    <t>1 pair of traces bought 7pence.</t>
  </si>
  <si>
    <t>1 cart-rope bought 1 shilling 2pence.</t>
  </si>
  <si>
    <t>shoeing 2 cart-horses for the year 2 shilling 2pence.</t>
  </si>
  <si>
    <t>stipend of 1 carter for the year 3 shilling Total, 11 shilling 1pence</t>
  </si>
  <si>
    <t>Cost of buildings</t>
  </si>
  <si>
    <t>In re-roofing and mending the unroofed wheat-barn in places 1 shilling 6pence.</t>
  </si>
  <si>
    <t>roofing the hall and byre all over and mending the small barn in places 9 shilling.</t>
  </si>
  <si>
    <t>collecting 34 acres of stubble for the same 5 shilling 8pence, at 2pence an acre.</t>
  </si>
  <si>
    <t>fitting 2 shovels with iron 3pence.</t>
  </si>
  <si>
    <t>1 lock bought for the door of the wheat-barn 3pence.</t>
  </si>
  <si>
    <t>stipend of 1 hayward keeping the curia and pastures of Burghclere and Ecchinswell for the year 6 shilling 8pence.</t>
  </si>
  <si>
    <t>2 pigs bought 6 shilling 8pence.</t>
  </si>
  <si>
    <t>forage bought 3 shilling Total, £1 13 shilling</t>
  </si>
  <si>
    <t>Sheepcote and sheepfold</t>
  </si>
  <si>
    <t>In re-roofing and mending the hogg-house unroofed by the wind 1 s. 3pence.</t>
  </si>
  <si>
    <t>grease bought for greasing sheep and hoggs £1 15 shilling 10pence.</t>
  </si>
  <si>
    <t>15 hurdles bought for the fold 1 shilling 3pence.</t>
  </si>
  <si>
    <t>2 new cribs made and others mended 3 shilling.</t>
  </si>
  <si>
    <t>wattling the fold whilst the sheepcote has no ewes 5pence.</t>
  </si>
  <si>
    <t>stipend of 1 keeper of hoggs for' term 3pence.</t>
  </si>
  <si>
    <t>stipend of 1 attendant from the time of weaning until Michaelmas 2 shilling Total, £2 4 shilling</t>
  </si>
  <si>
    <t>Threshing and winnowing</t>
  </si>
  <si>
    <t>In threshing and winnowing 57 quarters of wheat and curall 9 shilling 6pence, at 2pence a quarters.</t>
  </si>
  <si>
    <t>curall, wheat</t>
  </si>
  <si>
    <t>threshing and winnowing 24 quarters 1 bushels of bere 3 shilling 6pence, at 1.75pence a quarters.</t>
  </si>
  <si>
    <t>threshing and winnowing 15 quarters 2 bushels of barley 1 shilling 7pence, at 1.25pence a quarters.</t>
  </si>
  <si>
    <t>threshing 56 quarters of oats 2 shilling 4pence, at .5pence a quarters.</t>
  </si>
  <si>
    <t>winnowing the same 7pence, at 1pence per 8 quarters.</t>
  </si>
  <si>
    <t>1 basket bought 3pence Total, 17 shilling 9pence</t>
  </si>
  <si>
    <t>Harvest-time</t>
  </si>
  <si>
    <t>In 6 sesters of ale bought for the mowing of 45 acres in the great meadow of Ecchinswell according to custom 7 shilling.</t>
  </si>
  <si>
    <t>1 boon-work of 86 men who reaped 36 acres of wheat 9 shilling, as in bread, ale and relish.</t>
  </si>
  <si>
    <t>Total, 16 shilling</t>
  </si>
  <si>
    <t xml:space="preserve">Total of all expenses </t>
  </si>
  <si>
    <t>Total of all expenses, £10 8 shilling 8.5pence</t>
  </si>
  <si>
    <t>And he owes</t>
  </si>
  <si>
    <t>And he owes, £38 1 shilling 9.5pence</t>
  </si>
  <si>
    <t xml:space="preserve">Cash deliveries </t>
  </si>
  <si>
    <t>{on the day after All Souls (3 November))</t>
  </si>
  <si>
    <t>Delivered to Sir Geoffrey, treasurer, by 1 tally, £24.</t>
  </si>
  <si>
    <t>And he owes clear</t>
  </si>
  <si>
    <t>And he owes clear, £14 1 shilling 9.5pence</t>
  </si>
  <si>
    <t>Wheat</t>
  </si>
  <si>
    <t>(yield: five-fold plus 3 quarters 3 bushels)</t>
  </si>
  <si>
    <t>The same render account for 70 quarters 2.5 bushels from the whole issue of wheat by struck measure.</t>
  </si>
  <si>
    <t>1.5 quarters by estimation in 3 acres delivered to the reeve, hayward and 1 smith according to custom.</t>
  </si>
  <si>
    <t>5 quarters 1 bushels from churchscot.</t>
  </si>
  <si>
    <t>6 bushels bought.</t>
  </si>
  <si>
    <t>Total, 77 quarters 5.5 bushels</t>
  </si>
  <si>
    <t>Sown over 107.5 acres as they lie in the field below the wood, 15.5 quarters.</t>
  </si>
  <si>
    <t>that is, 1.5 bushels an acre over 33 acres, and 1 bushels an acre over 74.5 acres.</t>
  </si>
  <si>
    <t>default of 1 virgate of land which is called Frihlond, 1.5 bushels for churchscot.</t>
  </si>
  <si>
    <t>default of 1 virgate of land of Richard de Britheurst, 3 bushels.</t>
  </si>
  <si>
    <t>customary payment to the hayward, 1 bushels.</t>
  </si>
  <si>
    <t>customary payment for the mowing of the meadow of Ecchinswell, 1.5 quarters.</t>
  </si>
  <si>
    <t>customary payment to the reeve, hayward and smith by estimation in 3 acres, 1.5 quarters.</t>
  </si>
  <si>
    <t>provision of the bailiff, 5.5 quarters.</t>
  </si>
  <si>
    <t>Sold, 53 quarters.</t>
  </si>
  <si>
    <t>Curall</t>
  </si>
  <si>
    <t>The same render account for 1 quarters of curall from the whole issue.</t>
  </si>
  <si>
    <t>all solpence</t>
  </si>
  <si>
    <t>Bere</t>
  </si>
  <si>
    <t>{yield: five-fold plus 5 bushels}</t>
  </si>
  <si>
    <t>The same render account for 30 quarters 1 bushels from the whole issue of bere by struck measure.</t>
  </si>
  <si>
    <t>4 bushels by estimation in 48 sheaves delivered for the reaping of 24 acres by labour service, at 2 sheaves an acre.</t>
  </si>
  <si>
    <t>2 quarters 7 bushels bought.</t>
  </si>
  <si>
    <t>Total, 33.5 quarters.</t>
  </si>
  <si>
    <t>Sown over 35 acres as they lie below the wood, 8 quarters 6 bushels.</t>
  </si>
  <si>
    <t>that is, 2 bushels an acre.</t>
  </si>
  <si>
    <t>Delivered to 1 hayward keeping the strips of ploughland and pastures of Burghclere and Ecchinswell for the year, 6.5 quarters, because he takes a quarter every 8 weeks.</t>
  </si>
  <si>
    <t>Delivered to 1 carter for the year, 5 quarters 1.5 bushels, because he takes a quarter every 10 weeks.</t>
  </si>
  <si>
    <t>Delivered to 1 oxherd from Michaelmas (29 September) until the feast of St Gregory (12 March), for 23 weeks 3 days, 2 quarters 2 bushels Delivered to 1 shepherd for 5 weeks, .5 quarters.</t>
  </si>
  <si>
    <t>Delivered to 1 keeper of lambs from Easter until Michaelmas, for 23 weeks, 2 quarters 2 bushels Delivered to the reapers by estimation in sheaves, 4 bushels Sold, 7 quarters 4.5 bushels</t>
  </si>
  <si>
    <t>Barley</t>
  </si>
  <si>
    <t>{yield: four-fold plus 1.5 quarters}</t>
  </si>
  <si>
    <t>The same render account for 19 quarters from the whole issue of barley by struck measure.</t>
  </si>
  <si>
    <t>4 bushels by estimation in 36 sheaves delivered for the reaping of 18 acres by labour service, at 2 sheaves an acre.</t>
  </si>
  <si>
    <t>Sown over 23 acres as they lie in the field of Estlye, 5 quarters 5 bushels.</t>
  </si>
  <si>
    <t>that is, 2 bushels an acre, less 1 bushels in all.</t>
  </si>
  <si>
    <t>Delivered to the reapers by estimation in 36 sheaves, 4 bushels Sold, 13 quarters 3 bushels</t>
  </si>
  <si>
    <t>Oats</t>
  </si>
  <si>
    <t>{yield: two-fold plus 8 quarters 5 bushels}</t>
  </si>
  <si>
    <t>The same render account for 69 quarters 7 bushels from the whole issue of oats by struck measure.</t>
  </si>
  <si>
    <t>8 quarters by estimation in sheaves given to oxen.</t>
  </si>
  <si>
    <t>2 bushels by estimation in 1.5 acres delivered to the hayward according to custom.</t>
  </si>
  <si>
    <t>1.5 quarters by estimation in 192 sheaves delivered for the reaping of 96 acres by labour service, at 2 sheaves an acre.</t>
  </si>
  <si>
    <t>Total, 79 quarters 5 bushels</t>
  </si>
  <si>
    <t>Sown over 126 acres as they lie in la Estlye, 28 quarters 6 bushels.</t>
  </si>
  <si>
    <t>that is, 2 bushels an acre, less 2 bushels in all.</t>
  </si>
  <si>
    <t>fodder of 2 cart-horses at sowing-time, 6.5 quarters.</t>
  </si>
  <si>
    <t>supporting 19 oxen in winter by estimation in sheaves, 8 quarters.</t>
  </si>
  <si>
    <t>customary payment to the same by estimation in 1.5 acres, 2 bushels Delivered to the reapers by estimation in 192 sheaves, 1.5 quarters.</t>
  </si>
  <si>
    <t>fodder of the bailiff's horses, 8.5 quarters., who takes the rest at Burghclere.</t>
  </si>
  <si>
    <t>Sold, 26 quarters.</t>
  </si>
  <si>
    <t>Vetches</t>
  </si>
  <si>
    <t>The same render account for 6 bushels from the issue of vetches by struck measure.</t>
  </si>
  <si>
    <t>Sown, 2 bushels Sold, 0.5 quarters.</t>
  </si>
  <si>
    <t>Stock</t>
  </si>
  <si>
    <t>Horses: 2 cart-horses remain from the previous year.</t>
  </si>
  <si>
    <t>2 remain.</t>
  </si>
  <si>
    <t>Mares: 1 from the heriot of Richard de Brochurst.</t>
  </si>
  <si>
    <t>1 sold.</t>
  </si>
  <si>
    <t>none remain.</t>
  </si>
  <si>
    <t>Oxen: 19 remain from the previous year.</t>
  </si>
  <si>
    <t>8 received from Highclere.</t>
  </si>
  <si>
    <t>1 from the heriot of Juliana de la Nortmull'.</t>
  </si>
  <si>
    <t>6 bought.</t>
  </si>
  <si>
    <t>Total, 31. 1 sold.</t>
  </si>
  <si>
    <t>30 remain</t>
  </si>
  <si>
    <t>Wethers: 275 remain from the previous year.</t>
  </si>
  <si>
    <t>4 from the reeve of Highclere before shearing, 3 from the reeve of Burghclere before shearing.</t>
  </si>
  <si>
    <t>180 added from hoggs.</t>
  </si>
  <si>
    <t>Total, 362. 27 sold at Martinmas.</t>
  </si>
  <si>
    <t>4 in murrain before shearing, 2 after shearing.</t>
  </si>
  <si>
    <t>2 in customary payment for the mowing of the meadow of Ecchinswell.</t>
  </si>
  <si>
    <t>1 in customary payment for the mowing of the meadow of Sydmonton.</t>
  </si>
  <si>
    <t>1 in customary payment for the mowing of the meadow of Burghclere.</t>
  </si>
  <si>
    <t>Total, 37. 425 remain</t>
  </si>
  <si>
    <t>Hoggs: 435 remain from the previous year's lambs.</t>
  </si>
  <si>
    <t>22 sold at Martinmas.</t>
  </si>
  <si>
    <t>31 in murrain before shearing, 2 after shearing.</t>
  </si>
  <si>
    <t>180 added to the wethers of Ecchinswell, 138 to the ewes of Burghclere, 4 to the rams of Burghclere, 58 to the ewes of Highclere.</t>
  </si>
  <si>
    <t>Lambs: 255 from the reeve of Highclere.</t>
  </si>
  <si>
    <t>2 from the gift of Gert'.</t>
  </si>
  <si>
    <t>Total, 257. 4 in murrain before shearing, 4 after shearing.</t>
  </si>
  <si>
    <t>249 remain.</t>
  </si>
  <si>
    <t>Pigs: 2 bought.</t>
  </si>
  <si>
    <t>2 sold.</t>
  </si>
  <si>
    <t>Coarse fleeces: 251 from wethers and 382 from hoggs produced at the shearing this year.</t>
  </si>
  <si>
    <t>Total, 533.3 63 in tithe.</t>
  </si>
  <si>
    <t>1 in customary payment to the shepherd of wethers.</t>
  </si>
  <si>
    <t>570 sent to Highclere.</t>
  </si>
  <si>
    <t>Lambs' fleeces: 243 fleeces produced at the shearing this year because 6 not sheared because late-born.</t>
  </si>
  <si>
    <t>all sent to Highclere.</t>
  </si>
  <si>
    <t>Woolskins: 4 from wethers and 31 from hoggs in murrain before shearing.</t>
  </si>
  <si>
    <t>Total, 35. 3 in tithe.</t>
  </si>
  <si>
    <t>32 solpence</t>
  </si>
  <si>
    <t>Bare skins: 2 from wethers and 2 from hoggs in murrain after shearing.</t>
  </si>
  <si>
    <t>Lambskins: 4 from lambs in murrain after shearing, and 4 before.</t>
  </si>
  <si>
    <t>Hens: 140 from churchscot. 2 in quittance of 1 hayward.</t>
  </si>
  <si>
    <t>2 in default of Juliana atte Norma because she has no husband.</t>
  </si>
  <si>
    <t>2 in default of Edith atte Folod' for the same.</t>
  </si>
  <si>
    <t>2 in default of Ascelote Goude for the same.</t>
  </si>
  <si>
    <t>2 in default of William Mokel because he has no wife.</t>
  </si>
  <si>
    <t>1 in default of Agnes Geffray for the same.</t>
  </si>
  <si>
    <t>2 in default of Alice palmere because she has no husband.</t>
  </si>
  <si>
    <t>2 in default of Robert Stul for the same.</t>
  </si>
  <si>
    <t>2 in default of Alice Amyg' for the same.</t>
  </si>
  <si>
    <t>2 in default of Juliana Wauncy for the same.</t>
  </si>
  <si>
    <t>4 in default of Edith Legat for the same.</t>
  </si>
  <si>
    <t>Total, 23. 117 solpence</t>
  </si>
  <si>
    <t>Eggs: 800 received according to custom at Easter.</t>
  </si>
  <si>
    <t>Carts: 2 remain from the previous year.</t>
  </si>
  <si>
    <t>1 of wood made this year.</t>
  </si>
  <si>
    <t>1 worn out.</t>
  </si>
  <si>
    <t>2 remain, 1 with iron tyres, the other of woopence</t>
  </si>
  <si>
    <t>Error</t>
  </si>
  <si>
    <t>Total</t>
  </si>
  <si>
    <t>4 shilling from 1 qr of curall sold.</t>
  </si>
  <si>
    <t>£1 10 shilling 3pence from 7 quarters 4.5 bushels of bere sold, at 4 shilling a qr.</t>
  </si>
  <si>
    <t>£2 13 shilling 6pence from 13 quarters 3 bushels of barley sold, at 4 shilling a qr.</t>
  </si>
  <si>
    <t>£3 5 shilling from 26 quarters of oats sold, at 2 shilling 6pence a qr.</t>
  </si>
  <si>
    <t>2 quarters 7 bushels of bere bought for sowing and for the liveries of the manorial servants 9 shilling 7pence, at 3 shilling 4pence a qr.</t>
  </si>
  <si>
    <t>In threshing and winnowing 57 quarters of wheat and curall 9 shilling 6pence, at 2pence a qr.</t>
  </si>
  <si>
    <t>threshing and winnowing 24 quarters 1 bushels of bere 3 shilling 6pence, at 1.75pence a qr.</t>
  </si>
  <si>
    <t>threshing and winnowing 15 quarters 2 bushels of barley 1 shilling 7pence, at 1.25pence a qr.</t>
  </si>
  <si>
    <t>threshing 56 quarters of oats 2 shilling 4pence, at .5pence a qr.</t>
  </si>
  <si>
    <t>added</t>
  </si>
  <si>
    <t>sold</t>
  </si>
  <si>
    <t>Mares</t>
  </si>
  <si>
    <t>Oxen</t>
  </si>
  <si>
    <t>Wethers</t>
  </si>
  <si>
    <t>Hoggs</t>
  </si>
  <si>
    <t>Lambs</t>
  </si>
  <si>
    <t>Pigs</t>
  </si>
  <si>
    <t>Bareskins</t>
  </si>
  <si>
    <t>Lambskins</t>
  </si>
  <si>
    <t>Poultry stock</t>
  </si>
  <si>
    <t>Poultry production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</si>
  <si>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</si>
  <si>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</si>
  <si>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</si>
  <si>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</si>
  <si>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</si>
  <si>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</si>
  <si>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</si>
  <si>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</si>
  <si>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</si>
  <si>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</si>
  <si>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</si>
  <si>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</si>
  <si>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</si>
  <si>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</si>
  <si>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</si>
  <si>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</si>
  <si>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</si>
  <si>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</si>
  <si>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</si>
  <si>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</si>
  <si>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</si>
  <si>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</si>
  <si>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</si>
  <si>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The same render account for 1 qr of curall from the whole issue.</t>
  </si>
  <si>
    <t>Sown, 2 bushels Sold, 0.5 qr.</t>
  </si>
  <si>
    <t>Gross Output</t>
  </si>
  <si>
    <t>Difference Produced+Bought-Sold</t>
  </si>
  <si>
    <t>Weighted Average Price per Quarter</t>
  </si>
  <si>
    <t>Non-Weighted Average Price per Quarter</t>
  </si>
  <si>
    <t>Value of Total Production weighted</t>
  </si>
  <si>
    <t>Maslin</t>
  </si>
  <si>
    <t>Peas</t>
  </si>
  <si>
    <t>Oatmeal</t>
  </si>
  <si>
    <t>Rye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</si>
  <si>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</si>
  <si>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</si>
  <si>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</si>
  <si>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</si>
  <si>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</si>
  <si>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</si>
  <si>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</si>
  <si>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</si>
  <si>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</si>
  <si>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</si>
  <si>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</si>
  <si>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</si>
  <si>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</si>
  <si>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</si>
  <si>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</si>
  <si>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</si>
  <si>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</si>
  <si>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</si>
  <si>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</si>
  <si>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</si>
  <si>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</si>
  <si>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</si>
  <si>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</si>
  <si>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</si>
  <si>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</si>
  <si>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</si>
  <si>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</si>
  <si>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</si>
  <si>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</si>
  <si>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</si>
  <si>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</si>
  <si>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</si>
  <si>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</si>
  <si>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</si>
  <si>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</si>
  <si>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</si>
  <si>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</si>
  <si>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</si>
  <si>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</si>
  <si>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</si>
  <si>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</si>
  <si>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</si>
  <si>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</si>
  <si>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</si>
  <si>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</si>
  <si>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</si>
  <si>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</si>
  <si>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</si>
  <si>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</si>
  <si>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</si>
  <si>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</si>
  <si>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</si>
  <si>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</si>
  <si>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</si>
  <si>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</si>
  <si>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Cash deliveries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</si>
  <si>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</si>
  <si>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</si>
  <si>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</si>
  <si>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</si>
  <si>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</si>
  <si>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</si>
  <si>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Dredge</t>
  </si>
  <si>
    <t>Beans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</si>
  <si>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</si>
  <si>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</si>
  <si>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</si>
  <si>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</si>
  <si>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</si>
  <si>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1st grade malt</t>
  </si>
  <si>
    <t>2nd grade malt</t>
  </si>
  <si>
    <t>Total value of production (sum of the above)</t>
  </si>
  <si>
    <t>STOCK ACCOUNT</t>
  </si>
  <si>
    <t>Livestock</t>
  </si>
  <si>
    <t>Cart-horses</t>
  </si>
  <si>
    <t>Plough horses</t>
  </si>
  <si>
    <t>Colts (2 years)</t>
  </si>
  <si>
    <t>Colts (1 year)</t>
  </si>
  <si>
    <t>Foals</t>
  </si>
  <si>
    <t>Bulls</t>
  </si>
  <si>
    <t>Cows</t>
  </si>
  <si>
    <t>Steers</t>
  </si>
  <si>
    <t>Bullocks</t>
  </si>
  <si>
    <t>Yearlings</t>
  </si>
  <si>
    <t>Calves</t>
  </si>
  <si>
    <t>Rams</t>
  </si>
  <si>
    <t>Ewes</t>
  </si>
  <si>
    <t>Boars</t>
  </si>
  <si>
    <t>Sows</t>
  </si>
  <si>
    <t>Hoggets</t>
  </si>
  <si>
    <t>Piglets</t>
  </si>
  <si>
    <t>Swans</t>
  </si>
  <si>
    <t>Peacocks</t>
  </si>
  <si>
    <t>Total value of stock (sum of the above)</t>
  </si>
  <si>
    <t>Total value of production</t>
  </si>
  <si>
    <t>Wool</t>
  </si>
  <si>
    <t>Fleeces</t>
  </si>
  <si>
    <t>Coarse 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</si>
  <si>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</si>
  <si>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</si>
  <si>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</si>
  <si>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</si>
  <si>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</si>
  <si>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</si>
  <si>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</si>
  <si>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</si>
  <si>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</si>
  <si>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</si>
  <si>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</si>
  <si>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</si>
  <si>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</si>
  <si>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</si>
  <si>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</si>
  <si>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</si>
  <si>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</si>
  <si>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</si>
  <si>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</si>
  <si>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</si>
  <si>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</si>
  <si>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Rotted skins</t>
  </si>
  <si>
    <t>Shorn skins</t>
  </si>
  <si>
    <t>Hens</t>
  </si>
  <si>
    <t>Geese</t>
  </si>
  <si>
    <t>Capons (from chickens)</t>
  </si>
  <si>
    <t>Cocks &amp; hens</t>
  </si>
  <si>
    <t>Eggs</t>
  </si>
  <si>
    <t>Cocks &amp; hens from churchscot of customary tenants</t>
  </si>
  <si>
    <t>Sum of above</t>
  </si>
  <si>
    <t>Total value of stock</t>
  </si>
  <si>
    <t>Dairy Production</t>
  </si>
  <si>
    <t>Butter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</si>
  <si>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</si>
  <si>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</si>
  <si>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</si>
  <si>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</si>
  <si>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</si>
  <si>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</si>
  <si>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</si>
  <si>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</si>
  <si>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</si>
  <si>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ECCHINSWELL</t>
  </si>
  <si>
    <t>Total in £</t>
  </si>
  <si>
    <t>Note</t>
  </si>
  <si>
    <t>ECCHINSWELL RECEIPT</t>
  </si>
  <si>
    <t>£</t>
  </si>
  <si>
    <t xml:space="preserve">s </t>
  </si>
  <si>
    <t>d</t>
  </si>
  <si>
    <t>Notes</t>
  </si>
  <si>
    <t xml:space="preserve">1 keeper of hoggs for 2.5 terms 1 shilling 3pence </t>
  </si>
  <si>
    <t>Total, 18 shilling</t>
  </si>
  <si>
    <t>Total, £5 17 shilling 4pence</t>
  </si>
  <si>
    <t>10 shilling from 2 pigs sold</t>
  </si>
  <si>
    <t xml:space="preserve">6pence from 4 bushels of vetches solpence </t>
  </si>
  <si>
    <t>Total, £25 4 shilling 8pence</t>
  </si>
  <si>
    <t>The same render account for £17 11 shilling 5pence from 53 quarters of wheat sold, at 6 shilling a qr for 2 quarters 7 bushels, 6 shilling 8pence a qr for 50 quarters 1 bushels.</t>
  </si>
  <si>
    <t>Total, £1 7 shilling 3pence</t>
  </si>
  <si>
    <t>3pence from John Bukel for trespass of wood</t>
  </si>
  <si>
    <t>ECCHINSWELL EXPENSES</t>
  </si>
  <si>
    <t>stipend of 1 carter for the year 3 shilling</t>
  </si>
  <si>
    <t xml:space="preserve"> Total, 11 shilling 1pence</t>
  </si>
  <si>
    <t xml:space="preserve">forage bought 3 shilling </t>
  </si>
  <si>
    <t>Total, £1 13 shilling</t>
  </si>
  <si>
    <t xml:space="preserve">stipend of 1 attendant from the time of weaning until Michaelmas 2 shilling </t>
  </si>
  <si>
    <t>Total, £2 4 shilling</t>
  </si>
  <si>
    <t>In re-roofing and mending the hogg-house unroofed by the wind 1 shilling 3pence.</t>
  </si>
  <si>
    <t xml:space="preserve">1 basket bought 3pence </t>
  </si>
  <si>
    <t>Total, 17 shilling 9pence</t>
  </si>
  <si>
    <t>Colts (unspecified years)</t>
  </si>
  <si>
    <t>Total Value</t>
  </si>
  <si>
    <t>Total wool</t>
  </si>
  <si>
    <t>Mare</t>
  </si>
  <si>
    <t>Steer</t>
  </si>
  <si>
    <t>calves</t>
  </si>
  <si>
    <t>pigs</t>
  </si>
  <si>
    <t>wethers</t>
  </si>
  <si>
    <t>rams</t>
  </si>
  <si>
    <t>ewes</t>
  </si>
  <si>
    <t>hoggs</t>
  </si>
  <si>
    <t xml:space="preserve">Total </t>
  </si>
  <si>
    <t>Total poultry stock</t>
  </si>
  <si>
    <t>Total poultry excluding churchscot</t>
  </si>
  <si>
    <t>Meat</t>
  </si>
  <si>
    <t>Beef</t>
  </si>
  <si>
    <t>Mutton</t>
  </si>
  <si>
    <t>Pork</t>
  </si>
  <si>
    <t>Cheese</t>
  </si>
  <si>
    <t>Winter cheese</t>
  </si>
  <si>
    <t>Summer cheese</t>
  </si>
  <si>
    <t>Total Dairy Sales</t>
  </si>
  <si>
    <t>Cider</t>
  </si>
  <si>
    <t>Additional Information (not necessarily useful)</t>
  </si>
  <si>
    <t>Utensils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</si>
  <si>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</si>
  <si>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</si>
  <si>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</si>
  <si>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</si>
  <si>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</si>
  <si>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</si>
  <si>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</si>
  <si>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</si>
  <si>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</si>
  <si>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</si>
  <si>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</si>
  <si>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</si>
  <si>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</si>
  <si>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</si>
  <si>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</si>
  <si>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</si>
  <si>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</si>
  <si>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</si>
  <si>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</si>
  <si>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</si>
  <si>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</si>
  <si>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</si>
  <si>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</si>
  <si>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</si>
  <si>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</si>
  <si>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subtracted</t>
  </si>
  <si>
    <t>Inherited stock</t>
  </si>
  <si>
    <t>strays</t>
  </si>
  <si>
    <t>herbage</t>
  </si>
  <si>
    <t>churchscot</t>
  </si>
  <si>
    <t>of which in default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</si>
  <si>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</si>
  <si>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</si>
  <si>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</si>
  <si>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</si>
  <si>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</si>
  <si>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</si>
  <si>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</si>
  <si>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</si>
  <si>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</si>
  <si>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</si>
  <si>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</si>
  <si>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</si>
  <si>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</si>
  <si>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ECCHINSWELL STOCK ACCOUNT</t>
  </si>
  <si>
    <t>Total of all receipts</t>
  </si>
  <si>
    <t>Total Quantity</t>
  </si>
  <si>
    <t>Received from churchscot</t>
  </si>
  <si>
    <t>bere</t>
  </si>
  <si>
    <t>Total Production</t>
  </si>
  <si>
    <t>Sales of corn (as recorded in accounts)</t>
  </si>
  <si>
    <t>Net output</t>
  </si>
  <si>
    <t>Gross output</t>
  </si>
  <si>
    <t>Seed quarters</t>
  </si>
  <si>
    <t>Seed bushels</t>
  </si>
  <si>
    <t>Seed total quarters</t>
  </si>
  <si>
    <t>tithe quarters</t>
  </si>
  <si>
    <t>tithe bushels</t>
  </si>
  <si>
    <t>tithe total</t>
  </si>
  <si>
    <t>manorial servants quarters</t>
  </si>
  <si>
    <t>manorial servants bushels</t>
  </si>
  <si>
    <t>manorial servants total quarters</t>
  </si>
  <si>
    <t>output net of tithe, seed, liveries</t>
  </si>
  <si>
    <t>in stock from last year</t>
  </si>
  <si>
    <t>Price in £</t>
  </si>
  <si>
    <t>Value of net output in £</t>
  </si>
  <si>
    <t>Value of sales (in "Sale of Corn") in £</t>
  </si>
  <si>
    <t>Coarse wool / fleeces</t>
  </si>
  <si>
    <t>Lamb's wool / fleeces</t>
  </si>
  <si>
    <t xml:space="preserve">Woolskins </t>
  </si>
  <si>
    <t>Woolskins</t>
  </si>
  <si>
    <t>Total of all receipts recorded in accounts</t>
  </si>
  <si>
    <t>Total cross-check without arrears</t>
  </si>
  <si>
    <t>Total cross-check with arrears</t>
  </si>
  <si>
    <t>Fixed investment</t>
  </si>
  <si>
    <t>Demesne fixed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</si>
</sst>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 (Body)"/>
    </font>
    <font>
      <b/>
      <sz val="12"/>
      <name val="Calibri"/>
      <family val="2"/>
    </font>
    <font>
      <b/>
      <sz val="12"/>
      <color theme="1"/>
      <name val="Calibri (Body)"/>
    </font>
    <font>
      <b/>
      <sz val="12"/>
      <color rgb="FFFF0000"/>
      <name val="Calibri (Body)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1" xfId="0" applyFont="1" applyBorder="1" applyAlignment="1">
      <alignment horizontal="center" vertical="top"/>
    </xf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2" fillId="0" borderId="0" xfId="0" applyFont="1"/>
    <xf numFmtId="0" fontId="7" fillId="3" borderId="2" xfId="0" applyFont="1" applyFill="1" applyBorder="1"/>
    <xf numFmtId="0" fontId="7" fillId="3" borderId="0" xfId="0" applyFont="1" applyFill="1"/>
    <xf numFmtId="0" fontId="8" fillId="2" borderId="0" xfId="0" applyFont="1" applyFill="1"/>
    <xf numFmtId="0" fontId="6" fillId="0" borderId="3" xfId="0" applyFont="1" applyBorder="1"/>
    <xf numFmtId="0" fontId="4" fillId="0" borderId="0" xfId="0" applyFont="1"/>
    <xf numFmtId="0" fontId="6" fillId="4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2" borderId="0" xfId="0" applyFont="1" applyFill="1"/>
    <xf numFmtId="0" fontId="5" fillId="6" borderId="0" xfId="0" applyFont="1" applyFill="1"/>
    <xf numFmtId="0" fontId="5" fillId="3" borderId="0" xfId="0" applyFont="1" applyFill="1"/>
    <xf numFmtId="0" fontId="6" fillId="0" borderId="0" xfId="0" applyFont="1" applyAlignment="1">
      <alignment wrapText="1"/>
    </xf>
    <xf numFmtId="0" fontId="9" fillId="6" borderId="0" xfId="0" applyFont="1" applyFill="1"/>
    <xf numFmtId="0" fontId="6" fillId="0" borderId="4" xfId="0" applyFont="1" applyBorder="1"/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left"/>
    </xf>
    <xf numFmtId="0" fontId="6" fillId="3" borderId="5" xfId="0" applyFont="1" applyFill="1" applyBorder="1"/>
    <xf numFmtId="0" fontId="9" fillId="2" borderId="6" xfId="0" applyFont="1" applyFill="1" applyBorder="1"/>
    <xf numFmtId="0" fontId="9" fillId="5" borderId="6" xfId="0" applyFont="1" applyFill="1" applyBorder="1"/>
    <xf numFmtId="0" fontId="6" fillId="0" borderId="6" xfId="0" applyFont="1" applyBorder="1"/>
    <xf numFmtId="10" fontId="9" fillId="2" borderId="6" xfId="0" applyNumberFormat="1" applyFont="1" applyFill="1" applyBorder="1"/>
    <xf numFmtId="10" fontId="9" fillId="5" borderId="7" xfId="0" applyNumberFormat="1" applyFont="1" applyFill="1" applyBorder="1"/>
    <xf numFmtId="2" fontId="5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3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4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left" vertical="top"/>
    </xf>
    <xf numFmtId="2" fontId="0" fillId="0" borderId="0" xfId="0" applyNumberFormat="1"/>
    <xf numFmtId="2" fontId="11" fillId="0" borderId="0" xfId="0" applyNumberFormat="1" applyFont="1"/>
    <xf numFmtId="2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 vertical="top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5" fillId="7" borderId="0" xfId="0" applyFont="1" applyFill="1"/>
    <xf numFmtId="0" fontId="0" fillId="0" borderId="8" xfId="0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8" borderId="0" xfId="0" applyFill="1"/>
    <xf numFmtId="0" fontId="15" fillId="3" borderId="0" xfId="0" applyFont="1" applyFill="1"/>
    <xf numFmtId="0" fontId="15" fillId="0" borderId="0" xfId="0" applyFont="1"/>
    <xf numFmtId="2" fontId="0" fillId="0" borderId="0" xfId="0" applyNumberFormat="1" applyAlignment="1">
      <alignment wrapText="1"/>
    </xf>
    <xf numFmtId="0" fontId="4" fillId="0" borderId="0" xfId="0" applyFont="1" applyAlignment="1">
      <alignment horizontal="right" wrapText="1"/>
    </xf>
    <xf numFmtId="2" fontId="4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18" fillId="0" borderId="0" xfId="0" applyFont="1"/>
    <xf numFmtId="0" fontId="0" fillId="9" borderId="0" xfId="0" applyFill="1"/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wrapText="1"/>
    </xf>
    <xf numFmtId="2" fontId="18" fillId="0" borderId="0" xfId="0" applyNumberFormat="1" applyFont="1" applyAlignment="1">
      <alignment horizontal="right" wrapText="1"/>
    </xf>
    <xf numFmtId="0" fontId="0" fillId="10" borderId="0" xfId="0" applyFill="1"/>
    <xf numFmtId="0" fontId="0" fillId="0" borderId="10" xfId="0" applyBorder="1"/>
    <xf numFmtId="0" fontId="0" fillId="7" borderId="0" xfId="0" applyFill="1"/>
    <xf numFmtId="2" fontId="4" fillId="0" borderId="0" xfId="0" applyNumberFormat="1" applyFont="1" applyAlignment="1">
      <alignment horizontal="right" wrapText="1"/>
    </xf>
    <xf numFmtId="2" fontId="0" fillId="7" borderId="0" xfId="0" applyNumberFormat="1" applyFill="1"/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0" xfId="0" applyFont="1"/>
    <xf numFmtId="2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8.83203125" defaultRowHeight="16" x14ac:dyDescent="0.2"/>
  <cols>
    <col min="1" max="1" width="80" style="5" bestFit="1" customWidth="1"/>
  </cols>
  <sheetData>
    <row r="1" spans="1:4" x14ac:dyDescent="0.2">
      <c r="A1" s="2" t="s">
        <v>515</v>
      </c>
      <c r="B1" s="28" t="s">
        <v>516</v>
      </c>
      <c r="C1" s="29" t="s">
        <v>318</v>
      </c>
      <c r="D1" s="10" t="s">
        <v>517</v>
      </c>
    </row>
    <row r="2" spans="1:4" x14ac:dyDescent="0.2">
      <c r="A2" s="2" t="s">
        <v>383</v>
      </c>
    </row>
    <row r="3" spans="1:4" x14ac:dyDescent="0.2">
      <c r="A3" s="3" t="s">
        <v>384</v>
      </c>
    </row>
    <row r="4" spans="1:4" x14ac:dyDescent="0.2">
      <c r="A4" s="4" t="s">
        <v>385</v>
      </c>
    </row>
    <row r="5" spans="1:4" x14ac:dyDescent="0.2">
      <c r="A5" s="4" t="s">
        <v>386</v>
      </c>
    </row>
    <row r="6" spans="1:4" x14ac:dyDescent="0.2">
      <c r="A6" s="4" t="s">
        <v>387</v>
      </c>
    </row>
    <row r="7" spans="1:4" x14ac:dyDescent="0.2">
      <c r="A7" s="4" t="s">
        <v>388</v>
      </c>
    </row>
    <row r="8" spans="1:4" x14ac:dyDescent="0.2">
      <c r="A8" s="5" t="s">
        <v>389</v>
      </c>
    </row>
    <row r="9" spans="1:4" x14ac:dyDescent="0.2">
      <c r="A9" s="5" t="s">
        <v>390</v>
      </c>
    </row>
    <row r="10" spans="1:4" x14ac:dyDescent="0.2">
      <c r="A10" s="5" t="s">
        <v>391</v>
      </c>
    </row>
    <row r="11" spans="1:4" x14ac:dyDescent="0.2">
      <c r="A11" s="5" t="s">
        <v>392</v>
      </c>
    </row>
    <row r="12" spans="1:4" x14ac:dyDescent="0.2">
      <c r="A12" s="5" t="s">
        <v>393</v>
      </c>
    </row>
    <row r="13" spans="1:4" x14ac:dyDescent="0.2">
      <c r="A13" s="5" t="s">
        <v>394</v>
      </c>
    </row>
    <row r="14" spans="1:4" x14ac:dyDescent="0.2">
      <c r="A14" s="4" t="s">
        <v>395</v>
      </c>
    </row>
    <row r="15" spans="1:4" x14ac:dyDescent="0.2">
      <c r="A15" s="4" t="s">
        <v>396</v>
      </c>
    </row>
    <row r="16" spans="1:4" x14ac:dyDescent="0.2">
      <c r="A16" s="5" t="s">
        <v>397</v>
      </c>
    </row>
    <row r="17" spans="1:1" x14ac:dyDescent="0.2">
      <c r="A17" s="5" t="s">
        <v>398</v>
      </c>
    </row>
    <row r="18" spans="1:1" x14ac:dyDescent="0.2">
      <c r="A18" s="4" t="s">
        <v>399</v>
      </c>
    </row>
    <row r="19" spans="1:1" x14ac:dyDescent="0.2">
      <c r="A19" s="4" t="s">
        <v>400</v>
      </c>
    </row>
    <row r="20" spans="1:1" x14ac:dyDescent="0.2">
      <c r="A20" s="4" t="s">
        <v>401</v>
      </c>
    </row>
    <row r="21" spans="1:1" x14ac:dyDescent="0.2">
      <c r="A21" s="5" t="s">
        <v>402</v>
      </c>
    </row>
    <row r="22" spans="1:1" x14ac:dyDescent="0.2">
      <c r="A22" s="5" t="s">
        <v>403</v>
      </c>
    </row>
    <row r="23" spans="1:1" x14ac:dyDescent="0.2">
      <c r="A23" s="6" t="s">
        <v>404</v>
      </c>
    </row>
    <row r="24" spans="1:1" x14ac:dyDescent="0.2">
      <c r="A24" s="7" t="s">
        <v>405</v>
      </c>
    </row>
    <row r="25" spans="1:1" x14ac:dyDescent="0.2">
      <c r="A25" s="8" t="s">
        <v>406</v>
      </c>
    </row>
    <row r="26" spans="1:1" x14ac:dyDescent="0.2">
      <c r="A26" s="8" t="s">
        <v>407</v>
      </c>
    </row>
    <row r="27" spans="1:1" x14ac:dyDescent="0.2">
      <c r="A27" s="4"/>
    </row>
    <row r="28" spans="1:1" x14ac:dyDescent="0.2">
      <c r="A28" s="4"/>
    </row>
    <row r="29" spans="1:1" x14ac:dyDescent="0.2">
      <c r="A29" s="3" t="s">
        <v>408</v>
      </c>
    </row>
    <row r="30" spans="1:1" x14ac:dyDescent="0.2">
      <c r="A30" s="4" t="s">
        <v>409</v>
      </c>
    </row>
    <row r="31" spans="1:1" x14ac:dyDescent="0.2">
      <c r="A31" s="4" t="s">
        <v>410</v>
      </c>
    </row>
    <row r="32" spans="1:1" x14ac:dyDescent="0.2">
      <c r="A32" s="4" t="s">
        <v>411</v>
      </c>
    </row>
    <row r="33" spans="1:1" x14ac:dyDescent="0.2">
      <c r="A33" s="4" t="s">
        <v>412</v>
      </c>
    </row>
    <row r="34" spans="1:1" x14ac:dyDescent="0.2">
      <c r="A34" s="4" t="s">
        <v>413</v>
      </c>
    </row>
    <row r="35" spans="1:1" x14ac:dyDescent="0.2">
      <c r="A35" s="4" t="s">
        <v>414</v>
      </c>
    </row>
    <row r="36" spans="1:1" x14ac:dyDescent="0.2">
      <c r="A36" s="4" t="s">
        <v>415</v>
      </c>
    </row>
    <row r="37" spans="1:1" x14ac:dyDescent="0.2">
      <c r="A37" s="4" t="s">
        <v>416</v>
      </c>
    </row>
    <row r="38" spans="1:1" x14ac:dyDescent="0.2">
      <c r="A38" s="4" t="s">
        <v>417</v>
      </c>
    </row>
    <row r="39" spans="1:1" x14ac:dyDescent="0.2">
      <c r="A39" s="4" t="s">
        <v>418</v>
      </c>
    </row>
    <row r="40" spans="1:1" x14ac:dyDescent="0.2">
      <c r="A40" s="4" t="s">
        <v>419</v>
      </c>
    </row>
    <row r="41" spans="1:1" x14ac:dyDescent="0.2">
      <c r="A41" s="4" t="s">
        <v>420</v>
      </c>
    </row>
    <row r="42" spans="1:1" x14ac:dyDescent="0.2">
      <c r="A42" s="4" t="s">
        <v>421</v>
      </c>
    </row>
    <row r="43" spans="1:1" x14ac:dyDescent="0.2">
      <c r="A43" s="9" t="s">
        <v>422</v>
      </c>
    </row>
    <row r="44" spans="1:1" x14ac:dyDescent="0.2">
      <c r="A44" s="7" t="s">
        <v>423</v>
      </c>
    </row>
    <row r="45" spans="1:1" x14ac:dyDescent="0.2">
      <c r="A45" s="7" t="s">
        <v>424</v>
      </c>
    </row>
    <row r="46" spans="1:1" x14ac:dyDescent="0.2">
      <c r="A46" s="7" t="s">
        <v>425</v>
      </c>
    </row>
    <row r="47" spans="1:1" x14ac:dyDescent="0.2">
      <c r="A47" s="7" t="s">
        <v>426</v>
      </c>
    </row>
    <row r="48" spans="1:1" x14ac:dyDescent="0.2">
      <c r="A48" s="10"/>
    </row>
    <row r="49" spans="1:1" x14ac:dyDescent="0.2">
      <c r="A49" s="11" t="s">
        <v>427</v>
      </c>
    </row>
    <row r="50" spans="1:1" x14ac:dyDescent="0.2">
      <c r="A50" s="11" t="s">
        <v>428</v>
      </c>
    </row>
    <row r="51" spans="1:1" x14ac:dyDescent="0.2">
      <c r="A51" s="4"/>
    </row>
    <row r="52" spans="1:1" x14ac:dyDescent="0.2">
      <c r="A52" s="11" t="s">
        <v>429</v>
      </c>
    </row>
    <row r="53" spans="1:1" x14ac:dyDescent="0.2">
      <c r="A53" s="11" t="s">
        <v>430</v>
      </c>
    </row>
    <row r="54" spans="1:1" x14ac:dyDescent="0.2">
      <c r="A54" s="12" t="s">
        <v>431</v>
      </c>
    </row>
    <row r="55" spans="1:1" x14ac:dyDescent="0.2">
      <c r="A55" s="13" t="s">
        <v>432</v>
      </c>
    </row>
    <row r="56" spans="1:1" x14ac:dyDescent="0.2">
      <c r="A56" s="4"/>
    </row>
    <row r="57" spans="1:1" x14ac:dyDescent="0.2">
      <c r="A57" s="11" t="s">
        <v>433</v>
      </c>
    </row>
    <row r="58" spans="1:1" x14ac:dyDescent="0.2">
      <c r="A58" s="11" t="s">
        <v>434</v>
      </c>
    </row>
    <row r="59" spans="1:1" x14ac:dyDescent="0.2">
      <c r="A59" s="4"/>
    </row>
    <row r="60" spans="1:1" x14ac:dyDescent="0.2">
      <c r="A60" s="3" t="s">
        <v>435</v>
      </c>
    </row>
    <row r="61" spans="1:1" x14ac:dyDescent="0.2">
      <c r="A61" s="2" t="s">
        <v>436</v>
      </c>
    </row>
    <row r="62" spans="1:1" x14ac:dyDescent="0.2">
      <c r="A62" s="5" t="s">
        <v>204</v>
      </c>
    </row>
    <row r="63" spans="1:1" x14ac:dyDescent="0.2">
      <c r="A63" s="5" t="s">
        <v>374</v>
      </c>
    </row>
    <row r="64" spans="1:1" x14ac:dyDescent="0.2">
      <c r="A64" s="5" t="s">
        <v>437</v>
      </c>
    </row>
    <row r="65" spans="1:1" x14ac:dyDescent="0.2">
      <c r="A65" s="5" t="s">
        <v>220</v>
      </c>
    </row>
    <row r="66" spans="1:1" x14ac:dyDescent="0.2">
      <c r="A66" s="5" t="s">
        <v>235</v>
      </c>
    </row>
    <row r="67" spans="1:1" x14ac:dyDescent="0.2">
      <c r="A67" s="5" t="s">
        <v>242</v>
      </c>
    </row>
    <row r="68" spans="1:1" x14ac:dyDescent="0.2">
      <c r="A68" s="5" t="s">
        <v>438</v>
      </c>
    </row>
    <row r="69" spans="1:1" x14ac:dyDescent="0.2">
      <c r="A69" s="5" t="s">
        <v>372</v>
      </c>
    </row>
    <row r="70" spans="1:1" x14ac:dyDescent="0.2">
      <c r="A70" s="5" t="s">
        <v>256</v>
      </c>
    </row>
    <row r="71" spans="1:1" x14ac:dyDescent="0.2">
      <c r="A71" s="14" t="s">
        <v>439</v>
      </c>
    </row>
    <row r="72" spans="1:1" x14ac:dyDescent="0.2">
      <c r="A72" s="14" t="s">
        <v>440</v>
      </c>
    </row>
    <row r="73" spans="1:1" x14ac:dyDescent="0.2">
      <c r="A73" s="14" t="s">
        <v>441</v>
      </c>
    </row>
    <row r="74" spans="1:1" x14ac:dyDescent="0.2">
      <c r="A74" s="4"/>
    </row>
    <row r="75" spans="1:1" x14ac:dyDescent="0.2">
      <c r="A75" s="3" t="s">
        <v>442</v>
      </c>
    </row>
    <row r="76" spans="1:1" x14ac:dyDescent="0.2">
      <c r="A76" s="2" t="s">
        <v>443</v>
      </c>
    </row>
    <row r="77" spans="1:1" x14ac:dyDescent="0.2">
      <c r="A77" s="4" t="s">
        <v>204</v>
      </c>
    </row>
    <row r="78" spans="1:1" x14ac:dyDescent="0.2">
      <c r="A78" s="4" t="s">
        <v>373</v>
      </c>
    </row>
    <row r="79" spans="1:1" x14ac:dyDescent="0.2">
      <c r="A79" s="4" t="s">
        <v>444</v>
      </c>
    </row>
    <row r="80" spans="1:1" x14ac:dyDescent="0.2">
      <c r="A80" s="4" t="s">
        <v>445</v>
      </c>
    </row>
    <row r="81" spans="1:1" x14ac:dyDescent="0.2">
      <c r="A81" s="4" t="s">
        <v>371</v>
      </c>
    </row>
    <row r="82" spans="1:1" x14ac:dyDescent="0.2">
      <c r="A82" s="14" t="s">
        <v>446</v>
      </c>
    </row>
    <row r="83" spans="1:1" x14ac:dyDescent="0.2">
      <c r="A83" s="14" t="s">
        <v>441</v>
      </c>
    </row>
    <row r="84" spans="1:1" x14ac:dyDescent="0.2">
      <c r="A84" s="4"/>
    </row>
    <row r="85" spans="1:1" x14ac:dyDescent="0.2">
      <c r="A85" s="15" t="s">
        <v>447</v>
      </c>
    </row>
    <row r="86" spans="1:1" x14ac:dyDescent="0.2">
      <c r="A86" s="16" t="s">
        <v>448</v>
      </c>
    </row>
    <row r="87" spans="1:1" ht="17" x14ac:dyDescent="0.2">
      <c r="A87" s="17" t="s">
        <v>449</v>
      </c>
    </row>
    <row r="88" spans="1:1" ht="17" x14ac:dyDescent="0.2">
      <c r="A88" s="17" t="s">
        <v>331</v>
      </c>
    </row>
    <row r="89" spans="1:1" x14ac:dyDescent="0.2">
      <c r="A89" s="4" t="s">
        <v>450</v>
      </c>
    </row>
    <row r="90" spans="1:1" x14ac:dyDescent="0.2">
      <c r="A90" s="4" t="s">
        <v>451</v>
      </c>
    </row>
    <row r="91" spans="1:1" x14ac:dyDescent="0.2">
      <c r="A91" s="4" t="s">
        <v>451</v>
      </c>
    </row>
    <row r="92" spans="1:1" x14ac:dyDescent="0.2">
      <c r="A92" s="4" t="s">
        <v>452</v>
      </c>
    </row>
    <row r="93" spans="1:1" x14ac:dyDescent="0.2">
      <c r="A93" s="4" t="s">
        <v>453</v>
      </c>
    </row>
    <row r="94" spans="1:1" x14ac:dyDescent="0.2">
      <c r="A94" s="4" t="s">
        <v>332</v>
      </c>
    </row>
    <row r="95" spans="1:1" x14ac:dyDescent="0.2">
      <c r="A95" s="4" t="s">
        <v>454</v>
      </c>
    </row>
    <row r="96" spans="1:1" x14ac:dyDescent="0.2">
      <c r="A96" s="4" t="s">
        <v>455</v>
      </c>
    </row>
    <row r="97" spans="1:1" x14ac:dyDescent="0.2">
      <c r="A97" s="4" t="s">
        <v>456</v>
      </c>
    </row>
    <row r="98" spans="1:1" x14ac:dyDescent="0.2">
      <c r="A98" s="4" t="s">
        <v>457</v>
      </c>
    </row>
    <row r="99" spans="1:1" x14ac:dyDescent="0.2">
      <c r="A99" s="4" t="s">
        <v>458</v>
      </c>
    </row>
    <row r="100" spans="1:1" x14ac:dyDescent="0.2">
      <c r="A100" s="4" t="s">
        <v>459</v>
      </c>
    </row>
    <row r="101" spans="1:1" x14ac:dyDescent="0.2">
      <c r="A101" s="4" t="s">
        <v>333</v>
      </c>
    </row>
    <row r="102" spans="1:1" x14ac:dyDescent="0.2">
      <c r="A102" s="4" t="s">
        <v>460</v>
      </c>
    </row>
    <row r="103" spans="1:1" x14ac:dyDescent="0.2">
      <c r="A103" s="4" t="s">
        <v>461</v>
      </c>
    </row>
    <row r="104" spans="1:1" x14ac:dyDescent="0.2">
      <c r="A104" s="4" t="s">
        <v>334</v>
      </c>
    </row>
    <row r="105" spans="1:1" x14ac:dyDescent="0.2">
      <c r="A105" s="4" t="s">
        <v>335</v>
      </c>
    </row>
    <row r="106" spans="1:1" x14ac:dyDescent="0.2">
      <c r="A106" s="4" t="s">
        <v>462</v>
      </c>
    </row>
    <row r="107" spans="1:1" x14ac:dyDescent="0.2">
      <c r="A107" s="4" t="s">
        <v>463</v>
      </c>
    </row>
    <row r="108" spans="1:1" x14ac:dyDescent="0.2">
      <c r="A108" s="4" t="s">
        <v>336</v>
      </c>
    </row>
    <row r="109" spans="1:1" x14ac:dyDescent="0.2">
      <c r="A109" s="4" t="s">
        <v>464</v>
      </c>
    </row>
    <row r="110" spans="1:1" x14ac:dyDescent="0.2">
      <c r="A110" s="4" t="s">
        <v>465</v>
      </c>
    </row>
    <row r="111" spans="1:1" x14ac:dyDescent="0.2">
      <c r="A111" s="4" t="s">
        <v>466</v>
      </c>
    </row>
    <row r="112" spans="1:1" x14ac:dyDescent="0.2">
      <c r="A112" s="4" t="s">
        <v>467</v>
      </c>
    </row>
    <row r="113" spans="1:1" x14ac:dyDescent="0.2">
      <c r="A113" s="14" t="s">
        <v>468</v>
      </c>
    </row>
    <row r="114" spans="1:1" x14ac:dyDescent="0.2">
      <c r="A114" s="14" t="s">
        <v>469</v>
      </c>
    </row>
    <row r="115" spans="1:1" x14ac:dyDescent="0.2">
      <c r="A115" s="14" t="s">
        <v>441</v>
      </c>
    </row>
    <row r="116" spans="1:1" x14ac:dyDescent="0.2">
      <c r="A116" s="4"/>
    </row>
    <row r="117" spans="1:1" x14ac:dyDescent="0.2">
      <c r="A117" s="3" t="s">
        <v>470</v>
      </c>
    </row>
    <row r="118" spans="1:1" ht="17" x14ac:dyDescent="0.2">
      <c r="A118" s="17" t="s">
        <v>471</v>
      </c>
    </row>
    <row r="119" spans="1:1" x14ac:dyDescent="0.2">
      <c r="A119" s="4" t="s">
        <v>472</v>
      </c>
    </row>
    <row r="120" spans="1:1" x14ac:dyDescent="0.2">
      <c r="A120" s="4" t="s">
        <v>473</v>
      </c>
    </row>
    <row r="121" spans="1:1" x14ac:dyDescent="0.2">
      <c r="A121" s="4" t="s">
        <v>474</v>
      </c>
    </row>
    <row r="122" spans="1:1" x14ac:dyDescent="0.2">
      <c r="A122" s="4" t="s">
        <v>475</v>
      </c>
    </row>
    <row r="123" spans="1:1" x14ac:dyDescent="0.2">
      <c r="A123" s="18" t="s">
        <v>446</v>
      </c>
    </row>
    <row r="124" spans="1:1" x14ac:dyDescent="0.2">
      <c r="A124" s="18" t="s">
        <v>441</v>
      </c>
    </row>
    <row r="125" spans="1:1" x14ac:dyDescent="0.2">
      <c r="A125" s="2"/>
    </row>
    <row r="126" spans="1:1" x14ac:dyDescent="0.2">
      <c r="A126" s="3" t="s">
        <v>476</v>
      </c>
    </row>
    <row r="127" spans="1:1" x14ac:dyDescent="0.2">
      <c r="A127" s="4" t="s">
        <v>477</v>
      </c>
    </row>
    <row r="128" spans="1:1" x14ac:dyDescent="0.2">
      <c r="A128" s="4" t="s">
        <v>478</v>
      </c>
    </row>
    <row r="129" spans="1:1" x14ac:dyDescent="0.2">
      <c r="A129" s="4" t="s">
        <v>479</v>
      </c>
    </row>
    <row r="130" spans="1:1" x14ac:dyDescent="0.2">
      <c r="A130" s="4" t="s">
        <v>480</v>
      </c>
    </row>
    <row r="131" spans="1:1" x14ac:dyDescent="0.2">
      <c r="A131" s="4" t="s">
        <v>481</v>
      </c>
    </row>
    <row r="132" spans="1:1" x14ac:dyDescent="0.2">
      <c r="A132" s="4" t="s">
        <v>482</v>
      </c>
    </row>
    <row r="133" spans="1:1" x14ac:dyDescent="0.2">
      <c r="A133" s="19" t="s">
        <v>483</v>
      </c>
    </row>
    <row r="134" spans="1:1" x14ac:dyDescent="0.2">
      <c r="A134" s="20" t="s">
        <v>484</v>
      </c>
    </row>
    <row r="135" spans="1:1" x14ac:dyDescent="0.2">
      <c r="A135" s="20" t="s">
        <v>485</v>
      </c>
    </row>
    <row r="136" spans="1:1" x14ac:dyDescent="0.2">
      <c r="A136" s="20" t="s">
        <v>486</v>
      </c>
    </row>
    <row r="137" spans="1:1" x14ac:dyDescent="0.2">
      <c r="A137" s="20" t="s">
        <v>487</v>
      </c>
    </row>
    <row r="138" spans="1:1" x14ac:dyDescent="0.2">
      <c r="A138" s="21" t="s">
        <v>488</v>
      </c>
    </row>
    <row r="139" spans="1:1" x14ac:dyDescent="0.2">
      <c r="A139" s="20" t="s">
        <v>489</v>
      </c>
    </row>
    <row r="140" spans="1:1" x14ac:dyDescent="0.2">
      <c r="A140" s="20" t="s">
        <v>490</v>
      </c>
    </row>
    <row r="141" spans="1:1" x14ac:dyDescent="0.2">
      <c r="A141" s="20" t="s">
        <v>491</v>
      </c>
    </row>
    <row r="142" spans="1:1" x14ac:dyDescent="0.2">
      <c r="A142" s="20" t="s">
        <v>492</v>
      </c>
    </row>
    <row r="143" spans="1:1" x14ac:dyDescent="0.2">
      <c r="A143" s="21" t="s">
        <v>493</v>
      </c>
    </row>
    <row r="144" spans="1:1" x14ac:dyDescent="0.2">
      <c r="A144" s="4" t="s">
        <v>338</v>
      </c>
    </row>
    <row r="145" spans="1:1" x14ac:dyDescent="0.2">
      <c r="A145" s="4" t="s">
        <v>494</v>
      </c>
    </row>
    <row r="146" spans="1:1" x14ac:dyDescent="0.2">
      <c r="A146" s="4" t="s">
        <v>495</v>
      </c>
    </row>
    <row r="147" spans="1:1" x14ac:dyDescent="0.2">
      <c r="A147" s="14" t="s">
        <v>446</v>
      </c>
    </row>
    <row r="148" spans="1:1" x14ac:dyDescent="0.2">
      <c r="A148" s="14" t="s">
        <v>441</v>
      </c>
    </row>
    <row r="149" spans="1:1" x14ac:dyDescent="0.2">
      <c r="A149" s="4"/>
    </row>
    <row r="150" spans="1:1" x14ac:dyDescent="0.2">
      <c r="A150" s="3" t="s">
        <v>339</v>
      </c>
    </row>
    <row r="151" spans="1:1" ht="17" x14ac:dyDescent="0.2">
      <c r="A151" s="17" t="s">
        <v>496</v>
      </c>
    </row>
    <row r="152" spans="1:1" x14ac:dyDescent="0.2">
      <c r="A152" s="4" t="s">
        <v>497</v>
      </c>
    </row>
    <row r="153" spans="1:1" x14ac:dyDescent="0.2">
      <c r="A153" s="4" t="s">
        <v>498</v>
      </c>
    </row>
    <row r="154" spans="1:1" x14ac:dyDescent="0.2">
      <c r="A154" s="4" t="s">
        <v>499</v>
      </c>
    </row>
    <row r="155" spans="1:1" x14ac:dyDescent="0.2">
      <c r="A155" s="18" t="s">
        <v>446</v>
      </c>
    </row>
    <row r="156" spans="1:1" x14ac:dyDescent="0.2">
      <c r="A156" s="18" t="s">
        <v>441</v>
      </c>
    </row>
    <row r="157" spans="1:1" x14ac:dyDescent="0.2">
      <c r="A157" s="4"/>
    </row>
    <row r="158" spans="1:1" x14ac:dyDescent="0.2">
      <c r="A158" s="3" t="s">
        <v>340</v>
      </c>
    </row>
    <row r="159" spans="1:1" x14ac:dyDescent="0.2">
      <c r="A159" s="4" t="s">
        <v>500</v>
      </c>
    </row>
    <row r="160" spans="1:1" x14ac:dyDescent="0.2">
      <c r="A160" s="4" t="s">
        <v>501</v>
      </c>
    </row>
    <row r="161" spans="1:1" x14ac:dyDescent="0.2">
      <c r="A161" s="4" t="s">
        <v>502</v>
      </c>
    </row>
    <row r="162" spans="1:1" x14ac:dyDescent="0.2">
      <c r="A162" s="14" t="s">
        <v>503</v>
      </c>
    </row>
    <row r="163" spans="1:1" x14ac:dyDescent="0.2">
      <c r="A163" s="14" t="s">
        <v>441</v>
      </c>
    </row>
    <row r="164" spans="1:1" x14ac:dyDescent="0.2">
      <c r="A164" s="4"/>
    </row>
    <row r="165" spans="1:1" x14ac:dyDescent="0.2">
      <c r="A165" s="3" t="s">
        <v>504</v>
      </c>
    </row>
    <row r="166" spans="1:1" x14ac:dyDescent="0.2">
      <c r="A166" s="4" t="s">
        <v>505</v>
      </c>
    </row>
    <row r="167" spans="1:1" x14ac:dyDescent="0.2">
      <c r="A167" s="4" t="s">
        <v>506</v>
      </c>
    </row>
    <row r="168" spans="1:1" x14ac:dyDescent="0.2">
      <c r="A168" s="4" t="s">
        <v>507</v>
      </c>
    </row>
    <row r="169" spans="1:1" x14ac:dyDescent="0.2">
      <c r="A169" s="14" t="s">
        <v>446</v>
      </c>
    </row>
    <row r="170" spans="1:1" x14ac:dyDescent="0.2">
      <c r="A170" s="14" t="s">
        <v>441</v>
      </c>
    </row>
    <row r="171" spans="1:1" x14ac:dyDescent="0.2">
      <c r="A171" s="4"/>
    </row>
    <row r="172" spans="1:1" x14ac:dyDescent="0.2">
      <c r="A172" s="4"/>
    </row>
    <row r="173" spans="1:1" ht="17" thickBot="1" x14ac:dyDescent="0.25"/>
    <row r="174" spans="1:1" ht="17" thickBot="1" x14ac:dyDescent="0.25">
      <c r="A174" s="22"/>
    </row>
    <row r="175" spans="1:1" x14ac:dyDescent="0.2">
      <c r="A175" s="23" t="s">
        <v>508</v>
      </c>
    </row>
    <row r="176" spans="1:1" x14ac:dyDescent="0.2">
      <c r="A176" s="24" t="s">
        <v>509</v>
      </c>
    </row>
    <row r="177" spans="1:1" x14ac:dyDescent="0.2">
      <c r="A177" s="24" t="s">
        <v>510</v>
      </c>
    </row>
    <row r="178" spans="1:1" x14ac:dyDescent="0.2">
      <c r="A178" s="24" t="s">
        <v>511</v>
      </c>
    </row>
    <row r="179" spans="1:1" x14ac:dyDescent="0.2">
      <c r="A179" s="25"/>
    </row>
    <row r="180" spans="1:1" x14ac:dyDescent="0.2">
      <c r="A180" s="26" t="s">
        <v>512</v>
      </c>
    </row>
    <row r="181" spans="1:1" x14ac:dyDescent="0.2">
      <c r="A181" s="24" t="s">
        <v>513</v>
      </c>
    </row>
    <row r="182" spans="1:1" x14ac:dyDescent="0.2">
      <c r="A182" s="25"/>
    </row>
    <row r="183" spans="1:1" ht="17" thickBot="1" x14ac:dyDescent="0.25">
      <c r="A183" s="27" t="s">
        <v>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5"/>
  <sheetViews>
    <sheetView workbookViewId="0">
      <pane xSplit="1" ySplit="2" topLeftCell="B88" activePane="bottomRight" state="frozen"/>
      <selection pane="topRight" activeCell="B1" sqref="B1"/>
      <selection pane="bottomLeft" activeCell="A3" sqref="A3"/>
      <selection pane="bottomRight" activeCell="G115" sqref="G115"/>
    </sheetView>
  </sheetViews>
  <sheetFormatPr baseColWidth="10" defaultColWidth="8.83203125" defaultRowHeight="15" x14ac:dyDescent="0.2"/>
  <cols>
    <col min="1" max="1" width="32.83203125" bestFit="1" customWidth="1"/>
    <col min="6" max="6" width="8.83203125" style="35"/>
    <col min="7" max="7" width="8.83203125" style="36"/>
  </cols>
  <sheetData>
    <row r="1" spans="1:8" ht="16" x14ac:dyDescent="0.2">
      <c r="A1" s="10" t="s">
        <v>518</v>
      </c>
    </row>
    <row r="2" spans="1:8" ht="16" x14ac:dyDescent="0.2">
      <c r="A2" s="31" t="s">
        <v>0</v>
      </c>
      <c r="B2" s="32" t="s">
        <v>519</v>
      </c>
      <c r="C2" s="33" t="s">
        <v>520</v>
      </c>
      <c r="D2" s="33" t="s">
        <v>521</v>
      </c>
      <c r="E2" s="33"/>
      <c r="F2" s="37" t="s">
        <v>516</v>
      </c>
      <c r="G2" s="38" t="s">
        <v>318</v>
      </c>
      <c r="H2" s="34" t="s">
        <v>522</v>
      </c>
    </row>
    <row r="3" spans="1:8" x14ac:dyDescent="0.2">
      <c r="A3" t="s">
        <v>34</v>
      </c>
      <c r="B3">
        <v>16</v>
      </c>
      <c r="C3">
        <v>13</v>
      </c>
      <c r="D3">
        <v>2.75</v>
      </c>
      <c r="F3" s="35">
        <v>16.66</v>
      </c>
      <c r="H3" t="s">
        <v>35</v>
      </c>
    </row>
    <row r="4" spans="1:8" x14ac:dyDescent="0.2">
      <c r="A4" t="s">
        <v>34</v>
      </c>
      <c r="B4">
        <v>0</v>
      </c>
      <c r="C4">
        <v>0</v>
      </c>
      <c r="D4">
        <v>0</v>
      </c>
      <c r="F4" s="35">
        <v>0</v>
      </c>
      <c r="H4" t="s">
        <v>36</v>
      </c>
    </row>
    <row r="5" spans="1:8" x14ac:dyDescent="0.2">
      <c r="A5" t="s">
        <v>34</v>
      </c>
      <c r="B5">
        <v>0</v>
      </c>
      <c r="C5">
        <v>0</v>
      </c>
      <c r="D5">
        <v>0</v>
      </c>
      <c r="F5" s="35">
        <v>0</v>
      </c>
      <c r="H5" t="s">
        <v>37</v>
      </c>
    </row>
    <row r="6" spans="1:8" x14ac:dyDescent="0.2">
      <c r="A6" t="s">
        <v>34</v>
      </c>
      <c r="F6" s="35">
        <v>16.66</v>
      </c>
      <c r="G6" s="36">
        <f>F6-F3</f>
        <v>0</v>
      </c>
      <c r="H6" t="s">
        <v>319</v>
      </c>
    </row>
    <row r="8" spans="1:8" x14ac:dyDescent="0.2">
      <c r="A8" t="s">
        <v>38</v>
      </c>
      <c r="B8">
        <v>1</v>
      </c>
      <c r="C8">
        <v>17</v>
      </c>
      <c r="D8">
        <v>3.5</v>
      </c>
      <c r="F8" s="35">
        <v>1.86</v>
      </c>
      <c r="H8" t="s">
        <v>39</v>
      </c>
    </row>
    <row r="9" spans="1:8" x14ac:dyDescent="0.2">
      <c r="A9" t="s">
        <v>38</v>
      </c>
      <c r="B9">
        <v>1</v>
      </c>
      <c r="C9">
        <v>17</v>
      </c>
      <c r="D9">
        <v>3.5</v>
      </c>
      <c r="F9" s="35">
        <v>1.86</v>
      </c>
      <c r="H9" t="s">
        <v>40</v>
      </c>
    </row>
    <row r="10" spans="1:8" x14ac:dyDescent="0.2">
      <c r="A10" t="s">
        <v>38</v>
      </c>
      <c r="B10">
        <v>1</v>
      </c>
      <c r="C10">
        <v>17</v>
      </c>
      <c r="D10">
        <v>3.5</v>
      </c>
      <c r="F10" s="35">
        <v>1.86</v>
      </c>
      <c r="H10" t="s">
        <v>41</v>
      </c>
    </row>
    <row r="11" spans="1:8" x14ac:dyDescent="0.2">
      <c r="A11" t="s">
        <v>38</v>
      </c>
      <c r="B11">
        <v>6</v>
      </c>
      <c r="C11">
        <v>7</v>
      </c>
      <c r="D11">
        <v>3.5</v>
      </c>
      <c r="F11" s="35">
        <v>6.36</v>
      </c>
      <c r="H11" t="s">
        <v>42</v>
      </c>
    </row>
    <row r="12" spans="1:8" x14ac:dyDescent="0.2">
      <c r="A12" t="s">
        <v>38</v>
      </c>
      <c r="B12">
        <v>11</v>
      </c>
      <c r="C12">
        <v>19</v>
      </c>
      <c r="D12">
        <v>2</v>
      </c>
      <c r="F12" s="35">
        <v>11.96</v>
      </c>
      <c r="H12" t="s">
        <v>43</v>
      </c>
    </row>
    <row r="13" spans="1:8" x14ac:dyDescent="0.2">
      <c r="A13" t="s">
        <v>38</v>
      </c>
      <c r="F13" s="35">
        <v>11.94</v>
      </c>
      <c r="G13" s="36">
        <v>-2.000000000000135E-2</v>
      </c>
      <c r="H13" t="s">
        <v>319</v>
      </c>
    </row>
    <row r="15" spans="1:8" x14ac:dyDescent="0.2">
      <c r="A15" t="s">
        <v>44</v>
      </c>
      <c r="B15">
        <v>0</v>
      </c>
      <c r="C15">
        <v>3</v>
      </c>
      <c r="D15">
        <v>6</v>
      </c>
      <c r="F15" s="35">
        <v>0.17</v>
      </c>
      <c r="H15" t="s">
        <v>45</v>
      </c>
    </row>
    <row r="16" spans="1:8" x14ac:dyDescent="0.2">
      <c r="A16" t="s">
        <v>44</v>
      </c>
      <c r="B16">
        <v>0</v>
      </c>
      <c r="C16">
        <v>2</v>
      </c>
      <c r="D16">
        <v>0</v>
      </c>
      <c r="F16" s="35">
        <v>0.1</v>
      </c>
      <c r="H16" t="s">
        <v>46</v>
      </c>
    </row>
    <row r="17" spans="1:8" x14ac:dyDescent="0.2">
      <c r="A17" t="s">
        <v>44</v>
      </c>
      <c r="B17">
        <v>0</v>
      </c>
      <c r="C17">
        <v>6</v>
      </c>
      <c r="D17">
        <v>0</v>
      </c>
      <c r="F17" s="35">
        <v>0.3</v>
      </c>
      <c r="H17" t="s">
        <v>47</v>
      </c>
    </row>
    <row r="18" spans="1:8" x14ac:dyDescent="0.2">
      <c r="A18" t="s">
        <v>44</v>
      </c>
      <c r="B18">
        <v>0</v>
      </c>
      <c r="C18">
        <v>1</v>
      </c>
      <c r="D18">
        <v>3</v>
      </c>
      <c r="F18" s="35">
        <v>0.06</v>
      </c>
      <c r="H18" t="s">
        <v>48</v>
      </c>
    </row>
    <row r="19" spans="1:8" x14ac:dyDescent="0.2">
      <c r="A19" t="s">
        <v>44</v>
      </c>
      <c r="B19">
        <v>0</v>
      </c>
      <c r="C19">
        <v>2</v>
      </c>
      <c r="D19">
        <v>0</v>
      </c>
      <c r="F19" s="35">
        <v>0.1</v>
      </c>
      <c r="H19" t="s">
        <v>49</v>
      </c>
    </row>
    <row r="20" spans="1:8" x14ac:dyDescent="0.2">
      <c r="A20" t="s">
        <v>44</v>
      </c>
      <c r="B20">
        <v>0</v>
      </c>
      <c r="C20">
        <v>2</v>
      </c>
      <c r="D20">
        <v>0</v>
      </c>
      <c r="F20" s="35">
        <v>0.1</v>
      </c>
      <c r="H20" t="s">
        <v>50</v>
      </c>
    </row>
    <row r="21" spans="1:8" x14ac:dyDescent="0.2">
      <c r="A21" t="s">
        <v>44</v>
      </c>
      <c r="B21">
        <v>0</v>
      </c>
      <c r="C21">
        <v>1</v>
      </c>
      <c r="D21">
        <v>3</v>
      </c>
      <c r="F21" s="35">
        <v>0.06</v>
      </c>
      <c r="H21" t="s">
        <v>523</v>
      </c>
    </row>
    <row r="22" spans="1:8" x14ac:dyDescent="0.2">
      <c r="A22" t="s">
        <v>44</v>
      </c>
      <c r="B22">
        <v>0</v>
      </c>
      <c r="C22">
        <v>18</v>
      </c>
      <c r="D22">
        <v>0</v>
      </c>
      <c r="F22" s="35">
        <f>B22+C22/20+D22/240</f>
        <v>0.9</v>
      </c>
      <c r="H22" t="s">
        <v>524</v>
      </c>
    </row>
    <row r="23" spans="1:8" x14ac:dyDescent="0.2">
      <c r="A23" t="s">
        <v>44</v>
      </c>
      <c r="F23" s="35">
        <f>SUM(F15:F21)</f>
        <v>0.89000000000000012</v>
      </c>
      <c r="G23" s="36">
        <f>F23-F22</f>
        <v>-9.9999999999998979E-3</v>
      </c>
      <c r="H23" t="s">
        <v>319</v>
      </c>
    </row>
    <row r="25" spans="1:8" x14ac:dyDescent="0.2">
      <c r="A25" t="s">
        <v>52</v>
      </c>
      <c r="B25">
        <v>0</v>
      </c>
      <c r="C25">
        <v>0</v>
      </c>
      <c r="D25">
        <v>4</v>
      </c>
      <c r="F25" s="35">
        <v>0.02</v>
      </c>
      <c r="H25" t="s">
        <v>53</v>
      </c>
    </row>
    <row r="26" spans="1:8" x14ac:dyDescent="0.2">
      <c r="A26" t="s">
        <v>52</v>
      </c>
      <c r="B26">
        <v>0</v>
      </c>
      <c r="C26">
        <v>0</v>
      </c>
      <c r="D26">
        <v>4</v>
      </c>
      <c r="F26" s="35">
        <v>0.02</v>
      </c>
      <c r="H26" t="s">
        <v>54</v>
      </c>
    </row>
    <row r="27" spans="1:8" x14ac:dyDescent="0.2">
      <c r="A27" t="s">
        <v>52</v>
      </c>
      <c r="F27" s="35">
        <v>0.02</v>
      </c>
      <c r="G27" s="36">
        <v>0</v>
      </c>
      <c r="H27" t="s">
        <v>319</v>
      </c>
    </row>
    <row r="29" spans="1:8" x14ac:dyDescent="0.2">
      <c r="A29" t="s">
        <v>55</v>
      </c>
      <c r="B29">
        <v>0</v>
      </c>
      <c r="C29">
        <v>18</v>
      </c>
      <c r="D29">
        <v>4</v>
      </c>
      <c r="F29" s="35">
        <v>0.92</v>
      </c>
      <c r="H29" t="s">
        <v>56</v>
      </c>
    </row>
    <row r="30" spans="1:8" x14ac:dyDescent="0.2">
      <c r="A30" t="s">
        <v>55</v>
      </c>
      <c r="F30" s="35">
        <v>0.92</v>
      </c>
      <c r="G30" s="36">
        <f>F30-F29</f>
        <v>0</v>
      </c>
      <c r="H30" t="s">
        <v>319</v>
      </c>
    </row>
    <row r="32" spans="1:8" x14ac:dyDescent="0.2">
      <c r="A32" t="s">
        <v>57</v>
      </c>
      <c r="B32">
        <v>11</v>
      </c>
      <c r="C32">
        <v>0</v>
      </c>
      <c r="D32">
        <v>10</v>
      </c>
      <c r="F32" s="35">
        <v>11.04</v>
      </c>
      <c r="H32" t="s">
        <v>58</v>
      </c>
    </row>
    <row r="33" spans="1:8" x14ac:dyDescent="0.2">
      <c r="A33" t="s">
        <v>57</v>
      </c>
      <c r="F33" s="35">
        <v>11.04</v>
      </c>
      <c r="G33" s="36">
        <f>F33-F32</f>
        <v>0</v>
      </c>
      <c r="H33" t="s">
        <v>319</v>
      </c>
    </row>
    <row r="36" spans="1:8" x14ac:dyDescent="0.2">
      <c r="A36" t="s">
        <v>59</v>
      </c>
      <c r="B36">
        <v>0</v>
      </c>
      <c r="C36">
        <v>7</v>
      </c>
      <c r="D36">
        <v>1</v>
      </c>
      <c r="F36" s="35">
        <v>0.35</v>
      </c>
      <c r="H36" t="s">
        <v>60</v>
      </c>
    </row>
    <row r="37" spans="1:8" x14ac:dyDescent="0.2">
      <c r="A37" t="s">
        <v>59</v>
      </c>
      <c r="B37">
        <v>0</v>
      </c>
      <c r="C37">
        <v>3</v>
      </c>
      <c r="D37">
        <v>6</v>
      </c>
      <c r="F37" s="35">
        <v>0.17</v>
      </c>
      <c r="H37" t="s">
        <v>61</v>
      </c>
    </row>
    <row r="38" spans="1:8" x14ac:dyDescent="0.2">
      <c r="A38" t="s">
        <v>59</v>
      </c>
      <c r="B38">
        <v>0</v>
      </c>
      <c r="C38">
        <v>10</v>
      </c>
      <c r="D38">
        <v>7</v>
      </c>
      <c r="F38" s="35">
        <v>0.53</v>
      </c>
      <c r="H38" t="s">
        <v>62</v>
      </c>
    </row>
    <row r="39" spans="1:8" x14ac:dyDescent="0.2">
      <c r="A39" t="s">
        <v>59</v>
      </c>
      <c r="F39" s="35">
        <v>0.52</v>
      </c>
      <c r="G39" s="36">
        <v>-1.0000000000000011E-2</v>
      </c>
      <c r="H39" t="s">
        <v>319</v>
      </c>
    </row>
    <row r="41" spans="1:8" x14ac:dyDescent="0.2">
      <c r="A41" t="s">
        <v>63</v>
      </c>
      <c r="B41">
        <v>0</v>
      </c>
      <c r="C41">
        <v>15</v>
      </c>
      <c r="D41">
        <v>5.5</v>
      </c>
      <c r="F41" s="35">
        <v>0.77</v>
      </c>
      <c r="H41" t="s">
        <v>64</v>
      </c>
    </row>
    <row r="42" spans="1:8" x14ac:dyDescent="0.2">
      <c r="A42" t="s">
        <v>63</v>
      </c>
      <c r="B42">
        <v>0</v>
      </c>
      <c r="C42">
        <v>0</v>
      </c>
      <c r="D42">
        <v>0</v>
      </c>
      <c r="F42" s="35">
        <v>0</v>
      </c>
      <c r="H42" t="s">
        <v>65</v>
      </c>
    </row>
    <row r="43" spans="1:8" x14ac:dyDescent="0.2">
      <c r="A43" t="s">
        <v>63</v>
      </c>
      <c r="B43">
        <v>0</v>
      </c>
      <c r="C43">
        <v>6</v>
      </c>
      <c r="D43">
        <v>2.5</v>
      </c>
      <c r="F43" s="35">
        <v>0.31</v>
      </c>
      <c r="H43" t="s">
        <v>66</v>
      </c>
    </row>
    <row r="44" spans="1:8" x14ac:dyDescent="0.2">
      <c r="A44" t="s">
        <v>63</v>
      </c>
      <c r="B44">
        <v>0</v>
      </c>
      <c r="C44">
        <v>0</v>
      </c>
      <c r="D44">
        <v>0</v>
      </c>
      <c r="F44" s="35">
        <v>0</v>
      </c>
      <c r="H44" t="s">
        <v>67</v>
      </c>
    </row>
    <row r="45" spans="1:8" x14ac:dyDescent="0.2">
      <c r="A45" t="s">
        <v>63</v>
      </c>
      <c r="B45">
        <v>0</v>
      </c>
      <c r="C45">
        <v>0</v>
      </c>
      <c r="D45">
        <v>0</v>
      </c>
      <c r="F45" s="35">
        <v>0</v>
      </c>
      <c r="H45" t="s">
        <v>68</v>
      </c>
    </row>
    <row r="46" spans="1:8" x14ac:dyDescent="0.2">
      <c r="A46" t="s">
        <v>63</v>
      </c>
      <c r="B46">
        <v>0</v>
      </c>
      <c r="C46">
        <v>0</v>
      </c>
      <c r="D46">
        <v>0</v>
      </c>
      <c r="F46" s="35">
        <v>0</v>
      </c>
      <c r="H46" t="s">
        <v>69</v>
      </c>
    </row>
    <row r="47" spans="1:8" x14ac:dyDescent="0.2">
      <c r="A47" t="s">
        <v>63</v>
      </c>
      <c r="B47">
        <v>0</v>
      </c>
      <c r="C47">
        <v>3</v>
      </c>
      <c r="D47">
        <v>0</v>
      </c>
      <c r="F47" s="35">
        <v>0.15</v>
      </c>
      <c r="H47" t="s">
        <v>70</v>
      </c>
    </row>
    <row r="48" spans="1:8" x14ac:dyDescent="0.2">
      <c r="A48" t="s">
        <v>63</v>
      </c>
      <c r="B48">
        <v>0</v>
      </c>
      <c r="C48">
        <v>0</v>
      </c>
      <c r="D48">
        <v>8.5</v>
      </c>
      <c r="F48" s="35">
        <v>0.04</v>
      </c>
      <c r="H48" t="s">
        <v>71</v>
      </c>
    </row>
    <row r="49" spans="1:8" x14ac:dyDescent="0.2">
      <c r="A49" t="s">
        <v>63</v>
      </c>
      <c r="B49">
        <v>0</v>
      </c>
      <c r="C49">
        <v>16</v>
      </c>
      <c r="D49">
        <v>0</v>
      </c>
      <c r="F49" s="35">
        <v>0.8</v>
      </c>
      <c r="H49" t="s">
        <v>72</v>
      </c>
    </row>
    <row r="50" spans="1:8" x14ac:dyDescent="0.2">
      <c r="A50" t="s">
        <v>63</v>
      </c>
      <c r="B50">
        <v>0</v>
      </c>
      <c r="C50">
        <v>7</v>
      </c>
      <c r="D50">
        <v>0</v>
      </c>
      <c r="F50" s="35">
        <v>0.35</v>
      </c>
      <c r="H50" t="s">
        <v>73</v>
      </c>
    </row>
    <row r="51" spans="1:8" x14ac:dyDescent="0.2">
      <c r="A51" t="s">
        <v>63</v>
      </c>
      <c r="B51">
        <v>1</v>
      </c>
      <c r="C51">
        <v>11</v>
      </c>
      <c r="D51">
        <v>6</v>
      </c>
      <c r="F51" s="35">
        <v>1.57</v>
      </c>
      <c r="H51" t="s">
        <v>74</v>
      </c>
    </row>
    <row r="52" spans="1:8" x14ac:dyDescent="0.2">
      <c r="A52" t="s">
        <v>63</v>
      </c>
      <c r="B52">
        <v>0</v>
      </c>
      <c r="C52">
        <v>10</v>
      </c>
      <c r="D52">
        <v>1</v>
      </c>
      <c r="F52" s="35">
        <v>0.5</v>
      </c>
      <c r="H52" t="s">
        <v>75</v>
      </c>
    </row>
    <row r="53" spans="1:8" x14ac:dyDescent="0.2">
      <c r="A53" t="s">
        <v>63</v>
      </c>
      <c r="B53">
        <v>0</v>
      </c>
      <c r="C53">
        <v>1</v>
      </c>
      <c r="D53">
        <v>3</v>
      </c>
      <c r="F53" s="35">
        <v>0.06</v>
      </c>
      <c r="H53" t="s">
        <v>76</v>
      </c>
    </row>
    <row r="54" spans="1:8" x14ac:dyDescent="0.2">
      <c r="A54" t="s">
        <v>63</v>
      </c>
      <c r="B54">
        <v>0</v>
      </c>
      <c r="C54">
        <v>3</v>
      </c>
      <c r="D54">
        <v>10.5</v>
      </c>
      <c r="F54" s="35">
        <v>0.19</v>
      </c>
      <c r="H54" t="s">
        <v>77</v>
      </c>
    </row>
    <row r="55" spans="1:8" x14ac:dyDescent="0.2">
      <c r="A55" t="s">
        <v>63</v>
      </c>
      <c r="B55">
        <v>0</v>
      </c>
      <c r="C55">
        <v>0</v>
      </c>
      <c r="D55">
        <v>3</v>
      </c>
      <c r="F55" s="35">
        <v>0.01</v>
      </c>
      <c r="H55" t="s">
        <v>78</v>
      </c>
    </row>
    <row r="56" spans="1:8" x14ac:dyDescent="0.2">
      <c r="A56" t="s">
        <v>63</v>
      </c>
      <c r="B56">
        <v>0</v>
      </c>
      <c r="C56">
        <v>0</v>
      </c>
      <c r="D56">
        <v>6</v>
      </c>
      <c r="F56" s="35">
        <v>0.03</v>
      </c>
      <c r="H56" t="s">
        <v>79</v>
      </c>
    </row>
    <row r="57" spans="1:8" x14ac:dyDescent="0.2">
      <c r="A57" t="s">
        <v>63</v>
      </c>
      <c r="B57">
        <v>0</v>
      </c>
      <c r="C57">
        <v>9</v>
      </c>
      <c r="D57">
        <v>9</v>
      </c>
      <c r="F57" s="35">
        <v>0.49</v>
      </c>
      <c r="H57" t="s">
        <v>80</v>
      </c>
    </row>
    <row r="58" spans="1:8" x14ac:dyDescent="0.2">
      <c r="A58" t="s">
        <v>63</v>
      </c>
      <c r="B58">
        <v>0</v>
      </c>
      <c r="C58">
        <v>2</v>
      </c>
      <c r="D58">
        <v>3</v>
      </c>
      <c r="F58" s="35">
        <v>0.11</v>
      </c>
      <c r="H58" t="s">
        <v>81</v>
      </c>
    </row>
    <row r="59" spans="1:8" x14ac:dyDescent="0.2">
      <c r="A59" t="s">
        <v>63</v>
      </c>
      <c r="B59">
        <v>0</v>
      </c>
      <c r="C59">
        <v>10</v>
      </c>
      <c r="D59">
        <v>0</v>
      </c>
      <c r="F59" s="35">
        <f>B59+C59/20+D59/240</f>
        <v>0.5</v>
      </c>
      <c r="H59" t="s">
        <v>526</v>
      </c>
    </row>
    <row r="60" spans="1:8" x14ac:dyDescent="0.2">
      <c r="A60" t="s">
        <v>63</v>
      </c>
      <c r="B60">
        <v>5</v>
      </c>
      <c r="C60">
        <v>17</v>
      </c>
      <c r="D60">
        <v>4</v>
      </c>
      <c r="F60" s="35">
        <v>5.87</v>
      </c>
      <c r="H60" t="s">
        <v>525</v>
      </c>
    </row>
    <row r="61" spans="1:8" x14ac:dyDescent="0.2">
      <c r="A61" t="s">
        <v>63</v>
      </c>
      <c r="F61" s="35">
        <f>SUM(F41:F59)</f>
        <v>5.8800000000000008</v>
      </c>
      <c r="G61" s="36">
        <f>F61-F60</f>
        <v>1.0000000000000675E-2</v>
      </c>
      <c r="H61" t="s">
        <v>319</v>
      </c>
    </row>
    <row r="63" spans="1:8" x14ac:dyDescent="0.2">
      <c r="A63" t="s">
        <v>83</v>
      </c>
      <c r="B63">
        <v>0</v>
      </c>
      <c r="C63">
        <v>0</v>
      </c>
      <c r="D63">
        <v>3</v>
      </c>
      <c r="F63" s="35">
        <v>0.01</v>
      </c>
      <c r="H63" t="s">
        <v>84</v>
      </c>
    </row>
    <row r="64" spans="1:8" x14ac:dyDescent="0.2">
      <c r="A64" t="s">
        <v>83</v>
      </c>
      <c r="B64">
        <v>0</v>
      </c>
      <c r="C64">
        <v>0</v>
      </c>
      <c r="D64">
        <v>3</v>
      </c>
      <c r="F64" s="35">
        <v>0.01</v>
      </c>
      <c r="H64" t="s">
        <v>85</v>
      </c>
    </row>
    <row r="65" spans="1:8" x14ac:dyDescent="0.2">
      <c r="A65" t="s">
        <v>83</v>
      </c>
      <c r="B65">
        <v>0</v>
      </c>
      <c r="C65">
        <v>0</v>
      </c>
      <c r="D65">
        <v>6</v>
      </c>
      <c r="F65" s="35">
        <v>0.03</v>
      </c>
      <c r="H65" t="s">
        <v>86</v>
      </c>
    </row>
    <row r="66" spans="1:8" x14ac:dyDescent="0.2">
      <c r="A66" t="s">
        <v>83</v>
      </c>
      <c r="B66">
        <v>0</v>
      </c>
      <c r="C66">
        <v>0</v>
      </c>
      <c r="D66">
        <v>6</v>
      </c>
      <c r="F66" s="35">
        <v>0.03</v>
      </c>
      <c r="H66" t="s">
        <v>87</v>
      </c>
    </row>
    <row r="67" spans="1:8" x14ac:dyDescent="0.2">
      <c r="A67" t="s">
        <v>83</v>
      </c>
      <c r="B67">
        <v>0</v>
      </c>
      <c r="C67">
        <v>1</v>
      </c>
      <c r="D67">
        <v>6</v>
      </c>
      <c r="F67" s="35">
        <v>0.08</v>
      </c>
      <c r="H67" t="s">
        <v>88</v>
      </c>
    </row>
    <row r="68" spans="1:8" x14ac:dyDescent="0.2">
      <c r="A68" t="s">
        <v>83</v>
      </c>
      <c r="F68" s="35">
        <v>0.08</v>
      </c>
      <c r="G68" s="36">
        <v>0</v>
      </c>
      <c r="H68" t="s">
        <v>319</v>
      </c>
    </row>
    <row r="70" spans="1:8" x14ac:dyDescent="0.2">
      <c r="A70" t="s">
        <v>89</v>
      </c>
      <c r="B70">
        <v>17</v>
      </c>
      <c r="C70">
        <v>11</v>
      </c>
      <c r="D70">
        <v>0</v>
      </c>
      <c r="F70" s="35">
        <f t="shared" ref="F70:F74" si="0">B70+C70/20+D70/240</f>
        <v>17.55</v>
      </c>
      <c r="H70" t="s">
        <v>529</v>
      </c>
    </row>
    <row r="71" spans="1:8" x14ac:dyDescent="0.2">
      <c r="A71" t="s">
        <v>89</v>
      </c>
      <c r="B71">
        <v>0</v>
      </c>
      <c r="C71">
        <v>4</v>
      </c>
      <c r="D71">
        <v>0</v>
      </c>
      <c r="F71" s="35">
        <f t="shared" si="0"/>
        <v>0.2</v>
      </c>
      <c r="H71" t="s">
        <v>320</v>
      </c>
    </row>
    <row r="72" spans="1:8" x14ac:dyDescent="0.2">
      <c r="A72" t="s">
        <v>89</v>
      </c>
      <c r="B72">
        <v>1</v>
      </c>
      <c r="C72">
        <v>10</v>
      </c>
      <c r="D72">
        <v>3</v>
      </c>
      <c r="F72" s="35">
        <f t="shared" si="0"/>
        <v>1.5125</v>
      </c>
      <c r="H72" t="s">
        <v>321</v>
      </c>
    </row>
    <row r="73" spans="1:8" x14ac:dyDescent="0.2">
      <c r="A73" t="s">
        <v>89</v>
      </c>
      <c r="B73">
        <v>2</v>
      </c>
      <c r="C73">
        <v>13</v>
      </c>
      <c r="D73">
        <v>6</v>
      </c>
      <c r="F73" s="35">
        <f t="shared" si="0"/>
        <v>2.6749999999999998</v>
      </c>
      <c r="H73" t="s">
        <v>322</v>
      </c>
    </row>
    <row r="74" spans="1:8" x14ac:dyDescent="0.2">
      <c r="A74" t="s">
        <v>89</v>
      </c>
      <c r="B74">
        <v>3</v>
      </c>
      <c r="C74">
        <v>5</v>
      </c>
      <c r="D74">
        <v>0</v>
      </c>
      <c r="F74" s="35">
        <f t="shared" si="0"/>
        <v>3.25</v>
      </c>
      <c r="H74" t="s">
        <v>323</v>
      </c>
    </row>
    <row r="75" spans="1:8" x14ac:dyDescent="0.2">
      <c r="A75" t="s">
        <v>89</v>
      </c>
      <c r="B75">
        <v>0</v>
      </c>
      <c r="C75">
        <v>0</v>
      </c>
      <c r="D75">
        <v>6</v>
      </c>
      <c r="F75" s="35">
        <f>B75+C75/20+D75/240</f>
        <v>2.5000000000000001E-2</v>
      </c>
      <c r="H75" t="s">
        <v>527</v>
      </c>
    </row>
    <row r="76" spans="1:8" x14ac:dyDescent="0.2">
      <c r="A76" t="s">
        <v>89</v>
      </c>
      <c r="B76">
        <v>25</v>
      </c>
      <c r="C76">
        <v>4</v>
      </c>
      <c r="D76">
        <v>8</v>
      </c>
      <c r="F76" s="35">
        <v>25.23</v>
      </c>
      <c r="H76" t="s">
        <v>528</v>
      </c>
    </row>
    <row r="77" spans="1:8" x14ac:dyDescent="0.2">
      <c r="A77" t="s">
        <v>89</v>
      </c>
      <c r="F77" s="35">
        <f>SUM(F70:F75)</f>
        <v>25.212499999999999</v>
      </c>
      <c r="G77" s="36">
        <f>F77-F76</f>
        <v>-1.7500000000001847E-2</v>
      </c>
      <c r="H77" t="s">
        <v>319</v>
      </c>
    </row>
    <row r="79" spans="1:8" x14ac:dyDescent="0.2">
      <c r="A79" t="s">
        <v>101</v>
      </c>
      <c r="B79">
        <v>0</v>
      </c>
      <c r="C79">
        <v>13</v>
      </c>
      <c r="D79">
        <v>4</v>
      </c>
      <c r="F79" s="35">
        <v>0.67</v>
      </c>
      <c r="H79" t="s">
        <v>102</v>
      </c>
    </row>
    <row r="80" spans="1:8" x14ac:dyDescent="0.2">
      <c r="A80" t="s">
        <v>101</v>
      </c>
      <c r="B80">
        <v>2</v>
      </c>
      <c r="C80">
        <v>0</v>
      </c>
      <c r="D80">
        <v>0</v>
      </c>
      <c r="F80" s="35">
        <v>2</v>
      </c>
      <c r="H80" t="s">
        <v>103</v>
      </c>
    </row>
    <row r="81" spans="1:8" x14ac:dyDescent="0.2">
      <c r="A81" t="s">
        <v>101</v>
      </c>
      <c r="B81">
        <v>0</v>
      </c>
      <c r="C81">
        <v>1</v>
      </c>
      <c r="D81">
        <v>0</v>
      </c>
      <c r="F81" s="35">
        <v>0.05</v>
      </c>
      <c r="H81" t="s">
        <v>104</v>
      </c>
    </row>
    <row r="82" spans="1:8" x14ac:dyDescent="0.2">
      <c r="A82" t="s">
        <v>101</v>
      </c>
      <c r="B82">
        <v>0</v>
      </c>
      <c r="C82">
        <v>4</v>
      </c>
      <c r="D82">
        <v>0</v>
      </c>
      <c r="F82" s="35">
        <v>0.2</v>
      </c>
      <c r="H82" t="s">
        <v>105</v>
      </c>
    </row>
    <row r="83" spans="1:8" x14ac:dyDescent="0.2">
      <c r="A83" t="s">
        <v>101</v>
      </c>
      <c r="B83">
        <v>0</v>
      </c>
      <c r="C83">
        <v>10</v>
      </c>
      <c r="D83">
        <v>0</v>
      </c>
      <c r="F83" s="35">
        <v>0.5</v>
      </c>
      <c r="H83" t="s">
        <v>106</v>
      </c>
    </row>
    <row r="84" spans="1:8" x14ac:dyDescent="0.2">
      <c r="A84" t="s">
        <v>101</v>
      </c>
      <c r="B84">
        <v>1</v>
      </c>
      <c r="C84">
        <v>0</v>
      </c>
      <c r="D84">
        <v>0</v>
      </c>
      <c r="F84" s="35">
        <v>1</v>
      </c>
      <c r="H84" t="s">
        <v>107</v>
      </c>
    </row>
    <row r="85" spans="1:8" x14ac:dyDescent="0.2">
      <c r="A85" t="s">
        <v>101</v>
      </c>
      <c r="B85">
        <v>4</v>
      </c>
      <c r="C85">
        <v>8</v>
      </c>
      <c r="D85">
        <v>4</v>
      </c>
      <c r="F85" s="35">
        <v>4.42</v>
      </c>
      <c r="H85" t="s">
        <v>108</v>
      </c>
    </row>
    <row r="86" spans="1:8" x14ac:dyDescent="0.2">
      <c r="A86" t="s">
        <v>101</v>
      </c>
      <c r="F86" s="35">
        <v>4.42</v>
      </c>
      <c r="G86" s="36">
        <v>0</v>
      </c>
      <c r="H86" t="s">
        <v>319</v>
      </c>
    </row>
    <row r="88" spans="1:8" x14ac:dyDescent="0.2">
      <c r="A88" t="s">
        <v>109</v>
      </c>
      <c r="B88">
        <v>0</v>
      </c>
      <c r="C88">
        <v>0</v>
      </c>
      <c r="D88">
        <v>9</v>
      </c>
      <c r="F88" s="35">
        <v>0.04</v>
      </c>
      <c r="H88" t="s">
        <v>110</v>
      </c>
    </row>
    <row r="89" spans="1:8" x14ac:dyDescent="0.2">
      <c r="A89" t="s">
        <v>109</v>
      </c>
      <c r="B89">
        <v>0</v>
      </c>
      <c r="C89">
        <v>0</v>
      </c>
      <c r="D89">
        <v>6</v>
      </c>
      <c r="F89" s="35">
        <v>0.03</v>
      </c>
      <c r="H89" t="s">
        <v>111</v>
      </c>
    </row>
    <row r="90" spans="1:8" x14ac:dyDescent="0.2">
      <c r="A90" t="s">
        <v>109</v>
      </c>
      <c r="B90">
        <v>0</v>
      </c>
      <c r="C90">
        <v>0</v>
      </c>
      <c r="D90">
        <v>6</v>
      </c>
      <c r="F90" s="35">
        <v>0.03</v>
      </c>
      <c r="H90" t="s">
        <v>112</v>
      </c>
    </row>
    <row r="91" spans="1:8" x14ac:dyDescent="0.2">
      <c r="A91" t="s">
        <v>109</v>
      </c>
      <c r="B91">
        <v>0</v>
      </c>
      <c r="C91">
        <v>0</v>
      </c>
      <c r="D91">
        <v>9</v>
      </c>
      <c r="F91" s="35">
        <v>0.04</v>
      </c>
      <c r="H91" t="s">
        <v>113</v>
      </c>
    </row>
    <row r="92" spans="1:8" x14ac:dyDescent="0.2">
      <c r="A92" t="s">
        <v>109</v>
      </c>
      <c r="B92">
        <v>0</v>
      </c>
      <c r="C92">
        <v>0</v>
      </c>
      <c r="D92">
        <v>6</v>
      </c>
      <c r="F92" s="35">
        <v>0.03</v>
      </c>
      <c r="H92" t="s">
        <v>114</v>
      </c>
    </row>
    <row r="93" spans="1:8" x14ac:dyDescent="0.2">
      <c r="A93" t="s">
        <v>109</v>
      </c>
      <c r="B93">
        <v>0</v>
      </c>
      <c r="C93">
        <v>1</v>
      </c>
      <c r="D93">
        <v>0</v>
      </c>
      <c r="F93" s="35">
        <v>0.05</v>
      </c>
      <c r="H93" t="s">
        <v>115</v>
      </c>
    </row>
    <row r="94" spans="1:8" x14ac:dyDescent="0.2">
      <c r="A94" t="s">
        <v>109</v>
      </c>
      <c r="B94">
        <v>0</v>
      </c>
      <c r="C94">
        <v>0</v>
      </c>
      <c r="D94">
        <v>6</v>
      </c>
      <c r="F94" s="35">
        <v>0.03</v>
      </c>
      <c r="H94" t="s">
        <v>116</v>
      </c>
    </row>
    <row r="95" spans="1:8" x14ac:dyDescent="0.2">
      <c r="A95" t="s">
        <v>109</v>
      </c>
      <c r="B95">
        <v>0</v>
      </c>
      <c r="C95">
        <v>1</v>
      </c>
      <c r="D95">
        <v>6</v>
      </c>
      <c r="F95" s="35">
        <v>0.08</v>
      </c>
      <c r="H95" t="s">
        <v>117</v>
      </c>
    </row>
    <row r="96" spans="1:8" x14ac:dyDescent="0.2">
      <c r="A96" t="s">
        <v>109</v>
      </c>
      <c r="B96">
        <v>0</v>
      </c>
      <c r="C96">
        <v>0</v>
      </c>
      <c r="D96">
        <v>6</v>
      </c>
      <c r="F96" s="35">
        <v>0.03</v>
      </c>
      <c r="H96" t="s">
        <v>118</v>
      </c>
    </row>
    <row r="97" spans="1:8" x14ac:dyDescent="0.2">
      <c r="A97" t="s">
        <v>109</v>
      </c>
      <c r="B97">
        <v>0</v>
      </c>
      <c r="C97">
        <v>0</v>
      </c>
      <c r="D97">
        <v>6</v>
      </c>
      <c r="F97" s="35">
        <v>0.03</v>
      </c>
      <c r="H97" t="s">
        <v>119</v>
      </c>
    </row>
    <row r="98" spans="1:8" x14ac:dyDescent="0.2">
      <c r="A98" t="s">
        <v>109</v>
      </c>
      <c r="B98">
        <v>0</v>
      </c>
      <c r="C98">
        <v>2</v>
      </c>
      <c r="D98">
        <v>9</v>
      </c>
      <c r="F98" s="35">
        <v>0.14000000000000001</v>
      </c>
      <c r="H98" t="s">
        <v>120</v>
      </c>
    </row>
    <row r="99" spans="1:8" x14ac:dyDescent="0.2">
      <c r="A99" t="s">
        <v>109</v>
      </c>
      <c r="B99">
        <v>0</v>
      </c>
      <c r="C99">
        <v>1</v>
      </c>
      <c r="D99">
        <v>6</v>
      </c>
      <c r="F99" s="35">
        <v>0.08</v>
      </c>
      <c r="H99" t="s">
        <v>121</v>
      </c>
    </row>
    <row r="100" spans="1:8" x14ac:dyDescent="0.2">
      <c r="A100" t="s">
        <v>109</v>
      </c>
      <c r="B100">
        <v>0</v>
      </c>
      <c r="C100">
        <v>4</v>
      </c>
      <c r="D100">
        <v>0</v>
      </c>
      <c r="F100" s="35">
        <v>0.2</v>
      </c>
      <c r="H100" t="s">
        <v>122</v>
      </c>
    </row>
    <row r="101" spans="1:8" x14ac:dyDescent="0.2">
      <c r="A101" t="s">
        <v>109</v>
      </c>
      <c r="B101">
        <v>0</v>
      </c>
      <c r="C101">
        <v>2</v>
      </c>
      <c r="D101">
        <v>0</v>
      </c>
      <c r="F101" s="35">
        <v>0.1</v>
      </c>
      <c r="H101" t="s">
        <v>123</v>
      </c>
    </row>
    <row r="102" spans="1:8" x14ac:dyDescent="0.2">
      <c r="A102" t="s">
        <v>109</v>
      </c>
      <c r="B102">
        <v>0</v>
      </c>
      <c r="C102">
        <v>0</v>
      </c>
      <c r="D102">
        <v>6</v>
      </c>
      <c r="F102" s="35">
        <v>0.03</v>
      </c>
      <c r="H102" t="s">
        <v>124</v>
      </c>
    </row>
    <row r="103" spans="1:8" x14ac:dyDescent="0.2">
      <c r="A103" t="s">
        <v>109</v>
      </c>
      <c r="B103">
        <v>0</v>
      </c>
      <c r="C103">
        <v>0</v>
      </c>
      <c r="D103">
        <v>3</v>
      </c>
      <c r="F103" s="35">
        <v>0.01</v>
      </c>
      <c r="H103" t="s">
        <v>125</v>
      </c>
    </row>
    <row r="104" spans="1:8" x14ac:dyDescent="0.2">
      <c r="A104" t="s">
        <v>109</v>
      </c>
      <c r="B104">
        <v>0</v>
      </c>
      <c r="C104">
        <v>0</v>
      </c>
      <c r="D104">
        <v>6</v>
      </c>
      <c r="F104" s="35">
        <v>0.03</v>
      </c>
      <c r="H104" t="s">
        <v>126</v>
      </c>
    </row>
    <row r="105" spans="1:8" x14ac:dyDescent="0.2">
      <c r="A105" t="s">
        <v>109</v>
      </c>
      <c r="B105">
        <v>0</v>
      </c>
      <c r="C105">
        <v>4</v>
      </c>
      <c r="D105">
        <v>0</v>
      </c>
      <c r="F105" s="35">
        <v>0.2</v>
      </c>
      <c r="H105" t="s">
        <v>127</v>
      </c>
    </row>
    <row r="106" spans="1:8" x14ac:dyDescent="0.2">
      <c r="A106" t="s">
        <v>109</v>
      </c>
      <c r="B106">
        <v>0</v>
      </c>
      <c r="C106">
        <v>0</v>
      </c>
      <c r="D106">
        <v>6</v>
      </c>
      <c r="F106" s="35">
        <v>0.03</v>
      </c>
      <c r="H106" t="s">
        <v>128</v>
      </c>
    </row>
    <row r="107" spans="1:8" x14ac:dyDescent="0.2">
      <c r="A107" t="s">
        <v>109</v>
      </c>
      <c r="B107">
        <v>0</v>
      </c>
      <c r="C107">
        <v>3</v>
      </c>
      <c r="D107">
        <v>6</v>
      </c>
      <c r="F107" s="35">
        <v>0.17</v>
      </c>
      <c r="H107" t="s">
        <v>129</v>
      </c>
    </row>
    <row r="108" spans="1:8" x14ac:dyDescent="0.2">
      <c r="A108" t="s">
        <v>109</v>
      </c>
      <c r="B108">
        <v>0</v>
      </c>
      <c r="C108">
        <v>0</v>
      </c>
      <c r="D108">
        <v>6</v>
      </c>
      <c r="F108" s="35">
        <v>0.03</v>
      </c>
      <c r="H108" t="s">
        <v>130</v>
      </c>
    </row>
    <row r="109" spans="1:8" x14ac:dyDescent="0.2">
      <c r="A109" t="s">
        <v>109</v>
      </c>
      <c r="B109">
        <v>0</v>
      </c>
      <c r="C109">
        <v>0</v>
      </c>
      <c r="D109">
        <v>3</v>
      </c>
      <c r="F109" s="35">
        <f>B109+C109/20+D109/240</f>
        <v>1.2500000000000001E-2</v>
      </c>
      <c r="H109" t="s">
        <v>531</v>
      </c>
    </row>
    <row r="110" spans="1:8" x14ac:dyDescent="0.2">
      <c r="A110" t="s">
        <v>109</v>
      </c>
      <c r="B110">
        <v>1</v>
      </c>
      <c r="C110">
        <v>7</v>
      </c>
      <c r="D110">
        <v>3</v>
      </c>
      <c r="F110" s="35">
        <v>1.36</v>
      </c>
      <c r="H110" t="s">
        <v>530</v>
      </c>
    </row>
    <row r="111" spans="1:8" x14ac:dyDescent="0.2">
      <c r="A111" t="s">
        <v>109</v>
      </c>
      <c r="F111" s="35">
        <f>SUM(F88:F109)</f>
        <v>1.4225000000000001</v>
      </c>
      <c r="G111" s="36">
        <f>F111-F110</f>
        <v>6.25E-2</v>
      </c>
    </row>
    <row r="113" spans="1:8" x14ac:dyDescent="0.2">
      <c r="A113" s="55" t="s">
        <v>638</v>
      </c>
      <c r="B113">
        <v>48</v>
      </c>
      <c r="C113">
        <v>10</v>
      </c>
      <c r="D113">
        <v>6</v>
      </c>
      <c r="F113">
        <v>48.52</v>
      </c>
      <c r="H113" t="s">
        <v>612</v>
      </c>
    </row>
    <row r="114" spans="1:8" ht="16" x14ac:dyDescent="0.2">
      <c r="A114" s="68" t="s">
        <v>639</v>
      </c>
      <c r="F114" s="35">
        <f>F111+F86+F77+F68+F61+F39+F33</f>
        <v>48.575000000000003</v>
      </c>
      <c r="G114" s="36">
        <f>F114-F113</f>
        <v>5.4999999999999716E-2</v>
      </c>
    </row>
    <row r="115" spans="1:8" ht="16" x14ac:dyDescent="0.2">
      <c r="A115" s="68" t="s">
        <v>640</v>
      </c>
      <c r="F115" s="35">
        <f>F114+F6</f>
        <v>65.234999999999999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5"/>
  <sheetViews>
    <sheetView tabSelected="1" zoomScale="131"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C81" sqref="C81"/>
    </sheetView>
  </sheetViews>
  <sheetFormatPr baseColWidth="10" defaultColWidth="8.83203125" defaultRowHeight="15" x14ac:dyDescent="0.2"/>
  <cols>
    <col min="1" max="1" width="33.1640625" bestFit="1" customWidth="1"/>
    <col min="6" max="6" width="8.83203125" style="35"/>
    <col min="7" max="7" width="8.83203125" style="36"/>
    <col min="8" max="8" width="41" customWidth="1"/>
    <col min="10" max="10" width="14.1640625" customWidth="1"/>
    <col min="11" max="11" width="18.83203125" customWidth="1"/>
  </cols>
  <sheetData>
    <row r="1" spans="1:11" ht="16" x14ac:dyDescent="0.2">
      <c r="A1" s="10" t="s">
        <v>532</v>
      </c>
    </row>
    <row r="2" spans="1:11" ht="34" x14ac:dyDescent="0.2">
      <c r="A2" s="31" t="s">
        <v>0</v>
      </c>
      <c r="B2" s="32" t="s">
        <v>519</v>
      </c>
      <c r="C2" s="33" t="s">
        <v>520</v>
      </c>
      <c r="D2" s="33" t="s">
        <v>521</v>
      </c>
      <c r="E2" s="33"/>
      <c r="F2" s="37" t="s">
        <v>516</v>
      </c>
      <c r="G2" s="38" t="s">
        <v>318</v>
      </c>
      <c r="H2" s="34" t="s">
        <v>522</v>
      </c>
      <c r="J2" s="69" t="s">
        <v>641</v>
      </c>
      <c r="K2" s="69" t="s">
        <v>642</v>
      </c>
    </row>
    <row r="3" spans="1:11" x14ac:dyDescent="0.2">
      <c r="A3" t="s">
        <v>136</v>
      </c>
      <c r="B3">
        <v>0</v>
      </c>
      <c r="C3">
        <v>4</v>
      </c>
      <c r="D3">
        <v>6</v>
      </c>
      <c r="F3" s="35">
        <v>0.23</v>
      </c>
      <c r="H3" t="s">
        <v>137</v>
      </c>
      <c r="J3" s="35">
        <f>F3</f>
        <v>0.23</v>
      </c>
      <c r="K3" s="35">
        <f>J3</f>
        <v>0.23</v>
      </c>
    </row>
    <row r="4" spans="1:11" x14ac:dyDescent="0.2">
      <c r="A4" t="s">
        <v>136</v>
      </c>
      <c r="B4">
        <v>0</v>
      </c>
      <c r="C4">
        <v>0</v>
      </c>
      <c r="D4">
        <v>0</v>
      </c>
      <c r="F4" s="35">
        <v>0</v>
      </c>
      <c r="H4" t="s">
        <v>138</v>
      </c>
      <c r="J4" s="35">
        <f t="shared" ref="J4:J18" si="0">F4</f>
        <v>0</v>
      </c>
      <c r="K4" s="35">
        <f t="shared" ref="K4:K13" si="1">J4</f>
        <v>0</v>
      </c>
    </row>
    <row r="5" spans="1:11" x14ac:dyDescent="0.2">
      <c r="A5" t="s">
        <v>136</v>
      </c>
      <c r="B5">
        <v>0</v>
      </c>
      <c r="C5">
        <v>0</v>
      </c>
      <c r="D5">
        <v>9</v>
      </c>
      <c r="F5" s="35">
        <v>0.04</v>
      </c>
      <c r="H5" t="s">
        <v>140</v>
      </c>
      <c r="J5" s="35">
        <f t="shared" si="0"/>
        <v>0.04</v>
      </c>
      <c r="K5" s="35">
        <f t="shared" si="1"/>
        <v>0.04</v>
      </c>
    </row>
    <row r="6" spans="1:11" x14ac:dyDescent="0.2">
      <c r="A6" t="s">
        <v>136</v>
      </c>
      <c r="B6">
        <v>0</v>
      </c>
      <c r="C6">
        <v>1</v>
      </c>
      <c r="D6">
        <v>8</v>
      </c>
      <c r="F6" s="35">
        <v>0.08</v>
      </c>
      <c r="H6" t="s">
        <v>141</v>
      </c>
      <c r="J6" s="35">
        <f t="shared" si="0"/>
        <v>0.08</v>
      </c>
      <c r="K6" s="35">
        <f t="shared" si="1"/>
        <v>0.08</v>
      </c>
    </row>
    <row r="7" spans="1:11" x14ac:dyDescent="0.2">
      <c r="A7" t="s">
        <v>136</v>
      </c>
      <c r="B7">
        <v>0</v>
      </c>
      <c r="C7">
        <v>1</v>
      </c>
      <c r="D7">
        <v>0</v>
      </c>
      <c r="F7" s="35">
        <v>0.05</v>
      </c>
      <c r="H7" t="s">
        <v>142</v>
      </c>
      <c r="J7" s="35">
        <f t="shared" si="0"/>
        <v>0.05</v>
      </c>
      <c r="K7" s="35">
        <f t="shared" si="1"/>
        <v>0.05</v>
      </c>
    </row>
    <row r="8" spans="1:11" x14ac:dyDescent="0.2">
      <c r="A8" t="s">
        <v>136</v>
      </c>
      <c r="B8">
        <v>0</v>
      </c>
      <c r="C8">
        <v>0</v>
      </c>
      <c r="D8">
        <v>6</v>
      </c>
      <c r="F8" s="35">
        <v>0.03</v>
      </c>
      <c r="H8" t="s">
        <v>143</v>
      </c>
      <c r="J8" s="35">
        <f t="shared" si="0"/>
        <v>0.03</v>
      </c>
      <c r="K8" s="35">
        <f t="shared" si="1"/>
        <v>0.03</v>
      </c>
    </row>
    <row r="9" spans="1:11" x14ac:dyDescent="0.2">
      <c r="A9" t="s">
        <v>136</v>
      </c>
      <c r="B9">
        <v>0</v>
      </c>
      <c r="C9">
        <v>0</v>
      </c>
      <c r="D9">
        <v>6</v>
      </c>
      <c r="F9" s="35">
        <v>0.03</v>
      </c>
      <c r="H9" t="s">
        <v>144</v>
      </c>
      <c r="J9" s="35">
        <f t="shared" si="0"/>
        <v>0.03</v>
      </c>
      <c r="K9" s="35">
        <f t="shared" si="1"/>
        <v>0.03</v>
      </c>
    </row>
    <row r="10" spans="1:11" x14ac:dyDescent="0.2">
      <c r="A10" t="s">
        <v>136</v>
      </c>
      <c r="B10">
        <v>0</v>
      </c>
      <c r="C10">
        <v>1</v>
      </c>
      <c r="D10">
        <v>0</v>
      </c>
      <c r="F10" s="35">
        <v>0.05</v>
      </c>
      <c r="H10" t="s">
        <v>145</v>
      </c>
      <c r="J10" s="35">
        <f t="shared" si="0"/>
        <v>0.05</v>
      </c>
      <c r="K10" s="35">
        <f t="shared" si="1"/>
        <v>0.05</v>
      </c>
    </row>
    <row r="11" spans="1:11" x14ac:dyDescent="0.2">
      <c r="A11" t="s">
        <v>136</v>
      </c>
      <c r="B11">
        <v>0</v>
      </c>
      <c r="C11">
        <v>8</v>
      </c>
      <c r="D11">
        <v>2</v>
      </c>
      <c r="F11" s="35">
        <v>0.41</v>
      </c>
      <c r="H11" t="s">
        <v>146</v>
      </c>
      <c r="J11" s="35">
        <f t="shared" si="0"/>
        <v>0.41</v>
      </c>
      <c r="K11" s="35">
        <f t="shared" si="1"/>
        <v>0.41</v>
      </c>
    </row>
    <row r="12" spans="1:11" x14ac:dyDescent="0.2">
      <c r="A12" t="s">
        <v>136</v>
      </c>
      <c r="B12">
        <v>0</v>
      </c>
      <c r="C12">
        <v>0</v>
      </c>
      <c r="D12">
        <v>0</v>
      </c>
      <c r="F12" s="35">
        <v>0</v>
      </c>
      <c r="H12" t="s">
        <v>147</v>
      </c>
      <c r="J12" s="35"/>
      <c r="K12" s="35"/>
    </row>
    <row r="13" spans="1:11" x14ac:dyDescent="0.2">
      <c r="A13" t="s">
        <v>136</v>
      </c>
      <c r="B13">
        <v>1</v>
      </c>
      <c r="C13">
        <v>0</v>
      </c>
      <c r="D13">
        <v>9.5</v>
      </c>
      <c r="F13" s="35">
        <v>1.04</v>
      </c>
      <c r="H13" t="s">
        <v>148</v>
      </c>
      <c r="J13" s="35"/>
      <c r="K13" s="35"/>
    </row>
    <row r="14" spans="1:11" x14ac:dyDescent="0.2">
      <c r="A14" t="s">
        <v>136</v>
      </c>
      <c r="B14">
        <v>0</v>
      </c>
      <c r="C14">
        <v>0</v>
      </c>
      <c r="D14">
        <v>1</v>
      </c>
      <c r="F14" s="35">
        <v>0</v>
      </c>
      <c r="H14" t="s">
        <v>149</v>
      </c>
      <c r="J14" s="35">
        <f t="shared" si="0"/>
        <v>0</v>
      </c>
      <c r="K14" s="35">
        <f>J14</f>
        <v>0</v>
      </c>
    </row>
    <row r="15" spans="1:11" x14ac:dyDescent="0.2">
      <c r="A15" t="s">
        <v>136</v>
      </c>
      <c r="B15">
        <v>0</v>
      </c>
      <c r="C15">
        <v>0</v>
      </c>
      <c r="D15">
        <v>9</v>
      </c>
      <c r="F15" s="35">
        <v>0.04</v>
      </c>
      <c r="H15" t="s">
        <v>150</v>
      </c>
      <c r="J15" s="35"/>
    </row>
    <row r="16" spans="1:11" x14ac:dyDescent="0.2">
      <c r="A16" t="s">
        <v>136</v>
      </c>
      <c r="B16">
        <v>1</v>
      </c>
      <c r="C16">
        <v>14</v>
      </c>
      <c r="D16">
        <v>0</v>
      </c>
      <c r="F16" s="35">
        <v>1.7</v>
      </c>
      <c r="H16" t="s">
        <v>151</v>
      </c>
      <c r="J16" s="35"/>
    </row>
    <row r="17" spans="1:11" x14ac:dyDescent="0.2">
      <c r="A17" t="s">
        <v>136</v>
      </c>
      <c r="B17">
        <v>0</v>
      </c>
      <c r="C17">
        <v>3</v>
      </c>
      <c r="D17">
        <v>9</v>
      </c>
      <c r="F17" s="35">
        <v>0.19</v>
      </c>
      <c r="H17" t="s">
        <v>152</v>
      </c>
      <c r="J17" s="35"/>
    </row>
    <row r="18" spans="1:11" x14ac:dyDescent="0.2">
      <c r="A18" t="s">
        <v>136</v>
      </c>
      <c r="B18">
        <v>0</v>
      </c>
      <c r="C18">
        <v>9</v>
      </c>
      <c r="D18">
        <v>7</v>
      </c>
      <c r="F18" s="35">
        <v>0.48</v>
      </c>
      <c r="H18" t="s">
        <v>324</v>
      </c>
      <c r="J18" s="35"/>
    </row>
    <row r="19" spans="1:11" x14ac:dyDescent="0.2">
      <c r="A19" t="s">
        <v>136</v>
      </c>
      <c r="B19">
        <v>4</v>
      </c>
      <c r="C19">
        <v>6</v>
      </c>
      <c r="D19">
        <v>10.5</v>
      </c>
      <c r="F19" s="35">
        <v>4.34</v>
      </c>
      <c r="H19" t="s">
        <v>154</v>
      </c>
    </row>
    <row r="20" spans="1:11" x14ac:dyDescent="0.2">
      <c r="A20" t="s">
        <v>136</v>
      </c>
      <c r="F20" s="35">
        <v>4.37</v>
      </c>
      <c r="G20" s="36">
        <v>3.0000000000000249E-2</v>
      </c>
      <c r="H20" t="s">
        <v>319</v>
      </c>
    </row>
    <row r="22" spans="1:11" x14ac:dyDescent="0.2">
      <c r="A22" t="s">
        <v>155</v>
      </c>
      <c r="B22">
        <v>0</v>
      </c>
      <c r="C22">
        <v>0</v>
      </c>
      <c r="D22">
        <v>8</v>
      </c>
      <c r="F22" s="35">
        <v>0.03</v>
      </c>
      <c r="H22" t="s">
        <v>156</v>
      </c>
      <c r="J22" s="35">
        <f>F22</f>
        <v>0.03</v>
      </c>
      <c r="K22" s="35">
        <f>F22</f>
        <v>0.03</v>
      </c>
    </row>
    <row r="23" spans="1:11" x14ac:dyDescent="0.2">
      <c r="A23" t="s">
        <v>155</v>
      </c>
      <c r="B23">
        <v>0</v>
      </c>
      <c r="C23">
        <v>1</v>
      </c>
      <c r="D23">
        <v>5.5</v>
      </c>
      <c r="F23" s="35">
        <v>7.0000000000000007E-2</v>
      </c>
      <c r="H23" t="s">
        <v>157</v>
      </c>
      <c r="J23" s="35">
        <f t="shared" ref="J23:J30" si="2">F23</f>
        <v>7.0000000000000007E-2</v>
      </c>
      <c r="K23" s="35">
        <f t="shared" ref="K23:K30" si="3">F23</f>
        <v>7.0000000000000007E-2</v>
      </c>
    </row>
    <row r="24" spans="1:11" x14ac:dyDescent="0.2">
      <c r="A24" t="s">
        <v>155</v>
      </c>
      <c r="B24">
        <v>0</v>
      </c>
      <c r="C24">
        <v>0</v>
      </c>
      <c r="D24">
        <v>3</v>
      </c>
      <c r="F24" s="35">
        <v>0.01</v>
      </c>
      <c r="H24" t="s">
        <v>158</v>
      </c>
      <c r="J24" s="35">
        <f t="shared" si="2"/>
        <v>0.01</v>
      </c>
      <c r="K24" s="35">
        <f t="shared" si="3"/>
        <v>0.01</v>
      </c>
    </row>
    <row r="25" spans="1:11" x14ac:dyDescent="0.2">
      <c r="A25" t="s">
        <v>155</v>
      </c>
      <c r="B25">
        <v>0</v>
      </c>
      <c r="C25">
        <v>0</v>
      </c>
      <c r="D25">
        <v>6</v>
      </c>
      <c r="F25" s="35">
        <v>0.03</v>
      </c>
      <c r="H25" t="s">
        <v>159</v>
      </c>
      <c r="J25" s="35">
        <f t="shared" si="2"/>
        <v>0.03</v>
      </c>
      <c r="K25" s="35">
        <f t="shared" si="3"/>
        <v>0.03</v>
      </c>
    </row>
    <row r="26" spans="1:11" x14ac:dyDescent="0.2">
      <c r="A26" t="s">
        <v>155</v>
      </c>
      <c r="B26">
        <v>0</v>
      </c>
      <c r="C26">
        <v>0</v>
      </c>
      <c r="D26">
        <v>2.5</v>
      </c>
      <c r="F26" s="35">
        <v>0.01</v>
      </c>
      <c r="H26" t="s">
        <v>160</v>
      </c>
      <c r="J26" s="35">
        <f t="shared" si="2"/>
        <v>0.01</v>
      </c>
      <c r="K26" s="35">
        <f t="shared" si="3"/>
        <v>0.01</v>
      </c>
    </row>
    <row r="27" spans="1:11" x14ac:dyDescent="0.2">
      <c r="A27" t="s">
        <v>155</v>
      </c>
      <c r="B27">
        <v>0</v>
      </c>
      <c r="C27">
        <v>1</v>
      </c>
      <c r="D27">
        <v>1</v>
      </c>
      <c r="F27" s="35">
        <v>0.05</v>
      </c>
      <c r="H27" t="s">
        <v>161</v>
      </c>
      <c r="J27" s="35">
        <f t="shared" si="2"/>
        <v>0.05</v>
      </c>
      <c r="K27" s="35">
        <f t="shared" si="3"/>
        <v>0.05</v>
      </c>
    </row>
    <row r="28" spans="1:11" x14ac:dyDescent="0.2">
      <c r="A28" t="s">
        <v>155</v>
      </c>
      <c r="B28">
        <v>0</v>
      </c>
      <c r="C28">
        <v>0</v>
      </c>
      <c r="D28">
        <v>7</v>
      </c>
      <c r="F28" s="35">
        <v>0.03</v>
      </c>
      <c r="H28" t="s">
        <v>162</v>
      </c>
      <c r="J28" s="35">
        <f t="shared" si="2"/>
        <v>0.03</v>
      </c>
      <c r="K28" s="35">
        <f t="shared" si="3"/>
        <v>0.03</v>
      </c>
    </row>
    <row r="29" spans="1:11" x14ac:dyDescent="0.2">
      <c r="A29" t="s">
        <v>155</v>
      </c>
      <c r="B29">
        <v>0</v>
      </c>
      <c r="C29">
        <v>1</v>
      </c>
      <c r="D29">
        <v>2</v>
      </c>
      <c r="F29" s="35">
        <v>0.06</v>
      </c>
      <c r="H29" t="s">
        <v>163</v>
      </c>
      <c r="J29" s="35">
        <f t="shared" si="2"/>
        <v>0.06</v>
      </c>
      <c r="K29" s="35">
        <f t="shared" si="3"/>
        <v>0.06</v>
      </c>
    </row>
    <row r="30" spans="1:11" x14ac:dyDescent="0.2">
      <c r="A30" t="s">
        <v>155</v>
      </c>
      <c r="B30">
        <v>0</v>
      </c>
      <c r="C30">
        <v>2</v>
      </c>
      <c r="D30">
        <v>2</v>
      </c>
      <c r="F30" s="35">
        <v>0.11</v>
      </c>
      <c r="H30" t="s">
        <v>164</v>
      </c>
      <c r="J30" s="35">
        <f t="shared" si="2"/>
        <v>0.11</v>
      </c>
      <c r="K30" s="35">
        <f t="shared" si="3"/>
        <v>0.11</v>
      </c>
    </row>
    <row r="31" spans="1:11" x14ac:dyDescent="0.2">
      <c r="A31" t="s">
        <v>155</v>
      </c>
      <c r="B31">
        <v>0</v>
      </c>
      <c r="C31">
        <v>3</v>
      </c>
      <c r="D31">
        <v>1</v>
      </c>
      <c r="F31" s="35">
        <v>0.15</v>
      </c>
      <c r="H31" t="s">
        <v>533</v>
      </c>
    </row>
    <row r="32" spans="1:11" x14ac:dyDescent="0.2">
      <c r="A32" t="s">
        <v>155</v>
      </c>
      <c r="B32">
        <v>0</v>
      </c>
      <c r="C32">
        <v>11</v>
      </c>
      <c r="D32">
        <v>1</v>
      </c>
      <c r="F32" s="35">
        <f>B32+C32/20+D32/240</f>
        <v>0.5541666666666667</v>
      </c>
      <c r="H32" t="s">
        <v>534</v>
      </c>
    </row>
    <row r="33" spans="1:11" x14ac:dyDescent="0.2">
      <c r="A33" t="s">
        <v>155</v>
      </c>
      <c r="F33" s="35">
        <v>0.55000000000000004</v>
      </c>
      <c r="G33" s="36">
        <f>F33-F32</f>
        <v>-4.1666666666666519E-3</v>
      </c>
      <c r="H33" t="s">
        <v>319</v>
      </c>
    </row>
    <row r="35" spans="1:11" x14ac:dyDescent="0.2">
      <c r="A35" t="s">
        <v>166</v>
      </c>
      <c r="B35">
        <v>0</v>
      </c>
      <c r="C35">
        <v>1</v>
      </c>
      <c r="D35">
        <v>6</v>
      </c>
      <c r="F35" s="35">
        <v>0.08</v>
      </c>
      <c r="H35" t="s">
        <v>167</v>
      </c>
      <c r="J35" s="35">
        <f>F35</f>
        <v>0.08</v>
      </c>
      <c r="K35" s="35">
        <f>J35</f>
        <v>0.08</v>
      </c>
    </row>
    <row r="36" spans="1:11" x14ac:dyDescent="0.2">
      <c r="A36" t="s">
        <v>166</v>
      </c>
      <c r="B36">
        <v>0</v>
      </c>
      <c r="C36">
        <v>9</v>
      </c>
      <c r="D36">
        <v>0</v>
      </c>
      <c r="F36" s="35">
        <v>0.45</v>
      </c>
      <c r="H36" t="s">
        <v>168</v>
      </c>
      <c r="J36" s="35">
        <f t="shared" ref="J36:J40" si="4">F36</f>
        <v>0.45</v>
      </c>
      <c r="K36" s="35">
        <f t="shared" ref="K36:K39" si="5">J36</f>
        <v>0.45</v>
      </c>
    </row>
    <row r="37" spans="1:11" x14ac:dyDescent="0.2">
      <c r="A37" t="s">
        <v>166</v>
      </c>
      <c r="B37">
        <v>0</v>
      </c>
      <c r="C37">
        <v>5</v>
      </c>
      <c r="D37">
        <v>8</v>
      </c>
      <c r="F37" s="35">
        <v>0.28000000000000003</v>
      </c>
      <c r="H37" t="s">
        <v>169</v>
      </c>
      <c r="J37" s="35">
        <f t="shared" si="4"/>
        <v>0.28000000000000003</v>
      </c>
      <c r="K37" s="35">
        <f t="shared" si="5"/>
        <v>0.28000000000000003</v>
      </c>
    </row>
    <row r="38" spans="1:11" x14ac:dyDescent="0.2">
      <c r="A38" t="s">
        <v>166</v>
      </c>
      <c r="B38">
        <v>0</v>
      </c>
      <c r="C38">
        <v>0</v>
      </c>
      <c r="D38">
        <v>3</v>
      </c>
      <c r="F38" s="35">
        <v>0.01</v>
      </c>
      <c r="H38" t="s">
        <v>170</v>
      </c>
      <c r="J38" s="35">
        <f t="shared" si="4"/>
        <v>0.01</v>
      </c>
      <c r="K38" s="35">
        <f t="shared" si="5"/>
        <v>0.01</v>
      </c>
    </row>
    <row r="39" spans="1:11" x14ac:dyDescent="0.2">
      <c r="A39" t="s">
        <v>166</v>
      </c>
      <c r="B39">
        <v>0</v>
      </c>
      <c r="C39">
        <v>0</v>
      </c>
      <c r="D39">
        <v>3</v>
      </c>
      <c r="F39" s="35">
        <v>0.01</v>
      </c>
      <c r="H39" t="s">
        <v>171</v>
      </c>
      <c r="J39" s="35">
        <f t="shared" si="4"/>
        <v>0.01</v>
      </c>
      <c r="K39" s="35">
        <f t="shared" si="5"/>
        <v>0.01</v>
      </c>
    </row>
    <row r="40" spans="1:11" x14ac:dyDescent="0.2">
      <c r="A40" t="s">
        <v>166</v>
      </c>
      <c r="B40">
        <v>0</v>
      </c>
      <c r="C40">
        <v>6</v>
      </c>
      <c r="D40">
        <v>8</v>
      </c>
      <c r="F40" s="35">
        <v>0.33</v>
      </c>
      <c r="H40" t="s">
        <v>172</v>
      </c>
      <c r="J40" s="35">
        <f t="shared" si="4"/>
        <v>0.33</v>
      </c>
    </row>
    <row r="41" spans="1:11" x14ac:dyDescent="0.2">
      <c r="A41" t="s">
        <v>166</v>
      </c>
      <c r="B41">
        <v>0</v>
      </c>
      <c r="C41">
        <v>6</v>
      </c>
      <c r="D41">
        <v>8</v>
      </c>
      <c r="F41" s="35">
        <v>0.33</v>
      </c>
      <c r="H41" t="s">
        <v>173</v>
      </c>
    </row>
    <row r="42" spans="1:11" x14ac:dyDescent="0.2">
      <c r="A42" t="s">
        <v>166</v>
      </c>
      <c r="B42">
        <v>0</v>
      </c>
      <c r="C42">
        <v>3</v>
      </c>
      <c r="D42">
        <v>0</v>
      </c>
      <c r="F42">
        <f>B42+C42/20+D42/240</f>
        <v>0.15</v>
      </c>
      <c r="H42" t="s">
        <v>535</v>
      </c>
    </row>
    <row r="43" spans="1:11" x14ac:dyDescent="0.2">
      <c r="A43" t="s">
        <v>166</v>
      </c>
      <c r="B43">
        <v>1</v>
      </c>
      <c r="C43">
        <v>13</v>
      </c>
      <c r="D43">
        <v>0</v>
      </c>
      <c r="F43" s="35">
        <v>1.65</v>
      </c>
      <c r="H43" t="s">
        <v>536</v>
      </c>
    </row>
    <row r="44" spans="1:11" x14ac:dyDescent="0.2">
      <c r="A44" t="s">
        <v>166</v>
      </c>
      <c r="F44" s="35">
        <f>SUM(F35:F42)</f>
        <v>1.6400000000000001</v>
      </c>
      <c r="G44" s="36">
        <f>F44-F43</f>
        <v>-9.9999999999997868E-3</v>
      </c>
      <c r="H44" t="s">
        <v>319</v>
      </c>
    </row>
    <row r="46" spans="1:11" x14ac:dyDescent="0.2">
      <c r="A46" t="s">
        <v>175</v>
      </c>
      <c r="B46">
        <v>0</v>
      </c>
      <c r="C46">
        <v>1</v>
      </c>
      <c r="D46">
        <v>3</v>
      </c>
      <c r="F46" s="35">
        <f>B46+C46/20+D46/240</f>
        <v>6.25E-2</v>
      </c>
      <c r="H46" t="s">
        <v>539</v>
      </c>
      <c r="J46" s="35">
        <f>F46</f>
        <v>6.25E-2</v>
      </c>
      <c r="K46" s="35">
        <f>J46</f>
        <v>6.25E-2</v>
      </c>
    </row>
    <row r="47" spans="1:11" x14ac:dyDescent="0.2">
      <c r="A47" t="s">
        <v>175</v>
      </c>
      <c r="B47">
        <v>1</v>
      </c>
      <c r="C47">
        <v>15</v>
      </c>
      <c r="D47">
        <v>10</v>
      </c>
      <c r="F47" s="35">
        <v>1.79</v>
      </c>
      <c r="H47" t="s">
        <v>177</v>
      </c>
      <c r="J47" s="35">
        <f t="shared" ref="J47:J50" si="6">F47</f>
        <v>1.79</v>
      </c>
      <c r="K47" s="35">
        <f t="shared" ref="K47:K50" si="7">J47</f>
        <v>1.79</v>
      </c>
    </row>
    <row r="48" spans="1:11" x14ac:dyDescent="0.2">
      <c r="A48" t="s">
        <v>175</v>
      </c>
      <c r="B48">
        <v>0</v>
      </c>
      <c r="C48">
        <v>1</v>
      </c>
      <c r="D48">
        <v>3</v>
      </c>
      <c r="F48" s="35">
        <v>0.06</v>
      </c>
      <c r="H48" t="s">
        <v>178</v>
      </c>
      <c r="J48" s="35">
        <f t="shared" si="6"/>
        <v>0.06</v>
      </c>
      <c r="K48" s="35">
        <f t="shared" si="7"/>
        <v>0.06</v>
      </c>
    </row>
    <row r="49" spans="1:11" x14ac:dyDescent="0.2">
      <c r="A49" t="s">
        <v>175</v>
      </c>
      <c r="B49">
        <v>0</v>
      </c>
      <c r="C49">
        <v>3</v>
      </c>
      <c r="D49">
        <v>0</v>
      </c>
      <c r="F49" s="35">
        <v>0.15</v>
      </c>
      <c r="H49" t="s">
        <v>179</v>
      </c>
      <c r="J49" s="35">
        <f t="shared" si="6"/>
        <v>0.15</v>
      </c>
      <c r="K49" s="35">
        <f t="shared" si="7"/>
        <v>0.15</v>
      </c>
    </row>
    <row r="50" spans="1:11" x14ac:dyDescent="0.2">
      <c r="A50" t="s">
        <v>175</v>
      </c>
      <c r="B50">
        <v>0</v>
      </c>
      <c r="C50">
        <v>0</v>
      </c>
      <c r="D50">
        <v>5</v>
      </c>
      <c r="F50" s="35">
        <v>0.02</v>
      </c>
      <c r="H50" t="s">
        <v>180</v>
      </c>
      <c r="J50" s="35">
        <f t="shared" si="6"/>
        <v>0.02</v>
      </c>
      <c r="K50" s="35">
        <f t="shared" si="7"/>
        <v>0.02</v>
      </c>
    </row>
    <row r="51" spans="1:11" x14ac:dyDescent="0.2">
      <c r="A51" t="s">
        <v>175</v>
      </c>
      <c r="B51">
        <v>0</v>
      </c>
      <c r="C51">
        <v>0</v>
      </c>
      <c r="D51">
        <v>3</v>
      </c>
      <c r="F51" s="35">
        <v>0.01</v>
      </c>
      <c r="H51" t="s">
        <v>181</v>
      </c>
    </row>
    <row r="52" spans="1:11" x14ac:dyDescent="0.2">
      <c r="A52" t="s">
        <v>175</v>
      </c>
      <c r="B52">
        <v>0</v>
      </c>
      <c r="C52">
        <v>2</v>
      </c>
      <c r="D52">
        <v>0</v>
      </c>
      <c r="F52">
        <f>B52+C52/20+D52/240</f>
        <v>0.1</v>
      </c>
      <c r="H52" t="s">
        <v>537</v>
      </c>
    </row>
    <row r="53" spans="1:11" x14ac:dyDescent="0.2">
      <c r="A53" t="s">
        <v>175</v>
      </c>
      <c r="B53">
        <v>2</v>
      </c>
      <c r="C53">
        <v>4</v>
      </c>
      <c r="D53">
        <v>0</v>
      </c>
      <c r="F53" s="35">
        <v>2.2000000000000002</v>
      </c>
      <c r="H53" t="s">
        <v>538</v>
      </c>
    </row>
    <row r="54" spans="1:11" x14ac:dyDescent="0.2">
      <c r="A54" t="s">
        <v>175</v>
      </c>
      <c r="F54" s="35">
        <f>SUM(F46:F52)</f>
        <v>2.1924999999999999</v>
      </c>
      <c r="G54" s="36">
        <f>F54-F53</f>
        <v>-7.5000000000002842E-3</v>
      </c>
      <c r="H54" t="s">
        <v>319</v>
      </c>
    </row>
    <row r="56" spans="1:11" x14ac:dyDescent="0.2">
      <c r="A56" t="s">
        <v>183</v>
      </c>
      <c r="B56">
        <v>0</v>
      </c>
      <c r="C56">
        <v>9</v>
      </c>
      <c r="D56">
        <v>6</v>
      </c>
      <c r="F56" s="35">
        <v>0.48</v>
      </c>
      <c r="H56" t="s">
        <v>325</v>
      </c>
    </row>
    <row r="57" spans="1:11" x14ac:dyDescent="0.2">
      <c r="A57" t="s">
        <v>183</v>
      </c>
      <c r="B57">
        <v>0</v>
      </c>
      <c r="C57">
        <v>3</v>
      </c>
      <c r="D57">
        <v>6</v>
      </c>
      <c r="F57" s="35">
        <v>0.17</v>
      </c>
      <c r="H57" t="s">
        <v>326</v>
      </c>
    </row>
    <row r="58" spans="1:11" x14ac:dyDescent="0.2">
      <c r="A58" t="s">
        <v>183</v>
      </c>
      <c r="B58">
        <v>0</v>
      </c>
      <c r="C58">
        <v>1</v>
      </c>
      <c r="D58">
        <v>7</v>
      </c>
      <c r="F58" s="35">
        <v>0.08</v>
      </c>
      <c r="H58" t="s">
        <v>327</v>
      </c>
    </row>
    <row r="59" spans="1:11" x14ac:dyDescent="0.2">
      <c r="A59" t="s">
        <v>183</v>
      </c>
      <c r="B59">
        <v>0</v>
      </c>
      <c r="C59">
        <v>2</v>
      </c>
      <c r="D59">
        <v>4</v>
      </c>
      <c r="F59" s="35">
        <v>0.12</v>
      </c>
      <c r="H59" t="s">
        <v>328</v>
      </c>
    </row>
    <row r="60" spans="1:11" x14ac:dyDescent="0.2">
      <c r="A60" t="s">
        <v>183</v>
      </c>
      <c r="B60">
        <v>0</v>
      </c>
      <c r="C60">
        <v>0</v>
      </c>
      <c r="D60">
        <v>7</v>
      </c>
      <c r="F60" s="35">
        <v>0.03</v>
      </c>
      <c r="H60" t="s">
        <v>189</v>
      </c>
    </row>
    <row r="61" spans="1:11" x14ac:dyDescent="0.2">
      <c r="A61" t="s">
        <v>183</v>
      </c>
      <c r="B61">
        <v>0</v>
      </c>
      <c r="C61">
        <v>0</v>
      </c>
      <c r="D61">
        <v>3</v>
      </c>
      <c r="F61">
        <f>B61+C61/20+D61/240</f>
        <v>1.2500000000000001E-2</v>
      </c>
      <c r="H61" t="s">
        <v>540</v>
      </c>
    </row>
    <row r="62" spans="1:11" x14ac:dyDescent="0.2">
      <c r="A62" t="s">
        <v>183</v>
      </c>
      <c r="B62">
        <v>0</v>
      </c>
      <c r="C62">
        <v>17</v>
      </c>
      <c r="D62">
        <v>3</v>
      </c>
      <c r="F62" s="35">
        <v>0.86</v>
      </c>
      <c r="H62" t="s">
        <v>541</v>
      </c>
    </row>
    <row r="63" spans="1:11" x14ac:dyDescent="0.2">
      <c r="A63" t="s">
        <v>183</v>
      </c>
      <c r="F63" s="35">
        <f>SUM(F56:F61)</f>
        <v>0.89249999999999996</v>
      </c>
      <c r="G63" s="36">
        <f>F63-F62</f>
        <v>3.2499999999999973E-2</v>
      </c>
      <c r="H63" t="s">
        <v>319</v>
      </c>
    </row>
    <row r="65" spans="1:8" x14ac:dyDescent="0.2">
      <c r="A65" t="s">
        <v>191</v>
      </c>
      <c r="B65">
        <v>0</v>
      </c>
      <c r="C65">
        <v>7</v>
      </c>
      <c r="D65">
        <v>0</v>
      </c>
      <c r="F65" s="35">
        <v>0.35</v>
      </c>
      <c r="H65" t="s">
        <v>192</v>
      </c>
    </row>
    <row r="66" spans="1:8" x14ac:dyDescent="0.2">
      <c r="A66" t="s">
        <v>191</v>
      </c>
      <c r="B66">
        <v>0</v>
      </c>
      <c r="C66">
        <v>9</v>
      </c>
      <c r="D66">
        <v>0</v>
      </c>
      <c r="F66" s="35">
        <v>0.45</v>
      </c>
      <c r="H66" t="s">
        <v>193</v>
      </c>
    </row>
    <row r="67" spans="1:8" x14ac:dyDescent="0.2">
      <c r="A67" t="s">
        <v>191</v>
      </c>
      <c r="B67">
        <v>0</v>
      </c>
      <c r="C67">
        <v>16</v>
      </c>
      <c r="D67">
        <v>0</v>
      </c>
      <c r="F67" s="35">
        <v>0.8</v>
      </c>
      <c r="H67" t="s">
        <v>194</v>
      </c>
    </row>
    <row r="68" spans="1:8" x14ac:dyDescent="0.2">
      <c r="A68" t="s">
        <v>191</v>
      </c>
      <c r="F68" s="35">
        <v>0.8</v>
      </c>
      <c r="G68" s="36">
        <v>0</v>
      </c>
      <c r="H68" t="s">
        <v>319</v>
      </c>
    </row>
    <row r="71" spans="1:8" x14ac:dyDescent="0.2">
      <c r="A71" t="s">
        <v>197</v>
      </c>
      <c r="B71">
        <v>38</v>
      </c>
      <c r="C71">
        <v>1</v>
      </c>
      <c r="D71">
        <v>9.5</v>
      </c>
      <c r="F71" s="35">
        <v>38.090000000000003</v>
      </c>
      <c r="H71" t="s">
        <v>198</v>
      </c>
    </row>
    <row r="73" spans="1:8" x14ac:dyDescent="0.2">
      <c r="A73" t="s">
        <v>195</v>
      </c>
      <c r="B73">
        <v>10</v>
      </c>
      <c r="C73">
        <v>8</v>
      </c>
      <c r="D73">
        <v>8.5</v>
      </c>
      <c r="F73">
        <v>10.44</v>
      </c>
      <c r="H73" t="s">
        <v>196</v>
      </c>
    </row>
    <row r="74" spans="1:8" x14ac:dyDescent="0.2">
      <c r="F74"/>
    </row>
    <row r="75" spans="1:8" x14ac:dyDescent="0.2">
      <c r="A75" t="s">
        <v>197</v>
      </c>
      <c r="B75">
        <v>38</v>
      </c>
      <c r="C75">
        <v>1</v>
      </c>
      <c r="D75">
        <v>9.5</v>
      </c>
      <c r="F75">
        <v>38.090000000000003</v>
      </c>
      <c r="H75" t="s">
        <v>198</v>
      </c>
    </row>
    <row r="76" spans="1:8" x14ac:dyDescent="0.2">
      <c r="F76"/>
    </row>
    <row r="77" spans="1:8" x14ac:dyDescent="0.2">
      <c r="A77" t="s">
        <v>199</v>
      </c>
      <c r="B77">
        <v>0</v>
      </c>
      <c r="C77">
        <v>0</v>
      </c>
      <c r="D77">
        <v>0</v>
      </c>
      <c r="F77">
        <v>0</v>
      </c>
      <c r="H77" t="s">
        <v>200</v>
      </c>
    </row>
    <row r="78" spans="1:8" x14ac:dyDescent="0.2">
      <c r="A78" t="s">
        <v>199</v>
      </c>
      <c r="B78">
        <v>24</v>
      </c>
      <c r="C78">
        <v>0</v>
      </c>
      <c r="D78">
        <v>0</v>
      </c>
      <c r="F78">
        <v>24</v>
      </c>
      <c r="H78" t="s">
        <v>201</v>
      </c>
    </row>
    <row r="79" spans="1:8" x14ac:dyDescent="0.2">
      <c r="F79"/>
    </row>
    <row r="80" spans="1:8" x14ac:dyDescent="0.2">
      <c r="A80" t="s">
        <v>202</v>
      </c>
      <c r="B80">
        <v>14</v>
      </c>
      <c r="C80">
        <v>1</v>
      </c>
      <c r="D80">
        <v>9.5</v>
      </c>
      <c r="F80">
        <v>14.09</v>
      </c>
      <c r="H80" t="s">
        <v>203</v>
      </c>
    </row>
    <row r="81" spans="1:7" x14ac:dyDescent="0.2">
      <c r="F81"/>
    </row>
    <row r="82" spans="1:7" ht="16" x14ac:dyDescent="0.2">
      <c r="A82" s="10" t="s">
        <v>423</v>
      </c>
      <c r="F82">
        <f>F73</f>
        <v>10.44</v>
      </c>
    </row>
    <row r="83" spans="1:7" ht="16" x14ac:dyDescent="0.2">
      <c r="A83" s="10" t="s">
        <v>424</v>
      </c>
      <c r="F83" s="35">
        <f>F68+F63+F54+F44+F33+F20</f>
        <v>10.445</v>
      </c>
      <c r="G83" s="36">
        <f>F83-F82</f>
        <v>5.0000000000007816E-3</v>
      </c>
    </row>
    <row r="84" spans="1:7" ht="16" x14ac:dyDescent="0.2">
      <c r="A84" s="10" t="s">
        <v>425</v>
      </c>
      <c r="F84" s="35">
        <f>SUM(J3:J61)</f>
        <v>4.5625</v>
      </c>
    </row>
    <row r="85" spans="1:7" ht="16" x14ac:dyDescent="0.2">
      <c r="A85" s="10" t="s">
        <v>426</v>
      </c>
      <c r="F85" s="35">
        <f>SUM(K3:K52)</f>
        <v>4.2324999999999999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1"/>
  <sheetViews>
    <sheetView zoomScale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22" sqref="Q22"/>
    </sheetView>
  </sheetViews>
  <sheetFormatPr baseColWidth="10" defaultColWidth="8.83203125" defaultRowHeight="15" x14ac:dyDescent="0.2"/>
  <cols>
    <col min="1" max="1" width="30" bestFit="1" customWidth="1"/>
    <col min="2" max="2" width="12.1640625" bestFit="1" customWidth="1"/>
    <col min="3" max="3" width="19.1640625" bestFit="1" customWidth="1"/>
    <col min="4" max="4" width="20" bestFit="1" customWidth="1"/>
    <col min="5" max="5" width="21.5" bestFit="1" customWidth="1"/>
    <col min="6" max="6" width="15.83203125" bestFit="1" customWidth="1"/>
    <col min="7" max="9" width="24.33203125" customWidth="1"/>
    <col min="10" max="12" width="21.5" customWidth="1"/>
    <col min="13" max="13" width="14.6640625" customWidth="1"/>
    <col min="14" max="14" width="8.1640625" bestFit="1" customWidth="1"/>
    <col min="15" max="16" width="21.5" customWidth="1"/>
  </cols>
  <sheetData>
    <row r="1" spans="1:16" s="55" customFormat="1" ht="32" x14ac:dyDescent="0.2">
      <c r="A1" s="30" t="s">
        <v>366</v>
      </c>
      <c r="B1" s="30" t="s">
        <v>613</v>
      </c>
      <c r="C1" s="30" t="s">
        <v>360</v>
      </c>
      <c r="D1" s="30" t="s">
        <v>348</v>
      </c>
      <c r="E1" s="30" t="s">
        <v>614</v>
      </c>
      <c r="F1" s="30" t="s">
        <v>357</v>
      </c>
      <c r="G1" s="53" t="s">
        <v>367</v>
      </c>
      <c r="H1" s="53" t="s">
        <v>368</v>
      </c>
      <c r="I1" s="54" t="s">
        <v>370</v>
      </c>
    </row>
    <row r="2" spans="1:16" x14ac:dyDescent="0.2">
      <c r="A2" t="s">
        <v>91</v>
      </c>
      <c r="B2">
        <v>77.875</v>
      </c>
      <c r="D2">
        <v>0.75</v>
      </c>
      <c r="F2" s="35">
        <v>53</v>
      </c>
      <c r="G2" s="35">
        <f>B2-F2</f>
        <v>24.875</v>
      </c>
      <c r="H2" s="35">
        <v>0.33152515723270443</v>
      </c>
      <c r="I2" s="35">
        <f>H2*B2</f>
        <v>25.817521619496858</v>
      </c>
    </row>
    <row r="3" spans="1:16" x14ac:dyDescent="0.2">
      <c r="A3" t="s">
        <v>93</v>
      </c>
      <c r="B3">
        <v>1</v>
      </c>
      <c r="D3">
        <v>0</v>
      </c>
      <c r="F3" s="35">
        <v>1</v>
      </c>
      <c r="G3" s="35">
        <f t="shared" ref="G3:G7" si="0">B3-F3</f>
        <v>0</v>
      </c>
      <c r="H3" s="35">
        <v>0.2</v>
      </c>
      <c r="I3" s="35">
        <f t="shared" ref="I3:I7" si="1">H3*B3</f>
        <v>0.2</v>
      </c>
    </row>
    <row r="4" spans="1:16" x14ac:dyDescent="0.2">
      <c r="A4" t="s">
        <v>615</v>
      </c>
      <c r="B4">
        <f>33.5</f>
        <v>33.5</v>
      </c>
      <c r="D4">
        <v>2.875</v>
      </c>
      <c r="F4" s="35">
        <v>7.5625</v>
      </c>
      <c r="G4" s="35">
        <f t="shared" si="0"/>
        <v>25.9375</v>
      </c>
      <c r="H4" s="35">
        <v>0.2</v>
      </c>
      <c r="I4" s="35">
        <f t="shared" si="1"/>
        <v>6.7</v>
      </c>
    </row>
    <row r="5" spans="1:16" x14ac:dyDescent="0.2">
      <c r="A5" t="s">
        <v>96</v>
      </c>
      <c r="B5">
        <v>19</v>
      </c>
      <c r="D5">
        <v>0</v>
      </c>
      <c r="F5" s="35">
        <v>13.375</v>
      </c>
      <c r="G5" s="35">
        <f t="shared" si="0"/>
        <v>5.625</v>
      </c>
      <c r="H5" s="35">
        <v>0.2</v>
      </c>
      <c r="I5" s="35">
        <f t="shared" si="1"/>
        <v>3.8000000000000003</v>
      </c>
    </row>
    <row r="6" spans="1:16" x14ac:dyDescent="0.2">
      <c r="A6" t="s">
        <v>98</v>
      </c>
      <c r="B6">
        <v>79.625</v>
      </c>
      <c r="D6">
        <v>0</v>
      </c>
      <c r="F6" s="35">
        <v>26</v>
      </c>
      <c r="G6" s="35">
        <f t="shared" si="0"/>
        <v>53.625</v>
      </c>
      <c r="H6" s="35">
        <v>0.125</v>
      </c>
      <c r="I6" s="35">
        <f t="shared" si="1"/>
        <v>9.953125</v>
      </c>
    </row>
    <row r="7" spans="1:16" x14ac:dyDescent="0.2">
      <c r="A7" t="s">
        <v>100</v>
      </c>
      <c r="B7">
        <v>0.75</v>
      </c>
      <c r="D7">
        <v>0</v>
      </c>
      <c r="F7" s="35">
        <v>0.5</v>
      </c>
      <c r="G7" s="35">
        <f t="shared" si="0"/>
        <v>0.25</v>
      </c>
      <c r="H7" s="35">
        <v>0.05</v>
      </c>
      <c r="I7" s="35">
        <f t="shared" si="1"/>
        <v>3.7500000000000006E-2</v>
      </c>
    </row>
    <row r="9" spans="1:16" x14ac:dyDescent="0.2">
      <c r="A9" s="56" t="s">
        <v>616</v>
      </c>
    </row>
    <row r="10" spans="1:16" x14ac:dyDescent="0.2">
      <c r="A10" s="56" t="s">
        <v>617</v>
      </c>
    </row>
    <row r="13" spans="1:16" ht="32" x14ac:dyDescent="0.2">
      <c r="A13" s="55" t="s">
        <v>618</v>
      </c>
      <c r="B13" s="57" t="s">
        <v>619</v>
      </c>
      <c r="C13" s="58" t="s">
        <v>620</v>
      </c>
      <c r="D13" s="58" t="s">
        <v>621</v>
      </c>
      <c r="E13" s="58" t="s">
        <v>622</v>
      </c>
      <c r="F13" s="55" t="s">
        <v>623</v>
      </c>
      <c r="G13" s="58" t="s">
        <v>624</v>
      </c>
      <c r="H13" s="58" t="s">
        <v>625</v>
      </c>
      <c r="I13" s="58" t="s">
        <v>626</v>
      </c>
      <c r="J13" s="58" t="s">
        <v>627</v>
      </c>
      <c r="K13" s="59" t="s">
        <v>628</v>
      </c>
      <c r="L13" s="58" t="s">
        <v>629</v>
      </c>
      <c r="M13" s="58" t="s">
        <v>630</v>
      </c>
      <c r="N13" s="60" t="s">
        <v>631</v>
      </c>
      <c r="O13" s="60" t="s">
        <v>632</v>
      </c>
      <c r="P13" s="57" t="s">
        <v>633</v>
      </c>
    </row>
    <row r="14" spans="1:16" x14ac:dyDescent="0.2">
      <c r="A14" t="s">
        <v>91</v>
      </c>
      <c r="B14">
        <f>B2</f>
        <v>77.875</v>
      </c>
      <c r="C14">
        <v>15.5</v>
      </c>
      <c r="E14">
        <f>C14+D14/8</f>
        <v>15.5</v>
      </c>
      <c r="I14">
        <f>1.5+1.5+5.5</f>
        <v>8.5</v>
      </c>
      <c r="J14">
        <f>1</f>
        <v>1</v>
      </c>
      <c r="K14" s="62">
        <f>I14+J14/8</f>
        <v>8.625</v>
      </c>
      <c r="L14">
        <f>B14-E14-H14-K14</f>
        <v>53.75</v>
      </c>
      <c r="N14" s="35">
        <f>H2</f>
        <v>0.33152515723270443</v>
      </c>
      <c r="O14" s="35">
        <f>N14*L14</f>
        <v>17.819477201257865</v>
      </c>
    </row>
    <row r="15" spans="1:16" x14ac:dyDescent="0.2">
      <c r="A15" t="s">
        <v>93</v>
      </c>
      <c r="B15">
        <f t="shared" ref="B15:B19" si="2">B3</f>
        <v>1</v>
      </c>
      <c r="E15">
        <f t="shared" ref="E15:E19" si="3">C15+D15/8</f>
        <v>0</v>
      </c>
      <c r="K15" s="62">
        <f t="shared" ref="K15:K19" si="4">I15+J15/8</f>
        <v>0</v>
      </c>
      <c r="L15">
        <f t="shared" ref="L15:L19" si="5">B15-E15-H15-K15</f>
        <v>1</v>
      </c>
      <c r="N15" s="35">
        <f t="shared" ref="N15:N19" si="6">H3</f>
        <v>0.2</v>
      </c>
      <c r="O15" s="35">
        <f t="shared" ref="O15:O19" si="7">N15*L15</f>
        <v>0.2</v>
      </c>
    </row>
    <row r="16" spans="1:16" x14ac:dyDescent="0.2">
      <c r="A16" t="s">
        <v>615</v>
      </c>
      <c r="B16">
        <f t="shared" si="2"/>
        <v>33.5</v>
      </c>
      <c r="C16">
        <v>8</v>
      </c>
      <c r="D16">
        <v>6</v>
      </c>
      <c r="E16">
        <f t="shared" si="3"/>
        <v>8.75</v>
      </c>
      <c r="I16">
        <f>6.5+5+2+0.5+2</f>
        <v>16</v>
      </c>
      <c r="J16">
        <f>1.5+2+2+4</f>
        <v>9.5</v>
      </c>
      <c r="K16" s="62">
        <f t="shared" si="4"/>
        <v>17.1875</v>
      </c>
      <c r="L16">
        <f t="shared" si="5"/>
        <v>7.5625</v>
      </c>
      <c r="N16" s="35">
        <f t="shared" si="6"/>
        <v>0.2</v>
      </c>
      <c r="O16" s="35">
        <f t="shared" si="7"/>
        <v>1.5125000000000002</v>
      </c>
    </row>
    <row r="17" spans="1:15" x14ac:dyDescent="0.2">
      <c r="A17" t="s">
        <v>96</v>
      </c>
      <c r="B17">
        <f t="shared" si="2"/>
        <v>19</v>
      </c>
      <c r="C17">
        <v>5</v>
      </c>
      <c r="D17">
        <v>5</v>
      </c>
      <c r="E17">
        <f t="shared" si="3"/>
        <v>5.625</v>
      </c>
      <c r="J17">
        <v>4</v>
      </c>
      <c r="K17" s="62">
        <f t="shared" si="4"/>
        <v>0.5</v>
      </c>
      <c r="L17">
        <f t="shared" si="5"/>
        <v>12.875</v>
      </c>
      <c r="N17" s="35">
        <f t="shared" si="6"/>
        <v>0.2</v>
      </c>
      <c r="O17" s="35">
        <f t="shared" si="7"/>
        <v>2.5750000000000002</v>
      </c>
    </row>
    <row r="18" spans="1:15" x14ac:dyDescent="0.2">
      <c r="A18" t="s">
        <v>98</v>
      </c>
      <c r="B18">
        <f t="shared" si="2"/>
        <v>79.625</v>
      </c>
      <c r="C18">
        <v>28</v>
      </c>
      <c r="D18">
        <v>6</v>
      </c>
      <c r="E18">
        <f t="shared" si="3"/>
        <v>28.75</v>
      </c>
      <c r="I18">
        <f>6.5+8+1.5+8.5</f>
        <v>24.5</v>
      </c>
      <c r="J18">
        <f>1+2</f>
        <v>3</v>
      </c>
      <c r="K18" s="62">
        <f t="shared" si="4"/>
        <v>24.875</v>
      </c>
      <c r="L18">
        <f t="shared" si="5"/>
        <v>26</v>
      </c>
      <c r="N18" s="35">
        <f t="shared" si="6"/>
        <v>0.125</v>
      </c>
      <c r="O18" s="35">
        <f t="shared" si="7"/>
        <v>3.25</v>
      </c>
    </row>
    <row r="19" spans="1:15" x14ac:dyDescent="0.2">
      <c r="A19" t="s">
        <v>100</v>
      </c>
      <c r="B19">
        <f t="shared" si="2"/>
        <v>0.75</v>
      </c>
      <c r="D19">
        <v>2</v>
      </c>
      <c r="E19">
        <f t="shared" si="3"/>
        <v>0.25</v>
      </c>
      <c r="K19" s="62">
        <f t="shared" si="4"/>
        <v>0</v>
      </c>
      <c r="L19">
        <f t="shared" si="5"/>
        <v>0.5</v>
      </c>
      <c r="N19" s="35">
        <f t="shared" si="6"/>
        <v>0.05</v>
      </c>
      <c r="O19" s="35">
        <f t="shared" si="7"/>
        <v>2.5000000000000001E-2</v>
      </c>
    </row>
    <row r="21" spans="1:15" x14ac:dyDescent="0.2">
      <c r="A21" s="61" t="s">
        <v>319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8"/>
  <sheetViews>
    <sheetView zoomScale="90" workbookViewId="0">
      <pane xSplit="1" ySplit="4" topLeftCell="M11" activePane="bottomRight" state="frozen"/>
      <selection pane="topRight" activeCell="B1" sqref="B1"/>
      <selection pane="bottomLeft" activeCell="A5" sqref="A5"/>
      <selection pane="bottomRight" activeCell="R72" sqref="R72"/>
    </sheetView>
  </sheetViews>
  <sheetFormatPr baseColWidth="10" defaultColWidth="8.83203125" defaultRowHeight="15" x14ac:dyDescent="0.2"/>
  <cols>
    <col min="1" max="1" width="44.33203125" bestFit="1" customWidth="1"/>
    <col min="2" max="2" width="10.6640625" customWidth="1"/>
    <col min="6" max="6" width="7" customWidth="1"/>
    <col min="10" max="10" width="19.6640625" customWidth="1"/>
    <col min="14" max="14" width="11.5" customWidth="1"/>
    <col min="15" max="15" width="8.83203125" style="35"/>
    <col min="16" max="16" width="15.5" customWidth="1"/>
    <col min="17" max="17" width="18.1640625" customWidth="1"/>
    <col min="19" max="19" width="16.83203125" customWidth="1"/>
    <col min="20" max="20" width="17.1640625" customWidth="1"/>
  </cols>
  <sheetData>
    <row r="1" spans="1:21" ht="16" x14ac:dyDescent="0.2">
      <c r="A1" s="10" t="s">
        <v>611</v>
      </c>
      <c r="B1" s="30"/>
      <c r="C1" s="30"/>
      <c r="D1" s="30"/>
      <c r="E1" s="30"/>
      <c r="F1" s="30"/>
      <c r="G1" s="30"/>
      <c r="H1" s="30"/>
      <c r="I1" s="30"/>
    </row>
    <row r="2" spans="1:21" ht="16" x14ac:dyDescent="0.2">
      <c r="A2" s="10"/>
    </row>
    <row r="3" spans="1:21" ht="17" customHeight="1" x14ac:dyDescent="0.2">
      <c r="A3" s="39"/>
      <c r="B3" s="39"/>
      <c r="C3" s="66" t="s">
        <v>329</v>
      </c>
      <c r="D3" s="66"/>
      <c r="E3" s="66"/>
      <c r="F3" s="66"/>
      <c r="G3" s="67" t="s">
        <v>592</v>
      </c>
      <c r="H3" s="66"/>
      <c r="I3" s="66"/>
      <c r="J3" s="66"/>
      <c r="K3" s="39"/>
      <c r="L3" s="39"/>
      <c r="M3" s="39"/>
      <c r="N3" s="39"/>
      <c r="O3" s="49"/>
      <c r="P3" s="49"/>
      <c r="Q3" s="39"/>
      <c r="R3" s="39"/>
      <c r="S3" s="39"/>
      <c r="T3" s="39"/>
    </row>
    <row r="4" spans="1:21" ht="51" x14ac:dyDescent="0.2">
      <c r="A4" s="40" t="s">
        <v>448</v>
      </c>
      <c r="B4" s="50" t="s">
        <v>593</v>
      </c>
      <c r="C4" s="50" t="s">
        <v>329</v>
      </c>
      <c r="D4" s="10" t="s">
        <v>594</v>
      </c>
      <c r="E4" s="10" t="s">
        <v>595</v>
      </c>
      <c r="F4" s="40" t="s">
        <v>596</v>
      </c>
      <c r="G4" s="40" t="s">
        <v>597</v>
      </c>
      <c r="H4" s="50" t="s">
        <v>330</v>
      </c>
      <c r="I4" s="50" t="s">
        <v>598</v>
      </c>
      <c r="J4" s="50" t="s">
        <v>599</v>
      </c>
      <c r="K4" s="50" t="s">
        <v>600</v>
      </c>
      <c r="L4" s="50" t="s">
        <v>601</v>
      </c>
      <c r="M4" s="50" t="s">
        <v>602</v>
      </c>
      <c r="N4" s="50" t="s">
        <v>603</v>
      </c>
      <c r="O4" s="64" t="s">
        <v>604</v>
      </c>
      <c r="P4" s="51" t="s">
        <v>605</v>
      </c>
      <c r="Q4" s="40" t="s">
        <v>606</v>
      </c>
      <c r="R4" s="40" t="s">
        <v>607</v>
      </c>
      <c r="S4" s="40" t="s">
        <v>608</v>
      </c>
      <c r="T4" s="52" t="s">
        <v>609</v>
      </c>
      <c r="U4" s="50" t="s">
        <v>610</v>
      </c>
    </row>
    <row r="5" spans="1:21" ht="16" x14ac:dyDescent="0.2">
      <c r="A5" s="39" t="s">
        <v>449</v>
      </c>
      <c r="B5">
        <v>2</v>
      </c>
      <c r="K5">
        <v>2</v>
      </c>
    </row>
    <row r="6" spans="1:21" ht="16" x14ac:dyDescent="0.2">
      <c r="A6" s="39" t="s">
        <v>331</v>
      </c>
      <c r="C6">
        <v>1</v>
      </c>
      <c r="H6">
        <v>1</v>
      </c>
      <c r="K6">
        <v>0</v>
      </c>
      <c r="O6" s="35">
        <f>R6/H6</f>
        <v>0.8</v>
      </c>
      <c r="R6" s="35">
        <f>Receipts!F49</f>
        <v>0.8</v>
      </c>
    </row>
    <row r="7" spans="1:21" x14ac:dyDescent="0.2">
      <c r="A7" t="s">
        <v>450</v>
      </c>
    </row>
    <row r="8" spans="1:21" x14ac:dyDescent="0.2">
      <c r="A8" t="s">
        <v>542</v>
      </c>
    </row>
    <row r="9" spans="1:21" x14ac:dyDescent="0.2">
      <c r="A9" t="s">
        <v>451</v>
      </c>
    </row>
    <row r="10" spans="1:21" x14ac:dyDescent="0.2">
      <c r="A10" t="s">
        <v>452</v>
      </c>
    </row>
    <row r="11" spans="1:21" x14ac:dyDescent="0.2">
      <c r="A11" t="s">
        <v>453</v>
      </c>
    </row>
    <row r="12" spans="1:21" x14ac:dyDescent="0.2">
      <c r="A12" t="s">
        <v>332</v>
      </c>
      <c r="B12">
        <v>19</v>
      </c>
      <c r="C12">
        <f>8+1+6</f>
        <v>15</v>
      </c>
      <c r="H12">
        <v>1</v>
      </c>
      <c r="K12">
        <v>30</v>
      </c>
      <c r="O12" s="35">
        <f t="shared" ref="O12:O26" si="0">R12/H12</f>
        <v>0.35</v>
      </c>
      <c r="R12" s="35">
        <f>Receipts!F50</f>
        <v>0.35</v>
      </c>
    </row>
    <row r="13" spans="1:21" x14ac:dyDescent="0.2">
      <c r="A13" t="s">
        <v>454</v>
      </c>
    </row>
    <row r="14" spans="1:21" x14ac:dyDescent="0.2">
      <c r="A14" t="s">
        <v>455</v>
      </c>
    </row>
    <row r="15" spans="1:21" x14ac:dyDescent="0.2">
      <c r="A15" t="s">
        <v>456</v>
      </c>
    </row>
    <row r="16" spans="1:21" x14ac:dyDescent="0.2">
      <c r="A16" t="s">
        <v>457</v>
      </c>
    </row>
    <row r="17" spans="1:18" x14ac:dyDescent="0.2">
      <c r="A17" t="s">
        <v>458</v>
      </c>
    </row>
    <row r="18" spans="1:18" x14ac:dyDescent="0.2">
      <c r="A18" t="s">
        <v>459</v>
      </c>
    </row>
    <row r="19" spans="1:18" x14ac:dyDescent="0.2">
      <c r="A19" t="s">
        <v>333</v>
      </c>
      <c r="B19">
        <v>275</v>
      </c>
      <c r="C19">
        <f>4+3+180</f>
        <v>187</v>
      </c>
      <c r="H19">
        <v>27</v>
      </c>
      <c r="I19">
        <f>4+2+2+1+1</f>
        <v>10</v>
      </c>
      <c r="K19">
        <v>425</v>
      </c>
      <c r="O19" s="35">
        <f t="shared" si="0"/>
        <v>5.814814814814815E-2</v>
      </c>
      <c r="R19" s="35">
        <f>Receipts!F51</f>
        <v>1.57</v>
      </c>
    </row>
    <row r="20" spans="1:18" x14ac:dyDescent="0.2">
      <c r="A20" t="s">
        <v>460</v>
      </c>
    </row>
    <row r="21" spans="1:18" x14ac:dyDescent="0.2">
      <c r="A21" t="s">
        <v>461</v>
      </c>
    </row>
    <row r="22" spans="1:18" x14ac:dyDescent="0.2">
      <c r="A22" t="s">
        <v>334</v>
      </c>
      <c r="B22">
        <v>435</v>
      </c>
      <c r="H22">
        <v>22</v>
      </c>
      <c r="I22">
        <f>31+2</f>
        <v>33</v>
      </c>
      <c r="J22">
        <f>180+138+4+58</f>
        <v>380</v>
      </c>
      <c r="K22">
        <v>0</v>
      </c>
      <c r="O22" s="35">
        <f t="shared" si="0"/>
        <v>2.2727272727272728E-2</v>
      </c>
      <c r="R22" s="35">
        <f>Receipts!F52</f>
        <v>0.5</v>
      </c>
    </row>
    <row r="23" spans="1:18" x14ac:dyDescent="0.2">
      <c r="A23" t="s">
        <v>335</v>
      </c>
      <c r="C23">
        <f>255+2</f>
        <v>257</v>
      </c>
      <c r="I23">
        <f>4+4</f>
        <v>8</v>
      </c>
      <c r="K23">
        <v>249</v>
      </c>
    </row>
    <row r="24" spans="1:18" x14ac:dyDescent="0.2">
      <c r="A24" t="s">
        <v>462</v>
      </c>
    </row>
    <row r="25" spans="1:18" x14ac:dyDescent="0.2">
      <c r="A25" t="s">
        <v>463</v>
      </c>
    </row>
    <row r="26" spans="1:18" x14ac:dyDescent="0.2">
      <c r="A26" t="s">
        <v>336</v>
      </c>
      <c r="C26">
        <v>2</v>
      </c>
      <c r="H26">
        <v>2</v>
      </c>
      <c r="K26">
        <v>0</v>
      </c>
      <c r="O26" s="35">
        <f t="shared" si="0"/>
        <v>0.25</v>
      </c>
      <c r="R26" s="35">
        <f>Receipts!F59</f>
        <v>0.5</v>
      </c>
    </row>
    <row r="27" spans="1:18" x14ac:dyDescent="0.2">
      <c r="A27" t="s">
        <v>464</v>
      </c>
    </row>
    <row r="28" spans="1:18" x14ac:dyDescent="0.2">
      <c r="A28" t="s">
        <v>465</v>
      </c>
    </row>
    <row r="29" spans="1:18" x14ac:dyDescent="0.2">
      <c r="A29" t="s">
        <v>466</v>
      </c>
    </row>
    <row r="30" spans="1:18" x14ac:dyDescent="0.2">
      <c r="A30" t="s">
        <v>467</v>
      </c>
    </row>
    <row r="31" spans="1:18" s="63" customFormat="1" ht="16" x14ac:dyDescent="0.2">
      <c r="A31" s="41" t="s">
        <v>543</v>
      </c>
      <c r="O31" s="65"/>
      <c r="R31" s="63">
        <f>SUM(R5:R30)</f>
        <v>3.7199999999999998</v>
      </c>
    </row>
    <row r="34" spans="1:20" ht="17" x14ac:dyDescent="0.2">
      <c r="A34" s="40" t="s">
        <v>470</v>
      </c>
    </row>
    <row r="35" spans="1:20" x14ac:dyDescent="0.2">
      <c r="A35" t="s">
        <v>634</v>
      </c>
      <c r="C35">
        <v>533</v>
      </c>
      <c r="J35">
        <f>63+1+570</f>
        <v>634</v>
      </c>
      <c r="O35" s="35">
        <v>0.02</v>
      </c>
      <c r="T35">
        <f>O35*J35</f>
        <v>12.68</v>
      </c>
    </row>
    <row r="36" spans="1:20" x14ac:dyDescent="0.2">
      <c r="A36" t="s">
        <v>635</v>
      </c>
      <c r="C36">
        <v>243</v>
      </c>
      <c r="J36">
        <v>243</v>
      </c>
      <c r="O36" s="35">
        <v>0.01</v>
      </c>
      <c r="T36">
        <f>O36*J36</f>
        <v>2.4300000000000002</v>
      </c>
    </row>
    <row r="37" spans="1:20" x14ac:dyDescent="0.2">
      <c r="A37" t="s">
        <v>474</v>
      </c>
    </row>
    <row r="38" spans="1:20" x14ac:dyDescent="0.2">
      <c r="A38" t="s">
        <v>475</v>
      </c>
    </row>
    <row r="39" spans="1:20" s="63" customFormat="1" ht="16" x14ac:dyDescent="0.2">
      <c r="A39" s="41" t="s">
        <v>544</v>
      </c>
      <c r="O39" s="65"/>
      <c r="T39" s="63">
        <f>SUM(T35:T38)</f>
        <v>15.11</v>
      </c>
    </row>
    <row r="42" spans="1:20" ht="17" x14ac:dyDescent="0.2">
      <c r="A42" s="40" t="s">
        <v>476</v>
      </c>
    </row>
    <row r="43" spans="1:20" x14ac:dyDescent="0.2">
      <c r="A43" t="s">
        <v>477</v>
      </c>
    </row>
    <row r="44" spans="1:20" x14ac:dyDescent="0.2">
      <c r="A44" t="s">
        <v>545</v>
      </c>
    </row>
    <row r="45" spans="1:20" x14ac:dyDescent="0.2">
      <c r="A45" t="s">
        <v>546</v>
      </c>
    </row>
    <row r="46" spans="1:20" x14ac:dyDescent="0.2">
      <c r="A46" t="s">
        <v>547</v>
      </c>
    </row>
    <row r="47" spans="1:20" x14ac:dyDescent="0.2">
      <c r="A47" s="42" t="s">
        <v>548</v>
      </c>
    </row>
    <row r="48" spans="1:20" x14ac:dyDescent="0.2">
      <c r="A48" t="s">
        <v>636</v>
      </c>
    </row>
    <row r="49" spans="1:18" x14ac:dyDescent="0.2">
      <c r="A49" s="43" t="s">
        <v>549</v>
      </c>
      <c r="C49">
        <v>4</v>
      </c>
      <c r="H49">
        <v>4</v>
      </c>
      <c r="O49" s="35">
        <f>R49/H49</f>
        <v>1.4999999999999999E-2</v>
      </c>
      <c r="R49" s="35">
        <f>Receipts!F53</f>
        <v>0.06</v>
      </c>
    </row>
    <row r="50" spans="1:18" x14ac:dyDescent="0.2">
      <c r="A50" s="43" t="s">
        <v>550</v>
      </c>
    </row>
    <row r="51" spans="1:18" x14ac:dyDescent="0.2">
      <c r="A51" s="43" t="s">
        <v>551</v>
      </c>
    </row>
    <row r="52" spans="1:18" x14ac:dyDescent="0.2">
      <c r="A52" s="43" t="s">
        <v>552</v>
      </c>
      <c r="C52">
        <v>31</v>
      </c>
      <c r="H52">
        <v>31</v>
      </c>
      <c r="O52" s="35">
        <f t="shared" ref="O52" si="1">R52/H52</f>
        <v>6.1290322580645163E-3</v>
      </c>
      <c r="R52" s="35">
        <f>Receipts!F54</f>
        <v>0.19</v>
      </c>
    </row>
    <row r="53" spans="1:18" x14ac:dyDescent="0.2">
      <c r="A53" s="44" t="s">
        <v>637</v>
      </c>
      <c r="C53">
        <f>SUM(C49:C52)</f>
        <v>35</v>
      </c>
      <c r="H53">
        <v>32</v>
      </c>
    </row>
    <row r="54" spans="1:18" x14ac:dyDescent="0.2">
      <c r="A54" s="45" t="s">
        <v>337</v>
      </c>
    </row>
    <row r="55" spans="1:18" x14ac:dyDescent="0.2">
      <c r="A55" s="43" t="s">
        <v>549</v>
      </c>
      <c r="C55">
        <v>2</v>
      </c>
      <c r="H55">
        <v>2</v>
      </c>
    </row>
    <row r="56" spans="1:18" x14ac:dyDescent="0.2">
      <c r="A56" s="43" t="s">
        <v>550</v>
      </c>
    </row>
    <row r="57" spans="1:18" x14ac:dyDescent="0.2">
      <c r="A57" s="43" t="s">
        <v>551</v>
      </c>
    </row>
    <row r="58" spans="1:18" x14ac:dyDescent="0.2">
      <c r="A58" s="43" t="s">
        <v>552</v>
      </c>
      <c r="C58">
        <v>2</v>
      </c>
      <c r="H58">
        <v>2</v>
      </c>
    </row>
    <row r="59" spans="1:18" x14ac:dyDescent="0.2">
      <c r="A59" s="44" t="s">
        <v>493</v>
      </c>
      <c r="C59">
        <f>SUM(C55:C58)</f>
        <v>4</v>
      </c>
      <c r="H59">
        <f>SUM(H55:H58)</f>
        <v>4</v>
      </c>
      <c r="O59" s="35">
        <f>R59/H59</f>
        <v>2.5000000000000001E-3</v>
      </c>
      <c r="R59" s="35">
        <f>Receipts!F55</f>
        <v>0.01</v>
      </c>
    </row>
    <row r="60" spans="1:18" x14ac:dyDescent="0.2">
      <c r="A60" t="s">
        <v>338</v>
      </c>
    </row>
    <row r="61" spans="1:18" x14ac:dyDescent="0.2">
      <c r="A61" t="s">
        <v>494</v>
      </c>
    </row>
    <row r="62" spans="1:18" x14ac:dyDescent="0.2">
      <c r="A62" t="s">
        <v>495</v>
      </c>
    </row>
    <row r="63" spans="1:18" s="63" customFormat="1" x14ac:dyDescent="0.2">
      <c r="A63" s="63" t="s">
        <v>553</v>
      </c>
      <c r="O63" s="65"/>
      <c r="R63" s="63">
        <f>SUM(R44:R62)</f>
        <v>0.26</v>
      </c>
    </row>
    <row r="66" spans="1:18" ht="17" x14ac:dyDescent="0.2">
      <c r="A66" s="40" t="s">
        <v>339</v>
      </c>
    </row>
    <row r="67" spans="1:18" ht="16" x14ac:dyDescent="0.2">
      <c r="A67" s="39" t="s">
        <v>496</v>
      </c>
      <c r="F67">
        <v>140</v>
      </c>
      <c r="G67">
        <v>23</v>
      </c>
      <c r="H67">
        <v>117</v>
      </c>
      <c r="R67" s="35">
        <f>Receipts!F57</f>
        <v>0.49</v>
      </c>
    </row>
    <row r="68" spans="1:18" x14ac:dyDescent="0.2">
      <c r="A68" t="s">
        <v>497</v>
      </c>
    </row>
    <row r="69" spans="1:18" x14ac:dyDescent="0.2">
      <c r="A69" t="s">
        <v>498</v>
      </c>
    </row>
    <row r="70" spans="1:18" x14ac:dyDescent="0.2">
      <c r="A70" t="s">
        <v>499</v>
      </c>
    </row>
    <row r="71" spans="1:18" s="63" customFormat="1" x14ac:dyDescent="0.2">
      <c r="A71" s="63" t="s">
        <v>554</v>
      </c>
      <c r="O71" s="65"/>
      <c r="R71" s="65">
        <f>SUM(R67:R70)</f>
        <v>0.49</v>
      </c>
    </row>
    <row r="72" spans="1:18" x14ac:dyDescent="0.2">
      <c r="A72" s="46" t="s">
        <v>555</v>
      </c>
    </row>
    <row r="74" spans="1:18" ht="16" x14ac:dyDescent="0.2">
      <c r="A74" s="10" t="s">
        <v>340</v>
      </c>
    </row>
    <row r="75" spans="1:18" x14ac:dyDescent="0.2">
      <c r="A75" t="s">
        <v>500</v>
      </c>
      <c r="F75">
        <v>800</v>
      </c>
      <c r="H75">
        <v>800</v>
      </c>
      <c r="O75" s="35">
        <f>R75/H75</f>
        <v>1.3750000000000001E-4</v>
      </c>
      <c r="R75" s="35">
        <f>Receipts!F58</f>
        <v>0.11</v>
      </c>
    </row>
    <row r="76" spans="1:18" x14ac:dyDescent="0.2">
      <c r="A76" t="s">
        <v>501</v>
      </c>
    </row>
    <row r="77" spans="1:18" x14ac:dyDescent="0.2">
      <c r="A77" t="s">
        <v>502</v>
      </c>
    </row>
    <row r="78" spans="1:18" s="63" customFormat="1" x14ac:dyDescent="0.2">
      <c r="A78" s="63" t="s">
        <v>319</v>
      </c>
      <c r="O78" s="65"/>
      <c r="R78" s="63">
        <f>SUM(R73:R77)</f>
        <v>0.11</v>
      </c>
    </row>
    <row r="81" spans="1:1" ht="16" x14ac:dyDescent="0.2">
      <c r="A81" s="10" t="s">
        <v>556</v>
      </c>
    </row>
    <row r="82" spans="1:1" x14ac:dyDescent="0.2">
      <c r="A82" t="s">
        <v>557</v>
      </c>
    </row>
    <row r="83" spans="1:1" x14ac:dyDescent="0.2">
      <c r="A83" t="s">
        <v>558</v>
      </c>
    </row>
    <row r="84" spans="1:1" x14ac:dyDescent="0.2">
      <c r="A84" t="s">
        <v>559</v>
      </c>
    </row>
    <row r="85" spans="1:1" ht="16" x14ac:dyDescent="0.2">
      <c r="A85" s="47" t="s">
        <v>553</v>
      </c>
    </row>
    <row r="87" spans="1:1" ht="16" x14ac:dyDescent="0.2">
      <c r="A87" s="10" t="s">
        <v>560</v>
      </c>
    </row>
    <row r="88" spans="1:1" x14ac:dyDescent="0.2">
      <c r="A88" t="s">
        <v>561</v>
      </c>
    </row>
    <row r="89" spans="1:1" x14ac:dyDescent="0.2">
      <c r="A89" t="s">
        <v>562</v>
      </c>
    </row>
    <row r="90" spans="1:1" ht="16" x14ac:dyDescent="0.2">
      <c r="A90" s="47" t="s">
        <v>319</v>
      </c>
    </row>
    <row r="92" spans="1:1" ht="16" x14ac:dyDescent="0.2">
      <c r="A92" s="10" t="s">
        <v>505</v>
      </c>
    </row>
    <row r="93" spans="1:1" x14ac:dyDescent="0.2">
      <c r="A93" t="s">
        <v>505</v>
      </c>
    </row>
    <row r="94" spans="1:1" ht="16" x14ac:dyDescent="0.2">
      <c r="A94" s="47" t="s">
        <v>319</v>
      </c>
    </row>
    <row r="95" spans="1:1" ht="16" x14ac:dyDescent="0.2">
      <c r="A95" s="48"/>
    </row>
    <row r="96" spans="1:1" ht="16" x14ac:dyDescent="0.2">
      <c r="A96" s="47" t="s">
        <v>563</v>
      </c>
    </row>
    <row r="99" spans="1:1" ht="16" x14ac:dyDescent="0.2">
      <c r="A99" s="10" t="s">
        <v>564</v>
      </c>
    </row>
    <row r="102" spans="1:1" ht="16" x14ac:dyDescent="0.2">
      <c r="A102" s="48" t="s">
        <v>565</v>
      </c>
    </row>
    <row r="103" spans="1:1" ht="16" x14ac:dyDescent="0.2">
      <c r="A103" s="10" t="s">
        <v>566</v>
      </c>
    </row>
    <row r="104" spans="1:1" x14ac:dyDescent="0.2">
      <c r="A104" t="s">
        <v>567</v>
      </c>
    </row>
    <row r="105" spans="1:1" x14ac:dyDescent="0.2">
      <c r="A105" t="s">
        <v>568</v>
      </c>
    </row>
    <row r="106" spans="1:1" x14ac:dyDescent="0.2">
      <c r="A106" t="s">
        <v>569</v>
      </c>
    </row>
    <row r="107" spans="1:1" x14ac:dyDescent="0.2">
      <c r="A107" t="s">
        <v>570</v>
      </c>
    </row>
    <row r="108" spans="1:1" x14ac:dyDescent="0.2">
      <c r="A108" t="s">
        <v>571</v>
      </c>
    </row>
    <row r="109" spans="1:1" x14ac:dyDescent="0.2">
      <c r="A109" t="s">
        <v>572</v>
      </c>
    </row>
    <row r="110" spans="1:1" x14ac:dyDescent="0.2">
      <c r="A110" t="s">
        <v>573</v>
      </c>
    </row>
    <row r="111" spans="1:1" x14ac:dyDescent="0.2">
      <c r="A111" t="s">
        <v>574</v>
      </c>
    </row>
    <row r="112" spans="1:1" x14ac:dyDescent="0.2">
      <c r="A112" t="s">
        <v>575</v>
      </c>
    </row>
    <row r="113" spans="1:1" x14ac:dyDescent="0.2">
      <c r="A113" t="s">
        <v>576</v>
      </c>
    </row>
    <row r="114" spans="1:1" x14ac:dyDescent="0.2">
      <c r="A114" t="s">
        <v>577</v>
      </c>
    </row>
    <row r="115" spans="1:1" x14ac:dyDescent="0.2">
      <c r="A115" t="s">
        <v>578</v>
      </c>
    </row>
    <row r="116" spans="1:1" x14ac:dyDescent="0.2">
      <c r="A116" t="s">
        <v>579</v>
      </c>
    </row>
    <row r="117" spans="1:1" x14ac:dyDescent="0.2">
      <c r="A117" t="s">
        <v>580</v>
      </c>
    </row>
    <row r="118" spans="1:1" x14ac:dyDescent="0.2">
      <c r="A118" t="s">
        <v>581</v>
      </c>
    </row>
    <row r="119" spans="1:1" x14ac:dyDescent="0.2">
      <c r="A119" t="s">
        <v>582</v>
      </c>
    </row>
    <row r="120" spans="1:1" x14ac:dyDescent="0.2">
      <c r="A120" t="s">
        <v>583</v>
      </c>
    </row>
    <row r="121" spans="1:1" x14ac:dyDescent="0.2">
      <c r="A121" t="s">
        <v>584</v>
      </c>
    </row>
    <row r="122" spans="1:1" x14ac:dyDescent="0.2">
      <c r="A122" t="s">
        <v>585</v>
      </c>
    </row>
    <row r="123" spans="1:1" x14ac:dyDescent="0.2">
      <c r="A123" t="s">
        <v>586</v>
      </c>
    </row>
    <row r="124" spans="1:1" x14ac:dyDescent="0.2">
      <c r="A124" t="s">
        <v>587</v>
      </c>
    </row>
    <row r="125" spans="1:1" x14ac:dyDescent="0.2">
      <c r="A125" t="s">
        <v>588</v>
      </c>
    </row>
    <row r="126" spans="1:1" x14ac:dyDescent="0.2">
      <c r="A126" t="s">
        <v>589</v>
      </c>
    </row>
    <row r="127" spans="1:1" x14ac:dyDescent="0.2">
      <c r="A127" t="s">
        <v>590</v>
      </c>
    </row>
    <row r="128" spans="1:1" x14ac:dyDescent="0.2">
      <c r="A128" t="s">
        <v>591</v>
      </c>
    </row>
  </sheetData>
  <mergeCells count="2">
    <mergeCell ref="C3:F3"/>
    <mergeCell ref="G3:J3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1"/>
  <sheetViews>
    <sheetView topLeftCell="A120" workbookViewId="0">
      <selection activeCell="A146" sqref="A146:F150"/>
    </sheetView>
  </sheetViews>
  <sheetFormatPr baseColWidth="10" defaultColWidth="8.83203125" defaultRowHeight="15" x14ac:dyDescent="0.2"/>
  <cols>
    <col min="1" max="1" width="30.5" bestFit="1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>
        <v>16.66</v>
      </c>
      <c r="D2">
        <v>16</v>
      </c>
      <c r="E2">
        <v>13</v>
      </c>
      <c r="F2">
        <v>2.75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4" x14ac:dyDescent="0.2">
      <c r="A3" t="s">
        <v>34</v>
      </c>
      <c r="B3" t="s">
        <v>36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4" x14ac:dyDescent="0.2">
      <c r="A4" t="s">
        <v>34</v>
      </c>
      <c r="B4" t="s">
        <v>37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4" x14ac:dyDescent="0.2">
      <c r="A5" t="s">
        <v>38</v>
      </c>
      <c r="B5" t="s">
        <v>39</v>
      </c>
      <c r="C5">
        <v>1.86</v>
      </c>
      <c r="D5">
        <v>1</v>
      </c>
      <c r="E5">
        <v>17</v>
      </c>
      <c r="F5">
        <v>3.5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4" x14ac:dyDescent="0.2">
      <c r="A6" t="s">
        <v>38</v>
      </c>
      <c r="B6" t="s">
        <v>40</v>
      </c>
      <c r="C6">
        <v>1.86</v>
      </c>
      <c r="D6">
        <v>1</v>
      </c>
      <c r="E6">
        <v>17</v>
      </c>
      <c r="F6">
        <v>3.5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4" x14ac:dyDescent="0.2">
      <c r="A7" t="s">
        <v>38</v>
      </c>
      <c r="B7" t="s">
        <v>41</v>
      </c>
      <c r="C7">
        <v>1.86</v>
      </c>
      <c r="D7">
        <v>1</v>
      </c>
      <c r="E7">
        <v>17</v>
      </c>
      <c r="F7">
        <v>3.5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4" x14ac:dyDescent="0.2">
      <c r="A8" t="s">
        <v>38</v>
      </c>
      <c r="B8" t="s">
        <v>42</v>
      </c>
      <c r="C8">
        <v>6.36</v>
      </c>
      <c r="D8">
        <v>6</v>
      </c>
      <c r="E8">
        <v>7</v>
      </c>
      <c r="F8">
        <v>3.5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4" x14ac:dyDescent="0.2">
      <c r="A9" t="s">
        <v>38</v>
      </c>
      <c r="B9" t="s">
        <v>43</v>
      </c>
      <c r="C9">
        <v>11.96</v>
      </c>
      <c r="D9">
        <v>11</v>
      </c>
      <c r="E9">
        <v>19</v>
      </c>
      <c r="F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4" x14ac:dyDescent="0.2">
      <c r="A10" t="s">
        <v>44</v>
      </c>
      <c r="B10" t="s">
        <v>45</v>
      </c>
      <c r="C10">
        <v>0.17</v>
      </c>
      <c r="D10">
        <v>0</v>
      </c>
      <c r="E10">
        <v>3</v>
      </c>
      <c r="F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4" x14ac:dyDescent="0.2">
      <c r="A11" t="s">
        <v>44</v>
      </c>
      <c r="B11" t="s">
        <v>46</v>
      </c>
      <c r="C11">
        <v>0.1</v>
      </c>
      <c r="D11">
        <v>0</v>
      </c>
      <c r="E11">
        <v>2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4" x14ac:dyDescent="0.2">
      <c r="A12" t="s">
        <v>44</v>
      </c>
      <c r="B12" t="s">
        <v>47</v>
      </c>
      <c r="C12">
        <v>0.3</v>
      </c>
      <c r="D12">
        <v>0</v>
      </c>
      <c r="E12">
        <v>6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4" x14ac:dyDescent="0.2">
      <c r="A13" t="s">
        <v>44</v>
      </c>
      <c r="B13" t="s">
        <v>48</v>
      </c>
      <c r="C13">
        <v>0.06</v>
      </c>
      <c r="D13">
        <v>0</v>
      </c>
      <c r="E13">
        <v>1</v>
      </c>
      <c r="F1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4" x14ac:dyDescent="0.2">
      <c r="A14" t="s">
        <v>44</v>
      </c>
      <c r="B14" t="s">
        <v>49</v>
      </c>
      <c r="C14">
        <v>0.1</v>
      </c>
      <c r="D14">
        <v>0</v>
      </c>
      <c r="E14">
        <v>2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4" x14ac:dyDescent="0.2">
      <c r="A15" t="s">
        <v>44</v>
      </c>
      <c r="B15" t="s">
        <v>50</v>
      </c>
      <c r="C15">
        <v>0.1</v>
      </c>
      <c r="D15">
        <v>0</v>
      </c>
      <c r="E15">
        <v>2</v>
      </c>
      <c r="F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4" x14ac:dyDescent="0.2">
      <c r="A16" t="s">
        <v>44</v>
      </c>
      <c r="B16" t="s">
        <v>51</v>
      </c>
      <c r="C16">
        <v>0.06</v>
      </c>
      <c r="D16">
        <v>0</v>
      </c>
      <c r="E16">
        <v>1</v>
      </c>
      <c r="F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52</v>
      </c>
      <c r="B17" t="s">
        <v>53</v>
      </c>
      <c r="C17">
        <v>0.02</v>
      </c>
      <c r="D17">
        <v>0</v>
      </c>
      <c r="E17">
        <v>0</v>
      </c>
      <c r="F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52</v>
      </c>
      <c r="B18" t="s">
        <v>54</v>
      </c>
      <c r="C18">
        <v>0.02</v>
      </c>
      <c r="D18">
        <v>0</v>
      </c>
      <c r="E18">
        <v>0</v>
      </c>
      <c r="F18">
        <v>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55</v>
      </c>
      <c r="B19" t="s">
        <v>56</v>
      </c>
      <c r="C19">
        <v>0.92</v>
      </c>
      <c r="D19">
        <v>0</v>
      </c>
      <c r="E19">
        <v>18</v>
      </c>
      <c r="F19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57</v>
      </c>
      <c r="B20" t="s">
        <v>58</v>
      </c>
      <c r="C20">
        <v>11.04</v>
      </c>
      <c r="D20">
        <v>11</v>
      </c>
      <c r="E20">
        <v>0</v>
      </c>
      <c r="F20">
        <v>10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59</v>
      </c>
      <c r="B21" t="s">
        <v>60</v>
      </c>
      <c r="C21">
        <v>0.35</v>
      </c>
      <c r="D21">
        <v>0</v>
      </c>
      <c r="E21">
        <v>7</v>
      </c>
      <c r="F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59</v>
      </c>
      <c r="B22" t="s">
        <v>61</v>
      </c>
      <c r="C22">
        <v>0.17</v>
      </c>
      <c r="D22">
        <v>0</v>
      </c>
      <c r="E22">
        <v>3</v>
      </c>
      <c r="F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59</v>
      </c>
      <c r="B23" t="s">
        <v>62</v>
      </c>
      <c r="C23">
        <v>0.53</v>
      </c>
      <c r="D23">
        <v>0</v>
      </c>
      <c r="E23">
        <v>10</v>
      </c>
      <c r="F23">
        <v>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63</v>
      </c>
      <c r="B24" t="s">
        <v>64</v>
      </c>
      <c r="C24">
        <v>0.77</v>
      </c>
      <c r="D24">
        <v>0</v>
      </c>
      <c r="E24">
        <v>15</v>
      </c>
      <c r="F24">
        <v>5.5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63</v>
      </c>
      <c r="B25" t="s">
        <v>65</v>
      </c>
      <c r="C25">
        <v>0</v>
      </c>
      <c r="D25">
        <v>0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63</v>
      </c>
      <c r="B26" t="s">
        <v>66</v>
      </c>
      <c r="C26">
        <v>0.31</v>
      </c>
      <c r="D26">
        <v>0</v>
      </c>
      <c r="E26">
        <v>6</v>
      </c>
      <c r="F26">
        <v>2.5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63</v>
      </c>
      <c r="B27" t="s">
        <v>67</v>
      </c>
      <c r="C27">
        <v>0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63</v>
      </c>
      <c r="B28" t="s">
        <v>68</v>
      </c>
      <c r="C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63</v>
      </c>
      <c r="B29" t="s">
        <v>69</v>
      </c>
      <c r="C29">
        <v>0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63</v>
      </c>
      <c r="B30" t="s">
        <v>70</v>
      </c>
      <c r="C30">
        <v>0.15</v>
      </c>
      <c r="D30">
        <v>0</v>
      </c>
      <c r="E30">
        <v>3</v>
      </c>
      <c r="F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63</v>
      </c>
      <c r="B31" t="s">
        <v>71</v>
      </c>
      <c r="C31">
        <v>0.04</v>
      </c>
      <c r="D31">
        <v>0</v>
      </c>
      <c r="E31">
        <v>0</v>
      </c>
      <c r="F31">
        <v>8.5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63</v>
      </c>
      <c r="B32" t="s">
        <v>72</v>
      </c>
      <c r="C32">
        <v>0.8</v>
      </c>
      <c r="D32">
        <v>0</v>
      </c>
      <c r="E32">
        <v>16</v>
      </c>
      <c r="F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22" x14ac:dyDescent="0.2">
      <c r="A33" t="s">
        <v>63</v>
      </c>
      <c r="B33" t="s">
        <v>73</v>
      </c>
      <c r="C33">
        <v>0.35</v>
      </c>
      <c r="D33">
        <v>0</v>
      </c>
      <c r="E33">
        <v>7</v>
      </c>
      <c r="F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2" x14ac:dyDescent="0.2">
      <c r="A34" t="s">
        <v>63</v>
      </c>
      <c r="B34" t="s">
        <v>74</v>
      </c>
      <c r="C34">
        <v>1.57</v>
      </c>
      <c r="D34">
        <v>1</v>
      </c>
      <c r="E34">
        <v>11</v>
      </c>
      <c r="F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22" x14ac:dyDescent="0.2">
      <c r="A35" t="s">
        <v>63</v>
      </c>
      <c r="B35" t="s">
        <v>75</v>
      </c>
      <c r="C35">
        <v>0.5</v>
      </c>
      <c r="D35">
        <v>0</v>
      </c>
      <c r="E35">
        <v>10</v>
      </c>
      <c r="F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2" x14ac:dyDescent="0.2">
      <c r="A36" t="s">
        <v>63</v>
      </c>
      <c r="B36" t="s">
        <v>76</v>
      </c>
      <c r="C36">
        <v>0.06</v>
      </c>
      <c r="D36">
        <v>0</v>
      </c>
      <c r="E36">
        <v>1</v>
      </c>
      <c r="F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22" x14ac:dyDescent="0.2">
      <c r="A37" t="s">
        <v>63</v>
      </c>
      <c r="B37" t="s">
        <v>77</v>
      </c>
      <c r="C37">
        <v>0.19</v>
      </c>
      <c r="D37">
        <v>0</v>
      </c>
      <c r="E37">
        <v>3</v>
      </c>
      <c r="F37">
        <v>10.5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2" x14ac:dyDescent="0.2">
      <c r="A38" t="s">
        <v>63</v>
      </c>
      <c r="B38" t="s">
        <v>78</v>
      </c>
      <c r="C38">
        <v>0.01</v>
      </c>
      <c r="D38">
        <v>0</v>
      </c>
      <c r="E38">
        <v>0</v>
      </c>
      <c r="F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2" x14ac:dyDescent="0.2">
      <c r="A39" t="s">
        <v>63</v>
      </c>
      <c r="B39" t="s">
        <v>79</v>
      </c>
      <c r="C39">
        <v>0.03</v>
      </c>
      <c r="D39">
        <v>0</v>
      </c>
      <c r="E39">
        <v>0</v>
      </c>
      <c r="F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2" x14ac:dyDescent="0.2">
      <c r="A40" t="s">
        <v>63</v>
      </c>
      <c r="B40" t="s">
        <v>80</v>
      </c>
      <c r="C40">
        <v>0.49</v>
      </c>
      <c r="D40">
        <v>0</v>
      </c>
      <c r="E40">
        <v>9</v>
      </c>
      <c r="F40">
        <v>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2" x14ac:dyDescent="0.2">
      <c r="A41" t="s">
        <v>63</v>
      </c>
      <c r="B41" t="s">
        <v>81</v>
      </c>
      <c r="C41">
        <v>0.11</v>
      </c>
      <c r="D41">
        <v>0</v>
      </c>
      <c r="E41">
        <v>2</v>
      </c>
      <c r="F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22" x14ac:dyDescent="0.2">
      <c r="A42" t="s">
        <v>63</v>
      </c>
      <c r="B42" t="s">
        <v>82</v>
      </c>
      <c r="C42">
        <v>5.87</v>
      </c>
      <c r="D42">
        <v>5</v>
      </c>
      <c r="E42">
        <v>17</v>
      </c>
      <c r="F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22" x14ac:dyDescent="0.2">
      <c r="A43" t="s">
        <v>83</v>
      </c>
      <c r="B43" t="s">
        <v>84</v>
      </c>
      <c r="C43">
        <v>0.01</v>
      </c>
      <c r="D43">
        <v>0</v>
      </c>
      <c r="E43">
        <v>0</v>
      </c>
      <c r="F43">
        <v>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22" x14ac:dyDescent="0.2">
      <c r="A44" t="s">
        <v>83</v>
      </c>
      <c r="B44" t="s">
        <v>85</v>
      </c>
      <c r="C44">
        <v>0.01</v>
      </c>
      <c r="D44">
        <v>0</v>
      </c>
      <c r="E44">
        <v>0</v>
      </c>
      <c r="F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22" x14ac:dyDescent="0.2">
      <c r="A45" t="s">
        <v>83</v>
      </c>
      <c r="B45" t="s">
        <v>86</v>
      </c>
      <c r="C45">
        <v>0.03</v>
      </c>
      <c r="D45">
        <v>0</v>
      </c>
      <c r="E45">
        <v>0</v>
      </c>
      <c r="F45">
        <v>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22" x14ac:dyDescent="0.2">
      <c r="A46" t="s">
        <v>83</v>
      </c>
      <c r="B46" t="s">
        <v>87</v>
      </c>
      <c r="C46">
        <v>0.03</v>
      </c>
      <c r="D46">
        <v>0</v>
      </c>
      <c r="E46">
        <v>0</v>
      </c>
      <c r="F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22" x14ac:dyDescent="0.2">
      <c r="A47" t="s">
        <v>83</v>
      </c>
      <c r="B47" t="s">
        <v>88</v>
      </c>
      <c r="C47">
        <v>0.08</v>
      </c>
      <c r="D47">
        <v>0</v>
      </c>
      <c r="E47">
        <v>1</v>
      </c>
      <c r="F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22" x14ac:dyDescent="0.2">
      <c r="A48" t="s">
        <v>89</v>
      </c>
      <c r="B48" t="s">
        <v>90</v>
      </c>
      <c r="C48">
        <v>17</v>
      </c>
      <c r="D48">
        <v>17</v>
      </c>
      <c r="E48">
        <v>0</v>
      </c>
      <c r="F48">
        <v>0</v>
      </c>
      <c r="G48" t="s">
        <v>91</v>
      </c>
      <c r="H48">
        <v>52</v>
      </c>
      <c r="I48">
        <v>8</v>
      </c>
      <c r="J48">
        <v>53</v>
      </c>
      <c r="K48">
        <v>53</v>
      </c>
      <c r="L48">
        <v>0</v>
      </c>
      <c r="M48">
        <v>53</v>
      </c>
      <c r="N48">
        <v>0</v>
      </c>
      <c r="O48">
        <v>2</v>
      </c>
      <c r="P48">
        <v>7</v>
      </c>
      <c r="Q48">
        <v>50</v>
      </c>
      <c r="R48">
        <v>1</v>
      </c>
      <c r="S48">
        <v>6</v>
      </c>
      <c r="T48">
        <v>0</v>
      </c>
      <c r="U48">
        <v>6</v>
      </c>
      <c r="V48">
        <v>8</v>
      </c>
    </row>
    <row r="49" spans="1:20" x14ac:dyDescent="0.2">
      <c r="A49" t="s">
        <v>89</v>
      </c>
      <c r="B49" t="s">
        <v>92</v>
      </c>
      <c r="C49">
        <v>0.2</v>
      </c>
      <c r="D49">
        <v>0</v>
      </c>
      <c r="E49">
        <v>4</v>
      </c>
      <c r="F49">
        <v>0</v>
      </c>
      <c r="G49" t="s">
        <v>93</v>
      </c>
      <c r="H49">
        <v>1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</row>
    <row r="50" spans="1:20" x14ac:dyDescent="0.2">
      <c r="A50" t="s">
        <v>89</v>
      </c>
      <c r="B50" t="s">
        <v>94</v>
      </c>
      <c r="C50">
        <v>1.51</v>
      </c>
      <c r="D50">
        <v>1</v>
      </c>
      <c r="E50">
        <v>10</v>
      </c>
      <c r="F50">
        <v>3</v>
      </c>
      <c r="H50">
        <v>7</v>
      </c>
      <c r="I50">
        <v>4.5</v>
      </c>
      <c r="J50">
        <v>7.5625</v>
      </c>
      <c r="K50">
        <v>7.5625</v>
      </c>
      <c r="L50">
        <v>0</v>
      </c>
      <c r="M50">
        <v>7</v>
      </c>
      <c r="N50">
        <v>4.5</v>
      </c>
      <c r="S50">
        <v>4</v>
      </c>
      <c r="T50">
        <v>0</v>
      </c>
    </row>
    <row r="51" spans="1:20" x14ac:dyDescent="0.2">
      <c r="A51" t="s">
        <v>89</v>
      </c>
      <c r="B51" t="s">
        <v>95</v>
      </c>
      <c r="C51">
        <v>2.67</v>
      </c>
      <c r="D51">
        <v>2</v>
      </c>
      <c r="E51">
        <v>13</v>
      </c>
      <c r="F51">
        <v>6</v>
      </c>
      <c r="G51" t="s">
        <v>96</v>
      </c>
      <c r="H51">
        <v>13</v>
      </c>
      <c r="I51">
        <v>3</v>
      </c>
      <c r="J51">
        <v>13.375</v>
      </c>
      <c r="K51">
        <v>13.375</v>
      </c>
      <c r="L51">
        <v>0</v>
      </c>
      <c r="M51">
        <v>13</v>
      </c>
      <c r="N51">
        <v>3</v>
      </c>
      <c r="S51">
        <v>4</v>
      </c>
      <c r="T51">
        <v>0</v>
      </c>
    </row>
    <row r="52" spans="1:20" x14ac:dyDescent="0.2">
      <c r="A52" t="s">
        <v>89</v>
      </c>
      <c r="B52" t="s">
        <v>97</v>
      </c>
      <c r="C52">
        <v>3.25</v>
      </c>
      <c r="D52">
        <v>3</v>
      </c>
      <c r="E52">
        <v>5</v>
      </c>
      <c r="F52">
        <v>0</v>
      </c>
      <c r="G52" t="s">
        <v>98</v>
      </c>
      <c r="H52">
        <v>26</v>
      </c>
      <c r="I52">
        <v>0</v>
      </c>
      <c r="J52">
        <v>26</v>
      </c>
      <c r="K52">
        <v>26</v>
      </c>
      <c r="L52">
        <v>0</v>
      </c>
      <c r="M52">
        <v>26</v>
      </c>
      <c r="N52">
        <v>0</v>
      </c>
      <c r="S52">
        <v>2</v>
      </c>
      <c r="T52">
        <v>6</v>
      </c>
    </row>
    <row r="53" spans="1:20" x14ac:dyDescent="0.2">
      <c r="A53" t="s">
        <v>89</v>
      </c>
      <c r="B53" t="s">
        <v>99</v>
      </c>
      <c r="C53">
        <v>25.23</v>
      </c>
      <c r="D53">
        <v>25</v>
      </c>
      <c r="E53">
        <v>4</v>
      </c>
      <c r="F53">
        <v>8</v>
      </c>
      <c r="G53" t="s">
        <v>100</v>
      </c>
      <c r="H53">
        <v>0</v>
      </c>
      <c r="I53">
        <v>4</v>
      </c>
      <c r="J53">
        <v>0.5</v>
      </c>
      <c r="K53">
        <v>0.5</v>
      </c>
      <c r="L53">
        <v>0</v>
      </c>
      <c r="M53">
        <v>0</v>
      </c>
      <c r="N53">
        <v>4</v>
      </c>
    </row>
    <row r="54" spans="1:20" x14ac:dyDescent="0.2">
      <c r="A54" t="s">
        <v>101</v>
      </c>
      <c r="B54" t="s">
        <v>102</v>
      </c>
      <c r="C54">
        <v>0.67</v>
      </c>
      <c r="D54">
        <v>0</v>
      </c>
      <c r="E54">
        <v>13</v>
      </c>
      <c r="F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20" x14ac:dyDescent="0.2">
      <c r="A55" t="s">
        <v>101</v>
      </c>
      <c r="B55" t="s">
        <v>103</v>
      </c>
      <c r="C55">
        <v>2</v>
      </c>
      <c r="D55">
        <v>2</v>
      </c>
      <c r="E55">
        <v>0</v>
      </c>
      <c r="F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20" x14ac:dyDescent="0.2">
      <c r="A56" t="s">
        <v>101</v>
      </c>
      <c r="B56" t="s">
        <v>104</v>
      </c>
      <c r="C56">
        <v>0.05</v>
      </c>
      <c r="D56">
        <v>0</v>
      </c>
      <c r="E56">
        <v>1</v>
      </c>
      <c r="F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20" x14ac:dyDescent="0.2">
      <c r="A57" t="s">
        <v>101</v>
      </c>
      <c r="B57" t="s">
        <v>105</v>
      </c>
      <c r="C57">
        <v>0.2</v>
      </c>
      <c r="D57">
        <v>0</v>
      </c>
      <c r="E57">
        <v>4</v>
      </c>
      <c r="F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20" x14ac:dyDescent="0.2">
      <c r="A58" t="s">
        <v>101</v>
      </c>
      <c r="B58" t="s">
        <v>106</v>
      </c>
      <c r="C58">
        <v>0.5</v>
      </c>
      <c r="D58">
        <v>0</v>
      </c>
      <c r="E58">
        <v>10</v>
      </c>
      <c r="F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20" x14ac:dyDescent="0.2">
      <c r="A59" t="s">
        <v>101</v>
      </c>
      <c r="B59" t="s">
        <v>107</v>
      </c>
      <c r="C59">
        <v>1</v>
      </c>
      <c r="D59">
        <v>1</v>
      </c>
      <c r="E59">
        <v>0</v>
      </c>
      <c r="F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20" x14ac:dyDescent="0.2">
      <c r="A60" t="s">
        <v>101</v>
      </c>
      <c r="B60" t="s">
        <v>108</v>
      </c>
      <c r="C60">
        <v>4.42</v>
      </c>
      <c r="D60">
        <v>4</v>
      </c>
      <c r="E60">
        <v>8</v>
      </c>
      <c r="F60">
        <v>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20" x14ac:dyDescent="0.2">
      <c r="A61" t="s">
        <v>109</v>
      </c>
      <c r="B61" t="s">
        <v>110</v>
      </c>
      <c r="C61">
        <v>0.04</v>
      </c>
      <c r="D61">
        <v>0</v>
      </c>
      <c r="E61">
        <v>0</v>
      </c>
      <c r="F61">
        <v>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20" x14ac:dyDescent="0.2">
      <c r="A62" t="s">
        <v>109</v>
      </c>
      <c r="B62" t="s">
        <v>111</v>
      </c>
      <c r="C62">
        <v>0.03</v>
      </c>
      <c r="D62">
        <v>0</v>
      </c>
      <c r="E62">
        <v>0</v>
      </c>
      <c r="F62">
        <v>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20" x14ac:dyDescent="0.2">
      <c r="A63" t="s">
        <v>109</v>
      </c>
      <c r="B63" t="s">
        <v>112</v>
      </c>
      <c r="C63">
        <v>0.03</v>
      </c>
      <c r="D63">
        <v>0</v>
      </c>
      <c r="E63">
        <v>0</v>
      </c>
      <c r="F63">
        <v>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20" x14ac:dyDescent="0.2">
      <c r="A64" t="s">
        <v>109</v>
      </c>
      <c r="B64" t="s">
        <v>113</v>
      </c>
      <c r="C64">
        <v>0.04</v>
      </c>
      <c r="D64">
        <v>0</v>
      </c>
      <c r="E64">
        <v>0</v>
      </c>
      <c r="F64">
        <v>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">
      <c r="A65" t="s">
        <v>109</v>
      </c>
      <c r="B65" t="s">
        <v>114</v>
      </c>
      <c r="C65">
        <v>0.03</v>
      </c>
      <c r="D65">
        <v>0</v>
      </c>
      <c r="E65">
        <v>0</v>
      </c>
      <c r="F65">
        <v>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109</v>
      </c>
      <c r="B66" t="s">
        <v>115</v>
      </c>
      <c r="C66">
        <v>0.05</v>
      </c>
      <c r="D66">
        <v>0</v>
      </c>
      <c r="E66">
        <v>1</v>
      </c>
      <c r="F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109</v>
      </c>
      <c r="B67" t="s">
        <v>116</v>
      </c>
      <c r="C67">
        <v>0.03</v>
      </c>
      <c r="D67">
        <v>0</v>
      </c>
      <c r="E67">
        <v>0</v>
      </c>
      <c r="F67">
        <v>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109</v>
      </c>
      <c r="B68" t="s">
        <v>117</v>
      </c>
      <c r="C68">
        <v>0.08</v>
      </c>
      <c r="D68">
        <v>0</v>
      </c>
      <c r="E68">
        <v>1</v>
      </c>
      <c r="F68">
        <v>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109</v>
      </c>
      <c r="B69" t="s">
        <v>118</v>
      </c>
      <c r="C69">
        <v>0.03</v>
      </c>
      <c r="D69">
        <v>0</v>
      </c>
      <c r="E69">
        <v>0</v>
      </c>
      <c r="F69">
        <v>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109</v>
      </c>
      <c r="B70" t="s">
        <v>119</v>
      </c>
      <c r="C70">
        <v>0.03</v>
      </c>
      <c r="D70">
        <v>0</v>
      </c>
      <c r="E70">
        <v>0</v>
      </c>
      <c r="F70">
        <v>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109</v>
      </c>
      <c r="B71" t="s">
        <v>120</v>
      </c>
      <c r="C71">
        <v>0.14000000000000001</v>
      </c>
      <c r="D71">
        <v>0</v>
      </c>
      <c r="E71">
        <v>2</v>
      </c>
      <c r="F71">
        <v>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109</v>
      </c>
      <c r="B72" t="s">
        <v>121</v>
      </c>
      <c r="C72">
        <v>0.08</v>
      </c>
      <c r="D72">
        <v>0</v>
      </c>
      <c r="E72">
        <v>1</v>
      </c>
      <c r="F72">
        <v>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109</v>
      </c>
      <c r="B73" t="s">
        <v>122</v>
      </c>
      <c r="C73">
        <v>0.2</v>
      </c>
      <c r="D73">
        <v>0</v>
      </c>
      <c r="E73">
        <v>4</v>
      </c>
      <c r="F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109</v>
      </c>
      <c r="B74" t="s">
        <v>123</v>
      </c>
      <c r="C74">
        <v>0.1</v>
      </c>
      <c r="D74">
        <v>0</v>
      </c>
      <c r="E74">
        <v>2</v>
      </c>
      <c r="F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109</v>
      </c>
      <c r="B75" t="s">
        <v>124</v>
      </c>
      <c r="C75">
        <v>0.03</v>
      </c>
      <c r="D75">
        <v>0</v>
      </c>
      <c r="E75">
        <v>0</v>
      </c>
      <c r="F75">
        <v>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109</v>
      </c>
      <c r="B76" t="s">
        <v>125</v>
      </c>
      <c r="C76">
        <v>0.01</v>
      </c>
      <c r="D76">
        <v>0</v>
      </c>
      <c r="E76">
        <v>0</v>
      </c>
      <c r="F76">
        <v>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109</v>
      </c>
      <c r="B77" t="s">
        <v>126</v>
      </c>
      <c r="C77">
        <v>0.03</v>
      </c>
      <c r="D77">
        <v>0</v>
      </c>
      <c r="E77">
        <v>0</v>
      </c>
      <c r="F77">
        <v>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109</v>
      </c>
      <c r="B78" t="s">
        <v>127</v>
      </c>
      <c r="C78">
        <v>0.2</v>
      </c>
      <c r="D78">
        <v>0</v>
      </c>
      <c r="E78">
        <v>4</v>
      </c>
      <c r="F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109</v>
      </c>
      <c r="B79" t="s">
        <v>128</v>
      </c>
      <c r="C79">
        <v>0.03</v>
      </c>
      <c r="D79">
        <v>0</v>
      </c>
      <c r="E79">
        <v>0</v>
      </c>
      <c r="F79">
        <v>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109</v>
      </c>
      <c r="B80" t="s">
        <v>129</v>
      </c>
      <c r="C80">
        <v>0.17</v>
      </c>
      <c r="D80">
        <v>0</v>
      </c>
      <c r="E80">
        <v>3</v>
      </c>
      <c r="F80">
        <v>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109</v>
      </c>
      <c r="B81" t="s">
        <v>130</v>
      </c>
      <c r="C81">
        <v>0.03</v>
      </c>
      <c r="D81">
        <v>0</v>
      </c>
      <c r="E81">
        <v>0</v>
      </c>
      <c r="F81">
        <v>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109</v>
      </c>
      <c r="B82" t="s">
        <v>131</v>
      </c>
      <c r="C82">
        <v>1.36</v>
      </c>
      <c r="D82">
        <v>1</v>
      </c>
      <c r="E82">
        <v>7</v>
      </c>
      <c r="F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132</v>
      </c>
      <c r="B83" t="s">
        <v>133</v>
      </c>
      <c r="C83">
        <v>5.78</v>
      </c>
      <c r="D83">
        <v>5</v>
      </c>
      <c r="E83">
        <v>15</v>
      </c>
      <c r="F83">
        <v>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134</v>
      </c>
      <c r="B84" t="s">
        <v>135</v>
      </c>
      <c r="C84">
        <v>48.52</v>
      </c>
      <c r="D84">
        <v>48</v>
      </c>
      <c r="E84">
        <v>10</v>
      </c>
      <c r="F84">
        <v>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136</v>
      </c>
      <c r="B85" t="s">
        <v>137</v>
      </c>
      <c r="C85">
        <v>0.23</v>
      </c>
      <c r="D85">
        <v>0</v>
      </c>
      <c r="E85">
        <v>4</v>
      </c>
      <c r="F85">
        <v>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136</v>
      </c>
      <c r="B86" t="s">
        <v>138</v>
      </c>
      <c r="C86">
        <v>0</v>
      </c>
      <c r="D86">
        <v>0</v>
      </c>
      <c r="E86">
        <v>0</v>
      </c>
      <c r="F86">
        <v>0</v>
      </c>
      <c r="G86" t="s">
        <v>91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136</v>
      </c>
      <c r="B87" t="s">
        <v>139</v>
      </c>
      <c r="C87">
        <v>0</v>
      </c>
      <c r="D87">
        <v>0</v>
      </c>
      <c r="E87">
        <v>0</v>
      </c>
      <c r="F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136</v>
      </c>
      <c r="B88" t="s">
        <v>140</v>
      </c>
      <c r="C88">
        <v>0.04</v>
      </c>
      <c r="D88">
        <v>0</v>
      </c>
      <c r="E88">
        <v>0</v>
      </c>
      <c r="F88">
        <v>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136</v>
      </c>
      <c r="B89" t="s">
        <v>141</v>
      </c>
      <c r="C89">
        <v>0.08</v>
      </c>
      <c r="D89">
        <v>0</v>
      </c>
      <c r="E89">
        <v>1</v>
      </c>
      <c r="F89">
        <v>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136</v>
      </c>
      <c r="B90" t="s">
        <v>142</v>
      </c>
      <c r="C90">
        <v>0.05</v>
      </c>
      <c r="D90">
        <v>0</v>
      </c>
      <c r="E90">
        <v>1</v>
      </c>
      <c r="F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136</v>
      </c>
      <c r="B91" t="s">
        <v>143</v>
      </c>
      <c r="C91">
        <v>0.03</v>
      </c>
      <c r="D91">
        <v>0</v>
      </c>
      <c r="E91">
        <v>0</v>
      </c>
      <c r="F91">
        <v>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136</v>
      </c>
      <c r="B92" t="s">
        <v>144</v>
      </c>
      <c r="C92">
        <v>0.03</v>
      </c>
      <c r="D92">
        <v>0</v>
      </c>
      <c r="E92">
        <v>0</v>
      </c>
      <c r="F92">
        <v>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136</v>
      </c>
      <c r="B93" t="s">
        <v>145</v>
      </c>
      <c r="C93">
        <v>0.05</v>
      </c>
      <c r="D93">
        <v>0</v>
      </c>
      <c r="E93">
        <v>1</v>
      </c>
      <c r="F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136</v>
      </c>
      <c r="B94" t="s">
        <v>146</v>
      </c>
      <c r="C94">
        <v>0.41</v>
      </c>
      <c r="D94">
        <v>0</v>
      </c>
      <c r="E94">
        <v>8</v>
      </c>
      <c r="F94">
        <v>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136</v>
      </c>
      <c r="B95" t="s">
        <v>147</v>
      </c>
      <c r="C95">
        <v>0</v>
      </c>
      <c r="D95">
        <v>0</v>
      </c>
      <c r="E95">
        <v>0</v>
      </c>
      <c r="F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136</v>
      </c>
      <c r="B96" t="s">
        <v>139</v>
      </c>
      <c r="C96">
        <v>0</v>
      </c>
      <c r="D96">
        <v>0</v>
      </c>
      <c r="E96">
        <v>0</v>
      </c>
      <c r="F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28" x14ac:dyDescent="0.2">
      <c r="A97" t="s">
        <v>136</v>
      </c>
      <c r="B97" t="s">
        <v>148</v>
      </c>
      <c r="C97">
        <v>1.04</v>
      </c>
      <c r="D97">
        <v>1</v>
      </c>
      <c r="E97">
        <v>0</v>
      </c>
      <c r="F97">
        <v>9.5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28" x14ac:dyDescent="0.2">
      <c r="A98" t="s">
        <v>136</v>
      </c>
      <c r="B98" t="s">
        <v>139</v>
      </c>
      <c r="C98">
        <v>0</v>
      </c>
      <c r="D98">
        <v>0</v>
      </c>
      <c r="E98">
        <v>0</v>
      </c>
      <c r="F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28" x14ac:dyDescent="0.2">
      <c r="A99" t="s">
        <v>136</v>
      </c>
      <c r="B99" t="s">
        <v>149</v>
      </c>
      <c r="C99">
        <v>0</v>
      </c>
      <c r="D99">
        <v>0</v>
      </c>
      <c r="E99">
        <v>0</v>
      </c>
      <c r="F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28" x14ac:dyDescent="0.2">
      <c r="A100" t="s">
        <v>136</v>
      </c>
      <c r="B100" t="s">
        <v>150</v>
      </c>
      <c r="C100">
        <v>0.04</v>
      </c>
      <c r="D100">
        <v>0</v>
      </c>
      <c r="E100">
        <v>0</v>
      </c>
      <c r="F100">
        <v>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28" x14ac:dyDescent="0.2">
      <c r="A101" t="s">
        <v>136</v>
      </c>
      <c r="B101" t="s">
        <v>151</v>
      </c>
      <c r="C101">
        <v>1.7</v>
      </c>
      <c r="D101">
        <v>1</v>
      </c>
      <c r="E101">
        <v>14</v>
      </c>
      <c r="F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28" x14ac:dyDescent="0.2">
      <c r="A102" t="s">
        <v>136</v>
      </c>
      <c r="B102" t="s">
        <v>139</v>
      </c>
      <c r="C102">
        <v>0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28" x14ac:dyDescent="0.2">
      <c r="A103" t="s">
        <v>136</v>
      </c>
      <c r="B103" t="s">
        <v>152</v>
      </c>
      <c r="C103">
        <v>0.19</v>
      </c>
      <c r="D103">
        <v>0</v>
      </c>
      <c r="E103">
        <v>3</v>
      </c>
      <c r="F103">
        <v>9</v>
      </c>
      <c r="G103" t="s">
        <v>91</v>
      </c>
      <c r="H103">
        <v>0</v>
      </c>
      <c r="I103">
        <v>6</v>
      </c>
      <c r="J103">
        <v>0.75</v>
      </c>
      <c r="K103">
        <v>0.75</v>
      </c>
      <c r="L103">
        <v>0</v>
      </c>
      <c r="M103">
        <v>0</v>
      </c>
      <c r="N103">
        <v>6</v>
      </c>
      <c r="AA103">
        <v>0</v>
      </c>
      <c r="AB103">
        <v>7.5</v>
      </c>
    </row>
    <row r="104" spans="1:28" x14ac:dyDescent="0.2">
      <c r="A104" t="s">
        <v>136</v>
      </c>
      <c r="B104" t="s">
        <v>153</v>
      </c>
      <c r="C104">
        <v>0.48</v>
      </c>
      <c r="D104">
        <v>0</v>
      </c>
      <c r="E104">
        <v>9</v>
      </c>
      <c r="F104">
        <v>7</v>
      </c>
      <c r="H104">
        <v>2</v>
      </c>
      <c r="I104">
        <v>7</v>
      </c>
      <c r="J104">
        <v>2.875</v>
      </c>
      <c r="K104">
        <v>2.875</v>
      </c>
      <c r="L104">
        <v>0</v>
      </c>
      <c r="M104">
        <v>2</v>
      </c>
      <c r="N104">
        <v>7</v>
      </c>
      <c r="S104">
        <v>3</v>
      </c>
      <c r="T104">
        <v>4</v>
      </c>
    </row>
    <row r="105" spans="1:28" x14ac:dyDescent="0.2">
      <c r="A105" t="s">
        <v>136</v>
      </c>
      <c r="B105" t="s">
        <v>154</v>
      </c>
      <c r="C105">
        <v>4.34</v>
      </c>
      <c r="D105">
        <v>4</v>
      </c>
      <c r="E105">
        <v>6</v>
      </c>
      <c r="F105">
        <v>10.5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28" x14ac:dyDescent="0.2">
      <c r="A106" t="s">
        <v>155</v>
      </c>
      <c r="B106" t="s">
        <v>156</v>
      </c>
      <c r="C106">
        <v>0.03</v>
      </c>
      <c r="D106">
        <v>0</v>
      </c>
      <c r="E106">
        <v>0</v>
      </c>
      <c r="F106">
        <v>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28" x14ac:dyDescent="0.2">
      <c r="A107" t="s">
        <v>155</v>
      </c>
      <c r="B107" t="s">
        <v>157</v>
      </c>
      <c r="C107">
        <v>7.0000000000000007E-2</v>
      </c>
      <c r="D107">
        <v>0</v>
      </c>
      <c r="E107">
        <v>1</v>
      </c>
      <c r="F107">
        <v>5.5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28" x14ac:dyDescent="0.2">
      <c r="A108" t="s">
        <v>155</v>
      </c>
      <c r="B108" t="s">
        <v>158</v>
      </c>
      <c r="C108">
        <v>0.01</v>
      </c>
      <c r="D108">
        <v>0</v>
      </c>
      <c r="E108">
        <v>0</v>
      </c>
      <c r="F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28" x14ac:dyDescent="0.2">
      <c r="A109" t="s">
        <v>155</v>
      </c>
      <c r="B109" t="s">
        <v>159</v>
      </c>
      <c r="C109">
        <v>0.03</v>
      </c>
      <c r="D109">
        <v>0</v>
      </c>
      <c r="E109">
        <v>0</v>
      </c>
      <c r="F109">
        <v>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28" x14ac:dyDescent="0.2">
      <c r="A110" t="s">
        <v>155</v>
      </c>
      <c r="B110" t="s">
        <v>160</v>
      </c>
      <c r="C110">
        <v>0.01</v>
      </c>
      <c r="D110">
        <v>0</v>
      </c>
      <c r="E110">
        <v>0</v>
      </c>
      <c r="F110">
        <v>2.5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28" x14ac:dyDescent="0.2">
      <c r="A111" t="s">
        <v>155</v>
      </c>
      <c r="B111" t="s">
        <v>161</v>
      </c>
      <c r="C111">
        <v>0.05</v>
      </c>
      <c r="D111">
        <v>0</v>
      </c>
      <c r="E111">
        <v>1</v>
      </c>
      <c r="F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28" x14ac:dyDescent="0.2">
      <c r="A112" t="s">
        <v>155</v>
      </c>
      <c r="B112" t="s">
        <v>162</v>
      </c>
      <c r="C112">
        <v>0.03</v>
      </c>
      <c r="D112">
        <v>0</v>
      </c>
      <c r="E112">
        <v>0</v>
      </c>
      <c r="F112">
        <v>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155</v>
      </c>
      <c r="B113" t="s">
        <v>163</v>
      </c>
      <c r="C113">
        <v>0.06</v>
      </c>
      <c r="D113">
        <v>0</v>
      </c>
      <c r="E113">
        <v>1</v>
      </c>
      <c r="F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155</v>
      </c>
      <c r="B114" t="s">
        <v>164</v>
      </c>
      <c r="C114">
        <v>0.11</v>
      </c>
      <c r="D114">
        <v>0</v>
      </c>
      <c r="E114">
        <v>2</v>
      </c>
      <c r="F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155</v>
      </c>
      <c r="B115" t="s">
        <v>165</v>
      </c>
      <c r="C115">
        <v>0.15</v>
      </c>
      <c r="D115">
        <v>0</v>
      </c>
      <c r="E115">
        <v>3</v>
      </c>
      <c r="F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166</v>
      </c>
      <c r="B116" t="s">
        <v>167</v>
      </c>
      <c r="C116">
        <v>0.08</v>
      </c>
      <c r="D116">
        <v>0</v>
      </c>
      <c r="E116">
        <v>1</v>
      </c>
      <c r="F116">
        <v>6</v>
      </c>
      <c r="G116" t="s">
        <v>91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166</v>
      </c>
      <c r="B117" t="s">
        <v>168</v>
      </c>
      <c r="C117">
        <v>0.45</v>
      </c>
      <c r="D117">
        <v>0</v>
      </c>
      <c r="E117">
        <v>9</v>
      </c>
      <c r="F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166</v>
      </c>
      <c r="B118" t="s">
        <v>169</v>
      </c>
      <c r="C118">
        <v>0.28000000000000003</v>
      </c>
      <c r="D118">
        <v>0</v>
      </c>
      <c r="E118">
        <v>5</v>
      </c>
      <c r="F118">
        <v>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166</v>
      </c>
      <c r="B119" t="s">
        <v>139</v>
      </c>
      <c r="C119">
        <v>0</v>
      </c>
      <c r="D119">
        <v>0</v>
      </c>
      <c r="E119">
        <v>0</v>
      </c>
      <c r="F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166</v>
      </c>
      <c r="B120" t="s">
        <v>170</v>
      </c>
      <c r="C120">
        <v>0.01</v>
      </c>
      <c r="D120">
        <v>0</v>
      </c>
      <c r="E120">
        <v>0</v>
      </c>
      <c r="F120">
        <v>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166</v>
      </c>
      <c r="B121" t="s">
        <v>171</v>
      </c>
      <c r="C121">
        <v>0.01</v>
      </c>
      <c r="D121">
        <v>0</v>
      </c>
      <c r="E121">
        <v>0</v>
      </c>
      <c r="F121">
        <v>3</v>
      </c>
      <c r="G121" t="s">
        <v>91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166</v>
      </c>
      <c r="B122" t="s">
        <v>172</v>
      </c>
      <c r="C122">
        <v>0.33</v>
      </c>
      <c r="D122">
        <v>0</v>
      </c>
      <c r="E122">
        <v>6</v>
      </c>
      <c r="F122">
        <v>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166</v>
      </c>
      <c r="B123" t="s">
        <v>173</v>
      </c>
      <c r="C123">
        <v>0.33</v>
      </c>
      <c r="D123">
        <v>0</v>
      </c>
      <c r="E123">
        <v>6</v>
      </c>
      <c r="F123">
        <v>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166</v>
      </c>
      <c r="B124" t="s">
        <v>174</v>
      </c>
      <c r="C124">
        <v>1.65</v>
      </c>
      <c r="D124">
        <v>1</v>
      </c>
      <c r="E124">
        <v>13</v>
      </c>
      <c r="F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175</v>
      </c>
      <c r="B125" t="s">
        <v>176</v>
      </c>
      <c r="C125">
        <v>0.01</v>
      </c>
      <c r="D125">
        <v>0</v>
      </c>
      <c r="E125">
        <v>0</v>
      </c>
      <c r="F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175</v>
      </c>
      <c r="B126" t="s">
        <v>177</v>
      </c>
      <c r="C126">
        <v>1.79</v>
      </c>
      <c r="D126">
        <v>1</v>
      </c>
      <c r="E126">
        <v>15</v>
      </c>
      <c r="F126">
        <v>10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175</v>
      </c>
      <c r="B127" t="s">
        <v>178</v>
      </c>
      <c r="C127">
        <v>0.06</v>
      </c>
      <c r="D127">
        <v>0</v>
      </c>
      <c r="E127">
        <v>1</v>
      </c>
      <c r="F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175</v>
      </c>
      <c r="B128" t="s">
        <v>179</v>
      </c>
      <c r="C128">
        <v>0.15</v>
      </c>
      <c r="D128">
        <v>0</v>
      </c>
      <c r="E128">
        <v>3</v>
      </c>
      <c r="F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175</v>
      </c>
      <c r="B129" t="s">
        <v>180</v>
      </c>
      <c r="C129">
        <v>0.02</v>
      </c>
      <c r="D129">
        <v>0</v>
      </c>
      <c r="E129">
        <v>0</v>
      </c>
      <c r="F129">
        <v>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t="s">
        <v>175</v>
      </c>
      <c r="B130" t="s">
        <v>181</v>
      </c>
      <c r="C130">
        <v>0.01</v>
      </c>
      <c r="D130">
        <v>0</v>
      </c>
      <c r="E130">
        <v>0</v>
      </c>
      <c r="F130">
        <v>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175</v>
      </c>
      <c r="B131" t="s">
        <v>182</v>
      </c>
      <c r="C131">
        <v>2.2000000000000002</v>
      </c>
      <c r="D131">
        <v>2</v>
      </c>
      <c r="E131">
        <v>4</v>
      </c>
      <c r="F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t="s">
        <v>183</v>
      </c>
      <c r="B132" t="s">
        <v>184</v>
      </c>
      <c r="C132">
        <v>0.48</v>
      </c>
      <c r="D132">
        <v>0</v>
      </c>
      <c r="E132">
        <v>9</v>
      </c>
      <c r="F132">
        <v>6</v>
      </c>
      <c r="G132" t="s">
        <v>185</v>
      </c>
      <c r="H132">
        <v>57</v>
      </c>
      <c r="I132">
        <v>0</v>
      </c>
      <c r="J132">
        <v>57</v>
      </c>
      <c r="K132">
        <v>57</v>
      </c>
      <c r="L132">
        <v>0</v>
      </c>
      <c r="M132">
        <v>57</v>
      </c>
      <c r="N132">
        <v>0</v>
      </c>
    </row>
    <row r="133" spans="1:14" x14ac:dyDescent="0.2">
      <c r="A133" t="s">
        <v>183</v>
      </c>
      <c r="B133" t="s">
        <v>139</v>
      </c>
      <c r="C133">
        <v>0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t="s">
        <v>183</v>
      </c>
      <c r="B134" t="s">
        <v>186</v>
      </c>
      <c r="C134">
        <v>0.17</v>
      </c>
      <c r="D134">
        <v>0</v>
      </c>
      <c r="E134">
        <v>3</v>
      </c>
      <c r="F134">
        <v>6</v>
      </c>
      <c r="H134">
        <v>24</v>
      </c>
      <c r="I134">
        <v>1</v>
      </c>
      <c r="J134">
        <v>24.125</v>
      </c>
      <c r="K134">
        <v>24.125</v>
      </c>
      <c r="L134">
        <v>0</v>
      </c>
      <c r="M134">
        <v>24</v>
      </c>
      <c r="N134">
        <v>1</v>
      </c>
    </row>
    <row r="135" spans="1:14" x14ac:dyDescent="0.2">
      <c r="A135" t="s">
        <v>183</v>
      </c>
      <c r="B135" t="s">
        <v>139</v>
      </c>
      <c r="C135">
        <v>0</v>
      </c>
      <c r="D135">
        <v>0</v>
      </c>
      <c r="E135">
        <v>0</v>
      </c>
      <c r="F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183</v>
      </c>
      <c r="B136" t="s">
        <v>187</v>
      </c>
      <c r="C136">
        <v>0.08</v>
      </c>
      <c r="D136">
        <v>0</v>
      </c>
      <c r="E136">
        <v>1</v>
      </c>
      <c r="F136">
        <v>7</v>
      </c>
      <c r="G136" t="s">
        <v>96</v>
      </c>
      <c r="H136">
        <v>15</v>
      </c>
      <c r="I136">
        <v>2</v>
      </c>
      <c r="J136">
        <v>15.25</v>
      </c>
      <c r="K136">
        <v>15.25</v>
      </c>
      <c r="L136">
        <v>0</v>
      </c>
      <c r="M136">
        <v>15</v>
      </c>
      <c r="N136">
        <v>2</v>
      </c>
    </row>
    <row r="137" spans="1:14" x14ac:dyDescent="0.2">
      <c r="A137" t="s">
        <v>183</v>
      </c>
      <c r="B137" t="s">
        <v>139</v>
      </c>
      <c r="C137">
        <v>0</v>
      </c>
      <c r="D137">
        <v>0</v>
      </c>
      <c r="E137">
        <v>0</v>
      </c>
      <c r="F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183</v>
      </c>
      <c r="B138" t="s">
        <v>188</v>
      </c>
      <c r="C138">
        <v>0.12</v>
      </c>
      <c r="D138">
        <v>0</v>
      </c>
      <c r="E138">
        <v>2</v>
      </c>
      <c r="F138">
        <v>4</v>
      </c>
      <c r="G138" t="s">
        <v>98</v>
      </c>
      <c r="H138">
        <v>56</v>
      </c>
      <c r="I138">
        <v>0</v>
      </c>
      <c r="J138">
        <v>56</v>
      </c>
      <c r="K138">
        <v>56</v>
      </c>
      <c r="L138">
        <v>0</v>
      </c>
      <c r="M138">
        <v>56</v>
      </c>
      <c r="N138">
        <v>0</v>
      </c>
    </row>
    <row r="139" spans="1:14" x14ac:dyDescent="0.2">
      <c r="A139" t="s">
        <v>183</v>
      </c>
      <c r="B139" t="s">
        <v>139</v>
      </c>
      <c r="C139">
        <v>0</v>
      </c>
      <c r="D139">
        <v>0</v>
      </c>
      <c r="E139">
        <v>0</v>
      </c>
      <c r="F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 t="s">
        <v>183</v>
      </c>
      <c r="B140" t="s">
        <v>189</v>
      </c>
      <c r="C140">
        <v>0.03</v>
      </c>
      <c r="D140">
        <v>0</v>
      </c>
      <c r="E140">
        <v>0</v>
      </c>
      <c r="F140">
        <v>7</v>
      </c>
      <c r="H140">
        <v>8</v>
      </c>
      <c r="I140">
        <v>0</v>
      </c>
      <c r="J140">
        <v>8</v>
      </c>
      <c r="K140">
        <v>8</v>
      </c>
      <c r="L140">
        <v>0</v>
      </c>
      <c r="M140">
        <v>8</v>
      </c>
      <c r="N140">
        <v>0</v>
      </c>
    </row>
    <row r="141" spans="1:14" x14ac:dyDescent="0.2">
      <c r="A141" t="s">
        <v>183</v>
      </c>
      <c r="B141" t="s">
        <v>139</v>
      </c>
      <c r="C141">
        <v>0</v>
      </c>
      <c r="D141">
        <v>0</v>
      </c>
      <c r="E141">
        <v>0</v>
      </c>
      <c r="F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183</v>
      </c>
      <c r="B142" t="s">
        <v>190</v>
      </c>
      <c r="C142">
        <v>0.86</v>
      </c>
      <c r="D142">
        <v>0</v>
      </c>
      <c r="E142">
        <v>17</v>
      </c>
      <c r="F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191</v>
      </c>
      <c r="B143" t="s">
        <v>192</v>
      </c>
      <c r="C143">
        <v>0.35</v>
      </c>
      <c r="D143">
        <v>0</v>
      </c>
      <c r="E143">
        <v>7</v>
      </c>
      <c r="F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 t="s">
        <v>191</v>
      </c>
      <c r="B144" t="s">
        <v>193</v>
      </c>
      <c r="C144">
        <v>0.45</v>
      </c>
      <c r="D144">
        <v>0</v>
      </c>
      <c r="E144">
        <v>9</v>
      </c>
      <c r="F144">
        <v>0</v>
      </c>
      <c r="G144" t="s">
        <v>91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6" x14ac:dyDescent="0.2">
      <c r="A145" t="s">
        <v>191</v>
      </c>
      <c r="B145" t="s">
        <v>194</v>
      </c>
      <c r="C145">
        <v>0.8</v>
      </c>
      <c r="D145">
        <v>0</v>
      </c>
      <c r="E145">
        <v>16</v>
      </c>
      <c r="F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6" x14ac:dyDescent="0.2">
      <c r="A146" t="s">
        <v>195</v>
      </c>
      <c r="B146" t="s">
        <v>196</v>
      </c>
      <c r="C146">
        <v>10.44</v>
      </c>
      <c r="D146">
        <v>10</v>
      </c>
      <c r="E146">
        <v>8</v>
      </c>
      <c r="F146">
        <v>8.5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6" x14ac:dyDescent="0.2">
      <c r="A147" t="s">
        <v>197</v>
      </c>
      <c r="B147" t="s">
        <v>198</v>
      </c>
      <c r="C147">
        <v>38.090000000000003</v>
      </c>
      <c r="D147">
        <v>38</v>
      </c>
      <c r="E147">
        <v>1</v>
      </c>
      <c r="F147">
        <v>9.5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6" x14ac:dyDescent="0.2">
      <c r="A148" t="s">
        <v>199</v>
      </c>
      <c r="B148" t="s">
        <v>200</v>
      </c>
      <c r="C148">
        <v>0</v>
      </c>
      <c r="D148">
        <v>0</v>
      </c>
      <c r="E148">
        <v>0</v>
      </c>
      <c r="F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6" x14ac:dyDescent="0.2">
      <c r="A149" t="s">
        <v>199</v>
      </c>
      <c r="B149" t="s">
        <v>201</v>
      </c>
      <c r="C149">
        <v>24</v>
      </c>
      <c r="D149">
        <v>24</v>
      </c>
      <c r="E149">
        <v>0</v>
      </c>
      <c r="F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6" x14ac:dyDescent="0.2">
      <c r="A150" t="s">
        <v>202</v>
      </c>
      <c r="B150" t="s">
        <v>203</v>
      </c>
      <c r="C150">
        <v>14.09</v>
      </c>
      <c r="D150">
        <v>14</v>
      </c>
      <c r="E150">
        <v>1</v>
      </c>
      <c r="F150">
        <v>9.5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6" x14ac:dyDescent="0.2">
      <c r="A151" t="s">
        <v>204</v>
      </c>
      <c r="B151" t="s">
        <v>205</v>
      </c>
      <c r="C151">
        <v>0</v>
      </c>
      <c r="D151">
        <v>0</v>
      </c>
      <c r="E151">
        <v>0</v>
      </c>
      <c r="F151">
        <v>0</v>
      </c>
      <c r="H151">
        <v>3</v>
      </c>
      <c r="I151">
        <v>3</v>
      </c>
      <c r="J151">
        <v>3.375</v>
      </c>
      <c r="K151">
        <v>3.375</v>
      </c>
      <c r="L151">
        <v>0</v>
      </c>
      <c r="M151">
        <v>3</v>
      </c>
      <c r="N151">
        <v>3</v>
      </c>
    </row>
    <row r="152" spans="1:16" x14ac:dyDescent="0.2">
      <c r="A152" t="s">
        <v>204</v>
      </c>
      <c r="B152" t="s">
        <v>206</v>
      </c>
      <c r="C152">
        <v>0</v>
      </c>
      <c r="D152">
        <v>0</v>
      </c>
      <c r="E152">
        <v>0</v>
      </c>
      <c r="F152">
        <v>0</v>
      </c>
      <c r="G152" t="s">
        <v>91</v>
      </c>
      <c r="H152">
        <v>70</v>
      </c>
      <c r="I152">
        <v>2.5</v>
      </c>
      <c r="J152">
        <v>70.3125</v>
      </c>
      <c r="K152">
        <v>70.3125</v>
      </c>
      <c r="L152">
        <v>0</v>
      </c>
      <c r="M152">
        <v>70</v>
      </c>
      <c r="N152">
        <v>2.5</v>
      </c>
    </row>
    <row r="153" spans="1:16" x14ac:dyDescent="0.2">
      <c r="A153" t="s">
        <v>204</v>
      </c>
      <c r="B153" t="s">
        <v>207</v>
      </c>
      <c r="C153">
        <v>0</v>
      </c>
      <c r="D153">
        <v>0</v>
      </c>
      <c r="E153">
        <v>0</v>
      </c>
      <c r="F153">
        <v>0</v>
      </c>
      <c r="H153">
        <v>1.5</v>
      </c>
      <c r="I153">
        <v>0</v>
      </c>
      <c r="J153">
        <v>1.5</v>
      </c>
      <c r="K153">
        <v>1.5</v>
      </c>
      <c r="L153">
        <v>0</v>
      </c>
      <c r="M153">
        <v>1.5</v>
      </c>
      <c r="N153">
        <v>0</v>
      </c>
    </row>
    <row r="154" spans="1:16" x14ac:dyDescent="0.2">
      <c r="A154" t="s">
        <v>204</v>
      </c>
      <c r="B154" t="s">
        <v>208</v>
      </c>
      <c r="C154">
        <v>0</v>
      </c>
      <c r="D154">
        <v>0</v>
      </c>
      <c r="E154">
        <v>0</v>
      </c>
      <c r="F154">
        <v>0</v>
      </c>
      <c r="H154">
        <v>5</v>
      </c>
      <c r="I154">
        <v>1</v>
      </c>
      <c r="J154">
        <v>5.125</v>
      </c>
      <c r="K154">
        <v>5.125</v>
      </c>
      <c r="L154">
        <v>0</v>
      </c>
      <c r="M154">
        <v>5</v>
      </c>
      <c r="N154">
        <v>1</v>
      </c>
    </row>
    <row r="155" spans="1:16" x14ac:dyDescent="0.2">
      <c r="A155" t="s">
        <v>204</v>
      </c>
      <c r="B155" t="s">
        <v>209</v>
      </c>
      <c r="C155">
        <v>0</v>
      </c>
      <c r="D155">
        <v>0</v>
      </c>
      <c r="E155">
        <v>0</v>
      </c>
      <c r="F155">
        <v>0</v>
      </c>
      <c r="H155">
        <v>0</v>
      </c>
      <c r="I155">
        <v>6</v>
      </c>
      <c r="J155">
        <v>0.75</v>
      </c>
      <c r="K155">
        <v>0.75</v>
      </c>
      <c r="L155">
        <v>0</v>
      </c>
      <c r="M155">
        <v>0</v>
      </c>
      <c r="N155">
        <v>6</v>
      </c>
    </row>
    <row r="156" spans="1:16" x14ac:dyDescent="0.2">
      <c r="A156" t="s">
        <v>204</v>
      </c>
      <c r="B156" t="s">
        <v>210</v>
      </c>
      <c r="C156">
        <v>0</v>
      </c>
      <c r="D156">
        <v>0</v>
      </c>
      <c r="E156">
        <v>0</v>
      </c>
      <c r="F156">
        <v>0</v>
      </c>
      <c r="H156">
        <v>77</v>
      </c>
      <c r="I156">
        <v>5.5</v>
      </c>
      <c r="J156">
        <v>77.6875</v>
      </c>
      <c r="K156">
        <v>77.6875</v>
      </c>
      <c r="L156">
        <v>0</v>
      </c>
      <c r="M156">
        <v>77</v>
      </c>
      <c r="N156">
        <v>5.5</v>
      </c>
    </row>
    <row r="157" spans="1:16" x14ac:dyDescent="0.2">
      <c r="A157" t="s">
        <v>204</v>
      </c>
      <c r="B157" t="s">
        <v>211</v>
      </c>
      <c r="C157">
        <v>0</v>
      </c>
      <c r="D157">
        <v>0</v>
      </c>
      <c r="E157">
        <v>0</v>
      </c>
      <c r="F157">
        <v>0</v>
      </c>
      <c r="H157">
        <v>15.5</v>
      </c>
      <c r="I157">
        <v>0</v>
      </c>
      <c r="J157">
        <v>15.5</v>
      </c>
      <c r="K157">
        <v>15.5</v>
      </c>
      <c r="L157">
        <v>0</v>
      </c>
      <c r="M157">
        <v>15.5</v>
      </c>
      <c r="N157">
        <v>0</v>
      </c>
    </row>
    <row r="158" spans="1:16" x14ac:dyDescent="0.2">
      <c r="A158" t="s">
        <v>204</v>
      </c>
      <c r="B158" t="s">
        <v>212</v>
      </c>
      <c r="C158">
        <v>0</v>
      </c>
      <c r="D158">
        <v>0</v>
      </c>
      <c r="E158">
        <v>0</v>
      </c>
      <c r="F158">
        <v>0</v>
      </c>
      <c r="H158">
        <v>0</v>
      </c>
      <c r="I158">
        <v>1</v>
      </c>
      <c r="J158">
        <v>0.125</v>
      </c>
      <c r="K158">
        <v>0.1875</v>
      </c>
      <c r="L158">
        <v>-6.25E-2</v>
      </c>
      <c r="M158">
        <v>0</v>
      </c>
      <c r="N158">
        <v>1.5</v>
      </c>
      <c r="O158">
        <v>0</v>
      </c>
      <c r="P158">
        <v>1</v>
      </c>
    </row>
    <row r="159" spans="1:16" x14ac:dyDescent="0.2">
      <c r="A159" t="s">
        <v>204</v>
      </c>
      <c r="B159" t="s">
        <v>139</v>
      </c>
      <c r="C159">
        <v>0</v>
      </c>
      <c r="D159">
        <v>0</v>
      </c>
      <c r="E159">
        <v>0</v>
      </c>
      <c r="F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6" x14ac:dyDescent="0.2">
      <c r="A160" t="s">
        <v>204</v>
      </c>
      <c r="B160" t="s">
        <v>213</v>
      </c>
      <c r="C160">
        <v>0</v>
      </c>
      <c r="D160">
        <v>0</v>
      </c>
      <c r="E160">
        <v>0</v>
      </c>
      <c r="F160">
        <v>0</v>
      </c>
      <c r="H160">
        <v>0</v>
      </c>
      <c r="I160">
        <v>1.5</v>
      </c>
      <c r="J160">
        <v>0.1875</v>
      </c>
      <c r="K160">
        <v>0.1875</v>
      </c>
      <c r="L160">
        <v>0</v>
      </c>
      <c r="M160">
        <v>0</v>
      </c>
      <c r="N160">
        <v>1.5</v>
      </c>
    </row>
    <row r="161" spans="1:14" x14ac:dyDescent="0.2">
      <c r="A161" t="s">
        <v>204</v>
      </c>
      <c r="B161" t="s">
        <v>139</v>
      </c>
      <c r="C161">
        <v>0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204</v>
      </c>
      <c r="B162" t="s">
        <v>214</v>
      </c>
      <c r="C162">
        <v>0</v>
      </c>
      <c r="D162">
        <v>0</v>
      </c>
      <c r="E162">
        <v>0</v>
      </c>
      <c r="F162">
        <v>0</v>
      </c>
      <c r="H162">
        <v>0</v>
      </c>
      <c r="I162">
        <v>3</v>
      </c>
      <c r="J162">
        <v>0.375</v>
      </c>
      <c r="K162">
        <v>0.375</v>
      </c>
      <c r="L162">
        <v>0</v>
      </c>
      <c r="M162">
        <v>0</v>
      </c>
      <c r="N162">
        <v>3</v>
      </c>
    </row>
    <row r="163" spans="1:14" x14ac:dyDescent="0.2">
      <c r="A163" t="s">
        <v>204</v>
      </c>
      <c r="B163" t="s">
        <v>215</v>
      </c>
      <c r="C163">
        <v>0</v>
      </c>
      <c r="D163">
        <v>0</v>
      </c>
      <c r="E163">
        <v>0</v>
      </c>
      <c r="F163">
        <v>0</v>
      </c>
      <c r="H163">
        <v>0</v>
      </c>
      <c r="I163">
        <v>1</v>
      </c>
      <c r="J163">
        <v>0.125</v>
      </c>
      <c r="K163">
        <v>0.125</v>
      </c>
      <c r="L163">
        <v>0</v>
      </c>
      <c r="M163">
        <v>0</v>
      </c>
      <c r="N163">
        <v>1</v>
      </c>
    </row>
    <row r="164" spans="1:14" x14ac:dyDescent="0.2">
      <c r="A164" t="s">
        <v>204</v>
      </c>
      <c r="B164" t="s">
        <v>216</v>
      </c>
      <c r="C164">
        <v>0</v>
      </c>
      <c r="D164">
        <v>0</v>
      </c>
      <c r="E164">
        <v>0</v>
      </c>
      <c r="F164">
        <v>0</v>
      </c>
      <c r="H164">
        <v>1.5</v>
      </c>
      <c r="I164">
        <v>0</v>
      </c>
      <c r="J164">
        <v>1.5</v>
      </c>
      <c r="K164">
        <v>1.5</v>
      </c>
      <c r="L164">
        <v>0</v>
      </c>
      <c r="M164">
        <v>1.5</v>
      </c>
      <c r="N164">
        <v>0</v>
      </c>
    </row>
    <row r="165" spans="1:14" x14ac:dyDescent="0.2">
      <c r="A165" t="s">
        <v>204</v>
      </c>
      <c r="B165" t="s">
        <v>139</v>
      </c>
      <c r="C165">
        <v>0</v>
      </c>
      <c r="D165">
        <v>0</v>
      </c>
      <c r="E165">
        <v>0</v>
      </c>
      <c r="F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204</v>
      </c>
      <c r="B166" t="s">
        <v>217</v>
      </c>
      <c r="C166">
        <v>0</v>
      </c>
      <c r="D166">
        <v>0</v>
      </c>
      <c r="E166">
        <v>0</v>
      </c>
      <c r="F166">
        <v>0</v>
      </c>
      <c r="H166">
        <v>1.5</v>
      </c>
      <c r="I166">
        <v>0</v>
      </c>
      <c r="J166">
        <v>1.5</v>
      </c>
      <c r="K166">
        <v>1.5</v>
      </c>
      <c r="L166">
        <v>0</v>
      </c>
      <c r="M166">
        <v>1.5</v>
      </c>
      <c r="N166">
        <v>0</v>
      </c>
    </row>
    <row r="167" spans="1:14" x14ac:dyDescent="0.2">
      <c r="A167" t="s">
        <v>204</v>
      </c>
      <c r="B167" t="s">
        <v>139</v>
      </c>
      <c r="C167">
        <v>0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204</v>
      </c>
      <c r="B168" t="s">
        <v>218</v>
      </c>
      <c r="C168">
        <v>0</v>
      </c>
      <c r="D168">
        <v>0</v>
      </c>
      <c r="E168">
        <v>0</v>
      </c>
      <c r="F168">
        <v>0</v>
      </c>
      <c r="H168">
        <v>5.5</v>
      </c>
      <c r="I168">
        <v>0</v>
      </c>
      <c r="J168">
        <v>5.5</v>
      </c>
      <c r="K168">
        <v>5.5</v>
      </c>
      <c r="L168">
        <v>0</v>
      </c>
      <c r="M168">
        <v>5.5</v>
      </c>
      <c r="N168">
        <v>0</v>
      </c>
    </row>
    <row r="169" spans="1:14" x14ac:dyDescent="0.2">
      <c r="A169" t="s">
        <v>204</v>
      </c>
      <c r="B169" t="s">
        <v>219</v>
      </c>
      <c r="C169">
        <v>0</v>
      </c>
      <c r="D169">
        <v>0</v>
      </c>
      <c r="E169">
        <v>0</v>
      </c>
      <c r="F169">
        <v>0</v>
      </c>
      <c r="H169">
        <v>53</v>
      </c>
      <c r="I169">
        <v>0</v>
      </c>
      <c r="J169">
        <v>53</v>
      </c>
      <c r="K169">
        <v>53</v>
      </c>
      <c r="L169">
        <v>0</v>
      </c>
      <c r="M169">
        <v>53</v>
      </c>
      <c r="N169">
        <v>0</v>
      </c>
    </row>
    <row r="170" spans="1:14" x14ac:dyDescent="0.2">
      <c r="A170" t="s">
        <v>220</v>
      </c>
      <c r="B170" t="s">
        <v>221</v>
      </c>
      <c r="C170">
        <v>0</v>
      </c>
      <c r="D170">
        <v>0</v>
      </c>
      <c r="E170">
        <v>0</v>
      </c>
      <c r="F170">
        <v>0</v>
      </c>
      <c r="G170" t="s">
        <v>93</v>
      </c>
      <c r="H170">
        <v>1</v>
      </c>
      <c r="I170">
        <v>0</v>
      </c>
      <c r="J170">
        <v>1</v>
      </c>
      <c r="K170">
        <v>1</v>
      </c>
      <c r="L170">
        <v>0</v>
      </c>
      <c r="M170">
        <v>1</v>
      </c>
      <c r="N170">
        <v>0</v>
      </c>
    </row>
    <row r="171" spans="1:14" x14ac:dyDescent="0.2">
      <c r="A171" t="s">
        <v>220</v>
      </c>
      <c r="B171" t="s">
        <v>222</v>
      </c>
      <c r="C171">
        <v>0</v>
      </c>
      <c r="D171">
        <v>0</v>
      </c>
      <c r="E171">
        <v>0</v>
      </c>
      <c r="F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223</v>
      </c>
      <c r="B172" t="s">
        <v>224</v>
      </c>
      <c r="C172">
        <v>0</v>
      </c>
      <c r="D172">
        <v>0</v>
      </c>
      <c r="E172">
        <v>0</v>
      </c>
      <c r="F172">
        <v>0</v>
      </c>
      <c r="H172">
        <v>0</v>
      </c>
      <c r="I172">
        <v>5</v>
      </c>
      <c r="J172">
        <v>0.625</v>
      </c>
      <c r="K172">
        <v>0.625</v>
      </c>
      <c r="L172">
        <v>0</v>
      </c>
      <c r="M172">
        <v>0</v>
      </c>
      <c r="N172">
        <v>5</v>
      </c>
    </row>
    <row r="173" spans="1:14" x14ac:dyDescent="0.2">
      <c r="A173" t="s">
        <v>223</v>
      </c>
      <c r="B173" t="s">
        <v>225</v>
      </c>
      <c r="C173">
        <v>0</v>
      </c>
      <c r="D173">
        <v>0</v>
      </c>
      <c r="E173">
        <v>0</v>
      </c>
      <c r="F173">
        <v>0</v>
      </c>
      <c r="H173">
        <v>30</v>
      </c>
      <c r="I173">
        <v>1</v>
      </c>
      <c r="J173">
        <v>30.125</v>
      </c>
      <c r="K173">
        <v>30.125</v>
      </c>
      <c r="L173">
        <v>0</v>
      </c>
      <c r="M173">
        <v>30</v>
      </c>
      <c r="N173">
        <v>1</v>
      </c>
    </row>
    <row r="174" spans="1:14" x14ac:dyDescent="0.2">
      <c r="A174" t="s">
        <v>223</v>
      </c>
      <c r="B174" t="s">
        <v>226</v>
      </c>
      <c r="C174">
        <v>0</v>
      </c>
      <c r="D174">
        <v>0</v>
      </c>
      <c r="E174">
        <v>0</v>
      </c>
      <c r="F174">
        <v>0</v>
      </c>
      <c r="H174">
        <v>0</v>
      </c>
      <c r="I174">
        <v>4</v>
      </c>
      <c r="J174">
        <v>0.5</v>
      </c>
      <c r="K174">
        <v>0.5</v>
      </c>
      <c r="L174">
        <v>0</v>
      </c>
      <c r="M174">
        <v>0</v>
      </c>
      <c r="N174">
        <v>4</v>
      </c>
    </row>
    <row r="175" spans="1:14" x14ac:dyDescent="0.2">
      <c r="A175" t="s">
        <v>223</v>
      </c>
      <c r="B175" t="s">
        <v>227</v>
      </c>
      <c r="C175">
        <v>0</v>
      </c>
      <c r="D175">
        <v>0</v>
      </c>
      <c r="E175">
        <v>0</v>
      </c>
      <c r="F175">
        <v>0</v>
      </c>
      <c r="H175">
        <v>2</v>
      </c>
      <c r="I175">
        <v>7</v>
      </c>
      <c r="J175">
        <v>2.875</v>
      </c>
      <c r="K175">
        <v>2.875</v>
      </c>
      <c r="L175">
        <v>0</v>
      </c>
      <c r="M175">
        <v>2</v>
      </c>
      <c r="N175">
        <v>7</v>
      </c>
    </row>
    <row r="176" spans="1:14" x14ac:dyDescent="0.2">
      <c r="A176" t="s">
        <v>223</v>
      </c>
      <c r="B176" t="s">
        <v>228</v>
      </c>
      <c r="C176">
        <v>0</v>
      </c>
      <c r="D176">
        <v>0</v>
      </c>
      <c r="E176">
        <v>0</v>
      </c>
      <c r="F176">
        <v>0</v>
      </c>
      <c r="H176">
        <v>33.5</v>
      </c>
      <c r="I176">
        <v>0</v>
      </c>
      <c r="J176">
        <v>33.5</v>
      </c>
      <c r="K176">
        <v>33.5</v>
      </c>
      <c r="L176">
        <v>0</v>
      </c>
      <c r="M176">
        <v>33.5</v>
      </c>
      <c r="N176">
        <v>0</v>
      </c>
    </row>
    <row r="177" spans="1:18" x14ac:dyDescent="0.2">
      <c r="A177" t="s">
        <v>223</v>
      </c>
      <c r="B177" t="s">
        <v>229</v>
      </c>
      <c r="C177">
        <v>0</v>
      </c>
      <c r="D177">
        <v>0</v>
      </c>
      <c r="E177">
        <v>0</v>
      </c>
      <c r="F177">
        <v>0</v>
      </c>
      <c r="H177">
        <v>8</v>
      </c>
      <c r="I177">
        <v>6</v>
      </c>
      <c r="J177">
        <v>8.75</v>
      </c>
      <c r="K177">
        <v>8.75</v>
      </c>
      <c r="L177">
        <v>0</v>
      </c>
      <c r="M177">
        <v>8</v>
      </c>
      <c r="N177">
        <v>6</v>
      </c>
    </row>
    <row r="178" spans="1:18" x14ac:dyDescent="0.2">
      <c r="A178" t="s">
        <v>223</v>
      </c>
      <c r="B178" t="s">
        <v>230</v>
      </c>
      <c r="C178">
        <v>0</v>
      </c>
      <c r="D178">
        <v>0</v>
      </c>
      <c r="E178">
        <v>0</v>
      </c>
      <c r="F178">
        <v>0</v>
      </c>
      <c r="H178">
        <v>0</v>
      </c>
      <c r="I178">
        <v>2</v>
      </c>
      <c r="J178">
        <v>0.25</v>
      </c>
      <c r="K178">
        <v>0.25</v>
      </c>
      <c r="L178">
        <v>0</v>
      </c>
      <c r="M178">
        <v>0</v>
      </c>
      <c r="N178">
        <v>2</v>
      </c>
    </row>
    <row r="179" spans="1:18" x14ac:dyDescent="0.2">
      <c r="A179" t="s">
        <v>223</v>
      </c>
      <c r="B179" t="s">
        <v>231</v>
      </c>
      <c r="C179">
        <v>0</v>
      </c>
      <c r="D179">
        <v>0</v>
      </c>
      <c r="E179">
        <v>0</v>
      </c>
      <c r="F179">
        <v>0</v>
      </c>
      <c r="H179">
        <v>6.5</v>
      </c>
      <c r="I179">
        <v>0</v>
      </c>
      <c r="J179">
        <v>6.5</v>
      </c>
      <c r="K179">
        <v>6.5</v>
      </c>
      <c r="L179">
        <v>0</v>
      </c>
      <c r="M179">
        <v>6.5</v>
      </c>
      <c r="N179">
        <v>0</v>
      </c>
    </row>
    <row r="180" spans="1:18" x14ac:dyDescent="0.2">
      <c r="A180" t="s">
        <v>223</v>
      </c>
      <c r="B180" t="s">
        <v>232</v>
      </c>
      <c r="C180">
        <v>0</v>
      </c>
      <c r="D180">
        <v>0</v>
      </c>
      <c r="E180">
        <v>0</v>
      </c>
      <c r="F180">
        <v>0</v>
      </c>
      <c r="H180">
        <v>5</v>
      </c>
      <c r="I180">
        <v>1.5</v>
      </c>
      <c r="J180">
        <v>5.1875</v>
      </c>
      <c r="K180">
        <v>5.1875</v>
      </c>
      <c r="L180">
        <v>0</v>
      </c>
      <c r="M180">
        <v>5</v>
      </c>
      <c r="N180">
        <v>1.5</v>
      </c>
    </row>
    <row r="181" spans="1:18" x14ac:dyDescent="0.2">
      <c r="A181" t="s">
        <v>223</v>
      </c>
      <c r="B181" t="s">
        <v>233</v>
      </c>
      <c r="C181">
        <v>0</v>
      </c>
      <c r="D181">
        <v>0</v>
      </c>
      <c r="E181">
        <v>0</v>
      </c>
      <c r="F181">
        <v>0</v>
      </c>
      <c r="H181">
        <v>5</v>
      </c>
      <c r="I181">
        <v>2</v>
      </c>
      <c r="J181">
        <v>5.25</v>
      </c>
      <c r="K181">
        <v>2.25</v>
      </c>
      <c r="L181">
        <v>3</v>
      </c>
      <c r="M181">
        <v>2</v>
      </c>
      <c r="N181">
        <v>2</v>
      </c>
      <c r="O181">
        <v>5</v>
      </c>
      <c r="P181">
        <v>0</v>
      </c>
    </row>
    <row r="182" spans="1:18" x14ac:dyDescent="0.2">
      <c r="A182" t="s">
        <v>223</v>
      </c>
      <c r="B182" t="s">
        <v>234</v>
      </c>
      <c r="C182">
        <v>0</v>
      </c>
      <c r="D182">
        <v>0</v>
      </c>
      <c r="E182">
        <v>0</v>
      </c>
      <c r="F182">
        <v>0</v>
      </c>
      <c r="H182">
        <v>7</v>
      </c>
      <c r="I182">
        <v>8.5</v>
      </c>
      <c r="J182">
        <v>8.0625</v>
      </c>
      <c r="K182">
        <v>2.25</v>
      </c>
      <c r="L182">
        <v>5.8125</v>
      </c>
      <c r="M182">
        <v>2</v>
      </c>
      <c r="N182">
        <v>2</v>
      </c>
      <c r="O182">
        <v>0</v>
      </c>
      <c r="P182">
        <v>4</v>
      </c>
      <c r="Q182">
        <v>7</v>
      </c>
      <c r="R182">
        <v>4.5</v>
      </c>
    </row>
    <row r="183" spans="1:18" x14ac:dyDescent="0.2">
      <c r="A183" t="s">
        <v>235</v>
      </c>
      <c r="B183" t="s">
        <v>236</v>
      </c>
      <c r="C183">
        <v>0</v>
      </c>
      <c r="D183">
        <v>0</v>
      </c>
      <c r="E183">
        <v>0</v>
      </c>
      <c r="F183">
        <v>0</v>
      </c>
      <c r="H183">
        <v>1.5</v>
      </c>
      <c r="I183">
        <v>0</v>
      </c>
      <c r="J183">
        <v>1.5</v>
      </c>
      <c r="K183">
        <v>1.5</v>
      </c>
      <c r="L183">
        <v>0</v>
      </c>
      <c r="M183">
        <v>1.5</v>
      </c>
      <c r="N183">
        <v>0</v>
      </c>
    </row>
    <row r="184" spans="1:18" x14ac:dyDescent="0.2">
      <c r="A184" t="s">
        <v>235</v>
      </c>
      <c r="B184" t="s">
        <v>237</v>
      </c>
      <c r="C184">
        <v>0</v>
      </c>
      <c r="D184">
        <v>0</v>
      </c>
      <c r="E184">
        <v>0</v>
      </c>
      <c r="F184">
        <v>0</v>
      </c>
      <c r="G184" t="s">
        <v>96</v>
      </c>
      <c r="H184">
        <v>19</v>
      </c>
      <c r="I184">
        <v>0</v>
      </c>
      <c r="J184">
        <v>19</v>
      </c>
      <c r="K184">
        <v>19</v>
      </c>
      <c r="L184">
        <v>0</v>
      </c>
      <c r="M184">
        <v>19</v>
      </c>
      <c r="N184">
        <v>0</v>
      </c>
    </row>
    <row r="185" spans="1:18" x14ac:dyDescent="0.2">
      <c r="A185" t="s">
        <v>235</v>
      </c>
      <c r="B185" t="s">
        <v>238</v>
      </c>
      <c r="C185">
        <v>0</v>
      </c>
      <c r="D185">
        <v>0</v>
      </c>
      <c r="E185">
        <v>0</v>
      </c>
      <c r="F185">
        <v>0</v>
      </c>
      <c r="H185">
        <v>0</v>
      </c>
      <c r="I185">
        <v>4</v>
      </c>
      <c r="J185">
        <v>0.5</v>
      </c>
      <c r="K185">
        <v>0.5</v>
      </c>
      <c r="L185">
        <v>0</v>
      </c>
      <c r="M185">
        <v>0</v>
      </c>
      <c r="N185">
        <v>4</v>
      </c>
    </row>
    <row r="186" spans="1:18" x14ac:dyDescent="0.2">
      <c r="A186" t="s">
        <v>235</v>
      </c>
      <c r="B186" t="s">
        <v>239</v>
      </c>
      <c r="C186">
        <v>0</v>
      </c>
      <c r="D186">
        <v>0</v>
      </c>
      <c r="E186">
        <v>0</v>
      </c>
      <c r="F186">
        <v>0</v>
      </c>
      <c r="H186">
        <v>5</v>
      </c>
      <c r="I186">
        <v>5</v>
      </c>
      <c r="J186">
        <v>5.625</v>
      </c>
      <c r="K186">
        <v>5.625</v>
      </c>
      <c r="L186">
        <v>0</v>
      </c>
      <c r="M186">
        <v>5</v>
      </c>
      <c r="N186">
        <v>5</v>
      </c>
    </row>
    <row r="187" spans="1:18" x14ac:dyDescent="0.2">
      <c r="A187" t="s">
        <v>235</v>
      </c>
      <c r="B187" t="s">
        <v>240</v>
      </c>
      <c r="C187">
        <v>0</v>
      </c>
      <c r="D187">
        <v>0</v>
      </c>
      <c r="E187">
        <v>0</v>
      </c>
      <c r="F187">
        <v>0</v>
      </c>
      <c r="H187">
        <v>0</v>
      </c>
      <c r="I187">
        <v>1</v>
      </c>
      <c r="J187">
        <v>0.125</v>
      </c>
      <c r="K187">
        <v>0.25</v>
      </c>
      <c r="L187">
        <v>-0.125</v>
      </c>
      <c r="M187">
        <v>0</v>
      </c>
      <c r="N187">
        <v>2</v>
      </c>
      <c r="O187">
        <v>0</v>
      </c>
      <c r="P187">
        <v>1</v>
      </c>
    </row>
    <row r="188" spans="1:18" x14ac:dyDescent="0.2">
      <c r="A188" t="s">
        <v>235</v>
      </c>
      <c r="B188" t="s">
        <v>241</v>
      </c>
      <c r="C188">
        <v>0</v>
      </c>
      <c r="D188">
        <v>0</v>
      </c>
      <c r="E188">
        <v>0</v>
      </c>
      <c r="F188">
        <v>0</v>
      </c>
      <c r="H188">
        <v>13</v>
      </c>
      <c r="I188">
        <v>3</v>
      </c>
      <c r="J188">
        <v>13.375</v>
      </c>
      <c r="K188">
        <v>0.5</v>
      </c>
      <c r="L188">
        <v>12.875</v>
      </c>
      <c r="M188">
        <v>0</v>
      </c>
      <c r="N188">
        <v>4</v>
      </c>
      <c r="O188">
        <v>13</v>
      </c>
      <c r="P188">
        <v>3</v>
      </c>
    </row>
    <row r="189" spans="1:18" x14ac:dyDescent="0.2">
      <c r="A189" t="s">
        <v>242</v>
      </c>
      <c r="B189" t="s">
        <v>243</v>
      </c>
      <c r="C189">
        <v>0</v>
      </c>
      <c r="D189">
        <v>0</v>
      </c>
      <c r="E189">
        <v>0</v>
      </c>
      <c r="F189">
        <v>0</v>
      </c>
      <c r="H189">
        <v>8</v>
      </c>
      <c r="I189">
        <v>5</v>
      </c>
      <c r="J189">
        <v>8.625</v>
      </c>
      <c r="K189">
        <v>8.625</v>
      </c>
      <c r="L189">
        <v>0</v>
      </c>
      <c r="M189">
        <v>8</v>
      </c>
      <c r="N189">
        <v>5</v>
      </c>
    </row>
    <row r="190" spans="1:18" x14ac:dyDescent="0.2">
      <c r="A190" t="s">
        <v>242</v>
      </c>
      <c r="B190" t="s">
        <v>244</v>
      </c>
      <c r="C190">
        <v>0</v>
      </c>
      <c r="D190">
        <v>0</v>
      </c>
      <c r="E190">
        <v>0</v>
      </c>
      <c r="F190">
        <v>0</v>
      </c>
      <c r="G190" t="s">
        <v>98</v>
      </c>
      <c r="H190">
        <v>69</v>
      </c>
      <c r="I190">
        <v>7</v>
      </c>
      <c r="J190">
        <v>69.875</v>
      </c>
      <c r="K190">
        <v>69.875</v>
      </c>
      <c r="L190">
        <v>0</v>
      </c>
      <c r="M190">
        <v>69</v>
      </c>
      <c r="N190">
        <v>7</v>
      </c>
    </row>
    <row r="191" spans="1:18" x14ac:dyDescent="0.2">
      <c r="A191" t="s">
        <v>242</v>
      </c>
      <c r="B191" t="s">
        <v>245</v>
      </c>
      <c r="C191">
        <v>0</v>
      </c>
      <c r="D191">
        <v>0</v>
      </c>
      <c r="E191">
        <v>0</v>
      </c>
      <c r="F191">
        <v>0</v>
      </c>
      <c r="H191">
        <v>8</v>
      </c>
      <c r="I191">
        <v>0</v>
      </c>
      <c r="J191">
        <v>8</v>
      </c>
      <c r="K191">
        <v>8</v>
      </c>
      <c r="L191">
        <v>0</v>
      </c>
      <c r="M191">
        <v>8</v>
      </c>
      <c r="N191">
        <v>0</v>
      </c>
    </row>
    <row r="192" spans="1:18" x14ac:dyDescent="0.2">
      <c r="A192" t="s">
        <v>242</v>
      </c>
      <c r="B192" t="s">
        <v>246</v>
      </c>
      <c r="C192">
        <v>0</v>
      </c>
      <c r="D192">
        <v>0</v>
      </c>
      <c r="E192">
        <v>0</v>
      </c>
      <c r="F192">
        <v>0</v>
      </c>
      <c r="H192">
        <v>0</v>
      </c>
      <c r="I192">
        <v>2</v>
      </c>
      <c r="J192">
        <v>0.25</v>
      </c>
      <c r="K192">
        <v>0.25</v>
      </c>
      <c r="L192">
        <v>0</v>
      </c>
      <c r="M192">
        <v>0</v>
      </c>
      <c r="N192">
        <v>2</v>
      </c>
    </row>
    <row r="193" spans="1:16" x14ac:dyDescent="0.2">
      <c r="A193" t="s">
        <v>242</v>
      </c>
      <c r="B193" t="s">
        <v>247</v>
      </c>
      <c r="C193">
        <v>0</v>
      </c>
      <c r="D193">
        <v>0</v>
      </c>
      <c r="E193">
        <v>0</v>
      </c>
      <c r="F193">
        <v>0</v>
      </c>
      <c r="H193">
        <v>1.5</v>
      </c>
      <c r="I193">
        <v>0</v>
      </c>
      <c r="J193">
        <v>1.5</v>
      </c>
      <c r="K193">
        <v>1.5</v>
      </c>
      <c r="L193">
        <v>0</v>
      </c>
      <c r="M193">
        <v>1.5</v>
      </c>
      <c r="N193">
        <v>0</v>
      </c>
    </row>
    <row r="194" spans="1:16" x14ac:dyDescent="0.2">
      <c r="A194" t="s">
        <v>242</v>
      </c>
      <c r="B194" t="s">
        <v>248</v>
      </c>
      <c r="C194">
        <v>0</v>
      </c>
      <c r="D194">
        <v>0</v>
      </c>
      <c r="E194">
        <v>0</v>
      </c>
      <c r="F194">
        <v>0</v>
      </c>
      <c r="H194">
        <v>79</v>
      </c>
      <c r="I194">
        <v>5</v>
      </c>
      <c r="J194">
        <v>79.625</v>
      </c>
      <c r="K194">
        <v>79.625</v>
      </c>
      <c r="L194">
        <v>0</v>
      </c>
      <c r="M194">
        <v>79</v>
      </c>
      <c r="N194">
        <v>5</v>
      </c>
    </row>
    <row r="195" spans="1:16" x14ac:dyDescent="0.2">
      <c r="A195" t="s">
        <v>242</v>
      </c>
      <c r="B195" t="s">
        <v>249</v>
      </c>
      <c r="C195">
        <v>0</v>
      </c>
      <c r="D195">
        <v>0</v>
      </c>
      <c r="E195">
        <v>0</v>
      </c>
      <c r="F195">
        <v>0</v>
      </c>
      <c r="H195">
        <v>28</v>
      </c>
      <c r="I195">
        <v>6</v>
      </c>
      <c r="J195">
        <v>28.75</v>
      </c>
      <c r="K195">
        <v>28.75</v>
      </c>
      <c r="L195">
        <v>0</v>
      </c>
      <c r="M195">
        <v>28</v>
      </c>
      <c r="N195">
        <v>6</v>
      </c>
    </row>
    <row r="196" spans="1:16" x14ac:dyDescent="0.2">
      <c r="A196" t="s">
        <v>242</v>
      </c>
      <c r="B196" t="s">
        <v>250</v>
      </c>
      <c r="C196">
        <v>0</v>
      </c>
      <c r="D196">
        <v>0</v>
      </c>
      <c r="E196">
        <v>0</v>
      </c>
      <c r="F196">
        <v>0</v>
      </c>
      <c r="H196">
        <v>0</v>
      </c>
      <c r="I196">
        <v>2</v>
      </c>
      <c r="J196">
        <v>0.25</v>
      </c>
      <c r="K196">
        <v>0.25</v>
      </c>
      <c r="L196">
        <v>0</v>
      </c>
      <c r="M196">
        <v>0</v>
      </c>
      <c r="N196">
        <v>2</v>
      </c>
      <c r="O196">
        <v>0</v>
      </c>
      <c r="P196">
        <v>2</v>
      </c>
    </row>
    <row r="197" spans="1:16" x14ac:dyDescent="0.2">
      <c r="A197" t="s">
        <v>242</v>
      </c>
      <c r="B197" t="s">
        <v>139</v>
      </c>
      <c r="C197">
        <v>0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6" x14ac:dyDescent="0.2">
      <c r="A198" t="s">
        <v>242</v>
      </c>
      <c r="B198" t="s">
        <v>251</v>
      </c>
      <c r="C198">
        <v>0</v>
      </c>
      <c r="D198">
        <v>0</v>
      </c>
      <c r="E198">
        <v>0</v>
      </c>
      <c r="F198">
        <v>0</v>
      </c>
      <c r="H198">
        <v>6.5</v>
      </c>
      <c r="I198">
        <v>0</v>
      </c>
      <c r="J198">
        <v>6.5</v>
      </c>
      <c r="K198">
        <v>6.5</v>
      </c>
      <c r="L198">
        <v>0</v>
      </c>
      <c r="M198">
        <v>6.5</v>
      </c>
      <c r="N198">
        <v>0</v>
      </c>
    </row>
    <row r="199" spans="1:16" x14ac:dyDescent="0.2">
      <c r="A199" t="s">
        <v>242</v>
      </c>
      <c r="B199" t="s">
        <v>139</v>
      </c>
      <c r="C199">
        <v>0</v>
      </c>
      <c r="D199">
        <v>0</v>
      </c>
      <c r="E199">
        <v>0</v>
      </c>
      <c r="F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6" x14ac:dyDescent="0.2">
      <c r="A200" t="s">
        <v>242</v>
      </c>
      <c r="B200" t="s">
        <v>252</v>
      </c>
      <c r="C200">
        <v>0</v>
      </c>
      <c r="D200">
        <v>0</v>
      </c>
      <c r="E200">
        <v>0</v>
      </c>
      <c r="F200">
        <v>0</v>
      </c>
      <c r="H200">
        <v>8</v>
      </c>
      <c r="I200">
        <v>0</v>
      </c>
      <c r="J200">
        <v>8</v>
      </c>
      <c r="K200">
        <v>8</v>
      </c>
      <c r="L200">
        <v>0</v>
      </c>
      <c r="M200">
        <v>8</v>
      </c>
      <c r="N200">
        <v>0</v>
      </c>
    </row>
    <row r="201" spans="1:16" x14ac:dyDescent="0.2">
      <c r="A201" t="s">
        <v>242</v>
      </c>
      <c r="B201" t="s">
        <v>139</v>
      </c>
      <c r="C201">
        <v>0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6" x14ac:dyDescent="0.2">
      <c r="A202" t="s">
        <v>242</v>
      </c>
      <c r="B202" t="s">
        <v>215</v>
      </c>
      <c r="C202">
        <v>0</v>
      </c>
      <c r="D202">
        <v>0</v>
      </c>
      <c r="E202">
        <v>0</v>
      </c>
      <c r="F202">
        <v>0</v>
      </c>
      <c r="H202">
        <v>0</v>
      </c>
      <c r="I202">
        <v>1</v>
      </c>
      <c r="J202">
        <v>0.125</v>
      </c>
      <c r="K202">
        <v>0.125</v>
      </c>
      <c r="L202">
        <v>0</v>
      </c>
      <c r="M202">
        <v>0</v>
      </c>
      <c r="N202">
        <v>1</v>
      </c>
    </row>
    <row r="203" spans="1:16" x14ac:dyDescent="0.2">
      <c r="A203" t="s">
        <v>242</v>
      </c>
      <c r="B203" t="s">
        <v>253</v>
      </c>
      <c r="C203">
        <v>0</v>
      </c>
      <c r="D203">
        <v>0</v>
      </c>
      <c r="E203">
        <v>0</v>
      </c>
      <c r="F203">
        <v>0</v>
      </c>
      <c r="H203">
        <v>1.5</v>
      </c>
      <c r="I203">
        <v>2</v>
      </c>
      <c r="J203">
        <v>1.75</v>
      </c>
      <c r="K203">
        <v>0.25</v>
      </c>
      <c r="L203">
        <v>1.5</v>
      </c>
      <c r="M203">
        <v>0</v>
      </c>
      <c r="N203">
        <v>2</v>
      </c>
      <c r="O203">
        <v>1.5</v>
      </c>
      <c r="P203">
        <v>0</v>
      </c>
    </row>
    <row r="204" spans="1:16" x14ac:dyDescent="0.2">
      <c r="A204" t="s">
        <v>242</v>
      </c>
      <c r="B204" t="s">
        <v>139</v>
      </c>
      <c r="C204">
        <v>0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6" x14ac:dyDescent="0.2">
      <c r="A205" t="s">
        <v>242</v>
      </c>
      <c r="B205" t="s">
        <v>254</v>
      </c>
      <c r="C205">
        <v>0</v>
      </c>
      <c r="D205">
        <v>0</v>
      </c>
      <c r="E205">
        <v>0</v>
      </c>
      <c r="F205">
        <v>0</v>
      </c>
      <c r="H205">
        <v>8.5</v>
      </c>
      <c r="I205">
        <v>0</v>
      </c>
      <c r="J205">
        <v>8.5</v>
      </c>
      <c r="K205">
        <v>8.5</v>
      </c>
      <c r="L205">
        <v>0</v>
      </c>
      <c r="M205">
        <v>8.5</v>
      </c>
      <c r="N205">
        <v>0</v>
      </c>
    </row>
    <row r="206" spans="1:16" x14ac:dyDescent="0.2">
      <c r="A206" t="s">
        <v>242</v>
      </c>
      <c r="B206" t="s">
        <v>255</v>
      </c>
      <c r="C206">
        <v>0</v>
      </c>
      <c r="D206">
        <v>0</v>
      </c>
      <c r="E206">
        <v>0</v>
      </c>
      <c r="F206">
        <v>0</v>
      </c>
      <c r="H206">
        <v>26</v>
      </c>
      <c r="I206">
        <v>0</v>
      </c>
      <c r="J206">
        <v>26</v>
      </c>
      <c r="K206">
        <v>26</v>
      </c>
      <c r="L206">
        <v>0</v>
      </c>
      <c r="M206">
        <v>26</v>
      </c>
      <c r="N206">
        <v>0</v>
      </c>
    </row>
    <row r="207" spans="1:16" x14ac:dyDescent="0.2">
      <c r="A207" t="s">
        <v>256</v>
      </c>
      <c r="B207" t="s">
        <v>257</v>
      </c>
      <c r="C207">
        <v>0</v>
      </c>
      <c r="D207">
        <v>0</v>
      </c>
      <c r="E207">
        <v>0</v>
      </c>
      <c r="F207">
        <v>0</v>
      </c>
      <c r="G207" t="s">
        <v>100</v>
      </c>
      <c r="H207">
        <v>0</v>
      </c>
      <c r="I207">
        <v>6</v>
      </c>
      <c r="J207">
        <v>0.75</v>
      </c>
      <c r="K207">
        <v>0.75</v>
      </c>
      <c r="L207">
        <v>0</v>
      </c>
      <c r="M207">
        <v>0</v>
      </c>
      <c r="N207">
        <v>6</v>
      </c>
    </row>
    <row r="208" spans="1:16" x14ac:dyDescent="0.2">
      <c r="A208" t="s">
        <v>256</v>
      </c>
      <c r="B208" t="s">
        <v>258</v>
      </c>
      <c r="C208">
        <v>0</v>
      </c>
      <c r="D208">
        <v>0</v>
      </c>
      <c r="E208">
        <v>0</v>
      </c>
      <c r="F208">
        <v>0</v>
      </c>
      <c r="H208">
        <v>0.5</v>
      </c>
      <c r="I208">
        <v>2</v>
      </c>
      <c r="J208">
        <v>0.75</v>
      </c>
      <c r="K208">
        <v>0.25</v>
      </c>
      <c r="L208">
        <v>0.5</v>
      </c>
      <c r="M208">
        <v>0</v>
      </c>
      <c r="N208">
        <v>2</v>
      </c>
      <c r="O208">
        <v>0.5</v>
      </c>
      <c r="P208">
        <v>0</v>
      </c>
    </row>
    <row r="209" spans="1:14" x14ac:dyDescent="0.2">
      <c r="A209" t="s">
        <v>259</v>
      </c>
      <c r="B209" t="s">
        <v>260</v>
      </c>
      <c r="C209">
        <v>0</v>
      </c>
      <c r="D209">
        <v>0</v>
      </c>
      <c r="E209">
        <v>0</v>
      </c>
      <c r="F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">
      <c r="A210" t="s">
        <v>259</v>
      </c>
      <c r="B210" t="s">
        <v>261</v>
      </c>
      <c r="C210">
        <v>0</v>
      </c>
      <c r="D210">
        <v>0</v>
      </c>
      <c r="E210">
        <v>0</v>
      </c>
      <c r="F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">
      <c r="A211" t="s">
        <v>259</v>
      </c>
      <c r="B211" t="s">
        <v>262</v>
      </c>
      <c r="C211">
        <v>0</v>
      </c>
      <c r="D211">
        <v>0</v>
      </c>
      <c r="E211">
        <v>0</v>
      </c>
      <c r="F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">
      <c r="A212" t="s">
        <v>259</v>
      </c>
      <c r="B212" t="s">
        <v>263</v>
      </c>
      <c r="C212">
        <v>0</v>
      </c>
      <c r="D212">
        <v>0</v>
      </c>
      <c r="E212">
        <v>0</v>
      </c>
      <c r="F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">
      <c r="A213" t="s">
        <v>259</v>
      </c>
      <c r="B213" t="s">
        <v>264</v>
      </c>
      <c r="C213">
        <v>0</v>
      </c>
      <c r="D213">
        <v>0</v>
      </c>
      <c r="E213">
        <v>0</v>
      </c>
      <c r="F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">
      <c r="A214" t="s">
        <v>259</v>
      </c>
      <c r="B214" t="s">
        <v>265</v>
      </c>
      <c r="C214">
        <v>0</v>
      </c>
      <c r="D214">
        <v>0</v>
      </c>
      <c r="E214">
        <v>0</v>
      </c>
      <c r="F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">
      <c r="A215" t="s">
        <v>259</v>
      </c>
      <c r="B215" t="s">
        <v>266</v>
      </c>
      <c r="C215">
        <v>0</v>
      </c>
      <c r="D215">
        <v>0</v>
      </c>
      <c r="E215">
        <v>0</v>
      </c>
      <c r="F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">
      <c r="A216" t="s">
        <v>259</v>
      </c>
      <c r="B216" t="s">
        <v>267</v>
      </c>
      <c r="C216">
        <v>0</v>
      </c>
      <c r="D216">
        <v>0</v>
      </c>
      <c r="E216">
        <v>0</v>
      </c>
      <c r="F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t="s">
        <v>259</v>
      </c>
      <c r="B217" t="s">
        <v>268</v>
      </c>
      <c r="C217">
        <v>0</v>
      </c>
      <c r="D217">
        <v>0</v>
      </c>
      <c r="E217">
        <v>0</v>
      </c>
      <c r="F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">
      <c r="A218" t="s">
        <v>259</v>
      </c>
      <c r="B218" t="s">
        <v>269</v>
      </c>
      <c r="C218">
        <v>0</v>
      </c>
      <c r="D218">
        <v>0</v>
      </c>
      <c r="E218">
        <v>0</v>
      </c>
      <c r="F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">
      <c r="A219" t="s">
        <v>259</v>
      </c>
      <c r="B219" t="s">
        <v>270</v>
      </c>
      <c r="C219">
        <v>0</v>
      </c>
      <c r="D219">
        <v>0</v>
      </c>
      <c r="E219">
        <v>0</v>
      </c>
      <c r="F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">
      <c r="A220" t="s">
        <v>259</v>
      </c>
      <c r="B220" t="s">
        <v>271</v>
      </c>
      <c r="C220">
        <v>0</v>
      </c>
      <c r="D220">
        <v>0</v>
      </c>
      <c r="E220">
        <v>0</v>
      </c>
      <c r="F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">
      <c r="A221" t="s">
        <v>259</v>
      </c>
      <c r="B221" t="s">
        <v>272</v>
      </c>
      <c r="C221">
        <v>0</v>
      </c>
      <c r="D221">
        <v>0</v>
      </c>
      <c r="E221">
        <v>0</v>
      </c>
      <c r="F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">
      <c r="A222" t="s">
        <v>259</v>
      </c>
      <c r="B222" t="s">
        <v>273</v>
      </c>
      <c r="C222">
        <v>0</v>
      </c>
      <c r="D222">
        <v>0</v>
      </c>
      <c r="E222">
        <v>0</v>
      </c>
      <c r="F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">
      <c r="A223" t="s">
        <v>259</v>
      </c>
      <c r="B223" t="s">
        <v>274</v>
      </c>
      <c r="C223">
        <v>0</v>
      </c>
      <c r="D223">
        <v>0</v>
      </c>
      <c r="E223">
        <v>0</v>
      </c>
      <c r="F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">
      <c r="A224" t="s">
        <v>259</v>
      </c>
      <c r="B224" t="s">
        <v>275</v>
      </c>
      <c r="C224">
        <v>0</v>
      </c>
      <c r="D224">
        <v>0</v>
      </c>
      <c r="E224">
        <v>0</v>
      </c>
      <c r="F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">
      <c r="A225" t="s">
        <v>259</v>
      </c>
      <c r="B225" t="s">
        <v>276</v>
      </c>
      <c r="C225">
        <v>0</v>
      </c>
      <c r="D225">
        <v>0</v>
      </c>
      <c r="E225">
        <v>0</v>
      </c>
      <c r="F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">
      <c r="A226" t="s">
        <v>259</v>
      </c>
      <c r="B226" t="s">
        <v>277</v>
      </c>
      <c r="C226">
        <v>0</v>
      </c>
      <c r="D226">
        <v>0</v>
      </c>
      <c r="E226">
        <v>0</v>
      </c>
      <c r="F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">
      <c r="A227" t="s">
        <v>259</v>
      </c>
      <c r="B227" t="s">
        <v>278</v>
      </c>
      <c r="C227">
        <v>0</v>
      </c>
      <c r="D227">
        <v>0</v>
      </c>
      <c r="E227">
        <v>0</v>
      </c>
      <c r="F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">
      <c r="A228" t="s">
        <v>259</v>
      </c>
      <c r="B228" t="s">
        <v>279</v>
      </c>
      <c r="C228">
        <v>0</v>
      </c>
      <c r="D228">
        <v>0</v>
      </c>
      <c r="E228">
        <v>0</v>
      </c>
      <c r="F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">
      <c r="A229" t="s">
        <v>259</v>
      </c>
      <c r="B229" t="s">
        <v>280</v>
      </c>
      <c r="C229">
        <v>0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">
      <c r="A230" t="s">
        <v>259</v>
      </c>
      <c r="B230" t="s">
        <v>281</v>
      </c>
      <c r="C230">
        <v>0</v>
      </c>
      <c r="D230">
        <v>0</v>
      </c>
      <c r="E230">
        <v>0</v>
      </c>
      <c r="F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">
      <c r="A231" t="s">
        <v>259</v>
      </c>
      <c r="B231" t="s">
        <v>282</v>
      </c>
      <c r="C231">
        <v>0</v>
      </c>
      <c r="D231">
        <v>0</v>
      </c>
      <c r="E231">
        <v>0</v>
      </c>
      <c r="F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">
      <c r="A232" t="s">
        <v>259</v>
      </c>
      <c r="B232" t="s">
        <v>283</v>
      </c>
      <c r="C232">
        <v>0</v>
      </c>
      <c r="D232">
        <v>0</v>
      </c>
      <c r="E232">
        <v>0</v>
      </c>
      <c r="F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">
      <c r="A233" t="s">
        <v>259</v>
      </c>
      <c r="B233" t="s">
        <v>264</v>
      </c>
      <c r="C233">
        <v>0</v>
      </c>
      <c r="D233">
        <v>0</v>
      </c>
      <c r="E233">
        <v>0</v>
      </c>
      <c r="F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">
      <c r="A234" t="s">
        <v>259</v>
      </c>
      <c r="B234" t="s">
        <v>284</v>
      </c>
      <c r="C234">
        <v>0</v>
      </c>
      <c r="D234">
        <v>0</v>
      </c>
      <c r="E234">
        <v>0</v>
      </c>
      <c r="F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">
      <c r="A235" t="s">
        <v>259</v>
      </c>
      <c r="B235" t="s">
        <v>285</v>
      </c>
      <c r="C235">
        <v>0</v>
      </c>
      <c r="D235">
        <v>0</v>
      </c>
      <c r="E235">
        <v>0</v>
      </c>
      <c r="F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">
      <c r="A236" t="s">
        <v>259</v>
      </c>
      <c r="B236" t="s">
        <v>286</v>
      </c>
      <c r="C236">
        <v>0</v>
      </c>
      <c r="D236">
        <v>0</v>
      </c>
      <c r="E236">
        <v>0</v>
      </c>
      <c r="F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">
      <c r="A237" t="s">
        <v>259</v>
      </c>
      <c r="B237" t="s">
        <v>287</v>
      </c>
      <c r="C237">
        <v>0</v>
      </c>
      <c r="D237">
        <v>0</v>
      </c>
      <c r="E237">
        <v>0</v>
      </c>
      <c r="F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">
      <c r="A238" t="s">
        <v>259</v>
      </c>
      <c r="B238" t="s">
        <v>288</v>
      </c>
      <c r="C238">
        <v>0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">
      <c r="A239" t="s">
        <v>259</v>
      </c>
      <c r="B239" t="s">
        <v>289</v>
      </c>
      <c r="C239">
        <v>0</v>
      </c>
      <c r="D239">
        <v>0</v>
      </c>
      <c r="E239">
        <v>0</v>
      </c>
      <c r="F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">
      <c r="A240" t="s">
        <v>259</v>
      </c>
      <c r="B240" t="s">
        <v>264</v>
      </c>
      <c r="C240">
        <v>0</v>
      </c>
      <c r="D240">
        <v>0</v>
      </c>
      <c r="E240">
        <v>0</v>
      </c>
      <c r="F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">
      <c r="A241" t="s">
        <v>259</v>
      </c>
      <c r="B241" t="s">
        <v>290</v>
      </c>
      <c r="C241">
        <v>0</v>
      </c>
      <c r="D241">
        <v>0</v>
      </c>
      <c r="E241">
        <v>0</v>
      </c>
      <c r="F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">
      <c r="A242" t="s">
        <v>259</v>
      </c>
      <c r="B242" t="s">
        <v>291</v>
      </c>
      <c r="C242">
        <v>0</v>
      </c>
      <c r="D242">
        <v>0</v>
      </c>
      <c r="E242">
        <v>0</v>
      </c>
      <c r="F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">
      <c r="A243" t="s">
        <v>259</v>
      </c>
      <c r="B243" t="s">
        <v>292</v>
      </c>
      <c r="C243">
        <v>0</v>
      </c>
      <c r="D243">
        <v>0</v>
      </c>
      <c r="E243">
        <v>0</v>
      </c>
      <c r="F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">
      <c r="A244" t="s">
        <v>259</v>
      </c>
      <c r="B244" t="s">
        <v>293</v>
      </c>
      <c r="C244">
        <v>0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259</v>
      </c>
      <c r="B245" t="s">
        <v>294</v>
      </c>
      <c r="C245">
        <v>0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">
      <c r="A246" t="s">
        <v>259</v>
      </c>
      <c r="B246" t="s">
        <v>295</v>
      </c>
      <c r="C246">
        <v>0</v>
      </c>
      <c r="D246">
        <v>0</v>
      </c>
      <c r="E246">
        <v>0</v>
      </c>
      <c r="F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">
      <c r="A247" t="s">
        <v>259</v>
      </c>
      <c r="B247" t="s">
        <v>296</v>
      </c>
      <c r="C247">
        <v>0</v>
      </c>
      <c r="D247">
        <v>0</v>
      </c>
      <c r="E247">
        <v>0</v>
      </c>
      <c r="F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259</v>
      </c>
      <c r="B248" t="s">
        <v>297</v>
      </c>
      <c r="C248">
        <v>0</v>
      </c>
      <c r="D248">
        <v>0</v>
      </c>
      <c r="E248">
        <v>0</v>
      </c>
      <c r="F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">
      <c r="A249" t="s">
        <v>259</v>
      </c>
      <c r="B249" t="s">
        <v>298</v>
      </c>
      <c r="C249">
        <v>0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">
      <c r="A250" t="s">
        <v>259</v>
      </c>
      <c r="B250" t="s">
        <v>299</v>
      </c>
      <c r="C250">
        <v>0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">
      <c r="A251" t="s">
        <v>259</v>
      </c>
      <c r="B251" t="s">
        <v>222</v>
      </c>
      <c r="C251">
        <v>0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">
      <c r="A252" t="s">
        <v>259</v>
      </c>
      <c r="B252" t="s">
        <v>300</v>
      </c>
      <c r="C252">
        <v>0</v>
      </c>
      <c r="D252">
        <v>0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">
      <c r="A253" t="s">
        <v>259</v>
      </c>
      <c r="B253" t="s">
        <v>222</v>
      </c>
      <c r="C253">
        <v>0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">
      <c r="A254" t="s">
        <v>259</v>
      </c>
      <c r="B254" t="s">
        <v>301</v>
      </c>
      <c r="C254">
        <v>0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">
      <c r="A255" t="s">
        <v>259</v>
      </c>
      <c r="B255" t="s">
        <v>302</v>
      </c>
      <c r="C255">
        <v>0</v>
      </c>
      <c r="D255">
        <v>0</v>
      </c>
      <c r="E255">
        <v>0</v>
      </c>
      <c r="F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259</v>
      </c>
      <c r="B256" t="s">
        <v>303</v>
      </c>
      <c r="C256">
        <v>0</v>
      </c>
      <c r="D256">
        <v>0</v>
      </c>
      <c r="E256">
        <v>0</v>
      </c>
      <c r="F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259</v>
      </c>
      <c r="B257" t="s">
        <v>304</v>
      </c>
      <c r="C257">
        <v>0</v>
      </c>
      <c r="D257">
        <v>0</v>
      </c>
      <c r="E257">
        <v>0</v>
      </c>
      <c r="F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259</v>
      </c>
      <c r="B258" t="s">
        <v>305</v>
      </c>
      <c r="C258">
        <v>0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259</v>
      </c>
      <c r="B259" t="s">
        <v>306</v>
      </c>
      <c r="C259">
        <v>0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259</v>
      </c>
      <c r="B260" t="s">
        <v>307</v>
      </c>
      <c r="C260">
        <v>0</v>
      </c>
      <c r="D260">
        <v>0</v>
      </c>
      <c r="E260">
        <v>0</v>
      </c>
      <c r="F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259</v>
      </c>
      <c r="B261" t="s">
        <v>308</v>
      </c>
      <c r="C261">
        <v>0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259</v>
      </c>
      <c r="B262" t="s">
        <v>309</v>
      </c>
      <c r="C262">
        <v>0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259</v>
      </c>
      <c r="B263" t="s">
        <v>310</v>
      </c>
      <c r="C263">
        <v>0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259</v>
      </c>
      <c r="B264" t="s">
        <v>311</v>
      </c>
      <c r="C264">
        <v>0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259</v>
      </c>
      <c r="B265" t="s">
        <v>312</v>
      </c>
      <c r="C265">
        <v>0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259</v>
      </c>
      <c r="B266" t="s">
        <v>313</v>
      </c>
      <c r="C266">
        <v>0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259</v>
      </c>
      <c r="B267" t="s">
        <v>222</v>
      </c>
      <c r="C267">
        <v>0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259</v>
      </c>
      <c r="B268" t="s">
        <v>314</v>
      </c>
      <c r="C268">
        <v>0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259</v>
      </c>
      <c r="B269" t="s">
        <v>315</v>
      </c>
      <c r="C269">
        <v>0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259</v>
      </c>
      <c r="B270" t="s">
        <v>316</v>
      </c>
      <c r="C270">
        <v>0</v>
      </c>
      <c r="D270">
        <v>0</v>
      </c>
      <c r="E270">
        <v>0</v>
      </c>
      <c r="F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259</v>
      </c>
      <c r="B271" t="s">
        <v>317</v>
      </c>
      <c r="C271">
        <v>0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7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352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  <c r="U1" s="1" t="s">
        <v>359</v>
      </c>
      <c r="V1" s="1" t="s">
        <v>360</v>
      </c>
      <c r="W1" s="1" t="s">
        <v>361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362</v>
      </c>
      <c r="AD1" s="1" t="s">
        <v>363</v>
      </c>
      <c r="AE1" s="1" t="s">
        <v>14</v>
      </c>
      <c r="AF1" s="1" t="s">
        <v>15</v>
      </c>
      <c r="AG1" s="1" t="s">
        <v>16</v>
      </c>
      <c r="AH1" s="1" t="s">
        <v>17</v>
      </c>
    </row>
    <row r="2" spans="1:34" x14ac:dyDescent="0.2">
      <c r="A2" t="s">
        <v>197</v>
      </c>
      <c r="B2" t="s">
        <v>319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4" x14ac:dyDescent="0.2">
      <c r="A3" t="s">
        <v>204</v>
      </c>
      <c r="B3" t="s">
        <v>205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</v>
      </c>
      <c r="Y3">
        <v>3</v>
      </c>
      <c r="Z3">
        <v>3.375</v>
      </c>
      <c r="AA3">
        <v>3.375</v>
      </c>
      <c r="AB3">
        <v>0</v>
      </c>
      <c r="AC3">
        <v>3</v>
      </c>
      <c r="AD3">
        <v>3</v>
      </c>
    </row>
    <row r="4" spans="1:34" x14ac:dyDescent="0.2">
      <c r="A4" t="s">
        <v>204</v>
      </c>
      <c r="B4" t="s">
        <v>206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70</v>
      </c>
      <c r="U4">
        <v>2.5</v>
      </c>
      <c r="V4">
        <v>70.3125</v>
      </c>
      <c r="W4">
        <v>0</v>
      </c>
      <c r="X4">
        <v>70</v>
      </c>
      <c r="Y4">
        <v>2.5</v>
      </c>
      <c r="Z4">
        <v>70.3125</v>
      </c>
      <c r="AA4">
        <v>70.3125</v>
      </c>
      <c r="AB4">
        <v>0</v>
      </c>
      <c r="AC4">
        <v>70</v>
      </c>
      <c r="AD4">
        <v>2.5</v>
      </c>
    </row>
    <row r="5" spans="1:34" x14ac:dyDescent="0.2">
      <c r="A5" t="s">
        <v>204</v>
      </c>
      <c r="B5" t="s">
        <v>207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1.5</v>
      </c>
      <c r="Y5">
        <v>0</v>
      </c>
      <c r="Z5">
        <v>1.5</v>
      </c>
      <c r="AA5">
        <v>1.5</v>
      </c>
      <c r="AB5">
        <v>0</v>
      </c>
      <c r="AC5">
        <v>1.5</v>
      </c>
      <c r="AD5">
        <v>0</v>
      </c>
    </row>
    <row r="6" spans="1:34" x14ac:dyDescent="0.2">
      <c r="A6" t="s">
        <v>204</v>
      </c>
      <c r="B6" t="s">
        <v>208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</v>
      </c>
      <c r="Y6">
        <v>1</v>
      </c>
      <c r="Z6">
        <v>5.125</v>
      </c>
      <c r="AA6">
        <v>5.125</v>
      </c>
      <c r="AB6">
        <v>0</v>
      </c>
      <c r="AC6">
        <v>5</v>
      </c>
      <c r="AD6">
        <v>1</v>
      </c>
    </row>
    <row r="7" spans="1:34" x14ac:dyDescent="0.2">
      <c r="A7" t="s">
        <v>204</v>
      </c>
      <c r="B7" t="s">
        <v>209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</v>
      </c>
      <c r="Z7">
        <v>0.75</v>
      </c>
      <c r="AA7">
        <v>0.75</v>
      </c>
      <c r="AB7">
        <v>0</v>
      </c>
      <c r="AC7">
        <v>0</v>
      </c>
      <c r="AD7">
        <v>6</v>
      </c>
    </row>
    <row r="8" spans="1:34" x14ac:dyDescent="0.2">
      <c r="A8" t="s">
        <v>204</v>
      </c>
      <c r="B8" t="s">
        <v>210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77</v>
      </c>
      <c r="Y8">
        <v>5.5</v>
      </c>
      <c r="Z8">
        <v>77.6875</v>
      </c>
      <c r="AA8">
        <v>77.6875</v>
      </c>
      <c r="AB8">
        <v>0</v>
      </c>
      <c r="AC8">
        <v>77</v>
      </c>
      <c r="AD8">
        <v>5.5</v>
      </c>
    </row>
    <row r="9" spans="1:34" x14ac:dyDescent="0.2">
      <c r="A9" t="s">
        <v>204</v>
      </c>
      <c r="B9" t="s">
        <v>211</v>
      </c>
      <c r="C9">
        <v>0</v>
      </c>
      <c r="D9">
        <v>0</v>
      </c>
      <c r="E9">
        <v>15.5</v>
      </c>
      <c r="F9">
        <v>0</v>
      </c>
      <c r="G9">
        <v>15.5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15.5</v>
      </c>
      <c r="Y9">
        <v>0</v>
      </c>
      <c r="Z9">
        <v>15.5</v>
      </c>
      <c r="AA9">
        <v>15.5</v>
      </c>
      <c r="AB9">
        <v>0</v>
      </c>
      <c r="AC9">
        <v>15.5</v>
      </c>
      <c r="AD9">
        <v>0</v>
      </c>
    </row>
    <row r="10" spans="1:34" x14ac:dyDescent="0.2">
      <c r="A10" t="s">
        <v>204</v>
      </c>
      <c r="B10" t="s">
        <v>212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0.125</v>
      </c>
      <c r="AA10">
        <v>0.1875</v>
      </c>
      <c r="AB10">
        <v>-6.25E-2</v>
      </c>
      <c r="AC10">
        <v>0</v>
      </c>
      <c r="AD10">
        <v>1.5</v>
      </c>
      <c r="AE10">
        <v>0</v>
      </c>
      <c r="AF10">
        <v>1</v>
      </c>
    </row>
    <row r="11" spans="1:34" x14ac:dyDescent="0.2">
      <c r="A11" t="s">
        <v>204</v>
      </c>
      <c r="B11" t="s">
        <v>139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4" x14ac:dyDescent="0.2">
      <c r="A12" t="s">
        <v>204</v>
      </c>
      <c r="B12" t="s">
        <v>139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4" x14ac:dyDescent="0.2">
      <c r="A13" t="s">
        <v>204</v>
      </c>
      <c r="B13" t="s">
        <v>139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4" x14ac:dyDescent="0.2">
      <c r="A14" t="s">
        <v>204</v>
      </c>
      <c r="B14" t="s">
        <v>139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4" x14ac:dyDescent="0.2">
      <c r="A15" t="s">
        <v>204</v>
      </c>
      <c r="B15" t="s">
        <v>213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1.5</v>
      </c>
      <c r="Z15">
        <v>0.1875</v>
      </c>
      <c r="AA15">
        <v>0.1875</v>
      </c>
      <c r="AB15">
        <v>0</v>
      </c>
      <c r="AC15">
        <v>0</v>
      </c>
      <c r="AD15">
        <v>1.5</v>
      </c>
    </row>
    <row r="16" spans="1:34" x14ac:dyDescent="0.2">
      <c r="A16" t="s">
        <v>204</v>
      </c>
      <c r="B16" t="s">
        <v>139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">
      <c r="A17" t="s">
        <v>204</v>
      </c>
      <c r="B17" t="s">
        <v>139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">
      <c r="A18" t="s">
        <v>204</v>
      </c>
      <c r="B18" t="s">
        <v>139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">
      <c r="A19" t="s">
        <v>204</v>
      </c>
      <c r="B19" t="s">
        <v>139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">
      <c r="A20" t="s">
        <v>204</v>
      </c>
      <c r="B20" t="s">
        <v>214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0.375</v>
      </c>
      <c r="AA20">
        <v>0.375</v>
      </c>
      <c r="AB20">
        <v>0</v>
      </c>
      <c r="AC20">
        <v>0</v>
      </c>
      <c r="AD20">
        <v>3</v>
      </c>
    </row>
    <row r="21" spans="1:30" x14ac:dyDescent="0.2">
      <c r="A21" t="s">
        <v>204</v>
      </c>
      <c r="B21" t="s">
        <v>215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0.125</v>
      </c>
      <c r="AA21">
        <v>0.125</v>
      </c>
      <c r="AB21">
        <v>0</v>
      </c>
      <c r="AC21">
        <v>0</v>
      </c>
      <c r="AD21">
        <v>1</v>
      </c>
    </row>
    <row r="22" spans="1:30" x14ac:dyDescent="0.2">
      <c r="A22" t="s">
        <v>204</v>
      </c>
      <c r="B22" t="s">
        <v>216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1.5</v>
      </c>
      <c r="Y22">
        <v>0</v>
      </c>
      <c r="Z22">
        <v>1.5</v>
      </c>
      <c r="AA22">
        <v>1.5</v>
      </c>
      <c r="AB22">
        <v>0</v>
      </c>
      <c r="AC22">
        <v>1.5</v>
      </c>
      <c r="AD22">
        <v>0</v>
      </c>
    </row>
    <row r="23" spans="1:30" x14ac:dyDescent="0.2">
      <c r="A23" t="s">
        <v>204</v>
      </c>
      <c r="B23" t="s">
        <v>139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">
      <c r="A24" t="s">
        <v>204</v>
      </c>
      <c r="B24" t="s">
        <v>139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">
      <c r="A25" t="s">
        <v>204</v>
      </c>
      <c r="B25" t="s">
        <v>139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">
      <c r="A26" t="s">
        <v>204</v>
      </c>
      <c r="B26" t="s">
        <v>139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">
      <c r="A27" t="s">
        <v>204</v>
      </c>
      <c r="B27" t="s">
        <v>217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1.5</v>
      </c>
      <c r="Y27">
        <v>0</v>
      </c>
      <c r="Z27">
        <v>1.5</v>
      </c>
      <c r="AA27">
        <v>1.5</v>
      </c>
      <c r="AB27">
        <v>0</v>
      </c>
      <c r="AC27">
        <v>1.5</v>
      </c>
      <c r="AD27">
        <v>0</v>
      </c>
    </row>
    <row r="28" spans="1:30" x14ac:dyDescent="0.2">
      <c r="A28" t="s">
        <v>204</v>
      </c>
      <c r="B28" t="s">
        <v>139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">
      <c r="A29" t="s">
        <v>204</v>
      </c>
      <c r="B29" t="s">
        <v>139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">
      <c r="A30" t="s">
        <v>204</v>
      </c>
      <c r="B30" t="s">
        <v>139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">
      <c r="A31" t="s">
        <v>204</v>
      </c>
      <c r="B31" t="s">
        <v>139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">
      <c r="A32" t="s">
        <v>204</v>
      </c>
      <c r="B32" t="s">
        <v>218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5.5</v>
      </c>
      <c r="Y32">
        <v>0</v>
      </c>
      <c r="Z32">
        <v>5.5</v>
      </c>
      <c r="AA32">
        <v>5.5</v>
      </c>
      <c r="AB32">
        <v>0</v>
      </c>
      <c r="AC32">
        <v>5.5</v>
      </c>
      <c r="AD32">
        <v>0</v>
      </c>
    </row>
    <row r="33" spans="1:32" x14ac:dyDescent="0.2">
      <c r="A33" t="s">
        <v>204</v>
      </c>
      <c r="B33" t="s">
        <v>219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53</v>
      </c>
      <c r="R33">
        <v>0</v>
      </c>
      <c r="S33">
        <v>53</v>
      </c>
      <c r="T33">
        <v>0</v>
      </c>
      <c r="U33">
        <v>0</v>
      </c>
      <c r="V33">
        <v>0</v>
      </c>
      <c r="W33">
        <v>0</v>
      </c>
      <c r="X33">
        <v>53</v>
      </c>
      <c r="Y33">
        <v>0</v>
      </c>
      <c r="Z33">
        <v>53</v>
      </c>
      <c r="AA33">
        <v>53</v>
      </c>
      <c r="AB33">
        <v>0</v>
      </c>
      <c r="AC33">
        <v>53</v>
      </c>
      <c r="AD33">
        <v>0</v>
      </c>
    </row>
    <row r="34" spans="1:32" x14ac:dyDescent="0.2">
      <c r="A34" t="s">
        <v>204</v>
      </c>
      <c r="B34" t="s">
        <v>319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32" x14ac:dyDescent="0.2">
      <c r="A35" t="s">
        <v>220</v>
      </c>
      <c r="B35" t="s">
        <v>364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32" x14ac:dyDescent="0.2">
      <c r="A36" t="s">
        <v>220</v>
      </c>
      <c r="B36" t="s">
        <v>222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2" x14ac:dyDescent="0.2">
      <c r="A37" t="s">
        <v>220</v>
      </c>
      <c r="B37" t="s">
        <v>319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32" x14ac:dyDescent="0.2">
      <c r="A38" t="s">
        <v>235</v>
      </c>
      <c r="B38" t="s">
        <v>236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1.5</v>
      </c>
      <c r="Y38">
        <v>0</v>
      </c>
      <c r="Z38">
        <v>1.5</v>
      </c>
      <c r="AA38">
        <v>1.5</v>
      </c>
      <c r="AB38">
        <v>0</v>
      </c>
      <c r="AC38">
        <v>1.5</v>
      </c>
      <c r="AD38">
        <v>0</v>
      </c>
    </row>
    <row r="39" spans="1:32" x14ac:dyDescent="0.2">
      <c r="A39" t="s">
        <v>235</v>
      </c>
      <c r="B39" t="s">
        <v>237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19</v>
      </c>
      <c r="U39">
        <v>0</v>
      </c>
      <c r="V39">
        <v>19</v>
      </c>
      <c r="W39">
        <v>0</v>
      </c>
      <c r="X39">
        <v>19</v>
      </c>
      <c r="Y39">
        <v>0</v>
      </c>
      <c r="Z39">
        <v>19</v>
      </c>
      <c r="AA39">
        <v>19</v>
      </c>
      <c r="AB39">
        <v>0</v>
      </c>
      <c r="AC39">
        <v>19</v>
      </c>
      <c r="AD39">
        <v>0</v>
      </c>
    </row>
    <row r="40" spans="1:32" x14ac:dyDescent="0.2">
      <c r="A40" t="s">
        <v>235</v>
      </c>
      <c r="B40" t="s">
        <v>238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</v>
      </c>
      <c r="Z40">
        <v>0.5</v>
      </c>
      <c r="AA40">
        <v>0.5</v>
      </c>
      <c r="AB40">
        <v>0</v>
      </c>
      <c r="AC40">
        <v>0</v>
      </c>
      <c r="AD40">
        <v>4</v>
      </c>
    </row>
    <row r="41" spans="1:32" x14ac:dyDescent="0.2">
      <c r="A41" t="s">
        <v>235</v>
      </c>
      <c r="B41" t="s">
        <v>239</v>
      </c>
      <c r="C41">
        <v>0</v>
      </c>
      <c r="D41">
        <v>0</v>
      </c>
      <c r="E41">
        <v>5</v>
      </c>
      <c r="F41">
        <v>5</v>
      </c>
      <c r="G41">
        <v>5.625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</v>
      </c>
      <c r="Y41">
        <v>5</v>
      </c>
      <c r="Z41">
        <v>5.625</v>
      </c>
      <c r="AA41">
        <v>5.625</v>
      </c>
      <c r="AB41">
        <v>0</v>
      </c>
      <c r="AC41">
        <v>5</v>
      </c>
      <c r="AD41">
        <v>5</v>
      </c>
    </row>
    <row r="42" spans="1:32" x14ac:dyDescent="0.2">
      <c r="A42" t="s">
        <v>235</v>
      </c>
      <c r="B42" t="s">
        <v>240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0.125</v>
      </c>
      <c r="AA42">
        <v>0.25</v>
      </c>
      <c r="AB42">
        <v>-0.125</v>
      </c>
      <c r="AC42">
        <v>0</v>
      </c>
      <c r="AD42">
        <v>2</v>
      </c>
      <c r="AE42">
        <v>0</v>
      </c>
      <c r="AF42">
        <v>1</v>
      </c>
    </row>
    <row r="43" spans="1:32" x14ac:dyDescent="0.2">
      <c r="A43" t="s">
        <v>235</v>
      </c>
      <c r="B43" t="s">
        <v>241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13</v>
      </c>
      <c r="R43">
        <v>3</v>
      </c>
      <c r="S43">
        <v>13.375</v>
      </c>
      <c r="T43">
        <v>0</v>
      </c>
      <c r="U43">
        <v>0</v>
      </c>
      <c r="V43">
        <v>0</v>
      </c>
      <c r="W43">
        <v>0</v>
      </c>
      <c r="X43">
        <v>13</v>
      </c>
      <c r="Y43">
        <v>3</v>
      </c>
      <c r="Z43">
        <v>13.375</v>
      </c>
      <c r="AA43">
        <v>0.5</v>
      </c>
      <c r="AB43">
        <v>12.875</v>
      </c>
      <c r="AC43">
        <v>0</v>
      </c>
      <c r="AD43">
        <v>4</v>
      </c>
      <c r="AE43">
        <v>13</v>
      </c>
      <c r="AF43">
        <v>3</v>
      </c>
    </row>
    <row r="44" spans="1:32" x14ac:dyDescent="0.2">
      <c r="A44" t="s">
        <v>235</v>
      </c>
      <c r="B44" t="s">
        <v>319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32" x14ac:dyDescent="0.2">
      <c r="A45" t="s">
        <v>242</v>
      </c>
      <c r="B45" t="s">
        <v>243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</v>
      </c>
      <c r="Y45">
        <v>5</v>
      </c>
      <c r="Z45">
        <v>8.625</v>
      </c>
      <c r="AA45">
        <v>8.625</v>
      </c>
      <c r="AB45">
        <v>0</v>
      </c>
      <c r="AC45">
        <v>8</v>
      </c>
      <c r="AD45">
        <v>5</v>
      </c>
    </row>
    <row r="46" spans="1:32" x14ac:dyDescent="0.2">
      <c r="A46" t="s">
        <v>242</v>
      </c>
      <c r="B46" t="s">
        <v>244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69</v>
      </c>
      <c r="U46">
        <v>7</v>
      </c>
      <c r="V46">
        <v>69.875</v>
      </c>
      <c r="W46">
        <v>0</v>
      </c>
      <c r="X46">
        <v>69</v>
      </c>
      <c r="Y46">
        <v>7</v>
      </c>
      <c r="Z46">
        <v>69.875</v>
      </c>
      <c r="AA46">
        <v>69.875</v>
      </c>
      <c r="AB46">
        <v>0</v>
      </c>
      <c r="AC46">
        <v>69</v>
      </c>
      <c r="AD46">
        <v>7</v>
      </c>
    </row>
    <row r="47" spans="1:32" x14ac:dyDescent="0.2">
      <c r="A47" t="s">
        <v>242</v>
      </c>
      <c r="B47" t="s">
        <v>245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</v>
      </c>
      <c r="Y47">
        <v>0</v>
      </c>
      <c r="Z47">
        <v>8</v>
      </c>
      <c r="AA47">
        <v>8</v>
      </c>
      <c r="AB47">
        <v>0</v>
      </c>
      <c r="AC47">
        <v>8</v>
      </c>
      <c r="AD47">
        <v>0</v>
      </c>
    </row>
    <row r="48" spans="1:32" x14ac:dyDescent="0.2">
      <c r="A48" t="s">
        <v>242</v>
      </c>
      <c r="B48" t="s">
        <v>246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0.25</v>
      </c>
      <c r="AA48">
        <v>0.25</v>
      </c>
      <c r="AB48">
        <v>0</v>
      </c>
      <c r="AC48">
        <v>0</v>
      </c>
      <c r="AD48">
        <v>2</v>
      </c>
    </row>
    <row r="49" spans="1:32" x14ac:dyDescent="0.2">
      <c r="A49" t="s">
        <v>242</v>
      </c>
      <c r="B49" t="s">
        <v>247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1.5</v>
      </c>
      <c r="Y49">
        <v>0</v>
      </c>
      <c r="Z49">
        <v>1.5</v>
      </c>
      <c r="AA49">
        <v>1.5</v>
      </c>
      <c r="AB49">
        <v>0</v>
      </c>
      <c r="AC49">
        <v>1.5</v>
      </c>
      <c r="AD49">
        <v>0</v>
      </c>
    </row>
    <row r="50" spans="1:32" x14ac:dyDescent="0.2">
      <c r="A50" t="s">
        <v>242</v>
      </c>
      <c r="B50" t="s">
        <v>248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79</v>
      </c>
      <c r="Y50">
        <v>5</v>
      </c>
      <c r="Z50">
        <v>79.625</v>
      </c>
      <c r="AA50">
        <v>79.625</v>
      </c>
      <c r="AB50">
        <v>0</v>
      </c>
      <c r="AC50">
        <v>79</v>
      </c>
      <c r="AD50">
        <v>5</v>
      </c>
    </row>
    <row r="51" spans="1:32" x14ac:dyDescent="0.2">
      <c r="A51" t="s">
        <v>242</v>
      </c>
      <c r="B51" t="s">
        <v>249</v>
      </c>
      <c r="C51">
        <v>0</v>
      </c>
      <c r="D51">
        <v>0</v>
      </c>
      <c r="E51">
        <v>28</v>
      </c>
      <c r="F51">
        <v>6</v>
      </c>
      <c r="G51">
        <v>28.75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28</v>
      </c>
      <c r="Y51">
        <v>6</v>
      </c>
      <c r="Z51">
        <v>28.75</v>
      </c>
      <c r="AA51">
        <v>28.75</v>
      </c>
      <c r="AB51">
        <v>0</v>
      </c>
      <c r="AC51">
        <v>28</v>
      </c>
      <c r="AD51">
        <v>6</v>
      </c>
    </row>
    <row r="52" spans="1:32" x14ac:dyDescent="0.2">
      <c r="A52" t="s">
        <v>242</v>
      </c>
      <c r="B52" t="s">
        <v>250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0.25</v>
      </c>
      <c r="AA52">
        <v>0.25</v>
      </c>
      <c r="AB52">
        <v>0</v>
      </c>
      <c r="AC52">
        <v>0</v>
      </c>
      <c r="AD52">
        <v>2</v>
      </c>
      <c r="AE52">
        <v>0</v>
      </c>
      <c r="AF52">
        <v>2</v>
      </c>
    </row>
    <row r="53" spans="1:32" x14ac:dyDescent="0.2">
      <c r="A53" t="s">
        <v>242</v>
      </c>
      <c r="B53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2" x14ac:dyDescent="0.2">
      <c r="A54" t="s">
        <v>242</v>
      </c>
      <c r="B54" t="s">
        <v>139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2" x14ac:dyDescent="0.2">
      <c r="A55" t="s">
        <v>242</v>
      </c>
      <c r="B55" t="s">
        <v>139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2" x14ac:dyDescent="0.2">
      <c r="A56" t="s">
        <v>242</v>
      </c>
      <c r="B56" t="s">
        <v>139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2" x14ac:dyDescent="0.2">
      <c r="A57" t="s">
        <v>242</v>
      </c>
      <c r="B57" t="s">
        <v>251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</v>
      </c>
      <c r="O57">
        <v>0</v>
      </c>
      <c r="P57">
        <v>6.5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6.5</v>
      </c>
      <c r="Y57">
        <v>0</v>
      </c>
      <c r="Z57">
        <v>6.5</v>
      </c>
      <c r="AA57">
        <v>6.5</v>
      </c>
      <c r="AB57">
        <v>0</v>
      </c>
      <c r="AC57">
        <v>6.5</v>
      </c>
      <c r="AD57">
        <v>0</v>
      </c>
    </row>
    <row r="58" spans="1:32" x14ac:dyDescent="0.2">
      <c r="A58" t="s">
        <v>242</v>
      </c>
      <c r="B58" t="s">
        <v>139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2" x14ac:dyDescent="0.2">
      <c r="A59" t="s">
        <v>242</v>
      </c>
      <c r="B59" t="s">
        <v>139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2" x14ac:dyDescent="0.2">
      <c r="A60" t="s">
        <v>242</v>
      </c>
      <c r="B60" t="s">
        <v>139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2" x14ac:dyDescent="0.2">
      <c r="A61" t="s">
        <v>242</v>
      </c>
      <c r="B61" t="s">
        <v>139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2" x14ac:dyDescent="0.2">
      <c r="A62" t="s">
        <v>242</v>
      </c>
      <c r="B62" t="s">
        <v>252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8</v>
      </c>
      <c r="Y62">
        <v>0</v>
      </c>
      <c r="Z62">
        <v>8</v>
      </c>
      <c r="AA62">
        <v>8</v>
      </c>
      <c r="AB62">
        <v>0</v>
      </c>
      <c r="AC62">
        <v>8</v>
      </c>
      <c r="AD62">
        <v>0</v>
      </c>
    </row>
    <row r="63" spans="1:32" x14ac:dyDescent="0.2">
      <c r="A63" t="s">
        <v>242</v>
      </c>
      <c r="B63" t="s">
        <v>139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2" x14ac:dyDescent="0.2">
      <c r="A64" t="s">
        <v>242</v>
      </c>
      <c r="B64" t="s">
        <v>139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2" x14ac:dyDescent="0.2">
      <c r="A65" t="s">
        <v>242</v>
      </c>
      <c r="B65" t="s">
        <v>139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2" x14ac:dyDescent="0.2">
      <c r="A66" t="s">
        <v>242</v>
      </c>
      <c r="B66" t="s">
        <v>139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2" x14ac:dyDescent="0.2">
      <c r="A67" t="s">
        <v>242</v>
      </c>
      <c r="B67" t="s">
        <v>215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0.125</v>
      </c>
      <c r="AA67">
        <v>0.125</v>
      </c>
      <c r="AB67">
        <v>0</v>
      </c>
      <c r="AC67">
        <v>0</v>
      </c>
      <c r="AD67">
        <v>1</v>
      </c>
    </row>
    <row r="68" spans="1:32" x14ac:dyDescent="0.2">
      <c r="A68" t="s">
        <v>242</v>
      </c>
      <c r="B68" t="s">
        <v>253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1.5</v>
      </c>
      <c r="Y68">
        <v>2</v>
      </c>
      <c r="Z68">
        <v>1.75</v>
      </c>
      <c r="AA68">
        <v>0.25</v>
      </c>
      <c r="AB68">
        <v>1.5</v>
      </c>
      <c r="AC68">
        <v>0</v>
      </c>
      <c r="AD68">
        <v>2</v>
      </c>
      <c r="AE68">
        <v>1.5</v>
      </c>
      <c r="AF68">
        <v>0</v>
      </c>
    </row>
    <row r="69" spans="1:32" x14ac:dyDescent="0.2">
      <c r="A69" t="s">
        <v>242</v>
      </c>
      <c r="B69" t="s">
        <v>139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2" x14ac:dyDescent="0.2">
      <c r="A70" t="s">
        <v>242</v>
      </c>
      <c r="B70" t="s">
        <v>139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2" x14ac:dyDescent="0.2">
      <c r="A71" t="s">
        <v>242</v>
      </c>
      <c r="B71" t="s">
        <v>139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2" x14ac:dyDescent="0.2">
      <c r="A72" t="s">
        <v>242</v>
      </c>
      <c r="B72" t="s">
        <v>139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2" x14ac:dyDescent="0.2">
      <c r="A73" t="s">
        <v>242</v>
      </c>
      <c r="B73" t="s">
        <v>254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8.5</v>
      </c>
      <c r="O73">
        <v>0</v>
      </c>
      <c r="P73">
        <v>8.5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8.5</v>
      </c>
      <c r="Y73">
        <v>0</v>
      </c>
      <c r="Z73">
        <v>8.5</v>
      </c>
      <c r="AA73">
        <v>8.5</v>
      </c>
      <c r="AB73">
        <v>0</v>
      </c>
      <c r="AC73">
        <v>8.5</v>
      </c>
      <c r="AD73">
        <v>0</v>
      </c>
    </row>
    <row r="74" spans="1:32" x14ac:dyDescent="0.2">
      <c r="A74" t="s">
        <v>242</v>
      </c>
      <c r="B74" t="s">
        <v>255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26</v>
      </c>
      <c r="R74">
        <v>0</v>
      </c>
      <c r="S74">
        <v>26</v>
      </c>
      <c r="T74">
        <v>0</v>
      </c>
      <c r="U74">
        <v>0</v>
      </c>
      <c r="V74">
        <v>0</v>
      </c>
      <c r="W74">
        <v>0</v>
      </c>
      <c r="X74">
        <v>26</v>
      </c>
      <c r="Y74">
        <v>0</v>
      </c>
      <c r="Z74">
        <v>26</v>
      </c>
      <c r="AA74">
        <v>26</v>
      </c>
      <c r="AB74">
        <v>0</v>
      </c>
      <c r="AC74">
        <v>26</v>
      </c>
      <c r="AD74">
        <v>0</v>
      </c>
    </row>
    <row r="75" spans="1:32" x14ac:dyDescent="0.2">
      <c r="A75" t="s">
        <v>242</v>
      </c>
      <c r="B75" t="s">
        <v>319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32" x14ac:dyDescent="0.2">
      <c r="A76" t="s">
        <v>256</v>
      </c>
      <c r="B76" t="s">
        <v>257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6</v>
      </c>
      <c r="Z76">
        <v>0.75</v>
      </c>
      <c r="AA76">
        <v>0.75</v>
      </c>
      <c r="AB76">
        <v>0</v>
      </c>
      <c r="AC76">
        <v>0</v>
      </c>
      <c r="AD76">
        <v>6</v>
      </c>
    </row>
    <row r="77" spans="1:32" x14ac:dyDescent="0.2">
      <c r="A77" t="s">
        <v>256</v>
      </c>
      <c r="B77" t="s">
        <v>365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7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375</v>
      </c>
      <c r="N1" s="1" t="s">
        <v>376</v>
      </c>
      <c r="O1" s="1" t="s">
        <v>18</v>
      </c>
      <c r="P1" s="1" t="s">
        <v>19</v>
      </c>
      <c r="Q1" s="1" t="s">
        <v>12</v>
      </c>
      <c r="R1" s="1" t="s">
        <v>13</v>
      </c>
      <c r="S1" s="1" t="s">
        <v>20</v>
      </c>
      <c r="T1" s="1" t="s">
        <v>21</v>
      </c>
      <c r="U1" s="1" t="s">
        <v>14</v>
      </c>
      <c r="V1" s="1" t="s">
        <v>15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377</v>
      </c>
      <c r="AB1" s="1" t="s">
        <v>378</v>
      </c>
      <c r="AC1" s="1" t="s">
        <v>379</v>
      </c>
      <c r="AD1" s="1" t="s">
        <v>380</v>
      </c>
      <c r="AE1" s="1" t="s">
        <v>381</v>
      </c>
      <c r="AF1" s="1" t="s">
        <v>368</v>
      </c>
      <c r="AG1" s="1" t="s">
        <v>369</v>
      </c>
      <c r="AH1" s="1" t="s">
        <v>382</v>
      </c>
    </row>
    <row r="2" spans="1:34" x14ac:dyDescent="0.2">
      <c r="A2" t="s">
        <v>89</v>
      </c>
      <c r="B2" t="s">
        <v>90</v>
      </c>
      <c r="C2">
        <v>17</v>
      </c>
      <c r="D2">
        <v>17</v>
      </c>
      <c r="E2">
        <v>0</v>
      </c>
      <c r="F2">
        <v>0</v>
      </c>
      <c r="G2" t="s">
        <v>91</v>
      </c>
      <c r="H2">
        <v>52</v>
      </c>
      <c r="I2">
        <v>8</v>
      </c>
      <c r="J2">
        <v>53</v>
      </c>
      <c r="K2">
        <v>53</v>
      </c>
      <c r="L2">
        <v>0</v>
      </c>
      <c r="M2">
        <v>53</v>
      </c>
      <c r="N2">
        <v>0</v>
      </c>
      <c r="O2">
        <v>6</v>
      </c>
      <c r="P2">
        <v>0</v>
      </c>
      <c r="Q2">
        <v>2</v>
      </c>
      <c r="R2">
        <v>7</v>
      </c>
      <c r="S2">
        <v>6</v>
      </c>
      <c r="T2">
        <v>8</v>
      </c>
      <c r="U2">
        <v>50</v>
      </c>
      <c r="V2">
        <v>1</v>
      </c>
      <c r="AA2">
        <v>0.3</v>
      </c>
      <c r="AB2">
        <v>0.33333333333333331</v>
      </c>
      <c r="AE2">
        <v>53</v>
      </c>
      <c r="AF2">
        <v>0.33152515723270443</v>
      </c>
      <c r="AG2">
        <v>0.31666666666666671</v>
      </c>
      <c r="AH2" t="s">
        <v>91</v>
      </c>
    </row>
    <row r="3" spans="1:34" x14ac:dyDescent="0.2">
      <c r="A3" t="s">
        <v>89</v>
      </c>
      <c r="B3" t="s">
        <v>92</v>
      </c>
      <c r="C3">
        <v>0.2</v>
      </c>
      <c r="D3">
        <v>0</v>
      </c>
      <c r="E3">
        <v>4</v>
      </c>
      <c r="F3">
        <v>0</v>
      </c>
      <c r="G3" t="s">
        <v>93</v>
      </c>
      <c r="H3">
        <v>1</v>
      </c>
      <c r="I3">
        <v>0</v>
      </c>
      <c r="J3">
        <v>1</v>
      </c>
      <c r="K3">
        <v>1</v>
      </c>
      <c r="L3">
        <v>0</v>
      </c>
      <c r="M3">
        <v>1</v>
      </c>
      <c r="N3">
        <v>0</v>
      </c>
      <c r="AA3">
        <v>0.2</v>
      </c>
      <c r="AE3">
        <v>1</v>
      </c>
      <c r="AF3">
        <v>0.2</v>
      </c>
      <c r="AG3">
        <v>0.2</v>
      </c>
      <c r="AH3" t="s">
        <v>93</v>
      </c>
    </row>
    <row r="4" spans="1:34" x14ac:dyDescent="0.2">
      <c r="A4" t="s">
        <v>89</v>
      </c>
      <c r="B4" t="s">
        <v>94</v>
      </c>
      <c r="C4">
        <v>1.51</v>
      </c>
      <c r="D4">
        <v>1</v>
      </c>
      <c r="E4">
        <v>10</v>
      </c>
      <c r="F4">
        <v>3</v>
      </c>
      <c r="H4">
        <v>7</v>
      </c>
      <c r="I4">
        <v>4.5</v>
      </c>
      <c r="J4">
        <v>7.5625</v>
      </c>
      <c r="K4">
        <v>7.5625</v>
      </c>
      <c r="L4">
        <v>0</v>
      </c>
      <c r="M4">
        <v>7</v>
      </c>
      <c r="N4">
        <v>4.5</v>
      </c>
      <c r="O4">
        <v>4</v>
      </c>
      <c r="P4">
        <v>0</v>
      </c>
      <c r="AA4">
        <v>0.2</v>
      </c>
      <c r="AE4">
        <v>7.5625</v>
      </c>
      <c r="AF4">
        <v>0.2</v>
      </c>
      <c r="AG4">
        <v>0.2</v>
      </c>
    </row>
    <row r="5" spans="1:34" x14ac:dyDescent="0.2">
      <c r="A5" t="s">
        <v>89</v>
      </c>
      <c r="B5" t="s">
        <v>95</v>
      </c>
      <c r="C5">
        <v>2.67</v>
      </c>
      <c r="D5">
        <v>2</v>
      </c>
      <c r="E5">
        <v>13</v>
      </c>
      <c r="F5">
        <v>6</v>
      </c>
      <c r="G5" t="s">
        <v>96</v>
      </c>
      <c r="H5">
        <v>13</v>
      </c>
      <c r="I5">
        <v>3</v>
      </c>
      <c r="J5">
        <v>13.375</v>
      </c>
      <c r="K5">
        <v>13.375</v>
      </c>
      <c r="L5">
        <v>0</v>
      </c>
      <c r="M5">
        <v>13</v>
      </c>
      <c r="N5">
        <v>3</v>
      </c>
      <c r="O5">
        <v>4</v>
      </c>
      <c r="P5">
        <v>0</v>
      </c>
      <c r="AA5">
        <v>0.2</v>
      </c>
      <c r="AE5">
        <v>13.375</v>
      </c>
      <c r="AF5">
        <v>0.2</v>
      </c>
      <c r="AG5">
        <v>0.2</v>
      </c>
      <c r="AH5" t="s">
        <v>96</v>
      </c>
    </row>
    <row r="6" spans="1:34" x14ac:dyDescent="0.2">
      <c r="A6" t="s">
        <v>89</v>
      </c>
      <c r="B6" t="s">
        <v>97</v>
      </c>
      <c r="C6">
        <v>3.25</v>
      </c>
      <c r="D6">
        <v>3</v>
      </c>
      <c r="E6">
        <v>5</v>
      </c>
      <c r="F6">
        <v>0</v>
      </c>
      <c r="G6" t="s">
        <v>98</v>
      </c>
      <c r="H6">
        <v>26</v>
      </c>
      <c r="I6">
        <v>0</v>
      </c>
      <c r="J6">
        <v>26</v>
      </c>
      <c r="K6">
        <v>26</v>
      </c>
      <c r="L6">
        <v>0</v>
      </c>
      <c r="M6">
        <v>26</v>
      </c>
      <c r="N6">
        <v>0</v>
      </c>
      <c r="O6">
        <v>2</v>
      </c>
      <c r="P6">
        <v>6</v>
      </c>
      <c r="AA6">
        <v>0.125</v>
      </c>
      <c r="AE6">
        <v>26</v>
      </c>
      <c r="AF6">
        <v>0.125</v>
      </c>
      <c r="AG6">
        <v>0.125</v>
      </c>
      <c r="AH6" t="s">
        <v>98</v>
      </c>
    </row>
    <row r="7" spans="1:34" x14ac:dyDescent="0.2">
      <c r="A7" t="s">
        <v>89</v>
      </c>
      <c r="B7" t="s">
        <v>99</v>
      </c>
      <c r="C7">
        <v>25.23</v>
      </c>
      <c r="D7">
        <v>25</v>
      </c>
      <c r="E7">
        <v>4</v>
      </c>
      <c r="F7">
        <v>8</v>
      </c>
      <c r="G7" t="s">
        <v>100</v>
      </c>
      <c r="H7">
        <v>0</v>
      </c>
      <c r="I7">
        <v>4</v>
      </c>
      <c r="J7">
        <v>0.5</v>
      </c>
      <c r="K7">
        <v>0.5</v>
      </c>
      <c r="L7">
        <v>0</v>
      </c>
      <c r="M7">
        <v>0</v>
      </c>
      <c r="N7">
        <v>4</v>
      </c>
      <c r="AA7">
        <v>50.46</v>
      </c>
      <c r="AE7">
        <v>0.5</v>
      </c>
      <c r="AF7">
        <v>50.46</v>
      </c>
      <c r="AG7">
        <v>50.46</v>
      </c>
      <c r="AH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2024-04-19T11:10:12Z</dcterms:created>
  <dcterms:modified xsi:type="dcterms:W3CDTF">2025-10-01T07:44:15Z</dcterms:modified>
</cp:coreProperties>
</file>
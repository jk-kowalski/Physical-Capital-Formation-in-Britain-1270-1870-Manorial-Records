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victoriagierok/Dropbox/Physical Capital England/Decennial 2018/Detailed Estimates/Winchester Pipe Rolls/1301-1302/final new agricultural production/"/>
    </mc:Choice>
  </mc:AlternateContent>
  <xr:revisionPtr revIDLastSave="0" documentId="13_ncr:1_{4DCC01F1-8999-7145-BD19-0016A8280287}" xr6:coauthVersionLast="47" xr6:coauthVersionMax="47" xr10:uidLastSave="{00000000-0000-0000-0000-000000000000}"/>
  <bookViews>
    <workbookView xWindow="4900" yWindow="500" windowWidth="25460" windowHeight="16580" xr2:uid="{00000000-000D-0000-FFFF-FFFF00000000}"/>
  </bookViews>
  <sheets>
    <sheet name="Overview" sheetId="5" r:id="rId1"/>
    <sheet name="Receipts" sheetId="2" r:id="rId2"/>
    <sheet name="Expenses" sheetId="3" r:id="rId3"/>
    <sheet name="Issues of the Grange" sheetId="11" r:id="rId4"/>
    <sheet name="Issues of the Mills" sheetId="6" r:id="rId5"/>
    <sheet name="Stock" sheetId="4" r:id="rId6"/>
    <sheet name="raw data" sheetId="1" r:id="rId7"/>
    <sheet name="Issues of the Grange raw" sheetId="10" r:id="rId8"/>
    <sheet name="Sale of Corn Prices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4" i="5" l="1"/>
  <c r="I8" i="11"/>
  <c r="B176" i="5"/>
  <c r="B175" i="5"/>
  <c r="B169" i="5"/>
  <c r="B168" i="5"/>
  <c r="B167" i="5"/>
  <c r="B166" i="5"/>
  <c r="B165" i="5"/>
  <c r="B162" i="5"/>
  <c r="B159" i="5"/>
  <c r="B161" i="5"/>
  <c r="B158" i="5"/>
  <c r="B151" i="5"/>
  <c r="B152" i="5"/>
  <c r="B153" i="5"/>
  <c r="B154" i="5"/>
  <c r="B155" i="5"/>
  <c r="B150" i="5"/>
  <c r="T50" i="4"/>
  <c r="B147" i="5"/>
  <c r="B14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R98" i="4"/>
  <c r="T98" i="4"/>
  <c r="T97" i="4"/>
  <c r="O97" i="4"/>
  <c r="R97" i="4"/>
  <c r="T92" i="4"/>
  <c r="T94" i="4" s="1"/>
  <c r="T93" i="4"/>
  <c r="R93" i="4"/>
  <c r="R92" i="4"/>
  <c r="T82" i="4"/>
  <c r="T80" i="4"/>
  <c r="T67" i="4"/>
  <c r="T45" i="4"/>
  <c r="T46" i="4"/>
  <c r="T47" i="4"/>
  <c r="T48" i="4"/>
  <c r="T49" i="4"/>
  <c r="T51" i="4"/>
  <c r="T52" i="4"/>
  <c r="T53" i="4"/>
  <c r="T54" i="4"/>
  <c r="T55" i="4"/>
  <c r="T56" i="4"/>
  <c r="T57" i="4"/>
  <c r="T58" i="4"/>
  <c r="T59" i="4"/>
  <c r="T44" i="4"/>
  <c r="B126" i="5"/>
  <c r="B123" i="5"/>
  <c r="B122" i="5"/>
  <c r="B119" i="5"/>
  <c r="B120" i="5"/>
  <c r="B121" i="5"/>
  <c r="B118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5" i="5"/>
  <c r="B87" i="5"/>
  <c r="E73" i="5"/>
  <c r="E63" i="5"/>
  <c r="F63" i="5"/>
  <c r="E64" i="5"/>
  <c r="F64" i="5"/>
  <c r="E66" i="5"/>
  <c r="F66" i="5"/>
  <c r="E69" i="5"/>
  <c r="F69" i="5"/>
  <c r="E70" i="5"/>
  <c r="F62" i="5"/>
  <c r="E62" i="5"/>
  <c r="B63" i="5"/>
  <c r="B64" i="5"/>
  <c r="B65" i="5"/>
  <c r="B66" i="5"/>
  <c r="B67" i="5"/>
  <c r="B68" i="5"/>
  <c r="B69" i="5"/>
  <c r="B70" i="5"/>
  <c r="B62" i="5"/>
  <c r="B45" i="5"/>
  <c r="B46" i="5"/>
  <c r="B47" i="5"/>
  <c r="B44" i="5"/>
  <c r="B25" i="5"/>
  <c r="C25" i="5" s="1"/>
  <c r="B24" i="5"/>
  <c r="B23" i="5"/>
  <c r="F138" i="3"/>
  <c r="F137" i="3"/>
  <c r="K108" i="3"/>
  <c r="K107" i="3"/>
  <c r="K106" i="3"/>
  <c r="J107" i="3"/>
  <c r="J108" i="3"/>
  <c r="J106" i="3"/>
  <c r="J102" i="3"/>
  <c r="K102" i="3" s="1"/>
  <c r="K101" i="3"/>
  <c r="J101" i="3"/>
  <c r="J91" i="3"/>
  <c r="J92" i="3"/>
  <c r="J93" i="3"/>
  <c r="J94" i="3"/>
  <c r="J95" i="3"/>
  <c r="J96" i="3"/>
  <c r="J97" i="3"/>
  <c r="J90" i="3"/>
  <c r="J71" i="3"/>
  <c r="J72" i="3"/>
  <c r="J70" i="3"/>
  <c r="K63" i="3"/>
  <c r="K64" i="3"/>
  <c r="K65" i="3"/>
  <c r="K66" i="3"/>
  <c r="K62" i="3"/>
  <c r="J57" i="3"/>
  <c r="J58" i="3"/>
  <c r="J59" i="3"/>
  <c r="J60" i="3"/>
  <c r="J61" i="3"/>
  <c r="J62" i="3"/>
  <c r="J63" i="3"/>
  <c r="J64" i="3"/>
  <c r="J65" i="3"/>
  <c r="J66" i="3"/>
  <c r="J56" i="3"/>
  <c r="J34" i="3"/>
  <c r="K34" i="3" s="1"/>
  <c r="J35" i="3"/>
  <c r="K35" i="3"/>
  <c r="J36" i="3"/>
  <c r="K36" i="3"/>
  <c r="J37" i="3"/>
  <c r="K37" i="3" s="1"/>
  <c r="J38" i="3"/>
  <c r="K38" i="3"/>
  <c r="J39" i="3"/>
  <c r="K39" i="3"/>
  <c r="J40" i="3"/>
  <c r="K40" i="3"/>
  <c r="J41" i="3"/>
  <c r="K41" i="3"/>
  <c r="K33" i="3"/>
  <c r="J33" i="3"/>
  <c r="K21" i="3"/>
  <c r="K22" i="3"/>
  <c r="K23" i="3"/>
  <c r="K24" i="3"/>
  <c r="K25" i="3"/>
  <c r="K26" i="3"/>
  <c r="K27" i="3"/>
  <c r="K20" i="3"/>
  <c r="J21" i="3"/>
  <c r="J22" i="3"/>
  <c r="J23" i="3"/>
  <c r="J24" i="3"/>
  <c r="J25" i="3"/>
  <c r="J26" i="3"/>
  <c r="J27" i="3"/>
  <c r="J20" i="3"/>
  <c r="K10" i="3"/>
  <c r="K11" i="3"/>
  <c r="K12" i="3"/>
  <c r="K9" i="3"/>
  <c r="K4" i="3"/>
  <c r="K5" i="3"/>
  <c r="K6" i="3"/>
  <c r="K7" i="3"/>
  <c r="K3" i="3"/>
  <c r="K8" i="3"/>
  <c r="J8" i="3"/>
  <c r="J9" i="3"/>
  <c r="J10" i="3"/>
  <c r="J11" i="3"/>
  <c r="J12" i="3"/>
  <c r="J4" i="3"/>
  <c r="J5" i="3"/>
  <c r="J6" i="3"/>
  <c r="J7" i="3"/>
  <c r="J3" i="3"/>
  <c r="G136" i="3"/>
  <c r="F136" i="3"/>
  <c r="F135" i="3"/>
  <c r="F121" i="2"/>
  <c r="G120" i="2"/>
  <c r="G25" i="2"/>
  <c r="G28" i="2"/>
  <c r="F120" i="2"/>
  <c r="T40" i="4"/>
  <c r="T38" i="4"/>
  <c r="T36" i="4"/>
  <c r="R38" i="4"/>
  <c r="R105" i="4"/>
  <c r="R94" i="4"/>
  <c r="R82" i="4"/>
  <c r="R67" i="4"/>
  <c r="O104" i="4"/>
  <c r="R104" i="4"/>
  <c r="O44" i="4"/>
  <c r="O45" i="4"/>
  <c r="O46" i="4"/>
  <c r="O47" i="4"/>
  <c r="O50" i="4"/>
  <c r="O53" i="4"/>
  <c r="O59" i="4"/>
  <c r="O80" i="4"/>
  <c r="O93" i="4"/>
  <c r="R80" i="4"/>
  <c r="R59" i="4"/>
  <c r="R53" i="4"/>
  <c r="R50" i="4"/>
  <c r="R47" i="4"/>
  <c r="R46" i="4"/>
  <c r="R45" i="4"/>
  <c r="R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44" i="4"/>
  <c r="M30" i="4"/>
  <c r="M31" i="4"/>
  <c r="M35" i="4"/>
  <c r="M36" i="4"/>
  <c r="M37" i="4"/>
  <c r="M38" i="4"/>
  <c r="M39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80" i="4"/>
  <c r="M86" i="4"/>
  <c r="M87" i="4"/>
  <c r="M88" i="4"/>
  <c r="M89" i="4"/>
  <c r="M90" i="4"/>
  <c r="M91" i="4"/>
  <c r="M92" i="4"/>
  <c r="M93" i="4"/>
  <c r="M97" i="4"/>
  <c r="R32" i="4"/>
  <c r="J36" i="4"/>
  <c r="R27" i="4"/>
  <c r="O27" i="4" s="1"/>
  <c r="I20" i="4"/>
  <c r="L20" i="4" s="1"/>
  <c r="R20" i="4"/>
  <c r="O20" i="4" s="1"/>
  <c r="R19" i="4"/>
  <c r="O19" i="4" s="1"/>
  <c r="R7" i="4"/>
  <c r="O7" i="4" s="1"/>
  <c r="R6" i="4"/>
  <c r="O6" i="4" s="1"/>
  <c r="M7" i="4"/>
  <c r="M8" i="4"/>
  <c r="M9" i="4"/>
  <c r="M10" i="4"/>
  <c r="M11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6" i="4"/>
  <c r="L7" i="4"/>
  <c r="L8" i="4"/>
  <c r="L9" i="4"/>
  <c r="L10" i="4"/>
  <c r="L11" i="4"/>
  <c r="L12" i="4"/>
  <c r="L13" i="4"/>
  <c r="L14" i="4"/>
  <c r="L16" i="4"/>
  <c r="L17" i="4"/>
  <c r="L18" i="4"/>
  <c r="L19" i="4"/>
  <c r="L21" i="4"/>
  <c r="L22" i="4"/>
  <c r="L23" i="4"/>
  <c r="L24" i="4"/>
  <c r="L25" i="4"/>
  <c r="L26" i="4"/>
  <c r="L27" i="4"/>
  <c r="L28" i="4"/>
  <c r="L29" i="4"/>
  <c r="L6" i="4"/>
  <c r="L19" i="11"/>
  <c r="L20" i="11"/>
  <c r="L21" i="11"/>
  <c r="L22" i="11"/>
  <c r="L23" i="11"/>
  <c r="L24" i="11"/>
  <c r="L25" i="11"/>
  <c r="L26" i="11"/>
  <c r="K19" i="11"/>
  <c r="K20" i="11"/>
  <c r="K21" i="11"/>
  <c r="K22" i="11"/>
  <c r="O22" i="11" s="1"/>
  <c r="K23" i="11"/>
  <c r="K24" i="11"/>
  <c r="K25" i="11"/>
  <c r="O25" i="11" s="1"/>
  <c r="K26" i="11"/>
  <c r="O18" i="11"/>
  <c r="N19" i="11"/>
  <c r="N20" i="11"/>
  <c r="N21" i="11"/>
  <c r="N22" i="11"/>
  <c r="N23" i="11"/>
  <c r="N24" i="11"/>
  <c r="N25" i="11"/>
  <c r="N26" i="11"/>
  <c r="N18" i="11"/>
  <c r="L18" i="11"/>
  <c r="O19" i="11"/>
  <c r="O20" i="11"/>
  <c r="O21" i="11"/>
  <c r="F65" i="5" s="1"/>
  <c r="K18" i="11"/>
  <c r="E19" i="11"/>
  <c r="E20" i="11"/>
  <c r="E21" i="11"/>
  <c r="E22" i="11"/>
  <c r="E23" i="11"/>
  <c r="E24" i="11"/>
  <c r="E25" i="11"/>
  <c r="E26" i="11"/>
  <c r="E18" i="11"/>
  <c r="J23" i="11"/>
  <c r="I23" i="11"/>
  <c r="J21" i="11"/>
  <c r="I21" i="11"/>
  <c r="J19" i="11"/>
  <c r="I19" i="11"/>
  <c r="B19" i="11"/>
  <c r="B20" i="11"/>
  <c r="B21" i="11"/>
  <c r="B22" i="11"/>
  <c r="B23" i="11"/>
  <c r="B24" i="11"/>
  <c r="B25" i="11"/>
  <c r="B26" i="11"/>
  <c r="B18" i="11"/>
  <c r="I3" i="11"/>
  <c r="I4" i="11"/>
  <c r="I5" i="11"/>
  <c r="E65" i="5" s="1"/>
  <c r="I6" i="11"/>
  <c r="I7" i="11"/>
  <c r="E67" i="5" s="1"/>
  <c r="E68" i="5"/>
  <c r="I9" i="11"/>
  <c r="I10" i="11"/>
  <c r="I2" i="11"/>
  <c r="F6" i="11"/>
  <c r="G2" i="11"/>
  <c r="G3" i="11"/>
  <c r="G4" i="11"/>
  <c r="G5" i="11"/>
  <c r="G6" i="11"/>
  <c r="G7" i="11"/>
  <c r="G8" i="11"/>
  <c r="G9" i="11"/>
  <c r="G10" i="11"/>
  <c r="C15" i="4"/>
  <c r="L15" i="4" s="1"/>
  <c r="K12" i="4"/>
  <c r="M12" i="4" s="1"/>
  <c r="G130" i="3"/>
  <c r="F129" i="3"/>
  <c r="G120" i="3"/>
  <c r="F115" i="3"/>
  <c r="F117" i="3" s="1"/>
  <c r="G117" i="3" s="1"/>
  <c r="F103" i="3"/>
  <c r="G104" i="3" s="1"/>
  <c r="F97" i="3"/>
  <c r="F99" i="3" s="1"/>
  <c r="G99" i="3" s="1"/>
  <c r="F87" i="3"/>
  <c r="F86" i="3"/>
  <c r="F88" i="3" s="1"/>
  <c r="G88" i="3" s="1"/>
  <c r="F73" i="3"/>
  <c r="F72" i="3"/>
  <c r="F74" i="3" s="1"/>
  <c r="F60" i="3"/>
  <c r="F61" i="3"/>
  <c r="F62" i="3"/>
  <c r="F63" i="3"/>
  <c r="F64" i="3"/>
  <c r="F65" i="3"/>
  <c r="F66" i="3"/>
  <c r="F53" i="3"/>
  <c r="G54" i="3" s="1"/>
  <c r="F45" i="3"/>
  <c r="F47" i="3" s="1"/>
  <c r="G47" i="3" s="1"/>
  <c r="F30" i="3"/>
  <c r="G31" i="3" s="1"/>
  <c r="F16" i="3"/>
  <c r="F18" i="3" s="1"/>
  <c r="G18" i="3" s="1"/>
  <c r="F91" i="2"/>
  <c r="F92" i="2"/>
  <c r="F95" i="2" s="1"/>
  <c r="G95" i="2" s="1"/>
  <c r="F93" i="2"/>
  <c r="F49" i="2"/>
  <c r="F74" i="2" s="1"/>
  <c r="G74" i="2" s="1"/>
  <c r="G5" i="2"/>
  <c r="O24" i="11" l="1"/>
  <c r="F68" i="5" s="1"/>
  <c r="O26" i="11"/>
  <c r="F70" i="5" s="1"/>
  <c r="O23" i="11"/>
  <c r="F67" i="5" s="1"/>
  <c r="E71" i="5"/>
  <c r="E72" i="5"/>
  <c r="G74" i="3"/>
  <c r="F68" i="3"/>
  <c r="G68" i="3" s="1"/>
  <c r="B179" i="5" l="1"/>
  <c r="B177" i="5"/>
  <c r="B18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C17" authorId="0" shapeId="0" xr:uid="{6868093C-3EB7-EF4C-A936-2126E5B0E2F4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Issue of the grange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Gierok</author>
  </authors>
  <commentList>
    <comment ref="D5" authorId="0" shapeId="0" xr:uid="{974EB337-E19B-6241-A6A4-6A783ED2D63D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strays that the seem to have added to their own stock?</t>
        </r>
      </text>
    </comment>
    <comment ref="E5" authorId="0" shapeId="0" xr:uid="{C4DE5543-F109-7E4A-B23C-F4AA826956FF}">
      <text>
        <r>
          <rPr>
            <b/>
            <sz val="10"/>
            <color rgb="FF000000"/>
            <rFont val="Tahoma"/>
            <family val="2"/>
          </rPr>
          <t>Victoria Gierok: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herbage = a type of customary payment to the lord; hence an addition to the stock</t>
        </r>
      </text>
    </comment>
  </commentList>
</comments>
</file>

<file path=xl/sharedStrings.xml><?xml version="1.0" encoding="utf-8"?>
<sst xmlns="http://schemas.openxmlformats.org/spreadsheetml/2006/main" count="1830" uniqueCount="778">
  <si>
    <t>Heading</t>
  </si>
  <si>
    <t>Sentence</t>
  </si>
  <si>
    <t>Total in Pounds</t>
  </si>
  <si>
    <t>Pounds</t>
  </si>
  <si>
    <t>Shillings</t>
  </si>
  <si>
    <t>Pence</t>
  </si>
  <si>
    <t>Corn</t>
  </si>
  <si>
    <t>Total Quarters Except 1</t>
  </si>
  <si>
    <t>Total Bushels Except 1</t>
  </si>
  <si>
    <t>Total Corn Cross-Check</t>
  </si>
  <si>
    <t>Total Corn Manorial Account</t>
  </si>
  <si>
    <t>Corn Quantity Error</t>
  </si>
  <si>
    <t>Quarters 1</t>
  </si>
  <si>
    <t>Bushels 1</t>
  </si>
  <si>
    <t>Quarters 2</t>
  </si>
  <si>
    <t>Bushels 2</t>
  </si>
  <si>
    <t>Quarters 3</t>
  </si>
  <si>
    <t>Bushels 3</t>
  </si>
  <si>
    <t>Quarters 4</t>
  </si>
  <si>
    <t>Bushels 4</t>
  </si>
  <si>
    <t>shilling a quarter 1</t>
  </si>
  <si>
    <t>pence a quarter 1</t>
  </si>
  <si>
    <t>shilling a quarter 2</t>
  </si>
  <si>
    <t>pence a quarter 2</t>
  </si>
  <si>
    <t>shilling a quarter 3</t>
  </si>
  <si>
    <t>pence a quarter 3</t>
  </si>
  <si>
    <t>shilling a quarter 4</t>
  </si>
  <si>
    <t>pence a quarter 4</t>
  </si>
  <si>
    <t>shilling a bushel 1</t>
  </si>
  <si>
    <t>pence a bushel 1</t>
  </si>
  <si>
    <t>shilling a bushel 2</t>
  </si>
  <si>
    <t>pence a bushel 2</t>
  </si>
  <si>
    <t>shilling a bushel 3</t>
  </si>
  <si>
    <t>pence a bushel 3</t>
  </si>
  <si>
    <t>shilling a bushel 4</t>
  </si>
  <si>
    <t>pence a bushel 4</t>
  </si>
  <si>
    <t>Arrears</t>
  </si>
  <si>
    <t>William de Worsted', sergeant, and Walter le Parker, reeve, render account for £7 14 shilling 4.5pence of arrears from the previous year.</t>
  </si>
  <si>
    <t>All delivered to Sir Geoffrey, treasurer of Wolvesey.</t>
  </si>
  <si>
    <t>Rents of assize</t>
  </si>
  <si>
    <t>The same render account for £2 3pence for all rents of assize at Christmas.</t>
  </si>
  <si>
    <t>£2 3pence at Easter (22 April).</t>
  </si>
  <si>
    <t>£2 3pence at the Nativity of St John the Baptist (24 June).</t>
  </si>
  <si>
    <t>£3 2 shilling 11.5pence at Michaelmas (29 September).</t>
  </si>
  <si>
    <t>Total, £9 3 shilling 8.5pence</t>
  </si>
  <si>
    <t>Quittances</t>
  </si>
  <si>
    <t>In quittance of 1 reeve for the year 4 shilling.</t>
  </si>
  <si>
    <t>2 ploughmen for the year 3 shilling.</t>
  </si>
  <si>
    <t>1 park-keeper for the year 4 shilling</t>
  </si>
  <si>
    <t>Total, 11 shilling</t>
  </si>
  <si>
    <t>Defaults of rent</t>
  </si>
  <si>
    <t>In default of the land of Vyel drawn into demesne, 2 shilling 1pence for the year.</t>
  </si>
  <si>
    <t>Total, 2 shilling 1pence</t>
  </si>
  <si>
    <t>Total of quittances and defaults of rent</t>
  </si>
  <si>
    <t>Total of quittances and defaults of rent, 13 shilling 1pence</t>
  </si>
  <si>
    <t>Total of rents remaining</t>
  </si>
  <si>
    <t>Total of rents remaining, £8 10 shilling 7.5pence</t>
  </si>
  <si>
    <t>Annual recognizance</t>
  </si>
  <si>
    <t>The same render account for 6pence from Roger le Saltere for annual recognizance.</t>
  </si>
  <si>
    <t>3pence from Richard Seuar' for the same.</t>
  </si>
  <si>
    <t>6pence from William Austyn for the same.</t>
  </si>
  <si>
    <t>6pence from Robert Clericus of Fawley for the same.</t>
  </si>
  <si>
    <t>Total, 1 shilling 9pence</t>
  </si>
  <si>
    <t>Issues of the manor</t>
  </si>
  <si>
    <t>The same render account for 10 shilling from pannage of pigs this year.</t>
  </si>
  <si>
    <t>9 shilling 4pence from the agistment of pigs in the park.</t>
  </si>
  <si>
    <t>17 shilling 6pence from the agistment of livestock in the park in summer.</t>
  </si>
  <si>
    <t>nothing from winter pasturage on account of the lord's stock.</t>
  </si>
  <si>
    <t>1 shilling from the pasturage in Prestemed' sold after mowing.</t>
  </si>
  <si>
    <t>nothing from winter pasturage for, the lord's stock.</t>
  </si>
  <si>
    <t>nothing from the pasturage on the land of Bathard and in Pistok this year because it was sown.</t>
  </si>
  <si>
    <t>6pence from the pasturage in various places sold this year.</t>
  </si>
  <si>
    <t>15 shilling from 2 cart-horses sold, at 3 shilling for 1 because feeble, and 12 shilling for 1.</t>
  </si>
  <si>
    <t>8 shilling from 1 old mare sold.</t>
  </si>
  <si>
    <t>6 shilling from 6 late-born calves sold, at 1 shilling each.</t>
  </si>
  <si>
    <t>17 shilling from 17 wethers sold at Martinmas (11 November), at 1 shilling each.</t>
  </si>
  <si>
    <t>11 s. from 4 pigs sold, at 2 shilling 9pence each.</t>
  </si>
  <si>
    <t>12 shilling 11pence from 151 hens from churchscot sold.</t>
  </si>
  <si>
    <t>nothing from nuts collected in the park this year.</t>
  </si>
  <si>
    <t>nothing from rushes in the park this year.</t>
  </si>
  <si>
    <t>2 shilling from heath sold this year.</t>
  </si>
  <si>
    <t>3 shilling 1.5pence from rowen cheese sold.</t>
  </si>
  <si>
    <t>£1 14 shilling from 4 weys 7 cloves of summer cheese sold, at 8 shilling a wey.</t>
  </si>
  <si>
    <t>2 shilling 3pence from 6 cloves of butter sold, at 4.5pence a clove.</t>
  </si>
  <si>
    <t>5 shilling from hay sold this year.</t>
  </si>
  <si>
    <t>nothing from heath in the quagmire (quabbemer') this year because none was obtained to sell.</t>
  </si>
  <si>
    <t>nothing from underwood in the park this year for the same reason.</t>
  </si>
  <si>
    <t>10pence from the hide sold of 1 cart-horse in murrain.</t>
  </si>
  <si>
    <t>8pence from the hide sold of 1 plough-horse in murrain.</t>
  </si>
  <si>
    <t>4 shilling from the hide and flesh sold of 1 bullock dead from murrain.</t>
  </si>
  <si>
    <t>8pence from the hides sold of 2 yearlings in murrain.</t>
  </si>
  <si>
    <t>1.5pence from the hide sold of 1 calf in murrain.</t>
  </si>
  <si>
    <t>10pence from the skins sold of 4 wethers in murrain before shearing.</t>
  </si>
  <si>
    <t>1 s. 6pence from the skins sold wholesale of 17 wethers in murrain after shearing.</t>
  </si>
  <si>
    <t>nothing from cider this year.</t>
  </si>
  <si>
    <t>nothing from small labour services this year because of the cider-making.</t>
  </si>
  <si>
    <t>nothing from coarse wool here because it is sent to Wolvesey.</t>
  </si>
  <si>
    <t>3.5pence from 3 lb of wool locks sold.</t>
  </si>
  <si>
    <t>1 shilling from Adam ate Hall' and William de Worstede to have licence to dig up marl in the marsh.</t>
  </si>
  <si>
    <t>2 shilling 7.5pence from dairy produce sold at the audit.</t>
  </si>
  <si>
    <t>Total, £8 7 shilling 3pence</t>
  </si>
  <si>
    <t>Fishery</t>
  </si>
  <si>
    <t>The same render account for £7 4 shilling from 53 salmon sold, at 4 shilling each for 19, and 2 shilling each for 34. Total, £7 4 shilling</t>
  </si>
  <si>
    <t>Sale of corn</t>
  </si>
  <si>
    <t>The same render account for £2 12 shilling 6pence from 8 quarters 6 bushels of wheat sold, at 6 shilling a quarters.</t>
  </si>
  <si>
    <t>wheat</t>
  </si>
  <si>
    <t>5 shilling 5pence from 1 quarters 2 bushels of curall sold, at 4 shilling 4pence a quarters.</t>
  </si>
  <si>
    <t>curall</t>
  </si>
  <si>
    <t>£1 6 shilling 5pence from 11 quarters 3 bushels of dredge sold, at 2 shilling a quarters for 3 quarters 7 bushels, 2 shilling 4pence a quarters for 4 quarters, and 2 shilling 8pence a quarters for 3.5 quarters.</t>
  </si>
  <si>
    <t>1 shilling from .5 quarters of dredge sold at the audit.</t>
  </si>
  <si>
    <t>2 shilling from 4 bushels of peas sold, at 6pence a bushels.</t>
  </si>
  <si>
    <t>peas</t>
  </si>
  <si>
    <t>2 shilling from 6 bushels of peas sold at the audit.</t>
  </si>
  <si>
    <t>Total, £4 9 shilling 4pence</t>
  </si>
  <si>
    <t>Sale of the mill's corn</t>
  </si>
  <si>
    <t>The same render account for 10 shilling 3pence from 1 quarters 7 bushels of wheat sold, at 7.5pence a bushels for 2 bushels, 5 shilling 4pence a quarters for 1 quarters 1 bushels, and 9pence a bushels for 4 bushels.</t>
  </si>
  <si>
    <t>£1 15 shilling 10pence from 11 quarters 6 bushels of barley sold, at 2 shilling 8pence a quarters for 3 quarters, 3 shilling a quarters for 4 quarters, and 3 shilling 4pence a quarters for 4 quarters 6 bushels.</t>
  </si>
  <si>
    <t>barley</t>
  </si>
  <si>
    <t>1 1 shilling from 2 quarters 1 bushels of coarse-ground corn sold, at 5 shilling for 1 quarters, and 5 shilling 4pence a quarters for 1 quarters 1 bushels.</t>
  </si>
  <si>
    <t>10 shilling 9pence from 4 quarters 7 bushels of malt sold, at 2 shilling a quarters for 1 quarters 7 bushels, and 2 shilling 4pence a quarters for 3 quarters.</t>
  </si>
  <si>
    <t>8pence from 1 bushels of oatmeal sold Total, £3 8 shilling 6pence</t>
  </si>
  <si>
    <t>oatmeal</t>
  </si>
  <si>
    <t>Entry and marriage fines</t>
  </si>
  <si>
    <t>The same render account for 6 shilling 8pence from the tithing of Bitterne at the hundred-court of Martinmas for tithingpenny.</t>
  </si>
  <si>
    <t>6 shilling 8pence from the tithing of Fawley at the said hundred-court for the same.</t>
  </si>
  <si>
    <t>13 shilling 4pence from the same at the hundred-court of Hockday for the same.</t>
  </si>
  <si>
    <t>1 shilling from John le Careter for marrying Joan his stepdaughter outside.</t>
  </si>
  <si>
    <t>3 shilling from .Havvise, daughter of Austin Mich', to have 1 house and 2 acres of land which belonged to Edith her mother.</t>
  </si>
  <si>
    <t>6 shilling 8pence from Matilda, daughter of Mabel Ace, to have 1 messuage and 1 ferling of land by surrender of Mabel her mother, so that the said  Mabel be supported by holding the same land equally with her.</t>
  </si>
  <si>
    <t>6 shilling 8pence from Nicholas le Pyn to have the said Matilda with her land.</t>
  </si>
  <si>
    <t>6 shilling 8pence from Walter le Schepphurd' to have the land which belonged to his mother.</t>
  </si>
  <si>
    <t>13 shilling 4pence from Roger ate Clive to have the land which belonged to Gunilda Gardenir.</t>
  </si>
  <si>
    <t>3 shilling 4pence from Roger Westsyd' to have 1 house and 1 curtilage by surrender of Walter le Schiphurd', and he will relieve the said Walter of 6pence annual rent.</t>
  </si>
  <si>
    <t>1 shilling from Joan Alayn for marrying herself.</t>
  </si>
  <si>
    <t>1 shilling from Margery, daughter of Walter le Schiphurd', for marrying herself.</t>
  </si>
  <si>
    <t>1 shilling from Alice Baron for 1 messuage 1 acre of land by surrender of Robert ate Slade and Alice his wife.</t>
  </si>
  <si>
    <t>Total, £3 10 shilling 4pence</t>
  </si>
  <si>
    <t>Perquisites</t>
  </si>
  <si>
    <t>The same render account for 2 shilling from the tithing of Fawley because it did not present the default of John Baron at the tourn of Martinmas.</t>
  </si>
  <si>
    <t>2 shilling from the same tithing because it did not produce in court the individual whom it had bailed.</t>
  </si>
  <si>
    <t>£2 10 shilling 4pence from small amercements from various men for various transgressions.</t>
  </si>
  <si>
    <t>Total, £2 14 shilling 4pence</t>
  </si>
  <si>
    <t>Total of both</t>
  </si>
  <si>
    <t>Total of both, £6 4 shilling 8pence</t>
  </si>
  <si>
    <t>Total of all receipts</t>
  </si>
  <si>
    <t>Total of all receipts, £38 6 shilling 1.5pence</t>
  </si>
  <si>
    <t>Cost of ploughs</t>
  </si>
  <si>
    <t>In iron and steel bought for 2 ploughs for the year 3 shilling 1pence.</t>
  </si>
  <si>
    <t>1 plough foot bought 5pence.</t>
  </si>
  <si>
    <t>3 wheels bought for ploughs 4.5pence.</t>
  </si>
  <si>
    <t>making a new plough and mending others and harrows 9.5pence.</t>
  </si>
  <si>
    <t>1 ploughshare bought 9pence.</t>
  </si>
  <si>
    <t>stipend of the smith making the ironwork of the ploughs 2 shilling 4pence.</t>
  </si>
  <si>
    <t>fitting the wain with axles 3pence.</t>
  </si>
  <si>
    <t>clouts, nails and grease bought for the same 1 shilling 5.5pence, and so much because it went to the marling for the whole summer.</t>
  </si>
  <si>
    <t>.</t>
  </si>
  <si>
    <t>cleaning iron tyres 1.5pence.</t>
  </si>
  <si>
    <t>1 rope, 6 halters and 1 pair of traces made from their own canvas 5pence.</t>
  </si>
  <si>
    <t>1 ox bought 10 shilling.</t>
  </si>
  <si>
    <t>stipend of 2 ploughmen for the year 6 shilling.</t>
  </si>
  <si>
    <t>4 bushels of beans bought for sowing 1 shilling 4pence.</t>
  </si>
  <si>
    <t>beans</t>
  </si>
  <si>
    <t>forage bought for supporting oxen 12 shilling 8pence Total, £2.</t>
  </si>
  <si>
    <t>Cost of carts</t>
  </si>
  <si>
    <t>In fitting the cart with axles at various times with axles bought for the same 5.5pence.</t>
  </si>
  <si>
    <t>clouts, nails, grease bought for the same 6.5pence.</t>
  </si>
  <si>
    <t>1 collar bought 8pence.</t>
  </si>
  <si>
    <t>white leather bought for mending harnesses 6pence.</t>
  </si>
  <si>
    <t>a broad-axe bought for mending the cart 7pence.</t>
  </si>
  <si>
    <t>hooping the hubs of wheels with bands of wood 3pence.</t>
  </si>
  <si>
    <t>shoeing 2 cart-horses for the year 2 shilling 6pence.</t>
  </si>
  <si>
    <t>shoeing 2 plough-horses going to harrow at both sowings 8pence.</t>
  </si>
  <si>
    <t>stipend of 1 carter for the year 3 shilling.</t>
  </si>
  <si>
    <t>4 quarters 2 bushels of oats bought for the fodder of horses 8 shilling 8pence Total, 17 shilling 8pence</t>
  </si>
  <si>
    <t>oats</t>
  </si>
  <si>
    <t>Cost of the dairy</t>
  </si>
  <si>
    <t>In woollen and linen cloth bought for the dairy 5pence.</t>
  </si>
  <si>
    <t>5 bushels of salt bought 1 shilling .5pence.</t>
  </si>
  <si>
    <t>earthenware pots and pans bought for the same 2pence.</t>
  </si>
  <si>
    <t>1 new bucket bought and another mended 5pence.</t>
  </si>
  <si>
    <t>a press bought for the same 3pence.</t>
  </si>
  <si>
    <t>6 ells of canvas bought for putting the wool in 1 shilling7.5pence, at 3.25pence an ell.</t>
  </si>
  <si>
    <t>packing the wool 2pence.</t>
  </si>
  <si>
    <t>grease bought for greasing sheep 3 shilling.</t>
  </si>
  <si>
    <t>1 mould bought for making cheese 4pence.</t>
  </si>
  <si>
    <t>stipend of 1 dairymaid for the year 1 shilling 6pence.</t>
  </si>
  <si>
    <t>stipend of 1 shepherd for the year 3 shilling.</t>
  </si>
  <si>
    <t>7 cows bought for the lord's stock £2 19 shilling 1pence, at 7 shilling 9.5pence each for 2, 8 shilling 6pence each for 3, and 9 shilling each for 2..</t>
  </si>
  <si>
    <t>1 wether bought before shearing 1 shilling 6pence Total, £3 12 shilling 6pence</t>
  </si>
  <si>
    <t>Threshing</t>
  </si>
  <si>
    <t>In threshing 30 quarters of wheat, curall and rye by piece-work 5 shilling, at 2.5pence per 10 struck bushe1 shilling.</t>
  </si>
  <si>
    <t>curall, rye, wheat</t>
  </si>
  <si>
    <t>threshing 64 quarters 1 bushels of barley, dredge, peas and vetches by piece-work 6 shilling per 10 struck bushe1 shilling.</t>
  </si>
  <si>
    <t>barley, vetches, peas</t>
  </si>
  <si>
    <t>threshing 20 quarters 3 bushels of oats by piece-workper 20 struck bushe1 shilling.</t>
  </si>
  <si>
    <t>winnowing all the corn beyond that 4.5pence, at 1.5pence  1 shilling, at 1.5pence winnowed by the dairymaid 9pence Total, 13 shilling 1.5pence</t>
  </si>
  <si>
    <t>Cost of buildings</t>
  </si>
  <si>
    <t>in 6 lb of tin and 2 fotmals of lead bought for mending the lord's tower and various gutters in the curia 6 shilling 11pence.</t>
  </si>
  <si>
    <t>1 plumber with 1 mate cutting the said tin and lead and mending the tower and various gutters in the curia for 3 days 1 shilling 6pence, at 6pence a day.'.</t>
  </si>
  <si>
    <t>nails for the same 2pence.</t>
  </si>
  <si>
    <t>re-roofing in places the hall and lord's chamber, the archdeacon's chamber, knights' chamber, bailiff's room and granary, which had been partly unroofed, 13 shilling 6pence.</t>
  </si>
  <si>
    <t>3 quarters of lime bought for the same 2 shilling, at 8pence a quarters.</t>
  </si>
  <si>
    <t>200 nails bought for fastening the laths 2pence.</t>
  </si>
  <si>
    <t>re-roofing in places the great barn, byre, cow-shed and building of the press which had been unroofed 2 shilling 6pence.</t>
  </si>
  <si>
    <t>re-roofing the sheepcote in places 6pence.</t>
  </si>
  <si>
    <t>2 locks bought for the building of the press and the2 door to the chamber of the chapel 7pence.</t>
  </si>
  <si>
    <t>1 band of iron for hooping the beam of the press 10pence.</t>
  </si>
  <si>
    <t>1 iron shovel bought 3.5pence Total, £1 8 shilling 11.5pence</t>
  </si>
  <si>
    <t>Cost of the park</t>
  </si>
  <si>
    <t>In mending the palisade of the park in places 3 shilling.</t>
  </si>
  <si>
    <t>enclosing 54 perches in the said park 4 shilling 5pence, at 1pence a perch.</t>
  </si>
  <si>
    <t>mending the old fences of the said park in places 1 1pence Total, 8 shilling 4pence</t>
  </si>
  <si>
    <t>Cost of the harvest</t>
  </si>
  <si>
    <t>In mowing the meadow of Botley and Hove which contains 6 acres measured by the perch by piece-work 2 shilling.</t>
  </si>
  <si>
    <t>mowing le Longemor' 2 shilling.</t>
  </si>
  <si>
    <t>mowing Bathardesmed' 2 shilling.</t>
  </si>
  <si>
    <t>mowing the meadow which belonged to the Abbot of Netley 7.5pence.</t>
  </si>
  <si>
    <t>tossing and tedding all the hay 1 shilling 3pence.</t>
  </si>
  <si>
    <t>864 herrings bought for 1.5 boon-works of 108 men who reaped and bound 68 acres of wheat, 12 acres of rye and 40 acres of barley 5 shilling 9pence.</t>
  </si>
  <si>
    <t>barley, rye, wheat</t>
  </si>
  <si>
    <t>and know that each of them has 5 herrings a day, 3 at lunch and 2 at supper.</t>
  </si>
  <si>
    <t>and know that the rest of the corn is reaped by labour service.</t>
  </si>
  <si>
    <t>6 casks bought for cider 16 shilling, at 2 shilling 8pence a cask.</t>
  </si>
  <si>
    <t>hooping and binding the same 2 shilling 4pence.</t>
  </si>
  <si>
    <t>hooping and mending 3 tubs, 1 small tub and 1 tine 1 shilling Total, £l 12 shilling 11.5pence</t>
  </si>
  <si>
    <t>Cost of the mill</t>
  </si>
  <si>
    <t>In lengthening 2 spindles with iron bought and with the stipend of the smith 2 shilling 10pence.</t>
  </si>
  <si>
    <t>mending 1 mill-rind with iron for the same and with the stipend of the smith for the same 1 shilling 4pence.</t>
  </si>
  <si>
    <t>steeling, mending and sharpening bills for the year 2 shilling.</t>
  </si>
  <si>
    <t>1 millstone bought for the said mill £1 18 shilling.</t>
  </si>
  <si>
    <t>carrying the same from Southampton to the mill 1 shilling.</t>
  </si>
  <si>
    <t>2 iron bands made with iron bought for the same for hooping the head of the beam 8pence.</t>
  </si>
  <si>
    <t>casting 1 pole with brass bought for the same 4 shilling 7pence.</t>
  </si>
  <si>
    <t>2 iron bands made with iron bought for the same and with the stipend of the smith for hooping the inner wheel 1 shilling 5pence Total, £2 11 shilling 10pence</t>
  </si>
  <si>
    <t>Fish-trap (hiltra)</t>
  </si>
  <si>
    <t>In 1 lock bought for the same 10pence.</t>
  </si>
  <si>
    <t>3 salmon caught by nets in the sea 1 shilling 8pence Total, 2 shilling 4pence</t>
  </si>
  <si>
    <t>Water-pipe (wymond')</t>
  </si>
  <si>
    <t>In 5 lb of tin bought 1 shilling 1.5pence.</t>
  </si>
  <si>
    <t>pitch, canvas and grease bought for the same 2 shilling 2pence.</t>
  </si>
  <si>
    <t>stipend of 1 man for 7 days mending the said water-pipe 2 shilling 4pence, or 4pence a day.</t>
  </si>
  <si>
    <t>Total, 5 shilling 7.5pence</t>
  </si>
  <si>
    <t>Expenses of the steward and wages of the bailiff</t>
  </si>
  <si>
    <t>In expenses of the steward for his visits at 2 tourns by 2 tallies 5 shilling 7pence.</t>
  </si>
  <si>
    <t>wages of William, sergeant, for the year £3 10pence.</t>
  </si>
  <si>
    <t>1 lb of wax bought for making candles for the chapel 5.5pence, and this by order of Sir Geoffrey, treasurer of Wolvesey.</t>
  </si>
  <si>
    <t>expenses of Roger Cosyn, bailiff of Bishops Waltham, for his visits 5 shilling Total, £3 11 shilling 10.5pence</t>
  </si>
  <si>
    <t>Total of all expenses</t>
  </si>
  <si>
    <t>Total of all expenses, £17 5 shilling 2.5pence</t>
  </si>
  <si>
    <t>And he owes</t>
  </si>
  <si>
    <t>And he owes, £21 11 pence</t>
  </si>
  <si>
    <t>Allowances</t>
  </si>
  <si>
    <t>In allowance of the reeve for building the arbour and the enclosure around the arbour at Bitterne by writ £6 6 shilling 3pence.</t>
  </si>
  <si>
    <t>allowance of the same for mending the kitchen which was ruinous, for all costs, £2 11 shilling 8pence Total of all allowances, £8 17 shilling 11pence</t>
  </si>
  <si>
    <t>And thus he owes clear</t>
  </si>
  <si>
    <t>And thus he owes clear, £12 3 shilling</t>
  </si>
  <si>
    <t>Wheat</t>
  </si>
  <si>
    <t>{yield: two-fold plus 1 quarters 4 bushels)</t>
  </si>
  <si>
    <t>The same render account for 18.5 quarters from the whole issue of wheat by struck measure.</t>
  </si>
  <si>
    <t>Sown over 68 acres as they lie in Gildewyneslond', 9.5 quarters 1 bushels.</t>
  </si>
  <si>
    <t>that is, 1 bushels an  acre, plus 1 quarters 1 bushels in all.</t>
  </si>
  <si>
    <t>provision of the steward for his visits, 1 bushels Sold, 8 quarters 6 bushels</t>
  </si>
  <si>
    <t>Curall</t>
  </si>
  <si>
    <t>The same render account for 8 quarters .5 bushels from the whole issue of curall from the same wheat by struck measure.</t>
  </si>
  <si>
    <t>curall, wheat</t>
  </si>
  <si>
    <t>Mixed with barley for the liveries of the manorial servants, 3 quarters 1 bushels.</t>
  </si>
  <si>
    <t>supporting pigs, 1 quarters 1 bushels Sold, 1 quarters 2 bushels Total, 5.5 quarters.</t>
  </si>
  <si>
    <t>And 2.5 quarters .5 bushels remain in the granary.</t>
  </si>
  <si>
    <t>Rye</t>
  </si>
  <si>
    <t>{yield: two-and-a-half-fold plus .51}</t>
  </si>
  <si>
    <t>The same render account for 3.5 quarters from the whole issue of rye by struck measure.</t>
  </si>
  <si>
    <t>rye</t>
  </si>
  <si>
    <t>Sown over 12 acres as they lie in Westbynne, 1 quarters 6 bushels.</t>
  </si>
  <si>
    <t>that is, 1 bushels an acre, plus 2 bushels in all.</t>
  </si>
  <si>
    <t>Mixed with barley for the liveries of the manorial servants, 1 quarters 6 bushels It balances.</t>
  </si>
  <si>
    <t>Barley</t>
  </si>
  <si>
    <t>{yield: two-and-a-half-fold plus 2 quarters}</t>
  </si>
  <si>
    <t>The same render account for 39 quarters 1 bushels from the whole issue of barley by struck measure.</t>
  </si>
  <si>
    <t>3 quarters 1 bushels received from curall and mixed with barley for the liveries of the manorial servants.</t>
  </si>
  <si>
    <t>barley, curall</t>
  </si>
  <si>
    <t>1 quarters 6 bushels received from rye.</t>
  </si>
  <si>
    <t>4 quarters 2 bushels received from peas.</t>
  </si>
  <si>
    <t>1 quarters 1 bushels received from vetches and mixed for the same.</t>
  </si>
  <si>
    <t>vetches</t>
  </si>
  <si>
    <t>Total, 49 quarters 3 bushels Sown over 75 acres as they lie in Bathardefeld', 14 quarters 2 bushels.</t>
  </si>
  <si>
    <t>that is, 1.5 bushels an acre, less 1.5 bushels in all.</t>
  </si>
  <si>
    <t>Delivered to 1 carter and 2 drovers for the year, 19.5 quarters, taking a quarter every 8 weeks.</t>
  </si>
  <si>
    <t>Delivered to 1 cowherd for the year, 4 quarters 2 bushels, taking a quarter every 12 weeks.</t>
  </si>
  <si>
    <t>Delivered to 1 dairymaid for the year, 3 quarters 1 bushels, taking a quarter every 16 weeks.</t>
  </si>
  <si>
    <t>Delivered to 1 shepherd for the year, 6.5 quarters, taking a quarter every 8 weeks.</t>
  </si>
  <si>
    <t>customary payment to 1 park-keeper, 1 quarters.</t>
  </si>
  <si>
    <t>Delivered to 1 harrower at various times at both sowings, 6 bushels It balances.</t>
  </si>
  <si>
    <t>Dredge</t>
  </si>
  <si>
    <t>{yield: four-fold less .5 quarters}</t>
  </si>
  <si>
    <t>The same render account for 14.5 quarters from the whole issue of dredge by struck measure.</t>
  </si>
  <si>
    <t>Sown over 18 acres as they lie in Westbune, 2 quarters 5 bushels.</t>
  </si>
  <si>
    <t>that is, 1 bushels an acre, plus 3 bushels in all.</t>
  </si>
  <si>
    <t>Sold, 11 quarters 7 bushels</t>
  </si>
  <si>
    <t>Oats</t>
  </si>
  <si>
    <t>{yield: two-fold less 3 quarters 5 bushels}</t>
  </si>
  <si>
    <t>The same render account for 20 quarters 3 bushels from the whole issue of oats by struck measure.</t>
  </si>
  <si>
    <t>4 quarters 2 bushels bought.</t>
  </si>
  <si>
    <t>Total, 24 quarters 5 bushels</t>
  </si>
  <si>
    <t>Sown over 57 acres as they lie in Pustukes and Bathardeslond', 14 quarters 2 bushels.</t>
  </si>
  <si>
    <t>that is, 2 bushels an acre.</t>
  </si>
  <si>
    <t>provision of the steward for his visits, 4.5 bushels.</t>
  </si>
  <si>
    <t>fodder of the clerk's horse for his visits, 1.5 bushels.</t>
  </si>
  <si>
    <t>fodder of 2 cart-horses for the year, 7 quarters this year.</t>
  </si>
  <si>
    <t>fodder of 2 plough-horses going to harrow at both sowings, 2 quarters 5 bushels this year, and this because the carts carried wood for fencing (claustr') from the park to the curia for the enclosure by order of the lorpence It balances.</t>
  </si>
  <si>
    <t xml:space="preserve">Beans </t>
  </si>
  <si>
    <t>The same render account for 4 bushels of beans bought.</t>
  </si>
  <si>
    <t>All sown in the garden.</t>
  </si>
  <si>
    <t xml:space="preserve">Peas </t>
  </si>
  <si>
    <t>{yield: six-fold}</t>
  </si>
  <si>
    <t>The same render account for 7.5 quarters from the whole issue of peas by struck measure.</t>
  </si>
  <si>
    <t>Sown over 16 acres as they lie in Chapelecrofte, 2 quarters.</t>
  </si>
  <si>
    <t>Mixed with barley for the liveries of the manorial servants, 4 quarters 2 bushels Sold, 1 quarters 2 bushels</t>
  </si>
  <si>
    <t>Vetches</t>
  </si>
  <si>
    <t>{yield: two-fold plus .5 quarters}</t>
  </si>
  <si>
    <t>The same render account for 3 quarters from the whole issue of vetches by struck measure.</t>
  </si>
  <si>
    <t>Sown over 15 acres as they lie in Charelliscroft and Pollescroft, 1 quarters 7 bushels.</t>
  </si>
  <si>
    <t>that is, 1  bushels an acre.</t>
  </si>
  <si>
    <t>Mixed with barley for the liveries of the manorial servants, 1 quarters 1 bushels</t>
  </si>
  <si>
    <t>Mill</t>
  </si>
  <si>
    <t>Wheat: 1 quarters 7 bushels from the whole issue of the mill.</t>
  </si>
  <si>
    <t>all solpence</t>
  </si>
  <si>
    <t>Barley: 19.5 quarters 2 bushels from the issue of the mill.</t>
  </si>
  <si>
    <t>Delivered to 1 miller, 6.5 quarters.</t>
  </si>
  <si>
    <t>Delivered to 1 carter, nothing, because there was no carter there.</t>
  </si>
  <si>
    <t>provision of the harvest, 1.5 quarters.</t>
  </si>
  <si>
    <t>Sold, 11.5 quarters 2 bushels</t>
  </si>
  <si>
    <t>Coarse-ground corn: 2 quarters 1 bushels from the whole issue of the mill.</t>
  </si>
  <si>
    <t>Malt: 4.5 quarters 3 bushels from the whole issue of the mill.</t>
  </si>
  <si>
    <t>Oatmeal: 1 bushels from the issue of the mill.</t>
  </si>
  <si>
    <t>Stock</t>
  </si>
  <si>
    <t>Cart-horses: 5 remain from the previous year.</t>
  </si>
  <si>
    <t>1 in murrain.</t>
  </si>
  <si>
    <t>2 sold.</t>
  </si>
  <si>
    <t>2 remain.</t>
  </si>
  <si>
    <t>Mares: 3 remain from the previous year.</t>
  </si>
  <si>
    <t>1 sold.</t>
  </si>
  <si>
    <t>Plough-horses: 1 remains from the previous year.</t>
  </si>
  <si>
    <t>none remain.</t>
  </si>
  <si>
    <t>Colts: 1 aged 1.5 years remains from the previous year.</t>
  </si>
  <si>
    <t>1 male now aged 2.5 years remains.</t>
  </si>
  <si>
    <t>Foals: 1 aged .5 year remains from the previous year.</t>
  </si>
  <si>
    <t>1 now 1.5 years remains.</t>
  </si>
  <si>
    <t>Also foals: 2 from the offspring of the mares this year.</t>
  </si>
  <si>
    <t>2 now .5 year remain.</t>
  </si>
  <si>
    <t>Oxen: 22 remain from the previous year.</t>
  </si>
  <si>
    <t>1 bought.</t>
  </si>
  <si>
    <t>Total, 23. 1 in murrain.</t>
  </si>
  <si>
    <t>22</t>
  </si>
  <si>
    <t>remain.</t>
  </si>
  <si>
    <t>Bulls: 1 remains from the previous year.</t>
  </si>
  <si>
    <t>1 remains.</t>
  </si>
  <si>
    <t>Cows: 10 remain from the previous year.</t>
  </si>
  <si>
    <t>1 added from steers.</t>
  </si>
  <si>
    <t>7 bought, 5 of them before calving.</t>
  </si>
  <si>
    <t>Total, 18. All remain.</t>
  </si>
  <si>
    <t>Steers: 1 remains from the previous year's bullocks.</t>
  </si>
  <si>
    <t>1 added to cows.</t>
  </si>
  <si>
    <t>Bullocks: 5 remain from the previous year's yearlings.</t>
  </si>
  <si>
    <t>all remain, all of them male.</t>
  </si>
  <si>
    <t>Yearlings: 5 remain from the previous year's calves.</t>
  </si>
  <si>
    <t>2 in murrain.</t>
  </si>
  <si>
    <t>3 males remain.</t>
  </si>
  <si>
    <t>Calves: 15 from the offspring of the said cows this year because 1 was sterile. 1 in tithe.</t>
  </si>
  <si>
    <t>6 sold Total, 8. 7 remain, 5 of them male.</t>
  </si>
  <si>
    <t>Wethers: 277 remain from the previous year.</t>
  </si>
  <si>
    <t>1 bought before shearing.</t>
  </si>
  <si>
    <t>Total, 278. 17 sold at Martinmas.</t>
  </si>
  <si>
    <t>4 in murrain before shearing, 17 after shearing.</t>
  </si>
  <si>
    <t>Total, 38. 240 remain.</t>
  </si>
  <si>
    <t>Sows: 1 remains from the previous year.</t>
  </si>
  <si>
    <t>Pigs: 6 remain from the previous year.</t>
  </si>
  <si>
    <t>4 sold.</t>
  </si>
  <si>
    <t>2 remain, 1 of them a boar.</t>
  </si>
  <si>
    <t>Hoggets: 1 remains from the previous year's piglets.</t>
  </si>
  <si>
    <t>Piglets: 8 from the offspring of the said sow this year.</t>
  </si>
  <si>
    <t>8 remain.</t>
  </si>
  <si>
    <t>Hens: 195 from churchscot this year. 4 in quittance of 1 reeve.</t>
  </si>
  <si>
    <t>4 in default of the land of Vyel.</t>
  </si>
  <si>
    <t>2 in default of the land of Gunilda le Gardenir because a widow.</t>
  </si>
  <si>
    <t>2 in default of the land of Agnes Hevedman because a widow.</t>
  </si>
  <si>
    <t>2 in default of the land of Lucy le Whyte because a widow.</t>
  </si>
  <si>
    <t>2 in default of the land of Herbert Hevedman because he has no wife.</t>
  </si>
  <si>
    <t>2 in default of the land of le Prute because a widower.</t>
  </si>
  <si>
    <t>2 in default of the land of Augustine Seman because a widower.</t>
  </si>
  <si>
    <t>2 in default of the land of Walter Schiphurd' because a widower.</t>
  </si>
  <si>
    <t>2 in default of the land of Walter le Havekar' because a widower.</t>
  </si>
  <si>
    <t>2 in default of Roger Westsyd' because a widower.</t>
  </si>
  <si>
    <t>2 in default of the land of Michael le Crokker' because he has no wife.</t>
  </si>
  <si>
    <t>2 in default of the land of Cukk' because a widower.</t>
  </si>
  <si>
    <t>2 in default of the land of Wysdon because a widower.</t>
  </si>
  <si>
    <t>2 in default of the land of John Ace because he has no wife.</t>
  </si>
  <si>
    <t>2 in default of the land of William le Prute because he has no wife.</t>
  </si>
  <si>
    <t>2 in default of the land of Richard Edrad because a widower.</t>
  </si>
  <si>
    <t>2 in default of the land of Roger ate Clyve because a widower.</t>
  </si>
  <si>
    <t>Total, 40. 155 solpence</t>
  </si>
  <si>
    <t>Coarse wool: {yield of fleece 3.5pence less 1 shilling 8pence in all): 257 fleeces produced at the shearing of wethers this year.</t>
  </si>
  <si>
    <t>26 in tithe.</t>
  </si>
  <si>
    <t>231 sent to Wolvesey, which made 1 wey 8 cloves.</t>
  </si>
  <si>
    <t>Hides: 1 from a cart-horse, 1 from a plough-horse, 1 from an ox, 2 from yearlings.</t>
  </si>
  <si>
    <t>Woolskins: 4 from wethers in murrain before shearing.</t>
  </si>
  <si>
    <t>Bare skins: 17 from wethers in murrain after shearing.</t>
  </si>
  <si>
    <t>Winter cheese: 33 made.</t>
  </si>
  <si>
    <t>Summer cheese: {yield of cow 3 shilling, because 7 cows bought at the feast of St Barnabas (11 June) were accounted as 4}: 137 cheeses made between Monday before the feast of St Dunstan (14 May) and Michaelmas (29 September), both days included.</t>
  </si>
  <si>
    <t>13 in tithe.</t>
  </si>
  <si>
    <t>124 sold, which made 4 weys 7 cloves.</t>
  </si>
  <si>
    <t>Butter: 6 cloves made this year.</t>
  </si>
  <si>
    <t>Salmon: 55 from the fish-trap (hiltra') this year.</t>
  </si>
  <si>
    <t>2 sent to the queen when she was in Winchester about the Invention of the Cross (3 May).</t>
  </si>
  <si>
    <t>53 sold, 19 of them before Easter.</t>
  </si>
  <si>
    <t>Utensils: 2 brass pots with 1 posnet, 2 ewers with 2 basins, 2 pans, 2 tubs and 1 tine remain from the previous year.</t>
  </si>
  <si>
    <t>all this remains.</t>
  </si>
  <si>
    <t>Carts: 2 carts with iron tyres and one wain with equipment remain from the previous year.</t>
  </si>
  <si>
    <t>they remain, of which 1 cart is worn out. pavymor': 5 shilling from Pavymor.</t>
  </si>
  <si>
    <t>all delivered to Sir Geoffrey, treasurer of Wolvesey, by 1 tally, and he is quit.</t>
  </si>
  <si>
    <t>Slates: 17,000 remain from the previous year.</t>
  </si>
  <si>
    <t>all usepence</t>
  </si>
  <si>
    <t>Cider: 6 casks made this year.</t>
  </si>
  <si>
    <t>they remain.</t>
  </si>
  <si>
    <t>Error</t>
  </si>
  <si>
    <t>Total</t>
  </si>
  <si>
    <t>The same render account for £2 12 shilling 6pence from 8 quarters 6 bushels of wheat sold, at 6 shilling a qr.</t>
  </si>
  <si>
    <t>5 shilling 5pence from 1 qr 2 bushels of curall sold, at 4 shilling 4pence a qr.</t>
  </si>
  <si>
    <t>£1 6 shilling 5pence from 11 quarters 3 bushels of dredge sold, at 2 shilling a qr for 3 quarters 7 bushels, 2 shilling 4pence a qr for 4 quarters, and 2 shilling 8pence a qr for 3.5 quarters.</t>
  </si>
  <si>
    <t>1 shilling from .5 qr of dredge sold at the audit.</t>
  </si>
  <si>
    <t>The same render account for 10 shilling 3pence from 1 qr 7 bushels of wheat sold, at 7.5pence a bushels for 2 bushels, 5 shilling 4pence a qr for 1 qr 1 bushels, and 9pence a bushels for 4 bushels.</t>
  </si>
  <si>
    <t>£1 15 shilling 10pence from 11 quarters 6 bushels of barley sold, at 2 shilling 8pence a qr for 3 quarters, 3 shilling a qr for 4 quarters, and 3 shilling 4pence a qr for 4 quarters 6 bushels.</t>
  </si>
  <si>
    <t>10 shilling 9pence from 4 quarters 7 bushels of malt sold, at 2 shilling a qr for 1 qr 7 bushels, and 2 shilling 4pence a qr for 3 quarters.</t>
  </si>
  <si>
    <t>3 quarters of lime bought for the same 2 shilling, at 8pence a qr.</t>
  </si>
  <si>
    <t>added</t>
  </si>
  <si>
    <t>sold</t>
  </si>
  <si>
    <t>Cart-horses</t>
  </si>
  <si>
    <t>Mares</t>
  </si>
  <si>
    <t>Foals</t>
  </si>
  <si>
    <t>Oxen</t>
  </si>
  <si>
    <t>Bulls</t>
  </si>
  <si>
    <t>Cows</t>
  </si>
  <si>
    <t>Steers</t>
  </si>
  <si>
    <t>Bullocks</t>
  </si>
  <si>
    <t>Yearlings</t>
  </si>
  <si>
    <t>Calves</t>
  </si>
  <si>
    <t>Wethers</t>
  </si>
  <si>
    <t>Sows</t>
  </si>
  <si>
    <t>Pigs</t>
  </si>
  <si>
    <t>Hoggets</t>
  </si>
  <si>
    <t>Piglets</t>
  </si>
  <si>
    <t>Poultry stock</t>
  </si>
  <si>
    <t>Coarse wool</t>
  </si>
  <si>
    <t>Bareskins</t>
  </si>
  <si>
    <t>Cheese</t>
  </si>
  <si>
    <t>Butter</t>
  </si>
  <si>
    <t>Utensils</t>
  </si>
  <si>
    <t>Quarters 1_x</t>
  </si>
  <si>
    <t>Bushels 1_x</t>
  </si>
  <si>
    <t>Sown Quarters</t>
  </si>
  <si>
    <t>Sown Bushels</t>
  </si>
  <si>
    <t>Sown Total Quarters</t>
  </si>
  <si>
    <t>Bought in Quarters</t>
  </si>
  <si>
    <t>Bought in Bushels</t>
  </si>
  <si>
    <t>Bought in Total Quarters</t>
  </si>
  <si>
    <t>Tithe Quarters</t>
  </si>
  <si>
    <t>Tithe Bushels</t>
  </si>
  <si>
    <t>Tithe Total Quarters</t>
  </si>
  <si>
    <t>Manorial servants &amp; livestock Quarters</t>
  </si>
  <si>
    <t>Manorial servants &amp; livestock Bushels</t>
  </si>
  <si>
    <t>Manorial servants &amp; livestock Total Quarters</t>
  </si>
  <si>
    <t>Sold Quarters</t>
  </si>
  <si>
    <t>Sold Bushels</t>
  </si>
  <si>
    <t>Sold Total Quarters</t>
  </si>
  <si>
    <t>Account Quarters</t>
  </si>
  <si>
    <t>Account Bushels</t>
  </si>
  <si>
    <t>Account Total Quarters</t>
  </si>
  <si>
    <t>bought only</t>
  </si>
  <si>
    <t>Quarters 1_y</t>
  </si>
  <si>
    <t>Bushels 1_y</t>
  </si>
  <si>
    <t>{yield: two-fold plus 1 qr 4 bushels)</t>
  </si>
  <si>
    <t>that is, 1 bushels an  acre, plus 1 qr 1 bushels in all.</t>
  </si>
  <si>
    <t>supporting pigs, 1 qr 1 bushels Sold, 1 qr 2 bushels Total, 5.5 quarters.</t>
  </si>
  <si>
    <t>Sown over 12 acres as they lie in Westbynne, 1 qr 6 bushels.</t>
  </si>
  <si>
    <t>Mixed with barley for the liveries of the manorial servants, 1 qr 6 bushels It balances.</t>
  </si>
  <si>
    <t>1 qr 6 bushels received from rye.</t>
  </si>
  <si>
    <t>1 qr 1 bushels received from vetches and mixed for the same.</t>
  </si>
  <si>
    <t>customary payment to 1 park-keeper, 1 qr.</t>
  </si>
  <si>
    <t>{yield: four-fold less .5 qr}</t>
  </si>
  <si>
    <t>{yield: two-fold plus .5 qr}</t>
  </si>
  <si>
    <t>Sown over 15 acres as they lie in Charelliscroft and Pollescroft, 1 qr 7 bushels.</t>
  </si>
  <si>
    <t>Mixed with barley for the liveries of the manorial servants, 1 qr 1 bushels</t>
  </si>
  <si>
    <t>Gross Output</t>
  </si>
  <si>
    <t>Difference Produced+Bought-Sold</t>
  </si>
  <si>
    <t>Weighted Average Price per Quarter</t>
  </si>
  <si>
    <t>Non-Weighted Average Price per Quarter</t>
  </si>
  <si>
    <t>Value of Total Production weighted</t>
  </si>
  <si>
    <t>Maslin</t>
  </si>
  <si>
    <t>Oatmeal</t>
  </si>
  <si>
    <t>Quarters 0</t>
  </si>
  <si>
    <t>Bushels 0</t>
  </si>
  <si>
    <t>£ a quarter 1</t>
  </si>
  <si>
    <t>£ a quarter 2</t>
  </si>
  <si>
    <t>£ a quarter 3</t>
  </si>
  <si>
    <t>£ a quarter 4</t>
  </si>
  <si>
    <t>Quarters Sold</t>
  </si>
  <si>
    <t>Corn lowercase</t>
  </si>
  <si>
    <t>inf</t>
  </si>
  <si>
    <t>CASH ACCOUNT</t>
  </si>
  <si>
    <t>RECEIPTS</t>
  </si>
  <si>
    <t>Arrears total</t>
  </si>
  <si>
    <t>Rents of assize total</t>
  </si>
  <si>
    <t>Quittances total</t>
  </si>
  <si>
    <t>Defaults of rent total</t>
  </si>
  <si>
    <t>Defaults of rent through the pestilence total</t>
  </si>
  <si>
    <t>Cotlands defaults total</t>
  </si>
  <si>
    <t>Cotlands total</t>
  </si>
  <si>
    <t>Total of quittances and defaults of rent total</t>
  </si>
  <si>
    <t>Total of rents remaining clear total</t>
  </si>
  <si>
    <t>Farms total</t>
  </si>
  <si>
    <t>Annual recognizances total</t>
  </si>
  <si>
    <t>Issues of the Manor total</t>
  </si>
  <si>
    <t>Issues of the tenements in the lord's hands total</t>
  </si>
  <si>
    <t>Sale of labour services total</t>
  </si>
  <si>
    <t>Sale of corn total</t>
  </si>
  <si>
    <t>Entry and marriage fines total</t>
  </si>
  <si>
    <t>Pleas &amp; perquisites total</t>
  </si>
  <si>
    <t>Forfeited chattels total</t>
  </si>
  <si>
    <t>Farm of the demesne land total</t>
  </si>
  <si>
    <t>Total of all receipts (calculated here)</t>
  </si>
  <si>
    <t>Total of all receipts (calculated here) incl arrears</t>
  </si>
  <si>
    <t>Total recorded in the accounts excl. arrears</t>
  </si>
  <si>
    <t>Total recorded in the accounts incl. arrears</t>
  </si>
  <si>
    <t>EXPENSES</t>
  </si>
  <si>
    <t>Cost of ploughs total</t>
  </si>
  <si>
    <t>Purchase of corn total</t>
  </si>
  <si>
    <t>Cost of carts and wagons total</t>
  </si>
  <si>
    <t>Cost of dairy total</t>
  </si>
  <si>
    <t>Purchase of stock total</t>
  </si>
  <si>
    <t>Sheepcote total</t>
  </si>
  <si>
    <t>Cost of buildings total</t>
  </si>
  <si>
    <t>Threshing total</t>
  </si>
  <si>
    <t>Barley expenses</t>
  </si>
  <si>
    <t>Expenses of the harvest total</t>
  </si>
  <si>
    <t>Necessary expenses</t>
  </si>
  <si>
    <t>Wages of the bailiff</t>
  </si>
  <si>
    <t>Steward's expenses total</t>
  </si>
  <si>
    <t>Annual fees</t>
  </si>
  <si>
    <t>Total of all expenses per account</t>
  </si>
  <si>
    <t>Total of all expenses (calculated here)</t>
  </si>
  <si>
    <t>Total fixed investment</t>
  </si>
  <si>
    <t>Total Demesne fixed investment</t>
  </si>
  <si>
    <t>Owed by the reeve</t>
  </si>
  <si>
    <t>From accounts</t>
  </si>
  <si>
    <t>Cash deliveries</t>
  </si>
  <si>
    <t>Sum of the above</t>
  </si>
  <si>
    <t>Total of all allowances and cash deliveries in accounts</t>
  </si>
  <si>
    <t>Net amount owed</t>
  </si>
  <si>
    <t>Net amount owed in accounts</t>
  </si>
  <si>
    <t xml:space="preserve">GRANGE ACCOUNT </t>
  </si>
  <si>
    <t>Grange</t>
  </si>
  <si>
    <t>Total value of gross production (sum of the above)</t>
  </si>
  <si>
    <t>Total value of net production</t>
  </si>
  <si>
    <t>Value of sales</t>
  </si>
  <si>
    <t>MILL ACCOUNT</t>
  </si>
  <si>
    <t>Issues of the mill</t>
  </si>
  <si>
    <t>1st grade malt</t>
  </si>
  <si>
    <t>2nd grade malt</t>
  </si>
  <si>
    <t>Total value of production (sum of the above)</t>
  </si>
  <si>
    <t>STOCK ACCOUNT</t>
  </si>
  <si>
    <t>Livestock</t>
  </si>
  <si>
    <t>Plough horses</t>
  </si>
  <si>
    <t>Colts (2 years)</t>
  </si>
  <si>
    <t>Colts (1 year)</t>
  </si>
  <si>
    <t>Rams</t>
  </si>
  <si>
    <t>Ewes</t>
  </si>
  <si>
    <t>Hoggs</t>
  </si>
  <si>
    <t>Lambs</t>
  </si>
  <si>
    <t>Boars</t>
  </si>
  <si>
    <t>Swans</t>
  </si>
  <si>
    <t>Peacocks</t>
  </si>
  <si>
    <t>Total value of stock (sum of the above)</t>
  </si>
  <si>
    <t>Total value of production</t>
  </si>
  <si>
    <t>Wool</t>
  </si>
  <si>
    <t>Lamb's wool</t>
  </si>
  <si>
    <t>Wool locks</t>
  </si>
  <si>
    <t>Wool sold at shearing</t>
  </si>
  <si>
    <t>Hides</t>
  </si>
  <si>
    <t>Ox hides</t>
  </si>
  <si>
    <t>Cow hides</t>
  </si>
  <si>
    <t>Mare hides</t>
  </si>
  <si>
    <t>Steer hides</t>
  </si>
  <si>
    <t>Yearling Calf hides</t>
  </si>
  <si>
    <t>Calf hides</t>
  </si>
  <si>
    <t>Pig hides</t>
  </si>
  <si>
    <t>Wether woolskins</t>
  </si>
  <si>
    <t>Ram woolskins</t>
  </si>
  <si>
    <t>Ewe woolskins</t>
  </si>
  <si>
    <t>Hogg woolskins</t>
  </si>
  <si>
    <t>Woolskins (total)</t>
  </si>
  <si>
    <t>Wether bareskins</t>
  </si>
  <si>
    <t>Ram bareskins</t>
  </si>
  <si>
    <t>Ewe bareskins</t>
  </si>
  <si>
    <t>Hogg bareskins</t>
  </si>
  <si>
    <t>Bareskins (total)</t>
  </si>
  <si>
    <t>Lambskins</t>
  </si>
  <si>
    <t>Rotted skins</t>
  </si>
  <si>
    <t>Shorn skins</t>
  </si>
  <si>
    <t>Hens</t>
  </si>
  <si>
    <t>Geese</t>
  </si>
  <si>
    <t>Capons (from chickens)</t>
  </si>
  <si>
    <t>Cocks &amp; hens</t>
  </si>
  <si>
    <t>Poultry production</t>
  </si>
  <si>
    <t>Eggs</t>
  </si>
  <si>
    <t>Cocks &amp; hens from churchscot of customary tenants</t>
  </si>
  <si>
    <t>Sum of above</t>
  </si>
  <si>
    <t>Total value of stock</t>
  </si>
  <si>
    <t>Dairy Production</t>
  </si>
  <si>
    <t>Winter Cheese</t>
  </si>
  <si>
    <t>Summer Cheese</t>
  </si>
  <si>
    <t>Total Production Value of all Output (Grange, Dairy, Livestock Sales, Wools, Skins - NO Mill)</t>
  </si>
  <si>
    <t>Total Sales Value of all Output as defined above</t>
  </si>
  <si>
    <t>Total Sales of Corn + Issues of the Manor as recorded in account</t>
  </si>
  <si>
    <t>Production Value + Cash Receipts (excl. Arrears, Issues, Corn and Mill)</t>
  </si>
  <si>
    <t>% of capital expenses in terms of total production</t>
  </si>
  <si>
    <t>% of capital expenses in terms of total production + cash receipts</t>
  </si>
  <si>
    <r>
      <t xml:space="preserve">% of capital expenses as </t>
    </r>
    <r>
      <rPr>
        <b/>
        <i/>
        <sz val="12"/>
        <color rgb="FF000000"/>
        <rFont val="Calibri"/>
        <family val="2"/>
        <scheme val="minor"/>
      </rPr>
      <t>calculated previously</t>
    </r>
  </si>
  <si>
    <t>BITTERNE</t>
  </si>
  <si>
    <t>Total in £</t>
  </si>
  <si>
    <t>Note</t>
  </si>
  <si>
    <t>BITTERNE RECEIPTS</t>
  </si>
  <si>
    <t>11 shilling from 4 pigs sold, at 2 shilling 9pence each.</t>
  </si>
  <si>
    <t xml:space="preserve">The same render account for £7 4 shilling from 53 salmon sold, at 4 shilling each for 19, and 2 shilling each for 34. </t>
  </si>
  <si>
    <t>Total, £7 4 shilling</t>
  </si>
  <si>
    <t xml:space="preserve">8pence from 1 bushels of oatmeal sold </t>
  </si>
  <si>
    <t>Total, £3 8 shilling 6pence</t>
  </si>
  <si>
    <t>11 shilling from 2 quarters 1 bushels of coarse-ground corn sold, at 5 shilling for 1 qr, and 5 shilling 4pence a qr for 1 qr 1 bushels.</t>
  </si>
  <si>
    <t>BITTERNE EXPENSES</t>
  </si>
  <si>
    <t>£</t>
  </si>
  <si>
    <t xml:space="preserve">s </t>
  </si>
  <si>
    <t>d</t>
  </si>
  <si>
    <t>Notes</t>
  </si>
  <si>
    <t xml:space="preserve">forage bought for supporting oxen 12 shilling 8pence </t>
  </si>
  <si>
    <t>Total, £2.</t>
  </si>
  <si>
    <t xml:space="preserve">4 quarters 2 bushels of oats bought for the fodder of horses 8 shilling 8pence </t>
  </si>
  <si>
    <t>Total, 17 shilling 8pence</t>
  </si>
  <si>
    <t>1 wether bought before shearing 1 shilling 6pence</t>
  </si>
  <si>
    <t xml:space="preserve"> Total, £3 12 shilling 6pence</t>
  </si>
  <si>
    <t xml:space="preserve">winnowing all the corn beyond that 4.5pence, at 1.5pence  1 shilling, at 1.5pence winnowed by the dairymaid 9pence </t>
  </si>
  <si>
    <t>Total, 13 shilling 1.5pence</t>
  </si>
  <si>
    <t xml:space="preserve">1 iron shovel bought 3.5pence </t>
  </si>
  <si>
    <t>Total, £1 8 shilling 11.5pence</t>
  </si>
  <si>
    <t>2 locks bought for the building of the press and the door to the chamber of the chapel 7pence.</t>
  </si>
  <si>
    <t>Total, 8 shilling 4pence</t>
  </si>
  <si>
    <t xml:space="preserve">mending the old fences of the said park in places 11pence </t>
  </si>
  <si>
    <t xml:space="preserve">hooping and mending 3 tubs, 1 small tub and 1 tine 1 shilling </t>
  </si>
  <si>
    <t>Total, £1 12 shilling 11.5pence</t>
  </si>
  <si>
    <t xml:space="preserve">2 iron bands made with iron bought for the same and with the stipend of the smith for hooping the inner wheel 1 shilling 5pence </t>
  </si>
  <si>
    <t>Total, £2 11 shilling 10pence</t>
  </si>
  <si>
    <t xml:space="preserve">3 salmon caught by nets in the sea 1 shilling 8pence </t>
  </si>
  <si>
    <t>Total, 2 shilling 4pence</t>
  </si>
  <si>
    <t xml:space="preserve">expenses of Roger Cosyn, bailiff of Bishops Waltham, for his visits 5 shilling </t>
  </si>
  <si>
    <t>Total, £3 11 shilling 10.5pence</t>
  </si>
  <si>
    <t xml:space="preserve">allowance of the same for mending the kitchen which was ruinous, for all costs, £2 11 shilling 8pence </t>
  </si>
  <si>
    <t>Total of all allowances, £8 17 shilling 11pence</t>
  </si>
  <si>
    <t>Colts (unspecified years)</t>
  </si>
  <si>
    <t>Total Value</t>
  </si>
  <si>
    <t>Total wool</t>
  </si>
  <si>
    <t>Mare</t>
  </si>
  <si>
    <t>Steer</t>
  </si>
  <si>
    <t>calves</t>
  </si>
  <si>
    <t>pigs</t>
  </si>
  <si>
    <t>wethers</t>
  </si>
  <si>
    <t>rams</t>
  </si>
  <si>
    <t>ewes</t>
  </si>
  <si>
    <t>hoggs</t>
  </si>
  <si>
    <t>Lambskins (excl. 8 in tithe)</t>
  </si>
  <si>
    <t xml:space="preserve">Total </t>
  </si>
  <si>
    <t>Total poultry stock</t>
  </si>
  <si>
    <t>Total poultry excluding churchscot</t>
  </si>
  <si>
    <t>Meat</t>
  </si>
  <si>
    <t>Beef</t>
  </si>
  <si>
    <t>Mutton</t>
  </si>
  <si>
    <t>Pork</t>
  </si>
  <si>
    <t>Winter cheese</t>
  </si>
  <si>
    <t>Summer cheese</t>
  </si>
  <si>
    <t>Total Dairy Sales</t>
  </si>
  <si>
    <t>Additional Information (not necessarily useful)</t>
  </si>
  <si>
    <t>ploughs</t>
  </si>
  <si>
    <t>carts</t>
  </si>
  <si>
    <t>cart-ropes</t>
  </si>
  <si>
    <t>corn baskets</t>
  </si>
  <si>
    <t>seed-sacks</t>
  </si>
  <si>
    <t>seed basket</t>
  </si>
  <si>
    <t>locks for the doors</t>
  </si>
  <si>
    <t>lead vessel</t>
  </si>
  <si>
    <t>brass pots</t>
  </si>
  <si>
    <t>pans</t>
  </si>
  <si>
    <t>tripods</t>
  </si>
  <si>
    <t>mortar</t>
  </si>
  <si>
    <t>axe</t>
  </si>
  <si>
    <t>casks</t>
  </si>
  <si>
    <t>tubs</t>
  </si>
  <si>
    <t>troughs</t>
  </si>
  <si>
    <t>bucket</t>
  </si>
  <si>
    <t>cheese basket</t>
  </si>
  <si>
    <t>tables</t>
  </si>
  <si>
    <t>table with trestles</t>
  </si>
  <si>
    <t>benches</t>
  </si>
  <si>
    <t>ewer with a basin</t>
  </si>
  <si>
    <t>ladders</t>
  </si>
  <si>
    <t>cloth</t>
  </si>
  <si>
    <t>brass posnets</t>
  </si>
  <si>
    <t>BITTERNE STOCK ACCOUNT</t>
  </si>
  <si>
    <t>subtracted</t>
  </si>
  <si>
    <t>Inherited stock</t>
  </si>
  <si>
    <t>strays</t>
  </si>
  <si>
    <t>herbage</t>
  </si>
  <si>
    <t>churchscot</t>
  </si>
  <si>
    <t>of which in default</t>
  </si>
  <si>
    <t>in murrain</t>
  </si>
  <si>
    <t>accounted for elsewhere</t>
  </si>
  <si>
    <t>End-period  stock</t>
  </si>
  <si>
    <t>cross-check</t>
  </si>
  <si>
    <t>stock building</t>
  </si>
  <si>
    <t>raw production</t>
  </si>
  <si>
    <t>Unit price (£)</t>
  </si>
  <si>
    <t>Value of stock  (£) at given value</t>
  </si>
  <si>
    <t>Value of stock  (£) at sales prices</t>
  </si>
  <si>
    <t>Sales in (£)</t>
  </si>
  <si>
    <t>Value of stock building (£)</t>
  </si>
  <si>
    <t>Value of production (£) at sales prices</t>
  </si>
  <si>
    <t>Details</t>
  </si>
  <si>
    <t>Total Quantity</t>
  </si>
  <si>
    <t>Received from churchscot</t>
  </si>
  <si>
    <t>Total Production</t>
  </si>
  <si>
    <t>Sales of corn (as recorded in accounts)</t>
  </si>
  <si>
    <t>Net output</t>
  </si>
  <si>
    <t>Gross output</t>
  </si>
  <si>
    <t>Seed quarters</t>
  </si>
  <si>
    <t>Seed bushels</t>
  </si>
  <si>
    <t>Seed total quarters</t>
  </si>
  <si>
    <t>tithe quarters</t>
  </si>
  <si>
    <t>tithe bushels</t>
  </si>
  <si>
    <t>tithe total</t>
  </si>
  <si>
    <t>manorial servants quarters</t>
  </si>
  <si>
    <t>manorial servants bushels</t>
  </si>
  <si>
    <t>manorial servants total quarters</t>
  </si>
  <si>
    <t>output net of tithe, seed, liveries</t>
  </si>
  <si>
    <t>in stock from last year</t>
  </si>
  <si>
    <t>Price in £</t>
  </si>
  <si>
    <t>Value of net output in £</t>
  </si>
  <si>
    <t>Value of sales (in "Sale of Corn") in £</t>
  </si>
  <si>
    <t>dredge</t>
  </si>
  <si>
    <t>cart horse</t>
  </si>
  <si>
    <t>plough horse</t>
  </si>
  <si>
    <t>yearlings</t>
  </si>
  <si>
    <t>Woolskins</t>
  </si>
  <si>
    <t>measured in cloves</t>
  </si>
  <si>
    <t xml:space="preserve">Fish </t>
  </si>
  <si>
    <t xml:space="preserve">Salmon </t>
  </si>
  <si>
    <t>no ox hide found in sales, only bullock - potentially a mistake by clerk</t>
  </si>
  <si>
    <t>only noted in issues not in stock</t>
  </si>
  <si>
    <t>3lb of wool locks recorded as sold in issues (not in stock)</t>
  </si>
  <si>
    <t>issues only records the sale of 151 hens</t>
  </si>
  <si>
    <t>Total of all receipts recorded in accounts</t>
  </si>
  <si>
    <t>Total cross-check without arrears</t>
  </si>
  <si>
    <t>Total cross-check with arrears</t>
  </si>
  <si>
    <t>Fixed investment</t>
  </si>
  <si>
    <t>Demesne fixed investment</t>
  </si>
  <si>
    <t>halfed to account for stipend part</t>
  </si>
  <si>
    <t>qrs</t>
  </si>
  <si>
    <t>Value of total gross production in £</t>
  </si>
  <si>
    <t>Value of total net production in £</t>
  </si>
  <si>
    <t>Sales value in £</t>
  </si>
  <si>
    <t>Value of production at sales prices £</t>
  </si>
  <si>
    <t>price from East Meon</t>
  </si>
  <si>
    <t>price from Bishops Sutton</t>
  </si>
  <si>
    <t>price from East Meon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</si>
</sst>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 (Body)"/>
    </font>
    <font>
      <sz val="11"/>
      <color rgb="FFFF0000"/>
      <name val="Calibri (Body)"/>
    </font>
    <font>
      <b/>
      <sz val="11"/>
      <color rgb="FFFF0000"/>
      <name val="Calibri (Body)"/>
    </font>
    <font>
      <b/>
      <sz val="12"/>
      <name val="Calibri"/>
      <family val="2"/>
    </font>
    <font>
      <b/>
      <sz val="12"/>
      <color rgb="FFFF0000"/>
      <name val="Calibri (Body)"/>
    </font>
    <font>
      <i/>
      <sz val="12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1" xfId="0" applyFont="1" applyBorder="1" applyAlignment="1">
      <alignment horizontal="center" vertical="top"/>
    </xf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2" fillId="0" borderId="0" xfId="0" applyFont="1"/>
    <xf numFmtId="0" fontId="7" fillId="3" borderId="2" xfId="0" applyFont="1" applyFill="1" applyBorder="1"/>
    <xf numFmtId="0" fontId="7" fillId="3" borderId="0" xfId="0" applyFont="1" applyFill="1"/>
    <xf numFmtId="0" fontId="8" fillId="2" borderId="0" xfId="0" applyFont="1" applyFill="1"/>
    <xf numFmtId="0" fontId="6" fillId="0" borderId="3" xfId="0" applyFont="1" applyBorder="1"/>
    <xf numFmtId="0" fontId="4" fillId="0" borderId="0" xfId="0" applyFont="1"/>
    <xf numFmtId="0" fontId="6" fillId="4" borderId="0" xfId="0" applyFont="1" applyFill="1"/>
    <xf numFmtId="0" fontId="9" fillId="4" borderId="0" xfId="0" applyFont="1" applyFill="1"/>
    <xf numFmtId="0" fontId="9" fillId="5" borderId="0" xfId="0" applyFont="1" applyFill="1"/>
    <xf numFmtId="0" fontId="9" fillId="2" borderId="0" xfId="0" applyFont="1" applyFill="1"/>
    <xf numFmtId="0" fontId="5" fillId="6" borderId="0" xfId="0" applyFont="1" applyFill="1"/>
    <xf numFmtId="0" fontId="5" fillId="3" borderId="0" xfId="0" applyFont="1" applyFill="1"/>
    <xf numFmtId="0" fontId="6" fillId="0" borderId="0" xfId="0" applyFont="1" applyAlignment="1">
      <alignment wrapText="1"/>
    </xf>
    <xf numFmtId="0" fontId="9" fillId="6" borderId="0" xfId="0" applyFont="1" applyFill="1"/>
    <xf numFmtId="0" fontId="6" fillId="0" borderId="4" xfId="0" applyFont="1" applyBorder="1"/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left"/>
    </xf>
    <xf numFmtId="0" fontId="6" fillId="3" borderId="5" xfId="0" applyFont="1" applyFill="1" applyBorder="1"/>
    <xf numFmtId="0" fontId="9" fillId="2" borderId="6" xfId="0" applyFont="1" applyFill="1" applyBorder="1"/>
    <xf numFmtId="0" fontId="9" fillId="5" borderId="6" xfId="0" applyFont="1" applyFill="1" applyBorder="1"/>
    <xf numFmtId="0" fontId="6" fillId="0" borderId="6" xfId="0" applyFont="1" applyBorder="1"/>
    <xf numFmtId="10" fontId="9" fillId="2" borderId="6" xfId="0" applyNumberFormat="1" applyFont="1" applyFill="1" applyBorder="1"/>
    <xf numFmtId="10" fontId="9" fillId="5" borderId="7" xfId="0" applyNumberFormat="1" applyFont="1" applyFill="1" applyBorder="1"/>
    <xf numFmtId="2" fontId="5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0" fontId="11" fillId="0" borderId="0" xfId="0" applyFont="1"/>
    <xf numFmtId="0" fontId="3" fillId="0" borderId="0" xfId="0" applyFont="1" applyAlignment="1">
      <alignment horizontal="center" vertical="top"/>
    </xf>
    <xf numFmtId="2" fontId="0" fillId="0" borderId="0" xfId="0" applyNumberFormat="1"/>
    <xf numFmtId="2" fontId="12" fillId="0" borderId="0" xfId="0" applyNumberFormat="1" applyFont="1"/>
    <xf numFmtId="2" fontId="3" fillId="0" borderId="0" xfId="0" applyNumberFormat="1" applyFont="1" applyAlignment="1">
      <alignment horizontal="center" vertical="top"/>
    </xf>
    <xf numFmtId="2" fontId="13" fillId="0" borderId="0" xfId="0" applyNumberFormat="1" applyFont="1" applyAlignment="1">
      <alignment horizontal="center" vertical="top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6" fillId="7" borderId="0" xfId="0" applyFont="1" applyFill="1"/>
    <xf numFmtId="0" fontId="0" fillId="0" borderId="8" xfId="0" applyBorder="1"/>
    <xf numFmtId="0" fontId="0" fillId="0" borderId="0" xfId="0" applyAlignment="1">
      <alignment horizontal="righ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0" fontId="0" fillId="8" borderId="0" xfId="0" applyFill="1"/>
    <xf numFmtId="0" fontId="16" fillId="3" borderId="0" xfId="0" applyFont="1" applyFill="1"/>
    <xf numFmtId="0" fontId="16" fillId="0" borderId="0" xfId="0" applyFont="1"/>
    <xf numFmtId="2" fontId="0" fillId="0" borderId="0" xfId="0" applyNumberFormat="1" applyAlignment="1">
      <alignment wrapText="1"/>
    </xf>
    <xf numFmtId="0" fontId="4" fillId="0" borderId="0" xfId="0" applyFont="1" applyAlignment="1">
      <alignment horizontal="right" wrapText="1"/>
    </xf>
    <xf numFmtId="2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 wrapText="1"/>
    </xf>
    <xf numFmtId="0" fontId="3" fillId="0" borderId="0" xfId="0" applyFont="1" applyAlignment="1">
      <alignment horizontal="right" vertical="top"/>
    </xf>
    <xf numFmtId="0" fontId="0" fillId="0" borderId="0" xfId="0" applyAlignment="1">
      <alignment horizontal="right" wrapText="1"/>
    </xf>
    <xf numFmtId="2" fontId="3" fillId="0" borderId="0" xfId="0" applyNumberFormat="1" applyFont="1" applyAlignment="1">
      <alignment horizontal="center" vertical="top" wrapText="1"/>
    </xf>
    <xf numFmtId="0" fontId="19" fillId="0" borderId="0" xfId="0" applyFont="1"/>
    <xf numFmtId="0" fontId="0" fillId="9" borderId="0" xfId="0" applyFill="1"/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wrapText="1"/>
    </xf>
    <xf numFmtId="0" fontId="20" fillId="0" borderId="10" xfId="0" applyFont="1" applyBorder="1" applyAlignment="1">
      <alignment wrapText="1"/>
    </xf>
    <xf numFmtId="2" fontId="19" fillId="0" borderId="0" xfId="0" applyNumberFormat="1" applyFont="1" applyAlignment="1">
      <alignment horizontal="right" wrapText="1"/>
    </xf>
    <xf numFmtId="2" fontId="19" fillId="0" borderId="0" xfId="0" applyNumberFormat="1" applyFont="1" applyAlignment="1">
      <alignment wrapText="1"/>
    </xf>
    <xf numFmtId="1" fontId="0" fillId="0" borderId="0" xfId="0" applyNumberFormat="1"/>
    <xf numFmtId="0" fontId="0" fillId="0" borderId="10" xfId="0" applyBorder="1"/>
    <xf numFmtId="0" fontId="0" fillId="7" borderId="0" xfId="0" applyFill="1" applyAlignment="1">
      <alignment horizontal="right"/>
    </xf>
    <xf numFmtId="0" fontId="0" fillId="7" borderId="0" xfId="0" applyFill="1"/>
    <xf numFmtId="0" fontId="0" fillId="0" borderId="0" xfId="0" applyAlignment="1">
      <alignment horizontal="left" wrapText="1"/>
    </xf>
    <xf numFmtId="2" fontId="0" fillId="0" borderId="0" xfId="0" applyNumberFormat="1" applyAlignment="1">
      <alignment horizontal="left" wrapText="1"/>
    </xf>
    <xf numFmtId="2" fontId="21" fillId="0" borderId="0" xfId="0" applyNumberFormat="1" applyFont="1" applyAlignment="1">
      <alignment horizontal="left" vertical="center" wrapText="1"/>
    </xf>
    <xf numFmtId="0" fontId="0" fillId="0" borderId="3" xfId="0" applyBorder="1"/>
    <xf numFmtId="0" fontId="16" fillId="7" borderId="0" xfId="0" applyFont="1" applyFill="1" applyAlignment="1">
      <alignment horizontal="right"/>
    </xf>
    <xf numFmtId="2" fontId="0" fillId="0" borderId="0" xfId="0" applyNumberFormat="1" applyAlignment="1">
      <alignment horizontal="right" wrapText="1"/>
    </xf>
    <xf numFmtId="2" fontId="0" fillId="7" borderId="0" xfId="0" applyNumberFormat="1" applyFill="1"/>
    <xf numFmtId="0" fontId="0" fillId="7" borderId="0" xfId="0" applyFill="1" applyAlignment="1">
      <alignment horizontal="left" wrapText="1"/>
    </xf>
    <xf numFmtId="164" fontId="0" fillId="0" borderId="0" xfId="0" applyNumberFormat="1"/>
    <xf numFmtId="164" fontId="0" fillId="0" borderId="0" xfId="0" applyNumberFormat="1" applyAlignment="1">
      <alignment wrapText="1"/>
    </xf>
    <xf numFmtId="164" fontId="4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164" fontId="0" fillId="7" borderId="0" xfId="0" applyNumberFormat="1" applyFill="1"/>
    <xf numFmtId="164" fontId="16" fillId="7" borderId="0" xfId="0" applyNumberFormat="1" applyFont="1" applyFill="1"/>
    <xf numFmtId="0" fontId="1" fillId="0" borderId="0" xfId="0" applyFont="1"/>
    <xf numFmtId="2" fontId="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/>
    <xf numFmtId="0" fontId="23" fillId="0" borderId="0" xfId="0" applyFont="1"/>
    <xf numFmtId="2" fontId="23" fillId="0" borderId="0" xfId="0" applyNumberFormat="1" applyFont="1"/>
    <xf numFmtId="0" fontId="1" fillId="3" borderId="0" xfId="0" applyFont="1" applyFill="1"/>
    <xf numFmtId="2" fontId="1" fillId="3" borderId="0" xfId="0" applyNumberFormat="1" applyFont="1" applyFill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23" fillId="3" borderId="0" xfId="0" applyFont="1" applyFill="1"/>
    <xf numFmtId="2" fontId="0" fillId="3" borderId="0" xfId="0" applyNumberFormat="1" applyFill="1"/>
    <xf numFmtId="0" fontId="19" fillId="3" borderId="0" xfId="0" applyFont="1" applyFill="1"/>
    <xf numFmtId="0" fontId="0" fillId="0" borderId="12" xfId="0" applyBorder="1"/>
    <xf numFmtId="0" fontId="0" fillId="0" borderId="13" xfId="0" applyBorder="1"/>
    <xf numFmtId="0" fontId="0" fillId="0" borderId="11" xfId="0" applyBorder="1"/>
    <xf numFmtId="2" fontId="0" fillId="0" borderId="12" xfId="0" applyNumberFormat="1" applyBorder="1"/>
    <xf numFmtId="10" fontId="0" fillId="0" borderId="12" xfId="0" applyNumberFormat="1" applyBorder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 wrapText="1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82"/>
  <sheetViews>
    <sheetView tabSelected="1" workbookViewId="0">
      <pane xSplit="1" ySplit="1" topLeftCell="B151" activePane="bottomRight" state="frozen"/>
      <selection pane="topRight" activeCell="B1" sqref="B1"/>
      <selection pane="bottomLeft" activeCell="A2" sqref="A2"/>
      <selection pane="bottomRight" activeCell="B175" sqref="B175"/>
    </sheetView>
  </sheetViews>
  <sheetFormatPr baseColWidth="10" defaultColWidth="8.83203125" defaultRowHeight="16" x14ac:dyDescent="0.2"/>
  <cols>
    <col min="1" max="1" width="80" style="5" bestFit="1" customWidth="1"/>
    <col min="2" max="2" width="29.1640625" bestFit="1" customWidth="1"/>
    <col min="3" max="3" width="8.83203125" style="90"/>
    <col min="5" max="5" width="30.83203125" bestFit="1" customWidth="1"/>
    <col min="6" max="6" width="29.33203125" bestFit="1" customWidth="1"/>
  </cols>
  <sheetData>
    <row r="1" spans="1:4" x14ac:dyDescent="0.2">
      <c r="A1" s="2" t="s">
        <v>626</v>
      </c>
      <c r="B1" s="28" t="s">
        <v>627</v>
      </c>
      <c r="C1" s="29" t="s">
        <v>423</v>
      </c>
      <c r="D1" s="10" t="s">
        <v>628</v>
      </c>
    </row>
    <row r="2" spans="1:4" x14ac:dyDescent="0.2">
      <c r="A2" s="2" t="s">
        <v>507</v>
      </c>
    </row>
    <row r="3" spans="1:4" x14ac:dyDescent="0.2">
      <c r="A3" s="3" t="s">
        <v>508</v>
      </c>
    </row>
    <row r="4" spans="1:4" x14ac:dyDescent="0.2">
      <c r="A4" s="4" t="s">
        <v>509</v>
      </c>
    </row>
    <row r="5" spans="1:4" x14ac:dyDescent="0.2">
      <c r="A5" s="4" t="s">
        <v>510</v>
      </c>
    </row>
    <row r="6" spans="1:4" x14ac:dyDescent="0.2">
      <c r="A6" s="4" t="s">
        <v>511</v>
      </c>
    </row>
    <row r="7" spans="1:4" x14ac:dyDescent="0.2">
      <c r="A7" s="4" t="s">
        <v>512</v>
      </c>
    </row>
    <row r="8" spans="1:4" x14ac:dyDescent="0.2">
      <c r="A8" s="5" t="s">
        <v>513</v>
      </c>
    </row>
    <row r="9" spans="1:4" x14ac:dyDescent="0.2">
      <c r="A9" s="5" t="s">
        <v>514</v>
      </c>
    </row>
    <row r="10" spans="1:4" x14ac:dyDescent="0.2">
      <c r="A10" s="5" t="s">
        <v>515</v>
      </c>
    </row>
    <row r="11" spans="1:4" x14ac:dyDescent="0.2">
      <c r="A11" s="5" t="s">
        <v>516</v>
      </c>
    </row>
    <row r="12" spans="1:4" x14ac:dyDescent="0.2">
      <c r="A12" s="5" t="s">
        <v>517</v>
      </c>
    </row>
    <row r="13" spans="1:4" x14ac:dyDescent="0.2">
      <c r="A13" s="5" t="s">
        <v>518</v>
      </c>
    </row>
    <row r="14" spans="1:4" x14ac:dyDescent="0.2">
      <c r="A14" s="4" t="s">
        <v>519</v>
      </c>
    </row>
    <row r="15" spans="1:4" x14ac:dyDescent="0.2">
      <c r="A15" s="4" t="s">
        <v>520</v>
      </c>
    </row>
    <row r="16" spans="1:4" x14ac:dyDescent="0.2">
      <c r="A16" s="5" t="s">
        <v>521</v>
      </c>
    </row>
    <row r="17" spans="1:3" x14ac:dyDescent="0.2">
      <c r="A17" s="5" t="s">
        <v>522</v>
      </c>
    </row>
    <row r="18" spans="1:3" x14ac:dyDescent="0.2">
      <c r="A18" s="4" t="s">
        <v>523</v>
      </c>
    </row>
    <row r="19" spans="1:3" x14ac:dyDescent="0.2">
      <c r="A19" s="4" t="s">
        <v>524</v>
      </c>
    </row>
    <row r="20" spans="1:3" x14ac:dyDescent="0.2">
      <c r="A20" s="4" t="s">
        <v>525</v>
      </c>
    </row>
    <row r="21" spans="1:3" x14ac:dyDescent="0.2">
      <c r="A21" s="5" t="s">
        <v>526</v>
      </c>
    </row>
    <row r="22" spans="1:3" x14ac:dyDescent="0.2">
      <c r="A22" s="5" t="s">
        <v>527</v>
      </c>
    </row>
    <row r="23" spans="1:3" x14ac:dyDescent="0.2">
      <c r="A23" s="6" t="s">
        <v>528</v>
      </c>
      <c r="B23" s="32">
        <f>Receipts!F120</f>
        <v>38.297499999999999</v>
      </c>
    </row>
    <row r="24" spans="1:3" x14ac:dyDescent="0.2">
      <c r="A24" s="7" t="s">
        <v>529</v>
      </c>
      <c r="B24" s="32">
        <f>Receipts!F121</f>
        <v>46.017499999999998</v>
      </c>
    </row>
    <row r="25" spans="1:3" x14ac:dyDescent="0.2">
      <c r="A25" s="8" t="s">
        <v>530</v>
      </c>
      <c r="B25" s="32">
        <f>Receipts!F119</f>
        <v>38.31</v>
      </c>
      <c r="C25" s="91">
        <f>B25-B23</f>
        <v>1.2500000000002842E-2</v>
      </c>
    </row>
    <row r="26" spans="1:3" x14ac:dyDescent="0.2">
      <c r="A26" s="8" t="s">
        <v>531</v>
      </c>
    </row>
    <row r="27" spans="1:3" x14ac:dyDescent="0.2">
      <c r="A27" s="4"/>
    </row>
    <row r="28" spans="1:3" x14ac:dyDescent="0.2">
      <c r="A28" s="4"/>
    </row>
    <row r="29" spans="1:3" x14ac:dyDescent="0.2">
      <c r="A29" s="3" t="s">
        <v>532</v>
      </c>
    </row>
    <row r="30" spans="1:3" x14ac:dyDescent="0.2">
      <c r="A30" s="4" t="s">
        <v>533</v>
      </c>
    </row>
    <row r="31" spans="1:3" x14ac:dyDescent="0.2">
      <c r="A31" s="4" t="s">
        <v>534</v>
      </c>
    </row>
    <row r="32" spans="1:3" x14ac:dyDescent="0.2">
      <c r="A32" s="4" t="s">
        <v>535</v>
      </c>
    </row>
    <row r="33" spans="1:2" x14ac:dyDescent="0.2">
      <c r="A33" s="4" t="s">
        <v>536</v>
      </c>
    </row>
    <row r="34" spans="1:2" x14ac:dyDescent="0.2">
      <c r="A34" s="4" t="s">
        <v>537</v>
      </c>
    </row>
    <row r="35" spans="1:2" x14ac:dyDescent="0.2">
      <c r="A35" s="4" t="s">
        <v>538</v>
      </c>
    </row>
    <row r="36" spans="1:2" x14ac:dyDescent="0.2">
      <c r="A36" s="4" t="s">
        <v>539</v>
      </c>
    </row>
    <row r="37" spans="1:2" x14ac:dyDescent="0.2">
      <c r="A37" s="4" t="s">
        <v>540</v>
      </c>
    </row>
    <row r="38" spans="1:2" x14ac:dyDescent="0.2">
      <c r="A38" s="4" t="s">
        <v>541</v>
      </c>
    </row>
    <row r="39" spans="1:2" x14ac:dyDescent="0.2">
      <c r="A39" s="4" t="s">
        <v>542</v>
      </c>
    </row>
    <row r="40" spans="1:2" x14ac:dyDescent="0.2">
      <c r="A40" s="4" t="s">
        <v>543</v>
      </c>
    </row>
    <row r="41" spans="1:2" x14ac:dyDescent="0.2">
      <c r="A41" s="4" t="s">
        <v>544</v>
      </c>
    </row>
    <row r="42" spans="1:2" x14ac:dyDescent="0.2">
      <c r="A42" s="4" t="s">
        <v>545</v>
      </c>
    </row>
    <row r="43" spans="1:2" x14ac:dyDescent="0.2">
      <c r="A43" s="9" t="s">
        <v>546</v>
      </c>
    </row>
    <row r="44" spans="1:2" x14ac:dyDescent="0.2">
      <c r="A44" s="7" t="s">
        <v>547</v>
      </c>
      <c r="B44" s="32">
        <f>Expenses!F135</f>
        <v>17.260000000000002</v>
      </c>
    </row>
    <row r="45" spans="1:2" x14ac:dyDescent="0.2">
      <c r="A45" s="7" t="s">
        <v>548</v>
      </c>
      <c r="B45" s="32">
        <f>Expenses!F136</f>
        <v>17.358749999999997</v>
      </c>
    </row>
    <row r="46" spans="1:2" x14ac:dyDescent="0.2">
      <c r="A46" s="7" t="s">
        <v>549</v>
      </c>
      <c r="B46" s="32">
        <f>Expenses!F137</f>
        <v>6.0704166666666675</v>
      </c>
    </row>
    <row r="47" spans="1:2" x14ac:dyDescent="0.2">
      <c r="A47" s="7" t="s">
        <v>550</v>
      </c>
      <c r="B47" s="32">
        <f>Expenses!F138</f>
        <v>1.715416666666667</v>
      </c>
    </row>
    <row r="48" spans="1:2" x14ac:dyDescent="0.2">
      <c r="A48" s="10"/>
    </row>
    <row r="49" spans="1:6" x14ac:dyDescent="0.2">
      <c r="A49" s="11" t="s">
        <v>551</v>
      </c>
    </row>
    <row r="50" spans="1:6" x14ac:dyDescent="0.2">
      <c r="A50" s="11" t="s">
        <v>552</v>
      </c>
    </row>
    <row r="51" spans="1:6" x14ac:dyDescent="0.2">
      <c r="A51" s="4"/>
    </row>
    <row r="52" spans="1:6" x14ac:dyDescent="0.2">
      <c r="A52" s="11" t="s">
        <v>251</v>
      </c>
    </row>
    <row r="53" spans="1:6" x14ac:dyDescent="0.2">
      <c r="A53" s="11" t="s">
        <v>553</v>
      </c>
    </row>
    <row r="54" spans="1:6" x14ac:dyDescent="0.2">
      <c r="A54" s="12" t="s">
        <v>554</v>
      </c>
    </row>
    <row r="55" spans="1:6" x14ac:dyDescent="0.2">
      <c r="A55" s="13" t="s">
        <v>555</v>
      </c>
    </row>
    <row r="56" spans="1:6" x14ac:dyDescent="0.2">
      <c r="A56" s="4"/>
    </row>
    <row r="57" spans="1:6" x14ac:dyDescent="0.2">
      <c r="A57" s="11" t="s">
        <v>556</v>
      </c>
    </row>
    <row r="58" spans="1:6" x14ac:dyDescent="0.2">
      <c r="A58" s="11" t="s">
        <v>557</v>
      </c>
    </row>
    <row r="59" spans="1:6" x14ac:dyDescent="0.2">
      <c r="A59" s="4"/>
    </row>
    <row r="60" spans="1:6" x14ac:dyDescent="0.2">
      <c r="A60" s="3" t="s">
        <v>558</v>
      </c>
      <c r="B60" s="105" t="s">
        <v>734</v>
      </c>
      <c r="C60" s="105"/>
      <c r="D60" s="92"/>
      <c r="E60" s="92"/>
      <c r="F60" s="93"/>
    </row>
    <row r="61" spans="1:6" x14ac:dyDescent="0.2">
      <c r="A61" s="2" t="s">
        <v>559</v>
      </c>
      <c r="B61" s="94" t="s">
        <v>770</v>
      </c>
      <c r="C61" s="95"/>
      <c r="D61" s="81"/>
      <c r="E61" s="96" t="s">
        <v>771</v>
      </c>
      <c r="F61" s="96" t="s">
        <v>772</v>
      </c>
    </row>
    <row r="62" spans="1:6" ht="15" x14ac:dyDescent="0.2">
      <c r="A62" t="s">
        <v>105</v>
      </c>
      <c r="B62">
        <f>'Issues of the Grange'!B2</f>
        <v>18.5</v>
      </c>
      <c r="E62" s="32">
        <f>'Issues of the Grange'!I2</f>
        <v>5.55</v>
      </c>
      <c r="F62" s="32">
        <f>'Issues of the Grange'!O18</f>
        <v>2.625</v>
      </c>
    </row>
    <row r="63" spans="1:6" ht="15" x14ac:dyDescent="0.2">
      <c r="A63" t="s">
        <v>107</v>
      </c>
      <c r="B63">
        <f>'Issues of the Grange'!B3</f>
        <v>8.625</v>
      </c>
      <c r="E63" s="32">
        <f>'Issues of the Grange'!I3</f>
        <v>1.8687499999999992</v>
      </c>
      <c r="F63" s="32">
        <f>'Issues of the Grange'!O19</f>
        <v>0.9479166666666663</v>
      </c>
    </row>
    <row r="64" spans="1:6" ht="15" x14ac:dyDescent="0.2">
      <c r="A64" t="s">
        <v>271</v>
      </c>
      <c r="B64">
        <f>'Issues of the Grange'!B4</f>
        <v>3.5</v>
      </c>
      <c r="E64" s="32">
        <f>'Issues of the Grange'!I4</f>
        <v>0</v>
      </c>
      <c r="F64" s="32">
        <f>'Issues of the Grange'!O20</f>
        <v>0</v>
      </c>
    </row>
    <row r="65" spans="1:6" ht="15" x14ac:dyDescent="0.2">
      <c r="A65" t="s">
        <v>117</v>
      </c>
      <c r="B65">
        <f>'Issues of the Grange'!B5</f>
        <v>49.375</v>
      </c>
      <c r="E65" s="32">
        <f>'Issues of the Grange'!I5</f>
        <v>9.3812499999999996</v>
      </c>
      <c r="F65" s="32">
        <f>'Issues of the Grange'!O21</f>
        <v>0</v>
      </c>
    </row>
    <row r="66" spans="1:6" ht="15" x14ac:dyDescent="0.2">
      <c r="A66" t="s">
        <v>752</v>
      </c>
      <c r="B66">
        <f>'Issues of the Grange'!B6</f>
        <v>14.5</v>
      </c>
      <c r="E66" s="32">
        <f>'Issues of the Grange'!I6</f>
        <v>1.2138676844783716</v>
      </c>
      <c r="F66" s="32">
        <f>'Issues of the Grange'!O22</f>
        <v>0.99411577608142487</v>
      </c>
    </row>
    <row r="67" spans="1:6" ht="15" x14ac:dyDescent="0.2">
      <c r="A67" t="s">
        <v>174</v>
      </c>
      <c r="B67">
        <f>'Issues of the Grange'!B7</f>
        <v>24.625</v>
      </c>
      <c r="E67" s="32">
        <f>'Issues of the Grange'!I7</f>
        <v>2.5413976206687856</v>
      </c>
      <c r="F67" s="32">
        <f>'Issues of the Grange'!O23</f>
        <v>0</v>
      </c>
    </row>
    <row r="68" spans="1:6" ht="15" x14ac:dyDescent="0.2">
      <c r="A68" t="s">
        <v>161</v>
      </c>
      <c r="B68">
        <f>'Issues of the Grange'!B8</f>
        <v>0</v>
      </c>
      <c r="E68" s="32">
        <f>'Issues of the Grange'!I8</f>
        <v>0</v>
      </c>
      <c r="F68" s="32">
        <f>'Issues of the Grange'!O24</f>
        <v>0</v>
      </c>
    </row>
    <row r="69" spans="1:6" ht="15" x14ac:dyDescent="0.2">
      <c r="A69" t="s">
        <v>111</v>
      </c>
      <c r="B69">
        <f>'Issues of the Grange'!B9</f>
        <v>7.5</v>
      </c>
      <c r="E69" s="32">
        <f>'Issues of the Grange'!I9</f>
        <v>1.2</v>
      </c>
      <c r="F69" s="32">
        <f>'Issues of the Grange'!O25</f>
        <v>0.52</v>
      </c>
    </row>
    <row r="70" spans="1:6" ht="15" x14ac:dyDescent="0.2">
      <c r="A70" t="s">
        <v>283</v>
      </c>
      <c r="B70">
        <f>'Issues of the Grange'!B10</f>
        <v>3</v>
      </c>
      <c r="E70" s="32">
        <f>'Issues of the Grange'!I10</f>
        <v>0.30000000000000004</v>
      </c>
      <c r="F70" s="32">
        <f>'Issues of the Grange'!O26</f>
        <v>0</v>
      </c>
    </row>
    <row r="71" spans="1:6" x14ac:dyDescent="0.2">
      <c r="A71" s="14" t="s">
        <v>560</v>
      </c>
      <c r="B71" s="43"/>
      <c r="C71" s="97"/>
      <c r="D71" s="43"/>
      <c r="E71" s="98">
        <f>SUM(E62:E70)</f>
        <v>22.055265305147156</v>
      </c>
      <c r="F71" s="43"/>
    </row>
    <row r="72" spans="1:6" x14ac:dyDescent="0.2">
      <c r="A72" s="14" t="s">
        <v>561</v>
      </c>
      <c r="B72" s="43"/>
      <c r="C72" s="97"/>
      <c r="D72" s="43"/>
      <c r="E72" s="98">
        <f>SUM(F62:F70)</f>
        <v>5.0870324427480913</v>
      </c>
      <c r="F72" s="43"/>
    </row>
    <row r="73" spans="1:6" x14ac:dyDescent="0.2">
      <c r="A73" s="14" t="s">
        <v>562</v>
      </c>
      <c r="B73" s="43"/>
      <c r="C73" s="97"/>
      <c r="D73" s="43"/>
      <c r="E73" s="98">
        <f>Receipts!F87+Receipts!F95</f>
        <v>7.9175000000000004</v>
      </c>
      <c r="F73" s="43"/>
    </row>
    <row r="74" spans="1:6" x14ac:dyDescent="0.2">
      <c r="A74" s="4"/>
    </row>
    <row r="75" spans="1:6" x14ac:dyDescent="0.2">
      <c r="A75" s="3" t="s">
        <v>563</v>
      </c>
    </row>
    <row r="76" spans="1:6" x14ac:dyDescent="0.2">
      <c r="A76" s="2" t="s">
        <v>564</v>
      </c>
    </row>
    <row r="77" spans="1:6" x14ac:dyDescent="0.2">
      <c r="A77" s="4" t="s">
        <v>256</v>
      </c>
    </row>
    <row r="78" spans="1:6" x14ac:dyDescent="0.2">
      <c r="A78" s="4" t="s">
        <v>497</v>
      </c>
    </row>
    <row r="79" spans="1:6" x14ac:dyDescent="0.2">
      <c r="A79" s="4" t="s">
        <v>565</v>
      </c>
    </row>
    <row r="80" spans="1:6" x14ac:dyDescent="0.2">
      <c r="A80" s="4" t="s">
        <v>566</v>
      </c>
    </row>
    <row r="81" spans="1:2" x14ac:dyDescent="0.2">
      <c r="A81" s="4" t="s">
        <v>496</v>
      </c>
    </row>
    <row r="82" spans="1:2" x14ac:dyDescent="0.2">
      <c r="A82" s="14" t="s">
        <v>567</v>
      </c>
    </row>
    <row r="83" spans="1:2" x14ac:dyDescent="0.2">
      <c r="A83" s="14" t="s">
        <v>562</v>
      </c>
    </row>
    <row r="84" spans="1:2" x14ac:dyDescent="0.2">
      <c r="A84" s="4"/>
    </row>
    <row r="85" spans="1:2" x14ac:dyDescent="0.2">
      <c r="A85" s="15" t="s">
        <v>568</v>
      </c>
      <c r="B85" s="43"/>
    </row>
    <row r="86" spans="1:2" x14ac:dyDescent="0.2">
      <c r="A86" s="16" t="s">
        <v>569</v>
      </c>
      <c r="B86" s="99" t="s">
        <v>773</v>
      </c>
    </row>
    <row r="87" spans="1:2" ht="17" x14ac:dyDescent="0.2">
      <c r="A87" s="17" t="s">
        <v>435</v>
      </c>
      <c r="B87" s="32">
        <f>Stock!R6</f>
        <v>0.75</v>
      </c>
    </row>
    <row r="88" spans="1:2" ht="17" x14ac:dyDescent="0.2">
      <c r="A88" s="17" t="s">
        <v>436</v>
      </c>
      <c r="B88" s="32">
        <f>Stock!R7</f>
        <v>0.4</v>
      </c>
    </row>
    <row r="89" spans="1:2" x14ac:dyDescent="0.2">
      <c r="A89" s="4" t="s">
        <v>570</v>
      </c>
      <c r="B89" s="32">
        <f>Stock!R8</f>
        <v>0</v>
      </c>
    </row>
    <row r="90" spans="1:2" x14ac:dyDescent="0.2">
      <c r="A90" s="4" t="s">
        <v>571</v>
      </c>
      <c r="B90" s="32">
        <f>Stock!R9</f>
        <v>0</v>
      </c>
    </row>
    <row r="91" spans="1:2" x14ac:dyDescent="0.2">
      <c r="A91" s="4" t="s">
        <v>571</v>
      </c>
      <c r="B91" s="32">
        <f>Stock!R10</f>
        <v>0</v>
      </c>
    </row>
    <row r="92" spans="1:2" x14ac:dyDescent="0.2">
      <c r="A92" s="4" t="s">
        <v>572</v>
      </c>
      <c r="B92" s="32">
        <f>Stock!R11</f>
        <v>0</v>
      </c>
    </row>
    <row r="93" spans="1:2" x14ac:dyDescent="0.2">
      <c r="A93" s="4" t="s">
        <v>437</v>
      </c>
      <c r="B93" s="32">
        <f>Stock!R12</f>
        <v>0</v>
      </c>
    </row>
    <row r="94" spans="1:2" x14ac:dyDescent="0.2">
      <c r="A94" s="4" t="s">
        <v>438</v>
      </c>
      <c r="B94" s="32">
        <f>Stock!R13</f>
        <v>0</v>
      </c>
    </row>
    <row r="95" spans="1:2" x14ac:dyDescent="0.2">
      <c r="A95" s="4" t="s">
        <v>439</v>
      </c>
      <c r="B95" s="32">
        <f>Stock!R14</f>
        <v>0</v>
      </c>
    </row>
    <row r="96" spans="1:2" x14ac:dyDescent="0.2">
      <c r="A96" s="4" t="s">
        <v>440</v>
      </c>
      <c r="B96" s="32">
        <f>Stock!R15</f>
        <v>0</v>
      </c>
    </row>
    <row r="97" spans="1:2" x14ac:dyDescent="0.2">
      <c r="A97" s="4" t="s">
        <v>441</v>
      </c>
      <c r="B97" s="32">
        <f>Stock!R16</f>
        <v>0</v>
      </c>
    </row>
    <row r="98" spans="1:2" x14ac:dyDescent="0.2">
      <c r="A98" s="4" t="s">
        <v>442</v>
      </c>
      <c r="B98" s="32">
        <f>Stock!R17</f>
        <v>0</v>
      </c>
    </row>
    <row r="99" spans="1:2" x14ac:dyDescent="0.2">
      <c r="A99" s="4" t="s">
        <v>443</v>
      </c>
      <c r="B99" s="32">
        <f>Stock!R18</f>
        <v>0</v>
      </c>
    </row>
    <row r="100" spans="1:2" x14ac:dyDescent="0.2">
      <c r="A100" s="4" t="s">
        <v>444</v>
      </c>
      <c r="B100" s="32">
        <f>Stock!R19</f>
        <v>0.3</v>
      </c>
    </row>
    <row r="101" spans="1:2" x14ac:dyDescent="0.2">
      <c r="A101" s="4" t="s">
        <v>445</v>
      </c>
      <c r="B101" s="32">
        <f>Stock!R20</f>
        <v>0.85</v>
      </c>
    </row>
    <row r="102" spans="1:2" x14ac:dyDescent="0.2">
      <c r="A102" s="4" t="s">
        <v>573</v>
      </c>
      <c r="B102" s="32">
        <f>Stock!R21</f>
        <v>0</v>
      </c>
    </row>
    <row r="103" spans="1:2" x14ac:dyDescent="0.2">
      <c r="A103" s="4" t="s">
        <v>574</v>
      </c>
      <c r="B103" s="32">
        <f>Stock!R22</f>
        <v>0</v>
      </c>
    </row>
    <row r="104" spans="1:2" x14ac:dyDescent="0.2">
      <c r="A104" s="4" t="s">
        <v>575</v>
      </c>
      <c r="B104" s="32">
        <f>Stock!R23</f>
        <v>0</v>
      </c>
    </row>
    <row r="105" spans="1:2" x14ac:dyDescent="0.2">
      <c r="A105" s="4" t="s">
        <v>576</v>
      </c>
      <c r="B105" s="32">
        <f>Stock!R24</f>
        <v>0</v>
      </c>
    </row>
    <row r="106" spans="1:2" x14ac:dyDescent="0.2">
      <c r="A106" s="4" t="s">
        <v>577</v>
      </c>
      <c r="B106" s="32">
        <f>Stock!R25</f>
        <v>0</v>
      </c>
    </row>
    <row r="107" spans="1:2" x14ac:dyDescent="0.2">
      <c r="A107" s="4" t="s">
        <v>446</v>
      </c>
      <c r="B107" s="32">
        <f>Stock!R26</f>
        <v>0</v>
      </c>
    </row>
    <row r="108" spans="1:2" x14ac:dyDescent="0.2">
      <c r="A108" s="4" t="s">
        <v>447</v>
      </c>
      <c r="B108" s="32">
        <f>Stock!R27</f>
        <v>0.55000000000000004</v>
      </c>
    </row>
    <row r="109" spans="1:2" x14ac:dyDescent="0.2">
      <c r="A109" s="4" t="s">
        <v>448</v>
      </c>
      <c r="B109" s="32">
        <f>Stock!R28</f>
        <v>0</v>
      </c>
    </row>
    <row r="110" spans="1:2" x14ac:dyDescent="0.2">
      <c r="A110" s="4" t="s">
        <v>449</v>
      </c>
      <c r="B110" s="32">
        <f>Stock!R29</f>
        <v>0</v>
      </c>
    </row>
    <row r="111" spans="1:2" x14ac:dyDescent="0.2">
      <c r="A111" s="4" t="s">
        <v>578</v>
      </c>
      <c r="B111" s="32">
        <f>Stock!R30</f>
        <v>0</v>
      </c>
    </row>
    <row r="112" spans="1:2" x14ac:dyDescent="0.2">
      <c r="A112" s="4" t="s">
        <v>579</v>
      </c>
      <c r="B112" s="32">
        <f>Stock!R31</f>
        <v>0</v>
      </c>
    </row>
    <row r="113" spans="1:2" x14ac:dyDescent="0.2">
      <c r="A113" s="14" t="s">
        <v>580</v>
      </c>
      <c r="B113" s="43"/>
    </row>
    <row r="114" spans="1:2" x14ac:dyDescent="0.2">
      <c r="A114" s="14" t="s">
        <v>581</v>
      </c>
      <c r="B114" s="43"/>
    </row>
    <row r="115" spans="1:2" x14ac:dyDescent="0.2">
      <c r="A115" s="14" t="s">
        <v>562</v>
      </c>
      <c r="B115" s="98">
        <f>Stock!R32</f>
        <v>2.8499999999999996</v>
      </c>
    </row>
    <row r="116" spans="1:2" x14ac:dyDescent="0.2">
      <c r="A116" s="4"/>
    </row>
    <row r="117" spans="1:2" x14ac:dyDescent="0.2">
      <c r="A117" s="3" t="s">
        <v>582</v>
      </c>
      <c r="B117" s="99" t="s">
        <v>774</v>
      </c>
    </row>
    <row r="118" spans="1:2" ht="15" x14ac:dyDescent="0.2">
      <c r="A118" t="s">
        <v>451</v>
      </c>
      <c r="B118">
        <f>Stock!T36</f>
        <v>5.14</v>
      </c>
    </row>
    <row r="119" spans="1:2" ht="15" x14ac:dyDescent="0.2">
      <c r="A119" t="s">
        <v>583</v>
      </c>
      <c r="B119">
        <f>Stock!T37</f>
        <v>0</v>
      </c>
    </row>
    <row r="120" spans="1:2" ht="15" x14ac:dyDescent="0.2">
      <c r="A120" t="s">
        <v>584</v>
      </c>
      <c r="B120">
        <f>Stock!T38</f>
        <v>0.01</v>
      </c>
    </row>
    <row r="121" spans="1:2" ht="15" x14ac:dyDescent="0.2">
      <c r="A121" t="s">
        <v>585</v>
      </c>
      <c r="B121">
        <f>Stock!T39</f>
        <v>0</v>
      </c>
    </row>
    <row r="122" spans="1:2" x14ac:dyDescent="0.2">
      <c r="A122" s="18" t="s">
        <v>567</v>
      </c>
      <c r="B122" s="43">
        <f>SUM(B118:B121)</f>
        <v>5.1499999999999995</v>
      </c>
    </row>
    <row r="123" spans="1:2" x14ac:dyDescent="0.2">
      <c r="A123" s="18" t="s">
        <v>562</v>
      </c>
      <c r="B123" s="98">
        <f>Stock!R38</f>
        <v>0.01</v>
      </c>
    </row>
    <row r="124" spans="1:2" x14ac:dyDescent="0.2">
      <c r="A124" s="2"/>
    </row>
    <row r="125" spans="1:2" x14ac:dyDescent="0.2">
      <c r="A125" s="3" t="s">
        <v>586</v>
      </c>
      <c r="B125" s="99" t="s">
        <v>774</v>
      </c>
    </row>
    <row r="126" spans="1:2" x14ac:dyDescent="0.2">
      <c r="A126" s="4" t="s">
        <v>587</v>
      </c>
      <c r="B126">
        <f>Stock!T44</f>
        <v>0.2</v>
      </c>
    </row>
    <row r="127" spans="1:2" x14ac:dyDescent="0.2">
      <c r="A127" s="4" t="s">
        <v>588</v>
      </c>
      <c r="B127">
        <f>Stock!T45</f>
        <v>0.04</v>
      </c>
    </row>
    <row r="128" spans="1:2" x14ac:dyDescent="0.2">
      <c r="A128" s="4" t="s">
        <v>589</v>
      </c>
      <c r="B128">
        <f>Stock!T46</f>
        <v>0.03</v>
      </c>
    </row>
    <row r="129" spans="1:2" x14ac:dyDescent="0.2">
      <c r="A129" s="4" t="s">
        <v>590</v>
      </c>
      <c r="B129">
        <f>Stock!T47</f>
        <v>0.03</v>
      </c>
    </row>
    <row r="130" spans="1:2" x14ac:dyDescent="0.2">
      <c r="A130" s="4" t="s">
        <v>591</v>
      </c>
      <c r="B130">
        <f>Stock!T48</f>
        <v>0</v>
      </c>
    </row>
    <row r="131" spans="1:2" x14ac:dyDescent="0.2">
      <c r="A131" s="4" t="s">
        <v>592</v>
      </c>
      <c r="B131">
        <f>Stock!T49</f>
        <v>0</v>
      </c>
    </row>
    <row r="132" spans="1:2" x14ac:dyDescent="0.2">
      <c r="A132" s="19" t="s">
        <v>593</v>
      </c>
      <c r="B132">
        <f>Stock!T50</f>
        <v>0.01</v>
      </c>
    </row>
    <row r="133" spans="1:2" x14ac:dyDescent="0.2">
      <c r="A133" s="20" t="s">
        <v>594</v>
      </c>
      <c r="B133">
        <f>Stock!T51</f>
        <v>0</v>
      </c>
    </row>
    <row r="134" spans="1:2" x14ac:dyDescent="0.2">
      <c r="A134" s="20" t="s">
        <v>595</v>
      </c>
      <c r="B134">
        <f>Stock!T52</f>
        <v>0</v>
      </c>
    </row>
    <row r="135" spans="1:2" x14ac:dyDescent="0.2">
      <c r="A135" s="20" t="s">
        <v>596</v>
      </c>
      <c r="B135">
        <f>Stock!T53</f>
        <v>0.04</v>
      </c>
    </row>
    <row r="136" spans="1:2" x14ac:dyDescent="0.2">
      <c r="A136" s="20" t="s">
        <v>597</v>
      </c>
      <c r="B136">
        <f>Stock!T54</f>
        <v>0</v>
      </c>
    </row>
    <row r="137" spans="1:2" x14ac:dyDescent="0.2">
      <c r="A137" s="21" t="s">
        <v>598</v>
      </c>
      <c r="B137">
        <f>Stock!T55</f>
        <v>0</v>
      </c>
    </row>
    <row r="138" spans="1:2" x14ac:dyDescent="0.2">
      <c r="A138" s="20" t="s">
        <v>599</v>
      </c>
      <c r="B138">
        <f>Stock!T56</f>
        <v>0</v>
      </c>
    </row>
    <row r="139" spans="1:2" x14ac:dyDescent="0.2">
      <c r="A139" s="20" t="s">
        <v>600</v>
      </c>
      <c r="B139">
        <f>Stock!T57</f>
        <v>0</v>
      </c>
    </row>
    <row r="140" spans="1:2" x14ac:dyDescent="0.2">
      <c r="A140" s="20" t="s">
        <v>601</v>
      </c>
      <c r="B140">
        <f>Stock!T58</f>
        <v>0</v>
      </c>
    </row>
    <row r="141" spans="1:2" x14ac:dyDescent="0.2">
      <c r="A141" s="20" t="s">
        <v>602</v>
      </c>
      <c r="B141">
        <f>Stock!T59</f>
        <v>0.03</v>
      </c>
    </row>
    <row r="142" spans="1:2" x14ac:dyDescent="0.2">
      <c r="A142" s="21" t="s">
        <v>603</v>
      </c>
      <c r="B142">
        <f>Stock!T60</f>
        <v>0</v>
      </c>
    </row>
    <row r="143" spans="1:2" x14ac:dyDescent="0.2">
      <c r="A143" s="4" t="s">
        <v>604</v>
      </c>
      <c r="B143">
        <f>Stock!T61</f>
        <v>0</v>
      </c>
    </row>
    <row r="144" spans="1:2" x14ac:dyDescent="0.2">
      <c r="A144" s="4" t="s">
        <v>605</v>
      </c>
      <c r="B144">
        <f>Stock!T62</f>
        <v>0</v>
      </c>
    </row>
    <row r="145" spans="1:2" x14ac:dyDescent="0.2">
      <c r="A145" s="4" t="s">
        <v>606</v>
      </c>
      <c r="B145">
        <f>Stock!T63</f>
        <v>0</v>
      </c>
    </row>
    <row r="146" spans="1:2" x14ac:dyDescent="0.2">
      <c r="A146" s="14" t="s">
        <v>567</v>
      </c>
      <c r="B146" s="43">
        <f>Stock!T67</f>
        <v>0.38</v>
      </c>
    </row>
    <row r="147" spans="1:2" x14ac:dyDescent="0.2">
      <c r="A147" s="14" t="s">
        <v>562</v>
      </c>
      <c r="B147" s="43">
        <f>Stock!R67</f>
        <v>0.38</v>
      </c>
    </row>
    <row r="148" spans="1:2" x14ac:dyDescent="0.2">
      <c r="A148" s="4"/>
    </row>
    <row r="149" spans="1:2" x14ac:dyDescent="0.2">
      <c r="A149" s="3" t="s">
        <v>450</v>
      </c>
      <c r="B149" s="99" t="s">
        <v>774</v>
      </c>
    </row>
    <row r="150" spans="1:2" ht="17" x14ac:dyDescent="0.2">
      <c r="A150" s="17" t="s">
        <v>607</v>
      </c>
      <c r="B150">
        <f>Stock!T72</f>
        <v>0</v>
      </c>
    </row>
    <row r="151" spans="1:2" x14ac:dyDescent="0.2">
      <c r="A151" s="4" t="s">
        <v>608</v>
      </c>
      <c r="B151">
        <f>Stock!T73</f>
        <v>0</v>
      </c>
    </row>
    <row r="152" spans="1:2" x14ac:dyDescent="0.2">
      <c r="A152" s="4" t="s">
        <v>609</v>
      </c>
      <c r="B152">
        <f>Stock!T74</f>
        <v>0</v>
      </c>
    </row>
    <row r="153" spans="1:2" x14ac:dyDescent="0.2">
      <c r="A153" s="4" t="s">
        <v>610</v>
      </c>
      <c r="B153">
        <f>Stock!T75</f>
        <v>0</v>
      </c>
    </row>
    <row r="154" spans="1:2" x14ac:dyDescent="0.2">
      <c r="A154" s="18" t="s">
        <v>567</v>
      </c>
      <c r="B154">
        <f>Stock!T76</f>
        <v>0</v>
      </c>
    </row>
    <row r="155" spans="1:2" x14ac:dyDescent="0.2">
      <c r="A155" s="18" t="s">
        <v>562</v>
      </c>
      <c r="B155">
        <f>Stock!T77</f>
        <v>0</v>
      </c>
    </row>
    <row r="156" spans="1:2" x14ac:dyDescent="0.2">
      <c r="A156" s="4"/>
    </row>
    <row r="157" spans="1:2" x14ac:dyDescent="0.2">
      <c r="A157" s="3" t="s">
        <v>611</v>
      </c>
      <c r="B157" s="99" t="s">
        <v>774</v>
      </c>
    </row>
    <row r="158" spans="1:2" x14ac:dyDescent="0.2">
      <c r="A158" s="4" t="s">
        <v>612</v>
      </c>
      <c r="B158">
        <f>Stock!T79</f>
        <v>0</v>
      </c>
    </row>
    <row r="159" spans="1:2" x14ac:dyDescent="0.2">
      <c r="A159" s="4" t="s">
        <v>613</v>
      </c>
      <c r="B159">
        <f>Stock!T80</f>
        <v>0.64999999999999991</v>
      </c>
    </row>
    <row r="160" spans="1:2" x14ac:dyDescent="0.2">
      <c r="A160" s="4" t="s">
        <v>614</v>
      </c>
    </row>
    <row r="161" spans="1:2" x14ac:dyDescent="0.2">
      <c r="A161" s="14" t="s">
        <v>615</v>
      </c>
      <c r="B161" s="43">
        <f>Stock!T82</f>
        <v>0.64999999999999991</v>
      </c>
    </row>
    <row r="162" spans="1:2" x14ac:dyDescent="0.2">
      <c r="A162" s="14" t="s">
        <v>562</v>
      </c>
      <c r="B162" s="43">
        <f>Stock!R82</f>
        <v>0.65</v>
      </c>
    </row>
    <row r="163" spans="1:2" x14ac:dyDescent="0.2">
      <c r="A163" s="4"/>
    </row>
    <row r="164" spans="1:2" x14ac:dyDescent="0.2">
      <c r="A164" s="3" t="s">
        <v>616</v>
      </c>
      <c r="B164" s="99" t="s">
        <v>774</v>
      </c>
    </row>
    <row r="165" spans="1:2" x14ac:dyDescent="0.2">
      <c r="A165" s="4" t="s">
        <v>454</v>
      </c>
      <c r="B165">
        <f>Stock!T97</f>
        <v>0.11</v>
      </c>
    </row>
    <row r="166" spans="1:2" x14ac:dyDescent="0.2">
      <c r="A166" s="4" t="s">
        <v>617</v>
      </c>
      <c r="B166" s="32">
        <f>Stock!T92</f>
        <v>0.16</v>
      </c>
    </row>
    <row r="167" spans="1:2" x14ac:dyDescent="0.2">
      <c r="A167" s="4" t="s">
        <v>618</v>
      </c>
      <c r="B167" s="32">
        <f>Stock!T93</f>
        <v>1.8782258064516129</v>
      </c>
    </row>
    <row r="168" spans="1:2" x14ac:dyDescent="0.2">
      <c r="A168" s="14" t="s">
        <v>567</v>
      </c>
      <c r="B168" s="98">
        <f>SUM(B165:B167)</f>
        <v>2.1482258064516131</v>
      </c>
    </row>
    <row r="169" spans="1:2" x14ac:dyDescent="0.2">
      <c r="A169" s="14" t="s">
        <v>562</v>
      </c>
      <c r="B169" s="98">
        <f>Stock!R98+Stock!R94</f>
        <v>1.97</v>
      </c>
    </row>
    <row r="170" spans="1:2" x14ac:dyDescent="0.2">
      <c r="A170" s="4"/>
    </row>
    <row r="171" spans="1:2" x14ac:dyDescent="0.2">
      <c r="A171" s="4"/>
    </row>
    <row r="172" spans="1:2" ht="17" thickBot="1" x14ac:dyDescent="0.25"/>
    <row r="173" spans="1:2" ht="17" thickBot="1" x14ac:dyDescent="0.25">
      <c r="A173" s="22"/>
      <c r="B173" s="102"/>
    </row>
    <row r="174" spans="1:2" x14ac:dyDescent="0.2">
      <c r="A174" s="23" t="s">
        <v>619</v>
      </c>
      <c r="B174" s="103">
        <f>B168+B161+B154+B146+B122+B115+E72</f>
        <v>16.265258249199704</v>
      </c>
    </row>
    <row r="175" spans="1:2" x14ac:dyDescent="0.2">
      <c r="A175" s="24" t="s">
        <v>620</v>
      </c>
      <c r="B175" s="103">
        <f>B169+B162+B147+B123+B115+E73</f>
        <v>13.7775</v>
      </c>
    </row>
    <row r="176" spans="1:2" x14ac:dyDescent="0.2">
      <c r="A176" s="24" t="s">
        <v>621</v>
      </c>
      <c r="B176" s="103">
        <f>Receipts!F74+Receipts!F87+Receipts!F95</f>
        <v>16.237499999999997</v>
      </c>
    </row>
    <row r="177" spans="1:2" x14ac:dyDescent="0.2">
      <c r="A177" s="24" t="s">
        <v>622</v>
      </c>
      <c r="B177" s="103">
        <f>B174+Receipts!F28+Receipts!F35+Receipts!F78+Receipts!F111+Receipts!F117</f>
        <v>38.325258249199706</v>
      </c>
    </row>
    <row r="178" spans="1:2" x14ac:dyDescent="0.2">
      <c r="A178" s="25"/>
      <c r="B178" s="100"/>
    </row>
    <row r="179" spans="1:2" x14ac:dyDescent="0.2">
      <c r="A179" s="26" t="s">
        <v>623</v>
      </c>
      <c r="B179" s="104">
        <f>B47/B174</f>
        <v>0.10546507410978676</v>
      </c>
    </row>
    <row r="180" spans="1:2" x14ac:dyDescent="0.2">
      <c r="A180" s="24" t="s">
        <v>624</v>
      </c>
      <c r="B180" s="104">
        <f>B47/B177</f>
        <v>4.4759428769210907E-2</v>
      </c>
    </row>
    <row r="181" spans="1:2" x14ac:dyDescent="0.2">
      <c r="A181" s="25"/>
      <c r="B181" s="100"/>
    </row>
    <row r="182" spans="1:2" ht="17" thickBot="1" x14ac:dyDescent="0.25">
      <c r="A182" s="27" t="s">
        <v>625</v>
      </c>
      <c r="B182" s="101"/>
    </row>
  </sheetData>
  <mergeCells count="1">
    <mergeCell ref="B60:C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1"/>
  <sheetViews>
    <sheetView workbookViewId="0">
      <pane xSplit="1" ySplit="2" topLeftCell="B91" activePane="bottomRight" state="frozen"/>
      <selection pane="topRight" activeCell="B1" sqref="B1"/>
      <selection pane="bottomLeft" activeCell="A3" sqref="A3"/>
      <selection pane="bottomRight" activeCell="H56" sqref="H56"/>
    </sheetView>
  </sheetViews>
  <sheetFormatPr baseColWidth="10" defaultColWidth="8.83203125" defaultRowHeight="15" x14ac:dyDescent="0.2"/>
  <cols>
    <col min="1" max="1" width="32.83203125" bestFit="1" customWidth="1"/>
    <col min="2" max="2" width="6.83203125" bestFit="1" customWidth="1"/>
    <col min="6" max="6" width="8.83203125" style="32"/>
    <col min="7" max="7" width="8.83203125" style="33"/>
  </cols>
  <sheetData>
    <row r="1" spans="1:8" ht="16" x14ac:dyDescent="0.2">
      <c r="A1" s="30" t="s">
        <v>629</v>
      </c>
    </row>
    <row r="2" spans="1:8" x14ac:dyDescent="0.2">
      <c r="A2" s="31" t="s">
        <v>0</v>
      </c>
      <c r="B2" s="31" t="s">
        <v>3</v>
      </c>
      <c r="C2" s="31" t="s">
        <v>4</v>
      </c>
      <c r="D2" s="31" t="s">
        <v>5</v>
      </c>
      <c r="E2" s="31"/>
      <c r="F2" s="34" t="s">
        <v>2</v>
      </c>
      <c r="G2" s="35" t="s">
        <v>423</v>
      </c>
      <c r="H2" s="31" t="s">
        <v>1</v>
      </c>
    </row>
    <row r="3" spans="1:8" x14ac:dyDescent="0.2">
      <c r="A3" t="s">
        <v>36</v>
      </c>
      <c r="B3">
        <v>7</v>
      </c>
      <c r="C3">
        <v>14</v>
      </c>
      <c r="D3">
        <v>4.5</v>
      </c>
      <c r="F3" s="32">
        <v>7.72</v>
      </c>
      <c r="H3" t="s">
        <v>37</v>
      </c>
    </row>
    <row r="4" spans="1:8" x14ac:dyDescent="0.2">
      <c r="A4" t="s">
        <v>36</v>
      </c>
      <c r="B4">
        <v>0</v>
      </c>
      <c r="C4">
        <v>0</v>
      </c>
      <c r="D4">
        <v>0</v>
      </c>
      <c r="F4" s="32">
        <v>0</v>
      </c>
      <c r="H4" t="s">
        <v>38</v>
      </c>
    </row>
    <row r="5" spans="1:8" x14ac:dyDescent="0.2">
      <c r="A5" t="s">
        <v>36</v>
      </c>
      <c r="F5" s="32">
        <v>7.72</v>
      </c>
      <c r="G5" s="33">
        <f>F5-F3</f>
        <v>0</v>
      </c>
      <c r="H5" t="s">
        <v>424</v>
      </c>
    </row>
    <row r="7" spans="1:8" x14ac:dyDescent="0.2">
      <c r="A7" t="s">
        <v>39</v>
      </c>
      <c r="B7">
        <v>2</v>
      </c>
      <c r="C7">
        <v>0</v>
      </c>
      <c r="D7">
        <v>3</v>
      </c>
      <c r="F7" s="32">
        <v>2.0099999999999998</v>
      </c>
      <c r="H7" t="s">
        <v>40</v>
      </c>
    </row>
    <row r="8" spans="1:8" x14ac:dyDescent="0.2">
      <c r="A8" t="s">
        <v>39</v>
      </c>
      <c r="B8">
        <v>2</v>
      </c>
      <c r="C8">
        <v>0</v>
      </c>
      <c r="D8">
        <v>3</v>
      </c>
      <c r="F8" s="32">
        <v>2.0099999999999998</v>
      </c>
      <c r="H8" t="s">
        <v>41</v>
      </c>
    </row>
    <row r="9" spans="1:8" x14ac:dyDescent="0.2">
      <c r="A9" t="s">
        <v>39</v>
      </c>
      <c r="B9">
        <v>2</v>
      </c>
      <c r="C9">
        <v>0</v>
      </c>
      <c r="D9">
        <v>3</v>
      </c>
      <c r="F9" s="32">
        <v>2.0099999999999998</v>
      </c>
      <c r="H9" t="s">
        <v>42</v>
      </c>
    </row>
    <row r="10" spans="1:8" x14ac:dyDescent="0.2">
      <c r="A10" t="s">
        <v>39</v>
      </c>
      <c r="B10">
        <v>3</v>
      </c>
      <c r="C10">
        <v>2</v>
      </c>
      <c r="D10">
        <v>11.5</v>
      </c>
      <c r="F10" s="32">
        <v>3.15</v>
      </c>
      <c r="H10" t="s">
        <v>43</v>
      </c>
    </row>
    <row r="11" spans="1:8" x14ac:dyDescent="0.2">
      <c r="A11" t="s">
        <v>39</v>
      </c>
      <c r="B11">
        <v>9</v>
      </c>
      <c r="C11">
        <v>3</v>
      </c>
      <c r="D11">
        <v>8.5</v>
      </c>
      <c r="F11" s="32">
        <v>9.19</v>
      </c>
      <c r="H11" t="s">
        <v>44</v>
      </c>
    </row>
    <row r="12" spans="1:8" x14ac:dyDescent="0.2">
      <c r="A12" t="s">
        <v>39</v>
      </c>
      <c r="F12" s="32">
        <v>9.18</v>
      </c>
      <c r="G12" s="33">
        <v>-9.9999999999997868E-3</v>
      </c>
      <c r="H12" t="s">
        <v>424</v>
      </c>
    </row>
    <row r="14" spans="1:8" x14ac:dyDescent="0.2">
      <c r="A14" t="s">
        <v>45</v>
      </c>
      <c r="B14">
        <v>0</v>
      </c>
      <c r="C14">
        <v>4</v>
      </c>
      <c r="D14">
        <v>0</v>
      </c>
      <c r="F14" s="32">
        <v>0.2</v>
      </c>
      <c r="H14" t="s">
        <v>46</v>
      </c>
    </row>
    <row r="15" spans="1:8" x14ac:dyDescent="0.2">
      <c r="A15" t="s">
        <v>45</v>
      </c>
      <c r="B15">
        <v>0</v>
      </c>
      <c r="C15">
        <v>3</v>
      </c>
      <c r="D15">
        <v>0</v>
      </c>
      <c r="F15" s="32">
        <v>0.15</v>
      </c>
      <c r="H15" t="s">
        <v>47</v>
      </c>
    </row>
    <row r="16" spans="1:8" x14ac:dyDescent="0.2">
      <c r="A16" t="s">
        <v>45</v>
      </c>
      <c r="B16">
        <v>0</v>
      </c>
      <c r="C16">
        <v>4</v>
      </c>
      <c r="D16">
        <v>0</v>
      </c>
      <c r="F16" s="32">
        <v>0.2</v>
      </c>
      <c r="H16" t="s">
        <v>48</v>
      </c>
    </row>
    <row r="17" spans="1:8" x14ac:dyDescent="0.2">
      <c r="A17" t="s">
        <v>45</v>
      </c>
      <c r="B17">
        <v>0</v>
      </c>
      <c r="C17">
        <v>11</v>
      </c>
      <c r="D17">
        <v>0</v>
      </c>
      <c r="F17" s="32">
        <v>0.55000000000000004</v>
      </c>
      <c r="H17" t="s">
        <v>49</v>
      </c>
    </row>
    <row r="18" spans="1:8" x14ac:dyDescent="0.2">
      <c r="A18" t="s">
        <v>45</v>
      </c>
      <c r="F18" s="32">
        <v>0.55000000000000004</v>
      </c>
      <c r="G18" s="33">
        <v>0</v>
      </c>
      <c r="H18" t="s">
        <v>424</v>
      </c>
    </row>
    <row r="20" spans="1:8" x14ac:dyDescent="0.2">
      <c r="A20" t="s">
        <v>50</v>
      </c>
      <c r="B20">
        <v>0</v>
      </c>
      <c r="C20">
        <v>2</v>
      </c>
      <c r="D20">
        <v>1</v>
      </c>
      <c r="F20" s="32">
        <v>0.1</v>
      </c>
      <c r="H20" t="s">
        <v>51</v>
      </c>
    </row>
    <row r="21" spans="1:8" x14ac:dyDescent="0.2">
      <c r="A21" t="s">
        <v>50</v>
      </c>
      <c r="B21">
        <v>0</v>
      </c>
      <c r="C21">
        <v>2</v>
      </c>
      <c r="D21">
        <v>1</v>
      </c>
      <c r="F21" s="32">
        <v>0.1</v>
      </c>
      <c r="H21" t="s">
        <v>52</v>
      </c>
    </row>
    <row r="22" spans="1:8" x14ac:dyDescent="0.2">
      <c r="A22" t="s">
        <v>50</v>
      </c>
      <c r="F22" s="32">
        <v>0.1</v>
      </c>
      <c r="G22" s="33">
        <v>0</v>
      </c>
      <c r="H22" t="s">
        <v>424</v>
      </c>
    </row>
    <row r="24" spans="1:8" x14ac:dyDescent="0.2">
      <c r="A24" t="s">
        <v>53</v>
      </c>
      <c r="B24">
        <v>0</v>
      </c>
      <c r="C24">
        <v>13</v>
      </c>
      <c r="D24">
        <v>1</v>
      </c>
      <c r="F24" s="32">
        <v>0.65</v>
      </c>
      <c r="H24" t="s">
        <v>54</v>
      </c>
    </row>
    <row r="25" spans="1:8" x14ac:dyDescent="0.2">
      <c r="A25" t="s">
        <v>53</v>
      </c>
      <c r="F25" s="32">
        <v>0.65</v>
      </c>
      <c r="G25" s="33">
        <f>F25-F24</f>
        <v>0</v>
      </c>
      <c r="H25" t="s">
        <v>424</v>
      </c>
    </row>
    <row r="27" spans="1:8" x14ac:dyDescent="0.2">
      <c r="A27" t="s">
        <v>55</v>
      </c>
      <c r="B27">
        <v>8</v>
      </c>
      <c r="C27">
        <v>10</v>
      </c>
      <c r="D27">
        <v>7.5</v>
      </c>
      <c r="F27" s="32">
        <v>8.5299999999999994</v>
      </c>
      <c r="H27" t="s">
        <v>56</v>
      </c>
    </row>
    <row r="28" spans="1:8" x14ac:dyDescent="0.2">
      <c r="A28" t="s">
        <v>55</v>
      </c>
      <c r="F28" s="32">
        <v>8.5299999999999994</v>
      </c>
      <c r="G28" s="33">
        <f>F28-F27</f>
        <v>0</v>
      </c>
      <c r="H28" t="s">
        <v>424</v>
      </c>
    </row>
    <row r="30" spans="1:8" x14ac:dyDescent="0.2">
      <c r="A30" t="s">
        <v>57</v>
      </c>
      <c r="B30">
        <v>0</v>
      </c>
      <c r="C30">
        <v>0</v>
      </c>
      <c r="D30">
        <v>6</v>
      </c>
      <c r="F30" s="32">
        <v>0.03</v>
      </c>
      <c r="H30" t="s">
        <v>58</v>
      </c>
    </row>
    <row r="31" spans="1:8" x14ac:dyDescent="0.2">
      <c r="A31" t="s">
        <v>57</v>
      </c>
      <c r="B31">
        <v>0</v>
      </c>
      <c r="C31">
        <v>0</v>
      </c>
      <c r="D31">
        <v>3</v>
      </c>
      <c r="F31" s="32">
        <v>0.01</v>
      </c>
      <c r="H31" t="s">
        <v>59</v>
      </c>
    </row>
    <row r="32" spans="1:8" x14ac:dyDescent="0.2">
      <c r="A32" t="s">
        <v>57</v>
      </c>
      <c r="B32">
        <v>0</v>
      </c>
      <c r="C32">
        <v>0</v>
      </c>
      <c r="D32">
        <v>6</v>
      </c>
      <c r="F32" s="32">
        <v>0.03</v>
      </c>
      <c r="H32" t="s">
        <v>60</v>
      </c>
    </row>
    <row r="33" spans="1:8" x14ac:dyDescent="0.2">
      <c r="A33" t="s">
        <v>57</v>
      </c>
      <c r="B33">
        <v>0</v>
      </c>
      <c r="C33">
        <v>0</v>
      </c>
      <c r="D33">
        <v>6</v>
      </c>
      <c r="F33" s="32">
        <v>0.03</v>
      </c>
      <c r="H33" t="s">
        <v>61</v>
      </c>
    </row>
    <row r="34" spans="1:8" x14ac:dyDescent="0.2">
      <c r="A34" t="s">
        <v>57</v>
      </c>
      <c r="B34">
        <v>0</v>
      </c>
      <c r="C34">
        <v>1</v>
      </c>
      <c r="D34">
        <v>9</v>
      </c>
      <c r="F34" s="32">
        <v>0.09</v>
      </c>
      <c r="H34" t="s">
        <v>62</v>
      </c>
    </row>
    <row r="35" spans="1:8" x14ac:dyDescent="0.2">
      <c r="A35" t="s">
        <v>57</v>
      </c>
      <c r="F35" s="32">
        <v>0.1</v>
      </c>
      <c r="G35" s="33">
        <v>1.0000000000000011E-2</v>
      </c>
      <c r="H35" t="s">
        <v>424</v>
      </c>
    </row>
    <row r="37" spans="1:8" x14ac:dyDescent="0.2">
      <c r="A37" t="s">
        <v>63</v>
      </c>
      <c r="B37">
        <v>0</v>
      </c>
      <c r="C37">
        <v>10</v>
      </c>
      <c r="D37">
        <v>0</v>
      </c>
      <c r="F37" s="32">
        <v>0.5</v>
      </c>
      <c r="H37" t="s">
        <v>64</v>
      </c>
    </row>
    <row r="38" spans="1:8" x14ac:dyDescent="0.2">
      <c r="A38" t="s">
        <v>63</v>
      </c>
      <c r="B38">
        <v>0</v>
      </c>
      <c r="C38">
        <v>9</v>
      </c>
      <c r="D38">
        <v>4</v>
      </c>
      <c r="F38" s="32">
        <v>0.47</v>
      </c>
      <c r="H38" t="s">
        <v>65</v>
      </c>
    </row>
    <row r="39" spans="1:8" x14ac:dyDescent="0.2">
      <c r="A39" t="s">
        <v>63</v>
      </c>
      <c r="B39">
        <v>0</v>
      </c>
      <c r="C39">
        <v>17</v>
      </c>
      <c r="D39">
        <v>6</v>
      </c>
      <c r="F39" s="32">
        <v>0.88</v>
      </c>
      <c r="H39" t="s">
        <v>66</v>
      </c>
    </row>
    <row r="40" spans="1:8" x14ac:dyDescent="0.2">
      <c r="A40" t="s">
        <v>63</v>
      </c>
      <c r="B40">
        <v>0</v>
      </c>
      <c r="C40">
        <v>0</v>
      </c>
      <c r="D40">
        <v>0</v>
      </c>
      <c r="F40" s="32">
        <v>0</v>
      </c>
      <c r="H40" t="s">
        <v>67</v>
      </c>
    </row>
    <row r="41" spans="1:8" x14ac:dyDescent="0.2">
      <c r="A41" t="s">
        <v>63</v>
      </c>
      <c r="B41">
        <v>0</v>
      </c>
      <c r="C41">
        <v>1</v>
      </c>
      <c r="D41">
        <v>0</v>
      </c>
      <c r="F41" s="32">
        <v>0.05</v>
      </c>
      <c r="H41" t="s">
        <v>68</v>
      </c>
    </row>
    <row r="42" spans="1:8" x14ac:dyDescent="0.2">
      <c r="A42" t="s">
        <v>63</v>
      </c>
      <c r="B42">
        <v>0</v>
      </c>
      <c r="C42">
        <v>0</v>
      </c>
      <c r="D42">
        <v>0</v>
      </c>
      <c r="F42" s="32">
        <v>0</v>
      </c>
      <c r="H42" t="s">
        <v>69</v>
      </c>
    </row>
    <row r="43" spans="1:8" x14ac:dyDescent="0.2">
      <c r="A43" t="s">
        <v>63</v>
      </c>
      <c r="B43">
        <v>0</v>
      </c>
      <c r="C43">
        <v>0</v>
      </c>
      <c r="D43">
        <v>0</v>
      </c>
      <c r="F43" s="32">
        <v>0</v>
      </c>
      <c r="H43" t="s">
        <v>70</v>
      </c>
    </row>
    <row r="44" spans="1:8" x14ac:dyDescent="0.2">
      <c r="A44" t="s">
        <v>63</v>
      </c>
      <c r="B44">
        <v>0</v>
      </c>
      <c r="C44">
        <v>0</v>
      </c>
      <c r="D44">
        <v>6</v>
      </c>
      <c r="F44" s="32">
        <v>0.03</v>
      </c>
      <c r="H44" t="s">
        <v>71</v>
      </c>
    </row>
    <row r="45" spans="1:8" x14ac:dyDescent="0.2">
      <c r="A45" t="s">
        <v>63</v>
      </c>
      <c r="B45">
        <v>0</v>
      </c>
      <c r="C45">
        <v>15</v>
      </c>
      <c r="D45">
        <v>0</v>
      </c>
      <c r="F45" s="32">
        <v>0.75</v>
      </c>
      <c r="H45" t="s">
        <v>72</v>
      </c>
    </row>
    <row r="46" spans="1:8" x14ac:dyDescent="0.2">
      <c r="A46" t="s">
        <v>63</v>
      </c>
      <c r="B46">
        <v>0</v>
      </c>
      <c r="C46">
        <v>8</v>
      </c>
      <c r="D46">
        <v>0</v>
      </c>
      <c r="F46" s="32">
        <v>0.4</v>
      </c>
      <c r="H46" t="s">
        <v>73</v>
      </c>
    </row>
    <row r="47" spans="1:8" x14ac:dyDescent="0.2">
      <c r="A47" t="s">
        <v>63</v>
      </c>
      <c r="B47">
        <v>0</v>
      </c>
      <c r="C47">
        <v>6</v>
      </c>
      <c r="D47">
        <v>0</v>
      </c>
      <c r="F47" s="32">
        <v>0.3</v>
      </c>
      <c r="H47" t="s">
        <v>74</v>
      </c>
    </row>
    <row r="48" spans="1:8" x14ac:dyDescent="0.2">
      <c r="A48" t="s">
        <v>63</v>
      </c>
      <c r="B48">
        <v>0</v>
      </c>
      <c r="C48">
        <v>17</v>
      </c>
      <c r="D48">
        <v>0</v>
      </c>
      <c r="F48" s="32">
        <v>0.85</v>
      </c>
      <c r="H48" t="s">
        <v>75</v>
      </c>
    </row>
    <row r="49" spans="1:8" x14ac:dyDescent="0.2">
      <c r="A49" t="s">
        <v>63</v>
      </c>
      <c r="B49">
        <v>0</v>
      </c>
      <c r="C49">
        <v>11</v>
      </c>
      <c r="D49">
        <v>0</v>
      </c>
      <c r="F49" s="32">
        <f>B49+C49/20+D49/240</f>
        <v>0.55000000000000004</v>
      </c>
      <c r="H49" t="s">
        <v>630</v>
      </c>
    </row>
    <row r="50" spans="1:8" x14ac:dyDescent="0.2">
      <c r="A50" t="s">
        <v>63</v>
      </c>
      <c r="B50">
        <v>0</v>
      </c>
      <c r="C50">
        <v>12</v>
      </c>
      <c r="D50">
        <v>11</v>
      </c>
      <c r="F50" s="32">
        <v>0.65</v>
      </c>
      <c r="H50" t="s">
        <v>77</v>
      </c>
    </row>
    <row r="51" spans="1:8" x14ac:dyDescent="0.2">
      <c r="A51" t="s">
        <v>63</v>
      </c>
      <c r="B51">
        <v>0</v>
      </c>
      <c r="C51">
        <v>0</v>
      </c>
      <c r="D51">
        <v>0</v>
      </c>
      <c r="F51" s="32">
        <v>0</v>
      </c>
      <c r="H51" t="s">
        <v>78</v>
      </c>
    </row>
    <row r="52" spans="1:8" x14ac:dyDescent="0.2">
      <c r="A52" t="s">
        <v>63</v>
      </c>
      <c r="B52">
        <v>0</v>
      </c>
      <c r="C52">
        <v>0</v>
      </c>
      <c r="D52">
        <v>0</v>
      </c>
      <c r="F52" s="32">
        <v>0</v>
      </c>
      <c r="H52" t="s">
        <v>79</v>
      </c>
    </row>
    <row r="53" spans="1:8" x14ac:dyDescent="0.2">
      <c r="A53" t="s">
        <v>63</v>
      </c>
      <c r="B53">
        <v>0</v>
      </c>
      <c r="C53">
        <v>2</v>
      </c>
      <c r="D53">
        <v>0</v>
      </c>
      <c r="F53" s="32">
        <v>0.1</v>
      </c>
      <c r="H53" t="s">
        <v>80</v>
      </c>
    </row>
    <row r="54" spans="1:8" x14ac:dyDescent="0.2">
      <c r="A54" t="s">
        <v>63</v>
      </c>
      <c r="B54">
        <v>0</v>
      </c>
      <c r="C54">
        <v>3</v>
      </c>
      <c r="D54">
        <v>1.5</v>
      </c>
      <c r="F54" s="32">
        <v>0.16</v>
      </c>
      <c r="H54" t="s">
        <v>81</v>
      </c>
    </row>
    <row r="55" spans="1:8" x14ac:dyDescent="0.2">
      <c r="A55" t="s">
        <v>63</v>
      </c>
      <c r="B55">
        <v>1</v>
      </c>
      <c r="C55">
        <v>14</v>
      </c>
      <c r="D55">
        <v>0</v>
      </c>
      <c r="F55" s="32">
        <v>1.7</v>
      </c>
      <c r="H55" t="s">
        <v>82</v>
      </c>
    </row>
    <row r="56" spans="1:8" x14ac:dyDescent="0.2">
      <c r="A56" t="s">
        <v>63</v>
      </c>
      <c r="B56">
        <v>0</v>
      </c>
      <c r="C56">
        <v>2</v>
      </c>
      <c r="D56">
        <v>3</v>
      </c>
      <c r="F56" s="32">
        <v>0.11</v>
      </c>
      <c r="H56" t="s">
        <v>83</v>
      </c>
    </row>
    <row r="57" spans="1:8" x14ac:dyDescent="0.2">
      <c r="A57" t="s">
        <v>63</v>
      </c>
      <c r="B57">
        <v>0</v>
      </c>
      <c r="C57">
        <v>5</v>
      </c>
      <c r="D57">
        <v>0</v>
      </c>
      <c r="F57" s="32">
        <v>0.25</v>
      </c>
      <c r="H57" t="s">
        <v>84</v>
      </c>
    </row>
    <row r="58" spans="1:8" x14ac:dyDescent="0.2">
      <c r="A58" t="s">
        <v>63</v>
      </c>
      <c r="B58">
        <v>0</v>
      </c>
      <c r="C58">
        <v>0</v>
      </c>
      <c r="D58">
        <v>0</v>
      </c>
      <c r="F58" s="32">
        <v>0</v>
      </c>
      <c r="H58" t="s">
        <v>85</v>
      </c>
    </row>
    <row r="59" spans="1:8" x14ac:dyDescent="0.2">
      <c r="A59" t="s">
        <v>63</v>
      </c>
      <c r="B59">
        <v>0</v>
      </c>
      <c r="C59">
        <v>0</v>
      </c>
      <c r="D59">
        <v>0</v>
      </c>
      <c r="F59" s="32">
        <v>0</v>
      </c>
      <c r="H59" t="s">
        <v>86</v>
      </c>
    </row>
    <row r="60" spans="1:8" x14ac:dyDescent="0.2">
      <c r="A60" t="s">
        <v>63</v>
      </c>
      <c r="B60">
        <v>0</v>
      </c>
      <c r="C60">
        <v>0</v>
      </c>
      <c r="D60">
        <v>10</v>
      </c>
      <c r="F60" s="32">
        <v>0.04</v>
      </c>
      <c r="H60" t="s">
        <v>87</v>
      </c>
    </row>
    <row r="61" spans="1:8" x14ac:dyDescent="0.2">
      <c r="A61" t="s">
        <v>63</v>
      </c>
      <c r="B61">
        <v>0</v>
      </c>
      <c r="C61">
        <v>0</v>
      </c>
      <c r="D61">
        <v>8</v>
      </c>
      <c r="F61" s="32">
        <v>0.03</v>
      </c>
      <c r="H61" t="s">
        <v>88</v>
      </c>
    </row>
    <row r="62" spans="1:8" x14ac:dyDescent="0.2">
      <c r="A62" t="s">
        <v>63</v>
      </c>
      <c r="B62">
        <v>0</v>
      </c>
      <c r="C62">
        <v>4</v>
      </c>
      <c r="D62">
        <v>0</v>
      </c>
      <c r="F62" s="32">
        <v>0.2</v>
      </c>
      <c r="H62" t="s">
        <v>89</v>
      </c>
    </row>
    <row r="63" spans="1:8" x14ac:dyDescent="0.2">
      <c r="A63" t="s">
        <v>63</v>
      </c>
      <c r="B63">
        <v>0</v>
      </c>
      <c r="C63">
        <v>0</v>
      </c>
      <c r="D63">
        <v>8</v>
      </c>
      <c r="F63" s="32">
        <v>0.03</v>
      </c>
      <c r="H63" t="s">
        <v>90</v>
      </c>
    </row>
    <row r="64" spans="1:8" x14ac:dyDescent="0.2">
      <c r="A64" t="s">
        <v>63</v>
      </c>
      <c r="B64">
        <v>0</v>
      </c>
      <c r="C64">
        <v>0</v>
      </c>
      <c r="D64">
        <v>1.5</v>
      </c>
      <c r="F64" s="32">
        <v>0.01</v>
      </c>
      <c r="H64" t="s">
        <v>91</v>
      </c>
    </row>
    <row r="65" spans="1:8" x14ac:dyDescent="0.2">
      <c r="A65" t="s">
        <v>63</v>
      </c>
      <c r="B65">
        <v>0</v>
      </c>
      <c r="C65">
        <v>0</v>
      </c>
      <c r="D65">
        <v>10</v>
      </c>
      <c r="F65" s="32">
        <v>0.04</v>
      </c>
      <c r="H65" t="s">
        <v>92</v>
      </c>
    </row>
    <row r="66" spans="1:8" x14ac:dyDescent="0.2">
      <c r="A66" t="s">
        <v>63</v>
      </c>
      <c r="B66">
        <v>0</v>
      </c>
      <c r="C66">
        <v>0</v>
      </c>
      <c r="D66">
        <v>6</v>
      </c>
      <c r="F66" s="32">
        <v>0.03</v>
      </c>
      <c r="H66" t="s">
        <v>93</v>
      </c>
    </row>
    <row r="67" spans="1:8" x14ac:dyDescent="0.2">
      <c r="A67" t="s">
        <v>63</v>
      </c>
      <c r="B67">
        <v>0</v>
      </c>
      <c r="C67">
        <v>0</v>
      </c>
      <c r="D67">
        <v>0</v>
      </c>
      <c r="F67" s="32">
        <v>0</v>
      </c>
      <c r="H67" t="s">
        <v>94</v>
      </c>
    </row>
    <row r="68" spans="1:8" x14ac:dyDescent="0.2">
      <c r="A68" t="s">
        <v>63</v>
      </c>
      <c r="B68">
        <v>0</v>
      </c>
      <c r="C68">
        <v>0</v>
      </c>
      <c r="D68">
        <v>0</v>
      </c>
      <c r="F68" s="32">
        <v>0</v>
      </c>
      <c r="H68" t="s">
        <v>95</v>
      </c>
    </row>
    <row r="69" spans="1:8" x14ac:dyDescent="0.2">
      <c r="A69" t="s">
        <v>63</v>
      </c>
      <c r="B69">
        <v>0</v>
      </c>
      <c r="C69">
        <v>0</v>
      </c>
      <c r="D69">
        <v>0</v>
      </c>
      <c r="F69" s="32">
        <v>0</v>
      </c>
      <c r="H69" t="s">
        <v>96</v>
      </c>
    </row>
    <row r="70" spans="1:8" x14ac:dyDescent="0.2">
      <c r="A70" t="s">
        <v>63</v>
      </c>
      <c r="B70">
        <v>0</v>
      </c>
      <c r="C70">
        <v>0</v>
      </c>
      <c r="D70">
        <v>3.5</v>
      </c>
      <c r="F70" s="32">
        <v>0.01</v>
      </c>
      <c r="H70" t="s">
        <v>97</v>
      </c>
    </row>
    <row r="71" spans="1:8" x14ac:dyDescent="0.2">
      <c r="A71" t="s">
        <v>63</v>
      </c>
      <c r="B71">
        <v>0</v>
      </c>
      <c r="C71">
        <v>1</v>
      </c>
      <c r="D71">
        <v>0</v>
      </c>
      <c r="F71" s="32">
        <v>0.05</v>
      </c>
      <c r="H71" t="s">
        <v>98</v>
      </c>
    </row>
    <row r="72" spans="1:8" x14ac:dyDescent="0.2">
      <c r="A72" t="s">
        <v>63</v>
      </c>
      <c r="B72">
        <v>0</v>
      </c>
      <c r="C72">
        <v>2</v>
      </c>
      <c r="D72">
        <v>7.5</v>
      </c>
      <c r="F72" s="32">
        <v>0.13</v>
      </c>
      <c r="H72" t="s">
        <v>99</v>
      </c>
    </row>
    <row r="73" spans="1:8" x14ac:dyDescent="0.2">
      <c r="A73" t="s">
        <v>63</v>
      </c>
      <c r="B73">
        <v>8</v>
      </c>
      <c r="C73">
        <v>7</v>
      </c>
      <c r="D73">
        <v>3</v>
      </c>
      <c r="F73" s="32">
        <v>8.36</v>
      </c>
      <c r="H73" t="s">
        <v>100</v>
      </c>
    </row>
    <row r="74" spans="1:8" x14ac:dyDescent="0.2">
      <c r="A74" t="s">
        <v>63</v>
      </c>
      <c r="F74" s="32">
        <f>SUM(F37:F72)</f>
        <v>8.3199999999999985</v>
      </c>
      <c r="G74" s="33">
        <f>F74-F73</f>
        <v>-4.0000000000000924E-2</v>
      </c>
      <c r="H74" t="s">
        <v>424</v>
      </c>
    </row>
    <row r="76" spans="1:8" x14ac:dyDescent="0.2">
      <c r="A76" t="s">
        <v>101</v>
      </c>
      <c r="B76">
        <v>7</v>
      </c>
      <c r="C76">
        <v>4</v>
      </c>
      <c r="D76">
        <v>0</v>
      </c>
      <c r="F76" s="32">
        <v>7.2</v>
      </c>
      <c r="H76" t="s">
        <v>631</v>
      </c>
    </row>
    <row r="77" spans="1:8" x14ac:dyDescent="0.2">
      <c r="A77" t="s">
        <v>101</v>
      </c>
      <c r="F77" s="32">
        <v>7.2</v>
      </c>
      <c r="H77" t="s">
        <v>632</v>
      </c>
    </row>
    <row r="78" spans="1:8" x14ac:dyDescent="0.2">
      <c r="A78" t="s">
        <v>101</v>
      </c>
      <c r="F78" s="32">
        <v>7.2</v>
      </c>
      <c r="G78" s="33">
        <v>0</v>
      </c>
      <c r="H78" t="s">
        <v>424</v>
      </c>
    </row>
    <row r="80" spans="1:8" x14ac:dyDescent="0.2">
      <c r="A80" t="s">
        <v>103</v>
      </c>
      <c r="B80">
        <v>2</v>
      </c>
      <c r="C80">
        <v>12</v>
      </c>
      <c r="D80">
        <v>6</v>
      </c>
      <c r="F80" s="32">
        <v>2.62</v>
      </c>
      <c r="H80" t="s">
        <v>425</v>
      </c>
    </row>
    <row r="81" spans="1:8" x14ac:dyDescent="0.2">
      <c r="A81" t="s">
        <v>103</v>
      </c>
      <c r="B81">
        <v>0</v>
      </c>
      <c r="C81">
        <v>5</v>
      </c>
      <c r="D81">
        <v>5</v>
      </c>
      <c r="F81" s="32">
        <v>0.27</v>
      </c>
      <c r="H81" t="s">
        <v>426</v>
      </c>
    </row>
    <row r="82" spans="1:8" x14ac:dyDescent="0.2">
      <c r="A82" t="s">
        <v>103</v>
      </c>
      <c r="B82">
        <v>1</v>
      </c>
      <c r="C82">
        <v>6</v>
      </c>
      <c r="D82">
        <v>5</v>
      </c>
      <c r="F82" s="32">
        <v>1.32</v>
      </c>
      <c r="H82" t="s">
        <v>427</v>
      </c>
    </row>
    <row r="83" spans="1:8" x14ac:dyDescent="0.2">
      <c r="A83" t="s">
        <v>103</v>
      </c>
      <c r="B83">
        <v>0</v>
      </c>
      <c r="C83">
        <v>1</v>
      </c>
      <c r="D83">
        <v>0</v>
      </c>
      <c r="F83" s="32">
        <v>0.05</v>
      </c>
      <c r="H83" t="s">
        <v>428</v>
      </c>
    </row>
    <row r="84" spans="1:8" x14ac:dyDescent="0.2">
      <c r="A84" t="s">
        <v>103</v>
      </c>
      <c r="B84">
        <v>0</v>
      </c>
      <c r="C84">
        <v>2</v>
      </c>
      <c r="D84">
        <v>6</v>
      </c>
      <c r="F84" s="32">
        <v>0.12</v>
      </c>
      <c r="H84" t="s">
        <v>110</v>
      </c>
    </row>
    <row r="85" spans="1:8" x14ac:dyDescent="0.2">
      <c r="A85" t="s">
        <v>103</v>
      </c>
      <c r="B85">
        <v>0</v>
      </c>
      <c r="C85">
        <v>2</v>
      </c>
      <c r="D85">
        <v>0</v>
      </c>
      <c r="F85" s="32">
        <v>0.1</v>
      </c>
      <c r="H85" t="s">
        <v>112</v>
      </c>
    </row>
    <row r="86" spans="1:8" x14ac:dyDescent="0.2">
      <c r="A86" t="s">
        <v>103</v>
      </c>
      <c r="B86">
        <v>4</v>
      </c>
      <c r="C86">
        <v>9</v>
      </c>
      <c r="D86">
        <v>4</v>
      </c>
      <c r="F86" s="32">
        <v>4.47</v>
      </c>
      <c r="H86" t="s">
        <v>113</v>
      </c>
    </row>
    <row r="87" spans="1:8" x14ac:dyDescent="0.2">
      <c r="A87" t="s">
        <v>103</v>
      </c>
      <c r="F87" s="32">
        <v>4.4800000000000004</v>
      </c>
      <c r="G87" s="33">
        <v>1.000000000000068E-2</v>
      </c>
      <c r="H87" t="s">
        <v>424</v>
      </c>
    </row>
    <row r="89" spans="1:8" x14ac:dyDescent="0.2">
      <c r="A89" t="s">
        <v>114</v>
      </c>
      <c r="B89">
        <v>0</v>
      </c>
      <c r="C89">
        <v>10</v>
      </c>
      <c r="D89">
        <v>3</v>
      </c>
      <c r="F89" s="32">
        <v>0.51</v>
      </c>
      <c r="H89" t="s">
        <v>429</v>
      </c>
    </row>
    <row r="90" spans="1:8" x14ac:dyDescent="0.2">
      <c r="A90" t="s">
        <v>114</v>
      </c>
      <c r="B90">
        <v>1</v>
      </c>
      <c r="C90">
        <v>15</v>
      </c>
      <c r="D90">
        <v>10</v>
      </c>
      <c r="F90" s="32">
        <v>1.79</v>
      </c>
      <c r="H90" t="s">
        <v>430</v>
      </c>
    </row>
    <row r="91" spans="1:8" x14ac:dyDescent="0.2">
      <c r="A91" t="s">
        <v>114</v>
      </c>
      <c r="B91">
        <v>0</v>
      </c>
      <c r="C91">
        <v>11</v>
      </c>
      <c r="D91">
        <v>4</v>
      </c>
      <c r="F91" s="32">
        <f t="shared" ref="F91:F92" si="0">B91+C91/20+D91/240</f>
        <v>0.56666666666666676</v>
      </c>
      <c r="H91" t="s">
        <v>635</v>
      </c>
    </row>
    <row r="92" spans="1:8" x14ac:dyDescent="0.2">
      <c r="A92" t="s">
        <v>114</v>
      </c>
      <c r="B92">
        <v>0</v>
      </c>
      <c r="C92">
        <v>10</v>
      </c>
      <c r="D92">
        <v>9</v>
      </c>
      <c r="F92" s="32">
        <f t="shared" si="0"/>
        <v>0.53749999999999998</v>
      </c>
      <c r="H92" t="s">
        <v>431</v>
      </c>
    </row>
    <row r="93" spans="1:8" x14ac:dyDescent="0.2">
      <c r="A93" t="s">
        <v>114</v>
      </c>
      <c r="B93">
        <v>0</v>
      </c>
      <c r="C93">
        <v>0</v>
      </c>
      <c r="D93">
        <v>8</v>
      </c>
      <c r="F93" s="32">
        <f>B93+C93/20+D93/240</f>
        <v>3.3333333333333333E-2</v>
      </c>
      <c r="H93" t="s">
        <v>633</v>
      </c>
    </row>
    <row r="94" spans="1:8" x14ac:dyDescent="0.2">
      <c r="A94" t="s">
        <v>114</v>
      </c>
      <c r="B94">
        <v>3</v>
      </c>
      <c r="C94">
        <v>8</v>
      </c>
      <c r="D94">
        <v>6</v>
      </c>
      <c r="F94" s="32">
        <v>3.42</v>
      </c>
      <c r="H94" t="s">
        <v>634</v>
      </c>
    </row>
    <row r="95" spans="1:8" x14ac:dyDescent="0.2">
      <c r="A95" t="s">
        <v>114</v>
      </c>
      <c r="F95" s="32">
        <f>SUM(F89:F93)</f>
        <v>3.4375</v>
      </c>
      <c r="G95" s="33">
        <f>F95-F94</f>
        <v>1.7500000000000071E-2</v>
      </c>
      <c r="H95" t="s">
        <v>424</v>
      </c>
    </row>
    <row r="97" spans="1:8" x14ac:dyDescent="0.2">
      <c r="A97" t="s">
        <v>122</v>
      </c>
      <c r="B97">
        <v>0</v>
      </c>
      <c r="C97">
        <v>6</v>
      </c>
      <c r="D97">
        <v>8</v>
      </c>
      <c r="F97" s="32">
        <v>0.33</v>
      </c>
      <c r="H97" t="s">
        <v>123</v>
      </c>
    </row>
    <row r="98" spans="1:8" x14ac:dyDescent="0.2">
      <c r="A98" t="s">
        <v>122</v>
      </c>
      <c r="B98">
        <v>0</v>
      </c>
      <c r="C98">
        <v>6</v>
      </c>
      <c r="D98">
        <v>8</v>
      </c>
      <c r="F98" s="32">
        <v>0.33</v>
      </c>
      <c r="H98" t="s">
        <v>124</v>
      </c>
    </row>
    <row r="99" spans="1:8" x14ac:dyDescent="0.2">
      <c r="A99" t="s">
        <v>122</v>
      </c>
      <c r="B99">
        <v>0</v>
      </c>
      <c r="C99">
        <v>13</v>
      </c>
      <c r="D99">
        <v>4</v>
      </c>
      <c r="F99" s="32">
        <v>0.67</v>
      </c>
      <c r="H99" t="s">
        <v>125</v>
      </c>
    </row>
    <row r="100" spans="1:8" x14ac:dyDescent="0.2">
      <c r="A100" t="s">
        <v>122</v>
      </c>
      <c r="B100">
        <v>0</v>
      </c>
      <c r="C100">
        <v>1</v>
      </c>
      <c r="D100">
        <v>0</v>
      </c>
      <c r="F100" s="32">
        <v>0.05</v>
      </c>
      <c r="H100" t="s">
        <v>126</v>
      </c>
    </row>
    <row r="101" spans="1:8" x14ac:dyDescent="0.2">
      <c r="A101" t="s">
        <v>122</v>
      </c>
      <c r="B101">
        <v>0</v>
      </c>
      <c r="C101">
        <v>3</v>
      </c>
      <c r="D101">
        <v>0</v>
      </c>
      <c r="F101" s="32">
        <v>0.15</v>
      </c>
      <c r="H101" t="s">
        <v>127</v>
      </c>
    </row>
    <row r="102" spans="1:8" x14ac:dyDescent="0.2">
      <c r="A102" t="s">
        <v>122</v>
      </c>
      <c r="B102">
        <v>0</v>
      </c>
      <c r="C102">
        <v>6</v>
      </c>
      <c r="D102">
        <v>8</v>
      </c>
      <c r="F102" s="32">
        <v>0.33</v>
      </c>
      <c r="H102" t="s">
        <v>128</v>
      </c>
    </row>
    <row r="103" spans="1:8" x14ac:dyDescent="0.2">
      <c r="A103" t="s">
        <v>122</v>
      </c>
      <c r="B103">
        <v>0</v>
      </c>
      <c r="C103">
        <v>6</v>
      </c>
      <c r="D103">
        <v>8</v>
      </c>
      <c r="F103" s="32">
        <v>0.33</v>
      </c>
      <c r="H103" t="s">
        <v>129</v>
      </c>
    </row>
    <row r="104" spans="1:8" x14ac:dyDescent="0.2">
      <c r="A104" t="s">
        <v>122</v>
      </c>
      <c r="B104">
        <v>0</v>
      </c>
      <c r="C104">
        <v>6</v>
      </c>
      <c r="D104">
        <v>8</v>
      </c>
      <c r="F104" s="32">
        <v>0.33</v>
      </c>
      <c r="H104" t="s">
        <v>130</v>
      </c>
    </row>
    <row r="105" spans="1:8" x14ac:dyDescent="0.2">
      <c r="A105" t="s">
        <v>122</v>
      </c>
      <c r="B105">
        <v>0</v>
      </c>
      <c r="C105">
        <v>13</v>
      </c>
      <c r="D105">
        <v>4</v>
      </c>
      <c r="F105" s="32">
        <v>0.67</v>
      </c>
      <c r="H105" t="s">
        <v>131</v>
      </c>
    </row>
    <row r="106" spans="1:8" x14ac:dyDescent="0.2">
      <c r="A106" t="s">
        <v>122</v>
      </c>
      <c r="B106">
        <v>0</v>
      </c>
      <c r="C106">
        <v>3</v>
      </c>
      <c r="D106">
        <v>4</v>
      </c>
      <c r="F106" s="32">
        <v>0.17</v>
      </c>
      <c r="H106" t="s">
        <v>132</v>
      </c>
    </row>
    <row r="107" spans="1:8" x14ac:dyDescent="0.2">
      <c r="A107" t="s">
        <v>122</v>
      </c>
      <c r="B107">
        <v>0</v>
      </c>
      <c r="C107">
        <v>1</v>
      </c>
      <c r="D107">
        <v>0</v>
      </c>
      <c r="F107" s="32">
        <v>0.05</v>
      </c>
      <c r="H107" t="s">
        <v>133</v>
      </c>
    </row>
    <row r="108" spans="1:8" x14ac:dyDescent="0.2">
      <c r="A108" t="s">
        <v>122</v>
      </c>
      <c r="B108">
        <v>0</v>
      </c>
      <c r="C108">
        <v>1</v>
      </c>
      <c r="D108">
        <v>0</v>
      </c>
      <c r="F108" s="32">
        <v>0.05</v>
      </c>
      <c r="H108" t="s">
        <v>134</v>
      </c>
    </row>
    <row r="109" spans="1:8" x14ac:dyDescent="0.2">
      <c r="A109" t="s">
        <v>122</v>
      </c>
      <c r="B109">
        <v>0</v>
      </c>
      <c r="C109">
        <v>1</v>
      </c>
      <c r="D109">
        <v>0</v>
      </c>
      <c r="F109" s="32">
        <v>0.05</v>
      </c>
      <c r="H109" t="s">
        <v>135</v>
      </c>
    </row>
    <row r="110" spans="1:8" x14ac:dyDescent="0.2">
      <c r="A110" t="s">
        <v>122</v>
      </c>
      <c r="B110">
        <v>3</v>
      </c>
      <c r="C110">
        <v>10</v>
      </c>
      <c r="D110">
        <v>4</v>
      </c>
      <c r="F110" s="32">
        <v>3.52</v>
      </c>
      <c r="H110" t="s">
        <v>136</v>
      </c>
    </row>
    <row r="111" spans="1:8" x14ac:dyDescent="0.2">
      <c r="A111" t="s">
        <v>122</v>
      </c>
      <c r="F111" s="32">
        <v>3.5099999999999989</v>
      </c>
      <c r="G111" s="33">
        <v>-1.0000000000001121E-2</v>
      </c>
      <c r="H111" t="s">
        <v>424</v>
      </c>
    </row>
    <row r="113" spans="1:8" x14ac:dyDescent="0.2">
      <c r="A113" t="s">
        <v>137</v>
      </c>
      <c r="B113">
        <v>0</v>
      </c>
      <c r="C113">
        <v>2</v>
      </c>
      <c r="D113">
        <v>0</v>
      </c>
      <c r="F113" s="32">
        <v>0.1</v>
      </c>
      <c r="H113" t="s">
        <v>138</v>
      </c>
    </row>
    <row r="114" spans="1:8" x14ac:dyDescent="0.2">
      <c r="A114" t="s">
        <v>137</v>
      </c>
      <c r="B114">
        <v>0</v>
      </c>
      <c r="C114">
        <v>2</v>
      </c>
      <c r="D114">
        <v>0</v>
      </c>
      <c r="F114" s="32">
        <v>0.1</v>
      </c>
      <c r="H114" t="s">
        <v>139</v>
      </c>
    </row>
    <row r="115" spans="1:8" x14ac:dyDescent="0.2">
      <c r="A115" t="s">
        <v>137</v>
      </c>
      <c r="B115">
        <v>2</v>
      </c>
      <c r="C115">
        <v>10</v>
      </c>
      <c r="D115">
        <v>4</v>
      </c>
      <c r="F115" s="32">
        <v>2.52</v>
      </c>
      <c r="H115" t="s">
        <v>140</v>
      </c>
    </row>
    <row r="116" spans="1:8" x14ac:dyDescent="0.2">
      <c r="A116" t="s">
        <v>137</v>
      </c>
      <c r="B116">
        <v>2</v>
      </c>
      <c r="C116">
        <v>14</v>
      </c>
      <c r="D116">
        <v>4</v>
      </c>
      <c r="F116" s="32">
        <v>2.72</v>
      </c>
      <c r="H116" t="s">
        <v>141</v>
      </c>
    </row>
    <row r="117" spans="1:8" x14ac:dyDescent="0.2">
      <c r="A117" t="s">
        <v>137</v>
      </c>
      <c r="F117" s="32">
        <v>2.72</v>
      </c>
      <c r="G117" s="33">
        <v>0</v>
      </c>
      <c r="H117" t="s">
        <v>424</v>
      </c>
    </row>
    <row r="119" spans="1:8" x14ac:dyDescent="0.2">
      <c r="A119" s="56" t="s">
        <v>764</v>
      </c>
      <c r="B119">
        <v>38</v>
      </c>
      <c r="C119">
        <v>6</v>
      </c>
      <c r="D119">
        <v>1.5</v>
      </c>
      <c r="F119" s="32">
        <v>38.31</v>
      </c>
      <c r="H119" t="s">
        <v>145</v>
      </c>
    </row>
    <row r="120" spans="1:8" ht="16" x14ac:dyDescent="0.2">
      <c r="A120" s="81" t="s">
        <v>765</v>
      </c>
      <c r="F120" s="32">
        <f>F117+F111+F95+F87+F78+F74+F35+F28</f>
        <v>38.297499999999999</v>
      </c>
      <c r="G120" s="33">
        <f>F120-F119</f>
        <v>-1.2500000000002842E-2</v>
      </c>
    </row>
    <row r="121" spans="1:8" ht="16" x14ac:dyDescent="0.2">
      <c r="A121" s="81" t="s">
        <v>766</v>
      </c>
      <c r="F121" s="32">
        <f>F120+F5</f>
        <v>46.017499999999998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8"/>
  <sheetViews>
    <sheetView workbookViewId="0">
      <pane xSplit="1" ySplit="2" topLeftCell="B119" activePane="bottomRight" state="frozen"/>
      <selection pane="topRight" activeCell="B1" sqref="B1"/>
      <selection pane="bottomLeft" activeCell="A3" sqref="A3"/>
      <selection pane="bottomRight" activeCell="F139" sqref="F139"/>
    </sheetView>
  </sheetViews>
  <sheetFormatPr baseColWidth="10" defaultColWidth="8.83203125" defaultRowHeight="15" x14ac:dyDescent="0.2"/>
  <cols>
    <col min="1" max="1" width="37" bestFit="1" customWidth="1"/>
    <col min="6" max="6" width="8.83203125" style="32"/>
    <col min="7" max="7" width="8.83203125" style="33"/>
    <col min="8" max="8" width="42.83203125" customWidth="1"/>
    <col min="10" max="10" width="15.6640625" customWidth="1"/>
    <col min="11" max="11" width="22.83203125" customWidth="1"/>
  </cols>
  <sheetData>
    <row r="1" spans="1:12" ht="16" x14ac:dyDescent="0.2">
      <c r="A1" s="30" t="s">
        <v>636</v>
      </c>
    </row>
    <row r="2" spans="1:12" ht="34" x14ac:dyDescent="0.2">
      <c r="A2" s="83" t="s">
        <v>0</v>
      </c>
      <c r="B2" s="84" t="s">
        <v>637</v>
      </c>
      <c r="C2" s="85" t="s">
        <v>638</v>
      </c>
      <c r="D2" s="85" t="s">
        <v>639</v>
      </c>
      <c r="E2" s="85"/>
      <c r="F2" s="86" t="s">
        <v>627</v>
      </c>
      <c r="G2" s="87" t="s">
        <v>423</v>
      </c>
      <c r="H2" s="83" t="s">
        <v>640</v>
      </c>
      <c r="I2" s="88"/>
      <c r="J2" s="82" t="s">
        <v>767</v>
      </c>
      <c r="K2" s="82" t="s">
        <v>768</v>
      </c>
    </row>
    <row r="3" spans="1:12" x14ac:dyDescent="0.2">
      <c r="A3" t="s">
        <v>146</v>
      </c>
      <c r="B3">
        <v>0</v>
      </c>
      <c r="C3">
        <v>3</v>
      </c>
      <c r="D3">
        <v>1</v>
      </c>
      <c r="F3" s="32">
        <v>0.15</v>
      </c>
      <c r="H3" t="s">
        <v>147</v>
      </c>
      <c r="J3" s="32">
        <f>F3</f>
        <v>0.15</v>
      </c>
      <c r="K3" s="32">
        <f>J3</f>
        <v>0.15</v>
      </c>
    </row>
    <row r="4" spans="1:12" x14ac:dyDescent="0.2">
      <c r="A4" t="s">
        <v>146</v>
      </c>
      <c r="B4">
        <v>0</v>
      </c>
      <c r="C4">
        <v>0</v>
      </c>
      <c r="D4">
        <v>5</v>
      </c>
      <c r="F4" s="32">
        <v>0.02</v>
      </c>
      <c r="H4" t="s">
        <v>148</v>
      </c>
      <c r="J4" s="32">
        <f t="shared" ref="J4:J12" si="0">F4</f>
        <v>0.02</v>
      </c>
      <c r="K4" s="32">
        <f t="shared" ref="K4:K7" si="1">J4</f>
        <v>0.02</v>
      </c>
    </row>
    <row r="5" spans="1:12" x14ac:dyDescent="0.2">
      <c r="A5" t="s">
        <v>146</v>
      </c>
      <c r="B5">
        <v>0</v>
      </c>
      <c r="C5">
        <v>0</v>
      </c>
      <c r="D5">
        <v>4.5</v>
      </c>
      <c r="F5" s="32">
        <v>0.02</v>
      </c>
      <c r="H5" t="s">
        <v>149</v>
      </c>
      <c r="J5" s="32">
        <f t="shared" si="0"/>
        <v>0.02</v>
      </c>
      <c r="K5" s="32">
        <f t="shared" si="1"/>
        <v>0.02</v>
      </c>
    </row>
    <row r="6" spans="1:12" x14ac:dyDescent="0.2">
      <c r="A6" t="s">
        <v>146</v>
      </c>
      <c r="B6">
        <v>0</v>
      </c>
      <c r="C6">
        <v>0</v>
      </c>
      <c r="D6">
        <v>9.5</v>
      </c>
      <c r="F6" s="32">
        <v>0.04</v>
      </c>
      <c r="H6" t="s">
        <v>150</v>
      </c>
      <c r="J6" s="32">
        <f t="shared" si="0"/>
        <v>0.04</v>
      </c>
      <c r="K6" s="32">
        <f t="shared" si="1"/>
        <v>0.04</v>
      </c>
    </row>
    <row r="7" spans="1:12" x14ac:dyDescent="0.2">
      <c r="A7" t="s">
        <v>146</v>
      </c>
      <c r="B7">
        <v>0</v>
      </c>
      <c r="C7">
        <v>0</v>
      </c>
      <c r="D7">
        <v>9</v>
      </c>
      <c r="F7" s="32">
        <v>0.04</v>
      </c>
      <c r="H7" t="s">
        <v>151</v>
      </c>
      <c r="J7" s="32">
        <f t="shared" si="0"/>
        <v>0.04</v>
      </c>
      <c r="K7" s="32">
        <f t="shared" si="1"/>
        <v>0.04</v>
      </c>
    </row>
    <row r="8" spans="1:12" x14ac:dyDescent="0.2">
      <c r="A8" t="s">
        <v>146</v>
      </c>
      <c r="B8">
        <v>0</v>
      </c>
      <c r="C8">
        <v>2</v>
      </c>
      <c r="D8">
        <v>4</v>
      </c>
      <c r="F8" s="32">
        <v>0.12</v>
      </c>
      <c r="H8" t="s">
        <v>152</v>
      </c>
      <c r="J8" s="32">
        <f t="shared" si="0"/>
        <v>0.12</v>
      </c>
      <c r="K8">
        <f>J8/2</f>
        <v>0.06</v>
      </c>
      <c r="L8" s="89" t="s">
        <v>769</v>
      </c>
    </row>
    <row r="9" spans="1:12" x14ac:dyDescent="0.2">
      <c r="A9" t="s">
        <v>146</v>
      </c>
      <c r="B9">
        <v>0</v>
      </c>
      <c r="C9">
        <v>0</v>
      </c>
      <c r="D9">
        <v>3</v>
      </c>
      <c r="F9" s="32">
        <v>0.01</v>
      </c>
      <c r="H9" t="s">
        <v>153</v>
      </c>
      <c r="J9" s="32">
        <f t="shared" si="0"/>
        <v>0.01</v>
      </c>
      <c r="K9" s="32">
        <f>J9</f>
        <v>0.01</v>
      </c>
    </row>
    <row r="10" spans="1:12" x14ac:dyDescent="0.2">
      <c r="A10" t="s">
        <v>146</v>
      </c>
      <c r="B10">
        <v>0</v>
      </c>
      <c r="C10">
        <v>1</v>
      </c>
      <c r="D10">
        <v>5.5</v>
      </c>
      <c r="F10" s="32">
        <v>7.0000000000000007E-2</v>
      </c>
      <c r="H10" t="s">
        <v>154</v>
      </c>
      <c r="J10" s="32">
        <f t="shared" si="0"/>
        <v>7.0000000000000007E-2</v>
      </c>
      <c r="K10" s="32">
        <f t="shared" ref="K10:K12" si="2">J10</f>
        <v>7.0000000000000007E-2</v>
      </c>
    </row>
    <row r="11" spans="1:12" x14ac:dyDescent="0.2">
      <c r="A11" t="s">
        <v>146</v>
      </c>
      <c r="B11">
        <v>0</v>
      </c>
      <c r="C11">
        <v>0</v>
      </c>
      <c r="D11">
        <v>1.5</v>
      </c>
      <c r="F11" s="32">
        <v>0.01</v>
      </c>
      <c r="H11" t="s">
        <v>156</v>
      </c>
      <c r="J11" s="32">
        <f t="shared" si="0"/>
        <v>0.01</v>
      </c>
      <c r="K11" s="32">
        <f t="shared" si="2"/>
        <v>0.01</v>
      </c>
    </row>
    <row r="12" spans="1:12" x14ac:dyDescent="0.2">
      <c r="A12" t="s">
        <v>146</v>
      </c>
      <c r="B12">
        <v>0</v>
      </c>
      <c r="C12">
        <v>0</v>
      </c>
      <c r="D12">
        <v>5</v>
      </c>
      <c r="F12" s="32">
        <v>0.02</v>
      </c>
      <c r="H12" t="s">
        <v>157</v>
      </c>
      <c r="J12" s="32">
        <f t="shared" si="0"/>
        <v>0.02</v>
      </c>
      <c r="K12" s="32">
        <f t="shared" si="2"/>
        <v>0.02</v>
      </c>
    </row>
    <row r="13" spans="1:12" x14ac:dyDescent="0.2">
      <c r="A13" t="s">
        <v>146</v>
      </c>
      <c r="B13">
        <v>0</v>
      </c>
      <c r="C13">
        <v>10</v>
      </c>
      <c r="D13">
        <v>0</v>
      </c>
      <c r="F13" s="32">
        <v>0.5</v>
      </c>
      <c r="H13" t="s">
        <v>158</v>
      </c>
    </row>
    <row r="14" spans="1:12" x14ac:dyDescent="0.2">
      <c r="A14" t="s">
        <v>146</v>
      </c>
      <c r="B14">
        <v>0</v>
      </c>
      <c r="C14">
        <v>6</v>
      </c>
      <c r="D14">
        <v>0</v>
      </c>
      <c r="F14" s="32">
        <v>0.3</v>
      </c>
      <c r="H14" t="s">
        <v>159</v>
      </c>
    </row>
    <row r="15" spans="1:12" x14ac:dyDescent="0.2">
      <c r="A15" t="s">
        <v>146</v>
      </c>
      <c r="B15">
        <v>0</v>
      </c>
      <c r="C15">
        <v>1</v>
      </c>
      <c r="D15">
        <v>4</v>
      </c>
      <c r="F15" s="32">
        <v>7.0000000000000007E-2</v>
      </c>
      <c r="H15" t="s">
        <v>160</v>
      </c>
    </row>
    <row r="16" spans="1:12" x14ac:dyDescent="0.2">
      <c r="A16" t="s">
        <v>146</v>
      </c>
      <c r="B16">
        <v>0</v>
      </c>
      <c r="C16">
        <v>12</v>
      </c>
      <c r="D16">
        <v>8</v>
      </c>
      <c r="F16" s="32">
        <f>B16+C16/20+D16/240</f>
        <v>0.6333333333333333</v>
      </c>
      <c r="H16" t="s">
        <v>641</v>
      </c>
    </row>
    <row r="17" spans="1:11" x14ac:dyDescent="0.2">
      <c r="A17" t="s">
        <v>146</v>
      </c>
      <c r="B17">
        <v>2</v>
      </c>
      <c r="C17">
        <v>0</v>
      </c>
      <c r="D17">
        <v>0</v>
      </c>
      <c r="F17" s="32">
        <v>2</v>
      </c>
      <c r="H17" t="s">
        <v>642</v>
      </c>
    </row>
    <row r="18" spans="1:11" x14ac:dyDescent="0.2">
      <c r="A18" t="s">
        <v>146</v>
      </c>
      <c r="F18" s="32">
        <f>SUM(F3:F16)</f>
        <v>2.0033333333333334</v>
      </c>
      <c r="G18" s="33">
        <f>F18-F17</f>
        <v>3.3333333333334103E-3</v>
      </c>
      <c r="H18" t="s">
        <v>424</v>
      </c>
    </row>
    <row r="20" spans="1:11" x14ac:dyDescent="0.2">
      <c r="A20" t="s">
        <v>163</v>
      </c>
      <c r="B20">
        <v>0</v>
      </c>
      <c r="C20">
        <v>0</v>
      </c>
      <c r="D20">
        <v>5.5</v>
      </c>
      <c r="F20" s="32">
        <v>0.02</v>
      </c>
      <c r="H20" t="s">
        <v>164</v>
      </c>
      <c r="J20" s="32">
        <f>F20</f>
        <v>0.02</v>
      </c>
      <c r="K20" s="32">
        <f>J20</f>
        <v>0.02</v>
      </c>
    </row>
    <row r="21" spans="1:11" x14ac:dyDescent="0.2">
      <c r="A21" t="s">
        <v>163</v>
      </c>
      <c r="B21">
        <v>0</v>
      </c>
      <c r="C21">
        <v>0</v>
      </c>
      <c r="D21">
        <v>6.5</v>
      </c>
      <c r="F21" s="32">
        <v>0.03</v>
      </c>
      <c r="H21" t="s">
        <v>165</v>
      </c>
      <c r="J21" s="32">
        <f t="shared" ref="J21:J27" si="3">F21</f>
        <v>0.03</v>
      </c>
      <c r="K21" s="32">
        <f t="shared" ref="K21:K27" si="4">J21</f>
        <v>0.03</v>
      </c>
    </row>
    <row r="22" spans="1:11" x14ac:dyDescent="0.2">
      <c r="A22" t="s">
        <v>163</v>
      </c>
      <c r="B22">
        <v>0</v>
      </c>
      <c r="C22">
        <v>0</v>
      </c>
      <c r="D22">
        <v>8</v>
      </c>
      <c r="F22" s="32">
        <v>0.03</v>
      </c>
      <c r="H22" t="s">
        <v>166</v>
      </c>
      <c r="J22" s="32">
        <f t="shared" si="3"/>
        <v>0.03</v>
      </c>
      <c r="K22" s="32">
        <f t="shared" si="4"/>
        <v>0.03</v>
      </c>
    </row>
    <row r="23" spans="1:11" x14ac:dyDescent="0.2">
      <c r="A23" t="s">
        <v>163</v>
      </c>
      <c r="B23">
        <v>0</v>
      </c>
      <c r="C23">
        <v>0</v>
      </c>
      <c r="D23">
        <v>6</v>
      </c>
      <c r="F23" s="32">
        <v>0.03</v>
      </c>
      <c r="H23" t="s">
        <v>167</v>
      </c>
      <c r="J23" s="32">
        <f t="shared" si="3"/>
        <v>0.03</v>
      </c>
      <c r="K23" s="32">
        <f t="shared" si="4"/>
        <v>0.03</v>
      </c>
    </row>
    <row r="24" spans="1:11" x14ac:dyDescent="0.2">
      <c r="A24" t="s">
        <v>163</v>
      </c>
      <c r="B24">
        <v>0</v>
      </c>
      <c r="C24">
        <v>0</v>
      </c>
      <c r="D24">
        <v>7</v>
      </c>
      <c r="F24" s="32">
        <v>0.03</v>
      </c>
      <c r="H24" t="s">
        <v>168</v>
      </c>
      <c r="J24" s="32">
        <f t="shared" si="3"/>
        <v>0.03</v>
      </c>
      <c r="K24" s="32">
        <f t="shared" si="4"/>
        <v>0.03</v>
      </c>
    </row>
    <row r="25" spans="1:11" x14ac:dyDescent="0.2">
      <c r="A25" t="s">
        <v>163</v>
      </c>
      <c r="B25">
        <v>0</v>
      </c>
      <c r="C25">
        <v>0</v>
      </c>
      <c r="D25">
        <v>3</v>
      </c>
      <c r="F25" s="32">
        <v>0.01</v>
      </c>
      <c r="H25" t="s">
        <v>169</v>
      </c>
      <c r="J25" s="32">
        <f t="shared" si="3"/>
        <v>0.01</v>
      </c>
      <c r="K25" s="32">
        <f t="shared" si="4"/>
        <v>0.01</v>
      </c>
    </row>
    <row r="26" spans="1:11" x14ac:dyDescent="0.2">
      <c r="A26" t="s">
        <v>163</v>
      </c>
      <c r="B26">
        <v>0</v>
      </c>
      <c r="C26">
        <v>2</v>
      </c>
      <c r="D26">
        <v>6</v>
      </c>
      <c r="F26" s="32">
        <v>0.12</v>
      </c>
      <c r="H26" t="s">
        <v>170</v>
      </c>
      <c r="J26" s="32">
        <f t="shared" si="3"/>
        <v>0.12</v>
      </c>
      <c r="K26" s="32">
        <f t="shared" si="4"/>
        <v>0.12</v>
      </c>
    </row>
    <row r="27" spans="1:11" x14ac:dyDescent="0.2">
      <c r="A27" t="s">
        <v>163</v>
      </c>
      <c r="B27">
        <v>0</v>
      </c>
      <c r="C27">
        <v>0</v>
      </c>
      <c r="D27">
        <v>8</v>
      </c>
      <c r="F27" s="32">
        <v>0.03</v>
      </c>
      <c r="H27" t="s">
        <v>171</v>
      </c>
      <c r="J27" s="32">
        <f t="shared" si="3"/>
        <v>0.03</v>
      </c>
      <c r="K27" s="32">
        <f t="shared" si="4"/>
        <v>0.03</v>
      </c>
    </row>
    <row r="28" spans="1:11" x14ac:dyDescent="0.2">
      <c r="A28" t="s">
        <v>163</v>
      </c>
      <c r="B28">
        <v>0</v>
      </c>
      <c r="C28">
        <v>3</v>
      </c>
      <c r="D28">
        <v>0</v>
      </c>
      <c r="F28" s="32">
        <v>0.15</v>
      </c>
      <c r="H28" t="s">
        <v>172</v>
      </c>
    </row>
    <row r="29" spans="1:11" x14ac:dyDescent="0.2">
      <c r="A29" t="s">
        <v>163</v>
      </c>
      <c r="B29">
        <v>0</v>
      </c>
      <c r="C29">
        <v>8</v>
      </c>
      <c r="D29">
        <v>8</v>
      </c>
      <c r="F29" s="32">
        <v>0.43</v>
      </c>
      <c r="H29" t="s">
        <v>643</v>
      </c>
    </row>
    <row r="30" spans="1:11" x14ac:dyDescent="0.2">
      <c r="A30" t="s">
        <v>163</v>
      </c>
      <c r="B30">
        <v>0</v>
      </c>
      <c r="C30">
        <v>17</v>
      </c>
      <c r="D30">
        <v>8</v>
      </c>
      <c r="F30" s="32">
        <f>B30+C30/20+D30/240</f>
        <v>0.8833333333333333</v>
      </c>
      <c r="H30" t="s">
        <v>644</v>
      </c>
    </row>
    <row r="31" spans="1:11" x14ac:dyDescent="0.2">
      <c r="A31" t="s">
        <v>163</v>
      </c>
      <c r="F31" s="32">
        <v>0.88000000000000012</v>
      </c>
      <c r="G31" s="33">
        <f>F31-F30</f>
        <v>-3.3333333333331883E-3</v>
      </c>
      <c r="H31" t="s">
        <v>424</v>
      </c>
    </row>
    <row r="33" spans="1:11" x14ac:dyDescent="0.2">
      <c r="A33" t="s">
        <v>175</v>
      </c>
      <c r="B33">
        <v>0</v>
      </c>
      <c r="C33">
        <v>0</v>
      </c>
      <c r="D33">
        <v>5</v>
      </c>
      <c r="F33" s="32">
        <v>0.02</v>
      </c>
      <c r="H33" t="s">
        <v>176</v>
      </c>
      <c r="J33" s="32">
        <f>F33</f>
        <v>0.02</v>
      </c>
      <c r="K33" s="32">
        <f>J33</f>
        <v>0.02</v>
      </c>
    </row>
    <row r="34" spans="1:11" x14ac:dyDescent="0.2">
      <c r="A34" t="s">
        <v>175</v>
      </c>
      <c r="B34">
        <v>0</v>
      </c>
      <c r="C34">
        <v>1</v>
      </c>
      <c r="D34">
        <v>5</v>
      </c>
      <c r="F34" s="32">
        <v>7.0000000000000007E-2</v>
      </c>
      <c r="H34" t="s">
        <v>177</v>
      </c>
      <c r="J34" s="32">
        <f t="shared" ref="J34:J41" si="5">F34</f>
        <v>7.0000000000000007E-2</v>
      </c>
      <c r="K34" s="32">
        <f t="shared" ref="K34:K41" si="6">J34</f>
        <v>7.0000000000000007E-2</v>
      </c>
    </row>
    <row r="35" spans="1:11" x14ac:dyDescent="0.2">
      <c r="A35" t="s">
        <v>175</v>
      </c>
      <c r="B35">
        <v>0</v>
      </c>
      <c r="C35">
        <v>0</v>
      </c>
      <c r="D35">
        <v>2</v>
      </c>
      <c r="F35" s="32">
        <v>0.01</v>
      </c>
      <c r="H35" t="s">
        <v>178</v>
      </c>
      <c r="J35" s="32">
        <f t="shared" si="5"/>
        <v>0.01</v>
      </c>
      <c r="K35" s="32">
        <f t="shared" si="6"/>
        <v>0.01</v>
      </c>
    </row>
    <row r="36" spans="1:11" x14ac:dyDescent="0.2">
      <c r="A36" t="s">
        <v>175</v>
      </c>
      <c r="B36">
        <v>0</v>
      </c>
      <c r="C36">
        <v>0</v>
      </c>
      <c r="D36">
        <v>5</v>
      </c>
      <c r="F36" s="32">
        <v>0.02</v>
      </c>
      <c r="H36" t="s">
        <v>179</v>
      </c>
      <c r="J36" s="32">
        <f t="shared" si="5"/>
        <v>0.02</v>
      </c>
      <c r="K36" s="32">
        <f t="shared" si="6"/>
        <v>0.02</v>
      </c>
    </row>
    <row r="37" spans="1:11" x14ac:dyDescent="0.2">
      <c r="A37" t="s">
        <v>175</v>
      </c>
      <c r="B37">
        <v>0</v>
      </c>
      <c r="C37">
        <v>0</v>
      </c>
      <c r="D37">
        <v>3</v>
      </c>
      <c r="F37" s="32">
        <v>0.01</v>
      </c>
      <c r="H37" t="s">
        <v>180</v>
      </c>
      <c r="J37" s="32">
        <f t="shared" si="5"/>
        <v>0.01</v>
      </c>
      <c r="K37" s="32">
        <f t="shared" si="6"/>
        <v>0.01</v>
      </c>
    </row>
    <row r="38" spans="1:11" x14ac:dyDescent="0.2">
      <c r="A38" t="s">
        <v>175</v>
      </c>
      <c r="B38">
        <v>0</v>
      </c>
      <c r="C38">
        <v>1</v>
      </c>
      <c r="D38">
        <v>7.5</v>
      </c>
      <c r="F38" s="32">
        <v>0.08</v>
      </c>
      <c r="H38" t="s">
        <v>181</v>
      </c>
      <c r="J38" s="32">
        <f t="shared" si="5"/>
        <v>0.08</v>
      </c>
      <c r="K38" s="32">
        <f t="shared" si="6"/>
        <v>0.08</v>
      </c>
    </row>
    <row r="39" spans="1:11" x14ac:dyDescent="0.2">
      <c r="A39" t="s">
        <v>175</v>
      </c>
      <c r="B39">
        <v>0</v>
      </c>
      <c r="C39">
        <v>0</v>
      </c>
      <c r="D39">
        <v>2</v>
      </c>
      <c r="F39" s="32">
        <v>0.01</v>
      </c>
      <c r="H39" t="s">
        <v>182</v>
      </c>
      <c r="J39" s="32">
        <f t="shared" si="5"/>
        <v>0.01</v>
      </c>
      <c r="K39" s="32">
        <f t="shared" si="6"/>
        <v>0.01</v>
      </c>
    </row>
    <row r="40" spans="1:11" x14ac:dyDescent="0.2">
      <c r="A40" t="s">
        <v>175</v>
      </c>
      <c r="B40">
        <v>0</v>
      </c>
      <c r="C40">
        <v>3</v>
      </c>
      <c r="D40">
        <v>0</v>
      </c>
      <c r="F40" s="32">
        <v>0.15</v>
      </c>
      <c r="H40" t="s">
        <v>183</v>
      </c>
      <c r="J40" s="32">
        <f t="shared" si="5"/>
        <v>0.15</v>
      </c>
      <c r="K40" s="32">
        <f t="shared" si="6"/>
        <v>0.15</v>
      </c>
    </row>
    <row r="41" spans="1:11" x14ac:dyDescent="0.2">
      <c r="A41" t="s">
        <v>175</v>
      </c>
      <c r="B41">
        <v>0</v>
      </c>
      <c r="C41">
        <v>0</v>
      </c>
      <c r="D41">
        <v>4</v>
      </c>
      <c r="F41" s="32">
        <v>0.02</v>
      </c>
      <c r="H41" t="s">
        <v>184</v>
      </c>
      <c r="J41" s="32">
        <f t="shared" si="5"/>
        <v>0.02</v>
      </c>
      <c r="K41" s="32">
        <f t="shared" si="6"/>
        <v>0.02</v>
      </c>
    </row>
    <row r="42" spans="1:11" x14ac:dyDescent="0.2">
      <c r="A42" t="s">
        <v>175</v>
      </c>
      <c r="B42">
        <v>0</v>
      </c>
      <c r="C42">
        <v>1</v>
      </c>
      <c r="D42">
        <v>6</v>
      </c>
      <c r="F42" s="32">
        <v>0.08</v>
      </c>
      <c r="H42" t="s">
        <v>185</v>
      </c>
    </row>
    <row r="43" spans="1:11" x14ac:dyDescent="0.2">
      <c r="A43" t="s">
        <v>175</v>
      </c>
      <c r="B43">
        <v>0</v>
      </c>
      <c r="C43">
        <v>3</v>
      </c>
      <c r="D43">
        <v>0</v>
      </c>
      <c r="F43" s="32">
        <v>0.15</v>
      </c>
      <c r="H43" t="s">
        <v>186</v>
      </c>
    </row>
    <row r="44" spans="1:11" x14ac:dyDescent="0.2">
      <c r="A44" t="s">
        <v>175</v>
      </c>
      <c r="B44">
        <v>2</v>
      </c>
      <c r="C44">
        <v>19</v>
      </c>
      <c r="D44">
        <v>1</v>
      </c>
      <c r="F44" s="32">
        <v>2.95</v>
      </c>
      <c r="H44" t="s">
        <v>187</v>
      </c>
    </row>
    <row r="45" spans="1:11" x14ac:dyDescent="0.2">
      <c r="A45" t="s">
        <v>175</v>
      </c>
      <c r="B45">
        <v>0</v>
      </c>
      <c r="C45">
        <v>1</v>
      </c>
      <c r="D45">
        <v>6</v>
      </c>
      <c r="F45" s="32">
        <f>B45+C45/20+D45/240</f>
        <v>7.5000000000000011E-2</v>
      </c>
      <c r="H45" t="s">
        <v>645</v>
      </c>
    </row>
    <row r="46" spans="1:11" x14ac:dyDescent="0.2">
      <c r="A46" t="s">
        <v>175</v>
      </c>
      <c r="B46">
        <v>3</v>
      </c>
      <c r="C46">
        <v>12</v>
      </c>
      <c r="D46">
        <v>6</v>
      </c>
      <c r="F46" s="32">
        <v>3.62</v>
      </c>
      <c r="H46" t="s">
        <v>646</v>
      </c>
    </row>
    <row r="47" spans="1:11" x14ac:dyDescent="0.2">
      <c r="A47" t="s">
        <v>175</v>
      </c>
      <c r="F47" s="32">
        <f>SUM(F33:F45)</f>
        <v>3.6450000000000005</v>
      </c>
      <c r="G47" s="33">
        <f>F47-F46</f>
        <v>2.5000000000000355E-2</v>
      </c>
      <c r="H47" t="s">
        <v>424</v>
      </c>
    </row>
    <row r="49" spans="1:11" x14ac:dyDescent="0.2">
      <c r="A49" t="s">
        <v>189</v>
      </c>
      <c r="B49">
        <v>0</v>
      </c>
      <c r="C49">
        <v>5</v>
      </c>
      <c r="D49">
        <v>2.5</v>
      </c>
      <c r="F49" s="32">
        <v>0.26</v>
      </c>
      <c r="H49" t="s">
        <v>190</v>
      </c>
    </row>
    <row r="50" spans="1:11" x14ac:dyDescent="0.2">
      <c r="A50" t="s">
        <v>189</v>
      </c>
      <c r="B50">
        <v>0</v>
      </c>
      <c r="C50">
        <v>6</v>
      </c>
      <c r="D50">
        <v>0</v>
      </c>
      <c r="F50" s="32">
        <v>0.3</v>
      </c>
      <c r="H50" t="s">
        <v>192</v>
      </c>
    </row>
    <row r="51" spans="1:11" x14ac:dyDescent="0.2">
      <c r="A51" t="s">
        <v>189</v>
      </c>
      <c r="B51">
        <v>0</v>
      </c>
      <c r="C51">
        <v>1</v>
      </c>
      <c r="D51">
        <v>0</v>
      </c>
      <c r="F51" s="32">
        <v>0.05</v>
      </c>
      <c r="H51" t="s">
        <v>194</v>
      </c>
    </row>
    <row r="52" spans="1:11" x14ac:dyDescent="0.2">
      <c r="A52" t="s">
        <v>189</v>
      </c>
      <c r="B52">
        <v>0</v>
      </c>
      <c r="C52">
        <v>1</v>
      </c>
      <c r="D52">
        <v>4.5</v>
      </c>
      <c r="F52" s="32">
        <v>7.0000000000000007E-2</v>
      </c>
      <c r="H52" t="s">
        <v>647</v>
      </c>
    </row>
    <row r="53" spans="1:11" x14ac:dyDescent="0.2">
      <c r="A53" t="s">
        <v>189</v>
      </c>
      <c r="B53">
        <v>0</v>
      </c>
      <c r="C53">
        <v>13</v>
      </c>
      <c r="D53">
        <v>1.5</v>
      </c>
      <c r="F53" s="32">
        <f>B53+C53/20+D53/240</f>
        <v>0.65625</v>
      </c>
      <c r="H53" t="s">
        <v>648</v>
      </c>
    </row>
    <row r="54" spans="1:11" x14ac:dyDescent="0.2">
      <c r="A54" t="s">
        <v>189</v>
      </c>
      <c r="F54" s="32">
        <v>0.68000000000000016</v>
      </c>
      <c r="G54" s="33">
        <f>F54-F53</f>
        <v>2.375000000000016E-2</v>
      </c>
      <c r="H54" t="s">
        <v>424</v>
      </c>
    </row>
    <row r="56" spans="1:11" x14ac:dyDescent="0.2">
      <c r="A56" t="s">
        <v>196</v>
      </c>
      <c r="B56">
        <v>0</v>
      </c>
      <c r="C56">
        <v>6</v>
      </c>
      <c r="D56">
        <v>11</v>
      </c>
      <c r="F56" s="32">
        <v>0.35</v>
      </c>
      <c r="H56" t="s">
        <v>197</v>
      </c>
      <c r="J56" s="32">
        <f>F56</f>
        <v>0.35</v>
      </c>
      <c r="K56" s="32"/>
    </row>
    <row r="57" spans="1:11" x14ac:dyDescent="0.2">
      <c r="A57" t="s">
        <v>196</v>
      </c>
      <c r="B57">
        <v>0</v>
      </c>
      <c r="C57">
        <v>1</v>
      </c>
      <c r="D57">
        <v>6</v>
      </c>
      <c r="F57" s="32">
        <v>0.08</v>
      </c>
      <c r="H57" t="s">
        <v>198</v>
      </c>
      <c r="J57" s="32">
        <f t="shared" ref="J57:J66" si="7">F57</f>
        <v>0.08</v>
      </c>
    </row>
    <row r="58" spans="1:11" x14ac:dyDescent="0.2">
      <c r="A58" t="s">
        <v>196</v>
      </c>
      <c r="B58">
        <v>0</v>
      </c>
      <c r="C58">
        <v>0</v>
      </c>
      <c r="D58">
        <v>2</v>
      </c>
      <c r="F58" s="32">
        <v>0.01</v>
      </c>
      <c r="H58" t="s">
        <v>199</v>
      </c>
      <c r="J58" s="32">
        <f t="shared" si="7"/>
        <v>0.01</v>
      </c>
    </row>
    <row r="59" spans="1:11" x14ac:dyDescent="0.2">
      <c r="A59" t="s">
        <v>196</v>
      </c>
      <c r="B59">
        <v>0</v>
      </c>
      <c r="C59">
        <v>13</v>
      </c>
      <c r="D59">
        <v>6</v>
      </c>
      <c r="F59" s="32">
        <v>0.68</v>
      </c>
      <c r="H59" t="s">
        <v>200</v>
      </c>
      <c r="J59" s="32">
        <f t="shared" si="7"/>
        <v>0.68</v>
      </c>
    </row>
    <row r="60" spans="1:11" x14ac:dyDescent="0.2">
      <c r="A60" t="s">
        <v>196</v>
      </c>
      <c r="B60">
        <v>0</v>
      </c>
      <c r="C60">
        <v>2</v>
      </c>
      <c r="D60">
        <v>0</v>
      </c>
      <c r="F60" s="32">
        <f t="shared" ref="F60:F65" si="8">B60+C60/20+D60/240</f>
        <v>0.1</v>
      </c>
      <c r="H60" t="s">
        <v>432</v>
      </c>
      <c r="J60" s="32">
        <f t="shared" si="7"/>
        <v>0.1</v>
      </c>
    </row>
    <row r="61" spans="1:11" x14ac:dyDescent="0.2">
      <c r="A61" t="s">
        <v>196</v>
      </c>
      <c r="B61">
        <v>0</v>
      </c>
      <c r="C61">
        <v>0</v>
      </c>
      <c r="D61">
        <v>2</v>
      </c>
      <c r="F61" s="32">
        <f t="shared" si="8"/>
        <v>8.3333333333333332E-3</v>
      </c>
      <c r="H61" t="s">
        <v>202</v>
      </c>
      <c r="J61" s="32">
        <f t="shared" si="7"/>
        <v>8.3333333333333332E-3</v>
      </c>
    </row>
    <row r="62" spans="1:11" x14ac:dyDescent="0.2">
      <c r="A62" t="s">
        <v>196</v>
      </c>
      <c r="B62">
        <v>0</v>
      </c>
      <c r="C62">
        <v>2</v>
      </c>
      <c r="D62">
        <v>6</v>
      </c>
      <c r="F62" s="32">
        <f t="shared" si="8"/>
        <v>0.125</v>
      </c>
      <c r="H62" t="s">
        <v>203</v>
      </c>
      <c r="J62" s="32">
        <f t="shared" si="7"/>
        <v>0.125</v>
      </c>
      <c r="K62" s="32">
        <f>J62</f>
        <v>0.125</v>
      </c>
    </row>
    <row r="63" spans="1:11" x14ac:dyDescent="0.2">
      <c r="A63" t="s">
        <v>196</v>
      </c>
      <c r="B63">
        <v>0</v>
      </c>
      <c r="C63">
        <v>0</v>
      </c>
      <c r="D63">
        <v>6</v>
      </c>
      <c r="F63" s="32">
        <f t="shared" si="8"/>
        <v>2.5000000000000001E-2</v>
      </c>
      <c r="H63" t="s">
        <v>204</v>
      </c>
      <c r="J63" s="32">
        <f t="shared" si="7"/>
        <v>2.5000000000000001E-2</v>
      </c>
      <c r="K63" s="32">
        <f t="shared" ref="K63:K66" si="9">J63</f>
        <v>2.5000000000000001E-2</v>
      </c>
    </row>
    <row r="64" spans="1:11" x14ac:dyDescent="0.2">
      <c r="A64" t="s">
        <v>196</v>
      </c>
      <c r="B64">
        <v>0</v>
      </c>
      <c r="C64">
        <v>0</v>
      </c>
      <c r="D64">
        <v>7</v>
      </c>
      <c r="F64" s="32">
        <f t="shared" si="8"/>
        <v>2.9166666666666667E-2</v>
      </c>
      <c r="H64" t="s">
        <v>651</v>
      </c>
      <c r="J64" s="32">
        <f t="shared" si="7"/>
        <v>2.9166666666666667E-2</v>
      </c>
      <c r="K64" s="32">
        <f t="shared" si="9"/>
        <v>2.9166666666666667E-2</v>
      </c>
    </row>
    <row r="65" spans="1:11" x14ac:dyDescent="0.2">
      <c r="A65" t="s">
        <v>196</v>
      </c>
      <c r="B65">
        <v>0</v>
      </c>
      <c r="C65">
        <v>0</v>
      </c>
      <c r="D65">
        <v>10</v>
      </c>
      <c r="F65" s="32">
        <f t="shared" si="8"/>
        <v>4.1666666666666664E-2</v>
      </c>
      <c r="H65" t="s">
        <v>206</v>
      </c>
      <c r="J65" s="32">
        <f t="shared" si="7"/>
        <v>4.1666666666666664E-2</v>
      </c>
      <c r="K65" s="32">
        <f t="shared" si="9"/>
        <v>4.1666666666666664E-2</v>
      </c>
    </row>
    <row r="66" spans="1:11" x14ac:dyDescent="0.2">
      <c r="A66" t="s">
        <v>196</v>
      </c>
      <c r="B66">
        <v>0</v>
      </c>
      <c r="C66">
        <v>0</v>
      </c>
      <c r="D66">
        <v>3.5</v>
      </c>
      <c r="F66" s="32">
        <f>B66+C66/20+D66/240</f>
        <v>1.4583333333333334E-2</v>
      </c>
      <c r="H66" t="s">
        <v>649</v>
      </c>
      <c r="J66" s="32">
        <f t="shared" si="7"/>
        <v>1.4583333333333334E-2</v>
      </c>
      <c r="K66" s="32">
        <f t="shared" si="9"/>
        <v>1.4583333333333334E-2</v>
      </c>
    </row>
    <row r="67" spans="1:11" x14ac:dyDescent="0.2">
      <c r="A67" t="s">
        <v>196</v>
      </c>
      <c r="B67">
        <v>1</v>
      </c>
      <c r="C67">
        <v>8</v>
      </c>
      <c r="D67">
        <v>11.5</v>
      </c>
      <c r="F67" s="32">
        <v>1.45</v>
      </c>
      <c r="H67" t="s">
        <v>650</v>
      </c>
    </row>
    <row r="68" spans="1:11" x14ac:dyDescent="0.2">
      <c r="A68" t="s">
        <v>196</v>
      </c>
      <c r="F68" s="32">
        <f>SUM(F56:F66)</f>
        <v>1.4637500000000001</v>
      </c>
      <c r="G68" s="33">
        <f>F68-F67</f>
        <v>1.3750000000000151E-2</v>
      </c>
      <c r="H68" t="s">
        <v>424</v>
      </c>
    </row>
    <row r="70" spans="1:11" x14ac:dyDescent="0.2">
      <c r="A70" t="s">
        <v>208</v>
      </c>
      <c r="B70">
        <v>0</v>
      </c>
      <c r="C70">
        <v>3</v>
      </c>
      <c r="D70">
        <v>0</v>
      </c>
      <c r="F70" s="32">
        <v>0.15</v>
      </c>
      <c r="H70" t="s">
        <v>209</v>
      </c>
      <c r="J70" s="32">
        <f>F70</f>
        <v>0.15</v>
      </c>
    </row>
    <row r="71" spans="1:11" x14ac:dyDescent="0.2">
      <c r="A71" t="s">
        <v>208</v>
      </c>
      <c r="B71">
        <v>0</v>
      </c>
      <c r="C71">
        <v>4</v>
      </c>
      <c r="D71">
        <v>5</v>
      </c>
      <c r="F71" s="32">
        <v>0.22</v>
      </c>
      <c r="H71" t="s">
        <v>210</v>
      </c>
      <c r="J71" s="32">
        <f t="shared" ref="J71:J72" si="10">F71</f>
        <v>0.22</v>
      </c>
    </row>
    <row r="72" spans="1:11" x14ac:dyDescent="0.2">
      <c r="A72" t="s">
        <v>208</v>
      </c>
      <c r="B72">
        <v>0</v>
      </c>
      <c r="C72">
        <v>0</v>
      </c>
      <c r="D72">
        <v>11</v>
      </c>
      <c r="F72" s="32">
        <f>B72+C72/20+D72/240</f>
        <v>4.583333333333333E-2</v>
      </c>
      <c r="H72" t="s">
        <v>653</v>
      </c>
      <c r="J72" s="32">
        <f t="shared" si="10"/>
        <v>4.583333333333333E-2</v>
      </c>
    </row>
    <row r="73" spans="1:11" x14ac:dyDescent="0.2">
      <c r="A73" t="s">
        <v>208</v>
      </c>
      <c r="B73">
        <v>0</v>
      </c>
      <c r="C73">
        <v>8</v>
      </c>
      <c r="D73">
        <v>4</v>
      </c>
      <c r="F73" s="32">
        <f>B73+C73/20+D73/240</f>
        <v>0.41666666666666669</v>
      </c>
      <c r="H73" t="s">
        <v>652</v>
      </c>
    </row>
    <row r="74" spans="1:11" x14ac:dyDescent="0.2">
      <c r="A74" t="s">
        <v>208</v>
      </c>
      <c r="F74" s="32">
        <f>SUM(F70:F72)</f>
        <v>0.41583333333333333</v>
      </c>
      <c r="G74" s="33">
        <f>F74-F73</f>
        <v>-8.3333333333335258E-4</v>
      </c>
      <c r="H74" t="s">
        <v>424</v>
      </c>
    </row>
    <row r="76" spans="1:11" x14ac:dyDescent="0.2">
      <c r="A76" t="s">
        <v>212</v>
      </c>
      <c r="B76">
        <v>0</v>
      </c>
      <c r="C76">
        <v>2</v>
      </c>
      <c r="D76">
        <v>0</v>
      </c>
      <c r="F76" s="32">
        <v>0.1</v>
      </c>
      <c r="H76" t="s">
        <v>213</v>
      </c>
    </row>
    <row r="77" spans="1:11" x14ac:dyDescent="0.2">
      <c r="A77" t="s">
        <v>212</v>
      </c>
      <c r="B77">
        <v>0</v>
      </c>
      <c r="C77">
        <v>2</v>
      </c>
      <c r="D77">
        <v>0</v>
      </c>
      <c r="F77" s="32">
        <v>0.1</v>
      </c>
      <c r="H77" t="s">
        <v>214</v>
      </c>
    </row>
    <row r="78" spans="1:11" x14ac:dyDescent="0.2">
      <c r="A78" t="s">
        <v>212</v>
      </c>
      <c r="B78">
        <v>0</v>
      </c>
      <c r="C78">
        <v>2</v>
      </c>
      <c r="D78">
        <v>0</v>
      </c>
      <c r="F78" s="32">
        <v>0.1</v>
      </c>
      <c r="H78" t="s">
        <v>215</v>
      </c>
    </row>
    <row r="79" spans="1:11" x14ac:dyDescent="0.2">
      <c r="A79" t="s">
        <v>212</v>
      </c>
      <c r="B79">
        <v>0</v>
      </c>
      <c r="C79">
        <v>0</v>
      </c>
      <c r="D79">
        <v>7.5</v>
      </c>
      <c r="F79" s="32">
        <v>0.03</v>
      </c>
      <c r="H79" t="s">
        <v>216</v>
      </c>
    </row>
    <row r="80" spans="1:11" x14ac:dyDescent="0.2">
      <c r="A80" t="s">
        <v>212</v>
      </c>
      <c r="B80">
        <v>0</v>
      </c>
      <c r="C80">
        <v>1</v>
      </c>
      <c r="D80">
        <v>3</v>
      </c>
      <c r="F80" s="32">
        <v>0.06</v>
      </c>
      <c r="H80" t="s">
        <v>217</v>
      </c>
    </row>
    <row r="81" spans="1:10" x14ac:dyDescent="0.2">
      <c r="A81" t="s">
        <v>212</v>
      </c>
      <c r="B81">
        <v>0</v>
      </c>
      <c r="C81">
        <v>5</v>
      </c>
      <c r="D81">
        <v>9</v>
      </c>
      <c r="F81" s="32">
        <v>0.28999999999999998</v>
      </c>
      <c r="H81" t="s">
        <v>218</v>
      </c>
    </row>
    <row r="82" spans="1:10" x14ac:dyDescent="0.2">
      <c r="A82" t="s">
        <v>212</v>
      </c>
      <c r="B82">
        <v>0</v>
      </c>
      <c r="C82">
        <v>0</v>
      </c>
      <c r="D82">
        <v>0</v>
      </c>
      <c r="F82" s="32">
        <v>0</v>
      </c>
      <c r="H82" t="s">
        <v>220</v>
      </c>
    </row>
    <row r="83" spans="1:10" x14ac:dyDescent="0.2">
      <c r="A83" t="s">
        <v>212</v>
      </c>
      <c r="B83">
        <v>0</v>
      </c>
      <c r="C83">
        <v>0</v>
      </c>
      <c r="D83">
        <v>0</v>
      </c>
      <c r="F83" s="32">
        <v>0</v>
      </c>
      <c r="H83" t="s">
        <v>221</v>
      </c>
    </row>
    <row r="84" spans="1:10" x14ac:dyDescent="0.2">
      <c r="A84" t="s">
        <v>212</v>
      </c>
      <c r="B84">
        <v>0</v>
      </c>
      <c r="C84">
        <v>16</v>
      </c>
      <c r="D84">
        <v>8</v>
      </c>
      <c r="F84" s="32">
        <v>0.83</v>
      </c>
      <c r="H84" t="s">
        <v>222</v>
      </c>
    </row>
    <row r="85" spans="1:10" x14ac:dyDescent="0.2">
      <c r="A85" t="s">
        <v>212</v>
      </c>
      <c r="B85">
        <v>0</v>
      </c>
      <c r="C85">
        <v>2</v>
      </c>
      <c r="D85">
        <v>4</v>
      </c>
      <c r="F85" s="32">
        <v>0.12</v>
      </c>
      <c r="H85" t="s">
        <v>223</v>
      </c>
    </row>
    <row r="86" spans="1:10" x14ac:dyDescent="0.2">
      <c r="A86" t="s">
        <v>212</v>
      </c>
      <c r="B86">
        <v>0</v>
      </c>
      <c r="C86">
        <v>1</v>
      </c>
      <c r="D86">
        <v>0</v>
      </c>
      <c r="F86" s="32">
        <f>B86+C86/20+D86/240</f>
        <v>0.05</v>
      </c>
      <c r="H86" t="s">
        <v>654</v>
      </c>
    </row>
    <row r="87" spans="1:10" x14ac:dyDescent="0.2">
      <c r="A87" t="s">
        <v>212</v>
      </c>
      <c r="B87">
        <v>1</v>
      </c>
      <c r="C87">
        <v>12</v>
      </c>
      <c r="D87">
        <v>11.5</v>
      </c>
      <c r="F87" s="32">
        <f>B87+C87/20+D87/240</f>
        <v>1.6479166666666667</v>
      </c>
      <c r="H87" t="s">
        <v>655</v>
      </c>
    </row>
    <row r="88" spans="1:10" x14ac:dyDescent="0.2">
      <c r="A88" t="s">
        <v>212</v>
      </c>
      <c r="F88" s="32">
        <f>SUM(F76:F86)</f>
        <v>1.68</v>
      </c>
      <c r="G88" s="33">
        <f>F88-F87</f>
        <v>3.2083333333333242E-2</v>
      </c>
      <c r="H88" t="s">
        <v>424</v>
      </c>
    </row>
    <row r="90" spans="1:10" x14ac:dyDescent="0.2">
      <c r="A90" t="s">
        <v>225</v>
      </c>
      <c r="B90">
        <v>0</v>
      </c>
      <c r="C90">
        <v>2</v>
      </c>
      <c r="D90">
        <v>10</v>
      </c>
      <c r="F90" s="32">
        <v>0.14000000000000001</v>
      </c>
      <c r="H90" t="s">
        <v>226</v>
      </c>
      <c r="J90" s="32">
        <f>F90</f>
        <v>0.14000000000000001</v>
      </c>
    </row>
    <row r="91" spans="1:10" x14ac:dyDescent="0.2">
      <c r="A91" t="s">
        <v>225</v>
      </c>
      <c r="B91">
        <v>0</v>
      </c>
      <c r="C91">
        <v>1</v>
      </c>
      <c r="D91">
        <v>4</v>
      </c>
      <c r="F91" s="32">
        <v>7.0000000000000007E-2</v>
      </c>
      <c r="H91" t="s">
        <v>227</v>
      </c>
      <c r="J91" s="32">
        <f t="shared" ref="J91:J97" si="11">F91</f>
        <v>7.0000000000000007E-2</v>
      </c>
    </row>
    <row r="92" spans="1:10" x14ac:dyDescent="0.2">
      <c r="A92" t="s">
        <v>225</v>
      </c>
      <c r="B92">
        <v>0</v>
      </c>
      <c r="C92">
        <v>2</v>
      </c>
      <c r="D92">
        <v>0</v>
      </c>
      <c r="F92" s="32">
        <v>0.1</v>
      </c>
      <c r="H92" t="s">
        <v>228</v>
      </c>
      <c r="J92" s="32">
        <f t="shared" si="11"/>
        <v>0.1</v>
      </c>
    </row>
    <row r="93" spans="1:10" x14ac:dyDescent="0.2">
      <c r="A93" t="s">
        <v>225</v>
      </c>
      <c r="B93">
        <v>1</v>
      </c>
      <c r="C93">
        <v>18</v>
      </c>
      <c r="D93">
        <v>0</v>
      </c>
      <c r="F93" s="32">
        <v>1.9</v>
      </c>
      <c r="H93" t="s">
        <v>229</v>
      </c>
      <c r="J93" s="32">
        <f t="shared" si="11"/>
        <v>1.9</v>
      </c>
    </row>
    <row r="94" spans="1:10" x14ac:dyDescent="0.2">
      <c r="A94" t="s">
        <v>225</v>
      </c>
      <c r="B94">
        <v>0</v>
      </c>
      <c r="C94">
        <v>1</v>
      </c>
      <c r="D94">
        <v>0</v>
      </c>
      <c r="F94" s="32">
        <v>0.05</v>
      </c>
      <c r="H94" t="s">
        <v>230</v>
      </c>
      <c r="J94" s="32">
        <f t="shared" si="11"/>
        <v>0.05</v>
      </c>
    </row>
    <row r="95" spans="1:10" x14ac:dyDescent="0.2">
      <c r="A95" t="s">
        <v>225</v>
      </c>
      <c r="B95">
        <v>0</v>
      </c>
      <c r="C95">
        <v>0</v>
      </c>
      <c r="D95">
        <v>8</v>
      </c>
      <c r="F95" s="32">
        <v>0.03</v>
      </c>
      <c r="H95" t="s">
        <v>231</v>
      </c>
      <c r="J95" s="32">
        <f t="shared" si="11"/>
        <v>0.03</v>
      </c>
    </row>
    <row r="96" spans="1:10" x14ac:dyDescent="0.2">
      <c r="A96" t="s">
        <v>225</v>
      </c>
      <c r="B96">
        <v>0</v>
      </c>
      <c r="C96">
        <v>4</v>
      </c>
      <c r="D96">
        <v>7</v>
      </c>
      <c r="F96" s="32">
        <v>0.23</v>
      </c>
      <c r="H96" t="s">
        <v>232</v>
      </c>
      <c r="J96" s="32">
        <f t="shared" si="11"/>
        <v>0.23</v>
      </c>
    </row>
    <row r="97" spans="1:11" x14ac:dyDescent="0.2">
      <c r="A97" t="s">
        <v>225</v>
      </c>
      <c r="B97">
        <v>0</v>
      </c>
      <c r="C97">
        <v>1</v>
      </c>
      <c r="D97">
        <v>5</v>
      </c>
      <c r="F97" s="32">
        <f>B97+C97/20+D97/240</f>
        <v>7.0833333333333331E-2</v>
      </c>
      <c r="H97" t="s">
        <v>656</v>
      </c>
      <c r="J97" s="32">
        <f t="shared" si="11"/>
        <v>7.0833333333333331E-2</v>
      </c>
    </row>
    <row r="98" spans="1:11" x14ac:dyDescent="0.2">
      <c r="A98" t="s">
        <v>225</v>
      </c>
      <c r="B98">
        <v>2</v>
      </c>
      <c r="C98">
        <v>11</v>
      </c>
      <c r="D98">
        <v>10</v>
      </c>
      <c r="F98" s="32">
        <v>2.59</v>
      </c>
      <c r="H98" t="s">
        <v>657</v>
      </c>
    </row>
    <row r="99" spans="1:11" x14ac:dyDescent="0.2">
      <c r="A99" t="s">
        <v>225</v>
      </c>
      <c r="F99" s="32">
        <f>SUM(F90:F97)</f>
        <v>2.5908333333333329</v>
      </c>
      <c r="G99" s="33">
        <f>F99-F98</f>
        <v>8.3333333333301951E-4</v>
      </c>
      <c r="H99" t="s">
        <v>424</v>
      </c>
    </row>
    <row r="101" spans="1:11" x14ac:dyDescent="0.2">
      <c r="A101" t="s">
        <v>234</v>
      </c>
      <c r="B101">
        <v>0</v>
      </c>
      <c r="C101">
        <v>0</v>
      </c>
      <c r="D101">
        <v>10</v>
      </c>
      <c r="F101" s="32">
        <v>0.04</v>
      </c>
      <c r="H101" t="s">
        <v>235</v>
      </c>
      <c r="J101" s="32">
        <f>F101</f>
        <v>0.04</v>
      </c>
      <c r="K101" s="32">
        <f>J101</f>
        <v>0.04</v>
      </c>
    </row>
    <row r="102" spans="1:11" x14ac:dyDescent="0.2">
      <c r="A102" t="s">
        <v>234</v>
      </c>
      <c r="B102">
        <v>0</v>
      </c>
      <c r="C102">
        <v>1</v>
      </c>
      <c r="D102">
        <v>8</v>
      </c>
      <c r="F102" s="32">
        <v>0.08</v>
      </c>
      <c r="H102" t="s">
        <v>658</v>
      </c>
      <c r="J102" s="32">
        <f>F102</f>
        <v>0.08</v>
      </c>
      <c r="K102" s="32">
        <f>J102</f>
        <v>0.08</v>
      </c>
    </row>
    <row r="103" spans="1:11" x14ac:dyDescent="0.2">
      <c r="A103" t="s">
        <v>234</v>
      </c>
      <c r="B103">
        <v>0</v>
      </c>
      <c r="C103">
        <v>2</v>
      </c>
      <c r="D103">
        <v>4</v>
      </c>
      <c r="F103" s="32">
        <f>B103+C103/20+D103/240</f>
        <v>0.11666666666666667</v>
      </c>
      <c r="H103" t="s">
        <v>659</v>
      </c>
    </row>
    <row r="104" spans="1:11" x14ac:dyDescent="0.2">
      <c r="A104" t="s">
        <v>234</v>
      </c>
      <c r="F104" s="32">
        <v>0.12</v>
      </c>
      <c r="G104" s="33">
        <f>F104-F103</f>
        <v>3.333333333333327E-3</v>
      </c>
      <c r="H104" t="s">
        <v>424</v>
      </c>
    </row>
    <row r="106" spans="1:11" x14ac:dyDescent="0.2">
      <c r="A106" t="s">
        <v>237</v>
      </c>
      <c r="B106">
        <v>0</v>
      </c>
      <c r="C106">
        <v>1</v>
      </c>
      <c r="D106">
        <v>1.5</v>
      </c>
      <c r="F106" s="32">
        <v>0.06</v>
      </c>
      <c r="H106" t="s">
        <v>238</v>
      </c>
      <c r="J106" s="32">
        <f>F106</f>
        <v>0.06</v>
      </c>
      <c r="K106" s="32">
        <f>J106</f>
        <v>0.06</v>
      </c>
    </row>
    <row r="107" spans="1:11" x14ac:dyDescent="0.2">
      <c r="A107" t="s">
        <v>237</v>
      </c>
      <c r="B107">
        <v>0</v>
      </c>
      <c r="C107">
        <v>2</v>
      </c>
      <c r="D107">
        <v>2</v>
      </c>
      <c r="F107" s="32">
        <v>0.11</v>
      </c>
      <c r="H107" t="s">
        <v>239</v>
      </c>
      <c r="J107" s="32">
        <f t="shared" ref="J107:J108" si="12">F107</f>
        <v>0.11</v>
      </c>
      <c r="K107" s="32">
        <f>J107</f>
        <v>0.11</v>
      </c>
    </row>
    <row r="108" spans="1:11" x14ac:dyDescent="0.2">
      <c r="A108" t="s">
        <v>237</v>
      </c>
      <c r="B108">
        <v>0</v>
      </c>
      <c r="C108">
        <v>2</v>
      </c>
      <c r="D108">
        <v>4</v>
      </c>
      <c r="F108" s="32">
        <v>0.12</v>
      </c>
      <c r="H108" t="s">
        <v>240</v>
      </c>
      <c r="J108" s="32">
        <f t="shared" si="12"/>
        <v>0.12</v>
      </c>
      <c r="K108">
        <f>J108/2</f>
        <v>0.06</v>
      </c>
    </row>
    <row r="109" spans="1:11" x14ac:dyDescent="0.2">
      <c r="A109" t="s">
        <v>237</v>
      </c>
      <c r="B109">
        <v>0</v>
      </c>
      <c r="C109">
        <v>5</v>
      </c>
      <c r="D109">
        <v>7.5</v>
      </c>
      <c r="F109" s="32">
        <v>0.28000000000000003</v>
      </c>
      <c r="H109" t="s">
        <v>241</v>
      </c>
    </row>
    <row r="110" spans="1:11" x14ac:dyDescent="0.2">
      <c r="A110" t="s">
        <v>237</v>
      </c>
      <c r="F110" s="32">
        <v>0.28999999999999998</v>
      </c>
      <c r="G110" s="33">
        <v>9.9999999999999534E-3</v>
      </c>
      <c r="H110" t="s">
        <v>424</v>
      </c>
    </row>
    <row r="112" spans="1:11" x14ac:dyDescent="0.2">
      <c r="A112" t="s">
        <v>242</v>
      </c>
      <c r="B112">
        <v>0</v>
      </c>
      <c r="C112">
        <v>5</v>
      </c>
      <c r="D112">
        <v>7</v>
      </c>
      <c r="F112" s="32">
        <v>0.28000000000000003</v>
      </c>
      <c r="H112" t="s">
        <v>243</v>
      </c>
    </row>
    <row r="113" spans="1:8" x14ac:dyDescent="0.2">
      <c r="A113" t="s">
        <v>242</v>
      </c>
      <c r="B113">
        <v>3</v>
      </c>
      <c r="C113">
        <v>0</v>
      </c>
      <c r="D113">
        <v>10</v>
      </c>
      <c r="F113" s="32">
        <v>3.04</v>
      </c>
      <c r="H113" t="s">
        <v>244</v>
      </c>
    </row>
    <row r="114" spans="1:8" x14ac:dyDescent="0.2">
      <c r="A114" t="s">
        <v>242</v>
      </c>
      <c r="B114">
        <v>0</v>
      </c>
      <c r="C114">
        <v>0</v>
      </c>
      <c r="D114">
        <v>5.5</v>
      </c>
      <c r="F114" s="32">
        <v>0.02</v>
      </c>
      <c r="H114" t="s">
        <v>245</v>
      </c>
    </row>
    <row r="115" spans="1:8" x14ac:dyDescent="0.2">
      <c r="A115" t="s">
        <v>242</v>
      </c>
      <c r="B115">
        <v>0</v>
      </c>
      <c r="C115">
        <v>5</v>
      </c>
      <c r="D115">
        <v>0</v>
      </c>
      <c r="F115">
        <f>B115+C115/20+D115/240</f>
        <v>0.25</v>
      </c>
      <c r="H115" t="s">
        <v>660</v>
      </c>
    </row>
    <row r="116" spans="1:8" x14ac:dyDescent="0.2">
      <c r="A116" t="s">
        <v>242</v>
      </c>
      <c r="B116">
        <v>3</v>
      </c>
      <c r="C116">
        <v>11</v>
      </c>
      <c r="D116">
        <v>10.5</v>
      </c>
      <c r="F116" s="32">
        <v>3.59</v>
      </c>
      <c r="H116" t="s">
        <v>661</v>
      </c>
    </row>
    <row r="117" spans="1:8" x14ac:dyDescent="0.2">
      <c r="A117" t="s">
        <v>242</v>
      </c>
      <c r="F117" s="32">
        <f>SUM(F112:F115)</f>
        <v>3.5900000000000003</v>
      </c>
      <c r="G117" s="33">
        <f>F117-F116</f>
        <v>0</v>
      </c>
      <c r="H117" t="s">
        <v>424</v>
      </c>
    </row>
    <row r="119" spans="1:8" x14ac:dyDescent="0.2">
      <c r="A119" t="s">
        <v>247</v>
      </c>
      <c r="B119">
        <v>17</v>
      </c>
      <c r="C119">
        <v>5</v>
      </c>
      <c r="D119">
        <v>2.5</v>
      </c>
      <c r="F119" s="32">
        <v>17.260000000000002</v>
      </c>
      <c r="H119" t="s">
        <v>248</v>
      </c>
    </row>
    <row r="120" spans="1:8" x14ac:dyDescent="0.2">
      <c r="A120" t="s">
        <v>247</v>
      </c>
      <c r="F120" s="32">
        <v>17.260000000000002</v>
      </c>
      <c r="G120" s="33">
        <f>F120-F119</f>
        <v>0</v>
      </c>
      <c r="H120" t="s">
        <v>424</v>
      </c>
    </row>
    <row r="123" spans="1:8" x14ac:dyDescent="0.2">
      <c r="A123" t="s">
        <v>249</v>
      </c>
      <c r="B123">
        <v>21</v>
      </c>
      <c r="C123">
        <v>0</v>
      </c>
      <c r="D123">
        <v>11</v>
      </c>
      <c r="F123" s="32">
        <v>21.05</v>
      </c>
      <c r="H123" t="s">
        <v>250</v>
      </c>
    </row>
    <row r="124" spans="1:8" x14ac:dyDescent="0.2">
      <c r="A124" t="s">
        <v>249</v>
      </c>
      <c r="F124" s="32">
        <v>21.05</v>
      </c>
      <c r="G124" s="33">
        <v>0</v>
      </c>
      <c r="H124" t="s">
        <v>424</v>
      </c>
    </row>
    <row r="127" spans="1:8" x14ac:dyDescent="0.2">
      <c r="A127" t="s">
        <v>251</v>
      </c>
      <c r="B127">
        <v>6</v>
      </c>
      <c r="C127">
        <v>6</v>
      </c>
      <c r="D127">
        <v>3</v>
      </c>
      <c r="F127" s="32">
        <v>6.31</v>
      </c>
      <c r="H127" t="s">
        <v>252</v>
      </c>
    </row>
    <row r="128" spans="1:8" x14ac:dyDescent="0.2">
      <c r="A128" t="s">
        <v>251</v>
      </c>
      <c r="B128">
        <v>2</v>
      </c>
      <c r="C128">
        <v>11</v>
      </c>
      <c r="D128">
        <v>8</v>
      </c>
      <c r="F128" s="32">
        <v>2.58</v>
      </c>
      <c r="H128" t="s">
        <v>662</v>
      </c>
    </row>
    <row r="129" spans="1:8" x14ac:dyDescent="0.2">
      <c r="B129">
        <v>8</v>
      </c>
      <c r="C129">
        <v>17</v>
      </c>
      <c r="D129">
        <v>11</v>
      </c>
      <c r="F129" s="32">
        <f>B129+C129/20+D129/240</f>
        <v>8.8958333333333321</v>
      </c>
      <c r="H129" t="s">
        <v>663</v>
      </c>
    </row>
    <row r="130" spans="1:8" x14ac:dyDescent="0.2">
      <c r="A130" t="s">
        <v>251</v>
      </c>
      <c r="F130" s="32">
        <v>8.89</v>
      </c>
      <c r="G130" s="33">
        <f>F130-F129</f>
        <v>-5.8333333333315807E-3</v>
      </c>
      <c r="H130" t="s">
        <v>424</v>
      </c>
    </row>
    <row r="133" spans="1:8" x14ac:dyDescent="0.2">
      <c r="A133" t="s">
        <v>254</v>
      </c>
      <c r="B133">
        <v>12</v>
      </c>
      <c r="C133">
        <v>3</v>
      </c>
      <c r="D133">
        <v>0</v>
      </c>
      <c r="F133" s="32">
        <v>12.15</v>
      </c>
      <c r="H133" t="s">
        <v>255</v>
      </c>
    </row>
    <row r="135" spans="1:8" ht="16" x14ac:dyDescent="0.2">
      <c r="A135" s="10" t="s">
        <v>547</v>
      </c>
      <c r="F135" s="32">
        <f>F120</f>
        <v>17.260000000000002</v>
      </c>
    </row>
    <row r="136" spans="1:8" ht="16" x14ac:dyDescent="0.2">
      <c r="A136" s="10" t="s">
        <v>548</v>
      </c>
      <c r="F136" s="32">
        <f>F117+F110+F104+F99+F88+F74+F68+F54+F47+F31+F18</f>
        <v>17.358749999999997</v>
      </c>
      <c r="G136" s="33">
        <f>F136-F135</f>
        <v>9.8749999999995453E-2</v>
      </c>
    </row>
    <row r="137" spans="1:8" ht="16" x14ac:dyDescent="0.2">
      <c r="A137" s="10" t="s">
        <v>549</v>
      </c>
      <c r="F137" s="32">
        <f>SUM(J3:J109)</f>
        <v>6.0704166666666675</v>
      </c>
    </row>
    <row r="138" spans="1:8" ht="16" x14ac:dyDescent="0.2">
      <c r="A138" s="10" t="s">
        <v>550</v>
      </c>
      <c r="F138" s="32">
        <f>SUM(K3:K109)</f>
        <v>1.715416666666667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7"/>
  <sheetViews>
    <sheetView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I9" sqref="I9"/>
    </sheetView>
  </sheetViews>
  <sheetFormatPr baseColWidth="10" defaultColWidth="8.83203125" defaultRowHeight="15" x14ac:dyDescent="0.2"/>
  <cols>
    <col min="1" max="1" width="30" bestFit="1" customWidth="1"/>
    <col min="2" max="6" width="21.1640625" customWidth="1"/>
    <col min="7" max="9" width="21.1640625" style="32" customWidth="1"/>
    <col min="10" max="16" width="16.5" customWidth="1"/>
  </cols>
  <sheetData>
    <row r="1" spans="1:10" s="56" customFormat="1" ht="32" x14ac:dyDescent="0.2">
      <c r="A1" s="31" t="s">
        <v>491</v>
      </c>
      <c r="B1" s="31" t="s">
        <v>732</v>
      </c>
      <c r="C1" s="31" t="s">
        <v>475</v>
      </c>
      <c r="D1" s="31" t="s">
        <v>463</v>
      </c>
      <c r="E1" s="31" t="s">
        <v>733</v>
      </c>
      <c r="F1" s="31" t="s">
        <v>472</v>
      </c>
      <c r="G1" s="55" t="s">
        <v>492</v>
      </c>
      <c r="H1" s="55" t="s">
        <v>493</v>
      </c>
      <c r="I1" s="55" t="s">
        <v>495</v>
      </c>
    </row>
    <row r="2" spans="1:10" x14ac:dyDescent="0.2">
      <c r="A2" t="s">
        <v>105</v>
      </c>
      <c r="B2">
        <v>18.5</v>
      </c>
      <c r="D2">
        <v>0</v>
      </c>
      <c r="F2">
        <v>8.75</v>
      </c>
      <c r="G2" s="32">
        <f>B2-F2</f>
        <v>9.75</v>
      </c>
      <c r="H2" s="32">
        <v>0.3</v>
      </c>
      <c r="I2" s="32">
        <f>H2*B2</f>
        <v>5.55</v>
      </c>
    </row>
    <row r="3" spans="1:10" x14ac:dyDescent="0.2">
      <c r="A3" t="s">
        <v>107</v>
      </c>
      <c r="B3">
        <v>8.625</v>
      </c>
      <c r="D3">
        <v>0</v>
      </c>
      <c r="F3">
        <v>1.25</v>
      </c>
      <c r="G3" s="32">
        <f t="shared" ref="G3:G10" si="0">B3-F3</f>
        <v>7.375</v>
      </c>
      <c r="H3" s="32">
        <v>0.21666666666666659</v>
      </c>
      <c r="I3" s="32">
        <f t="shared" ref="I3:I10" si="1">H3*B3</f>
        <v>1.8687499999999992</v>
      </c>
    </row>
    <row r="4" spans="1:10" x14ac:dyDescent="0.2">
      <c r="A4" t="s">
        <v>271</v>
      </c>
      <c r="B4">
        <v>3.5</v>
      </c>
      <c r="D4">
        <v>0</v>
      </c>
      <c r="G4" s="32">
        <f t="shared" si="0"/>
        <v>3.5</v>
      </c>
      <c r="I4" s="32">
        <f t="shared" si="1"/>
        <v>0</v>
      </c>
    </row>
    <row r="5" spans="1:10" x14ac:dyDescent="0.2">
      <c r="A5" t="s">
        <v>117</v>
      </c>
      <c r="B5">
        <v>49.375</v>
      </c>
      <c r="D5">
        <v>0</v>
      </c>
      <c r="G5" s="32">
        <f t="shared" si="0"/>
        <v>49.375</v>
      </c>
      <c r="H5" s="32">
        <v>0.19</v>
      </c>
      <c r="I5" s="32">
        <f t="shared" si="1"/>
        <v>9.3812499999999996</v>
      </c>
      <c r="J5" t="s">
        <v>775</v>
      </c>
    </row>
    <row r="6" spans="1:10" x14ac:dyDescent="0.2">
      <c r="A6" t="s">
        <v>752</v>
      </c>
      <c r="B6">
        <v>14.5</v>
      </c>
      <c r="D6">
        <v>0</v>
      </c>
      <c r="F6">
        <f>11+7/8</f>
        <v>11.875</v>
      </c>
      <c r="G6" s="32">
        <f t="shared" si="0"/>
        <v>2.625</v>
      </c>
      <c r="H6" s="32">
        <v>8.3715012722646309E-2</v>
      </c>
      <c r="I6" s="32">
        <f t="shared" si="1"/>
        <v>1.2138676844783716</v>
      </c>
    </row>
    <row r="7" spans="1:10" x14ac:dyDescent="0.2">
      <c r="A7" t="s">
        <v>174</v>
      </c>
      <c r="B7">
        <v>24.625</v>
      </c>
      <c r="D7">
        <v>4.25</v>
      </c>
      <c r="G7" s="32">
        <f t="shared" si="0"/>
        <v>24.625</v>
      </c>
      <c r="H7" s="108">
        <v>0.10320396429111819</v>
      </c>
      <c r="I7" s="32">
        <f t="shared" si="1"/>
        <v>2.5413976206687856</v>
      </c>
      <c r="J7" t="s">
        <v>775</v>
      </c>
    </row>
    <row r="8" spans="1:10" x14ac:dyDescent="0.2">
      <c r="A8" t="s">
        <v>161</v>
      </c>
      <c r="B8">
        <v>0</v>
      </c>
      <c r="D8">
        <v>0.5</v>
      </c>
      <c r="G8" s="32">
        <f t="shared" si="0"/>
        <v>0</v>
      </c>
      <c r="H8" s="32">
        <v>0.13</v>
      </c>
      <c r="I8" s="32">
        <f>H8*B8</f>
        <v>0</v>
      </c>
      <c r="J8" t="s">
        <v>777</v>
      </c>
    </row>
    <row r="9" spans="1:10" x14ac:dyDescent="0.2">
      <c r="A9" t="s">
        <v>111</v>
      </c>
      <c r="B9">
        <v>7.5</v>
      </c>
      <c r="D9">
        <v>0</v>
      </c>
      <c r="F9">
        <v>1.25</v>
      </c>
      <c r="G9" s="32">
        <f t="shared" si="0"/>
        <v>6.25</v>
      </c>
      <c r="H9" s="32">
        <v>0.16</v>
      </c>
      <c r="I9" s="32">
        <f t="shared" si="1"/>
        <v>1.2</v>
      </c>
    </row>
    <row r="10" spans="1:10" x14ac:dyDescent="0.2">
      <c r="A10" t="s">
        <v>283</v>
      </c>
      <c r="B10">
        <v>3</v>
      </c>
      <c r="D10">
        <v>0</v>
      </c>
      <c r="G10" s="32">
        <f t="shared" si="0"/>
        <v>3</v>
      </c>
      <c r="H10" s="108">
        <v>0.1</v>
      </c>
      <c r="I10" s="32">
        <f t="shared" si="1"/>
        <v>0.30000000000000004</v>
      </c>
      <c r="J10" t="s">
        <v>776</v>
      </c>
    </row>
    <row r="13" spans="1:10" x14ac:dyDescent="0.2">
      <c r="A13" s="57" t="s">
        <v>734</v>
      </c>
    </row>
    <row r="14" spans="1:10" x14ac:dyDescent="0.2">
      <c r="A14" s="57" t="s">
        <v>735</v>
      </c>
    </row>
    <row r="17" spans="1:16" ht="32" x14ac:dyDescent="0.2">
      <c r="A17" s="56" t="s">
        <v>736</v>
      </c>
      <c r="B17" s="58" t="s">
        <v>737</v>
      </c>
      <c r="C17" s="59" t="s">
        <v>738</v>
      </c>
      <c r="D17" s="59" t="s">
        <v>739</v>
      </c>
      <c r="E17" s="59" t="s">
        <v>740</v>
      </c>
      <c r="F17" s="56" t="s">
        <v>741</v>
      </c>
      <c r="G17" s="62" t="s">
        <v>742</v>
      </c>
      <c r="H17" s="62" t="s">
        <v>743</v>
      </c>
      <c r="I17" s="62" t="s">
        <v>744</v>
      </c>
      <c r="J17" s="59" t="s">
        <v>745</v>
      </c>
      <c r="K17" s="60" t="s">
        <v>746</v>
      </c>
      <c r="L17" s="59" t="s">
        <v>747</v>
      </c>
      <c r="M17" s="59" t="s">
        <v>748</v>
      </c>
      <c r="N17" s="61" t="s">
        <v>749</v>
      </c>
      <c r="O17" s="61" t="s">
        <v>750</v>
      </c>
      <c r="P17" s="58" t="s">
        <v>751</v>
      </c>
    </row>
    <row r="18" spans="1:16" x14ac:dyDescent="0.2">
      <c r="A18" t="s">
        <v>105</v>
      </c>
      <c r="B18">
        <f>B2</f>
        <v>18.5</v>
      </c>
      <c r="C18">
        <v>9.5</v>
      </c>
      <c r="D18">
        <v>1</v>
      </c>
      <c r="E18">
        <f>C18+D18/8</f>
        <v>9.625</v>
      </c>
      <c r="I18" s="63"/>
      <c r="J18">
        <v>1</v>
      </c>
      <c r="K18" s="64">
        <f>I18+J18/8</f>
        <v>0.125</v>
      </c>
      <c r="L18" s="32">
        <f>B18-E18-H18-K18</f>
        <v>8.75</v>
      </c>
      <c r="N18" s="32">
        <f>H2</f>
        <v>0.3</v>
      </c>
      <c r="O18" s="32">
        <f>N18*L18</f>
        <v>2.625</v>
      </c>
    </row>
    <row r="19" spans="1:16" x14ac:dyDescent="0.2">
      <c r="A19" t="s">
        <v>107</v>
      </c>
      <c r="B19">
        <f t="shared" ref="B19:B26" si="2">B3</f>
        <v>8.625</v>
      </c>
      <c r="E19">
        <f t="shared" ref="E19:E26" si="3">C19+D19/8</f>
        <v>0</v>
      </c>
      <c r="I19" s="63">
        <f>3+1</f>
        <v>4</v>
      </c>
      <c r="J19">
        <f>1+1</f>
        <v>2</v>
      </c>
      <c r="K19" s="64">
        <f t="shared" ref="K19:K26" si="4">I19+J19/8</f>
        <v>4.25</v>
      </c>
      <c r="L19" s="32">
        <f t="shared" ref="L19:L26" si="5">B19-E19-H19-K19</f>
        <v>4.375</v>
      </c>
      <c r="N19" s="32">
        <f t="shared" ref="N19:N26" si="6">H3</f>
        <v>0.21666666666666659</v>
      </c>
      <c r="O19" s="32">
        <f t="shared" ref="O19:O26" si="7">N19*L19</f>
        <v>0.9479166666666663</v>
      </c>
    </row>
    <row r="20" spans="1:16" x14ac:dyDescent="0.2">
      <c r="A20" t="s">
        <v>271</v>
      </c>
      <c r="B20">
        <f t="shared" si="2"/>
        <v>3.5</v>
      </c>
      <c r="C20">
        <v>1</v>
      </c>
      <c r="D20">
        <v>6</v>
      </c>
      <c r="E20">
        <f t="shared" si="3"/>
        <v>1.75</v>
      </c>
      <c r="I20" s="63">
        <v>1</v>
      </c>
      <c r="J20">
        <v>6</v>
      </c>
      <c r="K20" s="64">
        <f t="shared" si="4"/>
        <v>1.75</v>
      </c>
      <c r="L20" s="32">
        <f t="shared" si="5"/>
        <v>0</v>
      </c>
      <c r="N20" s="32">
        <f t="shared" si="6"/>
        <v>0</v>
      </c>
      <c r="O20" s="32">
        <f t="shared" si="7"/>
        <v>0</v>
      </c>
    </row>
    <row r="21" spans="1:16" x14ac:dyDescent="0.2">
      <c r="A21" t="s">
        <v>117</v>
      </c>
      <c r="B21">
        <f t="shared" si="2"/>
        <v>49.375</v>
      </c>
      <c r="C21">
        <v>14</v>
      </c>
      <c r="D21">
        <v>2</v>
      </c>
      <c r="E21">
        <f t="shared" si="3"/>
        <v>14.25</v>
      </c>
      <c r="I21" s="63">
        <f>19.5+4+3+6.5+1</f>
        <v>34</v>
      </c>
      <c r="J21">
        <f>2+1+6</f>
        <v>9</v>
      </c>
      <c r="K21" s="64">
        <f t="shared" si="4"/>
        <v>35.125</v>
      </c>
      <c r="L21" s="32">
        <f t="shared" si="5"/>
        <v>0</v>
      </c>
      <c r="N21" s="32">
        <f t="shared" si="6"/>
        <v>0.19</v>
      </c>
      <c r="O21" s="32">
        <f t="shared" si="7"/>
        <v>0</v>
      </c>
    </row>
    <row r="22" spans="1:16" x14ac:dyDescent="0.2">
      <c r="A22" t="s">
        <v>752</v>
      </c>
      <c r="B22">
        <f t="shared" si="2"/>
        <v>14.5</v>
      </c>
      <c r="C22">
        <v>2</v>
      </c>
      <c r="D22">
        <v>5</v>
      </c>
      <c r="E22">
        <f t="shared" si="3"/>
        <v>2.625</v>
      </c>
      <c r="K22" s="64">
        <f t="shared" si="4"/>
        <v>0</v>
      </c>
      <c r="L22" s="32">
        <f t="shared" si="5"/>
        <v>11.875</v>
      </c>
      <c r="N22" s="32">
        <f t="shared" si="6"/>
        <v>8.3715012722646309E-2</v>
      </c>
      <c r="O22" s="32">
        <f t="shared" si="7"/>
        <v>0.99411577608142487</v>
      </c>
    </row>
    <row r="23" spans="1:16" x14ac:dyDescent="0.2">
      <c r="A23" t="s">
        <v>174</v>
      </c>
      <c r="B23">
        <f t="shared" si="2"/>
        <v>24.625</v>
      </c>
      <c r="C23">
        <v>14</v>
      </c>
      <c r="D23">
        <v>2</v>
      </c>
      <c r="E23">
        <f t="shared" si="3"/>
        <v>14.25</v>
      </c>
      <c r="I23" s="63">
        <f>7+2</f>
        <v>9</v>
      </c>
      <c r="J23" s="63">
        <f>4.5+1.5+5</f>
        <v>11</v>
      </c>
      <c r="K23" s="64">
        <f t="shared" si="4"/>
        <v>10.375</v>
      </c>
      <c r="L23" s="32">
        <f t="shared" si="5"/>
        <v>0</v>
      </c>
      <c r="N23" s="32">
        <f t="shared" si="6"/>
        <v>0.10320396429111819</v>
      </c>
      <c r="O23" s="32">
        <f t="shared" si="7"/>
        <v>0</v>
      </c>
    </row>
    <row r="24" spans="1:16" x14ac:dyDescent="0.2">
      <c r="A24" t="s">
        <v>161</v>
      </c>
      <c r="B24">
        <f t="shared" si="2"/>
        <v>0</v>
      </c>
      <c r="E24">
        <f t="shared" si="3"/>
        <v>0</v>
      </c>
      <c r="I24" s="63"/>
      <c r="J24" s="63"/>
      <c r="K24" s="64">
        <f t="shared" si="4"/>
        <v>0</v>
      </c>
      <c r="L24" s="32">
        <f t="shared" si="5"/>
        <v>0</v>
      </c>
      <c r="N24" s="32">
        <f t="shared" si="6"/>
        <v>0.13</v>
      </c>
      <c r="O24" s="32">
        <f t="shared" si="7"/>
        <v>0</v>
      </c>
    </row>
    <row r="25" spans="1:16" x14ac:dyDescent="0.2">
      <c r="A25" t="s">
        <v>111</v>
      </c>
      <c r="B25">
        <f t="shared" si="2"/>
        <v>7.5</v>
      </c>
      <c r="E25">
        <f t="shared" si="3"/>
        <v>0</v>
      </c>
      <c r="I25" s="63">
        <v>4</v>
      </c>
      <c r="J25" s="63">
        <v>2</v>
      </c>
      <c r="K25" s="64">
        <f t="shared" si="4"/>
        <v>4.25</v>
      </c>
      <c r="L25" s="32">
        <f t="shared" si="5"/>
        <v>3.25</v>
      </c>
      <c r="N25" s="32">
        <f t="shared" si="6"/>
        <v>0.16</v>
      </c>
      <c r="O25" s="32">
        <f t="shared" si="7"/>
        <v>0.52</v>
      </c>
    </row>
    <row r="26" spans="1:16" x14ac:dyDescent="0.2">
      <c r="A26" t="s">
        <v>283</v>
      </c>
      <c r="B26">
        <f t="shared" si="2"/>
        <v>3</v>
      </c>
      <c r="C26">
        <v>1</v>
      </c>
      <c r="D26">
        <v>7</v>
      </c>
      <c r="E26">
        <f t="shared" si="3"/>
        <v>1.875</v>
      </c>
      <c r="I26" s="63">
        <v>1</v>
      </c>
      <c r="J26" s="63">
        <v>1</v>
      </c>
      <c r="K26" s="64">
        <f t="shared" si="4"/>
        <v>1.125</v>
      </c>
      <c r="L26" s="32">
        <f t="shared" si="5"/>
        <v>0</v>
      </c>
      <c r="N26" s="32">
        <f t="shared" si="6"/>
        <v>0.1</v>
      </c>
      <c r="O26" s="32">
        <f t="shared" si="7"/>
        <v>0</v>
      </c>
    </row>
    <row r="27" spans="1:16" x14ac:dyDescent="0.2">
      <c r="I27" s="63"/>
      <c r="J27" s="63"/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3"/>
  <sheetViews>
    <sheetView zoomScale="85" workbookViewId="0">
      <pane xSplit="1" ySplit="5" topLeftCell="L76" activePane="bottomRight" state="frozen"/>
      <selection pane="topRight" activeCell="B1" sqref="B1"/>
      <selection pane="bottomLeft" activeCell="A6" sqref="A6"/>
      <selection pane="bottomRight" activeCell="T51" sqref="T51"/>
    </sheetView>
  </sheetViews>
  <sheetFormatPr baseColWidth="10" defaultColWidth="8.83203125" defaultRowHeight="15" x14ac:dyDescent="0.2"/>
  <cols>
    <col min="1" max="1" width="44.33203125" bestFit="1" customWidth="1"/>
    <col min="2" max="2" width="8.83203125" style="40"/>
    <col min="10" max="10" width="16.6640625" customWidth="1"/>
    <col min="14" max="14" width="10.5" customWidth="1"/>
    <col min="15" max="15" width="8.83203125" style="75"/>
    <col min="16" max="16" width="15.33203125" customWidth="1"/>
    <col min="17" max="17" width="15.6640625" customWidth="1"/>
    <col min="18" max="19" width="13" customWidth="1"/>
    <col min="20" max="20" width="18.33203125" customWidth="1"/>
  </cols>
  <sheetData>
    <row r="1" spans="1:21" ht="16" x14ac:dyDescent="0.2">
      <c r="A1" s="10" t="s">
        <v>712</v>
      </c>
      <c r="B1" s="53"/>
      <c r="C1" s="31"/>
      <c r="D1" s="31"/>
      <c r="E1" s="31"/>
      <c r="F1" s="31"/>
      <c r="G1" s="31"/>
      <c r="H1" s="31"/>
      <c r="I1" s="31"/>
    </row>
    <row r="2" spans="1:21" ht="16" x14ac:dyDescent="0.2">
      <c r="A2" s="10"/>
    </row>
    <row r="3" spans="1:21" ht="16" x14ac:dyDescent="0.2">
      <c r="A3" s="10"/>
      <c r="P3" s="32"/>
    </row>
    <row r="4" spans="1:21" ht="17" customHeight="1" x14ac:dyDescent="0.2">
      <c r="A4" s="36"/>
      <c r="B4" s="54"/>
      <c r="C4" s="106" t="s">
        <v>433</v>
      </c>
      <c r="D4" s="106"/>
      <c r="E4" s="106"/>
      <c r="F4" s="106"/>
      <c r="G4" s="107" t="s">
        <v>713</v>
      </c>
      <c r="H4" s="106"/>
      <c r="I4" s="106"/>
      <c r="J4" s="106"/>
      <c r="K4" s="36"/>
      <c r="L4" s="36"/>
      <c r="M4" s="36"/>
      <c r="N4" s="36"/>
      <c r="O4" s="76"/>
      <c r="P4" s="47"/>
      <c r="Q4" s="36"/>
      <c r="R4" s="36"/>
      <c r="S4" s="36"/>
      <c r="T4" s="36"/>
    </row>
    <row r="5" spans="1:21" s="42" customFormat="1" ht="51" x14ac:dyDescent="0.2">
      <c r="A5" s="50" t="s">
        <v>569</v>
      </c>
      <c r="B5" s="48" t="s">
        <v>714</v>
      </c>
      <c r="C5" s="50" t="s">
        <v>433</v>
      </c>
      <c r="D5" s="51" t="s">
        <v>715</v>
      </c>
      <c r="E5" s="51" t="s">
        <v>716</v>
      </c>
      <c r="F5" s="51" t="s">
        <v>717</v>
      </c>
      <c r="G5" s="51" t="s">
        <v>718</v>
      </c>
      <c r="H5" s="50" t="s">
        <v>434</v>
      </c>
      <c r="I5" s="50" t="s">
        <v>719</v>
      </c>
      <c r="J5" s="50" t="s">
        <v>720</v>
      </c>
      <c r="K5" s="50" t="s">
        <v>721</v>
      </c>
      <c r="L5" s="50" t="s">
        <v>722</v>
      </c>
      <c r="M5" s="50" t="s">
        <v>723</v>
      </c>
      <c r="N5" s="50" t="s">
        <v>724</v>
      </c>
      <c r="O5" s="77" t="s">
        <v>725</v>
      </c>
      <c r="P5" s="52" t="s">
        <v>726</v>
      </c>
      <c r="Q5" s="50" t="s">
        <v>727</v>
      </c>
      <c r="R5" s="50" t="s">
        <v>728</v>
      </c>
      <c r="S5" s="50" t="s">
        <v>729</v>
      </c>
      <c r="T5" s="49" t="s">
        <v>730</v>
      </c>
      <c r="U5" s="50" t="s">
        <v>731</v>
      </c>
    </row>
    <row r="6" spans="1:21" s="42" customFormat="1" ht="16" x14ac:dyDescent="0.2">
      <c r="A6" s="67" t="s">
        <v>435</v>
      </c>
      <c r="B6" s="54">
        <v>5</v>
      </c>
      <c r="C6" s="67"/>
      <c r="H6" s="54">
        <v>2</v>
      </c>
      <c r="I6" s="54">
        <v>1</v>
      </c>
      <c r="J6" s="54"/>
      <c r="K6" s="54">
        <v>2</v>
      </c>
      <c r="L6" s="67">
        <f>B6+C6+D6+E6+F6-G6-H6-I6-J6</f>
        <v>2</v>
      </c>
      <c r="M6" s="67">
        <f>K6-B6</f>
        <v>-3</v>
      </c>
      <c r="N6" s="67"/>
      <c r="O6" s="78">
        <f>R6/H6</f>
        <v>0.375</v>
      </c>
      <c r="P6" s="68"/>
      <c r="Q6" s="67"/>
      <c r="R6" s="72">
        <f>Receipts!F45</f>
        <v>0.75</v>
      </c>
      <c r="S6" s="67"/>
      <c r="T6" s="69"/>
      <c r="U6" s="67"/>
    </row>
    <row r="7" spans="1:21" ht="16" x14ac:dyDescent="0.2">
      <c r="A7" s="36" t="s">
        <v>436</v>
      </c>
      <c r="B7" s="40">
        <v>3</v>
      </c>
      <c r="H7">
        <v>1</v>
      </c>
      <c r="K7">
        <v>2</v>
      </c>
      <c r="L7" s="67">
        <f t="shared" ref="L7:L29" si="0">B7+C7+D7+E7+F7-G7-H7-I7-J7</f>
        <v>2</v>
      </c>
      <c r="M7" s="67">
        <f t="shared" ref="M7:M59" si="1">K7-B7</f>
        <v>-1</v>
      </c>
      <c r="O7" s="78">
        <f t="shared" ref="O7:O27" si="2">R7/H7</f>
        <v>0.4</v>
      </c>
      <c r="R7" s="32">
        <f>Receipts!F46</f>
        <v>0.4</v>
      </c>
    </row>
    <row r="8" spans="1:21" x14ac:dyDescent="0.2">
      <c r="A8" t="s">
        <v>570</v>
      </c>
      <c r="B8" s="40">
        <v>1</v>
      </c>
      <c r="I8">
        <v>1</v>
      </c>
      <c r="K8">
        <v>0</v>
      </c>
      <c r="L8" s="67">
        <f t="shared" si="0"/>
        <v>0</v>
      </c>
      <c r="M8" s="67">
        <f t="shared" si="1"/>
        <v>-1</v>
      </c>
      <c r="O8" s="78"/>
    </row>
    <row r="9" spans="1:21" x14ac:dyDescent="0.2">
      <c r="A9" t="s">
        <v>664</v>
      </c>
      <c r="L9" s="67">
        <f t="shared" si="0"/>
        <v>0</v>
      </c>
      <c r="M9" s="67">
        <f t="shared" si="1"/>
        <v>0</v>
      </c>
      <c r="O9" s="78"/>
    </row>
    <row r="10" spans="1:21" x14ac:dyDescent="0.2">
      <c r="A10" t="s">
        <v>571</v>
      </c>
      <c r="L10" s="67">
        <f t="shared" si="0"/>
        <v>0</v>
      </c>
      <c r="M10" s="67">
        <f t="shared" si="1"/>
        <v>0</v>
      </c>
      <c r="O10" s="78"/>
    </row>
    <row r="11" spans="1:21" x14ac:dyDescent="0.2">
      <c r="A11" t="s">
        <v>572</v>
      </c>
      <c r="B11" s="40">
        <v>1</v>
      </c>
      <c r="K11">
        <v>1</v>
      </c>
      <c r="L11" s="67">
        <f t="shared" si="0"/>
        <v>1</v>
      </c>
      <c r="M11" s="67">
        <f t="shared" si="1"/>
        <v>0</v>
      </c>
      <c r="O11" s="78"/>
    </row>
    <row r="12" spans="1:21" x14ac:dyDescent="0.2">
      <c r="A12" t="s">
        <v>437</v>
      </c>
      <c r="B12" s="40">
        <v>1</v>
      </c>
      <c r="C12">
        <v>2</v>
      </c>
      <c r="K12">
        <f>1+2</f>
        <v>3</v>
      </c>
      <c r="L12" s="67">
        <f t="shared" si="0"/>
        <v>3</v>
      </c>
      <c r="M12" s="67">
        <f t="shared" si="1"/>
        <v>2</v>
      </c>
      <c r="O12" s="78"/>
    </row>
    <row r="13" spans="1:21" x14ac:dyDescent="0.2">
      <c r="A13" t="s">
        <v>438</v>
      </c>
      <c r="B13" s="40">
        <v>22</v>
      </c>
      <c r="C13">
        <v>1</v>
      </c>
      <c r="I13">
        <v>1</v>
      </c>
      <c r="K13">
        <v>22</v>
      </c>
      <c r="L13" s="67">
        <f t="shared" si="0"/>
        <v>22</v>
      </c>
      <c r="M13" s="67">
        <f t="shared" si="1"/>
        <v>0</v>
      </c>
      <c r="O13" s="78"/>
    </row>
    <row r="14" spans="1:21" x14ac:dyDescent="0.2">
      <c r="A14" t="s">
        <v>439</v>
      </c>
      <c r="B14" s="40">
        <v>1</v>
      </c>
      <c r="K14">
        <v>1</v>
      </c>
      <c r="L14" s="67">
        <f t="shared" si="0"/>
        <v>1</v>
      </c>
      <c r="M14" s="67">
        <f t="shared" si="1"/>
        <v>0</v>
      </c>
      <c r="O14" s="78"/>
    </row>
    <row r="15" spans="1:21" x14ac:dyDescent="0.2">
      <c r="A15" t="s">
        <v>440</v>
      </c>
      <c r="B15" s="40">
        <v>10</v>
      </c>
      <c r="C15">
        <f>1+7</f>
        <v>8</v>
      </c>
      <c r="K15">
        <v>18</v>
      </c>
      <c r="L15" s="67">
        <f t="shared" si="0"/>
        <v>18</v>
      </c>
      <c r="M15" s="67">
        <f t="shared" si="1"/>
        <v>8</v>
      </c>
      <c r="O15" s="78"/>
    </row>
    <row r="16" spans="1:21" x14ac:dyDescent="0.2">
      <c r="A16" t="s">
        <v>441</v>
      </c>
      <c r="B16" s="40">
        <v>1</v>
      </c>
      <c r="J16">
        <v>1</v>
      </c>
      <c r="K16">
        <v>0</v>
      </c>
      <c r="L16" s="67">
        <f t="shared" si="0"/>
        <v>0</v>
      </c>
      <c r="M16" s="67">
        <f t="shared" si="1"/>
        <v>-1</v>
      </c>
      <c r="O16" s="78"/>
    </row>
    <row r="17" spans="1:18" x14ac:dyDescent="0.2">
      <c r="A17" t="s">
        <v>442</v>
      </c>
      <c r="B17" s="40">
        <v>5</v>
      </c>
      <c r="K17">
        <v>5</v>
      </c>
      <c r="L17" s="67">
        <f t="shared" si="0"/>
        <v>5</v>
      </c>
      <c r="M17" s="67">
        <f t="shared" si="1"/>
        <v>0</v>
      </c>
      <c r="O17" s="78"/>
    </row>
    <row r="18" spans="1:18" x14ac:dyDescent="0.2">
      <c r="A18" t="s">
        <v>443</v>
      </c>
      <c r="B18" s="40">
        <v>5</v>
      </c>
      <c r="I18">
        <v>2</v>
      </c>
      <c r="K18">
        <v>3</v>
      </c>
      <c r="L18" s="67">
        <f t="shared" si="0"/>
        <v>3</v>
      </c>
      <c r="M18" s="67">
        <f t="shared" si="1"/>
        <v>-2</v>
      </c>
      <c r="O18" s="78"/>
    </row>
    <row r="19" spans="1:18" x14ac:dyDescent="0.2">
      <c r="A19" t="s">
        <v>444</v>
      </c>
      <c r="C19">
        <v>15</v>
      </c>
      <c r="H19">
        <v>6</v>
      </c>
      <c r="I19">
        <v>1</v>
      </c>
      <c r="K19">
        <v>7</v>
      </c>
      <c r="L19" s="67">
        <f t="shared" si="0"/>
        <v>8</v>
      </c>
      <c r="M19" s="67">
        <f t="shared" si="1"/>
        <v>7</v>
      </c>
      <c r="O19" s="78">
        <f t="shared" si="2"/>
        <v>4.9999999999999996E-2</v>
      </c>
      <c r="R19" s="32">
        <f>Receipts!F47</f>
        <v>0.3</v>
      </c>
    </row>
    <row r="20" spans="1:18" x14ac:dyDescent="0.2">
      <c r="A20" t="s">
        <v>445</v>
      </c>
      <c r="B20" s="40">
        <v>277</v>
      </c>
      <c r="C20">
        <v>1</v>
      </c>
      <c r="H20">
        <v>17</v>
      </c>
      <c r="I20">
        <f>4+17</f>
        <v>21</v>
      </c>
      <c r="K20">
        <v>240</v>
      </c>
      <c r="L20" s="67">
        <f t="shared" si="0"/>
        <v>240</v>
      </c>
      <c r="M20" s="67">
        <f t="shared" si="1"/>
        <v>-37</v>
      </c>
      <c r="O20" s="78">
        <f t="shared" si="2"/>
        <v>4.9999999999999996E-2</v>
      </c>
      <c r="R20" s="32">
        <f>Receipts!F48</f>
        <v>0.85</v>
      </c>
    </row>
    <row r="21" spans="1:18" x14ac:dyDescent="0.2">
      <c r="A21" t="s">
        <v>573</v>
      </c>
      <c r="L21" s="67">
        <f t="shared" si="0"/>
        <v>0</v>
      </c>
      <c r="M21" s="67">
        <f t="shared" si="1"/>
        <v>0</v>
      </c>
      <c r="O21" s="78"/>
    </row>
    <row r="22" spans="1:18" x14ac:dyDescent="0.2">
      <c r="A22" t="s">
        <v>574</v>
      </c>
      <c r="L22" s="67">
        <f t="shared" si="0"/>
        <v>0</v>
      </c>
      <c r="M22" s="67">
        <f t="shared" si="1"/>
        <v>0</v>
      </c>
      <c r="O22" s="78"/>
    </row>
    <row r="23" spans="1:18" x14ac:dyDescent="0.2">
      <c r="A23" t="s">
        <v>575</v>
      </c>
      <c r="L23" s="67">
        <f t="shared" si="0"/>
        <v>0</v>
      </c>
      <c r="M23" s="67">
        <f t="shared" si="1"/>
        <v>0</v>
      </c>
      <c r="O23" s="78"/>
    </row>
    <row r="24" spans="1:18" x14ac:dyDescent="0.2">
      <c r="A24" t="s">
        <v>576</v>
      </c>
      <c r="L24" s="67">
        <f t="shared" si="0"/>
        <v>0</v>
      </c>
      <c r="M24" s="67">
        <f t="shared" si="1"/>
        <v>0</v>
      </c>
      <c r="O24" s="78"/>
    </row>
    <row r="25" spans="1:18" x14ac:dyDescent="0.2">
      <c r="A25" t="s">
        <v>577</v>
      </c>
      <c r="L25" s="67">
        <f t="shared" si="0"/>
        <v>0</v>
      </c>
      <c r="M25" s="67">
        <f t="shared" si="1"/>
        <v>0</v>
      </c>
      <c r="O25" s="78"/>
    </row>
    <row r="26" spans="1:18" x14ac:dyDescent="0.2">
      <c r="A26" t="s">
        <v>446</v>
      </c>
      <c r="B26" s="40">
        <v>1</v>
      </c>
      <c r="K26">
        <v>1</v>
      </c>
      <c r="L26" s="67">
        <f t="shared" si="0"/>
        <v>1</v>
      </c>
      <c r="M26" s="67">
        <f t="shared" si="1"/>
        <v>0</v>
      </c>
      <c r="O26" s="78"/>
    </row>
    <row r="27" spans="1:18" x14ac:dyDescent="0.2">
      <c r="A27" t="s">
        <v>447</v>
      </c>
      <c r="B27" s="40">
        <v>6</v>
      </c>
      <c r="H27">
        <v>4</v>
      </c>
      <c r="K27">
        <v>2</v>
      </c>
      <c r="L27" s="67">
        <f t="shared" si="0"/>
        <v>2</v>
      </c>
      <c r="M27" s="67">
        <f t="shared" si="1"/>
        <v>-4</v>
      </c>
      <c r="O27" s="78">
        <f t="shared" si="2"/>
        <v>0.13750000000000001</v>
      </c>
      <c r="R27" s="32">
        <f>Receipts!F49</f>
        <v>0.55000000000000004</v>
      </c>
    </row>
    <row r="28" spans="1:18" x14ac:dyDescent="0.2">
      <c r="A28" t="s">
        <v>448</v>
      </c>
      <c r="B28" s="40">
        <v>1</v>
      </c>
      <c r="I28">
        <v>1</v>
      </c>
      <c r="K28">
        <v>0</v>
      </c>
      <c r="L28" s="67">
        <f t="shared" si="0"/>
        <v>0</v>
      </c>
      <c r="M28" s="67">
        <f t="shared" si="1"/>
        <v>-1</v>
      </c>
    </row>
    <row r="29" spans="1:18" x14ac:dyDescent="0.2">
      <c r="A29" t="s">
        <v>449</v>
      </c>
      <c r="C29">
        <v>8</v>
      </c>
      <c r="K29">
        <v>8</v>
      </c>
      <c r="L29" s="67">
        <f t="shared" si="0"/>
        <v>8</v>
      </c>
      <c r="M29" s="67">
        <f t="shared" si="1"/>
        <v>8</v>
      </c>
    </row>
    <row r="30" spans="1:18" x14ac:dyDescent="0.2">
      <c r="A30" t="s">
        <v>578</v>
      </c>
      <c r="M30" s="67">
        <f t="shared" si="1"/>
        <v>0</v>
      </c>
    </row>
    <row r="31" spans="1:18" x14ac:dyDescent="0.2">
      <c r="A31" t="s">
        <v>579</v>
      </c>
      <c r="M31" s="67">
        <f t="shared" si="1"/>
        <v>0</v>
      </c>
    </row>
    <row r="32" spans="1:18" s="66" customFormat="1" ht="16" x14ac:dyDescent="0.2">
      <c r="A32" s="38" t="s">
        <v>665</v>
      </c>
      <c r="B32" s="65"/>
      <c r="M32" s="74"/>
      <c r="O32" s="79"/>
      <c r="R32" s="73">
        <f>SUM(R6:R31)</f>
        <v>2.8499999999999996</v>
      </c>
    </row>
    <row r="33" spans="1:21" x14ac:dyDescent="0.2">
      <c r="M33" s="67"/>
    </row>
    <row r="34" spans="1:21" x14ac:dyDescent="0.2">
      <c r="M34" s="67"/>
    </row>
    <row r="35" spans="1:21" ht="17" x14ac:dyDescent="0.2">
      <c r="A35" s="37" t="s">
        <v>582</v>
      </c>
      <c r="M35" s="67">
        <f t="shared" si="1"/>
        <v>0</v>
      </c>
    </row>
    <row r="36" spans="1:21" x14ac:dyDescent="0.2">
      <c r="A36" t="s">
        <v>451</v>
      </c>
      <c r="B36" s="40">
        <v>257</v>
      </c>
      <c r="J36">
        <f>26+231</f>
        <v>257</v>
      </c>
      <c r="M36" s="67">
        <f t="shared" si="1"/>
        <v>-257</v>
      </c>
      <c r="O36" s="32">
        <v>0.02</v>
      </c>
      <c r="T36">
        <f>O36*J36</f>
        <v>5.14</v>
      </c>
    </row>
    <row r="37" spans="1:21" x14ac:dyDescent="0.2">
      <c r="A37" t="s">
        <v>583</v>
      </c>
      <c r="M37" s="67">
        <f t="shared" si="1"/>
        <v>0</v>
      </c>
      <c r="O37" s="32">
        <v>0.01</v>
      </c>
    </row>
    <row r="38" spans="1:21" x14ac:dyDescent="0.2">
      <c r="A38" t="s">
        <v>584</v>
      </c>
      <c r="C38">
        <v>3</v>
      </c>
      <c r="M38" s="67">
        <f t="shared" si="1"/>
        <v>0</v>
      </c>
      <c r="O38" s="32"/>
      <c r="R38" s="32">
        <f>Receipts!F70</f>
        <v>0.01</v>
      </c>
      <c r="T38" s="32">
        <f>R38</f>
        <v>0.01</v>
      </c>
      <c r="U38" t="s">
        <v>762</v>
      </c>
    </row>
    <row r="39" spans="1:21" x14ac:dyDescent="0.2">
      <c r="A39" t="s">
        <v>585</v>
      </c>
      <c r="M39" s="67">
        <f t="shared" si="1"/>
        <v>0</v>
      </c>
    </row>
    <row r="40" spans="1:21" s="66" customFormat="1" ht="16" x14ac:dyDescent="0.2">
      <c r="A40" s="38" t="s">
        <v>666</v>
      </c>
      <c r="B40" s="65"/>
      <c r="M40" s="74"/>
      <c r="O40" s="79"/>
      <c r="T40" s="66">
        <f>SUM(T36:T39)</f>
        <v>5.1499999999999995</v>
      </c>
    </row>
    <row r="41" spans="1:21" x14ac:dyDescent="0.2">
      <c r="M41" s="67"/>
    </row>
    <row r="42" spans="1:21" x14ac:dyDescent="0.2">
      <c r="M42" s="67"/>
    </row>
    <row r="43" spans="1:21" ht="17" x14ac:dyDescent="0.2">
      <c r="A43" s="37" t="s">
        <v>586</v>
      </c>
      <c r="M43" s="67">
        <f t="shared" si="1"/>
        <v>0</v>
      </c>
    </row>
    <row r="44" spans="1:21" x14ac:dyDescent="0.2">
      <c r="A44" t="s">
        <v>587</v>
      </c>
      <c r="C44">
        <v>1</v>
      </c>
      <c r="H44">
        <v>1</v>
      </c>
      <c r="K44">
        <v>0</v>
      </c>
      <c r="L44">
        <f>B44+C44+D44+E44+F44-G44-H44-I44-J44</f>
        <v>0</v>
      </c>
      <c r="M44" s="67">
        <f t="shared" si="1"/>
        <v>0</v>
      </c>
      <c r="O44" s="75">
        <f t="shared" ref="O44:O53" si="3">R44/H44</f>
        <v>0.2</v>
      </c>
      <c r="R44" s="32">
        <f>Receipts!F62</f>
        <v>0.2</v>
      </c>
      <c r="T44">
        <f>O44*C44</f>
        <v>0.2</v>
      </c>
      <c r="U44" t="s">
        <v>760</v>
      </c>
    </row>
    <row r="45" spans="1:21" x14ac:dyDescent="0.2">
      <c r="A45" t="s">
        <v>753</v>
      </c>
      <c r="C45">
        <v>1</v>
      </c>
      <c r="H45">
        <v>1</v>
      </c>
      <c r="K45">
        <v>0</v>
      </c>
      <c r="L45">
        <f t="shared" ref="L45:L59" si="4">B45+C45+D45+E45+F45-G45-H45-I45-J45</f>
        <v>0</v>
      </c>
      <c r="M45" s="67">
        <f t="shared" si="1"/>
        <v>0</v>
      </c>
      <c r="O45" s="75">
        <f t="shared" si="3"/>
        <v>0.04</v>
      </c>
      <c r="R45" s="32">
        <f>Receipts!F60</f>
        <v>0.04</v>
      </c>
      <c r="T45">
        <f t="shared" ref="T45:T59" si="5">O45*C45</f>
        <v>0.04</v>
      </c>
    </row>
    <row r="46" spans="1:21" x14ac:dyDescent="0.2">
      <c r="A46" t="s">
        <v>754</v>
      </c>
      <c r="C46">
        <v>1</v>
      </c>
      <c r="H46">
        <v>1</v>
      </c>
      <c r="K46">
        <v>0</v>
      </c>
      <c r="L46">
        <f t="shared" si="4"/>
        <v>0</v>
      </c>
      <c r="M46" s="67">
        <f t="shared" si="1"/>
        <v>0</v>
      </c>
      <c r="O46" s="75">
        <f t="shared" si="3"/>
        <v>0.03</v>
      </c>
      <c r="R46" s="32">
        <f>Receipts!F61</f>
        <v>0.03</v>
      </c>
      <c r="T46">
        <f t="shared" si="5"/>
        <v>0.03</v>
      </c>
    </row>
    <row r="47" spans="1:21" x14ac:dyDescent="0.2">
      <c r="A47" t="s">
        <v>755</v>
      </c>
      <c r="C47">
        <v>2</v>
      </c>
      <c r="H47">
        <v>2</v>
      </c>
      <c r="K47">
        <v>0</v>
      </c>
      <c r="L47">
        <f t="shared" si="4"/>
        <v>0</v>
      </c>
      <c r="M47" s="67">
        <f t="shared" si="1"/>
        <v>0</v>
      </c>
      <c r="O47" s="75">
        <f t="shared" si="3"/>
        <v>1.4999999999999999E-2</v>
      </c>
      <c r="R47" s="32">
        <f>Receipts!F63</f>
        <v>0.03</v>
      </c>
      <c r="T47">
        <f t="shared" si="5"/>
        <v>0.03</v>
      </c>
    </row>
    <row r="48" spans="1:21" x14ac:dyDescent="0.2">
      <c r="A48" t="s">
        <v>667</v>
      </c>
      <c r="L48">
        <f t="shared" si="4"/>
        <v>0</v>
      </c>
      <c r="M48" s="67">
        <f t="shared" si="1"/>
        <v>0</v>
      </c>
      <c r="T48">
        <f t="shared" si="5"/>
        <v>0</v>
      </c>
    </row>
    <row r="49" spans="1:21" x14ac:dyDescent="0.2">
      <c r="A49" t="s">
        <v>668</v>
      </c>
      <c r="L49">
        <f t="shared" si="4"/>
        <v>0</v>
      </c>
      <c r="M49" s="67">
        <f t="shared" si="1"/>
        <v>0</v>
      </c>
      <c r="T49">
        <f t="shared" si="5"/>
        <v>0</v>
      </c>
    </row>
    <row r="50" spans="1:21" x14ac:dyDescent="0.2">
      <c r="A50" t="s">
        <v>669</v>
      </c>
      <c r="H50">
        <v>1</v>
      </c>
      <c r="L50">
        <f t="shared" si="4"/>
        <v>-1</v>
      </c>
      <c r="M50" s="67">
        <f t="shared" si="1"/>
        <v>0</v>
      </c>
      <c r="O50" s="75">
        <f t="shared" si="3"/>
        <v>0.01</v>
      </c>
      <c r="R50" s="32">
        <f>Receipts!F64</f>
        <v>0.01</v>
      </c>
      <c r="T50">
        <f>O50*H50</f>
        <v>0.01</v>
      </c>
      <c r="U50" t="s">
        <v>761</v>
      </c>
    </row>
    <row r="51" spans="1:21" x14ac:dyDescent="0.2">
      <c r="A51" s="39" t="s">
        <v>670</v>
      </c>
      <c r="L51">
        <f t="shared" si="4"/>
        <v>0</v>
      </c>
      <c r="M51" s="67">
        <f t="shared" si="1"/>
        <v>0</v>
      </c>
      <c r="T51">
        <f t="shared" si="5"/>
        <v>0</v>
      </c>
    </row>
    <row r="52" spans="1:21" x14ac:dyDescent="0.2">
      <c r="A52" t="s">
        <v>756</v>
      </c>
      <c r="L52">
        <f t="shared" si="4"/>
        <v>0</v>
      </c>
      <c r="M52" s="67">
        <f t="shared" si="1"/>
        <v>0</v>
      </c>
      <c r="T52">
        <f t="shared" si="5"/>
        <v>0</v>
      </c>
    </row>
    <row r="53" spans="1:21" x14ac:dyDescent="0.2">
      <c r="A53" s="40" t="s">
        <v>671</v>
      </c>
      <c r="C53">
        <v>4</v>
      </c>
      <c r="H53">
        <v>4</v>
      </c>
      <c r="K53">
        <v>0</v>
      </c>
      <c r="L53">
        <f t="shared" si="4"/>
        <v>0</v>
      </c>
      <c r="M53" s="67">
        <f t="shared" si="1"/>
        <v>0</v>
      </c>
      <c r="O53" s="75">
        <f t="shared" si="3"/>
        <v>0.01</v>
      </c>
      <c r="R53" s="32">
        <f>Receipts!F65</f>
        <v>0.04</v>
      </c>
      <c r="T53">
        <f t="shared" si="5"/>
        <v>0.04</v>
      </c>
    </row>
    <row r="54" spans="1:21" x14ac:dyDescent="0.2">
      <c r="A54" s="40" t="s">
        <v>672</v>
      </c>
      <c r="L54">
        <f t="shared" si="4"/>
        <v>0</v>
      </c>
      <c r="M54" s="67">
        <f t="shared" si="1"/>
        <v>0</v>
      </c>
      <c r="T54">
        <f t="shared" si="5"/>
        <v>0</v>
      </c>
    </row>
    <row r="55" spans="1:21" x14ac:dyDescent="0.2">
      <c r="A55" s="40" t="s">
        <v>673</v>
      </c>
      <c r="L55">
        <f t="shared" si="4"/>
        <v>0</v>
      </c>
      <c r="M55" s="67">
        <f t="shared" si="1"/>
        <v>0</v>
      </c>
      <c r="T55">
        <f t="shared" si="5"/>
        <v>0</v>
      </c>
    </row>
    <row r="56" spans="1:21" x14ac:dyDescent="0.2">
      <c r="A56" s="40" t="s">
        <v>674</v>
      </c>
      <c r="L56">
        <f t="shared" si="4"/>
        <v>0</v>
      </c>
      <c r="M56" s="67">
        <f t="shared" si="1"/>
        <v>0</v>
      </c>
      <c r="T56">
        <f t="shared" si="5"/>
        <v>0</v>
      </c>
    </row>
    <row r="57" spans="1:21" x14ac:dyDescent="0.2">
      <c r="A57" s="70" t="s">
        <v>756</v>
      </c>
      <c r="L57">
        <f t="shared" si="4"/>
        <v>0</v>
      </c>
      <c r="M57" s="67">
        <f t="shared" si="1"/>
        <v>0</v>
      </c>
      <c r="T57">
        <f t="shared" si="5"/>
        <v>0</v>
      </c>
    </row>
    <row r="58" spans="1:21" x14ac:dyDescent="0.2">
      <c r="A58" s="42" t="s">
        <v>452</v>
      </c>
      <c r="L58">
        <f t="shared" si="4"/>
        <v>0</v>
      </c>
      <c r="M58" s="67">
        <f t="shared" si="1"/>
        <v>0</v>
      </c>
      <c r="T58">
        <f t="shared" si="5"/>
        <v>0</v>
      </c>
    </row>
    <row r="59" spans="1:21" x14ac:dyDescent="0.2">
      <c r="A59" s="40" t="s">
        <v>671</v>
      </c>
      <c r="C59">
        <v>17</v>
      </c>
      <c r="H59">
        <v>17</v>
      </c>
      <c r="K59">
        <v>0</v>
      </c>
      <c r="L59">
        <f t="shared" si="4"/>
        <v>0</v>
      </c>
      <c r="M59" s="67">
        <f t="shared" si="1"/>
        <v>0</v>
      </c>
      <c r="O59" s="75">
        <f>R59/H59</f>
        <v>1.764705882352941E-3</v>
      </c>
      <c r="R59" s="32">
        <f>Receipts!F66</f>
        <v>0.03</v>
      </c>
      <c r="T59">
        <f t="shared" si="5"/>
        <v>0.03</v>
      </c>
    </row>
    <row r="60" spans="1:21" x14ac:dyDescent="0.2">
      <c r="A60" s="40" t="s">
        <v>672</v>
      </c>
      <c r="M60" s="67"/>
    </row>
    <row r="61" spans="1:21" x14ac:dyDescent="0.2">
      <c r="A61" s="40" t="s">
        <v>673</v>
      </c>
      <c r="M61" s="67"/>
    </row>
    <row r="62" spans="1:21" x14ac:dyDescent="0.2">
      <c r="A62" s="40" t="s">
        <v>674</v>
      </c>
      <c r="M62" s="67"/>
    </row>
    <row r="63" spans="1:21" x14ac:dyDescent="0.2">
      <c r="A63" s="41" t="s">
        <v>603</v>
      </c>
      <c r="M63" s="67"/>
    </row>
    <row r="64" spans="1:21" x14ac:dyDescent="0.2">
      <c r="A64" t="s">
        <v>675</v>
      </c>
      <c r="M64" s="67"/>
    </row>
    <row r="65" spans="1:21" x14ac:dyDescent="0.2">
      <c r="A65" t="s">
        <v>605</v>
      </c>
      <c r="M65" s="67"/>
    </row>
    <row r="66" spans="1:21" x14ac:dyDescent="0.2">
      <c r="A66" t="s">
        <v>606</v>
      </c>
      <c r="M66" s="67"/>
    </row>
    <row r="67" spans="1:21" s="66" customFormat="1" x14ac:dyDescent="0.2">
      <c r="A67" s="66" t="s">
        <v>676</v>
      </c>
      <c r="B67" s="65"/>
      <c r="M67" s="74"/>
      <c r="O67" s="79"/>
      <c r="R67" s="66">
        <f>SUM(R42:R66)</f>
        <v>0.38</v>
      </c>
      <c r="T67" s="66">
        <f>SUM(T44:T64)</f>
        <v>0.38</v>
      </c>
    </row>
    <row r="68" spans="1:21" x14ac:dyDescent="0.2">
      <c r="M68" s="67"/>
    </row>
    <row r="69" spans="1:21" x14ac:dyDescent="0.2">
      <c r="M69" s="67"/>
    </row>
    <row r="70" spans="1:21" ht="17" x14ac:dyDescent="0.2">
      <c r="A70" s="37" t="s">
        <v>450</v>
      </c>
      <c r="M70" s="67"/>
    </row>
    <row r="71" spans="1:21" ht="16" x14ac:dyDescent="0.2">
      <c r="A71" s="36" t="s">
        <v>607</v>
      </c>
      <c r="M71" s="67"/>
    </row>
    <row r="72" spans="1:21" x14ac:dyDescent="0.2">
      <c r="A72" t="s">
        <v>608</v>
      </c>
      <c r="M72" s="67"/>
    </row>
    <row r="73" spans="1:21" x14ac:dyDescent="0.2">
      <c r="A73" t="s">
        <v>609</v>
      </c>
      <c r="M73" s="67"/>
    </row>
    <row r="74" spans="1:21" x14ac:dyDescent="0.2">
      <c r="A74" t="s">
        <v>610</v>
      </c>
      <c r="M74" s="67"/>
    </row>
    <row r="75" spans="1:21" x14ac:dyDescent="0.2">
      <c r="A75" s="43" t="s">
        <v>677</v>
      </c>
      <c r="M75" s="67"/>
    </row>
    <row r="76" spans="1:21" x14ac:dyDescent="0.2">
      <c r="A76" s="44" t="s">
        <v>678</v>
      </c>
      <c r="M76" s="67"/>
    </row>
    <row r="77" spans="1:21" x14ac:dyDescent="0.2">
      <c r="M77" s="67"/>
    </row>
    <row r="78" spans="1:21" ht="16" x14ac:dyDescent="0.2">
      <c r="A78" s="10" t="s">
        <v>611</v>
      </c>
      <c r="M78" s="67"/>
    </row>
    <row r="79" spans="1:21" x14ac:dyDescent="0.2">
      <c r="A79" t="s">
        <v>612</v>
      </c>
      <c r="M79" s="67"/>
    </row>
    <row r="80" spans="1:21" x14ac:dyDescent="0.2">
      <c r="A80" t="s">
        <v>613</v>
      </c>
      <c r="F80">
        <v>195</v>
      </c>
      <c r="G80">
        <v>40</v>
      </c>
      <c r="H80">
        <v>155</v>
      </c>
      <c r="K80">
        <v>0</v>
      </c>
      <c r="M80" s="67">
        <f t="shared" ref="M80:M97" si="6">K80-B80</f>
        <v>0</v>
      </c>
      <c r="O80" s="75">
        <f>R80/H80</f>
        <v>4.193548387096774E-3</v>
      </c>
      <c r="R80" s="32">
        <f>Receipts!F50</f>
        <v>0.65</v>
      </c>
      <c r="T80">
        <f>O80*H80</f>
        <v>0.64999999999999991</v>
      </c>
      <c r="U80" t="s">
        <v>763</v>
      </c>
    </row>
    <row r="81" spans="1:20" x14ac:dyDescent="0.2">
      <c r="A81" t="s">
        <v>614</v>
      </c>
      <c r="M81" s="67"/>
    </row>
    <row r="82" spans="1:20" s="66" customFormat="1" x14ac:dyDescent="0.2">
      <c r="A82" s="66" t="s">
        <v>424</v>
      </c>
      <c r="B82" s="65"/>
      <c r="M82" s="74"/>
      <c r="O82" s="79"/>
      <c r="R82" s="66">
        <f>SUM(R74:R81)</f>
        <v>0.65</v>
      </c>
      <c r="T82" s="66">
        <f>T80</f>
        <v>0.64999999999999991</v>
      </c>
    </row>
    <row r="83" spans="1:20" x14ac:dyDescent="0.2">
      <c r="M83" s="67"/>
    </row>
    <row r="84" spans="1:20" x14ac:dyDescent="0.2">
      <c r="M84" s="67"/>
    </row>
    <row r="85" spans="1:20" ht="16" x14ac:dyDescent="0.2">
      <c r="A85" s="10" t="s">
        <v>679</v>
      </c>
      <c r="M85" s="67"/>
    </row>
    <row r="86" spans="1:20" x14ac:dyDescent="0.2">
      <c r="A86" t="s">
        <v>680</v>
      </c>
      <c r="M86" s="67">
        <f t="shared" si="6"/>
        <v>0</v>
      </c>
    </row>
    <row r="87" spans="1:20" x14ac:dyDescent="0.2">
      <c r="A87" t="s">
        <v>681</v>
      </c>
      <c r="M87" s="67">
        <f t="shared" si="6"/>
        <v>0</v>
      </c>
    </row>
    <row r="88" spans="1:20" x14ac:dyDescent="0.2">
      <c r="A88" t="s">
        <v>682</v>
      </c>
      <c r="M88" s="67">
        <f t="shared" si="6"/>
        <v>0</v>
      </c>
    </row>
    <row r="89" spans="1:20" ht="16" x14ac:dyDescent="0.2">
      <c r="A89" s="45" t="s">
        <v>676</v>
      </c>
      <c r="M89" s="67">
        <f t="shared" si="6"/>
        <v>0</v>
      </c>
    </row>
    <row r="90" spans="1:20" x14ac:dyDescent="0.2">
      <c r="M90" s="67">
        <f t="shared" si="6"/>
        <v>0</v>
      </c>
    </row>
    <row r="91" spans="1:20" ht="16" x14ac:dyDescent="0.2">
      <c r="A91" s="10" t="s">
        <v>453</v>
      </c>
      <c r="M91" s="67">
        <f t="shared" si="6"/>
        <v>0</v>
      </c>
    </row>
    <row r="92" spans="1:20" x14ac:dyDescent="0.2">
      <c r="A92" t="s">
        <v>683</v>
      </c>
      <c r="C92">
        <v>33</v>
      </c>
      <c r="M92" s="67">
        <f t="shared" si="6"/>
        <v>0</v>
      </c>
      <c r="R92" s="32">
        <f>Receipts!F54</f>
        <v>0.16</v>
      </c>
      <c r="T92" s="32">
        <f>R92</f>
        <v>0.16</v>
      </c>
    </row>
    <row r="93" spans="1:20" x14ac:dyDescent="0.2">
      <c r="A93" t="s">
        <v>684</v>
      </c>
      <c r="C93">
        <v>137</v>
      </c>
      <c r="H93">
        <v>124</v>
      </c>
      <c r="J93">
        <v>13</v>
      </c>
      <c r="M93" s="67">
        <f t="shared" si="6"/>
        <v>0</v>
      </c>
      <c r="O93" s="75">
        <f>R93/H93</f>
        <v>1.3709677419354839E-2</v>
      </c>
      <c r="R93" s="32">
        <f>Receipts!F55</f>
        <v>1.7</v>
      </c>
      <c r="T93" s="32">
        <f>O93*C93</f>
        <v>1.8782258064516129</v>
      </c>
    </row>
    <row r="94" spans="1:20" s="66" customFormat="1" ht="16" x14ac:dyDescent="0.2">
      <c r="A94" s="38" t="s">
        <v>424</v>
      </c>
      <c r="B94" s="65"/>
      <c r="M94" s="74"/>
      <c r="O94" s="79"/>
      <c r="R94" s="66">
        <f>SUM(R86:R93)</f>
        <v>1.8599999999999999</v>
      </c>
      <c r="T94" s="73">
        <f>SUM(T92:T93)</f>
        <v>2.0382258064516128</v>
      </c>
    </row>
    <row r="95" spans="1:20" x14ac:dyDescent="0.2">
      <c r="M95" s="67"/>
    </row>
    <row r="96" spans="1:20" ht="16" x14ac:dyDescent="0.2">
      <c r="A96" s="10" t="s">
        <v>454</v>
      </c>
      <c r="M96" s="67"/>
    </row>
    <row r="97" spans="1:21" x14ac:dyDescent="0.2">
      <c r="A97" t="s">
        <v>454</v>
      </c>
      <c r="C97">
        <v>6</v>
      </c>
      <c r="H97">
        <v>6</v>
      </c>
      <c r="M97" s="67">
        <f t="shared" si="6"/>
        <v>0</v>
      </c>
      <c r="O97" s="75">
        <f>R97/H97</f>
        <v>1.8333333333333333E-2</v>
      </c>
      <c r="R97" s="32">
        <f>Receipts!F56</f>
        <v>0.11</v>
      </c>
      <c r="T97">
        <f>O97*H97</f>
        <v>0.11</v>
      </c>
      <c r="U97" t="s">
        <v>757</v>
      </c>
    </row>
    <row r="98" spans="1:21" s="66" customFormat="1" ht="16" x14ac:dyDescent="0.2">
      <c r="A98" s="38" t="s">
        <v>424</v>
      </c>
      <c r="B98" s="65"/>
      <c r="O98" s="79"/>
      <c r="R98" s="73">
        <f>R97</f>
        <v>0.11</v>
      </c>
      <c r="T98" s="66">
        <f>T97</f>
        <v>0.11</v>
      </c>
    </row>
    <row r="99" spans="1:21" ht="16" x14ac:dyDescent="0.2">
      <c r="A99" s="46"/>
    </row>
    <row r="100" spans="1:21" s="66" customFormat="1" ht="16" x14ac:dyDescent="0.2">
      <c r="A100" s="38" t="s">
        <v>685</v>
      </c>
      <c r="B100" s="65"/>
      <c r="O100" s="79"/>
    </row>
    <row r="103" spans="1:21" ht="16" x14ac:dyDescent="0.2">
      <c r="A103" s="10" t="s">
        <v>758</v>
      </c>
    </row>
    <row r="104" spans="1:21" x14ac:dyDescent="0.2">
      <c r="A104" t="s">
        <v>759</v>
      </c>
      <c r="C104">
        <v>55</v>
      </c>
      <c r="H104">
        <v>53</v>
      </c>
      <c r="J104">
        <v>2</v>
      </c>
      <c r="O104" s="75">
        <f>R104/H104</f>
        <v>0.13584905660377358</v>
      </c>
      <c r="R104" s="32">
        <f>Receipts!F76</f>
        <v>7.2</v>
      </c>
    </row>
    <row r="105" spans="1:21" s="38" customFormat="1" ht="16" x14ac:dyDescent="0.2">
      <c r="A105" s="38" t="s">
        <v>424</v>
      </c>
      <c r="B105" s="71"/>
      <c r="O105" s="80"/>
      <c r="R105" s="73">
        <f>SUM(R104)</f>
        <v>7.2</v>
      </c>
    </row>
    <row r="107" spans="1:21" ht="16" x14ac:dyDescent="0.2">
      <c r="A107" s="46" t="s">
        <v>686</v>
      </c>
    </row>
    <row r="108" spans="1:21" ht="16" x14ac:dyDescent="0.2">
      <c r="A108" s="10" t="s">
        <v>455</v>
      </c>
    </row>
    <row r="109" spans="1:21" x14ac:dyDescent="0.2">
      <c r="A109" t="s">
        <v>687</v>
      </c>
    </row>
    <row r="110" spans="1:21" x14ac:dyDescent="0.2">
      <c r="A110" t="s">
        <v>688</v>
      </c>
    </row>
    <row r="111" spans="1:21" x14ac:dyDescent="0.2">
      <c r="A111" t="s">
        <v>689</v>
      </c>
    </row>
    <row r="112" spans="1:21" x14ac:dyDescent="0.2">
      <c r="A112" t="s">
        <v>690</v>
      </c>
    </row>
    <row r="113" spans="1:1" x14ac:dyDescent="0.2">
      <c r="A113" t="s">
        <v>691</v>
      </c>
    </row>
    <row r="114" spans="1:1" x14ac:dyDescent="0.2">
      <c r="A114" t="s">
        <v>692</v>
      </c>
    </row>
    <row r="115" spans="1:1" x14ac:dyDescent="0.2">
      <c r="A115" t="s">
        <v>693</v>
      </c>
    </row>
    <row r="116" spans="1:1" x14ac:dyDescent="0.2">
      <c r="A116" t="s">
        <v>694</v>
      </c>
    </row>
    <row r="117" spans="1:1" x14ac:dyDescent="0.2">
      <c r="A117" t="s">
        <v>695</v>
      </c>
    </row>
    <row r="118" spans="1:1" x14ac:dyDescent="0.2">
      <c r="A118" t="s">
        <v>696</v>
      </c>
    </row>
    <row r="119" spans="1:1" x14ac:dyDescent="0.2">
      <c r="A119" t="s">
        <v>697</v>
      </c>
    </row>
    <row r="120" spans="1:1" x14ac:dyDescent="0.2">
      <c r="A120" t="s">
        <v>698</v>
      </c>
    </row>
    <row r="121" spans="1:1" x14ac:dyDescent="0.2">
      <c r="A121" t="s">
        <v>699</v>
      </c>
    </row>
    <row r="122" spans="1:1" x14ac:dyDescent="0.2">
      <c r="A122" t="s">
        <v>700</v>
      </c>
    </row>
    <row r="123" spans="1:1" x14ac:dyDescent="0.2">
      <c r="A123" t="s">
        <v>701</v>
      </c>
    </row>
    <row r="124" spans="1:1" x14ac:dyDescent="0.2">
      <c r="A124" t="s">
        <v>702</v>
      </c>
    </row>
    <row r="125" spans="1:1" x14ac:dyDescent="0.2">
      <c r="A125" t="s">
        <v>703</v>
      </c>
    </row>
    <row r="126" spans="1:1" x14ac:dyDescent="0.2">
      <c r="A126" t="s">
        <v>704</v>
      </c>
    </row>
    <row r="127" spans="1:1" x14ac:dyDescent="0.2">
      <c r="A127" t="s">
        <v>705</v>
      </c>
    </row>
    <row r="128" spans="1:1" x14ac:dyDescent="0.2">
      <c r="A128" t="s">
        <v>706</v>
      </c>
    </row>
    <row r="129" spans="1:1" x14ac:dyDescent="0.2">
      <c r="A129" t="s">
        <v>707</v>
      </c>
    </row>
    <row r="130" spans="1:1" x14ac:dyDescent="0.2">
      <c r="A130" t="s">
        <v>708</v>
      </c>
    </row>
    <row r="131" spans="1:1" x14ac:dyDescent="0.2">
      <c r="A131" t="s">
        <v>709</v>
      </c>
    </row>
    <row r="132" spans="1:1" x14ac:dyDescent="0.2">
      <c r="A132" t="s">
        <v>710</v>
      </c>
    </row>
    <row r="133" spans="1:1" x14ac:dyDescent="0.2">
      <c r="A133" t="s">
        <v>711</v>
      </c>
    </row>
  </sheetData>
  <mergeCells count="2">
    <mergeCell ref="C4:F4"/>
    <mergeCell ref="G4:J4"/>
  </mergeCell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9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t="s">
        <v>36</v>
      </c>
      <c r="B2" t="s">
        <v>37</v>
      </c>
      <c r="C2">
        <v>7.72</v>
      </c>
      <c r="D2">
        <v>7</v>
      </c>
      <c r="E2">
        <v>14</v>
      </c>
      <c r="F2">
        <v>4.5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36" x14ac:dyDescent="0.2">
      <c r="A3" t="s">
        <v>36</v>
      </c>
      <c r="B3" t="s">
        <v>38</v>
      </c>
      <c r="C3">
        <v>0</v>
      </c>
      <c r="D3">
        <v>0</v>
      </c>
      <c r="E3">
        <v>0</v>
      </c>
      <c r="F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36" x14ac:dyDescent="0.2">
      <c r="A4" t="s">
        <v>39</v>
      </c>
      <c r="B4" t="s">
        <v>40</v>
      </c>
      <c r="C4">
        <v>2.0099999999999998</v>
      </c>
      <c r="D4">
        <v>2</v>
      </c>
      <c r="E4">
        <v>0</v>
      </c>
      <c r="F4">
        <v>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36" x14ac:dyDescent="0.2">
      <c r="A5" t="s">
        <v>39</v>
      </c>
      <c r="B5" t="s">
        <v>41</v>
      </c>
      <c r="C5">
        <v>2.0099999999999998</v>
      </c>
      <c r="D5">
        <v>2</v>
      </c>
      <c r="E5">
        <v>0</v>
      </c>
      <c r="F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36" x14ac:dyDescent="0.2">
      <c r="A6" t="s">
        <v>39</v>
      </c>
      <c r="B6" t="s">
        <v>42</v>
      </c>
      <c r="C6">
        <v>2.0099999999999998</v>
      </c>
      <c r="D6">
        <v>2</v>
      </c>
      <c r="E6">
        <v>0</v>
      </c>
      <c r="F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36" x14ac:dyDescent="0.2">
      <c r="A7" t="s">
        <v>39</v>
      </c>
      <c r="B7" t="s">
        <v>43</v>
      </c>
      <c r="C7">
        <v>3.15</v>
      </c>
      <c r="D7">
        <v>3</v>
      </c>
      <c r="E7">
        <v>2</v>
      </c>
      <c r="F7">
        <v>11.5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36" x14ac:dyDescent="0.2">
      <c r="A8" t="s">
        <v>39</v>
      </c>
      <c r="B8" t="s">
        <v>44</v>
      </c>
      <c r="C8">
        <v>9.19</v>
      </c>
      <c r="D8">
        <v>9</v>
      </c>
      <c r="E8">
        <v>3</v>
      </c>
      <c r="F8">
        <v>8.5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36" x14ac:dyDescent="0.2">
      <c r="A9" t="s">
        <v>45</v>
      </c>
      <c r="B9" t="s">
        <v>46</v>
      </c>
      <c r="C9">
        <v>0.2</v>
      </c>
      <c r="D9">
        <v>0</v>
      </c>
      <c r="E9">
        <v>4</v>
      </c>
      <c r="F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36" x14ac:dyDescent="0.2">
      <c r="A10" t="s">
        <v>45</v>
      </c>
      <c r="B10" t="s">
        <v>47</v>
      </c>
      <c r="C10">
        <v>0.15</v>
      </c>
      <c r="D10">
        <v>0</v>
      </c>
      <c r="E10">
        <v>3</v>
      </c>
      <c r="F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36" x14ac:dyDescent="0.2">
      <c r="A11" t="s">
        <v>45</v>
      </c>
      <c r="B11" t="s">
        <v>48</v>
      </c>
      <c r="C11">
        <v>0.2</v>
      </c>
      <c r="D11">
        <v>0</v>
      </c>
      <c r="E11">
        <v>4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36" x14ac:dyDescent="0.2">
      <c r="A12" t="s">
        <v>45</v>
      </c>
      <c r="B12" t="s">
        <v>49</v>
      </c>
      <c r="C12">
        <v>0.55000000000000004</v>
      </c>
      <c r="D12">
        <v>0</v>
      </c>
      <c r="E12">
        <v>11</v>
      </c>
      <c r="F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36" x14ac:dyDescent="0.2">
      <c r="A13" t="s">
        <v>50</v>
      </c>
      <c r="B13" t="s">
        <v>51</v>
      </c>
      <c r="C13">
        <v>0.1</v>
      </c>
      <c r="D13">
        <v>0</v>
      </c>
      <c r="E13">
        <v>2</v>
      </c>
      <c r="F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36" x14ac:dyDescent="0.2">
      <c r="A14" t="s">
        <v>50</v>
      </c>
      <c r="B14" t="s">
        <v>52</v>
      </c>
      <c r="C14">
        <v>0.1</v>
      </c>
      <c r="D14">
        <v>0</v>
      </c>
      <c r="E14">
        <v>2</v>
      </c>
      <c r="F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36" x14ac:dyDescent="0.2">
      <c r="A15" t="s">
        <v>53</v>
      </c>
      <c r="B15" t="s">
        <v>54</v>
      </c>
      <c r="C15">
        <v>0.65</v>
      </c>
      <c r="D15">
        <v>0</v>
      </c>
      <c r="E15">
        <v>13</v>
      </c>
      <c r="F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36" x14ac:dyDescent="0.2">
      <c r="A16" t="s">
        <v>55</v>
      </c>
      <c r="B16" t="s">
        <v>56</v>
      </c>
      <c r="C16">
        <v>8.5299999999999994</v>
      </c>
      <c r="D16">
        <v>8</v>
      </c>
      <c r="E16">
        <v>10</v>
      </c>
      <c r="F16">
        <v>7.5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57</v>
      </c>
      <c r="B17" t="s">
        <v>58</v>
      </c>
      <c r="C17">
        <v>0.03</v>
      </c>
      <c r="D17">
        <v>0</v>
      </c>
      <c r="E17">
        <v>0</v>
      </c>
      <c r="F17">
        <v>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57</v>
      </c>
      <c r="B18" t="s">
        <v>59</v>
      </c>
      <c r="C18">
        <v>0.01</v>
      </c>
      <c r="D18">
        <v>0</v>
      </c>
      <c r="E18">
        <v>0</v>
      </c>
      <c r="F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57</v>
      </c>
      <c r="B19" t="s">
        <v>60</v>
      </c>
      <c r="C19">
        <v>0.03</v>
      </c>
      <c r="D19">
        <v>0</v>
      </c>
      <c r="E19">
        <v>0</v>
      </c>
      <c r="F19">
        <v>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57</v>
      </c>
      <c r="B20" t="s">
        <v>61</v>
      </c>
      <c r="C20">
        <v>0.03</v>
      </c>
      <c r="D20">
        <v>0</v>
      </c>
      <c r="E20">
        <v>0</v>
      </c>
      <c r="F20">
        <v>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57</v>
      </c>
      <c r="B21" t="s">
        <v>62</v>
      </c>
      <c r="C21">
        <v>0.09</v>
      </c>
      <c r="D21">
        <v>0</v>
      </c>
      <c r="E21">
        <v>1</v>
      </c>
      <c r="F21">
        <v>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63</v>
      </c>
      <c r="B22" t="s">
        <v>64</v>
      </c>
      <c r="C22">
        <v>0.5</v>
      </c>
      <c r="D22">
        <v>0</v>
      </c>
      <c r="E22">
        <v>10</v>
      </c>
      <c r="F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63</v>
      </c>
      <c r="B23" t="s">
        <v>65</v>
      </c>
      <c r="C23">
        <v>0.47</v>
      </c>
      <c r="D23">
        <v>0</v>
      </c>
      <c r="E23">
        <v>9</v>
      </c>
      <c r="F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63</v>
      </c>
      <c r="B24" t="s">
        <v>66</v>
      </c>
      <c r="C24">
        <v>0.88</v>
      </c>
      <c r="D24">
        <v>0</v>
      </c>
      <c r="E24">
        <v>17</v>
      </c>
      <c r="F24">
        <v>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63</v>
      </c>
      <c r="B25" t="s">
        <v>67</v>
      </c>
      <c r="C25">
        <v>0</v>
      </c>
      <c r="D25">
        <v>0</v>
      </c>
      <c r="E25">
        <v>0</v>
      </c>
      <c r="F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63</v>
      </c>
      <c r="B26" t="s">
        <v>68</v>
      </c>
      <c r="C26">
        <v>0.05</v>
      </c>
      <c r="D26">
        <v>0</v>
      </c>
      <c r="E26">
        <v>1</v>
      </c>
      <c r="F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63</v>
      </c>
      <c r="B27" t="s">
        <v>69</v>
      </c>
      <c r="C27">
        <v>0</v>
      </c>
      <c r="D27">
        <v>0</v>
      </c>
      <c r="E27">
        <v>0</v>
      </c>
      <c r="F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63</v>
      </c>
      <c r="B28" t="s">
        <v>70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63</v>
      </c>
      <c r="B29" t="s">
        <v>71</v>
      </c>
      <c r="C29">
        <v>0.03</v>
      </c>
      <c r="D29">
        <v>0</v>
      </c>
      <c r="E29">
        <v>0</v>
      </c>
      <c r="F29">
        <v>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63</v>
      </c>
      <c r="B30" t="s">
        <v>72</v>
      </c>
      <c r="C30">
        <v>0.75</v>
      </c>
      <c r="D30">
        <v>0</v>
      </c>
      <c r="E30">
        <v>15</v>
      </c>
      <c r="F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63</v>
      </c>
      <c r="B31" t="s">
        <v>73</v>
      </c>
      <c r="C31">
        <v>0.4</v>
      </c>
      <c r="D31">
        <v>0</v>
      </c>
      <c r="E31">
        <v>8</v>
      </c>
      <c r="F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63</v>
      </c>
      <c r="B32" t="s">
        <v>74</v>
      </c>
      <c r="C32">
        <v>0.3</v>
      </c>
      <c r="D32">
        <v>0</v>
      </c>
      <c r="E32">
        <v>6</v>
      </c>
      <c r="F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63</v>
      </c>
      <c r="B33" t="s">
        <v>75</v>
      </c>
      <c r="C33">
        <v>0.85</v>
      </c>
      <c r="D33">
        <v>0</v>
      </c>
      <c r="E33">
        <v>17</v>
      </c>
      <c r="F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63</v>
      </c>
      <c r="B34" t="s">
        <v>76</v>
      </c>
      <c r="C34">
        <v>0.14000000000000001</v>
      </c>
      <c r="D34">
        <v>0</v>
      </c>
      <c r="E34">
        <v>2</v>
      </c>
      <c r="F34">
        <v>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63</v>
      </c>
      <c r="B35" t="s">
        <v>77</v>
      </c>
      <c r="C35">
        <v>0.65</v>
      </c>
      <c r="D35">
        <v>0</v>
      </c>
      <c r="E35">
        <v>12</v>
      </c>
      <c r="F35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63</v>
      </c>
      <c r="B36" t="s">
        <v>78</v>
      </c>
      <c r="C36">
        <v>0</v>
      </c>
      <c r="D36">
        <v>0</v>
      </c>
      <c r="E36">
        <v>0</v>
      </c>
      <c r="F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63</v>
      </c>
      <c r="B37" t="s">
        <v>79</v>
      </c>
      <c r="C37">
        <v>0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63</v>
      </c>
      <c r="B38" t="s">
        <v>80</v>
      </c>
      <c r="C38">
        <v>0.1</v>
      </c>
      <c r="D38">
        <v>0</v>
      </c>
      <c r="E38">
        <v>2</v>
      </c>
      <c r="F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63</v>
      </c>
      <c r="B39" t="s">
        <v>81</v>
      </c>
      <c r="C39">
        <v>0.16</v>
      </c>
      <c r="D39">
        <v>0</v>
      </c>
      <c r="E39">
        <v>3</v>
      </c>
      <c r="F39">
        <v>1.5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63</v>
      </c>
      <c r="B40" t="s">
        <v>82</v>
      </c>
      <c r="C40">
        <v>1.7</v>
      </c>
      <c r="D40">
        <v>1</v>
      </c>
      <c r="E40">
        <v>14</v>
      </c>
      <c r="F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63</v>
      </c>
      <c r="B41" t="s">
        <v>83</v>
      </c>
      <c r="C41">
        <v>0.11</v>
      </c>
      <c r="D41">
        <v>0</v>
      </c>
      <c r="E41">
        <v>2</v>
      </c>
      <c r="F41">
        <v>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63</v>
      </c>
      <c r="B42" t="s">
        <v>84</v>
      </c>
      <c r="C42">
        <v>0.25</v>
      </c>
      <c r="D42">
        <v>0</v>
      </c>
      <c r="E42">
        <v>5</v>
      </c>
      <c r="F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63</v>
      </c>
      <c r="B43" t="s">
        <v>85</v>
      </c>
      <c r="C43">
        <v>0</v>
      </c>
      <c r="D43">
        <v>0</v>
      </c>
      <c r="E43">
        <v>0</v>
      </c>
      <c r="F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63</v>
      </c>
      <c r="B44" t="s">
        <v>86</v>
      </c>
      <c r="C44">
        <v>0</v>
      </c>
      <c r="D44">
        <v>0</v>
      </c>
      <c r="E44">
        <v>0</v>
      </c>
      <c r="F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63</v>
      </c>
      <c r="B45" t="s">
        <v>87</v>
      </c>
      <c r="C45">
        <v>0.04</v>
      </c>
      <c r="D45">
        <v>0</v>
      </c>
      <c r="E45">
        <v>0</v>
      </c>
      <c r="F45">
        <v>10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63</v>
      </c>
      <c r="B46" t="s">
        <v>88</v>
      </c>
      <c r="C46">
        <v>0.03</v>
      </c>
      <c r="D46">
        <v>0</v>
      </c>
      <c r="E46">
        <v>0</v>
      </c>
      <c r="F46">
        <v>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63</v>
      </c>
      <c r="B47" t="s">
        <v>89</v>
      </c>
      <c r="C47">
        <v>0.2</v>
      </c>
      <c r="D47">
        <v>0</v>
      </c>
      <c r="E47">
        <v>4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63</v>
      </c>
      <c r="B48" t="s">
        <v>90</v>
      </c>
      <c r="C48">
        <v>0.03</v>
      </c>
      <c r="D48">
        <v>0</v>
      </c>
      <c r="E48">
        <v>0</v>
      </c>
      <c r="F48">
        <v>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30" x14ac:dyDescent="0.2">
      <c r="A49" t="s">
        <v>63</v>
      </c>
      <c r="B49" t="s">
        <v>91</v>
      </c>
      <c r="C49">
        <v>0.01</v>
      </c>
      <c r="D49">
        <v>0</v>
      </c>
      <c r="E49">
        <v>0</v>
      </c>
      <c r="F49">
        <v>1.5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30" x14ac:dyDescent="0.2">
      <c r="A50" t="s">
        <v>63</v>
      </c>
      <c r="B50" t="s">
        <v>92</v>
      </c>
      <c r="C50">
        <v>0.04</v>
      </c>
      <c r="D50">
        <v>0</v>
      </c>
      <c r="E50">
        <v>0</v>
      </c>
      <c r="F50">
        <v>10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30" x14ac:dyDescent="0.2">
      <c r="A51" t="s">
        <v>63</v>
      </c>
      <c r="B51" t="s">
        <v>93</v>
      </c>
      <c r="C51">
        <v>0.03</v>
      </c>
      <c r="D51">
        <v>0</v>
      </c>
      <c r="E51">
        <v>0</v>
      </c>
      <c r="F51">
        <v>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30" x14ac:dyDescent="0.2">
      <c r="A52" t="s">
        <v>63</v>
      </c>
      <c r="B52" t="s">
        <v>94</v>
      </c>
      <c r="C52">
        <v>0</v>
      </c>
      <c r="D52">
        <v>0</v>
      </c>
      <c r="E52">
        <v>0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30" x14ac:dyDescent="0.2">
      <c r="A53" t="s">
        <v>63</v>
      </c>
      <c r="B53" t="s">
        <v>95</v>
      </c>
      <c r="C53">
        <v>0</v>
      </c>
      <c r="D53">
        <v>0</v>
      </c>
      <c r="E53">
        <v>0</v>
      </c>
      <c r="F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30" x14ac:dyDescent="0.2">
      <c r="A54" t="s">
        <v>63</v>
      </c>
      <c r="B54" t="s">
        <v>96</v>
      </c>
      <c r="C54">
        <v>0</v>
      </c>
      <c r="D54">
        <v>0</v>
      </c>
      <c r="E54">
        <v>0</v>
      </c>
      <c r="F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30" x14ac:dyDescent="0.2">
      <c r="A55" t="s">
        <v>63</v>
      </c>
      <c r="B55" t="s">
        <v>97</v>
      </c>
      <c r="C55">
        <v>0.01</v>
      </c>
      <c r="D55">
        <v>0</v>
      </c>
      <c r="E55">
        <v>0</v>
      </c>
      <c r="F55">
        <v>3.5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30" x14ac:dyDescent="0.2">
      <c r="A56" t="s">
        <v>63</v>
      </c>
      <c r="B56" t="s">
        <v>98</v>
      </c>
      <c r="C56">
        <v>0.05</v>
      </c>
      <c r="D56">
        <v>0</v>
      </c>
      <c r="E56">
        <v>1</v>
      </c>
      <c r="F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30" x14ac:dyDescent="0.2">
      <c r="A57" t="s">
        <v>63</v>
      </c>
      <c r="B57" t="s">
        <v>99</v>
      </c>
      <c r="C57">
        <v>0.13</v>
      </c>
      <c r="D57">
        <v>0</v>
      </c>
      <c r="E57">
        <v>2</v>
      </c>
      <c r="F57">
        <v>7.5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30" x14ac:dyDescent="0.2">
      <c r="A58" t="s">
        <v>63</v>
      </c>
      <c r="B58" t="s">
        <v>100</v>
      </c>
      <c r="C58">
        <v>8.36</v>
      </c>
      <c r="D58">
        <v>8</v>
      </c>
      <c r="E58">
        <v>7</v>
      </c>
      <c r="F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30" x14ac:dyDescent="0.2">
      <c r="A59" t="s">
        <v>101</v>
      </c>
      <c r="B59" t="s">
        <v>102</v>
      </c>
      <c r="C59">
        <v>7.2</v>
      </c>
      <c r="D59">
        <v>7</v>
      </c>
      <c r="E59">
        <v>4</v>
      </c>
      <c r="F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30" x14ac:dyDescent="0.2">
      <c r="A60" t="s">
        <v>103</v>
      </c>
      <c r="B60" t="s">
        <v>104</v>
      </c>
      <c r="C60">
        <v>2.62</v>
      </c>
      <c r="D60">
        <v>2</v>
      </c>
      <c r="E60">
        <v>12</v>
      </c>
      <c r="F60">
        <v>6</v>
      </c>
      <c r="G60" t="s">
        <v>105</v>
      </c>
      <c r="H60">
        <v>8</v>
      </c>
      <c r="I60">
        <v>6</v>
      </c>
      <c r="J60">
        <v>8.75</v>
      </c>
      <c r="K60">
        <v>8.75</v>
      </c>
      <c r="L60">
        <v>0</v>
      </c>
      <c r="M60">
        <v>8</v>
      </c>
      <c r="N60">
        <v>6</v>
      </c>
      <c r="U60">
        <v>6</v>
      </c>
      <c r="V60">
        <v>0</v>
      </c>
    </row>
    <row r="61" spans="1:30" x14ac:dyDescent="0.2">
      <c r="A61" t="s">
        <v>103</v>
      </c>
      <c r="B61" t="s">
        <v>106</v>
      </c>
      <c r="C61">
        <v>0.27</v>
      </c>
      <c r="D61">
        <v>0</v>
      </c>
      <c r="E61">
        <v>5</v>
      </c>
      <c r="F61">
        <v>5</v>
      </c>
      <c r="G61" t="s">
        <v>107</v>
      </c>
      <c r="H61">
        <v>1</v>
      </c>
      <c r="I61">
        <v>2</v>
      </c>
      <c r="J61">
        <v>1.25</v>
      </c>
      <c r="K61">
        <v>1.25</v>
      </c>
      <c r="L61">
        <v>0</v>
      </c>
      <c r="M61">
        <v>1</v>
      </c>
      <c r="N61">
        <v>2</v>
      </c>
      <c r="U61">
        <v>4</v>
      </c>
      <c r="V61">
        <v>4</v>
      </c>
    </row>
    <row r="62" spans="1:30" x14ac:dyDescent="0.2">
      <c r="A62" t="s">
        <v>103</v>
      </c>
      <c r="B62" t="s">
        <v>108</v>
      </c>
      <c r="C62">
        <v>1.32</v>
      </c>
      <c r="D62">
        <v>1</v>
      </c>
      <c r="E62">
        <v>6</v>
      </c>
      <c r="F62">
        <v>5</v>
      </c>
      <c r="H62">
        <v>10.5</v>
      </c>
      <c r="I62">
        <v>7</v>
      </c>
      <c r="J62">
        <v>11.375</v>
      </c>
      <c r="K62">
        <v>11.375</v>
      </c>
      <c r="L62">
        <v>0</v>
      </c>
      <c r="M62">
        <v>11</v>
      </c>
      <c r="N62">
        <v>3</v>
      </c>
      <c r="O62">
        <v>3</v>
      </c>
      <c r="P62">
        <v>7</v>
      </c>
      <c r="Q62">
        <v>4</v>
      </c>
      <c r="R62">
        <v>0</v>
      </c>
      <c r="S62">
        <v>3.5</v>
      </c>
      <c r="T62">
        <v>0</v>
      </c>
      <c r="U62">
        <v>2</v>
      </c>
      <c r="V62">
        <v>0</v>
      </c>
      <c r="W62">
        <v>2</v>
      </c>
      <c r="X62">
        <v>4</v>
      </c>
      <c r="Y62">
        <v>2</v>
      </c>
      <c r="Z62">
        <v>8</v>
      </c>
    </row>
    <row r="63" spans="1:30" x14ac:dyDescent="0.2">
      <c r="A63" t="s">
        <v>103</v>
      </c>
      <c r="B63" t="s">
        <v>109</v>
      </c>
      <c r="C63">
        <v>0.05</v>
      </c>
      <c r="D63">
        <v>0</v>
      </c>
      <c r="E63">
        <v>1</v>
      </c>
      <c r="F63">
        <v>0</v>
      </c>
      <c r="H63">
        <v>5</v>
      </c>
      <c r="I63">
        <v>0</v>
      </c>
      <c r="J63">
        <v>5</v>
      </c>
      <c r="K63">
        <v>5</v>
      </c>
      <c r="L63">
        <v>0</v>
      </c>
      <c r="M63">
        <v>5</v>
      </c>
      <c r="N63">
        <v>0</v>
      </c>
    </row>
    <row r="64" spans="1:30" x14ac:dyDescent="0.2">
      <c r="A64" t="s">
        <v>103</v>
      </c>
      <c r="B64" t="s">
        <v>110</v>
      </c>
      <c r="C64">
        <v>0.12</v>
      </c>
      <c r="D64">
        <v>0</v>
      </c>
      <c r="E64">
        <v>2</v>
      </c>
      <c r="F64">
        <v>6</v>
      </c>
      <c r="G64" t="s">
        <v>111</v>
      </c>
      <c r="H64">
        <v>0</v>
      </c>
      <c r="I64">
        <v>4</v>
      </c>
      <c r="J64">
        <v>0.5</v>
      </c>
      <c r="K64">
        <v>0.5</v>
      </c>
      <c r="L64">
        <v>0</v>
      </c>
      <c r="M64">
        <v>0</v>
      </c>
      <c r="N64">
        <v>4</v>
      </c>
      <c r="AC64">
        <v>0</v>
      </c>
      <c r="AD64">
        <v>6</v>
      </c>
    </row>
    <row r="65" spans="1:32" x14ac:dyDescent="0.2">
      <c r="A65" t="s">
        <v>103</v>
      </c>
      <c r="B65" t="s">
        <v>112</v>
      </c>
      <c r="C65">
        <v>0.1</v>
      </c>
      <c r="D65">
        <v>0</v>
      </c>
      <c r="E65">
        <v>2</v>
      </c>
      <c r="F65">
        <v>0</v>
      </c>
      <c r="G65" t="s">
        <v>111</v>
      </c>
      <c r="H65">
        <v>0</v>
      </c>
      <c r="I65">
        <v>6</v>
      </c>
      <c r="J65">
        <v>0.75</v>
      </c>
      <c r="K65">
        <v>0.75</v>
      </c>
      <c r="L65">
        <v>0</v>
      </c>
      <c r="M65">
        <v>0</v>
      </c>
      <c r="N65">
        <v>6</v>
      </c>
    </row>
    <row r="66" spans="1:32" x14ac:dyDescent="0.2">
      <c r="A66" t="s">
        <v>103</v>
      </c>
      <c r="B66" t="s">
        <v>113</v>
      </c>
      <c r="C66">
        <v>4.47</v>
      </c>
      <c r="D66">
        <v>4</v>
      </c>
      <c r="E66">
        <v>9</v>
      </c>
      <c r="F66">
        <v>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32" x14ac:dyDescent="0.2">
      <c r="A67" t="s">
        <v>114</v>
      </c>
      <c r="B67" t="s">
        <v>115</v>
      </c>
      <c r="C67">
        <v>0.51</v>
      </c>
      <c r="D67">
        <v>0</v>
      </c>
      <c r="E67">
        <v>10</v>
      </c>
      <c r="F67">
        <v>3</v>
      </c>
      <c r="G67" t="s">
        <v>105</v>
      </c>
      <c r="H67">
        <v>1</v>
      </c>
      <c r="I67">
        <v>7</v>
      </c>
      <c r="J67">
        <v>1.875</v>
      </c>
      <c r="K67">
        <v>1.875</v>
      </c>
      <c r="L67">
        <v>0</v>
      </c>
      <c r="M67">
        <v>1</v>
      </c>
      <c r="N67">
        <v>7</v>
      </c>
      <c r="O67">
        <v>0</v>
      </c>
      <c r="P67">
        <v>2</v>
      </c>
      <c r="Q67">
        <v>1</v>
      </c>
      <c r="R67">
        <v>1</v>
      </c>
      <c r="S67">
        <v>0</v>
      </c>
      <c r="T67">
        <v>4</v>
      </c>
      <c r="U67">
        <v>5</v>
      </c>
      <c r="V67">
        <v>4</v>
      </c>
      <c r="AC67">
        <v>0</v>
      </c>
      <c r="AD67">
        <v>7.5</v>
      </c>
      <c r="AE67">
        <v>0</v>
      </c>
      <c r="AF67">
        <v>9</v>
      </c>
    </row>
    <row r="68" spans="1:32" x14ac:dyDescent="0.2">
      <c r="A68" t="s">
        <v>114</v>
      </c>
      <c r="B68" t="s">
        <v>116</v>
      </c>
      <c r="C68">
        <v>1.79</v>
      </c>
      <c r="D68">
        <v>1</v>
      </c>
      <c r="E68">
        <v>15</v>
      </c>
      <c r="F68">
        <v>10</v>
      </c>
      <c r="G68" t="s">
        <v>117</v>
      </c>
      <c r="H68">
        <v>11</v>
      </c>
      <c r="I68">
        <v>6</v>
      </c>
      <c r="J68">
        <v>11.75</v>
      </c>
      <c r="K68">
        <v>11.75</v>
      </c>
      <c r="L68">
        <v>0</v>
      </c>
      <c r="M68">
        <v>11</v>
      </c>
      <c r="N68">
        <v>6</v>
      </c>
      <c r="O68">
        <v>3</v>
      </c>
      <c r="P68">
        <v>0</v>
      </c>
      <c r="Q68">
        <v>4</v>
      </c>
      <c r="R68">
        <v>0</v>
      </c>
      <c r="S68">
        <v>4</v>
      </c>
      <c r="T68">
        <v>6</v>
      </c>
      <c r="U68">
        <v>2</v>
      </c>
      <c r="V68">
        <v>8</v>
      </c>
      <c r="W68">
        <v>3</v>
      </c>
      <c r="X68">
        <v>0</v>
      </c>
      <c r="Y68">
        <v>3</v>
      </c>
      <c r="Z68">
        <v>4</v>
      </c>
    </row>
    <row r="69" spans="1:32" x14ac:dyDescent="0.2">
      <c r="A69" t="s">
        <v>114</v>
      </c>
      <c r="B69" t="s">
        <v>118</v>
      </c>
      <c r="C69">
        <v>7.0000000000000007E-2</v>
      </c>
      <c r="D69">
        <v>0</v>
      </c>
      <c r="E69">
        <v>1</v>
      </c>
      <c r="F69">
        <v>4</v>
      </c>
      <c r="H69">
        <v>2</v>
      </c>
      <c r="I69">
        <v>1</v>
      </c>
      <c r="J69">
        <v>2.125</v>
      </c>
      <c r="K69">
        <v>2.125</v>
      </c>
      <c r="L69">
        <v>0</v>
      </c>
      <c r="M69">
        <v>2</v>
      </c>
      <c r="N69">
        <v>1</v>
      </c>
      <c r="O69">
        <v>1</v>
      </c>
      <c r="P69">
        <v>0</v>
      </c>
      <c r="Q69">
        <v>1</v>
      </c>
      <c r="R69">
        <v>1</v>
      </c>
      <c r="U69">
        <v>5</v>
      </c>
      <c r="V69">
        <v>4</v>
      </c>
    </row>
    <row r="70" spans="1:32" x14ac:dyDescent="0.2">
      <c r="A70" t="s">
        <v>114</v>
      </c>
      <c r="B70" t="s">
        <v>119</v>
      </c>
      <c r="C70">
        <v>0.54</v>
      </c>
      <c r="D70">
        <v>0</v>
      </c>
      <c r="E70">
        <v>10</v>
      </c>
      <c r="F70">
        <v>9</v>
      </c>
      <c r="H70">
        <v>4</v>
      </c>
      <c r="I70">
        <v>7</v>
      </c>
      <c r="J70">
        <v>4.875</v>
      </c>
      <c r="K70">
        <v>4.875</v>
      </c>
      <c r="L70">
        <v>0</v>
      </c>
      <c r="M70">
        <v>4</v>
      </c>
      <c r="N70">
        <v>7</v>
      </c>
      <c r="O70">
        <v>1</v>
      </c>
      <c r="P70">
        <v>7</v>
      </c>
      <c r="Q70">
        <v>3</v>
      </c>
      <c r="R70">
        <v>0</v>
      </c>
      <c r="U70">
        <v>2</v>
      </c>
      <c r="V70">
        <v>0</v>
      </c>
      <c r="W70">
        <v>2</v>
      </c>
      <c r="X70">
        <v>4</v>
      </c>
    </row>
    <row r="71" spans="1:32" x14ac:dyDescent="0.2">
      <c r="A71" t="s">
        <v>114</v>
      </c>
      <c r="B71" t="s">
        <v>120</v>
      </c>
      <c r="C71">
        <v>3.42</v>
      </c>
      <c r="D71">
        <v>3</v>
      </c>
      <c r="E71">
        <v>8</v>
      </c>
      <c r="F71">
        <v>6</v>
      </c>
      <c r="G71" t="s">
        <v>121</v>
      </c>
      <c r="H71">
        <v>0</v>
      </c>
      <c r="I71">
        <v>1</v>
      </c>
      <c r="J71">
        <v>0.125</v>
      </c>
      <c r="K71">
        <v>0.125</v>
      </c>
      <c r="L71">
        <v>0</v>
      </c>
      <c r="M71">
        <v>0</v>
      </c>
      <c r="N71">
        <v>1</v>
      </c>
    </row>
    <row r="72" spans="1:32" x14ac:dyDescent="0.2">
      <c r="A72" t="s">
        <v>122</v>
      </c>
      <c r="B72" t="s">
        <v>123</v>
      </c>
      <c r="C72">
        <v>0.33</v>
      </c>
      <c r="D72">
        <v>0</v>
      </c>
      <c r="E72">
        <v>6</v>
      </c>
      <c r="F72">
        <v>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32" x14ac:dyDescent="0.2">
      <c r="A73" t="s">
        <v>122</v>
      </c>
      <c r="B73" t="s">
        <v>124</v>
      </c>
      <c r="C73">
        <v>0.33</v>
      </c>
      <c r="D73">
        <v>0</v>
      </c>
      <c r="E73">
        <v>6</v>
      </c>
      <c r="F73">
        <v>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32" x14ac:dyDescent="0.2">
      <c r="A74" t="s">
        <v>122</v>
      </c>
      <c r="B74" t="s">
        <v>125</v>
      </c>
      <c r="C74">
        <v>0.67</v>
      </c>
      <c r="D74">
        <v>0</v>
      </c>
      <c r="E74">
        <v>13</v>
      </c>
      <c r="F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32" x14ac:dyDescent="0.2">
      <c r="A75" t="s">
        <v>122</v>
      </c>
      <c r="B75" t="s">
        <v>126</v>
      </c>
      <c r="C75">
        <v>0.05</v>
      </c>
      <c r="D75">
        <v>0</v>
      </c>
      <c r="E75">
        <v>1</v>
      </c>
      <c r="F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32" x14ac:dyDescent="0.2">
      <c r="A76" t="s">
        <v>122</v>
      </c>
      <c r="B76" t="s">
        <v>127</v>
      </c>
      <c r="C76">
        <v>0.15</v>
      </c>
      <c r="D76">
        <v>0</v>
      </c>
      <c r="E76">
        <v>3</v>
      </c>
      <c r="F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32" x14ac:dyDescent="0.2">
      <c r="A77" t="s">
        <v>122</v>
      </c>
      <c r="B77" t="s">
        <v>128</v>
      </c>
      <c r="C77">
        <v>0.33</v>
      </c>
      <c r="D77">
        <v>0</v>
      </c>
      <c r="E77">
        <v>6</v>
      </c>
      <c r="F77">
        <v>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32" x14ac:dyDescent="0.2">
      <c r="A78" t="s">
        <v>122</v>
      </c>
      <c r="B78" t="s">
        <v>129</v>
      </c>
      <c r="C78">
        <v>0.33</v>
      </c>
      <c r="D78">
        <v>0</v>
      </c>
      <c r="E78">
        <v>6</v>
      </c>
      <c r="F78">
        <v>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32" x14ac:dyDescent="0.2">
      <c r="A79" t="s">
        <v>122</v>
      </c>
      <c r="B79" t="s">
        <v>130</v>
      </c>
      <c r="C79">
        <v>0.33</v>
      </c>
      <c r="D79">
        <v>0</v>
      </c>
      <c r="E79">
        <v>6</v>
      </c>
      <c r="F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32" x14ac:dyDescent="0.2">
      <c r="A80" t="s">
        <v>122</v>
      </c>
      <c r="B80" t="s">
        <v>131</v>
      </c>
      <c r="C80">
        <v>0.67</v>
      </c>
      <c r="D80">
        <v>0</v>
      </c>
      <c r="E80">
        <v>13</v>
      </c>
      <c r="F80">
        <v>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">
      <c r="A81" t="s">
        <v>122</v>
      </c>
      <c r="B81" t="s">
        <v>132</v>
      </c>
      <c r="C81">
        <v>0.17</v>
      </c>
      <c r="D81">
        <v>0</v>
      </c>
      <c r="E81">
        <v>3</v>
      </c>
      <c r="F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">
      <c r="A82" t="s">
        <v>122</v>
      </c>
      <c r="B82" t="s">
        <v>133</v>
      </c>
      <c r="C82">
        <v>0.05</v>
      </c>
      <c r="D82">
        <v>0</v>
      </c>
      <c r="E82">
        <v>1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">
      <c r="A83" t="s">
        <v>122</v>
      </c>
      <c r="B83" t="s">
        <v>134</v>
      </c>
      <c r="C83">
        <v>0.05</v>
      </c>
      <c r="D83">
        <v>0</v>
      </c>
      <c r="E83">
        <v>1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">
      <c r="A84" t="s">
        <v>122</v>
      </c>
      <c r="B84" t="s">
        <v>135</v>
      </c>
      <c r="C84">
        <v>0.05</v>
      </c>
      <c r="D84">
        <v>0</v>
      </c>
      <c r="E84">
        <v>1</v>
      </c>
      <c r="F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">
      <c r="A85" t="s">
        <v>122</v>
      </c>
      <c r="B85" t="s">
        <v>136</v>
      </c>
      <c r="C85">
        <v>3.52</v>
      </c>
      <c r="D85">
        <v>3</v>
      </c>
      <c r="E85">
        <v>10</v>
      </c>
      <c r="F85">
        <v>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">
      <c r="A86" t="s">
        <v>137</v>
      </c>
      <c r="B86" t="s">
        <v>138</v>
      </c>
      <c r="C86">
        <v>0.1</v>
      </c>
      <c r="D86">
        <v>0</v>
      </c>
      <c r="E86">
        <v>2</v>
      </c>
      <c r="F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">
      <c r="A87" t="s">
        <v>137</v>
      </c>
      <c r="B87" t="s">
        <v>139</v>
      </c>
      <c r="C87">
        <v>0.1</v>
      </c>
      <c r="D87">
        <v>0</v>
      </c>
      <c r="E87">
        <v>2</v>
      </c>
      <c r="F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">
      <c r="A88" t="s">
        <v>137</v>
      </c>
      <c r="B88" t="s">
        <v>140</v>
      </c>
      <c r="C88">
        <v>2.52</v>
      </c>
      <c r="D88">
        <v>2</v>
      </c>
      <c r="E88">
        <v>10</v>
      </c>
      <c r="F88">
        <v>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">
      <c r="A89" t="s">
        <v>137</v>
      </c>
      <c r="B89" t="s">
        <v>141</v>
      </c>
      <c r="C89">
        <v>2.72</v>
      </c>
      <c r="D89">
        <v>2</v>
      </c>
      <c r="E89">
        <v>14</v>
      </c>
      <c r="F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">
      <c r="A90" t="s">
        <v>142</v>
      </c>
      <c r="B90" t="s">
        <v>143</v>
      </c>
      <c r="C90">
        <v>6.23</v>
      </c>
      <c r="D90">
        <v>6</v>
      </c>
      <c r="E90">
        <v>4</v>
      </c>
      <c r="F90">
        <v>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">
      <c r="A91" t="s">
        <v>144</v>
      </c>
      <c r="B91" t="s">
        <v>145</v>
      </c>
      <c r="C91">
        <v>38.31</v>
      </c>
      <c r="D91">
        <v>38</v>
      </c>
      <c r="E91">
        <v>6</v>
      </c>
      <c r="F91">
        <v>1.5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">
      <c r="A92" t="s">
        <v>146</v>
      </c>
      <c r="B92" t="s">
        <v>147</v>
      </c>
      <c r="C92">
        <v>0.15</v>
      </c>
      <c r="D92">
        <v>0</v>
      </c>
      <c r="E92">
        <v>3</v>
      </c>
      <c r="F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">
      <c r="A93" t="s">
        <v>146</v>
      </c>
      <c r="B93" t="s">
        <v>148</v>
      </c>
      <c r="C93">
        <v>0.02</v>
      </c>
      <c r="D93">
        <v>0</v>
      </c>
      <c r="E93">
        <v>0</v>
      </c>
      <c r="F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">
      <c r="A94" t="s">
        <v>146</v>
      </c>
      <c r="B94" t="s">
        <v>149</v>
      </c>
      <c r="C94">
        <v>0.02</v>
      </c>
      <c r="D94">
        <v>0</v>
      </c>
      <c r="E94">
        <v>0</v>
      </c>
      <c r="F94">
        <v>4.5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">
      <c r="A95" t="s">
        <v>146</v>
      </c>
      <c r="B95" t="s">
        <v>150</v>
      </c>
      <c r="C95">
        <v>0.04</v>
      </c>
      <c r="D95">
        <v>0</v>
      </c>
      <c r="E95">
        <v>0</v>
      </c>
      <c r="F95">
        <v>9.5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">
      <c r="A96" t="s">
        <v>146</v>
      </c>
      <c r="B96" t="s">
        <v>151</v>
      </c>
      <c r="C96">
        <v>0.04</v>
      </c>
      <c r="D96">
        <v>0</v>
      </c>
      <c r="E96">
        <v>0</v>
      </c>
      <c r="F96">
        <v>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">
      <c r="A97" t="s">
        <v>146</v>
      </c>
      <c r="B97" t="s">
        <v>152</v>
      </c>
      <c r="C97">
        <v>0.12</v>
      </c>
      <c r="D97">
        <v>0</v>
      </c>
      <c r="E97">
        <v>2</v>
      </c>
      <c r="F97">
        <v>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">
      <c r="A98" t="s">
        <v>146</v>
      </c>
      <c r="B98" t="s">
        <v>153</v>
      </c>
      <c r="C98">
        <v>0.01</v>
      </c>
      <c r="D98">
        <v>0</v>
      </c>
      <c r="E98">
        <v>0</v>
      </c>
      <c r="F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">
      <c r="A99" t="s">
        <v>146</v>
      </c>
      <c r="B99" t="s">
        <v>154</v>
      </c>
      <c r="C99">
        <v>7.0000000000000007E-2</v>
      </c>
      <c r="D99">
        <v>0</v>
      </c>
      <c r="E99">
        <v>1</v>
      </c>
      <c r="F99">
        <v>5.5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">
      <c r="A100" t="s">
        <v>146</v>
      </c>
      <c r="B100" t="s">
        <v>155</v>
      </c>
      <c r="C100">
        <v>0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">
      <c r="A101" t="s">
        <v>146</v>
      </c>
      <c r="B101" t="s">
        <v>156</v>
      </c>
      <c r="C101">
        <v>0.01</v>
      </c>
      <c r="D101">
        <v>0</v>
      </c>
      <c r="E101">
        <v>0</v>
      </c>
      <c r="F101">
        <v>1.5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">
      <c r="A102" t="s">
        <v>146</v>
      </c>
      <c r="B102" t="s">
        <v>157</v>
      </c>
      <c r="C102">
        <v>0.02</v>
      </c>
      <c r="D102">
        <v>0</v>
      </c>
      <c r="E102">
        <v>0</v>
      </c>
      <c r="F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">
      <c r="A103" t="s">
        <v>146</v>
      </c>
      <c r="B103" t="s">
        <v>158</v>
      </c>
      <c r="C103">
        <v>0.5</v>
      </c>
      <c r="D103">
        <v>0</v>
      </c>
      <c r="E103">
        <v>10</v>
      </c>
      <c r="F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">
      <c r="A104" t="s">
        <v>146</v>
      </c>
      <c r="B104" t="s">
        <v>159</v>
      </c>
      <c r="C104">
        <v>0.3</v>
      </c>
      <c r="D104">
        <v>0</v>
      </c>
      <c r="E104">
        <v>6</v>
      </c>
      <c r="F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">
      <c r="A105" t="s">
        <v>146</v>
      </c>
      <c r="B105" t="s">
        <v>160</v>
      </c>
      <c r="C105">
        <v>7.0000000000000007E-2</v>
      </c>
      <c r="D105">
        <v>0</v>
      </c>
      <c r="E105">
        <v>1</v>
      </c>
      <c r="F105">
        <v>4</v>
      </c>
      <c r="G105" t="s">
        <v>161</v>
      </c>
      <c r="H105">
        <v>0</v>
      </c>
      <c r="I105">
        <v>4</v>
      </c>
      <c r="J105">
        <v>0.5</v>
      </c>
      <c r="K105">
        <v>0.5</v>
      </c>
      <c r="L105">
        <v>0</v>
      </c>
      <c r="M105">
        <v>0</v>
      </c>
      <c r="N105">
        <v>4</v>
      </c>
    </row>
    <row r="106" spans="1:14" x14ac:dyDescent="0.2">
      <c r="A106" t="s">
        <v>146</v>
      </c>
      <c r="B106" t="s">
        <v>162</v>
      </c>
      <c r="C106">
        <v>2</v>
      </c>
      <c r="D106">
        <v>2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">
      <c r="A107" t="s">
        <v>163</v>
      </c>
      <c r="B107" t="s">
        <v>164</v>
      </c>
      <c r="C107">
        <v>0.02</v>
      </c>
      <c r="D107">
        <v>0</v>
      </c>
      <c r="E107">
        <v>0</v>
      </c>
      <c r="F107">
        <v>5.5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">
      <c r="A108" t="s">
        <v>163</v>
      </c>
      <c r="B108" t="s">
        <v>165</v>
      </c>
      <c r="C108">
        <v>0.03</v>
      </c>
      <c r="D108">
        <v>0</v>
      </c>
      <c r="E108">
        <v>0</v>
      </c>
      <c r="F108">
        <v>6.5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">
      <c r="A109" t="s">
        <v>163</v>
      </c>
      <c r="B109" t="s">
        <v>166</v>
      </c>
      <c r="C109">
        <v>0.03</v>
      </c>
      <c r="D109">
        <v>0</v>
      </c>
      <c r="E109">
        <v>0</v>
      </c>
      <c r="F109">
        <v>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">
      <c r="A110" t="s">
        <v>163</v>
      </c>
      <c r="B110" t="s">
        <v>167</v>
      </c>
      <c r="C110">
        <v>0.03</v>
      </c>
      <c r="D110">
        <v>0</v>
      </c>
      <c r="E110">
        <v>0</v>
      </c>
      <c r="F110">
        <v>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">
      <c r="A111" t="s">
        <v>163</v>
      </c>
      <c r="B111" t="s">
        <v>168</v>
      </c>
      <c r="C111">
        <v>0.03</v>
      </c>
      <c r="D111">
        <v>0</v>
      </c>
      <c r="E111">
        <v>0</v>
      </c>
      <c r="F111">
        <v>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">
      <c r="A112" t="s">
        <v>163</v>
      </c>
      <c r="B112" t="s">
        <v>169</v>
      </c>
      <c r="C112">
        <v>0.01</v>
      </c>
      <c r="D112">
        <v>0</v>
      </c>
      <c r="E112">
        <v>0</v>
      </c>
      <c r="F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">
      <c r="A113" t="s">
        <v>163</v>
      </c>
      <c r="B113" t="s">
        <v>170</v>
      </c>
      <c r="C113">
        <v>0.12</v>
      </c>
      <c r="D113">
        <v>0</v>
      </c>
      <c r="E113">
        <v>2</v>
      </c>
      <c r="F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">
      <c r="A114" t="s">
        <v>163</v>
      </c>
      <c r="B114" t="s">
        <v>171</v>
      </c>
      <c r="C114">
        <v>0.03</v>
      </c>
      <c r="D114">
        <v>0</v>
      </c>
      <c r="E114">
        <v>0</v>
      </c>
      <c r="F114">
        <v>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">
      <c r="A115" t="s">
        <v>163</v>
      </c>
      <c r="B115" t="s">
        <v>172</v>
      </c>
      <c r="C115">
        <v>0.15</v>
      </c>
      <c r="D115">
        <v>0</v>
      </c>
      <c r="E115">
        <v>3</v>
      </c>
      <c r="F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">
      <c r="A116" t="s">
        <v>163</v>
      </c>
      <c r="B116" t="s">
        <v>173</v>
      </c>
      <c r="C116">
        <v>0.43</v>
      </c>
      <c r="D116">
        <v>0</v>
      </c>
      <c r="E116">
        <v>8</v>
      </c>
      <c r="F116">
        <v>8</v>
      </c>
      <c r="G116" t="s">
        <v>174</v>
      </c>
      <c r="H116">
        <v>4</v>
      </c>
      <c r="I116">
        <v>2</v>
      </c>
      <c r="J116">
        <v>4.25</v>
      </c>
      <c r="K116">
        <v>4.25</v>
      </c>
      <c r="L116">
        <v>0</v>
      </c>
      <c r="M116">
        <v>4</v>
      </c>
      <c r="N116">
        <v>2</v>
      </c>
    </row>
    <row r="117" spans="1:14" x14ac:dyDescent="0.2">
      <c r="A117" t="s">
        <v>175</v>
      </c>
      <c r="B117" t="s">
        <v>176</v>
      </c>
      <c r="C117">
        <v>0.02</v>
      </c>
      <c r="D117">
        <v>0</v>
      </c>
      <c r="E117">
        <v>0</v>
      </c>
      <c r="F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">
      <c r="A118" t="s">
        <v>175</v>
      </c>
      <c r="B118" t="s">
        <v>177</v>
      </c>
      <c r="C118">
        <v>7.0000000000000007E-2</v>
      </c>
      <c r="D118">
        <v>0</v>
      </c>
      <c r="E118">
        <v>1</v>
      </c>
      <c r="F118">
        <v>5</v>
      </c>
      <c r="H118">
        <v>0</v>
      </c>
      <c r="I118">
        <v>5</v>
      </c>
      <c r="J118">
        <v>0.625</v>
      </c>
      <c r="K118">
        <v>0.625</v>
      </c>
      <c r="L118">
        <v>0</v>
      </c>
      <c r="M118">
        <v>0</v>
      </c>
      <c r="N118">
        <v>5</v>
      </c>
    </row>
    <row r="119" spans="1:14" x14ac:dyDescent="0.2">
      <c r="A119" t="s">
        <v>175</v>
      </c>
      <c r="B119" t="s">
        <v>178</v>
      </c>
      <c r="C119">
        <v>0.01</v>
      </c>
      <c r="D119">
        <v>0</v>
      </c>
      <c r="E119">
        <v>0</v>
      </c>
      <c r="F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">
      <c r="A120" t="s">
        <v>175</v>
      </c>
      <c r="B120" t="s">
        <v>179</v>
      </c>
      <c r="C120">
        <v>0.02</v>
      </c>
      <c r="D120">
        <v>0</v>
      </c>
      <c r="E120">
        <v>0</v>
      </c>
      <c r="F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">
      <c r="A121" t="s">
        <v>175</v>
      </c>
      <c r="B121" t="s">
        <v>180</v>
      </c>
      <c r="C121">
        <v>0.01</v>
      </c>
      <c r="D121">
        <v>0</v>
      </c>
      <c r="E121">
        <v>0</v>
      </c>
      <c r="F121">
        <v>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">
      <c r="A122" t="s">
        <v>175</v>
      </c>
      <c r="B122" t="s">
        <v>181</v>
      </c>
      <c r="C122">
        <v>0.08</v>
      </c>
      <c r="D122">
        <v>0</v>
      </c>
      <c r="E122">
        <v>1</v>
      </c>
      <c r="F122">
        <v>7.5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">
      <c r="A123" t="s">
        <v>175</v>
      </c>
      <c r="B123" t="s">
        <v>155</v>
      </c>
      <c r="C123">
        <v>0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">
      <c r="A124" t="s">
        <v>175</v>
      </c>
      <c r="B124" t="s">
        <v>182</v>
      </c>
      <c r="C124">
        <v>0.01</v>
      </c>
      <c r="D124">
        <v>0</v>
      </c>
      <c r="E124">
        <v>0</v>
      </c>
      <c r="F124">
        <v>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">
      <c r="A125" t="s">
        <v>175</v>
      </c>
      <c r="B125" t="s">
        <v>183</v>
      </c>
      <c r="C125">
        <v>0.15</v>
      </c>
      <c r="D125">
        <v>0</v>
      </c>
      <c r="E125">
        <v>3</v>
      </c>
      <c r="F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">
      <c r="A126" t="s">
        <v>175</v>
      </c>
      <c r="B126" t="s">
        <v>184</v>
      </c>
      <c r="C126">
        <v>0.02</v>
      </c>
      <c r="D126">
        <v>0</v>
      </c>
      <c r="E126">
        <v>0</v>
      </c>
      <c r="F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t="s">
        <v>175</v>
      </c>
      <c r="B127" t="s">
        <v>185</v>
      </c>
      <c r="C127">
        <v>0.08</v>
      </c>
      <c r="D127">
        <v>0</v>
      </c>
      <c r="E127">
        <v>1</v>
      </c>
      <c r="F127">
        <v>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t="s">
        <v>175</v>
      </c>
      <c r="B128" t="s">
        <v>186</v>
      </c>
      <c r="C128">
        <v>0.15</v>
      </c>
      <c r="D128">
        <v>0</v>
      </c>
      <c r="E128">
        <v>3</v>
      </c>
      <c r="F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t="s">
        <v>175</v>
      </c>
      <c r="B129" t="s">
        <v>187</v>
      </c>
      <c r="C129">
        <v>2.95</v>
      </c>
      <c r="D129">
        <v>2</v>
      </c>
      <c r="E129">
        <v>19</v>
      </c>
      <c r="F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t="s">
        <v>175</v>
      </c>
      <c r="B130" t="s">
        <v>188</v>
      </c>
      <c r="C130">
        <v>3.62</v>
      </c>
      <c r="D130">
        <v>3</v>
      </c>
      <c r="E130">
        <v>12</v>
      </c>
      <c r="F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t="s">
        <v>189</v>
      </c>
      <c r="B131" t="s">
        <v>190</v>
      </c>
      <c r="C131">
        <v>0.26</v>
      </c>
      <c r="D131">
        <v>0</v>
      </c>
      <c r="E131">
        <v>5</v>
      </c>
      <c r="F131">
        <v>2.5</v>
      </c>
      <c r="G131" t="s">
        <v>191</v>
      </c>
      <c r="H131">
        <v>30</v>
      </c>
      <c r="I131">
        <v>0</v>
      </c>
      <c r="J131">
        <v>30</v>
      </c>
      <c r="K131">
        <v>30</v>
      </c>
      <c r="L131">
        <v>0</v>
      </c>
      <c r="M131">
        <v>30</v>
      </c>
      <c r="N131">
        <v>0</v>
      </c>
    </row>
    <row r="132" spans="1:14" x14ac:dyDescent="0.2">
      <c r="A132" t="s">
        <v>189</v>
      </c>
      <c r="B132" t="s">
        <v>192</v>
      </c>
      <c r="C132">
        <v>0.3</v>
      </c>
      <c r="D132">
        <v>0</v>
      </c>
      <c r="E132">
        <v>6</v>
      </c>
      <c r="F132">
        <v>0</v>
      </c>
      <c r="G132" t="s">
        <v>193</v>
      </c>
      <c r="H132">
        <v>64</v>
      </c>
      <c r="I132">
        <v>1</v>
      </c>
      <c r="J132">
        <v>64.125</v>
      </c>
      <c r="K132">
        <v>64.125</v>
      </c>
      <c r="L132">
        <v>0</v>
      </c>
      <c r="M132">
        <v>64</v>
      </c>
      <c r="N132">
        <v>1</v>
      </c>
    </row>
    <row r="133" spans="1:14" x14ac:dyDescent="0.2">
      <c r="A133" t="s">
        <v>189</v>
      </c>
      <c r="B133" t="s">
        <v>194</v>
      </c>
      <c r="C133">
        <v>0.05</v>
      </c>
      <c r="D133">
        <v>0</v>
      </c>
      <c r="E133">
        <v>1</v>
      </c>
      <c r="F133">
        <v>0</v>
      </c>
      <c r="G133" t="s">
        <v>174</v>
      </c>
      <c r="H133">
        <v>20</v>
      </c>
      <c r="I133">
        <v>3</v>
      </c>
      <c r="J133">
        <v>20.375</v>
      </c>
      <c r="K133">
        <v>20.375</v>
      </c>
      <c r="L133">
        <v>0</v>
      </c>
      <c r="M133">
        <v>20</v>
      </c>
      <c r="N133">
        <v>3</v>
      </c>
    </row>
    <row r="134" spans="1:14" x14ac:dyDescent="0.2">
      <c r="A134" t="s">
        <v>189</v>
      </c>
      <c r="B134" t="s">
        <v>195</v>
      </c>
      <c r="C134">
        <v>7.0000000000000007E-2</v>
      </c>
      <c r="D134">
        <v>0</v>
      </c>
      <c r="E134">
        <v>1</v>
      </c>
      <c r="F134">
        <v>4.5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t="s">
        <v>196</v>
      </c>
      <c r="B135" t="s">
        <v>197</v>
      </c>
      <c r="C135">
        <v>0.35</v>
      </c>
      <c r="D135">
        <v>0</v>
      </c>
      <c r="E135">
        <v>6</v>
      </c>
      <c r="F135">
        <v>11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t="s">
        <v>196</v>
      </c>
      <c r="B136" t="s">
        <v>198</v>
      </c>
      <c r="C136">
        <v>0.08</v>
      </c>
      <c r="D136">
        <v>0</v>
      </c>
      <c r="E136">
        <v>1</v>
      </c>
      <c r="F136">
        <v>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t="s">
        <v>196</v>
      </c>
      <c r="B137" t="s">
        <v>199</v>
      </c>
      <c r="C137">
        <v>0.01</v>
      </c>
      <c r="D137">
        <v>0</v>
      </c>
      <c r="E137">
        <v>0</v>
      </c>
      <c r="F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t="s">
        <v>196</v>
      </c>
      <c r="B138" t="s">
        <v>200</v>
      </c>
      <c r="C138">
        <v>0.68</v>
      </c>
      <c r="D138">
        <v>0</v>
      </c>
      <c r="E138">
        <v>13</v>
      </c>
      <c r="F138">
        <v>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t="s">
        <v>196</v>
      </c>
      <c r="B139" t="s">
        <v>201</v>
      </c>
      <c r="C139">
        <v>0.13</v>
      </c>
      <c r="D139">
        <v>0</v>
      </c>
      <c r="E139">
        <v>2</v>
      </c>
      <c r="F139">
        <v>8</v>
      </c>
      <c r="H139">
        <v>3</v>
      </c>
      <c r="I139">
        <v>0</v>
      </c>
      <c r="J139">
        <v>3</v>
      </c>
      <c r="K139">
        <v>3</v>
      </c>
      <c r="L139">
        <v>0</v>
      </c>
      <c r="M139">
        <v>3</v>
      </c>
      <c r="N139">
        <v>0</v>
      </c>
    </row>
    <row r="140" spans="1:14" x14ac:dyDescent="0.2">
      <c r="A140" t="s">
        <v>196</v>
      </c>
      <c r="B140" t="s">
        <v>155</v>
      </c>
      <c r="C140">
        <v>0</v>
      </c>
      <c r="D140">
        <v>0</v>
      </c>
      <c r="E140">
        <v>0</v>
      </c>
      <c r="F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t="s">
        <v>196</v>
      </c>
      <c r="B141" t="s">
        <v>202</v>
      </c>
      <c r="C141">
        <v>0.01</v>
      </c>
      <c r="D141">
        <v>0</v>
      </c>
      <c r="E141">
        <v>0</v>
      </c>
      <c r="F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t="s">
        <v>196</v>
      </c>
      <c r="B142" t="s">
        <v>203</v>
      </c>
      <c r="C142">
        <v>0.12</v>
      </c>
      <c r="D142">
        <v>0</v>
      </c>
      <c r="E142">
        <v>2</v>
      </c>
      <c r="F142">
        <v>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t="s">
        <v>196</v>
      </c>
      <c r="B143" t="s">
        <v>204</v>
      </c>
      <c r="C143">
        <v>0.03</v>
      </c>
      <c r="D143">
        <v>0</v>
      </c>
      <c r="E143">
        <v>0</v>
      </c>
      <c r="F143">
        <v>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t="s">
        <v>196</v>
      </c>
      <c r="B144" t="s">
        <v>205</v>
      </c>
      <c r="C144">
        <v>0.03</v>
      </c>
      <c r="D144">
        <v>0</v>
      </c>
      <c r="E144">
        <v>0</v>
      </c>
      <c r="F144">
        <v>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t="s">
        <v>196</v>
      </c>
      <c r="B145" t="s">
        <v>206</v>
      </c>
      <c r="C145">
        <v>0.04</v>
      </c>
      <c r="D145">
        <v>0</v>
      </c>
      <c r="E145">
        <v>0</v>
      </c>
      <c r="F145">
        <v>10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t="s">
        <v>196</v>
      </c>
      <c r="B146" t="s">
        <v>207</v>
      </c>
      <c r="C146">
        <v>1.45</v>
      </c>
      <c r="D146">
        <v>1</v>
      </c>
      <c r="E146">
        <v>8</v>
      </c>
      <c r="F146">
        <v>11.5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t="s">
        <v>208</v>
      </c>
      <c r="B147" t="s">
        <v>209</v>
      </c>
      <c r="C147">
        <v>0.15</v>
      </c>
      <c r="D147">
        <v>0</v>
      </c>
      <c r="E147">
        <v>3</v>
      </c>
      <c r="F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t="s">
        <v>208</v>
      </c>
      <c r="B148" t="s">
        <v>210</v>
      </c>
      <c r="C148">
        <v>0.22</v>
      </c>
      <c r="D148">
        <v>0</v>
      </c>
      <c r="E148">
        <v>4</v>
      </c>
      <c r="F148">
        <v>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t="s">
        <v>208</v>
      </c>
      <c r="B149" t="s">
        <v>155</v>
      </c>
      <c r="C149">
        <v>0</v>
      </c>
      <c r="D149">
        <v>0</v>
      </c>
      <c r="E149">
        <v>0</v>
      </c>
      <c r="F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t="s">
        <v>208</v>
      </c>
      <c r="B150" t="s">
        <v>211</v>
      </c>
      <c r="C150">
        <v>0.4</v>
      </c>
      <c r="D150">
        <v>0</v>
      </c>
      <c r="E150">
        <v>8</v>
      </c>
      <c r="F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t="s">
        <v>212</v>
      </c>
      <c r="B151" t="s">
        <v>213</v>
      </c>
      <c r="C151">
        <v>0.1</v>
      </c>
      <c r="D151">
        <v>0</v>
      </c>
      <c r="E151">
        <v>2</v>
      </c>
      <c r="F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t="s">
        <v>212</v>
      </c>
      <c r="B152" t="s">
        <v>214</v>
      </c>
      <c r="C152">
        <v>0.1</v>
      </c>
      <c r="D152">
        <v>0</v>
      </c>
      <c r="E152">
        <v>2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t="s">
        <v>212</v>
      </c>
      <c r="B153" t="s">
        <v>215</v>
      </c>
      <c r="C153">
        <v>0.1</v>
      </c>
      <c r="D153">
        <v>0</v>
      </c>
      <c r="E153">
        <v>2</v>
      </c>
      <c r="F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t="s">
        <v>212</v>
      </c>
      <c r="B154" t="s">
        <v>216</v>
      </c>
      <c r="C154">
        <v>0.03</v>
      </c>
      <c r="D154">
        <v>0</v>
      </c>
      <c r="E154">
        <v>0</v>
      </c>
      <c r="F154">
        <v>7.5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t="s">
        <v>212</v>
      </c>
      <c r="B155" t="s">
        <v>217</v>
      </c>
      <c r="C155">
        <v>0.06</v>
      </c>
      <c r="D155">
        <v>0</v>
      </c>
      <c r="E155">
        <v>1</v>
      </c>
      <c r="F155">
        <v>3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t="s">
        <v>212</v>
      </c>
      <c r="B156" t="s">
        <v>218</v>
      </c>
      <c r="C156">
        <v>0.28999999999999998</v>
      </c>
      <c r="D156">
        <v>0</v>
      </c>
      <c r="E156">
        <v>5</v>
      </c>
      <c r="F156">
        <v>9</v>
      </c>
      <c r="G156" t="s">
        <v>219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t="s">
        <v>212</v>
      </c>
      <c r="B157" t="s">
        <v>220</v>
      </c>
      <c r="C157">
        <v>0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t="s">
        <v>212</v>
      </c>
      <c r="B158" t="s">
        <v>221</v>
      </c>
      <c r="C158">
        <v>0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t="s">
        <v>212</v>
      </c>
      <c r="B159" t="s">
        <v>155</v>
      </c>
      <c r="C159">
        <v>0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t="s">
        <v>212</v>
      </c>
      <c r="B160" t="s">
        <v>222</v>
      </c>
      <c r="C160">
        <v>0.83</v>
      </c>
      <c r="D160">
        <v>0</v>
      </c>
      <c r="E160">
        <v>16</v>
      </c>
      <c r="F160">
        <v>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t="s">
        <v>212</v>
      </c>
      <c r="B161" t="s">
        <v>155</v>
      </c>
      <c r="C161">
        <v>0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t="s">
        <v>212</v>
      </c>
      <c r="B162" t="s">
        <v>223</v>
      </c>
      <c r="C162">
        <v>0.12</v>
      </c>
      <c r="D162">
        <v>0</v>
      </c>
      <c r="E162">
        <v>2</v>
      </c>
      <c r="F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t="s">
        <v>212</v>
      </c>
      <c r="B163" t="s">
        <v>224</v>
      </c>
      <c r="C163">
        <v>0.1</v>
      </c>
      <c r="D163">
        <v>0</v>
      </c>
      <c r="E163">
        <v>1</v>
      </c>
      <c r="F163">
        <v>11.5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t="s">
        <v>225</v>
      </c>
      <c r="B164" t="s">
        <v>226</v>
      </c>
      <c r="C164">
        <v>0.14000000000000001</v>
      </c>
      <c r="D164">
        <v>0</v>
      </c>
      <c r="E164">
        <v>2</v>
      </c>
      <c r="F164">
        <v>10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t="s">
        <v>225</v>
      </c>
      <c r="B165" t="s">
        <v>227</v>
      </c>
      <c r="C165">
        <v>7.0000000000000007E-2</v>
      </c>
      <c r="D165">
        <v>0</v>
      </c>
      <c r="E165">
        <v>1</v>
      </c>
      <c r="F165">
        <v>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t="s">
        <v>225</v>
      </c>
      <c r="B166" t="s">
        <v>228</v>
      </c>
      <c r="C166">
        <v>0.1</v>
      </c>
      <c r="D166">
        <v>0</v>
      </c>
      <c r="E166">
        <v>2</v>
      </c>
      <c r="F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t="s">
        <v>225</v>
      </c>
      <c r="B167" t="s">
        <v>229</v>
      </c>
      <c r="C167">
        <v>1.9</v>
      </c>
      <c r="D167">
        <v>1</v>
      </c>
      <c r="E167">
        <v>18</v>
      </c>
      <c r="F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t="s">
        <v>225</v>
      </c>
      <c r="B168" t="s">
        <v>230</v>
      </c>
      <c r="C168">
        <v>0.05</v>
      </c>
      <c r="D168">
        <v>0</v>
      </c>
      <c r="E168">
        <v>1</v>
      </c>
      <c r="F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t="s">
        <v>225</v>
      </c>
      <c r="B169" t="s">
        <v>231</v>
      </c>
      <c r="C169">
        <v>0.03</v>
      </c>
      <c r="D169">
        <v>0</v>
      </c>
      <c r="E169">
        <v>0</v>
      </c>
      <c r="F169">
        <v>8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t="s">
        <v>225</v>
      </c>
      <c r="B170" t="s">
        <v>232</v>
      </c>
      <c r="C170">
        <v>0.23</v>
      </c>
      <c r="D170">
        <v>0</v>
      </c>
      <c r="E170">
        <v>4</v>
      </c>
      <c r="F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">
      <c r="A171" t="s">
        <v>225</v>
      </c>
      <c r="B171" t="s">
        <v>233</v>
      </c>
      <c r="C171">
        <v>2.59</v>
      </c>
      <c r="D171">
        <v>2</v>
      </c>
      <c r="E171">
        <v>11</v>
      </c>
      <c r="F171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">
      <c r="A172" t="s">
        <v>234</v>
      </c>
      <c r="B172" t="s">
        <v>235</v>
      </c>
      <c r="C172">
        <v>0.04</v>
      </c>
      <c r="D172">
        <v>0</v>
      </c>
      <c r="E172">
        <v>0</v>
      </c>
      <c r="F172">
        <v>10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">
      <c r="A173" t="s">
        <v>234</v>
      </c>
      <c r="B173" t="s">
        <v>236</v>
      </c>
      <c r="C173">
        <v>0.08</v>
      </c>
      <c r="D173">
        <v>0</v>
      </c>
      <c r="E173">
        <v>1</v>
      </c>
      <c r="F173">
        <v>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">
      <c r="A174" t="s">
        <v>237</v>
      </c>
      <c r="B174" t="s">
        <v>238</v>
      </c>
      <c r="C174">
        <v>0.06</v>
      </c>
      <c r="D174">
        <v>0</v>
      </c>
      <c r="E174">
        <v>1</v>
      </c>
      <c r="F174">
        <v>1.5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">
      <c r="A175" t="s">
        <v>237</v>
      </c>
      <c r="B175" t="s">
        <v>239</v>
      </c>
      <c r="C175">
        <v>0.11</v>
      </c>
      <c r="D175">
        <v>0</v>
      </c>
      <c r="E175">
        <v>2</v>
      </c>
      <c r="F175">
        <v>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">
      <c r="A176" t="s">
        <v>237</v>
      </c>
      <c r="B176" t="s">
        <v>240</v>
      </c>
      <c r="C176">
        <v>0.12</v>
      </c>
      <c r="D176">
        <v>0</v>
      </c>
      <c r="E176">
        <v>2</v>
      </c>
      <c r="F176">
        <v>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6" x14ac:dyDescent="0.2">
      <c r="A177" t="s">
        <v>237</v>
      </c>
      <c r="B177" t="s">
        <v>241</v>
      </c>
      <c r="C177">
        <v>0.28000000000000003</v>
      </c>
      <c r="D177">
        <v>0</v>
      </c>
      <c r="E177">
        <v>5</v>
      </c>
      <c r="F177">
        <v>7.5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6" x14ac:dyDescent="0.2">
      <c r="A178" t="s">
        <v>242</v>
      </c>
      <c r="B178" t="s">
        <v>243</v>
      </c>
      <c r="C178">
        <v>0.28000000000000003</v>
      </c>
      <c r="D178">
        <v>0</v>
      </c>
      <c r="E178">
        <v>5</v>
      </c>
      <c r="F178">
        <v>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6" x14ac:dyDescent="0.2">
      <c r="A179" t="s">
        <v>242</v>
      </c>
      <c r="B179" t="s">
        <v>244</v>
      </c>
      <c r="C179">
        <v>3.04</v>
      </c>
      <c r="D179">
        <v>3</v>
      </c>
      <c r="E179">
        <v>0</v>
      </c>
      <c r="F179">
        <v>10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6" x14ac:dyDescent="0.2">
      <c r="A180" t="s">
        <v>242</v>
      </c>
      <c r="B180" t="s">
        <v>245</v>
      </c>
      <c r="C180">
        <v>0.02</v>
      </c>
      <c r="D180">
        <v>0</v>
      </c>
      <c r="E180">
        <v>0</v>
      </c>
      <c r="F180">
        <v>5.5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6" x14ac:dyDescent="0.2">
      <c r="A181" t="s">
        <v>242</v>
      </c>
      <c r="B181" t="s">
        <v>155</v>
      </c>
      <c r="C181">
        <v>0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6" x14ac:dyDescent="0.2">
      <c r="A182" t="s">
        <v>242</v>
      </c>
      <c r="B182" t="s">
        <v>246</v>
      </c>
      <c r="C182">
        <v>3.59</v>
      </c>
      <c r="D182">
        <v>3</v>
      </c>
      <c r="E182">
        <v>11</v>
      </c>
      <c r="F182">
        <v>10.5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6" x14ac:dyDescent="0.2">
      <c r="A183" t="s">
        <v>247</v>
      </c>
      <c r="B183" t="s">
        <v>248</v>
      </c>
      <c r="C183">
        <v>17.260000000000002</v>
      </c>
      <c r="D183">
        <v>17</v>
      </c>
      <c r="E183">
        <v>5</v>
      </c>
      <c r="F183">
        <v>2.5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6" x14ac:dyDescent="0.2">
      <c r="A184" t="s">
        <v>249</v>
      </c>
      <c r="B184" t="s">
        <v>250</v>
      </c>
      <c r="C184">
        <v>21.05</v>
      </c>
      <c r="D184">
        <v>21</v>
      </c>
      <c r="E184">
        <v>0</v>
      </c>
      <c r="F184">
        <v>11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6" x14ac:dyDescent="0.2">
      <c r="A185" t="s">
        <v>251</v>
      </c>
      <c r="B185" t="s">
        <v>252</v>
      </c>
      <c r="C185">
        <v>6.31</v>
      </c>
      <c r="D185">
        <v>6</v>
      </c>
      <c r="E185">
        <v>6</v>
      </c>
      <c r="F185">
        <v>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6" x14ac:dyDescent="0.2">
      <c r="A186" t="s">
        <v>251</v>
      </c>
      <c r="B186" t="s">
        <v>253</v>
      </c>
      <c r="C186">
        <v>2.58</v>
      </c>
      <c r="D186">
        <v>2</v>
      </c>
      <c r="E186">
        <v>11</v>
      </c>
      <c r="F186">
        <v>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6" x14ac:dyDescent="0.2">
      <c r="A187" t="s">
        <v>254</v>
      </c>
      <c r="B187" t="s">
        <v>255</v>
      </c>
      <c r="C187">
        <v>12.15</v>
      </c>
      <c r="D187">
        <v>12</v>
      </c>
      <c r="E187">
        <v>3</v>
      </c>
      <c r="F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6" x14ac:dyDescent="0.2">
      <c r="A188" t="s">
        <v>256</v>
      </c>
      <c r="B188" t="s">
        <v>257</v>
      </c>
      <c r="C188">
        <v>0</v>
      </c>
      <c r="D188">
        <v>0</v>
      </c>
      <c r="E188">
        <v>0</v>
      </c>
      <c r="F188">
        <v>0</v>
      </c>
      <c r="H188">
        <v>1</v>
      </c>
      <c r="I188">
        <v>4</v>
      </c>
      <c r="J188">
        <v>1.5</v>
      </c>
      <c r="K188">
        <v>1.5</v>
      </c>
      <c r="L188">
        <v>0</v>
      </c>
      <c r="M188">
        <v>1</v>
      </c>
      <c r="N188">
        <v>4</v>
      </c>
    </row>
    <row r="189" spans="1:16" x14ac:dyDescent="0.2">
      <c r="A189" t="s">
        <v>256</v>
      </c>
      <c r="B189" t="s">
        <v>258</v>
      </c>
      <c r="C189">
        <v>0</v>
      </c>
      <c r="D189">
        <v>0</v>
      </c>
      <c r="E189">
        <v>0</v>
      </c>
      <c r="F189">
        <v>0</v>
      </c>
      <c r="G189" t="s">
        <v>105</v>
      </c>
      <c r="H189">
        <v>18.5</v>
      </c>
      <c r="I189">
        <v>0</v>
      </c>
      <c r="J189">
        <v>18.5</v>
      </c>
      <c r="K189">
        <v>18.5</v>
      </c>
      <c r="L189">
        <v>0</v>
      </c>
      <c r="M189">
        <v>18.5</v>
      </c>
      <c r="N189">
        <v>0</v>
      </c>
    </row>
    <row r="190" spans="1:16" x14ac:dyDescent="0.2">
      <c r="A190" t="s">
        <v>256</v>
      </c>
      <c r="B190" t="s">
        <v>259</v>
      </c>
      <c r="C190">
        <v>0</v>
      </c>
      <c r="D190">
        <v>0</v>
      </c>
      <c r="E190">
        <v>0</v>
      </c>
      <c r="F190">
        <v>0</v>
      </c>
      <c r="H190">
        <v>9.5</v>
      </c>
      <c r="I190">
        <v>1</v>
      </c>
      <c r="J190">
        <v>9.625</v>
      </c>
      <c r="K190">
        <v>9.625</v>
      </c>
      <c r="L190">
        <v>0</v>
      </c>
      <c r="M190">
        <v>9.5</v>
      </c>
      <c r="N190">
        <v>1</v>
      </c>
    </row>
    <row r="191" spans="1:16" x14ac:dyDescent="0.2">
      <c r="A191" t="s">
        <v>256</v>
      </c>
      <c r="B191" t="s">
        <v>260</v>
      </c>
      <c r="C191">
        <v>0</v>
      </c>
      <c r="D191">
        <v>0</v>
      </c>
      <c r="E191">
        <v>0</v>
      </c>
      <c r="F191">
        <v>0</v>
      </c>
      <c r="H191">
        <v>1</v>
      </c>
      <c r="I191">
        <v>1</v>
      </c>
      <c r="J191">
        <v>1.125</v>
      </c>
      <c r="K191">
        <v>0.125</v>
      </c>
      <c r="L191">
        <v>1</v>
      </c>
      <c r="M191">
        <v>0</v>
      </c>
      <c r="N191">
        <v>1</v>
      </c>
      <c r="O191">
        <v>1</v>
      </c>
      <c r="P191">
        <v>1</v>
      </c>
    </row>
    <row r="192" spans="1:16" x14ac:dyDescent="0.2">
      <c r="A192" t="s">
        <v>256</v>
      </c>
      <c r="B192" t="s">
        <v>155</v>
      </c>
      <c r="C192">
        <v>0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8" x14ac:dyDescent="0.2">
      <c r="A193" t="s">
        <v>256</v>
      </c>
      <c r="B193" t="s">
        <v>261</v>
      </c>
      <c r="C193">
        <v>0</v>
      </c>
      <c r="D193">
        <v>0</v>
      </c>
      <c r="E193">
        <v>0</v>
      </c>
      <c r="F193">
        <v>0</v>
      </c>
      <c r="H193">
        <v>8</v>
      </c>
      <c r="I193">
        <v>6</v>
      </c>
      <c r="J193">
        <v>8.75</v>
      </c>
      <c r="K193">
        <v>0.125</v>
      </c>
      <c r="L193">
        <v>8.625</v>
      </c>
      <c r="M193">
        <v>0</v>
      </c>
      <c r="N193">
        <v>1</v>
      </c>
      <c r="O193">
        <v>8</v>
      </c>
      <c r="P193">
        <v>6</v>
      </c>
    </row>
    <row r="194" spans="1:18" x14ac:dyDescent="0.2">
      <c r="A194" t="s">
        <v>262</v>
      </c>
      <c r="B194" t="s">
        <v>263</v>
      </c>
      <c r="C194">
        <v>0</v>
      </c>
      <c r="D194">
        <v>0</v>
      </c>
      <c r="E194">
        <v>0</v>
      </c>
      <c r="F194">
        <v>0</v>
      </c>
      <c r="G194" t="s">
        <v>264</v>
      </c>
      <c r="H194">
        <v>8</v>
      </c>
      <c r="I194">
        <v>5</v>
      </c>
      <c r="J194">
        <v>8.625</v>
      </c>
      <c r="K194">
        <v>8</v>
      </c>
      <c r="L194">
        <v>0.625</v>
      </c>
      <c r="M194">
        <v>8</v>
      </c>
      <c r="N194">
        <v>0</v>
      </c>
      <c r="O194">
        <v>0</v>
      </c>
      <c r="P194">
        <v>5</v>
      </c>
    </row>
    <row r="195" spans="1:18" x14ac:dyDescent="0.2">
      <c r="A195" t="s">
        <v>262</v>
      </c>
      <c r="B195" t="s">
        <v>265</v>
      </c>
      <c r="C195">
        <v>0</v>
      </c>
      <c r="D195">
        <v>0</v>
      </c>
      <c r="E195">
        <v>0</v>
      </c>
      <c r="F195">
        <v>0</v>
      </c>
      <c r="G195" t="s">
        <v>117</v>
      </c>
      <c r="H195">
        <v>3</v>
      </c>
      <c r="I195">
        <v>1</v>
      </c>
      <c r="J195">
        <v>3.125</v>
      </c>
      <c r="K195">
        <v>3.125</v>
      </c>
      <c r="L195">
        <v>0</v>
      </c>
      <c r="M195">
        <v>3</v>
      </c>
      <c r="N195">
        <v>1</v>
      </c>
    </row>
    <row r="196" spans="1:18" x14ac:dyDescent="0.2">
      <c r="A196" t="s">
        <v>262</v>
      </c>
      <c r="B196" t="s">
        <v>266</v>
      </c>
      <c r="C196">
        <v>0</v>
      </c>
      <c r="D196">
        <v>0</v>
      </c>
      <c r="E196">
        <v>0</v>
      </c>
      <c r="F196">
        <v>0</v>
      </c>
      <c r="H196">
        <v>6.5</v>
      </c>
      <c r="I196">
        <v>2</v>
      </c>
      <c r="J196">
        <v>6.75</v>
      </c>
      <c r="K196">
        <v>1.125</v>
      </c>
      <c r="L196">
        <v>5.625</v>
      </c>
      <c r="M196">
        <v>1</v>
      </c>
      <c r="N196">
        <v>1</v>
      </c>
      <c r="O196">
        <v>1</v>
      </c>
      <c r="P196">
        <v>2</v>
      </c>
      <c r="Q196">
        <v>5.5</v>
      </c>
      <c r="R196">
        <v>0</v>
      </c>
    </row>
    <row r="197" spans="1:18" x14ac:dyDescent="0.2">
      <c r="A197" t="s">
        <v>262</v>
      </c>
      <c r="B197" t="s">
        <v>267</v>
      </c>
      <c r="C197">
        <v>0</v>
      </c>
      <c r="D197">
        <v>0</v>
      </c>
      <c r="E197">
        <v>0</v>
      </c>
      <c r="F197">
        <v>0</v>
      </c>
      <c r="H197">
        <v>2.5</v>
      </c>
      <c r="I197">
        <v>5</v>
      </c>
      <c r="J197">
        <v>3.125</v>
      </c>
      <c r="K197">
        <v>2.5</v>
      </c>
      <c r="L197">
        <v>0.625</v>
      </c>
      <c r="M197">
        <v>2.5</v>
      </c>
      <c r="N197">
        <v>0</v>
      </c>
      <c r="O197">
        <v>0</v>
      </c>
      <c r="P197">
        <v>5</v>
      </c>
    </row>
    <row r="198" spans="1:18" x14ac:dyDescent="0.2">
      <c r="A198" t="s">
        <v>268</v>
      </c>
      <c r="B198" t="s">
        <v>269</v>
      </c>
      <c r="C198">
        <v>0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8" x14ac:dyDescent="0.2">
      <c r="A199" t="s">
        <v>268</v>
      </c>
      <c r="B199" t="s">
        <v>270</v>
      </c>
      <c r="C199">
        <v>0</v>
      </c>
      <c r="D199">
        <v>0</v>
      </c>
      <c r="E199">
        <v>0</v>
      </c>
      <c r="F199">
        <v>0</v>
      </c>
      <c r="G199" t="s">
        <v>271</v>
      </c>
      <c r="H199">
        <v>3.5</v>
      </c>
      <c r="I199">
        <v>0</v>
      </c>
      <c r="J199">
        <v>3.5</v>
      </c>
      <c r="K199">
        <v>3.5</v>
      </c>
      <c r="L199">
        <v>0</v>
      </c>
      <c r="M199">
        <v>3.5</v>
      </c>
      <c r="N199">
        <v>0</v>
      </c>
    </row>
    <row r="200" spans="1:18" x14ac:dyDescent="0.2">
      <c r="A200" t="s">
        <v>268</v>
      </c>
      <c r="B200" t="s">
        <v>272</v>
      </c>
      <c r="C200">
        <v>0</v>
      </c>
      <c r="D200">
        <v>0</v>
      </c>
      <c r="E200">
        <v>0</v>
      </c>
      <c r="F200">
        <v>0</v>
      </c>
      <c r="H200">
        <v>1</v>
      </c>
      <c r="I200">
        <v>6</v>
      </c>
      <c r="J200">
        <v>1.75</v>
      </c>
      <c r="K200">
        <v>1.75</v>
      </c>
      <c r="L200">
        <v>0</v>
      </c>
      <c r="M200">
        <v>1</v>
      </c>
      <c r="N200">
        <v>6</v>
      </c>
    </row>
    <row r="201" spans="1:18" x14ac:dyDescent="0.2">
      <c r="A201" t="s">
        <v>268</v>
      </c>
      <c r="B201" t="s">
        <v>273</v>
      </c>
      <c r="C201">
        <v>0</v>
      </c>
      <c r="D201">
        <v>0</v>
      </c>
      <c r="E201">
        <v>0</v>
      </c>
      <c r="F201">
        <v>0</v>
      </c>
      <c r="H201">
        <v>0</v>
      </c>
      <c r="I201">
        <v>2</v>
      </c>
      <c r="J201">
        <v>0.25</v>
      </c>
      <c r="K201">
        <v>0.125</v>
      </c>
      <c r="L201">
        <v>0.125</v>
      </c>
      <c r="M201">
        <v>0</v>
      </c>
      <c r="N201">
        <v>1</v>
      </c>
      <c r="O201">
        <v>0</v>
      </c>
      <c r="P201">
        <v>2</v>
      </c>
    </row>
    <row r="202" spans="1:18" x14ac:dyDescent="0.2">
      <c r="A202" t="s">
        <v>268</v>
      </c>
      <c r="B202" t="s">
        <v>274</v>
      </c>
      <c r="C202">
        <v>0</v>
      </c>
      <c r="D202">
        <v>0</v>
      </c>
      <c r="E202">
        <v>0</v>
      </c>
      <c r="F202">
        <v>0</v>
      </c>
      <c r="G202" t="s">
        <v>117</v>
      </c>
      <c r="H202">
        <v>1</v>
      </c>
      <c r="I202">
        <v>6</v>
      </c>
      <c r="J202">
        <v>1.75</v>
      </c>
      <c r="K202">
        <v>1.75</v>
      </c>
      <c r="L202">
        <v>0</v>
      </c>
      <c r="M202">
        <v>1</v>
      </c>
      <c r="N202">
        <v>6</v>
      </c>
    </row>
    <row r="203" spans="1:18" x14ac:dyDescent="0.2">
      <c r="A203" t="s">
        <v>275</v>
      </c>
      <c r="B203" t="s">
        <v>276</v>
      </c>
      <c r="C203">
        <v>0</v>
      </c>
      <c r="D203">
        <v>0</v>
      </c>
      <c r="E203">
        <v>0</v>
      </c>
      <c r="F203">
        <v>0</v>
      </c>
      <c r="H203">
        <v>2</v>
      </c>
      <c r="I203">
        <v>0</v>
      </c>
      <c r="J203">
        <v>2</v>
      </c>
      <c r="K203">
        <v>2</v>
      </c>
      <c r="L203">
        <v>0</v>
      </c>
      <c r="M203">
        <v>2</v>
      </c>
      <c r="N203">
        <v>0</v>
      </c>
    </row>
    <row r="204" spans="1:18" x14ac:dyDescent="0.2">
      <c r="A204" t="s">
        <v>275</v>
      </c>
      <c r="B204" t="s">
        <v>277</v>
      </c>
      <c r="C204">
        <v>0</v>
      </c>
      <c r="D204">
        <v>0</v>
      </c>
      <c r="E204">
        <v>0</v>
      </c>
      <c r="F204">
        <v>0</v>
      </c>
      <c r="G204" t="s">
        <v>117</v>
      </c>
      <c r="H204">
        <v>39</v>
      </c>
      <c r="I204">
        <v>1</v>
      </c>
      <c r="J204">
        <v>39.125</v>
      </c>
      <c r="K204">
        <v>39.125</v>
      </c>
      <c r="L204">
        <v>0</v>
      </c>
      <c r="M204">
        <v>39</v>
      </c>
      <c r="N204">
        <v>1</v>
      </c>
    </row>
    <row r="205" spans="1:18" x14ac:dyDescent="0.2">
      <c r="A205" t="s">
        <v>275</v>
      </c>
      <c r="B205" t="s">
        <v>278</v>
      </c>
      <c r="C205">
        <v>0</v>
      </c>
      <c r="D205">
        <v>0</v>
      </c>
      <c r="E205">
        <v>0</v>
      </c>
      <c r="F205">
        <v>0</v>
      </c>
      <c r="G205" t="s">
        <v>279</v>
      </c>
      <c r="H205">
        <v>3</v>
      </c>
      <c r="I205">
        <v>1</v>
      </c>
      <c r="J205">
        <v>3.125</v>
      </c>
      <c r="K205">
        <v>3.125</v>
      </c>
      <c r="L205">
        <v>0</v>
      </c>
      <c r="M205">
        <v>3</v>
      </c>
      <c r="N205">
        <v>1</v>
      </c>
    </row>
    <row r="206" spans="1:18" x14ac:dyDescent="0.2">
      <c r="A206" t="s">
        <v>275</v>
      </c>
      <c r="B206" t="s">
        <v>280</v>
      </c>
      <c r="C206">
        <v>0</v>
      </c>
      <c r="D206">
        <v>0</v>
      </c>
      <c r="E206">
        <v>0</v>
      </c>
      <c r="F206">
        <v>0</v>
      </c>
      <c r="G206" t="s">
        <v>271</v>
      </c>
      <c r="H206">
        <v>1</v>
      </c>
      <c r="I206">
        <v>6</v>
      </c>
      <c r="J206">
        <v>1.75</v>
      </c>
      <c r="K206">
        <v>1.75</v>
      </c>
      <c r="L206">
        <v>0</v>
      </c>
      <c r="M206">
        <v>1</v>
      </c>
      <c r="N206">
        <v>6</v>
      </c>
    </row>
    <row r="207" spans="1:18" x14ac:dyDescent="0.2">
      <c r="A207" t="s">
        <v>275</v>
      </c>
      <c r="B207" t="s">
        <v>281</v>
      </c>
      <c r="C207">
        <v>0</v>
      </c>
      <c r="D207">
        <v>0</v>
      </c>
      <c r="E207">
        <v>0</v>
      </c>
      <c r="F207">
        <v>0</v>
      </c>
      <c r="G207" t="s">
        <v>111</v>
      </c>
      <c r="H207">
        <v>4</v>
      </c>
      <c r="I207">
        <v>2</v>
      </c>
      <c r="J207">
        <v>4.25</v>
      </c>
      <c r="K207">
        <v>4.25</v>
      </c>
      <c r="L207">
        <v>0</v>
      </c>
      <c r="M207">
        <v>4</v>
      </c>
      <c r="N207">
        <v>2</v>
      </c>
    </row>
    <row r="208" spans="1:18" x14ac:dyDescent="0.2">
      <c r="A208" t="s">
        <v>275</v>
      </c>
      <c r="B208" t="s">
        <v>282</v>
      </c>
      <c r="C208">
        <v>0</v>
      </c>
      <c r="D208">
        <v>0</v>
      </c>
      <c r="E208">
        <v>0</v>
      </c>
      <c r="F208">
        <v>0</v>
      </c>
      <c r="G208" t="s">
        <v>283</v>
      </c>
      <c r="H208">
        <v>1</v>
      </c>
      <c r="I208">
        <v>1</v>
      </c>
      <c r="J208">
        <v>1.125</v>
      </c>
      <c r="K208">
        <v>1.125</v>
      </c>
      <c r="L208">
        <v>0</v>
      </c>
      <c r="M208">
        <v>1</v>
      </c>
      <c r="N208">
        <v>1</v>
      </c>
    </row>
    <row r="209" spans="1:16" x14ac:dyDescent="0.2">
      <c r="A209" t="s">
        <v>275</v>
      </c>
      <c r="B209" t="s">
        <v>284</v>
      </c>
      <c r="C209">
        <v>0</v>
      </c>
      <c r="D209">
        <v>0</v>
      </c>
      <c r="E209">
        <v>0</v>
      </c>
      <c r="F209">
        <v>0</v>
      </c>
      <c r="H209">
        <v>14</v>
      </c>
      <c r="I209">
        <v>2</v>
      </c>
      <c r="J209">
        <v>14.25</v>
      </c>
      <c r="K209">
        <v>49.375</v>
      </c>
      <c r="L209">
        <v>-35.125</v>
      </c>
      <c r="M209">
        <v>49</v>
      </c>
      <c r="N209">
        <v>3</v>
      </c>
      <c r="O209">
        <v>14</v>
      </c>
      <c r="P209">
        <v>2</v>
      </c>
    </row>
    <row r="210" spans="1:16" x14ac:dyDescent="0.2">
      <c r="A210" t="s">
        <v>275</v>
      </c>
      <c r="B210" t="s">
        <v>285</v>
      </c>
      <c r="C210">
        <v>0</v>
      </c>
      <c r="D210">
        <v>0</v>
      </c>
      <c r="E210">
        <v>0</v>
      </c>
      <c r="F210">
        <v>0</v>
      </c>
      <c r="H210">
        <v>0</v>
      </c>
      <c r="I210">
        <v>1.5</v>
      </c>
      <c r="J210">
        <v>0.1875</v>
      </c>
      <c r="K210">
        <v>0.1875</v>
      </c>
      <c r="L210">
        <v>0</v>
      </c>
      <c r="M210">
        <v>0</v>
      </c>
      <c r="N210">
        <v>1.5</v>
      </c>
      <c r="O210">
        <v>0</v>
      </c>
      <c r="P210">
        <v>1.5</v>
      </c>
    </row>
    <row r="211" spans="1:16" x14ac:dyDescent="0.2">
      <c r="A211" t="s">
        <v>275</v>
      </c>
      <c r="B211" t="s">
        <v>286</v>
      </c>
      <c r="C211">
        <v>0</v>
      </c>
      <c r="D211">
        <v>0</v>
      </c>
      <c r="E211">
        <v>0</v>
      </c>
      <c r="F211">
        <v>0</v>
      </c>
      <c r="H211">
        <v>19.5</v>
      </c>
      <c r="I211">
        <v>0</v>
      </c>
      <c r="J211">
        <v>19.5</v>
      </c>
      <c r="K211">
        <v>19.5</v>
      </c>
      <c r="L211">
        <v>0</v>
      </c>
      <c r="M211">
        <v>19.5</v>
      </c>
      <c r="N211">
        <v>0</v>
      </c>
    </row>
    <row r="212" spans="1:16" x14ac:dyDescent="0.2">
      <c r="A212" t="s">
        <v>275</v>
      </c>
      <c r="B212" t="s">
        <v>287</v>
      </c>
      <c r="C212">
        <v>0</v>
      </c>
      <c r="D212">
        <v>0</v>
      </c>
      <c r="E212">
        <v>0</v>
      </c>
      <c r="F212">
        <v>0</v>
      </c>
      <c r="H212">
        <v>4</v>
      </c>
      <c r="I212">
        <v>2</v>
      </c>
      <c r="J212">
        <v>4.25</v>
      </c>
      <c r="K212">
        <v>4.25</v>
      </c>
      <c r="L212">
        <v>0</v>
      </c>
      <c r="M212">
        <v>4</v>
      </c>
      <c r="N212">
        <v>2</v>
      </c>
    </row>
    <row r="213" spans="1:16" x14ac:dyDescent="0.2">
      <c r="A213" t="s">
        <v>275</v>
      </c>
      <c r="B213" t="s">
        <v>288</v>
      </c>
      <c r="C213">
        <v>0</v>
      </c>
      <c r="D213">
        <v>0</v>
      </c>
      <c r="E213">
        <v>0</v>
      </c>
      <c r="F213">
        <v>0</v>
      </c>
      <c r="H213">
        <v>3</v>
      </c>
      <c r="I213">
        <v>1</v>
      </c>
      <c r="J213">
        <v>3.125</v>
      </c>
      <c r="K213">
        <v>3.125</v>
      </c>
      <c r="L213">
        <v>0</v>
      </c>
      <c r="M213">
        <v>3</v>
      </c>
      <c r="N213">
        <v>1</v>
      </c>
    </row>
    <row r="214" spans="1:16" x14ac:dyDescent="0.2">
      <c r="A214" t="s">
        <v>275</v>
      </c>
      <c r="B214" t="s">
        <v>289</v>
      </c>
      <c r="C214">
        <v>0</v>
      </c>
      <c r="D214">
        <v>0</v>
      </c>
      <c r="E214">
        <v>0</v>
      </c>
      <c r="F214">
        <v>0</v>
      </c>
      <c r="H214">
        <v>6.5</v>
      </c>
      <c r="I214">
        <v>0</v>
      </c>
      <c r="J214">
        <v>6.5</v>
      </c>
      <c r="K214">
        <v>6.5</v>
      </c>
      <c r="L214">
        <v>0</v>
      </c>
      <c r="M214">
        <v>6.5</v>
      </c>
      <c r="N214">
        <v>0</v>
      </c>
    </row>
    <row r="215" spans="1:16" x14ac:dyDescent="0.2">
      <c r="A215" t="s">
        <v>275</v>
      </c>
      <c r="B215" t="s">
        <v>155</v>
      </c>
      <c r="C215">
        <v>0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6" x14ac:dyDescent="0.2">
      <c r="A216" t="s">
        <v>275</v>
      </c>
      <c r="B216" t="s">
        <v>290</v>
      </c>
      <c r="C216">
        <v>0</v>
      </c>
      <c r="D216">
        <v>0</v>
      </c>
      <c r="E216">
        <v>0</v>
      </c>
      <c r="F216">
        <v>0</v>
      </c>
      <c r="H216">
        <v>1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0</v>
      </c>
    </row>
    <row r="217" spans="1:16" x14ac:dyDescent="0.2">
      <c r="A217" t="s">
        <v>275</v>
      </c>
      <c r="B217" t="s">
        <v>291</v>
      </c>
      <c r="C217">
        <v>0</v>
      </c>
      <c r="D217">
        <v>0</v>
      </c>
      <c r="E217">
        <v>0</v>
      </c>
      <c r="F217">
        <v>0</v>
      </c>
      <c r="H217">
        <v>0</v>
      </c>
      <c r="I217">
        <v>6</v>
      </c>
      <c r="J217">
        <v>0.75</v>
      </c>
      <c r="K217">
        <v>0.75</v>
      </c>
      <c r="L217">
        <v>0</v>
      </c>
      <c r="M217">
        <v>0</v>
      </c>
      <c r="N217">
        <v>6</v>
      </c>
    </row>
    <row r="218" spans="1:16" x14ac:dyDescent="0.2">
      <c r="A218" t="s">
        <v>292</v>
      </c>
      <c r="B218" t="s">
        <v>293</v>
      </c>
      <c r="C218">
        <v>0</v>
      </c>
      <c r="D218">
        <v>0</v>
      </c>
      <c r="E218">
        <v>0</v>
      </c>
      <c r="F218">
        <v>0</v>
      </c>
      <c r="H218">
        <v>5</v>
      </c>
      <c r="I218">
        <v>0</v>
      </c>
      <c r="J218">
        <v>5</v>
      </c>
      <c r="K218">
        <v>5</v>
      </c>
      <c r="L218">
        <v>0</v>
      </c>
      <c r="M218">
        <v>5</v>
      </c>
      <c r="N218">
        <v>0</v>
      </c>
    </row>
    <row r="219" spans="1:16" x14ac:dyDescent="0.2">
      <c r="A219" t="s">
        <v>292</v>
      </c>
      <c r="B219" t="s">
        <v>294</v>
      </c>
      <c r="C219">
        <v>0</v>
      </c>
      <c r="D219">
        <v>0</v>
      </c>
      <c r="E219">
        <v>0</v>
      </c>
      <c r="F219">
        <v>0</v>
      </c>
      <c r="H219">
        <v>14.5</v>
      </c>
      <c r="I219">
        <v>0</v>
      </c>
      <c r="J219">
        <v>14.5</v>
      </c>
      <c r="K219">
        <v>14.5</v>
      </c>
      <c r="L219">
        <v>0</v>
      </c>
      <c r="M219">
        <v>14.5</v>
      </c>
      <c r="N219">
        <v>0</v>
      </c>
    </row>
    <row r="220" spans="1:16" x14ac:dyDescent="0.2">
      <c r="A220" t="s">
        <v>292</v>
      </c>
      <c r="B220" t="s">
        <v>295</v>
      </c>
      <c r="C220">
        <v>0</v>
      </c>
      <c r="D220">
        <v>0</v>
      </c>
      <c r="E220">
        <v>0</v>
      </c>
      <c r="F220">
        <v>0</v>
      </c>
      <c r="H220">
        <v>2</v>
      </c>
      <c r="I220">
        <v>5</v>
      </c>
      <c r="J220">
        <v>2.625</v>
      </c>
      <c r="K220">
        <v>2.625</v>
      </c>
      <c r="L220">
        <v>0</v>
      </c>
      <c r="M220">
        <v>2</v>
      </c>
      <c r="N220">
        <v>5</v>
      </c>
    </row>
    <row r="221" spans="1:16" x14ac:dyDescent="0.2">
      <c r="A221" t="s">
        <v>292</v>
      </c>
      <c r="B221" t="s">
        <v>296</v>
      </c>
      <c r="C221">
        <v>0</v>
      </c>
      <c r="D221">
        <v>0</v>
      </c>
      <c r="E221">
        <v>0</v>
      </c>
      <c r="F221">
        <v>0</v>
      </c>
      <c r="H221">
        <v>0</v>
      </c>
      <c r="I221">
        <v>3</v>
      </c>
      <c r="J221">
        <v>0.375</v>
      </c>
      <c r="K221">
        <v>0.125</v>
      </c>
      <c r="L221">
        <v>0.25</v>
      </c>
      <c r="M221">
        <v>0</v>
      </c>
      <c r="N221">
        <v>1</v>
      </c>
      <c r="O221">
        <v>0</v>
      </c>
      <c r="P221">
        <v>3</v>
      </c>
    </row>
    <row r="222" spans="1:16" x14ac:dyDescent="0.2">
      <c r="A222" t="s">
        <v>292</v>
      </c>
      <c r="B222" t="s">
        <v>297</v>
      </c>
      <c r="C222">
        <v>0</v>
      </c>
      <c r="D222">
        <v>0</v>
      </c>
      <c r="E222">
        <v>0</v>
      </c>
      <c r="F222">
        <v>0</v>
      </c>
      <c r="H222">
        <v>11</v>
      </c>
      <c r="I222">
        <v>7</v>
      </c>
      <c r="J222">
        <v>11.875</v>
      </c>
      <c r="K222">
        <v>11.875</v>
      </c>
      <c r="L222">
        <v>0</v>
      </c>
      <c r="M222">
        <v>11</v>
      </c>
      <c r="N222">
        <v>7</v>
      </c>
    </row>
    <row r="223" spans="1:16" x14ac:dyDescent="0.2">
      <c r="A223" t="s">
        <v>298</v>
      </c>
      <c r="B223" t="s">
        <v>299</v>
      </c>
      <c r="C223">
        <v>0</v>
      </c>
      <c r="D223">
        <v>0</v>
      </c>
      <c r="E223">
        <v>0</v>
      </c>
      <c r="F223">
        <v>0</v>
      </c>
      <c r="H223">
        <v>3</v>
      </c>
      <c r="I223">
        <v>5</v>
      </c>
      <c r="J223">
        <v>3.625</v>
      </c>
      <c r="K223">
        <v>3.625</v>
      </c>
      <c r="L223">
        <v>0</v>
      </c>
      <c r="M223">
        <v>3</v>
      </c>
      <c r="N223">
        <v>5</v>
      </c>
    </row>
    <row r="224" spans="1:16" x14ac:dyDescent="0.2">
      <c r="A224" t="s">
        <v>298</v>
      </c>
      <c r="B224" t="s">
        <v>300</v>
      </c>
      <c r="C224">
        <v>0</v>
      </c>
      <c r="D224">
        <v>0</v>
      </c>
      <c r="E224">
        <v>0</v>
      </c>
      <c r="F224">
        <v>0</v>
      </c>
      <c r="G224" t="s">
        <v>174</v>
      </c>
      <c r="H224">
        <v>20</v>
      </c>
      <c r="I224">
        <v>3</v>
      </c>
      <c r="J224">
        <v>20.375</v>
      </c>
      <c r="K224">
        <v>20.375</v>
      </c>
      <c r="L224">
        <v>0</v>
      </c>
      <c r="M224">
        <v>20</v>
      </c>
      <c r="N224">
        <v>3</v>
      </c>
    </row>
    <row r="225" spans="1:16" x14ac:dyDescent="0.2">
      <c r="A225" t="s">
        <v>298</v>
      </c>
      <c r="B225" t="s">
        <v>301</v>
      </c>
      <c r="C225">
        <v>0</v>
      </c>
      <c r="D225">
        <v>0</v>
      </c>
      <c r="E225">
        <v>0</v>
      </c>
      <c r="F225">
        <v>0</v>
      </c>
      <c r="H225">
        <v>4</v>
      </c>
      <c r="I225">
        <v>2</v>
      </c>
      <c r="J225">
        <v>4.25</v>
      </c>
      <c r="K225">
        <v>4.25</v>
      </c>
      <c r="L225">
        <v>0</v>
      </c>
      <c r="M225">
        <v>4</v>
      </c>
      <c r="N225">
        <v>2</v>
      </c>
    </row>
    <row r="226" spans="1:16" x14ac:dyDescent="0.2">
      <c r="A226" t="s">
        <v>298</v>
      </c>
      <c r="B226" t="s">
        <v>302</v>
      </c>
      <c r="C226">
        <v>0</v>
      </c>
      <c r="D226">
        <v>0</v>
      </c>
      <c r="E226">
        <v>0</v>
      </c>
      <c r="F226">
        <v>0</v>
      </c>
      <c r="H226">
        <v>24</v>
      </c>
      <c r="I226">
        <v>5</v>
      </c>
      <c r="J226">
        <v>24.625</v>
      </c>
      <c r="K226">
        <v>24.625</v>
      </c>
      <c r="L226">
        <v>0</v>
      </c>
      <c r="M226">
        <v>24</v>
      </c>
      <c r="N226">
        <v>5</v>
      </c>
    </row>
    <row r="227" spans="1:16" x14ac:dyDescent="0.2">
      <c r="A227" t="s">
        <v>298</v>
      </c>
      <c r="B227" t="s">
        <v>303</v>
      </c>
      <c r="C227">
        <v>0</v>
      </c>
      <c r="D227">
        <v>0</v>
      </c>
      <c r="E227">
        <v>0</v>
      </c>
      <c r="F227">
        <v>0</v>
      </c>
      <c r="H227">
        <v>14</v>
      </c>
      <c r="I227">
        <v>2</v>
      </c>
      <c r="J227">
        <v>14.25</v>
      </c>
      <c r="K227">
        <v>14.25</v>
      </c>
      <c r="L227">
        <v>0</v>
      </c>
      <c r="M227">
        <v>14</v>
      </c>
      <c r="N227">
        <v>2</v>
      </c>
    </row>
    <row r="228" spans="1:16" x14ac:dyDescent="0.2">
      <c r="A228" t="s">
        <v>298</v>
      </c>
      <c r="B228" t="s">
        <v>304</v>
      </c>
      <c r="C228">
        <v>0</v>
      </c>
      <c r="D228">
        <v>0</v>
      </c>
      <c r="E228">
        <v>0</v>
      </c>
      <c r="F228">
        <v>0</v>
      </c>
      <c r="H228">
        <v>0</v>
      </c>
      <c r="I228">
        <v>2</v>
      </c>
      <c r="J228">
        <v>0.25</v>
      </c>
      <c r="K228">
        <v>0.25</v>
      </c>
      <c r="L228">
        <v>0</v>
      </c>
      <c r="M228">
        <v>0</v>
      </c>
      <c r="N228">
        <v>2</v>
      </c>
    </row>
    <row r="229" spans="1:16" x14ac:dyDescent="0.2">
      <c r="A229" t="s">
        <v>298</v>
      </c>
      <c r="B229" t="s">
        <v>155</v>
      </c>
      <c r="C229">
        <v>0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6" x14ac:dyDescent="0.2">
      <c r="A230" t="s">
        <v>298</v>
      </c>
      <c r="B230" t="s">
        <v>305</v>
      </c>
      <c r="C230">
        <v>0</v>
      </c>
      <c r="D230">
        <v>0</v>
      </c>
      <c r="E230">
        <v>0</v>
      </c>
      <c r="F230">
        <v>0</v>
      </c>
      <c r="H230">
        <v>0</v>
      </c>
      <c r="I230">
        <v>4.5</v>
      </c>
      <c r="J230">
        <v>0.5625</v>
      </c>
      <c r="K230">
        <v>0.5625</v>
      </c>
      <c r="L230">
        <v>0</v>
      </c>
      <c r="M230">
        <v>0</v>
      </c>
      <c r="N230">
        <v>4.5</v>
      </c>
    </row>
    <row r="231" spans="1:16" x14ac:dyDescent="0.2">
      <c r="A231" t="s">
        <v>298</v>
      </c>
      <c r="B231" t="s">
        <v>306</v>
      </c>
      <c r="C231">
        <v>0</v>
      </c>
      <c r="D231">
        <v>0</v>
      </c>
      <c r="E231">
        <v>0</v>
      </c>
      <c r="F231">
        <v>0</v>
      </c>
      <c r="H231">
        <v>0</v>
      </c>
      <c r="I231">
        <v>1.5</v>
      </c>
      <c r="J231">
        <v>0.1875</v>
      </c>
      <c r="K231">
        <v>0.1875</v>
      </c>
      <c r="L231">
        <v>0</v>
      </c>
      <c r="M231">
        <v>0</v>
      </c>
      <c r="N231">
        <v>1.5</v>
      </c>
    </row>
    <row r="232" spans="1:16" x14ac:dyDescent="0.2">
      <c r="A232" t="s">
        <v>298</v>
      </c>
      <c r="B232" t="s">
        <v>307</v>
      </c>
      <c r="C232">
        <v>0</v>
      </c>
      <c r="D232">
        <v>0</v>
      </c>
      <c r="E232">
        <v>0</v>
      </c>
      <c r="F232">
        <v>0</v>
      </c>
      <c r="H232">
        <v>7</v>
      </c>
      <c r="I232">
        <v>0</v>
      </c>
      <c r="J232">
        <v>7</v>
      </c>
      <c r="K232">
        <v>7</v>
      </c>
      <c r="L232">
        <v>0</v>
      </c>
      <c r="M232">
        <v>7</v>
      </c>
      <c r="N232">
        <v>0</v>
      </c>
    </row>
    <row r="233" spans="1:16" x14ac:dyDescent="0.2">
      <c r="A233" t="s">
        <v>298</v>
      </c>
      <c r="B233" t="s">
        <v>155</v>
      </c>
      <c r="C233">
        <v>0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6" x14ac:dyDescent="0.2">
      <c r="A234" t="s">
        <v>298</v>
      </c>
      <c r="B234" t="s">
        <v>308</v>
      </c>
      <c r="C234">
        <v>0</v>
      </c>
      <c r="D234">
        <v>0</v>
      </c>
      <c r="E234">
        <v>0</v>
      </c>
      <c r="F234">
        <v>0</v>
      </c>
      <c r="H234">
        <v>2</v>
      </c>
      <c r="I234">
        <v>5</v>
      </c>
      <c r="J234">
        <v>2.625</v>
      </c>
      <c r="K234">
        <v>2.625</v>
      </c>
      <c r="L234">
        <v>0</v>
      </c>
      <c r="M234">
        <v>2</v>
      </c>
      <c r="N234">
        <v>5</v>
      </c>
    </row>
    <row r="235" spans="1:16" x14ac:dyDescent="0.2">
      <c r="A235" t="s">
        <v>309</v>
      </c>
      <c r="B235" t="s">
        <v>310</v>
      </c>
      <c r="C235">
        <v>0</v>
      </c>
      <c r="D235">
        <v>0</v>
      </c>
      <c r="E235">
        <v>0</v>
      </c>
      <c r="F235">
        <v>0</v>
      </c>
      <c r="G235" t="s">
        <v>161</v>
      </c>
      <c r="H235">
        <v>0</v>
      </c>
      <c r="I235">
        <v>4</v>
      </c>
      <c r="J235">
        <v>0.5</v>
      </c>
      <c r="K235">
        <v>0.5</v>
      </c>
      <c r="L235">
        <v>0</v>
      </c>
      <c r="M235">
        <v>0</v>
      </c>
      <c r="N235">
        <v>4</v>
      </c>
    </row>
    <row r="236" spans="1:16" x14ac:dyDescent="0.2">
      <c r="A236" t="s">
        <v>309</v>
      </c>
      <c r="B236" t="s">
        <v>311</v>
      </c>
      <c r="C236">
        <v>0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6" x14ac:dyDescent="0.2">
      <c r="A237" t="s">
        <v>312</v>
      </c>
      <c r="B237" t="s">
        <v>313</v>
      </c>
      <c r="C237">
        <v>0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6" x14ac:dyDescent="0.2">
      <c r="A238" t="s">
        <v>312</v>
      </c>
      <c r="B238" t="s">
        <v>314</v>
      </c>
      <c r="C238">
        <v>0</v>
      </c>
      <c r="D238">
        <v>0</v>
      </c>
      <c r="E238">
        <v>0</v>
      </c>
      <c r="F238">
        <v>0</v>
      </c>
      <c r="G238" t="s">
        <v>111</v>
      </c>
      <c r="H238">
        <v>7.5</v>
      </c>
      <c r="I238">
        <v>0</v>
      </c>
      <c r="J238">
        <v>7.5</v>
      </c>
      <c r="K238">
        <v>7.5</v>
      </c>
      <c r="L238">
        <v>0</v>
      </c>
      <c r="M238">
        <v>7.5</v>
      </c>
      <c r="N238">
        <v>0</v>
      </c>
    </row>
    <row r="239" spans="1:16" x14ac:dyDescent="0.2">
      <c r="A239" t="s">
        <v>312</v>
      </c>
      <c r="B239" t="s">
        <v>315</v>
      </c>
      <c r="C239">
        <v>0</v>
      </c>
      <c r="D239">
        <v>0</v>
      </c>
      <c r="E239">
        <v>0</v>
      </c>
      <c r="F239">
        <v>0</v>
      </c>
      <c r="H239">
        <v>2</v>
      </c>
      <c r="I239">
        <v>0</v>
      </c>
      <c r="J239">
        <v>2</v>
      </c>
      <c r="K239">
        <v>2</v>
      </c>
      <c r="L239">
        <v>0</v>
      </c>
      <c r="M239">
        <v>2</v>
      </c>
      <c r="N239">
        <v>0</v>
      </c>
    </row>
    <row r="240" spans="1:16" x14ac:dyDescent="0.2">
      <c r="A240" t="s">
        <v>312</v>
      </c>
      <c r="B240" t="s">
        <v>316</v>
      </c>
      <c r="C240">
        <v>0</v>
      </c>
      <c r="D240">
        <v>0</v>
      </c>
      <c r="E240">
        <v>0</v>
      </c>
      <c r="F240">
        <v>0</v>
      </c>
      <c r="G240" t="s">
        <v>117</v>
      </c>
      <c r="H240">
        <v>1</v>
      </c>
      <c r="I240">
        <v>2</v>
      </c>
      <c r="J240">
        <v>1.25</v>
      </c>
      <c r="K240">
        <v>4.25</v>
      </c>
      <c r="L240">
        <v>-3</v>
      </c>
      <c r="M240">
        <v>4</v>
      </c>
      <c r="N240">
        <v>2</v>
      </c>
      <c r="O240">
        <v>1</v>
      </c>
      <c r="P240">
        <v>2</v>
      </c>
    </row>
    <row r="241" spans="1:14" x14ac:dyDescent="0.2">
      <c r="A241" t="s">
        <v>317</v>
      </c>
      <c r="B241" t="s">
        <v>318</v>
      </c>
      <c r="C241">
        <v>0</v>
      </c>
      <c r="D241">
        <v>0</v>
      </c>
      <c r="E241">
        <v>0</v>
      </c>
      <c r="F241">
        <v>0</v>
      </c>
      <c r="H241">
        <v>5</v>
      </c>
      <c r="I241">
        <v>0</v>
      </c>
      <c r="J241">
        <v>5</v>
      </c>
      <c r="K241">
        <v>5</v>
      </c>
      <c r="L241">
        <v>0</v>
      </c>
      <c r="M241">
        <v>5</v>
      </c>
      <c r="N241">
        <v>0</v>
      </c>
    </row>
    <row r="242" spans="1:14" x14ac:dyDescent="0.2">
      <c r="A242" t="s">
        <v>317</v>
      </c>
      <c r="B242" t="s">
        <v>319</v>
      </c>
      <c r="C242">
        <v>0</v>
      </c>
      <c r="D242">
        <v>0</v>
      </c>
      <c r="E242">
        <v>0</v>
      </c>
      <c r="F242">
        <v>0</v>
      </c>
      <c r="G242" t="s">
        <v>283</v>
      </c>
      <c r="H242">
        <v>3</v>
      </c>
      <c r="I242">
        <v>0</v>
      </c>
      <c r="J242">
        <v>3</v>
      </c>
      <c r="K242">
        <v>3</v>
      </c>
      <c r="L242">
        <v>0</v>
      </c>
      <c r="M242">
        <v>3</v>
      </c>
      <c r="N242">
        <v>0</v>
      </c>
    </row>
    <row r="243" spans="1:14" x14ac:dyDescent="0.2">
      <c r="A243" t="s">
        <v>317</v>
      </c>
      <c r="B243" t="s">
        <v>320</v>
      </c>
      <c r="C243">
        <v>0</v>
      </c>
      <c r="D243">
        <v>0</v>
      </c>
      <c r="E243">
        <v>0</v>
      </c>
      <c r="F243">
        <v>0</v>
      </c>
      <c r="H243">
        <v>1</v>
      </c>
      <c r="I243">
        <v>7</v>
      </c>
      <c r="J243">
        <v>1.875</v>
      </c>
      <c r="K243">
        <v>1.875</v>
      </c>
      <c r="L243">
        <v>0</v>
      </c>
      <c r="M243">
        <v>1</v>
      </c>
      <c r="N243">
        <v>7</v>
      </c>
    </row>
    <row r="244" spans="1:14" x14ac:dyDescent="0.2">
      <c r="A244" t="s">
        <v>317</v>
      </c>
      <c r="B244" t="s">
        <v>321</v>
      </c>
      <c r="C244">
        <v>0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">
      <c r="A245" t="s">
        <v>317</v>
      </c>
      <c r="B245" t="s">
        <v>322</v>
      </c>
      <c r="C245">
        <v>0</v>
      </c>
      <c r="D245">
        <v>0</v>
      </c>
      <c r="E245">
        <v>0</v>
      </c>
      <c r="F245">
        <v>0</v>
      </c>
      <c r="G245" t="s">
        <v>117</v>
      </c>
      <c r="H245">
        <v>1</v>
      </c>
      <c r="I245">
        <v>1</v>
      </c>
      <c r="J245">
        <v>1.125</v>
      </c>
      <c r="K245">
        <v>1.125</v>
      </c>
      <c r="L245">
        <v>0</v>
      </c>
      <c r="M245">
        <v>1</v>
      </c>
      <c r="N245">
        <v>1</v>
      </c>
    </row>
    <row r="246" spans="1:14" x14ac:dyDescent="0.2">
      <c r="A246" t="s">
        <v>323</v>
      </c>
      <c r="B246" t="s">
        <v>324</v>
      </c>
      <c r="C246">
        <v>0</v>
      </c>
      <c r="D246">
        <v>0</v>
      </c>
      <c r="E246">
        <v>0</v>
      </c>
      <c r="F246">
        <v>0</v>
      </c>
      <c r="G246" t="s">
        <v>105</v>
      </c>
      <c r="H246">
        <v>1</v>
      </c>
      <c r="I246">
        <v>7</v>
      </c>
      <c r="J246">
        <v>1.875</v>
      </c>
      <c r="K246">
        <v>1.875</v>
      </c>
      <c r="L246">
        <v>0</v>
      </c>
      <c r="M246">
        <v>1</v>
      </c>
      <c r="N246">
        <v>7</v>
      </c>
    </row>
    <row r="247" spans="1:14" x14ac:dyDescent="0.2">
      <c r="A247" t="s">
        <v>323</v>
      </c>
      <c r="B247" t="s">
        <v>325</v>
      </c>
      <c r="C247">
        <v>0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">
      <c r="A248" t="s">
        <v>323</v>
      </c>
      <c r="B248" t="s">
        <v>326</v>
      </c>
      <c r="C248">
        <v>0</v>
      </c>
      <c r="D248">
        <v>0</v>
      </c>
      <c r="E248">
        <v>0</v>
      </c>
      <c r="F248">
        <v>0</v>
      </c>
      <c r="G248" t="s">
        <v>117</v>
      </c>
      <c r="H248">
        <v>19.5</v>
      </c>
      <c r="I248">
        <v>2</v>
      </c>
      <c r="J248">
        <v>19.75</v>
      </c>
      <c r="K248">
        <v>19.75</v>
      </c>
      <c r="L248">
        <v>0</v>
      </c>
      <c r="M248">
        <v>19.5</v>
      </c>
      <c r="N248">
        <v>2</v>
      </c>
    </row>
    <row r="249" spans="1:14" x14ac:dyDescent="0.2">
      <c r="A249" t="s">
        <v>323</v>
      </c>
      <c r="B249" t="s">
        <v>327</v>
      </c>
      <c r="C249">
        <v>0</v>
      </c>
      <c r="D249">
        <v>0</v>
      </c>
      <c r="E249">
        <v>0</v>
      </c>
      <c r="F249">
        <v>0</v>
      </c>
      <c r="H249">
        <v>6.5</v>
      </c>
      <c r="I249">
        <v>0</v>
      </c>
      <c r="J249">
        <v>6.5</v>
      </c>
      <c r="K249">
        <v>6.5</v>
      </c>
      <c r="L249">
        <v>0</v>
      </c>
      <c r="M249">
        <v>6.5</v>
      </c>
      <c r="N249">
        <v>0</v>
      </c>
    </row>
    <row r="250" spans="1:14" x14ac:dyDescent="0.2">
      <c r="A250" t="s">
        <v>323</v>
      </c>
      <c r="B250" t="s">
        <v>328</v>
      </c>
      <c r="C250">
        <v>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">
      <c r="A251" t="s">
        <v>323</v>
      </c>
      <c r="B251" t="s">
        <v>155</v>
      </c>
      <c r="C251">
        <v>0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">
      <c r="A252" t="s">
        <v>323</v>
      </c>
      <c r="B252" t="s">
        <v>329</v>
      </c>
      <c r="C252">
        <v>0</v>
      </c>
      <c r="D252">
        <v>0</v>
      </c>
      <c r="E252">
        <v>0</v>
      </c>
      <c r="F252">
        <v>0</v>
      </c>
      <c r="H252">
        <v>1.5</v>
      </c>
      <c r="I252">
        <v>0</v>
      </c>
      <c r="J252">
        <v>1.5</v>
      </c>
      <c r="K252">
        <v>1.5</v>
      </c>
      <c r="L252">
        <v>0</v>
      </c>
      <c r="M252">
        <v>1.5</v>
      </c>
      <c r="N252">
        <v>0</v>
      </c>
    </row>
    <row r="253" spans="1:14" x14ac:dyDescent="0.2">
      <c r="A253" t="s">
        <v>323</v>
      </c>
      <c r="B253" t="s">
        <v>330</v>
      </c>
      <c r="C253">
        <v>0</v>
      </c>
      <c r="D253">
        <v>0</v>
      </c>
      <c r="E253">
        <v>0</v>
      </c>
      <c r="F253">
        <v>0</v>
      </c>
      <c r="H253">
        <v>11.5</v>
      </c>
      <c r="I253">
        <v>2</v>
      </c>
      <c r="J253">
        <v>11.75</v>
      </c>
      <c r="K253">
        <v>11.75</v>
      </c>
      <c r="L253">
        <v>0</v>
      </c>
      <c r="M253">
        <v>11.5</v>
      </c>
      <c r="N253">
        <v>2</v>
      </c>
    </row>
    <row r="254" spans="1:14" x14ac:dyDescent="0.2">
      <c r="A254" t="s">
        <v>323</v>
      </c>
      <c r="B254" t="s">
        <v>331</v>
      </c>
      <c r="C254">
        <v>0</v>
      </c>
      <c r="D254">
        <v>0</v>
      </c>
      <c r="E254">
        <v>0</v>
      </c>
      <c r="F254">
        <v>0</v>
      </c>
      <c r="H254">
        <v>2</v>
      </c>
      <c r="I254">
        <v>1</v>
      </c>
      <c r="J254">
        <v>2.125</v>
      </c>
      <c r="K254">
        <v>2.125</v>
      </c>
      <c r="L254">
        <v>0</v>
      </c>
      <c r="M254">
        <v>2</v>
      </c>
      <c r="N254">
        <v>1</v>
      </c>
    </row>
    <row r="255" spans="1:14" x14ac:dyDescent="0.2">
      <c r="A255" t="s">
        <v>323</v>
      </c>
      <c r="B255" t="s">
        <v>325</v>
      </c>
      <c r="C255">
        <v>0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">
      <c r="A256" t="s">
        <v>323</v>
      </c>
      <c r="B256" t="s">
        <v>332</v>
      </c>
      <c r="C256">
        <v>0</v>
      </c>
      <c r="D256">
        <v>0</v>
      </c>
      <c r="E256">
        <v>0</v>
      </c>
      <c r="F256">
        <v>0</v>
      </c>
      <c r="H256">
        <v>4.5</v>
      </c>
      <c r="I256">
        <v>3</v>
      </c>
      <c r="J256">
        <v>4.875</v>
      </c>
      <c r="K256">
        <v>4.875</v>
      </c>
      <c r="L256">
        <v>0</v>
      </c>
      <c r="M256">
        <v>4.5</v>
      </c>
      <c r="N256">
        <v>3</v>
      </c>
    </row>
    <row r="257" spans="1:14" x14ac:dyDescent="0.2">
      <c r="A257" t="s">
        <v>323</v>
      </c>
      <c r="B257" t="s">
        <v>325</v>
      </c>
      <c r="C257">
        <v>0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">
      <c r="A258" t="s">
        <v>323</v>
      </c>
      <c r="B258" t="s">
        <v>333</v>
      </c>
      <c r="C258">
        <v>0</v>
      </c>
      <c r="D258">
        <v>0</v>
      </c>
      <c r="E258">
        <v>0</v>
      </c>
      <c r="F258">
        <v>0</v>
      </c>
      <c r="G258" t="s">
        <v>121</v>
      </c>
      <c r="H258">
        <v>0</v>
      </c>
      <c r="I258">
        <v>1</v>
      </c>
      <c r="J258">
        <v>0.125</v>
      </c>
      <c r="K258">
        <v>0.125</v>
      </c>
      <c r="L258">
        <v>0</v>
      </c>
      <c r="M258">
        <v>0</v>
      </c>
      <c r="N258">
        <v>1</v>
      </c>
    </row>
    <row r="259" spans="1:14" x14ac:dyDescent="0.2">
      <c r="A259" t="s">
        <v>323</v>
      </c>
      <c r="B259" t="s">
        <v>325</v>
      </c>
      <c r="C259">
        <v>0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">
      <c r="A260" t="s">
        <v>334</v>
      </c>
      <c r="B260" t="s">
        <v>335</v>
      </c>
      <c r="C260">
        <v>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">
      <c r="A261" t="s">
        <v>334</v>
      </c>
      <c r="B261" t="s">
        <v>336</v>
      </c>
      <c r="C261">
        <v>0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">
      <c r="A262" t="s">
        <v>334</v>
      </c>
      <c r="B262" t="s">
        <v>337</v>
      </c>
      <c r="C262">
        <v>0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">
      <c r="A263" t="s">
        <v>334</v>
      </c>
      <c r="B263" t="s">
        <v>338</v>
      </c>
      <c r="C263">
        <v>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">
      <c r="A264" t="s">
        <v>334</v>
      </c>
      <c r="B264" t="s">
        <v>339</v>
      </c>
      <c r="C264">
        <v>0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">
      <c r="A265" t="s">
        <v>334</v>
      </c>
      <c r="B265" t="s">
        <v>340</v>
      </c>
      <c r="C265">
        <v>0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">
      <c r="A266" t="s">
        <v>334</v>
      </c>
      <c r="B266" t="s">
        <v>338</v>
      </c>
      <c r="C266">
        <v>0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">
      <c r="A267" t="s">
        <v>334</v>
      </c>
      <c r="B267" t="s">
        <v>341</v>
      </c>
      <c r="C267">
        <v>0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">
      <c r="A268" t="s">
        <v>334</v>
      </c>
      <c r="B268" t="s">
        <v>336</v>
      </c>
      <c r="C268">
        <v>0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">
      <c r="A269" t="s">
        <v>334</v>
      </c>
      <c r="B269" t="s">
        <v>342</v>
      </c>
      <c r="C269">
        <v>0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">
      <c r="A270" t="s">
        <v>334</v>
      </c>
      <c r="B270" t="s">
        <v>343</v>
      </c>
      <c r="C270">
        <v>0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">
      <c r="A271" t="s">
        <v>334</v>
      </c>
      <c r="B271" t="s">
        <v>344</v>
      </c>
      <c r="C271">
        <v>0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">
      <c r="A272" t="s">
        <v>334</v>
      </c>
      <c r="B272" t="s">
        <v>345</v>
      </c>
      <c r="C272">
        <v>0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">
      <c r="A273" t="s">
        <v>334</v>
      </c>
      <c r="B273" t="s">
        <v>346</v>
      </c>
      <c r="C273">
        <v>0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">
      <c r="A274" t="s">
        <v>334</v>
      </c>
      <c r="B274" t="s">
        <v>347</v>
      </c>
      <c r="C274">
        <v>0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">
      <c r="A275" t="s">
        <v>334</v>
      </c>
      <c r="B275" t="s">
        <v>348</v>
      </c>
      <c r="C275">
        <v>0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">
      <c r="A276" t="s">
        <v>334</v>
      </c>
      <c r="B276" t="s">
        <v>349</v>
      </c>
      <c r="C276">
        <v>0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">
      <c r="A277" t="s">
        <v>334</v>
      </c>
      <c r="B277" t="s">
        <v>350</v>
      </c>
      <c r="C277">
        <v>0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">
      <c r="A278" t="s">
        <v>334</v>
      </c>
      <c r="B278" t="s">
        <v>351</v>
      </c>
      <c r="C278">
        <v>0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">
      <c r="A279" t="s">
        <v>334</v>
      </c>
      <c r="B279" t="s">
        <v>352</v>
      </c>
      <c r="C279">
        <v>0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">
      <c r="A280" t="s">
        <v>334</v>
      </c>
      <c r="B280" t="s">
        <v>353</v>
      </c>
      <c r="C280">
        <v>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">
      <c r="A281" t="s">
        <v>334</v>
      </c>
      <c r="B281" t="s">
        <v>354</v>
      </c>
      <c r="C281">
        <v>0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">
      <c r="A282" t="s">
        <v>334</v>
      </c>
      <c r="B282" t="s">
        <v>355</v>
      </c>
      <c r="C282">
        <v>0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">
      <c r="A283" t="s">
        <v>334</v>
      </c>
      <c r="B283" t="s">
        <v>356</v>
      </c>
      <c r="C283">
        <v>0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">
      <c r="A284" t="s">
        <v>334</v>
      </c>
      <c r="B284" t="s">
        <v>357</v>
      </c>
      <c r="C284">
        <v>0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">
      <c r="A285" t="s">
        <v>334</v>
      </c>
      <c r="B285" t="s">
        <v>358</v>
      </c>
      <c r="C285">
        <v>0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">
      <c r="A286" t="s">
        <v>334</v>
      </c>
      <c r="B286" t="s">
        <v>359</v>
      </c>
      <c r="C286">
        <v>0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">
      <c r="A287" t="s">
        <v>334</v>
      </c>
      <c r="B287" t="s">
        <v>360</v>
      </c>
      <c r="C287">
        <v>0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">
      <c r="A288" t="s">
        <v>334</v>
      </c>
      <c r="B288" t="s">
        <v>361</v>
      </c>
      <c r="C288">
        <v>0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">
      <c r="A289" t="s">
        <v>334</v>
      </c>
      <c r="B289" t="s">
        <v>342</v>
      </c>
      <c r="C289">
        <v>0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">
      <c r="A290" t="s">
        <v>334</v>
      </c>
      <c r="B290" t="s">
        <v>362</v>
      </c>
      <c r="C290">
        <v>0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">
      <c r="A291" t="s">
        <v>334</v>
      </c>
      <c r="B291" t="s">
        <v>363</v>
      </c>
      <c r="C291">
        <v>0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">
      <c r="A292" t="s">
        <v>334</v>
      </c>
      <c r="B292" t="s">
        <v>364</v>
      </c>
      <c r="C292">
        <v>0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">
      <c r="A293" t="s">
        <v>334</v>
      </c>
      <c r="B293" t="s">
        <v>365</v>
      </c>
      <c r="C293">
        <v>0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">
      <c r="A294" t="s">
        <v>334</v>
      </c>
      <c r="B294" t="s">
        <v>366</v>
      </c>
      <c r="C294">
        <v>0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">
      <c r="A295" t="s">
        <v>334</v>
      </c>
      <c r="B295" t="s">
        <v>367</v>
      </c>
      <c r="C295">
        <v>0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">
      <c r="A296" t="s">
        <v>334</v>
      </c>
      <c r="B296" t="s">
        <v>336</v>
      </c>
      <c r="C296">
        <v>0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">
      <c r="A297" t="s">
        <v>334</v>
      </c>
      <c r="B297" t="s">
        <v>368</v>
      </c>
      <c r="C297">
        <v>0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">
      <c r="A298" t="s">
        <v>334</v>
      </c>
      <c r="B298" t="s">
        <v>369</v>
      </c>
      <c r="C298">
        <v>0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">
      <c r="A299" t="s">
        <v>334</v>
      </c>
      <c r="B299" t="s">
        <v>370</v>
      </c>
      <c r="C299">
        <v>0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">
      <c r="A300" t="s">
        <v>334</v>
      </c>
      <c r="B300" t="s">
        <v>371</v>
      </c>
      <c r="C300">
        <v>0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">
      <c r="A301" t="s">
        <v>334</v>
      </c>
      <c r="B301" t="s">
        <v>372</v>
      </c>
      <c r="C301">
        <v>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">
      <c r="A302" t="s">
        <v>334</v>
      </c>
      <c r="B302" t="s">
        <v>373</v>
      </c>
      <c r="C302">
        <v>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">
      <c r="A303" t="s">
        <v>334</v>
      </c>
      <c r="B303" t="s">
        <v>374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">
      <c r="A304" t="s">
        <v>334</v>
      </c>
      <c r="B304" t="s">
        <v>355</v>
      </c>
      <c r="C304">
        <v>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">
      <c r="A305" t="s">
        <v>334</v>
      </c>
      <c r="B305" t="s">
        <v>375</v>
      </c>
      <c r="C305">
        <v>0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">
      <c r="A306" t="s">
        <v>334</v>
      </c>
      <c r="B306" t="s">
        <v>376</v>
      </c>
      <c r="C306">
        <v>0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">
      <c r="A307" t="s">
        <v>334</v>
      </c>
      <c r="B307" t="s">
        <v>377</v>
      </c>
      <c r="C307">
        <v>0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">
      <c r="A308" t="s">
        <v>334</v>
      </c>
      <c r="B308" t="s">
        <v>378</v>
      </c>
      <c r="C308">
        <v>0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">
      <c r="A309" t="s">
        <v>334</v>
      </c>
      <c r="B309" t="s">
        <v>336</v>
      </c>
      <c r="C309">
        <v>0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">
      <c r="A310" t="s">
        <v>334</v>
      </c>
      <c r="B310" t="s">
        <v>342</v>
      </c>
      <c r="C310">
        <v>0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">
      <c r="A311" t="s">
        <v>334</v>
      </c>
      <c r="B311" t="s">
        <v>379</v>
      </c>
      <c r="C311">
        <v>0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">
      <c r="A312" t="s">
        <v>334</v>
      </c>
      <c r="B312" t="s">
        <v>380</v>
      </c>
      <c r="C312">
        <v>0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">
      <c r="A313" t="s">
        <v>334</v>
      </c>
      <c r="B313" t="s">
        <v>381</v>
      </c>
      <c r="C313">
        <v>0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">
      <c r="A314" t="s">
        <v>334</v>
      </c>
      <c r="B314" t="s">
        <v>382</v>
      </c>
      <c r="C314">
        <v>0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">
      <c r="A315" t="s">
        <v>334</v>
      </c>
      <c r="B315" t="s">
        <v>383</v>
      </c>
      <c r="C315">
        <v>0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">
      <c r="A316" t="s">
        <v>334</v>
      </c>
      <c r="B316" t="s">
        <v>384</v>
      </c>
      <c r="C316">
        <v>0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">
      <c r="A317" t="s">
        <v>334</v>
      </c>
      <c r="B317" t="s">
        <v>385</v>
      </c>
      <c r="C317">
        <v>0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">
      <c r="A318" t="s">
        <v>334</v>
      </c>
      <c r="B318" t="s">
        <v>386</v>
      </c>
      <c r="C318">
        <v>0</v>
      </c>
      <c r="D318">
        <v>0</v>
      </c>
      <c r="E318">
        <v>0</v>
      </c>
      <c r="F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">
      <c r="A319" t="s">
        <v>334</v>
      </c>
      <c r="B319" t="s">
        <v>387</v>
      </c>
      <c r="C319">
        <v>0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">
      <c r="A320" t="s">
        <v>334</v>
      </c>
      <c r="B320" t="s">
        <v>388</v>
      </c>
      <c r="C320">
        <v>0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">
      <c r="A321" t="s">
        <v>334</v>
      </c>
      <c r="B321" t="s">
        <v>389</v>
      </c>
      <c r="C321">
        <v>0</v>
      </c>
      <c r="D321">
        <v>0</v>
      </c>
      <c r="E321">
        <v>0</v>
      </c>
      <c r="F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">
      <c r="A322" t="s">
        <v>334</v>
      </c>
      <c r="B322" t="s">
        <v>390</v>
      </c>
      <c r="C322">
        <v>0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">
      <c r="A323" t="s">
        <v>334</v>
      </c>
      <c r="B323" t="s">
        <v>391</v>
      </c>
      <c r="C323">
        <v>0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">
      <c r="A324" t="s">
        <v>334</v>
      </c>
      <c r="B324" t="s">
        <v>392</v>
      </c>
      <c r="C324">
        <v>0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">
      <c r="A325" t="s">
        <v>334</v>
      </c>
      <c r="B325" t="s">
        <v>393</v>
      </c>
      <c r="C325">
        <v>0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">
      <c r="A326" t="s">
        <v>334</v>
      </c>
      <c r="B326" t="s">
        <v>394</v>
      </c>
      <c r="C326">
        <v>0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">
      <c r="A327" t="s">
        <v>334</v>
      </c>
      <c r="B327" t="s">
        <v>395</v>
      </c>
      <c r="C327">
        <v>0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">
      <c r="A328" t="s">
        <v>334</v>
      </c>
      <c r="B328" t="s">
        <v>396</v>
      </c>
      <c r="C328">
        <v>0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">
      <c r="A329" t="s">
        <v>334</v>
      </c>
      <c r="B329" t="s">
        <v>397</v>
      </c>
      <c r="C329">
        <v>0</v>
      </c>
      <c r="D329">
        <v>0</v>
      </c>
      <c r="E329">
        <v>0</v>
      </c>
      <c r="F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">
      <c r="A330" t="s">
        <v>334</v>
      </c>
      <c r="B330" t="s">
        <v>398</v>
      </c>
      <c r="C330">
        <v>0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">
      <c r="A331" t="s">
        <v>334</v>
      </c>
      <c r="B331" t="s">
        <v>399</v>
      </c>
      <c r="C331">
        <v>0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">
      <c r="A332" t="s">
        <v>334</v>
      </c>
      <c r="B332" t="s">
        <v>400</v>
      </c>
      <c r="C332">
        <v>0.06</v>
      </c>
      <c r="D332">
        <v>0</v>
      </c>
      <c r="E332">
        <v>1</v>
      </c>
      <c r="F332">
        <v>3.5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">
      <c r="A333" t="s">
        <v>334</v>
      </c>
      <c r="B333" t="s">
        <v>401</v>
      </c>
      <c r="C333">
        <v>0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">
      <c r="A334" t="s">
        <v>334</v>
      </c>
      <c r="B334" t="s">
        <v>402</v>
      </c>
      <c r="C334">
        <v>0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">
      <c r="A335" t="s">
        <v>334</v>
      </c>
      <c r="B335" t="s">
        <v>403</v>
      </c>
      <c r="C335">
        <v>0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">
      <c r="A336" t="s">
        <v>334</v>
      </c>
      <c r="B336" t="s">
        <v>325</v>
      </c>
      <c r="C336">
        <v>0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">
      <c r="A337" t="s">
        <v>334</v>
      </c>
      <c r="B337" t="s">
        <v>404</v>
      </c>
      <c r="C337">
        <v>0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">
      <c r="A338" t="s">
        <v>334</v>
      </c>
      <c r="B338" t="s">
        <v>325</v>
      </c>
      <c r="C338">
        <v>0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">
      <c r="A339" t="s">
        <v>334</v>
      </c>
      <c r="B339" t="s">
        <v>405</v>
      </c>
      <c r="C339">
        <v>0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">
      <c r="A340" t="s">
        <v>334</v>
      </c>
      <c r="B340" t="s">
        <v>325</v>
      </c>
      <c r="C340">
        <v>0</v>
      </c>
      <c r="D340">
        <v>0</v>
      </c>
      <c r="E340">
        <v>0</v>
      </c>
      <c r="F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">
      <c r="A341" t="s">
        <v>334</v>
      </c>
      <c r="B341" t="s">
        <v>406</v>
      </c>
      <c r="C341">
        <v>0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">
      <c r="A342" t="s">
        <v>334</v>
      </c>
      <c r="B342" t="s">
        <v>325</v>
      </c>
      <c r="C342">
        <v>0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">
      <c r="A343" t="s">
        <v>334</v>
      </c>
      <c r="B343" t="s">
        <v>407</v>
      </c>
      <c r="C343">
        <v>0.15</v>
      </c>
      <c r="D343">
        <v>0</v>
      </c>
      <c r="E343">
        <v>3</v>
      </c>
      <c r="F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">
      <c r="A344" t="s">
        <v>334</v>
      </c>
      <c r="B344" t="s">
        <v>408</v>
      </c>
      <c r="C344">
        <v>0</v>
      </c>
      <c r="D344">
        <v>0</v>
      </c>
      <c r="E344">
        <v>0</v>
      </c>
      <c r="F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">
      <c r="A345" t="s">
        <v>334</v>
      </c>
      <c r="B345" t="s">
        <v>409</v>
      </c>
      <c r="C345">
        <v>0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">
      <c r="A346" t="s">
        <v>334</v>
      </c>
      <c r="B346" t="s">
        <v>410</v>
      </c>
      <c r="C346">
        <v>0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t="s">
        <v>334</v>
      </c>
      <c r="B347" t="s">
        <v>325</v>
      </c>
      <c r="C347">
        <v>0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t="s">
        <v>334</v>
      </c>
      <c r="B348" t="s">
        <v>411</v>
      </c>
      <c r="C348">
        <v>0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t="s">
        <v>334</v>
      </c>
      <c r="B349" t="s">
        <v>412</v>
      </c>
      <c r="C349">
        <v>0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t="s">
        <v>334</v>
      </c>
      <c r="B350" t="s">
        <v>413</v>
      </c>
      <c r="C350">
        <v>0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t="s">
        <v>334</v>
      </c>
      <c r="B351" t="s">
        <v>414</v>
      </c>
      <c r="C351">
        <v>0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t="s">
        <v>334</v>
      </c>
      <c r="B352" t="s">
        <v>415</v>
      </c>
      <c r="C352">
        <v>0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t="s">
        <v>334</v>
      </c>
      <c r="B353" t="s">
        <v>416</v>
      </c>
      <c r="C353">
        <v>0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 t="s">
        <v>334</v>
      </c>
      <c r="B354" t="s">
        <v>417</v>
      </c>
      <c r="C354">
        <v>0.25</v>
      </c>
      <c r="D354">
        <v>0</v>
      </c>
      <c r="E354">
        <v>5</v>
      </c>
      <c r="F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t="s">
        <v>334</v>
      </c>
      <c r="B355" t="s">
        <v>418</v>
      </c>
      <c r="C355">
        <v>0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t="s">
        <v>334</v>
      </c>
      <c r="B356" t="s">
        <v>419</v>
      </c>
      <c r="C356">
        <v>0</v>
      </c>
      <c r="D356">
        <v>0</v>
      </c>
      <c r="E356">
        <v>0</v>
      </c>
      <c r="F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 t="s">
        <v>334</v>
      </c>
      <c r="B357" t="s">
        <v>420</v>
      </c>
      <c r="C357">
        <v>0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t="s">
        <v>334</v>
      </c>
      <c r="B358" t="s">
        <v>421</v>
      </c>
      <c r="C358">
        <v>0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">
      <c r="A359" t="s">
        <v>334</v>
      </c>
      <c r="B359" t="s">
        <v>422</v>
      </c>
      <c r="C359">
        <v>0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62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456</v>
      </c>
      <c r="D1" s="1" t="s">
        <v>457</v>
      </c>
      <c r="E1" s="1" t="s">
        <v>458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467</v>
      </c>
      <c r="O1" s="1" t="s">
        <v>468</v>
      </c>
      <c r="P1" s="1" t="s">
        <v>469</v>
      </c>
      <c r="Q1" s="1" t="s">
        <v>470</v>
      </c>
      <c r="R1" s="1" t="s">
        <v>471</v>
      </c>
      <c r="S1" s="1" t="s">
        <v>472</v>
      </c>
      <c r="T1" s="1" t="s">
        <v>473</v>
      </c>
      <c r="U1" s="1" t="s">
        <v>474</v>
      </c>
      <c r="V1" s="1" t="s">
        <v>475</v>
      </c>
      <c r="W1" s="1" t="s">
        <v>476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477</v>
      </c>
      <c r="AD1" s="1" t="s">
        <v>478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</row>
    <row r="2" spans="1:36" x14ac:dyDescent="0.2">
      <c r="A2" t="s">
        <v>254</v>
      </c>
      <c r="B2" t="s">
        <v>424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6" x14ac:dyDescent="0.2">
      <c r="A3" t="s">
        <v>256</v>
      </c>
      <c r="B3" t="s">
        <v>479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6" x14ac:dyDescent="0.2">
      <c r="A4" t="s">
        <v>256</v>
      </c>
      <c r="B4" t="s">
        <v>258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18.5</v>
      </c>
      <c r="U4">
        <v>0</v>
      </c>
      <c r="V4">
        <v>18.5</v>
      </c>
      <c r="W4">
        <v>0</v>
      </c>
      <c r="X4">
        <v>18.5</v>
      </c>
      <c r="Y4">
        <v>0</v>
      </c>
      <c r="Z4">
        <v>18.5</v>
      </c>
      <c r="AA4">
        <v>18.5</v>
      </c>
      <c r="AB4">
        <v>0</v>
      </c>
      <c r="AC4">
        <v>18.5</v>
      </c>
      <c r="AD4">
        <v>0</v>
      </c>
    </row>
    <row r="5" spans="1:36" x14ac:dyDescent="0.2">
      <c r="A5" t="s">
        <v>256</v>
      </c>
      <c r="B5" t="s">
        <v>259</v>
      </c>
      <c r="C5">
        <v>0</v>
      </c>
      <c r="D5">
        <v>0</v>
      </c>
      <c r="E5">
        <v>9.5</v>
      </c>
      <c r="F5">
        <v>1</v>
      </c>
      <c r="G5">
        <v>9.625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9.5</v>
      </c>
      <c r="Y5">
        <v>1</v>
      </c>
      <c r="Z5">
        <v>9.625</v>
      </c>
      <c r="AA5">
        <v>9.625</v>
      </c>
      <c r="AB5">
        <v>0</v>
      </c>
      <c r="AC5">
        <v>9.5</v>
      </c>
      <c r="AD5">
        <v>1</v>
      </c>
    </row>
    <row r="6" spans="1:36" x14ac:dyDescent="0.2">
      <c r="A6" t="s">
        <v>256</v>
      </c>
      <c r="B6" t="s">
        <v>480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6" x14ac:dyDescent="0.2">
      <c r="A7" t="s">
        <v>256</v>
      </c>
      <c r="B7" t="s">
        <v>155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6" x14ac:dyDescent="0.2">
      <c r="A8" t="s">
        <v>256</v>
      </c>
      <c r="B8" t="s">
        <v>261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8</v>
      </c>
      <c r="O8">
        <v>6</v>
      </c>
      <c r="P8">
        <v>8.75</v>
      </c>
      <c r="Q8">
        <v>8</v>
      </c>
      <c r="R8">
        <v>6</v>
      </c>
      <c r="S8">
        <v>8.75</v>
      </c>
      <c r="T8">
        <v>0</v>
      </c>
      <c r="U8">
        <v>0</v>
      </c>
      <c r="V8">
        <v>0</v>
      </c>
      <c r="W8">
        <v>0</v>
      </c>
      <c r="X8">
        <v>8</v>
      </c>
      <c r="Y8">
        <v>6</v>
      </c>
      <c r="Z8">
        <v>8.75</v>
      </c>
      <c r="AA8">
        <v>0.125</v>
      </c>
      <c r="AB8">
        <v>8.625</v>
      </c>
      <c r="AC8">
        <v>0</v>
      </c>
      <c r="AD8">
        <v>1</v>
      </c>
      <c r="AE8">
        <v>8</v>
      </c>
      <c r="AF8">
        <v>6</v>
      </c>
    </row>
    <row r="9" spans="1:36" x14ac:dyDescent="0.2">
      <c r="A9" t="s">
        <v>256</v>
      </c>
      <c r="B9" t="s">
        <v>424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6" x14ac:dyDescent="0.2">
      <c r="A10" t="s">
        <v>262</v>
      </c>
      <c r="B10" t="s">
        <v>263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8</v>
      </c>
      <c r="U10">
        <v>0</v>
      </c>
      <c r="V10">
        <v>8</v>
      </c>
      <c r="W10">
        <v>0</v>
      </c>
      <c r="X10">
        <v>8</v>
      </c>
      <c r="Y10">
        <v>5</v>
      </c>
      <c r="Z10">
        <v>8.625</v>
      </c>
      <c r="AA10">
        <v>8</v>
      </c>
      <c r="AB10">
        <v>0.625</v>
      </c>
      <c r="AC10">
        <v>8</v>
      </c>
      <c r="AD10">
        <v>0</v>
      </c>
      <c r="AE10">
        <v>0</v>
      </c>
      <c r="AF10">
        <v>5</v>
      </c>
    </row>
    <row r="11" spans="1:36" x14ac:dyDescent="0.2">
      <c r="A11" t="s">
        <v>262</v>
      </c>
      <c r="B11" t="s">
        <v>265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1</v>
      </c>
      <c r="P11">
        <v>3.125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1</v>
      </c>
      <c r="Z11">
        <v>3.125</v>
      </c>
      <c r="AA11">
        <v>3.125</v>
      </c>
      <c r="AB11">
        <v>0</v>
      </c>
      <c r="AC11">
        <v>3</v>
      </c>
      <c r="AD11">
        <v>1</v>
      </c>
    </row>
    <row r="12" spans="1:36" x14ac:dyDescent="0.2">
      <c r="A12" t="s">
        <v>262</v>
      </c>
      <c r="B12" t="s">
        <v>481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5.5</v>
      </c>
      <c r="R12">
        <v>0</v>
      </c>
      <c r="S12">
        <v>5.5</v>
      </c>
      <c r="T12">
        <v>0</v>
      </c>
      <c r="U12">
        <v>0</v>
      </c>
      <c r="V12">
        <v>0</v>
      </c>
      <c r="W12">
        <v>0</v>
      </c>
    </row>
    <row r="13" spans="1:36" x14ac:dyDescent="0.2">
      <c r="A13" t="s">
        <v>262</v>
      </c>
      <c r="B13" t="s">
        <v>267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2.5</v>
      </c>
      <c r="Y13">
        <v>5</v>
      </c>
      <c r="Z13">
        <v>3.125</v>
      </c>
      <c r="AA13">
        <v>2.5</v>
      </c>
      <c r="AB13">
        <v>0.625</v>
      </c>
      <c r="AC13">
        <v>2.5</v>
      </c>
      <c r="AD13">
        <v>0</v>
      </c>
      <c r="AE13">
        <v>0</v>
      </c>
      <c r="AF13">
        <v>5</v>
      </c>
    </row>
    <row r="14" spans="1:36" x14ac:dyDescent="0.2">
      <c r="A14" t="s">
        <v>262</v>
      </c>
      <c r="B14" t="s">
        <v>424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6" x14ac:dyDescent="0.2">
      <c r="A15" t="s">
        <v>268</v>
      </c>
      <c r="B15" t="s">
        <v>269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6" x14ac:dyDescent="0.2">
      <c r="A16" t="s">
        <v>268</v>
      </c>
      <c r="B16" t="s">
        <v>270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3.5</v>
      </c>
      <c r="U16">
        <v>0</v>
      </c>
      <c r="V16">
        <v>3.5</v>
      </c>
      <c r="W16">
        <v>0</v>
      </c>
      <c r="X16">
        <v>3.5</v>
      </c>
      <c r="Y16">
        <v>0</v>
      </c>
      <c r="Z16">
        <v>3.5</v>
      </c>
      <c r="AA16">
        <v>3.5</v>
      </c>
      <c r="AB16">
        <v>0</v>
      </c>
      <c r="AC16">
        <v>3.5</v>
      </c>
      <c r="AD16">
        <v>0</v>
      </c>
    </row>
    <row r="17" spans="1:32" x14ac:dyDescent="0.2">
      <c r="A17" t="s">
        <v>268</v>
      </c>
      <c r="B17" t="s">
        <v>482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32" x14ac:dyDescent="0.2">
      <c r="A18" t="s">
        <v>268</v>
      </c>
      <c r="B18" t="s">
        <v>273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  <c r="Z18">
        <v>0.25</v>
      </c>
      <c r="AA18">
        <v>0.125</v>
      </c>
      <c r="AB18">
        <v>0.125</v>
      </c>
      <c r="AC18">
        <v>0</v>
      </c>
      <c r="AD18">
        <v>1</v>
      </c>
      <c r="AE18">
        <v>0</v>
      </c>
      <c r="AF18">
        <v>2</v>
      </c>
    </row>
    <row r="19" spans="1:32" x14ac:dyDescent="0.2">
      <c r="A19" t="s">
        <v>268</v>
      </c>
      <c r="B19" t="s">
        <v>483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32" x14ac:dyDescent="0.2">
      <c r="A20" t="s">
        <v>268</v>
      </c>
      <c r="B20" t="s">
        <v>424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32" x14ac:dyDescent="0.2">
      <c r="A21" t="s">
        <v>275</v>
      </c>
      <c r="B21" t="s">
        <v>276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</v>
      </c>
      <c r="Y21">
        <v>0</v>
      </c>
      <c r="Z21">
        <v>2</v>
      </c>
      <c r="AA21">
        <v>2</v>
      </c>
      <c r="AB21">
        <v>0</v>
      </c>
      <c r="AC21">
        <v>2</v>
      </c>
      <c r="AD21">
        <v>0</v>
      </c>
    </row>
    <row r="22" spans="1:32" x14ac:dyDescent="0.2">
      <c r="A22" t="s">
        <v>275</v>
      </c>
      <c r="B22" t="s">
        <v>277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39</v>
      </c>
      <c r="U22">
        <v>1</v>
      </c>
      <c r="V22">
        <v>39.125</v>
      </c>
      <c r="W22">
        <v>0</v>
      </c>
      <c r="X22">
        <v>39</v>
      </c>
      <c r="Y22">
        <v>1</v>
      </c>
      <c r="Z22">
        <v>39.125</v>
      </c>
      <c r="AA22">
        <v>39.125</v>
      </c>
      <c r="AB22">
        <v>0</v>
      </c>
      <c r="AC22">
        <v>39</v>
      </c>
      <c r="AD22">
        <v>1</v>
      </c>
    </row>
    <row r="23" spans="1:32" x14ac:dyDescent="0.2">
      <c r="A23" t="s">
        <v>275</v>
      </c>
      <c r="B23" t="s">
        <v>278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>
        <v>1</v>
      </c>
      <c r="P23">
        <v>3.125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</v>
      </c>
      <c r="Y23">
        <v>1</v>
      </c>
      <c r="Z23">
        <v>3.125</v>
      </c>
      <c r="AA23">
        <v>3.125</v>
      </c>
      <c r="AB23">
        <v>0</v>
      </c>
      <c r="AC23">
        <v>3</v>
      </c>
      <c r="AD23">
        <v>1</v>
      </c>
    </row>
    <row r="24" spans="1:32" x14ac:dyDescent="0.2">
      <c r="A24" t="s">
        <v>275</v>
      </c>
      <c r="B24" t="s">
        <v>484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32" x14ac:dyDescent="0.2">
      <c r="A25" t="s">
        <v>275</v>
      </c>
      <c r="B25" t="s">
        <v>281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</v>
      </c>
      <c r="Y25">
        <v>2</v>
      </c>
      <c r="Z25">
        <v>4.25</v>
      </c>
      <c r="AA25">
        <v>4.25</v>
      </c>
      <c r="AB25">
        <v>0</v>
      </c>
      <c r="AC25">
        <v>4</v>
      </c>
      <c r="AD25">
        <v>2</v>
      </c>
    </row>
    <row r="26" spans="1:32" x14ac:dyDescent="0.2">
      <c r="A26" t="s">
        <v>275</v>
      </c>
      <c r="B26" t="s">
        <v>485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32" x14ac:dyDescent="0.2">
      <c r="A27" t="s">
        <v>275</v>
      </c>
      <c r="B27" t="s">
        <v>284</v>
      </c>
      <c r="C27">
        <v>0</v>
      </c>
      <c r="D27">
        <v>0</v>
      </c>
      <c r="E27">
        <v>63</v>
      </c>
      <c r="F27">
        <v>5</v>
      </c>
      <c r="G27">
        <v>63.625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14</v>
      </c>
      <c r="Y27">
        <v>2</v>
      </c>
      <c r="Z27">
        <v>14.25</v>
      </c>
      <c r="AA27">
        <v>49.375</v>
      </c>
      <c r="AB27">
        <v>-35.125</v>
      </c>
      <c r="AC27">
        <v>49</v>
      </c>
      <c r="AD27">
        <v>3</v>
      </c>
      <c r="AE27">
        <v>14</v>
      </c>
      <c r="AF27">
        <v>2</v>
      </c>
    </row>
    <row r="28" spans="1:32" x14ac:dyDescent="0.2">
      <c r="A28" t="s">
        <v>275</v>
      </c>
      <c r="B28" t="s">
        <v>285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1.5</v>
      </c>
      <c r="Z28">
        <v>0.1875</v>
      </c>
      <c r="AA28">
        <v>0.1875</v>
      </c>
      <c r="AB28">
        <v>0</v>
      </c>
      <c r="AC28">
        <v>0</v>
      </c>
      <c r="AD28">
        <v>1.5</v>
      </c>
      <c r="AE28">
        <v>0</v>
      </c>
      <c r="AF28">
        <v>1.5</v>
      </c>
    </row>
    <row r="29" spans="1:32" x14ac:dyDescent="0.2">
      <c r="A29" t="s">
        <v>275</v>
      </c>
      <c r="B29" t="s">
        <v>286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19.5</v>
      </c>
      <c r="Y29">
        <v>0</v>
      </c>
      <c r="Z29">
        <v>19.5</v>
      </c>
      <c r="AA29">
        <v>19.5</v>
      </c>
      <c r="AB29">
        <v>0</v>
      </c>
      <c r="AC29">
        <v>19.5</v>
      </c>
      <c r="AD29">
        <v>0</v>
      </c>
    </row>
    <row r="30" spans="1:32" x14ac:dyDescent="0.2">
      <c r="A30" t="s">
        <v>275</v>
      </c>
      <c r="B30" t="s">
        <v>287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</v>
      </c>
      <c r="Y30">
        <v>2</v>
      </c>
      <c r="Z30">
        <v>4.25</v>
      </c>
      <c r="AA30">
        <v>4.25</v>
      </c>
      <c r="AB30">
        <v>0</v>
      </c>
      <c r="AC30">
        <v>4</v>
      </c>
      <c r="AD30">
        <v>2</v>
      </c>
    </row>
    <row r="31" spans="1:32" x14ac:dyDescent="0.2">
      <c r="A31" t="s">
        <v>275</v>
      </c>
      <c r="B31" t="s">
        <v>288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1</v>
      </c>
      <c r="Z31">
        <v>3.125</v>
      </c>
      <c r="AA31">
        <v>3.125</v>
      </c>
      <c r="AB31">
        <v>0</v>
      </c>
      <c r="AC31">
        <v>3</v>
      </c>
      <c r="AD31">
        <v>1</v>
      </c>
    </row>
    <row r="32" spans="1:32" x14ac:dyDescent="0.2">
      <c r="A32" t="s">
        <v>275</v>
      </c>
      <c r="B32" t="s">
        <v>289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6.5</v>
      </c>
      <c r="Y32">
        <v>0</v>
      </c>
      <c r="Z32">
        <v>6.5</v>
      </c>
      <c r="AA32">
        <v>6.5</v>
      </c>
      <c r="AB32">
        <v>0</v>
      </c>
      <c r="AC32">
        <v>6.5</v>
      </c>
      <c r="AD32">
        <v>0</v>
      </c>
    </row>
    <row r="33" spans="1:32" x14ac:dyDescent="0.2">
      <c r="A33" t="s">
        <v>275</v>
      </c>
      <c r="B33" t="s">
        <v>155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2" x14ac:dyDescent="0.2">
      <c r="A34" t="s">
        <v>275</v>
      </c>
      <c r="B34" t="s">
        <v>486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32" x14ac:dyDescent="0.2">
      <c r="A35" t="s">
        <v>275</v>
      </c>
      <c r="B35" t="s">
        <v>291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6</v>
      </c>
      <c r="Z35">
        <v>0.75</v>
      </c>
      <c r="AA35">
        <v>0.75</v>
      </c>
      <c r="AB35">
        <v>0</v>
      </c>
      <c r="AC35">
        <v>0</v>
      </c>
      <c r="AD35">
        <v>6</v>
      </c>
    </row>
    <row r="36" spans="1:32" x14ac:dyDescent="0.2">
      <c r="A36" t="s">
        <v>275</v>
      </c>
      <c r="B36" t="s">
        <v>424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32" x14ac:dyDescent="0.2">
      <c r="A37" t="s">
        <v>292</v>
      </c>
      <c r="B37" t="s">
        <v>487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32" x14ac:dyDescent="0.2">
      <c r="A38" t="s">
        <v>292</v>
      </c>
      <c r="B38" t="s">
        <v>294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14.5</v>
      </c>
      <c r="U38">
        <v>0</v>
      </c>
      <c r="V38">
        <v>14.5</v>
      </c>
      <c r="W38">
        <v>0</v>
      </c>
      <c r="X38">
        <v>14.5</v>
      </c>
      <c r="Y38">
        <v>0</v>
      </c>
      <c r="Z38">
        <v>14.5</v>
      </c>
      <c r="AA38">
        <v>14.5</v>
      </c>
      <c r="AB38">
        <v>0</v>
      </c>
      <c r="AC38">
        <v>14.5</v>
      </c>
      <c r="AD38">
        <v>0</v>
      </c>
    </row>
    <row r="39" spans="1:32" x14ac:dyDescent="0.2">
      <c r="A39" t="s">
        <v>292</v>
      </c>
      <c r="B39" t="s">
        <v>295</v>
      </c>
      <c r="C39">
        <v>0</v>
      </c>
      <c r="D39">
        <v>0</v>
      </c>
      <c r="E39">
        <v>2</v>
      </c>
      <c r="F39">
        <v>5</v>
      </c>
      <c r="G39">
        <v>2.625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</v>
      </c>
      <c r="Y39">
        <v>5</v>
      </c>
      <c r="Z39">
        <v>2.625</v>
      </c>
      <c r="AA39">
        <v>2.625</v>
      </c>
      <c r="AB39">
        <v>0</v>
      </c>
      <c r="AC39">
        <v>2</v>
      </c>
      <c r="AD39">
        <v>5</v>
      </c>
    </row>
    <row r="40" spans="1:32" x14ac:dyDescent="0.2">
      <c r="A40" t="s">
        <v>292</v>
      </c>
      <c r="B40" t="s">
        <v>296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</v>
      </c>
      <c r="Z40">
        <v>0.375</v>
      </c>
      <c r="AA40">
        <v>0.125</v>
      </c>
      <c r="AB40">
        <v>0.25</v>
      </c>
      <c r="AC40">
        <v>0</v>
      </c>
      <c r="AD40">
        <v>1</v>
      </c>
      <c r="AE40">
        <v>0</v>
      </c>
      <c r="AF40">
        <v>3</v>
      </c>
    </row>
    <row r="41" spans="1:32" x14ac:dyDescent="0.2">
      <c r="A41" t="s">
        <v>292</v>
      </c>
      <c r="B41" t="s">
        <v>297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11</v>
      </c>
      <c r="R41">
        <v>7</v>
      </c>
      <c r="S41">
        <v>11.875</v>
      </c>
      <c r="T41">
        <v>0</v>
      </c>
      <c r="U41">
        <v>0</v>
      </c>
      <c r="V41">
        <v>0</v>
      </c>
      <c r="W41">
        <v>0</v>
      </c>
      <c r="X41">
        <v>11</v>
      </c>
      <c r="Y41">
        <v>7</v>
      </c>
      <c r="Z41">
        <v>11.875</v>
      </c>
      <c r="AA41">
        <v>11.875</v>
      </c>
      <c r="AB41">
        <v>0</v>
      </c>
      <c r="AC41">
        <v>11</v>
      </c>
      <c r="AD41">
        <v>7</v>
      </c>
    </row>
    <row r="42" spans="1:32" x14ac:dyDescent="0.2">
      <c r="A42" t="s">
        <v>292</v>
      </c>
      <c r="B42" t="s">
        <v>424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32" x14ac:dyDescent="0.2">
      <c r="A43" t="s">
        <v>298</v>
      </c>
      <c r="B43" t="s">
        <v>299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5</v>
      </c>
      <c r="Z43">
        <v>3.625</v>
      </c>
      <c r="AA43">
        <v>3.625</v>
      </c>
      <c r="AB43">
        <v>0</v>
      </c>
      <c r="AC43">
        <v>3</v>
      </c>
      <c r="AD43">
        <v>5</v>
      </c>
    </row>
    <row r="44" spans="1:32" x14ac:dyDescent="0.2">
      <c r="A44" t="s">
        <v>298</v>
      </c>
      <c r="B44" t="s">
        <v>300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20</v>
      </c>
      <c r="U44">
        <v>3</v>
      </c>
      <c r="V44">
        <v>20.375</v>
      </c>
      <c r="W44">
        <v>0</v>
      </c>
      <c r="X44">
        <v>20</v>
      </c>
      <c r="Y44">
        <v>3</v>
      </c>
      <c r="Z44">
        <v>20.375</v>
      </c>
      <c r="AA44">
        <v>20.375</v>
      </c>
      <c r="AB44">
        <v>0</v>
      </c>
      <c r="AC44">
        <v>20</v>
      </c>
      <c r="AD44">
        <v>3</v>
      </c>
    </row>
    <row r="45" spans="1:32" x14ac:dyDescent="0.2">
      <c r="A45" t="s">
        <v>298</v>
      </c>
      <c r="B45" t="s">
        <v>301</v>
      </c>
      <c r="C45">
        <v>0</v>
      </c>
      <c r="D45">
        <v>0</v>
      </c>
      <c r="E45">
        <v>0</v>
      </c>
      <c r="F45">
        <v>0</v>
      </c>
      <c r="G45">
        <v>0</v>
      </c>
      <c r="H45">
        <v>4</v>
      </c>
      <c r="I45">
        <v>2</v>
      </c>
      <c r="J45">
        <v>4.25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</v>
      </c>
      <c r="Y45">
        <v>2</v>
      </c>
      <c r="Z45">
        <v>4.25</v>
      </c>
      <c r="AA45">
        <v>4.25</v>
      </c>
      <c r="AB45">
        <v>0</v>
      </c>
      <c r="AC45">
        <v>4</v>
      </c>
      <c r="AD45">
        <v>2</v>
      </c>
    </row>
    <row r="46" spans="1:32" x14ac:dyDescent="0.2">
      <c r="A46" t="s">
        <v>298</v>
      </c>
      <c r="B46" t="s">
        <v>302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24</v>
      </c>
      <c r="Y46">
        <v>5</v>
      </c>
      <c r="Z46">
        <v>24.625</v>
      </c>
      <c r="AA46">
        <v>24.625</v>
      </c>
      <c r="AB46">
        <v>0</v>
      </c>
      <c r="AC46">
        <v>24</v>
      </c>
      <c r="AD46">
        <v>5</v>
      </c>
    </row>
    <row r="47" spans="1:32" x14ac:dyDescent="0.2">
      <c r="A47" t="s">
        <v>298</v>
      </c>
      <c r="B47" t="s">
        <v>303</v>
      </c>
      <c r="C47">
        <v>0</v>
      </c>
      <c r="D47">
        <v>0</v>
      </c>
      <c r="E47">
        <v>14</v>
      </c>
      <c r="F47">
        <v>2</v>
      </c>
      <c r="G47">
        <v>14.25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14</v>
      </c>
      <c r="Y47">
        <v>2</v>
      </c>
      <c r="Z47">
        <v>14.25</v>
      </c>
      <c r="AA47">
        <v>14.25</v>
      </c>
      <c r="AB47">
        <v>0</v>
      </c>
      <c r="AC47">
        <v>14</v>
      </c>
      <c r="AD47">
        <v>2</v>
      </c>
    </row>
    <row r="48" spans="1:32" x14ac:dyDescent="0.2">
      <c r="A48" t="s">
        <v>298</v>
      </c>
      <c r="B48" t="s">
        <v>304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0.25</v>
      </c>
      <c r="AA48">
        <v>0.25</v>
      </c>
      <c r="AB48">
        <v>0</v>
      </c>
      <c r="AC48">
        <v>0</v>
      </c>
      <c r="AD48">
        <v>2</v>
      </c>
    </row>
    <row r="49" spans="1:30" x14ac:dyDescent="0.2">
      <c r="A49" t="s">
        <v>298</v>
      </c>
      <c r="B49" t="s">
        <v>155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">
      <c r="A50" t="s">
        <v>298</v>
      </c>
      <c r="B50" t="s">
        <v>155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">
      <c r="A51" t="s">
        <v>298</v>
      </c>
      <c r="B51" t="s">
        <v>305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4.5</v>
      </c>
      <c r="Z51">
        <v>0.5625</v>
      </c>
      <c r="AA51">
        <v>0.5625</v>
      </c>
      <c r="AB51">
        <v>0</v>
      </c>
      <c r="AC51">
        <v>0</v>
      </c>
      <c r="AD51">
        <v>4.5</v>
      </c>
    </row>
    <row r="52" spans="1:30" x14ac:dyDescent="0.2">
      <c r="A52" t="s">
        <v>298</v>
      </c>
      <c r="B52" t="s">
        <v>306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1.5</v>
      </c>
      <c r="Z52">
        <v>0.1875</v>
      </c>
      <c r="AA52">
        <v>0.1875</v>
      </c>
      <c r="AB52">
        <v>0</v>
      </c>
      <c r="AC52">
        <v>0</v>
      </c>
      <c r="AD52">
        <v>1.5</v>
      </c>
    </row>
    <row r="53" spans="1:30" x14ac:dyDescent="0.2">
      <c r="A53" t="s">
        <v>298</v>
      </c>
      <c r="B53" t="s">
        <v>307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</v>
      </c>
      <c r="O53">
        <v>0</v>
      </c>
      <c r="P53">
        <v>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7</v>
      </c>
      <c r="Y53">
        <v>0</v>
      </c>
      <c r="Z53">
        <v>7</v>
      </c>
      <c r="AA53">
        <v>7</v>
      </c>
      <c r="AB53">
        <v>0</v>
      </c>
      <c r="AC53">
        <v>7</v>
      </c>
      <c r="AD53">
        <v>0</v>
      </c>
    </row>
    <row r="54" spans="1:30" x14ac:dyDescent="0.2">
      <c r="A54" t="s">
        <v>298</v>
      </c>
      <c r="B54" t="s">
        <v>155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">
      <c r="A55" t="s">
        <v>298</v>
      </c>
      <c r="B55" t="s">
        <v>155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">
      <c r="A56" t="s">
        <v>298</v>
      </c>
      <c r="B56" t="s">
        <v>308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</v>
      </c>
      <c r="O56">
        <v>5</v>
      </c>
      <c r="P56">
        <v>2.625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5</v>
      </c>
      <c r="Z56">
        <v>2.625</v>
      </c>
      <c r="AA56">
        <v>2.625</v>
      </c>
      <c r="AB56">
        <v>0</v>
      </c>
      <c r="AC56">
        <v>2</v>
      </c>
      <c r="AD56">
        <v>5</v>
      </c>
    </row>
    <row r="57" spans="1:30" x14ac:dyDescent="0.2">
      <c r="A57" t="s">
        <v>298</v>
      </c>
      <c r="B57" t="s">
        <v>424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30" x14ac:dyDescent="0.2">
      <c r="A58" t="s">
        <v>317</v>
      </c>
      <c r="B58" t="s">
        <v>488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30" x14ac:dyDescent="0.2">
      <c r="A59" t="s">
        <v>317</v>
      </c>
      <c r="B59" t="s">
        <v>319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0</v>
      </c>
      <c r="V59">
        <v>3</v>
      </c>
      <c r="W59">
        <v>0</v>
      </c>
      <c r="X59">
        <v>3</v>
      </c>
      <c r="Y59">
        <v>0</v>
      </c>
      <c r="Z59">
        <v>3</v>
      </c>
      <c r="AA59">
        <v>3</v>
      </c>
      <c r="AB59">
        <v>0</v>
      </c>
      <c r="AC59">
        <v>3</v>
      </c>
      <c r="AD59">
        <v>0</v>
      </c>
    </row>
    <row r="60" spans="1:30" x14ac:dyDescent="0.2">
      <c r="A60" t="s">
        <v>317</v>
      </c>
      <c r="B60" t="s">
        <v>489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30" x14ac:dyDescent="0.2">
      <c r="A61" t="s">
        <v>317</v>
      </c>
      <c r="B61" t="s">
        <v>321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">
      <c r="A62" t="s">
        <v>317</v>
      </c>
      <c r="B62" t="s">
        <v>490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8"/>
  <sheetViews>
    <sheetView workbookViewId="0"/>
  </sheetViews>
  <sheetFormatPr baseColWidth="10" defaultColWidth="8.83203125" defaultRowHeight="15" x14ac:dyDescent="0.2"/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498</v>
      </c>
      <c r="N1" s="1" t="s">
        <v>499</v>
      </c>
      <c r="O1" s="1" t="s">
        <v>20</v>
      </c>
      <c r="P1" s="1" t="s">
        <v>21</v>
      </c>
      <c r="Q1" s="1" t="s">
        <v>12</v>
      </c>
      <c r="R1" s="1" t="s">
        <v>13</v>
      </c>
      <c r="S1" s="1" t="s">
        <v>22</v>
      </c>
      <c r="T1" s="1" t="s">
        <v>23</v>
      </c>
      <c r="U1" s="1" t="s">
        <v>14</v>
      </c>
      <c r="V1" s="1" t="s">
        <v>15</v>
      </c>
      <c r="W1" s="1" t="s">
        <v>24</v>
      </c>
      <c r="X1" s="1" t="s">
        <v>25</v>
      </c>
      <c r="Y1" s="1" t="s">
        <v>16</v>
      </c>
      <c r="Z1" s="1" t="s">
        <v>17</v>
      </c>
      <c r="AA1" s="1" t="s">
        <v>26</v>
      </c>
      <c r="AB1" s="1" t="s">
        <v>27</v>
      </c>
      <c r="AC1" s="1" t="s">
        <v>500</v>
      </c>
      <c r="AD1" s="1" t="s">
        <v>501</v>
      </c>
      <c r="AE1" s="1" t="s">
        <v>502</v>
      </c>
      <c r="AF1" s="1" t="s">
        <v>503</v>
      </c>
      <c r="AG1" s="1" t="s">
        <v>504</v>
      </c>
      <c r="AH1" s="1" t="s">
        <v>493</v>
      </c>
      <c r="AI1" s="1" t="s">
        <v>494</v>
      </c>
      <c r="AJ1" s="1" t="s">
        <v>505</v>
      </c>
    </row>
    <row r="2" spans="1:36" x14ac:dyDescent="0.2">
      <c r="A2" t="s">
        <v>103</v>
      </c>
      <c r="B2" t="s">
        <v>104</v>
      </c>
      <c r="C2">
        <v>2.62</v>
      </c>
      <c r="D2">
        <v>2</v>
      </c>
      <c r="E2">
        <v>12</v>
      </c>
      <c r="F2">
        <v>6</v>
      </c>
      <c r="G2" t="s">
        <v>105</v>
      </c>
      <c r="H2">
        <v>8</v>
      </c>
      <c r="I2">
        <v>6</v>
      </c>
      <c r="J2">
        <v>8.75</v>
      </c>
      <c r="K2">
        <v>8.75</v>
      </c>
      <c r="L2">
        <v>0</v>
      </c>
      <c r="M2">
        <v>8</v>
      </c>
      <c r="N2">
        <v>6</v>
      </c>
      <c r="O2">
        <v>6</v>
      </c>
      <c r="P2">
        <v>0</v>
      </c>
      <c r="AC2">
        <v>0.3</v>
      </c>
      <c r="AG2">
        <v>8.75</v>
      </c>
      <c r="AH2">
        <v>0.3</v>
      </c>
      <c r="AI2">
        <v>0.3</v>
      </c>
      <c r="AJ2" t="s">
        <v>105</v>
      </c>
    </row>
    <row r="3" spans="1:36" x14ac:dyDescent="0.2">
      <c r="A3" t="s">
        <v>103</v>
      </c>
      <c r="B3" t="s">
        <v>106</v>
      </c>
      <c r="C3">
        <v>0.27</v>
      </c>
      <c r="D3">
        <v>0</v>
      </c>
      <c r="E3">
        <v>5</v>
      </c>
      <c r="F3">
        <v>5</v>
      </c>
      <c r="G3" t="s">
        <v>107</v>
      </c>
      <c r="H3">
        <v>1</v>
      </c>
      <c r="I3">
        <v>2</v>
      </c>
      <c r="J3">
        <v>1.25</v>
      </c>
      <c r="K3">
        <v>1.25</v>
      </c>
      <c r="L3">
        <v>0</v>
      </c>
      <c r="M3">
        <v>1</v>
      </c>
      <c r="N3">
        <v>2</v>
      </c>
      <c r="O3">
        <v>4</v>
      </c>
      <c r="P3">
        <v>4</v>
      </c>
      <c r="AC3">
        <v>0.2166666666666667</v>
      </c>
      <c r="AG3">
        <v>1.25</v>
      </c>
      <c r="AH3">
        <v>0.2166666666666667</v>
      </c>
      <c r="AI3">
        <v>0.2166666666666667</v>
      </c>
      <c r="AJ3" t="s">
        <v>107</v>
      </c>
    </row>
    <row r="4" spans="1:36" x14ac:dyDescent="0.2">
      <c r="A4" t="s">
        <v>103</v>
      </c>
      <c r="B4" t="s">
        <v>108</v>
      </c>
      <c r="C4">
        <v>1.32</v>
      </c>
      <c r="D4">
        <v>1</v>
      </c>
      <c r="E4">
        <v>6</v>
      </c>
      <c r="F4">
        <v>5</v>
      </c>
      <c r="H4">
        <v>10.5</v>
      </c>
      <c r="I4">
        <v>7</v>
      </c>
      <c r="J4">
        <v>11.375</v>
      </c>
      <c r="K4">
        <v>11.375</v>
      </c>
      <c r="L4">
        <v>0</v>
      </c>
      <c r="M4">
        <v>11</v>
      </c>
      <c r="N4">
        <v>3</v>
      </c>
      <c r="O4">
        <v>2</v>
      </c>
      <c r="P4">
        <v>0</v>
      </c>
      <c r="Q4">
        <v>3</v>
      </c>
      <c r="R4">
        <v>7</v>
      </c>
      <c r="S4">
        <v>2</v>
      </c>
      <c r="T4">
        <v>4</v>
      </c>
      <c r="U4">
        <v>4</v>
      </c>
      <c r="V4">
        <v>0</v>
      </c>
      <c r="W4">
        <v>2</v>
      </c>
      <c r="X4">
        <v>8</v>
      </c>
      <c r="Y4">
        <v>3.5</v>
      </c>
      <c r="Z4">
        <v>0</v>
      </c>
      <c r="AC4">
        <v>0.1</v>
      </c>
      <c r="AD4">
        <v>0.1166666666666667</v>
      </c>
      <c r="AE4">
        <v>0.1333333333333333</v>
      </c>
      <c r="AG4">
        <v>11.375</v>
      </c>
      <c r="AH4">
        <v>0.11611721611721609</v>
      </c>
      <c r="AI4">
        <v>0.1166666666666667</v>
      </c>
    </row>
    <row r="5" spans="1:36" x14ac:dyDescent="0.2">
      <c r="A5" t="s">
        <v>103</v>
      </c>
      <c r="B5" t="s">
        <v>109</v>
      </c>
      <c r="C5">
        <v>0.05</v>
      </c>
      <c r="D5">
        <v>0</v>
      </c>
      <c r="E5">
        <v>1</v>
      </c>
      <c r="F5">
        <v>0</v>
      </c>
      <c r="H5">
        <v>5</v>
      </c>
      <c r="I5">
        <v>0</v>
      </c>
      <c r="J5">
        <v>5</v>
      </c>
      <c r="K5">
        <v>5</v>
      </c>
      <c r="L5">
        <v>0</v>
      </c>
      <c r="M5">
        <v>5</v>
      </c>
      <c r="N5">
        <v>0</v>
      </c>
      <c r="AC5">
        <v>0.01</v>
      </c>
      <c r="AG5">
        <v>5</v>
      </c>
      <c r="AH5">
        <v>0.01</v>
      </c>
      <c r="AI5">
        <v>0.01</v>
      </c>
    </row>
    <row r="6" spans="1:36" x14ac:dyDescent="0.2">
      <c r="A6" t="s">
        <v>103</v>
      </c>
      <c r="B6" t="s">
        <v>110</v>
      </c>
      <c r="C6">
        <v>0.12</v>
      </c>
      <c r="D6">
        <v>0</v>
      </c>
      <c r="E6">
        <v>2</v>
      </c>
      <c r="F6">
        <v>6</v>
      </c>
      <c r="G6" t="s">
        <v>111</v>
      </c>
      <c r="H6">
        <v>0</v>
      </c>
      <c r="I6">
        <v>4</v>
      </c>
      <c r="J6">
        <v>0.5</v>
      </c>
      <c r="K6">
        <v>0.5</v>
      </c>
      <c r="L6">
        <v>0</v>
      </c>
      <c r="M6">
        <v>0</v>
      </c>
      <c r="N6">
        <v>4</v>
      </c>
      <c r="AC6">
        <v>0.24</v>
      </c>
      <c r="AG6">
        <v>0.5</v>
      </c>
      <c r="AH6">
        <v>0.24</v>
      </c>
      <c r="AI6">
        <v>0.24</v>
      </c>
      <c r="AJ6" t="s">
        <v>111</v>
      </c>
    </row>
    <row r="7" spans="1:36" x14ac:dyDescent="0.2">
      <c r="A7" t="s">
        <v>103</v>
      </c>
      <c r="B7" t="s">
        <v>112</v>
      </c>
      <c r="C7">
        <v>0.1</v>
      </c>
      <c r="D7">
        <v>0</v>
      </c>
      <c r="E7">
        <v>2</v>
      </c>
      <c r="F7">
        <v>0</v>
      </c>
      <c r="G7" t="s">
        <v>111</v>
      </c>
      <c r="H7">
        <v>0</v>
      </c>
      <c r="I7">
        <v>6</v>
      </c>
      <c r="J7">
        <v>0.75</v>
      </c>
      <c r="K7">
        <v>0.75</v>
      </c>
      <c r="L7">
        <v>0</v>
      </c>
      <c r="M7">
        <v>0</v>
      </c>
      <c r="N7">
        <v>6</v>
      </c>
      <c r="AC7">
        <v>0.1333333333333333</v>
      </c>
      <c r="AG7">
        <v>0.75</v>
      </c>
      <c r="AH7">
        <v>0.1333333333333333</v>
      </c>
      <c r="AI7">
        <v>0.1333333333333333</v>
      </c>
      <c r="AJ7" t="s">
        <v>111</v>
      </c>
    </row>
    <row r="8" spans="1:36" x14ac:dyDescent="0.2">
      <c r="A8" t="s">
        <v>103</v>
      </c>
      <c r="B8" t="s">
        <v>113</v>
      </c>
      <c r="C8">
        <v>4.47</v>
      </c>
      <c r="D8">
        <v>4</v>
      </c>
      <c r="E8">
        <v>9</v>
      </c>
      <c r="F8">
        <v>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C8" t="s">
        <v>506</v>
      </c>
      <c r="AG8">
        <v>0</v>
      </c>
      <c r="AH8" t="s">
        <v>506</v>
      </c>
      <c r="AI8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Receipts</vt:lpstr>
      <vt:lpstr>Expenses</vt:lpstr>
      <vt:lpstr>Issues of the Grange</vt:lpstr>
      <vt:lpstr>Issues of the Mills</vt:lpstr>
      <vt:lpstr>Stock</vt:lpstr>
      <vt:lpstr>raw data</vt:lpstr>
      <vt:lpstr>Issues of the Grange raw</vt:lpstr>
      <vt:lpstr>Sale of Corn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Gierok</cp:lastModifiedBy>
  <dcterms:created xsi:type="dcterms:W3CDTF">2024-04-19T11:10:09Z</dcterms:created>
  <dcterms:modified xsi:type="dcterms:W3CDTF">2025-09-23T12:35:41Z</dcterms:modified>
</cp:coreProperties>
</file>
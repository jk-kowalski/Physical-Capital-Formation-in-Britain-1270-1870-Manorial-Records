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5933364A-00A5-8D4E-992C-A713A0303283}" xr6:coauthVersionLast="47" xr6:coauthVersionMax="47" xr10:uidLastSave="{00000000-0000-0000-0000-000000000000}"/>
  <bookViews>
    <workbookView xWindow="0" yWindow="520" windowWidth="18040" windowHeight="16540" activeTab="5" xr2:uid="{00000000-000D-0000-FFFF-FFFF00000000}"/>
  </bookViews>
  <sheets>
    <sheet name="Overview" sheetId="4" r:id="rId1"/>
    <sheet name="Receipts" sheetId="2" r:id="rId2"/>
    <sheet name="Expenses" sheetId="3" r:id="rId3"/>
    <sheet name="Issues of the Grange" sheetId="5" r:id="rId4"/>
    <sheet name="Issues of the Mills" sheetId="6" r:id="rId5"/>
    <sheet name="Stock" sheetId="7" r:id="rId6"/>
    <sheet name="raw data"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3" l="1"/>
  <c r="G11" i="3" s="1"/>
  <c r="F13" i="3"/>
  <c r="F10" i="3"/>
  <c r="G50" i="2"/>
  <c r="F50" i="2"/>
  <c r="G63" i="2"/>
  <c r="F63" i="2"/>
  <c r="G73" i="2"/>
  <c r="F72" i="2"/>
  <c r="F73" i="2"/>
  <c r="F81" i="2"/>
  <c r="F79" i="2"/>
  <c r="G81" i="2"/>
  <c r="F92" i="2"/>
  <c r="F91" i="2"/>
  <c r="F98" i="2"/>
  <c r="G98" i="2" s="1"/>
  <c r="F102" i="2"/>
  <c r="G102" i="2" s="1"/>
  <c r="F115" i="2"/>
  <c r="G115" i="2" s="1"/>
  <c r="F124" i="2"/>
  <c r="G124" i="2" s="1"/>
  <c r="F133" i="2"/>
  <c r="G133" i="2" s="1"/>
  <c r="F139" i="2"/>
  <c r="G139" i="2" s="1"/>
  <c r="F157" i="2"/>
  <c r="G157" i="2" s="1"/>
  <c r="F150" i="2"/>
  <c r="F151" i="2"/>
  <c r="F29" i="2"/>
  <c r="G29" i="2" s="1"/>
  <c r="F25" i="2"/>
  <c r="G25" i="2" s="1"/>
  <c r="F19" i="2"/>
  <c r="G19" i="2" s="1"/>
  <c r="F15" i="2"/>
  <c r="G15" i="2" s="1"/>
  <c r="G92" i="2" l="1"/>
  <c r="G151" i="2"/>
</calcChain>
</file>

<file path=xl/sharedStrings.xml><?xml version="1.0" encoding="utf-8"?>
<sst xmlns="http://schemas.openxmlformats.org/spreadsheetml/2006/main" count="749" uniqueCount="353">
  <si>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</si>
  <si>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</si>
  <si>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</si>
  <si>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</si>
  <si>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</si>
  <si>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</si>
  <si>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</si>
  <si>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</si>
  <si>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</si>
  <si>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</si>
  <si>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</si>
  <si>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</si>
  <si>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</si>
  <si>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</si>
  <si>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</si>
  <si>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</si>
  <si>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</si>
  <si>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</si>
  <si>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</si>
  <si>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</si>
  <si>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</si>
  <si>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</si>
  <si>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</si>
  <si>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</si>
  <si>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</si>
  <si>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</si>
  <si>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</si>
  <si>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</si>
  <si>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</si>
  <si>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</si>
  <si>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</si>
  <si>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Gilbert Marescallus renders account for £26 6 shilling 4pence of arrears from the previous year.</t>
  </si>
  <si>
    <t>Rents of assize</t>
  </si>
  <si>
    <t>The same renders account for 3 shilling 4pence for the rent of assize at Michaelmas of Thomas Schudd' for 1 messuage 20 acres of land and .5 acre of wood in West Pitt.</t>
  </si>
  <si>
    <t>3 shilling 4pence for the rent of assize at the same term of the heir of John de Brafeld' for 1 messuage 20 acres of land and' acre of wood in the same vill.</t>
  </si>
  <si>
    <t>3 shilling 4pence for the rent of assize at the same term of William Bygh' for 1 messuage 201 acres of land and' acre of wood in the same vill.</t>
  </si>
  <si>
    <t>6 shilling 8pence for the rent of assize at the same term of William Alysanndr' for 2 messuages 40 acres of land and 1 acre of wood in the same vill.</t>
  </si>
  <si>
    <t>3 shilling 4pence for the rent of assize at the same term of Aunger le Drivere and Agnes his wife for 1 messuage 20 acres of land and' acre of wood in the same vill.</t>
  </si>
  <si>
    <t>6pence for the rent of assize at the same term of the heir of John de Brayfeld' for 1 cottage in the same vill.</t>
  </si>
  <si>
    <t>3 shilling for the rent of assize at the same term of Drogo de Celar' and Amice his wife for a certain messuage in ICingsgate Street beside the Carmelite Friars.</t>
  </si>
  <si>
    <t>2 shilling for the rent of assize at the same term of Robert de la Fermerie for a certain messuage opposite the house of John de Houlond' in the same place which is of the fee of West Pitt.</t>
  </si>
  <si>
    <t>Total, £1 5 shilling 6pence</t>
  </si>
  <si>
    <t>The same renders account for 6 shilling for the rent of assize at Michaelmas of the heir of Ralph de Gorhunte in Pendeworth'.</t>
  </si>
  <si>
    <t>Total, 6 shilling</t>
  </si>
  <si>
    <t>The same renders account for 13 shilling 8pence for the rent of assize at Michaelmas of Andrew Payn for the tenement which he holds in Sparsholt.</t>
  </si>
  <si>
    <t>3 shilling for the rent of assize at the same term of William Russel for a certain cottage in the same vill.</t>
  </si>
  <si>
    <t>5 shilling for the rent of assize at the same term of Richard Fromund for his tenement which he holds in the same vill.</t>
  </si>
  <si>
    <t>Total, £1 1 shilling 8pence</t>
  </si>
  <si>
    <t>The same renders account for 6 shilling 8pence for the rent of assize at Michaelmas of Nicholas de Ychen' for 3 virgates of land in Martyr Worthy.</t>
  </si>
  <si>
    <t>Total, 6 shilling 8pence</t>
  </si>
  <si>
    <t>Total of all rents</t>
  </si>
  <si>
    <t>Total of all rents, £2 19 shilling 10pence</t>
  </si>
  <si>
    <t>Estreat of the Bench beginning at Michaelmas in the year 26, and Hilary, Easter and Trinity in the year 27 (1298-9)</t>
  </si>
  <si>
    <t>The same renders account for 1 shilling 8pence from Martin Molendinarius of South Stoneham and Roger of the same because they did not produce in court Guy de Stonham.</t>
  </si>
  <si>
    <t>1 shilling 8pence from William Raynold de Fal' and John Soudener of the same because they did not produce in court John de la Sale.</t>
  </si>
  <si>
    <t>1 shilling 8pence from William Cuppyng of Droxford and William le Taymyr of the same because they did not produce in court Richard de Midlington' whom they had bailed.</t>
  </si>
  <si>
    <t>1 shilling 8pence from Gerard le Commongar' of Durley and Thomas Everard of the same because they did not produce in court John Everard'.</t>
  </si>
  <si>
    <t>1 shilling 8pence from John Crispyn of Bighton and John Faber because they did not produce in court Walter Tymb'.</t>
  </si>
  <si>
    <t>1 shilling 8pence from William Martin of West Tisted and Adam ate Mere because they did not produce in court Richard de Tysted'.</t>
  </si>
  <si>
    <t>1 shilling from Richard de Overton' and Geoffrey Horn because they did not produce in court John Pilesel the younger whom they had bailed.</t>
  </si>
  <si>
    <t>1 shilling from Ralph de Sydemanton' and John de Nywenton' because they did not produce in court Roger le Lunt whom they had pledged.</t>
  </si>
  <si>
    <t>1 shilling from Adam le Mar' and Walter Mercator because they did not produce in court Roger le Lunt whom they had pledged.</t>
  </si>
  <si>
    <t>2 shilling from William Martin, Walter de Cove, Richard de Murifeld' and John Faber of West Tisted because they did not produce in court Richard de Tisted' whom they had bailed.</t>
  </si>
  <si>
    <t>1 shilling 8pence from John Cuppyng of Bighton, William Clericus of Drayton, John de Solrigg' and John de la Greyn' because they did not produce in court Robert de Weston'.</t>
  </si>
  <si>
    <t>1 shilling 8pence from John Faber of Bighton, Richard le Schepurde, John Sum' and Robert le Bule because they did not produce in court Walter Tymb' whom they had bailed.</t>
  </si>
  <si>
    <t>2 shilling from Walter ate Forth' of Overton, John Pilesel the elder, John Osebern and John ate Toneshend' because they did not produce in court John Pilesel the younger whom they had bailed.</t>
  </si>
  <si>
    <t>1 shilling from Richard le Berch' of Overton, Robert le Hore, John Oseburn and Ralph ate Toneshend' because they did not produce in court Roger le Lunt whom they had bailed in Overton at Easter.</t>
  </si>
  <si>
    <t>1 shilling 8pence from William Fynamur for himself and his pledges because he is not proceeding against Geoffrey le Keu in a plea of land.</t>
  </si>
  <si>
    <t>1 shilling 8pence from William Godrich of Upham and John Goudrich of the same because they did not produce in court Robert ate Bech.</t>
  </si>
  <si>
    <t>1 shilling from Adam Cissore of Overton and Adam Pukecherl because they did not produce in court John Pilesel.</t>
  </si>
  <si>
    <t>From the amercements of merchants in the county of Southampton in the sixth year (1278): 2 shilling from Henry de Arblaster for false measure.</t>
  </si>
  <si>
    <t>Total, £1 7 shilling 8pence</t>
  </si>
  <si>
    <t>Amercements of the court of J. de Metingham and his fellows of the Bench at Michaelmas in the year 28 (1299-1300) and the following terms</t>
  </si>
  <si>
    <t>The same renders account for 3 shilling 4pence from Jordan le Yunge and his fellows because they did not produce in court Joan de Colrych' whom they had bailed.</t>
  </si>
  <si>
    <t>3 shilling 4pence from Bartholomew Laurence and his fellows because they did not produce in court William, son of Laurence de London, whom they had bailed.</t>
  </si>
  <si>
    <t>1 shilling 8pence from William Joye and his fellows because they did not produce in court Walter de Derneford' whom they had bailed.</t>
  </si>
  <si>
    <t>3 shilling 4pence from Robert Wyncent and his fellows because they did not produce in court John de Lynch' whom they had bailed.</t>
  </si>
  <si>
    <t>3 shilling 4pence from Jordan le Yunge and his fellows because they did not produce in court Joan de Colrich' whom they had bailed.</t>
  </si>
  <si>
    <t>1 shilling 8pence from Thomas Laurence and his fellows because they did not produce in court William, son of Laurence de London, whom they had bailed.</t>
  </si>
  <si>
    <t>1 shilling 8pence from Laurence Skyreboth' and his fellows because they did not produce in court Walter de Derneford' whom they had bailed.</t>
  </si>
  <si>
    <t>1 shilling 8pence from William le Duk and his fellows because they did not produce in court John de Lynch' whom they had bailed.</t>
  </si>
  <si>
    <t>3 shilling 4pence from John Wyncent and his fellows because they did not produce in court John de Lynch' whom they had bailed.</t>
  </si>
  <si>
    <t>1 shilling 8pence from William Chauberlain, juror, because he did not come to the afforcement.</t>
  </si>
  <si>
    <t>Total, £1 5 shilling</t>
  </si>
  <si>
    <t>Court of the Barons of the Exchequer for the pleas of Hilary term in the year 28 (1300)</t>
  </si>
  <si>
    <t>The same renders account for 6 shilling 8pence from Alan Plukenet, son and heir of Alan Plukenet, because he did not come.</t>
  </si>
  <si>
    <t>6 shilling 8pence from William, reeve of Kilmeston, and Stephen le Rede of the same because they did not produce in court Alan, son and heir of Alan Plukenet, at Easter.</t>
  </si>
  <si>
    <t>6 shilling 8pence from Alan, son and heir of Alan Plukenet, because he did not come.</t>
  </si>
  <si>
    <t>3 shilling 4pence from Stephen le Ryde of Kilmeston and his fellows because they did not produce in court the said Alan.</t>
  </si>
  <si>
    <t>From Trinity term: 3 shilling 4pence from Alan Plukenet, son and heir of Alan Plukenet, because he did not come.</t>
  </si>
  <si>
    <t>1 shilling 8pence from Stephen ate Cleye of Kilmeston and his fellows because they did not produce in court Alan, son and heir of Alan Plukenet.</t>
  </si>
  <si>
    <t>6 shilling 8pence from Philip, archdeacon of Winchester, because he did not come.</t>
  </si>
  <si>
    <t>Total, £5 shilling</t>
  </si>
  <si>
    <t>And 1 shilling 8pence from Gerard de Tigehal' and his fellows because they did not produce in court William de Tigehal'.</t>
  </si>
  <si>
    <t>Court of Roger Brabazon and his fellow justices holding the pleas of the king's court for Hilary term in the year 27 Edward I (1299)</t>
  </si>
  <si>
    <t>The same renders account for 1 shilling 8pence from Thomas Tupleyn and his fellows because they did not produce in court Nicholas de Langrissch'.</t>
  </si>
  <si>
    <t>Court of the same justices in Michaelmas term of the year ending 26 and beginning 27 (1298-9)</t>
  </si>
  <si>
    <t>The same renders account for 1 shilling 8pence from Nicholas de Borden' and his fellows because they did not produce in court Nicholas de Langrissch' whom they had bailepence Total, 5 shilling</t>
  </si>
  <si>
    <t>King's court for Michaelmas term of the year ending 25 and beginning 26, and for the following Hilary, Easter and Trinity terms (1297-8)</t>
  </si>
  <si>
    <t>The same renders account for 1 shilling 8pence from Nicholas Wyncent and John Wyncent because they did not produce in court William de Lynch'.</t>
  </si>
  <si>
    <t>1 shilling from John Wyncent, William Wyncent, Nicholas Wyncent and William Pakel because they did not produce in court John de Lynch'.</t>
  </si>
  <si>
    <t>1 shilling 8pence from John de Wyntenesheye of Bradley and Simon Wuwyn' of Wield because they did not produce in court John Bouie.</t>
  </si>
  <si>
    <t>1 shilling 8pence from Hugh son of Elewys and Robert, son of Andrew de Essefeld', because they did not produce in court Thomas Call'.</t>
  </si>
  <si>
    <t>1 shilling 8pence from John Langurend' and John de la Hecch' because they did not produce in court Simon Wuwyn' whom they had pledged.</t>
  </si>
  <si>
    <t>1 shilling 8pence from William le Carpentyr de Herlefeld' and Thomas Call' of Wield because they did not produce in court Robert de la Doun'.</t>
  </si>
  <si>
    <t>1 shilling 8pence from Simon de la Lye and Benedict le Parmenter because they did not produce in court Gilbert Horsemayn.</t>
  </si>
  <si>
    <t>1 shilling 8pence from John le Fughelar', John Clericus of Long Sutton, William Paghel, William Vincent of Long Sutton because they did not produce in court John de Lynch' whom they had bailepence Total, 12 shilling 8pence</t>
  </si>
  <si>
    <t>From Chancery in the year 28 (1300), from the charge of Robert de Herierd'</t>
  </si>
  <si>
    <t>6 shilling 8pence from Robert Burnel to have the writ `pone'.</t>
  </si>
  <si>
    <t>Also from chancery in the year 29 (1301), from the charge of Robert de Herierd'</t>
  </si>
  <si>
    <t>6 shilling 8pence from Richard de Sutton' of Overton to have a writ.</t>
  </si>
  <si>
    <t>0.5 mark from Richard le Porter to have a writ.</t>
  </si>
  <si>
    <t>Total, £1.</t>
  </si>
  <si>
    <t>From the eyre of R. de Roff' in the year 8 and the beginning of the year 9 (1280-1)</t>
  </si>
  <si>
    <t>3 shilling 4pence from Adam de Aldewyk' for contempt.</t>
  </si>
  <si>
    <t>Total, 3 shilling 4pence</t>
  </si>
  <si>
    <t>From the fines and amercements of Newgate gaol at the court of R. de Sandwyk' and his fellow justices in the years 24, 25, 26 and 27 (1296-9)</t>
  </si>
  <si>
    <t>The same renders account for' Richard de Frilend' because he did not come.</t>
  </si>
  <si>
    <t>3 shilling 4pence from John Bulluk and Nicholas Cocus because they did not produce in court the said Richard.</t>
  </si>
  <si>
    <t>1 shilling 8pence from John de Lynch' because he did not come.</t>
  </si>
  <si>
    <t>3 shilling 4pence from John Germayn and John ate Gate because they did not produce in court the said John whom they had bailed.</t>
  </si>
  <si>
    <t>1 shilling 8pence from Richard de Midlinigiton' because he did not come.</t>
  </si>
  <si>
    <t>2 shilling from Peter le Ryd' and William Herberd because they did not produce in court the said Richard.</t>
  </si>
  <si>
    <t>1 shilling 8pence from William de la Den' because he did not come.</t>
  </si>
  <si>
    <t>2 shilling from Henry Wormere and Thomas Cachefrench because they did not produce in court the said William.</t>
  </si>
  <si>
    <t>2 shilling from William Houdy and Robert ate Mere because they did not produce in court.</t>
  </si>
  <si>
    <t>1 shilling 8pence from Robert la Beche because he did not come.</t>
  </si>
  <si>
    <t>Total, £1 1 shilling</t>
  </si>
  <si>
    <t>Money of the king from Chancery in the year 29 Edward I (1301)</t>
  </si>
  <si>
    <t>The same renders account for 6 shilling 8pence from Joan, who was wife of William de Castr', Ralph William, and Richard, son of the same Joan, to have the writ `pone'.</t>
  </si>
  <si>
    <t>Court of J. de Metingham and his fellow justices of the Bench at Michaelmas term in the year 28, and the fines and issues from the Bench at Hilary term in the year 29 (1300-1)</t>
  </si>
  <si>
    <t>The same renders account for 3 shilling 4pence from the issue of the land of Joan de Colrych' outside the manor (for').</t>
  </si>
  <si>
    <t>1 shilling 8pence from the issue of the land of William, son of Laurence de London.</t>
  </si>
  <si>
    <t>1 shilling 8pence from the issue of the land of Walter de Durneford'.</t>
  </si>
  <si>
    <t>3 shilling 4pence from the issue of the land of John de Lynch'.</t>
  </si>
  <si>
    <t>6 shilling 8pence from the issue of the land of Walter de Demeford'.</t>
  </si>
  <si>
    <t>Total, £1 3 shilling 4pence</t>
  </si>
  <si>
    <t>Court of the Barons of the Exchequer for the execution of writs for the king in the year 29 (1301)</t>
  </si>
  <si>
    <t>The same renders account for 1 shilling from the issue of the land of John Pelrym outside the manor.</t>
  </si>
  <si>
    <t>1 shilling from the issue of the land of Thomas Laurence.</t>
  </si>
  <si>
    <t>1 shilling from the issue of the land of William Laurence.</t>
  </si>
  <si>
    <t>1 shilling 8pence from the issue of the land of Thomas Laurence at Hilary term.</t>
  </si>
  <si>
    <t>6 shilling 8pence from the issue of the land of Alan, son and heir of Alan Plukenet.</t>
  </si>
  <si>
    <t>From the Bench in the year 26 and the beginning of the. year 27 (1298-9)</t>
  </si>
  <si>
    <t>1 shilling from the issue of the land of John atte Lynch'.</t>
  </si>
  <si>
    <t>Total, £1 17 shilling 8pence</t>
  </si>
  <si>
    <t>Court of Roger de Brabazun and his fellow justices holding the pleas of the court of king's pleas at Michaelmas term in the year ending 27 and beginning 28, and the following terms (1299-1300)</t>
  </si>
  <si>
    <t>The same renders account for 3 shilling 4pence from the issue of the land of Nicholas de Langrissch' outside the manor.</t>
  </si>
  <si>
    <t>1 shilling 8pence from the issue of the land of Nicholas de Langrissch'.</t>
  </si>
  <si>
    <t>1 shilling 8pence from the issue of the land of Philip de Denemed' outside the manor.</t>
  </si>
  <si>
    <t xml:space="preserve">Court of the same justices in the year ending 28 and beginning 29 (1300-1) </t>
  </si>
  <si>
    <t>The same renders account for 1 shilling from the issue of the land of Philip de Denemed' outside the manor.</t>
  </si>
  <si>
    <t>1 shilling 8pence from the issue of the land of Nicholas de Langrissch' outside the manor.</t>
  </si>
  <si>
    <t>1 shilling from the issue of Richard de Frilend'.</t>
  </si>
  <si>
    <t>1 shilling from the issue of John de Hurselye.</t>
  </si>
  <si>
    <t>1 shilling from the issue of the land of John de Lynch'.</t>
  </si>
  <si>
    <t>1 shilling from the issue of the land of Nicholas de Langrissch'.</t>
  </si>
  <si>
    <t>King's court at Hilary term in the year 27 and the following terms (1299)</t>
  </si>
  <si>
    <t>The same renders account for £1 2 shilling 8pence from the tithing of Ropley and the men of the same vill for the corn of William Gerveys.</t>
  </si>
  <si>
    <t>Total, £1 shilling</t>
  </si>
  <si>
    <t>From the pipe rolls</t>
  </si>
  <si>
    <t>The same renders account for £10 from John Giffard for relief of 2 knights' fees which belonged to Godfrey Giffard his uncle.</t>
  </si>
  <si>
    <t>3 shilling 4pence from the heir of Braifeud' for relief of a certain tenement in West Pitt.</t>
  </si>
  <si>
    <t>6pence from the same for relief of a certain other tenement in West Pitt.</t>
  </si>
  <si>
    <t>Total, £10 3 shilling 10pence</t>
  </si>
  <si>
    <t>Total of all receipts</t>
  </si>
  <si>
    <t>Total of all receipts, £25 12 shilling</t>
  </si>
  <si>
    <t>Expenses</t>
  </si>
  <si>
    <t>In wages of the marshal for the year £3 10 shilling</t>
  </si>
  <si>
    <t>In allowance of the same for a 10 shilling amercement of William le Blesscede which he was being charged for from the previous year, because it was found in the pipe rolls that he paid it before for trespass of wool in the court of J. de Luvetot and G. de Nebaupence</t>
  </si>
  <si>
    <t>Also in allowance of the same for a 6pence amercement of Henry Watsond which he was being charged for from the previous year for a plea of the Pavilion, of which he had the estreat and which he was not able to levy.</t>
  </si>
  <si>
    <t>1 shilling for John de Northwych.</t>
  </si>
  <si>
    <t>6pence for Nicholas le Keu of Chilbolton.</t>
  </si>
  <si>
    <t>Also in allowance of the same for his fur 2 shilling</t>
  </si>
  <si>
    <t>Total of all expenses and allowances</t>
  </si>
  <si>
    <t>Total of all expenses and allowances, £3 14 shilling 10pence</t>
  </si>
  <si>
    <t>And he owes, £27 shilling 2pence</t>
  </si>
  <si>
    <t>And he owes it all clear.</t>
  </si>
  <si>
    <t>Error</t>
  </si>
  <si>
    <t>Total</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</si>
  <si>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</si>
  <si>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</si>
  <si>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</si>
  <si>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</si>
  <si>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</si>
  <si>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</si>
  <si>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</si>
  <si>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</si>
  <si>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</si>
  <si>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</si>
  <si>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</si>
  <si>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</si>
  <si>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</si>
  <si>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</si>
  <si>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</si>
  <si>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</si>
  <si>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</si>
  <si>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</si>
  <si>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</si>
  <si>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</si>
  <si>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</si>
  <si>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</si>
  <si>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</si>
  <si>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</si>
  <si>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</si>
  <si>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</si>
  <si>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</si>
  <si>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</si>
  <si>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</si>
  <si>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</si>
  <si>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</si>
  <si>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</si>
  <si>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</si>
  <si>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</si>
  <si>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</si>
  <si>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</si>
  <si>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</si>
  <si>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</si>
  <si>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</si>
  <si>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</si>
  <si>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</si>
  <si>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</si>
  <si>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</si>
  <si>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</si>
  <si>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</si>
  <si>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</si>
  <si>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</si>
  <si>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</si>
  <si>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</si>
  <si>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</si>
  <si>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</si>
  <si>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</si>
  <si>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</si>
  <si>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Grange</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</si>
  <si>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</si>
  <si>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</si>
  <si>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</si>
  <si>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</si>
  <si>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</si>
  <si>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</si>
  <si>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</si>
  <si>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</si>
  <si>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</si>
  <si>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</si>
  <si>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</si>
  <si>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</si>
  <si>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</si>
  <si>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</si>
  <si>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</si>
  <si>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</si>
  <si>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</si>
  <si>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</si>
  <si>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</si>
  <si>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</si>
  <si>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</si>
  <si>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</si>
  <si>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</si>
  <si>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</si>
  <si>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</si>
  <si>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</si>
  <si>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</si>
  <si>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</si>
  <si>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</si>
  <si>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</si>
  <si>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</si>
  <si>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</si>
  <si>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</si>
  <si>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</si>
  <si>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</si>
  <si>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</si>
  <si>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</si>
  <si>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</si>
  <si>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</si>
  <si>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</si>
  <si>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</si>
  <si>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</si>
  <si>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</si>
  <si>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</si>
  <si>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</si>
  <si>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</si>
  <si>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</si>
  <si>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</si>
  <si>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</si>
  <si>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</si>
  <si>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</si>
  <si>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</si>
  <si>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</si>
  <si>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</si>
  <si>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</si>
  <si>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</si>
  <si>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</si>
  <si>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</si>
  <si>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</si>
  <si>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</si>
  <si>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</si>
  <si>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</si>
  <si>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</si>
  <si>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</si>
  <si>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</si>
  <si>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</si>
  <si>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</si>
  <si>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</si>
  <si>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</si>
  <si>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</si>
  <si>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</si>
  <si>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</si>
  <si>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</si>
  <si>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</si>
  <si>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</si>
  <si>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</si>
  <si>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</si>
  <si>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</si>
  <si>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</si>
  <si>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</si>
  <si>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</si>
  <si>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</si>
  <si>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</si>
  <si>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</si>
  <si>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</si>
  <si>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</si>
  <si>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</si>
  <si>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</si>
  <si>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</si>
  <si>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</si>
  <si>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</si>
  <si>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</si>
  <si>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</si>
  <si>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</si>
  <si>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</si>
  <si>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</si>
  <si>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Total in £</t>
  </si>
  <si>
    <t>Note</t>
  </si>
  <si>
    <t>MARSHALSEA</t>
  </si>
  <si>
    <t>MARSHALSEA RECEIPTS</t>
  </si>
  <si>
    <t>£</t>
  </si>
  <si>
    <t xml:space="preserve">s </t>
  </si>
  <si>
    <t>d</t>
  </si>
  <si>
    <t>Notes</t>
  </si>
  <si>
    <t>MARSHALSEA EXPENSES</t>
  </si>
  <si>
    <t>Total, £1 11shilling</t>
  </si>
  <si>
    <t xml:space="preserve">1 shilling 8pence from John le Fughelar', John Clericus of Long Sutton, William Paghel, William Vincent of Long Sutton because they did not produce in court John de Lynch' whom they had bailepence </t>
  </si>
  <si>
    <t>Total, 12 shilling 8pence</t>
  </si>
  <si>
    <t>Total, 5 shilling</t>
  </si>
  <si>
    <t>The same renders account for 1 shilling 8pence from Nicholas de Borden' and his fellows because they did not produce in court Nicholas de Langrissch' whom they had bailed</t>
  </si>
  <si>
    <t>Both</t>
  </si>
  <si>
    <t>Total, £1 15 shilling</t>
  </si>
  <si>
    <t>Total of all expenses and allowances, £3 14shilling 10 pence.</t>
  </si>
  <si>
    <t>In allowance of the same for a 10 shilling amercement of William le Blesscede which he was being charged for from the previous year, because it was found in the pipe rolls that he paid it before for trespass of wool in the court of J. de Luvetot and G. de Nebaud.</t>
  </si>
  <si>
    <t>And he owes</t>
  </si>
  <si>
    <t>And hew owes it all clear.</t>
  </si>
  <si>
    <t>no grange</t>
  </si>
  <si>
    <t>no mills</t>
  </si>
  <si>
    <t>no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</si>
</sst>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Calibri"/>
      <family val="2"/>
      <scheme val="minor"/>
    </font>
    <font>
      <b/>
      <sz val="11"/>
      <name val="Calibri"/>
      <family val="2"/>
    </font>
    <font>
      <sz val="12"/>
      <color rgb="FFFF0000"/>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2"/>
      <name val="Calibri"/>
      <family val="2"/>
    </font>
    <font>
      <b/>
      <sz val="12"/>
      <color rgb="FFFF0000"/>
      <name val="Calibri (Body)"/>
    </font>
  </fonts>
  <fills count="7">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51">
    <xf numFmtId="0" fontId="0" fillId="0" borderId="0" xfId="0"/>
    <xf numFmtId="0" fontId="2"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1"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0" fontId="3" fillId="0" borderId="0" xfId="0" applyFont="1"/>
    <xf numFmtId="0" fontId="11" fillId="0" borderId="0" xfId="0" applyFont="1"/>
    <xf numFmtId="0" fontId="11" fillId="0" borderId="0" xfId="0" applyFont="1" applyBorder="1"/>
    <xf numFmtId="0" fontId="0" fillId="0" borderId="0" xfId="0" applyBorder="1"/>
    <xf numFmtId="0" fontId="13" fillId="0" borderId="0" xfId="0" applyFont="1" applyAlignment="1">
      <alignment horizontal="center" vertical="top"/>
    </xf>
    <xf numFmtId="4" fontId="11" fillId="0" borderId="0" xfId="0" applyNumberFormat="1" applyFont="1" applyAlignment="1">
      <alignment horizontal="right"/>
    </xf>
    <xf numFmtId="0" fontId="11" fillId="0" borderId="0" xfId="0" applyFont="1" applyAlignment="1">
      <alignment horizontal="right"/>
    </xf>
    <xf numFmtId="0" fontId="13" fillId="0" borderId="0" xfId="0" applyFont="1" applyAlignment="1">
      <alignment horizontal="left" vertical="top"/>
    </xf>
    <xf numFmtId="0" fontId="0" fillId="0" borderId="0" xfId="0" applyFill="1" applyBorder="1"/>
    <xf numFmtId="0" fontId="13" fillId="0" borderId="0" xfId="0" applyFont="1" applyAlignment="1">
      <alignment horizontal="center" vertical="center"/>
    </xf>
    <xf numFmtId="4" fontId="11" fillId="0" borderId="0" xfId="0" applyNumberFormat="1" applyFont="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2" fontId="4" fillId="0" borderId="0" xfId="0" applyNumberFormat="1" applyFont="1" applyAlignment="1">
      <alignment horizontal="center" vertical="center"/>
    </xf>
    <xf numFmtId="2" fontId="14" fillId="0" borderId="0" xfId="0" applyNumberFormat="1" applyFont="1" applyAlignment="1">
      <alignment horizontal="center" vertical="center"/>
    </xf>
    <xf numFmtId="2" fontId="0" fillId="0" borderId="0" xfId="0" applyNumberFormat="1" applyBorder="1"/>
    <xf numFmtId="2" fontId="12" fillId="0" borderId="0" xfId="0" applyNumberFormat="1" applyFont="1" applyBorder="1"/>
    <xf numFmtId="2" fontId="4" fillId="0" borderId="0" xfId="0" applyNumberFormat="1" applyFont="1" applyAlignment="1">
      <alignment horizontal="center"/>
    </xf>
    <xf numFmtId="2" fontId="14" fillId="0" borderId="0" xfId="0" applyNumberFormat="1" applyFont="1" applyAlignment="1">
      <alignment horizontal="center" vertical="top"/>
    </xf>
    <xf numFmtId="2" fontId="0" fillId="0" borderId="0" xfId="0" applyNumberFormat="1"/>
    <xf numFmtId="2" fontId="1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8.83203125" defaultRowHeight="16" x14ac:dyDescent="0.2"/>
  <cols>
    <col min="1" max="1" width="80" style="5" bestFit="1" customWidth="1"/>
  </cols>
  <sheetData>
    <row r="1" spans="1:5" s="5" customFormat="1" x14ac:dyDescent="0.2">
      <c r="A1" s="2" t="s">
        <v>332</v>
      </c>
      <c r="B1" s="28" t="s">
        <v>330</v>
      </c>
      <c r="C1" s="29" t="s">
        <v>178</v>
      </c>
      <c r="D1" s="10" t="s">
        <v>331</v>
      </c>
      <c r="E1" s="10"/>
    </row>
    <row r="2" spans="1:5" s="5" customFormat="1" x14ac:dyDescent="0.2">
      <c r="A2" s="2" t="s">
        <v>180</v>
      </c>
      <c r="C2" s="30"/>
    </row>
    <row r="3" spans="1:5" x14ac:dyDescent="0.2">
      <c r="A3" s="3" t="s">
        <v>181</v>
      </c>
    </row>
    <row r="4" spans="1:5" x14ac:dyDescent="0.2">
      <c r="A4" s="4" t="s">
        <v>182</v>
      </c>
    </row>
    <row r="5" spans="1:5" x14ac:dyDescent="0.2">
      <c r="A5" s="4" t="s">
        <v>183</v>
      </c>
    </row>
    <row r="6" spans="1:5" x14ac:dyDescent="0.2">
      <c r="A6" s="4" t="s">
        <v>184</v>
      </c>
    </row>
    <row r="7" spans="1:5" x14ac:dyDescent="0.2">
      <c r="A7" s="4" t="s">
        <v>185</v>
      </c>
    </row>
    <row r="8" spans="1:5" x14ac:dyDescent="0.2">
      <c r="A8" s="5" t="s">
        <v>186</v>
      </c>
    </row>
    <row r="9" spans="1:5" x14ac:dyDescent="0.2">
      <c r="A9" s="5" t="s">
        <v>187</v>
      </c>
    </row>
    <row r="10" spans="1:5" x14ac:dyDescent="0.2">
      <c r="A10" s="5" t="s">
        <v>188</v>
      </c>
    </row>
    <row r="11" spans="1:5" x14ac:dyDescent="0.2">
      <c r="A11" s="5" t="s">
        <v>189</v>
      </c>
    </row>
    <row r="12" spans="1:5" x14ac:dyDescent="0.2">
      <c r="A12" s="5" t="s">
        <v>190</v>
      </c>
    </row>
    <row r="13" spans="1:5" x14ac:dyDescent="0.2">
      <c r="A13" s="5" t="s">
        <v>191</v>
      </c>
    </row>
    <row r="14" spans="1:5" x14ac:dyDescent="0.2">
      <c r="A14" s="4" t="s">
        <v>192</v>
      </c>
    </row>
    <row r="15" spans="1:5" x14ac:dyDescent="0.2">
      <c r="A15" s="4" t="s">
        <v>193</v>
      </c>
    </row>
    <row r="16" spans="1:5" x14ac:dyDescent="0.2">
      <c r="A16" s="5" t="s">
        <v>194</v>
      </c>
    </row>
    <row r="17" spans="1:1" x14ac:dyDescent="0.2">
      <c r="A17" s="5" t="s">
        <v>195</v>
      </c>
    </row>
    <row r="18" spans="1:1" x14ac:dyDescent="0.2">
      <c r="A18" s="4" t="s">
        <v>196</v>
      </c>
    </row>
    <row r="19" spans="1:1" x14ac:dyDescent="0.2">
      <c r="A19" s="4" t="s">
        <v>197</v>
      </c>
    </row>
    <row r="20" spans="1:1" x14ac:dyDescent="0.2">
      <c r="A20" s="4" t="s">
        <v>198</v>
      </c>
    </row>
    <row r="21" spans="1:1" x14ac:dyDescent="0.2">
      <c r="A21" s="5" t="s">
        <v>199</v>
      </c>
    </row>
    <row r="22" spans="1:1" x14ac:dyDescent="0.2">
      <c r="A22" s="5" t="s">
        <v>200</v>
      </c>
    </row>
    <row r="23" spans="1:1" x14ac:dyDescent="0.2">
      <c r="A23" s="6" t="s">
        <v>201</v>
      </c>
    </row>
    <row r="24" spans="1:1" x14ac:dyDescent="0.2">
      <c r="A24" s="7" t="s">
        <v>202</v>
      </c>
    </row>
    <row r="25" spans="1:1" x14ac:dyDescent="0.2">
      <c r="A25" s="8" t="s">
        <v>203</v>
      </c>
    </row>
    <row r="26" spans="1:1" x14ac:dyDescent="0.2">
      <c r="A26" s="8" t="s">
        <v>204</v>
      </c>
    </row>
    <row r="27" spans="1:1" x14ac:dyDescent="0.2">
      <c r="A27" s="4"/>
    </row>
    <row r="28" spans="1:1" x14ac:dyDescent="0.2">
      <c r="A28" s="4"/>
    </row>
    <row r="29" spans="1:1" x14ac:dyDescent="0.2">
      <c r="A29" s="3" t="s">
        <v>205</v>
      </c>
    </row>
    <row r="30" spans="1:1" x14ac:dyDescent="0.2">
      <c r="A30" s="4" t="s">
        <v>206</v>
      </c>
    </row>
    <row r="31" spans="1:1" x14ac:dyDescent="0.2">
      <c r="A31" s="4" t="s">
        <v>207</v>
      </c>
    </row>
    <row r="32" spans="1:1" x14ac:dyDescent="0.2">
      <c r="A32" s="4" t="s">
        <v>208</v>
      </c>
    </row>
    <row r="33" spans="1:1" x14ac:dyDescent="0.2">
      <c r="A33" s="4" t="s">
        <v>209</v>
      </c>
    </row>
    <row r="34" spans="1:1" x14ac:dyDescent="0.2">
      <c r="A34" s="4" t="s">
        <v>210</v>
      </c>
    </row>
    <row r="35" spans="1:1" x14ac:dyDescent="0.2">
      <c r="A35" s="4" t="s">
        <v>211</v>
      </c>
    </row>
    <row r="36" spans="1:1" x14ac:dyDescent="0.2">
      <c r="A36" s="4" t="s">
        <v>212</v>
      </c>
    </row>
    <row r="37" spans="1:1" x14ac:dyDescent="0.2">
      <c r="A37" s="4" t="s">
        <v>213</v>
      </c>
    </row>
    <row r="38" spans="1:1" x14ac:dyDescent="0.2">
      <c r="A38" s="4" t="s">
        <v>214</v>
      </c>
    </row>
    <row r="39" spans="1:1" x14ac:dyDescent="0.2">
      <c r="A39" s="4" t="s">
        <v>215</v>
      </c>
    </row>
    <row r="40" spans="1:1" x14ac:dyDescent="0.2">
      <c r="A40" s="4" t="s">
        <v>216</v>
      </c>
    </row>
    <row r="41" spans="1:1" x14ac:dyDescent="0.2">
      <c r="A41" s="4" t="s">
        <v>217</v>
      </c>
    </row>
    <row r="42" spans="1:1" x14ac:dyDescent="0.2">
      <c r="A42" s="4" t="s">
        <v>218</v>
      </c>
    </row>
    <row r="43" spans="1:1" x14ac:dyDescent="0.2">
      <c r="A43" s="9" t="s">
        <v>219</v>
      </c>
    </row>
    <row r="44" spans="1:1" x14ac:dyDescent="0.2">
      <c r="A44" s="7" t="s">
        <v>220</v>
      </c>
    </row>
    <row r="45" spans="1:1" x14ac:dyDescent="0.2">
      <c r="A45" s="7" t="s">
        <v>221</v>
      </c>
    </row>
    <row r="46" spans="1:1" x14ac:dyDescent="0.2">
      <c r="A46" s="7" t="s">
        <v>222</v>
      </c>
    </row>
    <row r="47" spans="1:1" x14ac:dyDescent="0.2">
      <c r="A47" s="7" t="s">
        <v>223</v>
      </c>
    </row>
    <row r="48" spans="1:1" x14ac:dyDescent="0.2">
      <c r="A48" s="10"/>
    </row>
    <row r="49" spans="1:1" x14ac:dyDescent="0.2">
      <c r="A49" s="11" t="s">
        <v>224</v>
      </c>
    </row>
    <row r="50" spans="1:1" x14ac:dyDescent="0.2">
      <c r="A50" s="11" t="s">
        <v>225</v>
      </c>
    </row>
    <row r="51" spans="1:1" x14ac:dyDescent="0.2">
      <c r="A51" s="4"/>
    </row>
    <row r="52" spans="1:1" x14ac:dyDescent="0.2">
      <c r="A52" s="11" t="s">
        <v>226</v>
      </c>
    </row>
    <row r="53" spans="1:1" x14ac:dyDescent="0.2">
      <c r="A53" s="11" t="s">
        <v>227</v>
      </c>
    </row>
    <row r="54" spans="1:1" x14ac:dyDescent="0.2">
      <c r="A54" s="12" t="s">
        <v>228</v>
      </c>
    </row>
    <row r="55" spans="1:1" x14ac:dyDescent="0.2">
      <c r="A55" s="13" t="s">
        <v>229</v>
      </c>
    </row>
    <row r="56" spans="1:1" x14ac:dyDescent="0.2">
      <c r="A56" s="4"/>
    </row>
    <row r="57" spans="1:1" x14ac:dyDescent="0.2">
      <c r="A57" s="11" t="s">
        <v>230</v>
      </c>
    </row>
    <row r="58" spans="1:1" x14ac:dyDescent="0.2">
      <c r="A58" s="11" t="s">
        <v>231</v>
      </c>
    </row>
    <row r="59" spans="1:1" x14ac:dyDescent="0.2">
      <c r="A59" s="4"/>
    </row>
    <row r="60" spans="1:1" x14ac:dyDescent="0.2">
      <c r="A60" s="3" t="s">
        <v>232</v>
      </c>
    </row>
    <row r="61" spans="1:1" x14ac:dyDescent="0.2">
      <c r="A61" s="2" t="s">
        <v>233</v>
      </c>
    </row>
    <row r="62" spans="1:1" x14ac:dyDescent="0.2">
      <c r="A62" s="5" t="s">
        <v>234</v>
      </c>
    </row>
    <row r="63" spans="1:1" x14ac:dyDescent="0.2">
      <c r="A63" s="5" t="s">
        <v>235</v>
      </c>
    </row>
    <row r="64" spans="1:1" x14ac:dyDescent="0.2">
      <c r="A64" s="5" t="s">
        <v>236</v>
      </c>
    </row>
    <row r="65" spans="1:1" x14ac:dyDescent="0.2">
      <c r="A65" s="5" t="s">
        <v>237</v>
      </c>
    </row>
    <row r="66" spans="1:1" x14ac:dyDescent="0.2">
      <c r="A66" s="5" t="s">
        <v>238</v>
      </c>
    </row>
    <row r="67" spans="1:1" x14ac:dyDescent="0.2">
      <c r="A67" s="5" t="s">
        <v>239</v>
      </c>
    </row>
    <row r="68" spans="1:1" x14ac:dyDescent="0.2">
      <c r="A68" s="5" t="s">
        <v>240</v>
      </c>
    </row>
    <row r="69" spans="1:1" x14ac:dyDescent="0.2">
      <c r="A69" s="5" t="s">
        <v>241</v>
      </c>
    </row>
    <row r="70" spans="1:1" x14ac:dyDescent="0.2">
      <c r="A70" s="5" t="s">
        <v>242</v>
      </c>
    </row>
    <row r="71" spans="1:1" x14ac:dyDescent="0.2">
      <c r="A71" s="14" t="s">
        <v>243</v>
      </c>
    </row>
    <row r="72" spans="1:1" x14ac:dyDescent="0.2">
      <c r="A72" s="14" t="s">
        <v>244</v>
      </c>
    </row>
    <row r="73" spans="1:1" x14ac:dyDescent="0.2">
      <c r="A73" s="14" t="s">
        <v>245</v>
      </c>
    </row>
    <row r="74" spans="1:1" x14ac:dyDescent="0.2">
      <c r="A74" s="4"/>
    </row>
    <row r="75" spans="1:1" x14ac:dyDescent="0.2">
      <c r="A75" s="3" t="s">
        <v>246</v>
      </c>
    </row>
    <row r="76" spans="1:1" x14ac:dyDescent="0.2">
      <c r="A76" s="2" t="s">
        <v>247</v>
      </c>
    </row>
    <row r="77" spans="1:1" x14ac:dyDescent="0.2">
      <c r="A77" s="4" t="s">
        <v>234</v>
      </c>
    </row>
    <row r="78" spans="1:1" x14ac:dyDescent="0.2">
      <c r="A78" s="4" t="s">
        <v>248</v>
      </c>
    </row>
    <row r="79" spans="1:1" x14ac:dyDescent="0.2">
      <c r="A79" s="4" t="s">
        <v>249</v>
      </c>
    </row>
    <row r="80" spans="1:1" x14ac:dyDescent="0.2">
      <c r="A80" s="4" t="s">
        <v>250</v>
      </c>
    </row>
    <row r="81" spans="1:1" x14ac:dyDescent="0.2">
      <c r="A81" s="4" t="s">
        <v>251</v>
      </c>
    </row>
    <row r="82" spans="1:1" x14ac:dyDescent="0.2">
      <c r="A82" s="14" t="s">
        <v>252</v>
      </c>
    </row>
    <row r="83" spans="1:1" x14ac:dyDescent="0.2">
      <c r="A83" s="14" t="s">
        <v>245</v>
      </c>
    </row>
    <row r="84" spans="1:1" x14ac:dyDescent="0.2">
      <c r="A84" s="4"/>
    </row>
    <row r="85" spans="1:1" x14ac:dyDescent="0.2">
      <c r="A85" s="15" t="s">
        <v>253</v>
      </c>
    </row>
    <row r="86" spans="1:1" x14ac:dyDescent="0.2">
      <c r="A86" s="16" t="s">
        <v>254</v>
      </c>
    </row>
    <row r="87" spans="1:1" ht="17" x14ac:dyDescent="0.2">
      <c r="A87" s="17" t="s">
        <v>255</v>
      </c>
    </row>
    <row r="88" spans="1:1" ht="17" x14ac:dyDescent="0.2">
      <c r="A88" s="17" t="s">
        <v>256</v>
      </c>
    </row>
    <row r="89" spans="1:1" x14ac:dyDescent="0.2">
      <c r="A89" s="4" t="s">
        <v>257</v>
      </c>
    </row>
    <row r="90" spans="1:1" x14ac:dyDescent="0.2">
      <c r="A90" s="4" t="s">
        <v>258</v>
      </c>
    </row>
    <row r="91" spans="1:1" x14ac:dyDescent="0.2">
      <c r="A91" s="4" t="s">
        <v>258</v>
      </c>
    </row>
    <row r="92" spans="1:1" x14ac:dyDescent="0.2">
      <c r="A92" s="4" t="s">
        <v>259</v>
      </c>
    </row>
    <row r="93" spans="1:1" x14ac:dyDescent="0.2">
      <c r="A93" s="4" t="s">
        <v>260</v>
      </c>
    </row>
    <row r="94" spans="1:1" x14ac:dyDescent="0.2">
      <c r="A94" s="4" t="s">
        <v>261</v>
      </c>
    </row>
    <row r="95" spans="1:1" x14ac:dyDescent="0.2">
      <c r="A95" s="4" t="s">
        <v>262</v>
      </c>
    </row>
    <row r="96" spans="1:1" x14ac:dyDescent="0.2">
      <c r="A96" s="4" t="s">
        <v>263</v>
      </c>
    </row>
    <row r="97" spans="1:1" x14ac:dyDescent="0.2">
      <c r="A97" s="4" t="s">
        <v>264</v>
      </c>
    </row>
    <row r="98" spans="1:1" x14ac:dyDescent="0.2">
      <c r="A98" s="4" t="s">
        <v>265</v>
      </c>
    </row>
    <row r="99" spans="1:1" x14ac:dyDescent="0.2">
      <c r="A99" s="4" t="s">
        <v>266</v>
      </c>
    </row>
    <row r="100" spans="1:1" x14ac:dyDescent="0.2">
      <c r="A100" s="4" t="s">
        <v>267</v>
      </c>
    </row>
    <row r="101" spans="1:1" x14ac:dyDescent="0.2">
      <c r="A101" s="4" t="s">
        <v>268</v>
      </c>
    </row>
    <row r="102" spans="1:1" x14ac:dyDescent="0.2">
      <c r="A102" s="4" t="s">
        <v>269</v>
      </c>
    </row>
    <row r="103" spans="1:1" x14ac:dyDescent="0.2">
      <c r="A103" s="4" t="s">
        <v>270</v>
      </c>
    </row>
    <row r="104" spans="1:1" x14ac:dyDescent="0.2">
      <c r="A104" s="4" t="s">
        <v>271</v>
      </c>
    </row>
    <row r="105" spans="1:1" x14ac:dyDescent="0.2">
      <c r="A105" s="4" t="s">
        <v>272</v>
      </c>
    </row>
    <row r="106" spans="1:1" x14ac:dyDescent="0.2">
      <c r="A106" s="4" t="s">
        <v>273</v>
      </c>
    </row>
    <row r="107" spans="1:1" x14ac:dyDescent="0.2">
      <c r="A107" s="4" t="s">
        <v>274</v>
      </c>
    </row>
    <row r="108" spans="1:1" x14ac:dyDescent="0.2">
      <c r="A108" s="4" t="s">
        <v>275</v>
      </c>
    </row>
    <row r="109" spans="1:1" x14ac:dyDescent="0.2">
      <c r="A109" s="4" t="s">
        <v>276</v>
      </c>
    </row>
    <row r="110" spans="1:1" x14ac:dyDescent="0.2">
      <c r="A110" s="4" t="s">
        <v>277</v>
      </c>
    </row>
    <row r="111" spans="1:1" x14ac:dyDescent="0.2">
      <c r="A111" s="4" t="s">
        <v>278</v>
      </c>
    </row>
    <row r="112" spans="1:1" x14ac:dyDescent="0.2">
      <c r="A112" s="4" t="s">
        <v>279</v>
      </c>
    </row>
    <row r="113" spans="1:1" x14ac:dyDescent="0.2">
      <c r="A113" s="14" t="s">
        <v>280</v>
      </c>
    </row>
    <row r="114" spans="1:1" x14ac:dyDescent="0.2">
      <c r="A114" s="14" t="s">
        <v>281</v>
      </c>
    </row>
    <row r="115" spans="1:1" x14ac:dyDescent="0.2">
      <c r="A115" s="14" t="s">
        <v>245</v>
      </c>
    </row>
    <row r="116" spans="1:1" x14ac:dyDescent="0.2">
      <c r="A116" s="4"/>
    </row>
    <row r="117" spans="1:1" x14ac:dyDescent="0.2">
      <c r="A117" s="3" t="s">
        <v>282</v>
      </c>
    </row>
    <row r="118" spans="1:1" ht="17" x14ac:dyDescent="0.2">
      <c r="A118" s="17" t="s">
        <v>283</v>
      </c>
    </row>
    <row r="119" spans="1:1" x14ac:dyDescent="0.2">
      <c r="A119" s="4" t="s">
        <v>284</v>
      </c>
    </row>
    <row r="120" spans="1:1" x14ac:dyDescent="0.2">
      <c r="A120" s="4" t="s">
        <v>285</v>
      </c>
    </row>
    <row r="121" spans="1:1" x14ac:dyDescent="0.2">
      <c r="A121" s="4" t="s">
        <v>286</v>
      </c>
    </row>
    <row r="122" spans="1:1" x14ac:dyDescent="0.2">
      <c r="A122" s="4" t="s">
        <v>287</v>
      </c>
    </row>
    <row r="123" spans="1:1" x14ac:dyDescent="0.2">
      <c r="A123" s="18" t="s">
        <v>252</v>
      </c>
    </row>
    <row r="124" spans="1:1" x14ac:dyDescent="0.2">
      <c r="A124" s="18" t="s">
        <v>245</v>
      </c>
    </row>
    <row r="125" spans="1:1" x14ac:dyDescent="0.2">
      <c r="A125" s="2"/>
    </row>
    <row r="126" spans="1:1" x14ac:dyDescent="0.2">
      <c r="A126" s="3" t="s">
        <v>288</v>
      </c>
    </row>
    <row r="127" spans="1:1" x14ac:dyDescent="0.2">
      <c r="A127" s="4" t="s">
        <v>289</v>
      </c>
    </row>
    <row r="128" spans="1:1" x14ac:dyDescent="0.2">
      <c r="A128" s="4" t="s">
        <v>290</v>
      </c>
    </row>
    <row r="129" spans="1:1" x14ac:dyDescent="0.2">
      <c r="A129" s="4" t="s">
        <v>291</v>
      </c>
    </row>
    <row r="130" spans="1:1" x14ac:dyDescent="0.2">
      <c r="A130" s="4" t="s">
        <v>292</v>
      </c>
    </row>
    <row r="131" spans="1:1" x14ac:dyDescent="0.2">
      <c r="A131" s="4" t="s">
        <v>293</v>
      </c>
    </row>
    <row r="132" spans="1:1" x14ac:dyDescent="0.2">
      <c r="A132" s="4" t="s">
        <v>294</v>
      </c>
    </row>
    <row r="133" spans="1:1" x14ac:dyDescent="0.2">
      <c r="A133" s="19" t="s">
        <v>295</v>
      </c>
    </row>
    <row r="134" spans="1:1" x14ac:dyDescent="0.2">
      <c r="A134" s="20" t="s">
        <v>296</v>
      </c>
    </row>
    <row r="135" spans="1:1" x14ac:dyDescent="0.2">
      <c r="A135" s="20" t="s">
        <v>297</v>
      </c>
    </row>
    <row r="136" spans="1:1" x14ac:dyDescent="0.2">
      <c r="A136" s="20" t="s">
        <v>298</v>
      </c>
    </row>
    <row r="137" spans="1:1" x14ac:dyDescent="0.2">
      <c r="A137" s="20" t="s">
        <v>299</v>
      </c>
    </row>
    <row r="138" spans="1:1" x14ac:dyDescent="0.2">
      <c r="A138" s="21" t="s">
        <v>300</v>
      </c>
    </row>
    <row r="139" spans="1:1" x14ac:dyDescent="0.2">
      <c r="A139" s="20" t="s">
        <v>301</v>
      </c>
    </row>
    <row r="140" spans="1:1" x14ac:dyDescent="0.2">
      <c r="A140" s="20" t="s">
        <v>302</v>
      </c>
    </row>
    <row r="141" spans="1:1" x14ac:dyDescent="0.2">
      <c r="A141" s="20" t="s">
        <v>303</v>
      </c>
    </row>
    <row r="142" spans="1:1" x14ac:dyDescent="0.2">
      <c r="A142" s="20" t="s">
        <v>304</v>
      </c>
    </row>
    <row r="143" spans="1:1" x14ac:dyDescent="0.2">
      <c r="A143" s="21" t="s">
        <v>305</v>
      </c>
    </row>
    <row r="144" spans="1:1" x14ac:dyDescent="0.2">
      <c r="A144" s="4" t="s">
        <v>306</v>
      </c>
    </row>
    <row r="145" spans="1:1" x14ac:dyDescent="0.2">
      <c r="A145" s="4" t="s">
        <v>307</v>
      </c>
    </row>
    <row r="146" spans="1:1" x14ac:dyDescent="0.2">
      <c r="A146" s="4" t="s">
        <v>308</v>
      </c>
    </row>
    <row r="147" spans="1:1" x14ac:dyDescent="0.2">
      <c r="A147" s="14" t="s">
        <v>252</v>
      </c>
    </row>
    <row r="148" spans="1:1" x14ac:dyDescent="0.2">
      <c r="A148" s="14" t="s">
        <v>245</v>
      </c>
    </row>
    <row r="149" spans="1:1" x14ac:dyDescent="0.2">
      <c r="A149" s="4"/>
    </row>
    <row r="150" spans="1:1" x14ac:dyDescent="0.2">
      <c r="A150" s="3" t="s">
        <v>309</v>
      </c>
    </row>
    <row r="151" spans="1:1" ht="17" x14ac:dyDescent="0.2">
      <c r="A151" s="17" t="s">
        <v>310</v>
      </c>
    </row>
    <row r="152" spans="1:1" x14ac:dyDescent="0.2">
      <c r="A152" s="4" t="s">
        <v>311</v>
      </c>
    </row>
    <row r="153" spans="1:1" x14ac:dyDescent="0.2">
      <c r="A153" s="4" t="s">
        <v>312</v>
      </c>
    </row>
    <row r="154" spans="1:1" x14ac:dyDescent="0.2">
      <c r="A154" s="4" t="s">
        <v>313</v>
      </c>
    </row>
    <row r="155" spans="1:1" x14ac:dyDescent="0.2">
      <c r="A155" s="18" t="s">
        <v>252</v>
      </c>
    </row>
    <row r="156" spans="1:1" x14ac:dyDescent="0.2">
      <c r="A156" s="18" t="s">
        <v>245</v>
      </c>
    </row>
    <row r="157" spans="1:1" x14ac:dyDescent="0.2">
      <c r="A157" s="4"/>
    </row>
    <row r="158" spans="1:1" x14ac:dyDescent="0.2">
      <c r="A158" s="3" t="s">
        <v>314</v>
      </c>
    </row>
    <row r="159" spans="1:1" x14ac:dyDescent="0.2">
      <c r="A159" s="4" t="s">
        <v>315</v>
      </c>
    </row>
    <row r="160" spans="1:1" x14ac:dyDescent="0.2">
      <c r="A160" s="4" t="s">
        <v>316</v>
      </c>
    </row>
    <row r="161" spans="1:1" x14ac:dyDescent="0.2">
      <c r="A161" s="4" t="s">
        <v>317</v>
      </c>
    </row>
    <row r="162" spans="1:1" x14ac:dyDescent="0.2">
      <c r="A162" s="14" t="s">
        <v>318</v>
      </c>
    </row>
    <row r="163" spans="1:1" x14ac:dyDescent="0.2">
      <c r="A163" s="14" t="s">
        <v>245</v>
      </c>
    </row>
    <row r="164" spans="1:1" x14ac:dyDescent="0.2">
      <c r="A164" s="4"/>
    </row>
    <row r="165" spans="1:1" x14ac:dyDescent="0.2">
      <c r="A165" s="3" t="s">
        <v>319</v>
      </c>
    </row>
    <row r="166" spans="1:1" x14ac:dyDescent="0.2">
      <c r="A166" s="4" t="s">
        <v>320</v>
      </c>
    </row>
    <row r="167" spans="1:1" x14ac:dyDescent="0.2">
      <c r="A167" s="4" t="s">
        <v>321</v>
      </c>
    </row>
    <row r="168" spans="1:1" x14ac:dyDescent="0.2">
      <c r="A168" s="4" t="s">
        <v>322</v>
      </c>
    </row>
    <row r="169" spans="1:1" x14ac:dyDescent="0.2">
      <c r="A169" s="14" t="s">
        <v>252</v>
      </c>
    </row>
    <row r="170" spans="1:1" x14ac:dyDescent="0.2">
      <c r="A170" s="14" t="s">
        <v>245</v>
      </c>
    </row>
    <row r="171" spans="1:1" x14ac:dyDescent="0.2">
      <c r="A171" s="4"/>
    </row>
    <row r="172" spans="1:1" x14ac:dyDescent="0.2">
      <c r="A172" s="4"/>
    </row>
    <row r="173" spans="1:1" ht="17" thickBot="1" x14ac:dyDescent="0.25"/>
    <row r="174" spans="1:1" ht="17" thickBot="1" x14ac:dyDescent="0.25">
      <c r="A174" s="22"/>
    </row>
    <row r="175" spans="1:1" x14ac:dyDescent="0.2">
      <c r="A175" s="23" t="s">
        <v>323</v>
      </c>
    </row>
    <row r="176" spans="1:1" x14ac:dyDescent="0.2">
      <c r="A176" s="24" t="s">
        <v>324</v>
      </c>
    </row>
    <row r="177" spans="1:1" x14ac:dyDescent="0.2">
      <c r="A177" s="24" t="s">
        <v>325</v>
      </c>
    </row>
    <row r="178" spans="1:1" x14ac:dyDescent="0.2">
      <c r="A178" s="24" t="s">
        <v>326</v>
      </c>
    </row>
    <row r="179" spans="1:1" x14ac:dyDescent="0.2">
      <c r="A179" s="25"/>
    </row>
    <row r="180" spans="1:1" x14ac:dyDescent="0.2">
      <c r="A180" s="26" t="s">
        <v>327</v>
      </c>
    </row>
    <row r="181" spans="1:1" x14ac:dyDescent="0.2">
      <c r="A181" s="24" t="s">
        <v>328</v>
      </c>
    </row>
    <row r="182" spans="1:1" x14ac:dyDescent="0.2">
      <c r="A182" s="25"/>
    </row>
    <row r="183" spans="1:1" ht="17" thickBot="1" x14ac:dyDescent="0.25">
      <c r="A183" s="27" t="s">
        <v>329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9"/>
  <sheetViews>
    <sheetView workbookViewId="0">
      <pane xSplit="1" ySplit="2" topLeftCell="B3" activePane="bottomRight" state="frozen"/>
      <selection pane="topRight" activeCell="B1" sqref="B1"/>
      <selection pane="bottomLeft" activeCell="A3" sqref="A3"/>
      <selection pane="bottomRight" activeCell="F45" sqref="F45"/>
    </sheetView>
  </sheetViews>
  <sheetFormatPr baseColWidth="10" defaultColWidth="8.83203125" defaultRowHeight="15" x14ac:dyDescent="0.2"/>
  <cols>
    <col min="1" max="1" width="86.1640625" style="33" customWidth="1"/>
    <col min="2" max="5" width="8.83203125" style="33"/>
    <col min="6" max="6" width="8.83203125" style="45"/>
    <col min="7" max="7" width="8.83203125" style="46"/>
    <col min="8" max="16384" width="8.83203125" style="33"/>
  </cols>
  <sheetData>
    <row r="1" spans="1:8" ht="16" x14ac:dyDescent="0.2">
      <c r="A1" s="32" t="s">
        <v>333</v>
      </c>
    </row>
    <row r="2" spans="1:8" ht="16" x14ac:dyDescent="0.2">
      <c r="A2" s="34" t="s">
        <v>0</v>
      </c>
      <c r="B2" s="35" t="s">
        <v>334</v>
      </c>
      <c r="C2" s="36" t="s">
        <v>335</v>
      </c>
      <c r="D2" s="36" t="s">
        <v>336</v>
      </c>
      <c r="E2" s="36"/>
      <c r="F2" s="47" t="s">
        <v>330</v>
      </c>
      <c r="G2" s="48" t="s">
        <v>178</v>
      </c>
      <c r="H2" s="37" t="s">
        <v>337</v>
      </c>
    </row>
    <row r="3" spans="1:8" x14ac:dyDescent="0.2">
      <c r="A3" s="33" t="s">
        <v>30</v>
      </c>
      <c r="B3" s="33">
        <v>26</v>
      </c>
      <c r="C3" s="33">
        <v>6</v>
      </c>
      <c r="D3" s="33">
        <v>4</v>
      </c>
      <c r="F3" s="45">
        <v>26.32</v>
      </c>
      <c r="H3" s="33" t="s">
        <v>31</v>
      </c>
    </row>
    <row r="4" spans="1:8" x14ac:dyDescent="0.2">
      <c r="A4" s="33" t="s">
        <v>30</v>
      </c>
      <c r="F4" s="45">
        <v>26.32</v>
      </c>
      <c r="G4" s="46">
        <v>0</v>
      </c>
      <c r="H4" s="33" t="s">
        <v>179</v>
      </c>
    </row>
    <row r="6" spans="1:8" x14ac:dyDescent="0.2">
      <c r="A6" s="33" t="s">
        <v>32</v>
      </c>
      <c r="B6" s="33">
        <v>0</v>
      </c>
      <c r="C6" s="33">
        <v>3</v>
      </c>
      <c r="D6" s="33">
        <v>4</v>
      </c>
      <c r="F6" s="45">
        <v>0.17</v>
      </c>
      <c r="H6" s="33" t="s">
        <v>33</v>
      </c>
    </row>
    <row r="7" spans="1:8" x14ac:dyDescent="0.2">
      <c r="A7" s="33" t="s">
        <v>32</v>
      </c>
      <c r="B7" s="33">
        <v>0</v>
      </c>
      <c r="C7" s="33">
        <v>3</v>
      </c>
      <c r="D7" s="33">
        <v>4</v>
      </c>
      <c r="F7" s="45">
        <v>0.17</v>
      </c>
      <c r="H7" s="33" t="s">
        <v>34</v>
      </c>
    </row>
    <row r="8" spans="1:8" x14ac:dyDescent="0.2">
      <c r="A8" s="33" t="s">
        <v>32</v>
      </c>
      <c r="B8" s="33">
        <v>0</v>
      </c>
      <c r="C8" s="33">
        <v>3</v>
      </c>
      <c r="D8" s="33">
        <v>4</v>
      </c>
      <c r="F8" s="45">
        <v>0.17</v>
      </c>
      <c r="H8" s="33" t="s">
        <v>35</v>
      </c>
    </row>
    <row r="9" spans="1:8" x14ac:dyDescent="0.2">
      <c r="A9" s="33" t="s">
        <v>32</v>
      </c>
      <c r="B9" s="33">
        <v>0</v>
      </c>
      <c r="C9" s="33">
        <v>6</v>
      </c>
      <c r="D9" s="33">
        <v>8</v>
      </c>
      <c r="F9" s="45">
        <v>0.33</v>
      </c>
      <c r="H9" s="33" t="s">
        <v>36</v>
      </c>
    </row>
    <row r="10" spans="1:8" x14ac:dyDescent="0.2">
      <c r="A10" s="33" t="s">
        <v>32</v>
      </c>
      <c r="B10" s="33">
        <v>0</v>
      </c>
      <c r="C10" s="33">
        <v>3</v>
      </c>
      <c r="D10" s="33">
        <v>4</v>
      </c>
      <c r="F10" s="45">
        <v>0.17</v>
      </c>
      <c r="H10" s="33" t="s">
        <v>37</v>
      </c>
    </row>
    <row r="11" spans="1:8" x14ac:dyDescent="0.2">
      <c r="A11" s="33" t="s">
        <v>32</v>
      </c>
      <c r="B11" s="33">
        <v>0</v>
      </c>
      <c r="C11" s="33">
        <v>0</v>
      </c>
      <c r="D11" s="33">
        <v>6</v>
      </c>
      <c r="F11" s="45">
        <v>0.03</v>
      </c>
      <c r="H11" s="33" t="s">
        <v>38</v>
      </c>
    </row>
    <row r="12" spans="1:8" x14ac:dyDescent="0.2">
      <c r="A12" s="33" t="s">
        <v>32</v>
      </c>
      <c r="B12" s="33">
        <v>0</v>
      </c>
      <c r="C12" s="33">
        <v>3</v>
      </c>
      <c r="D12" s="33">
        <v>0</v>
      </c>
      <c r="F12" s="45">
        <v>0.15</v>
      </c>
      <c r="H12" s="33" t="s">
        <v>39</v>
      </c>
    </row>
    <row r="13" spans="1:8" x14ac:dyDescent="0.2">
      <c r="A13" s="33" t="s">
        <v>32</v>
      </c>
      <c r="B13" s="33">
        <v>0</v>
      </c>
      <c r="C13" s="33">
        <v>2</v>
      </c>
      <c r="D13" s="33">
        <v>0</v>
      </c>
      <c r="F13" s="45">
        <v>0.1</v>
      </c>
      <c r="H13" s="33" t="s">
        <v>40</v>
      </c>
    </row>
    <row r="14" spans="1:8" x14ac:dyDescent="0.2">
      <c r="A14" s="33" t="s">
        <v>32</v>
      </c>
      <c r="B14" s="33">
        <v>1</v>
      </c>
      <c r="C14" s="33">
        <v>5</v>
      </c>
      <c r="D14" s="33">
        <v>6</v>
      </c>
      <c r="F14" s="45">
        <v>1.27</v>
      </c>
      <c r="H14" s="33" t="s">
        <v>41</v>
      </c>
    </row>
    <row r="15" spans="1:8" x14ac:dyDescent="0.2">
      <c r="A15" s="33" t="s">
        <v>32</v>
      </c>
      <c r="F15" s="45">
        <f>SUM(F6:F13)</f>
        <v>1.29</v>
      </c>
      <c r="G15" s="46">
        <f>F15-F14</f>
        <v>2.0000000000000018E-2</v>
      </c>
      <c r="H15" s="38" t="s">
        <v>179</v>
      </c>
    </row>
    <row r="17" spans="1:8" x14ac:dyDescent="0.2">
      <c r="A17" s="33" t="s">
        <v>32</v>
      </c>
      <c r="B17" s="33">
        <v>0</v>
      </c>
      <c r="C17" s="33">
        <v>6</v>
      </c>
      <c r="D17" s="33">
        <v>0</v>
      </c>
      <c r="F17" s="45">
        <v>0.3</v>
      </c>
      <c r="H17" s="33" t="s">
        <v>42</v>
      </c>
    </row>
    <row r="18" spans="1:8" x14ac:dyDescent="0.2">
      <c r="A18" s="33" t="s">
        <v>32</v>
      </c>
      <c r="B18" s="33">
        <v>0</v>
      </c>
      <c r="C18" s="33">
        <v>6</v>
      </c>
      <c r="D18" s="33">
        <v>0</v>
      </c>
      <c r="F18" s="45">
        <v>0.3</v>
      </c>
      <c r="H18" s="33" t="s">
        <v>43</v>
      </c>
    </row>
    <row r="19" spans="1:8" x14ac:dyDescent="0.2">
      <c r="A19" s="33" t="s">
        <v>32</v>
      </c>
      <c r="F19" s="45">
        <f>SUM(F17)</f>
        <v>0.3</v>
      </c>
      <c r="G19" s="46">
        <f>F19-F18</f>
        <v>0</v>
      </c>
      <c r="H19" s="38" t="s">
        <v>179</v>
      </c>
    </row>
    <row r="21" spans="1:8" x14ac:dyDescent="0.2">
      <c r="A21" s="33" t="s">
        <v>32</v>
      </c>
      <c r="B21" s="33">
        <v>0</v>
      </c>
      <c r="C21" s="33">
        <v>13</v>
      </c>
      <c r="D21" s="33">
        <v>8</v>
      </c>
      <c r="F21" s="45">
        <v>0.68</v>
      </c>
      <c r="H21" s="33" t="s">
        <v>44</v>
      </c>
    </row>
    <row r="22" spans="1:8" x14ac:dyDescent="0.2">
      <c r="A22" s="33" t="s">
        <v>32</v>
      </c>
      <c r="B22" s="33">
        <v>0</v>
      </c>
      <c r="C22" s="33">
        <v>3</v>
      </c>
      <c r="D22" s="33">
        <v>0</v>
      </c>
      <c r="F22" s="45">
        <v>0.15</v>
      </c>
      <c r="H22" s="33" t="s">
        <v>45</v>
      </c>
    </row>
    <row r="23" spans="1:8" x14ac:dyDescent="0.2">
      <c r="A23" s="33" t="s">
        <v>32</v>
      </c>
      <c r="B23" s="33">
        <v>0</v>
      </c>
      <c r="C23" s="33">
        <v>5</v>
      </c>
      <c r="D23" s="33">
        <v>0</v>
      </c>
      <c r="F23" s="45">
        <v>0.25</v>
      </c>
      <c r="H23" s="33" t="s">
        <v>46</v>
      </c>
    </row>
    <row r="24" spans="1:8" x14ac:dyDescent="0.2">
      <c r="A24" s="33" t="s">
        <v>32</v>
      </c>
      <c r="B24" s="33">
        <v>1</v>
      </c>
      <c r="C24" s="33">
        <v>1</v>
      </c>
      <c r="D24" s="33">
        <v>8</v>
      </c>
      <c r="F24" s="45">
        <v>1.08</v>
      </c>
      <c r="H24" s="33" t="s">
        <v>47</v>
      </c>
    </row>
    <row r="25" spans="1:8" x14ac:dyDescent="0.2">
      <c r="A25" s="33" t="s">
        <v>32</v>
      </c>
      <c r="F25" s="45">
        <f>SUM(F21:F23)</f>
        <v>1.08</v>
      </c>
      <c r="G25" s="46">
        <f>F25-F24</f>
        <v>0</v>
      </c>
      <c r="H25" s="38" t="s">
        <v>179</v>
      </c>
    </row>
    <row r="27" spans="1:8" x14ac:dyDescent="0.2">
      <c r="A27" s="33" t="s">
        <v>32</v>
      </c>
      <c r="B27" s="33">
        <v>0</v>
      </c>
      <c r="C27" s="33">
        <v>6</v>
      </c>
      <c r="D27" s="33">
        <v>8</v>
      </c>
      <c r="F27" s="45">
        <v>0.33</v>
      </c>
      <c r="H27" s="33" t="s">
        <v>48</v>
      </c>
    </row>
    <row r="28" spans="1:8" x14ac:dyDescent="0.2">
      <c r="A28" s="33" t="s">
        <v>32</v>
      </c>
      <c r="B28" s="33">
        <v>0</v>
      </c>
      <c r="C28" s="33">
        <v>6</v>
      </c>
      <c r="D28" s="33">
        <v>8</v>
      </c>
      <c r="F28" s="45">
        <v>0.33</v>
      </c>
      <c r="H28" s="33" t="s">
        <v>49</v>
      </c>
    </row>
    <row r="29" spans="1:8" x14ac:dyDescent="0.2">
      <c r="A29" s="33" t="s">
        <v>32</v>
      </c>
      <c r="F29" s="45">
        <f>SUM(F27)</f>
        <v>0.33</v>
      </c>
      <c r="G29" s="46">
        <f>F29-F28</f>
        <v>0</v>
      </c>
      <c r="H29" s="33" t="s">
        <v>179</v>
      </c>
    </row>
    <row r="31" spans="1:8" x14ac:dyDescent="0.2">
      <c r="A31" t="s">
        <v>52</v>
      </c>
      <c r="B31">
        <v>0</v>
      </c>
      <c r="C31">
        <v>1</v>
      </c>
      <c r="D31">
        <v>8</v>
      </c>
      <c r="F31" s="49">
        <v>0.08</v>
      </c>
      <c r="H31" t="s">
        <v>53</v>
      </c>
    </row>
    <row r="32" spans="1:8" x14ac:dyDescent="0.2">
      <c r="A32" t="s">
        <v>52</v>
      </c>
      <c r="B32">
        <v>0</v>
      </c>
      <c r="C32">
        <v>1</v>
      </c>
      <c r="D32">
        <v>8</v>
      </c>
      <c r="F32" s="49">
        <v>0.08</v>
      </c>
      <c r="H32" t="s">
        <v>54</v>
      </c>
    </row>
    <row r="33" spans="1:8" x14ac:dyDescent="0.2">
      <c r="A33" t="s">
        <v>52</v>
      </c>
      <c r="B33">
        <v>0</v>
      </c>
      <c r="C33">
        <v>1</v>
      </c>
      <c r="D33">
        <v>8</v>
      </c>
      <c r="F33" s="49">
        <v>0.08</v>
      </c>
      <c r="H33" t="s">
        <v>55</v>
      </c>
    </row>
    <row r="34" spans="1:8" x14ac:dyDescent="0.2">
      <c r="A34" t="s">
        <v>52</v>
      </c>
      <c r="B34">
        <v>0</v>
      </c>
      <c r="C34">
        <v>1</v>
      </c>
      <c r="D34">
        <v>8</v>
      </c>
      <c r="F34" s="49">
        <v>0.08</v>
      </c>
      <c r="H34" t="s">
        <v>56</v>
      </c>
    </row>
    <row r="35" spans="1:8" x14ac:dyDescent="0.2">
      <c r="A35" t="s">
        <v>52</v>
      </c>
      <c r="B35">
        <v>0</v>
      </c>
      <c r="C35">
        <v>1</v>
      </c>
      <c r="D35">
        <v>8</v>
      </c>
      <c r="F35" s="49">
        <v>0.08</v>
      </c>
      <c r="H35" t="s">
        <v>57</v>
      </c>
    </row>
    <row r="36" spans="1:8" x14ac:dyDescent="0.2">
      <c r="A36" t="s">
        <v>52</v>
      </c>
      <c r="B36">
        <v>0</v>
      </c>
      <c r="C36">
        <v>1</v>
      </c>
      <c r="D36">
        <v>8</v>
      </c>
      <c r="F36" s="49">
        <v>0.08</v>
      </c>
      <c r="H36" t="s">
        <v>58</v>
      </c>
    </row>
    <row r="37" spans="1:8" x14ac:dyDescent="0.2">
      <c r="A37" t="s">
        <v>52</v>
      </c>
      <c r="B37">
        <v>0</v>
      </c>
      <c r="C37">
        <v>1</v>
      </c>
      <c r="D37">
        <v>0</v>
      </c>
      <c r="F37" s="49">
        <v>0.05</v>
      </c>
      <c r="H37" t="s">
        <v>59</v>
      </c>
    </row>
    <row r="38" spans="1:8" x14ac:dyDescent="0.2">
      <c r="A38" t="s">
        <v>52</v>
      </c>
      <c r="B38">
        <v>0</v>
      </c>
      <c r="C38">
        <v>1</v>
      </c>
      <c r="D38">
        <v>0</v>
      </c>
      <c r="F38" s="49">
        <v>0.05</v>
      </c>
      <c r="H38" t="s">
        <v>60</v>
      </c>
    </row>
    <row r="39" spans="1:8" x14ac:dyDescent="0.2">
      <c r="A39" t="s">
        <v>52</v>
      </c>
      <c r="B39">
        <v>0</v>
      </c>
      <c r="C39">
        <v>1</v>
      </c>
      <c r="D39">
        <v>0</v>
      </c>
      <c r="F39" s="49">
        <v>0.05</v>
      </c>
      <c r="H39" t="s">
        <v>61</v>
      </c>
    </row>
    <row r="40" spans="1:8" x14ac:dyDescent="0.2">
      <c r="A40" t="s">
        <v>52</v>
      </c>
      <c r="B40">
        <v>0</v>
      </c>
      <c r="C40">
        <v>2</v>
      </c>
      <c r="D40">
        <v>0</v>
      </c>
      <c r="F40" s="49">
        <v>0.1</v>
      </c>
      <c r="H40" t="s">
        <v>62</v>
      </c>
    </row>
    <row r="41" spans="1:8" x14ac:dyDescent="0.2">
      <c r="A41" t="s">
        <v>52</v>
      </c>
      <c r="B41">
        <v>0</v>
      </c>
      <c r="C41">
        <v>1</v>
      </c>
      <c r="D41">
        <v>8</v>
      </c>
      <c r="F41" s="49">
        <v>0.08</v>
      </c>
      <c r="H41" t="s">
        <v>63</v>
      </c>
    </row>
    <row r="42" spans="1:8" x14ac:dyDescent="0.2">
      <c r="A42" t="s">
        <v>52</v>
      </c>
      <c r="B42">
        <v>0</v>
      </c>
      <c r="C42">
        <v>1</v>
      </c>
      <c r="D42">
        <v>8</v>
      </c>
      <c r="F42" s="49">
        <v>0.08</v>
      </c>
      <c r="H42" t="s">
        <v>64</v>
      </c>
    </row>
    <row r="43" spans="1:8" x14ac:dyDescent="0.2">
      <c r="A43" t="s">
        <v>52</v>
      </c>
      <c r="B43">
        <v>0</v>
      </c>
      <c r="C43">
        <v>2</v>
      </c>
      <c r="D43">
        <v>0</v>
      </c>
      <c r="F43" s="49">
        <v>0.1</v>
      </c>
      <c r="H43" t="s">
        <v>65</v>
      </c>
    </row>
    <row r="44" spans="1:8" x14ac:dyDescent="0.2">
      <c r="A44" t="s">
        <v>52</v>
      </c>
      <c r="B44">
        <v>0</v>
      </c>
      <c r="C44">
        <v>1</v>
      </c>
      <c r="D44">
        <v>0</v>
      </c>
      <c r="F44" s="49">
        <v>0.05</v>
      </c>
      <c r="H44" t="s">
        <v>66</v>
      </c>
    </row>
    <row r="45" spans="1:8" x14ac:dyDescent="0.2">
      <c r="A45" t="s">
        <v>52</v>
      </c>
      <c r="B45">
        <v>0</v>
      </c>
      <c r="C45">
        <v>1</v>
      </c>
      <c r="D45">
        <v>8</v>
      </c>
      <c r="F45" s="49">
        <v>0.08</v>
      </c>
      <c r="H45" t="s">
        <v>67</v>
      </c>
    </row>
    <row r="46" spans="1:8" x14ac:dyDescent="0.2">
      <c r="A46" t="s">
        <v>52</v>
      </c>
      <c r="B46">
        <v>0</v>
      </c>
      <c r="C46">
        <v>1</v>
      </c>
      <c r="D46">
        <v>8</v>
      </c>
      <c r="F46" s="49">
        <v>0.08</v>
      </c>
      <c r="H46" t="s">
        <v>68</v>
      </c>
    </row>
    <row r="47" spans="1:8" x14ac:dyDescent="0.2">
      <c r="A47" t="s">
        <v>52</v>
      </c>
      <c r="B47">
        <v>0</v>
      </c>
      <c r="C47">
        <v>1</v>
      </c>
      <c r="D47">
        <v>0</v>
      </c>
      <c r="F47" s="49">
        <v>0.05</v>
      </c>
      <c r="H47" t="s">
        <v>69</v>
      </c>
    </row>
    <row r="48" spans="1:8" x14ac:dyDescent="0.2">
      <c r="A48" t="s">
        <v>52</v>
      </c>
      <c r="B48">
        <v>0</v>
      </c>
      <c r="C48">
        <v>2</v>
      </c>
      <c r="D48">
        <v>0</v>
      </c>
      <c r="F48" s="49">
        <v>0.1</v>
      </c>
      <c r="H48" t="s">
        <v>70</v>
      </c>
    </row>
    <row r="49" spans="1:8" x14ac:dyDescent="0.2">
      <c r="A49" t="s">
        <v>52</v>
      </c>
      <c r="B49">
        <v>1</v>
      </c>
      <c r="C49">
        <v>7</v>
      </c>
      <c r="D49">
        <v>8</v>
      </c>
      <c r="F49" s="49">
        <v>1.38</v>
      </c>
      <c r="H49" t="s">
        <v>71</v>
      </c>
    </row>
    <row r="50" spans="1:8" x14ac:dyDescent="0.2">
      <c r="A50"/>
      <c r="B50"/>
      <c r="C50"/>
      <c r="D50"/>
      <c r="F50" s="49">
        <f>SUM(F31:F48)</f>
        <v>1.3500000000000003</v>
      </c>
      <c r="G50" s="46">
        <f>F50-F49</f>
        <v>-2.9999999999999583E-2</v>
      </c>
      <c r="H50" t="s">
        <v>179</v>
      </c>
    </row>
    <row r="51" spans="1:8" x14ac:dyDescent="0.2">
      <c r="A51"/>
      <c r="B51"/>
      <c r="C51"/>
      <c r="D51"/>
      <c r="F51" s="49"/>
      <c r="H51"/>
    </row>
    <row r="52" spans="1:8" x14ac:dyDescent="0.2">
      <c r="A52" t="s">
        <v>72</v>
      </c>
      <c r="B52">
        <v>0</v>
      </c>
      <c r="C52">
        <v>3</v>
      </c>
      <c r="D52">
        <v>4</v>
      </c>
      <c r="F52" s="49">
        <v>0.17</v>
      </c>
      <c r="H52" t="s">
        <v>73</v>
      </c>
    </row>
    <row r="53" spans="1:8" x14ac:dyDescent="0.2">
      <c r="A53" t="s">
        <v>72</v>
      </c>
      <c r="B53">
        <v>0</v>
      </c>
      <c r="C53">
        <v>3</v>
      </c>
      <c r="D53">
        <v>4</v>
      </c>
      <c r="F53" s="49">
        <v>0.17</v>
      </c>
      <c r="H53" t="s">
        <v>74</v>
      </c>
    </row>
    <row r="54" spans="1:8" x14ac:dyDescent="0.2">
      <c r="A54" t="s">
        <v>72</v>
      </c>
      <c r="B54">
        <v>0</v>
      </c>
      <c r="C54">
        <v>1</v>
      </c>
      <c r="D54">
        <v>8</v>
      </c>
      <c r="F54" s="49">
        <v>0.08</v>
      </c>
      <c r="H54" t="s">
        <v>75</v>
      </c>
    </row>
    <row r="55" spans="1:8" x14ac:dyDescent="0.2">
      <c r="A55" t="s">
        <v>72</v>
      </c>
      <c r="B55">
        <v>0</v>
      </c>
      <c r="C55">
        <v>3</v>
      </c>
      <c r="D55">
        <v>4</v>
      </c>
      <c r="F55" s="49">
        <v>0.17</v>
      </c>
      <c r="H55" t="s">
        <v>76</v>
      </c>
    </row>
    <row r="56" spans="1:8" x14ac:dyDescent="0.2">
      <c r="A56" t="s">
        <v>72</v>
      </c>
      <c r="B56">
        <v>0</v>
      </c>
      <c r="C56">
        <v>3</v>
      </c>
      <c r="D56">
        <v>4</v>
      </c>
      <c r="F56" s="49">
        <v>0.17</v>
      </c>
      <c r="H56" t="s">
        <v>77</v>
      </c>
    </row>
    <row r="57" spans="1:8" x14ac:dyDescent="0.2">
      <c r="A57" t="s">
        <v>72</v>
      </c>
      <c r="B57">
        <v>0</v>
      </c>
      <c r="C57">
        <v>1</v>
      </c>
      <c r="D57">
        <v>8</v>
      </c>
      <c r="F57" s="49">
        <v>0.08</v>
      </c>
      <c r="H57" t="s">
        <v>78</v>
      </c>
    </row>
    <row r="58" spans="1:8" x14ac:dyDescent="0.2">
      <c r="A58" t="s">
        <v>72</v>
      </c>
      <c r="B58">
        <v>0</v>
      </c>
      <c r="C58">
        <v>1</v>
      </c>
      <c r="D58">
        <v>8</v>
      </c>
      <c r="F58" s="49">
        <v>0.08</v>
      </c>
      <c r="H58" t="s">
        <v>79</v>
      </c>
    </row>
    <row r="59" spans="1:8" x14ac:dyDescent="0.2">
      <c r="A59" t="s">
        <v>72</v>
      </c>
      <c r="B59">
        <v>0</v>
      </c>
      <c r="C59">
        <v>1</v>
      </c>
      <c r="D59">
        <v>8</v>
      </c>
      <c r="F59" s="49">
        <v>0.08</v>
      </c>
      <c r="H59" t="s">
        <v>80</v>
      </c>
    </row>
    <row r="60" spans="1:8" x14ac:dyDescent="0.2">
      <c r="A60" t="s">
        <v>72</v>
      </c>
      <c r="B60">
        <v>0</v>
      </c>
      <c r="C60">
        <v>3</v>
      </c>
      <c r="D60">
        <v>4</v>
      </c>
      <c r="F60" s="49">
        <v>0.17</v>
      </c>
      <c r="H60" t="s">
        <v>81</v>
      </c>
    </row>
    <row r="61" spans="1:8" x14ac:dyDescent="0.2">
      <c r="A61" t="s">
        <v>72</v>
      </c>
      <c r="B61">
        <v>0</v>
      </c>
      <c r="C61">
        <v>1</v>
      </c>
      <c r="D61">
        <v>8</v>
      </c>
      <c r="F61" s="49">
        <v>0.08</v>
      </c>
      <c r="H61" t="s">
        <v>82</v>
      </c>
    </row>
    <row r="62" spans="1:8" x14ac:dyDescent="0.2">
      <c r="A62" t="s">
        <v>72</v>
      </c>
      <c r="B62">
        <v>1</v>
      </c>
      <c r="C62">
        <v>5</v>
      </c>
      <c r="D62">
        <v>0</v>
      </c>
      <c r="F62" s="49">
        <v>1.25</v>
      </c>
      <c r="H62" t="s">
        <v>83</v>
      </c>
    </row>
    <row r="63" spans="1:8" x14ac:dyDescent="0.2">
      <c r="A63"/>
      <c r="B63"/>
      <c r="C63"/>
      <c r="D63"/>
      <c r="F63" s="49">
        <f>SUM(F52:F61)</f>
        <v>1.25</v>
      </c>
      <c r="G63" s="46">
        <f>F63-F62</f>
        <v>0</v>
      </c>
      <c r="H63" t="s">
        <v>179</v>
      </c>
    </row>
    <row r="64" spans="1:8" x14ac:dyDescent="0.2">
      <c r="A64"/>
      <c r="B64"/>
      <c r="C64"/>
      <c r="D64"/>
      <c r="F64" s="49"/>
      <c r="H64"/>
    </row>
    <row r="65" spans="1:8" x14ac:dyDescent="0.2">
      <c r="A65" t="s">
        <v>84</v>
      </c>
      <c r="B65">
        <v>0</v>
      </c>
      <c r="C65">
        <v>6</v>
      </c>
      <c r="D65">
        <v>8</v>
      </c>
      <c r="F65" s="49">
        <v>0.33</v>
      </c>
      <c r="H65" t="s">
        <v>85</v>
      </c>
    </row>
    <row r="66" spans="1:8" x14ac:dyDescent="0.2">
      <c r="A66" t="s">
        <v>84</v>
      </c>
      <c r="B66">
        <v>0</v>
      </c>
      <c r="C66">
        <v>6</v>
      </c>
      <c r="D66">
        <v>8</v>
      </c>
      <c r="F66" s="49">
        <v>0.33</v>
      </c>
      <c r="H66" t="s">
        <v>86</v>
      </c>
    </row>
    <row r="67" spans="1:8" x14ac:dyDescent="0.2">
      <c r="A67" t="s">
        <v>84</v>
      </c>
      <c r="B67">
        <v>0</v>
      </c>
      <c r="C67">
        <v>6</v>
      </c>
      <c r="D67">
        <v>8</v>
      </c>
      <c r="F67" s="49">
        <v>0.33</v>
      </c>
      <c r="H67" t="s">
        <v>87</v>
      </c>
    </row>
    <row r="68" spans="1:8" x14ac:dyDescent="0.2">
      <c r="A68" t="s">
        <v>84</v>
      </c>
      <c r="B68">
        <v>0</v>
      </c>
      <c r="C68">
        <v>3</v>
      </c>
      <c r="D68">
        <v>4</v>
      </c>
      <c r="F68" s="49">
        <v>0.17</v>
      </c>
      <c r="H68" t="s">
        <v>88</v>
      </c>
    </row>
    <row r="69" spans="1:8" x14ac:dyDescent="0.2">
      <c r="A69" t="s">
        <v>84</v>
      </c>
      <c r="B69">
        <v>0</v>
      </c>
      <c r="C69">
        <v>3</v>
      </c>
      <c r="D69">
        <v>4</v>
      </c>
      <c r="F69" s="49">
        <v>0.17</v>
      </c>
      <c r="H69" t="s">
        <v>89</v>
      </c>
    </row>
    <row r="70" spans="1:8" x14ac:dyDescent="0.2">
      <c r="A70" t="s">
        <v>84</v>
      </c>
      <c r="B70">
        <v>0</v>
      </c>
      <c r="C70">
        <v>1</v>
      </c>
      <c r="D70">
        <v>8</v>
      </c>
      <c r="F70" s="49">
        <v>0.08</v>
      </c>
      <c r="H70" t="s">
        <v>90</v>
      </c>
    </row>
    <row r="71" spans="1:8" x14ac:dyDescent="0.2">
      <c r="A71" t="s">
        <v>84</v>
      </c>
      <c r="B71">
        <v>0</v>
      </c>
      <c r="C71">
        <v>6</v>
      </c>
      <c r="D71">
        <v>8</v>
      </c>
      <c r="F71" s="49">
        <v>0.33</v>
      </c>
      <c r="H71" t="s">
        <v>91</v>
      </c>
    </row>
    <row r="72" spans="1:8" x14ac:dyDescent="0.2">
      <c r="A72" t="s">
        <v>84</v>
      </c>
      <c r="B72">
        <v>1</v>
      </c>
      <c r="C72">
        <v>15</v>
      </c>
      <c r="D72">
        <v>0</v>
      </c>
      <c r="F72" s="49">
        <f>B72+C72/20+D72/240</f>
        <v>1.75</v>
      </c>
      <c r="H72" t="s">
        <v>345</v>
      </c>
    </row>
    <row r="73" spans="1:8" x14ac:dyDescent="0.2">
      <c r="A73" t="s">
        <v>84</v>
      </c>
      <c r="B73"/>
      <c r="C73"/>
      <c r="D73"/>
      <c r="F73" s="49">
        <f>SUM(F65:F71)</f>
        <v>1.74</v>
      </c>
      <c r="G73" s="46">
        <f>F73-F72</f>
        <v>-1.0000000000000009E-2</v>
      </c>
      <c r="H73" t="s">
        <v>179</v>
      </c>
    </row>
    <row r="74" spans="1:8" x14ac:dyDescent="0.2">
      <c r="A74"/>
      <c r="B74"/>
      <c r="C74"/>
      <c r="D74"/>
      <c r="F74" s="49"/>
      <c r="H74"/>
    </row>
    <row r="75" spans="1:8" x14ac:dyDescent="0.2">
      <c r="A75" t="s">
        <v>84</v>
      </c>
      <c r="B75">
        <v>0</v>
      </c>
      <c r="C75">
        <v>1</v>
      </c>
      <c r="D75">
        <v>8</v>
      </c>
      <c r="F75" s="49">
        <v>0.08</v>
      </c>
      <c r="H75" t="s">
        <v>93</v>
      </c>
    </row>
    <row r="76" spans="1:8" x14ac:dyDescent="0.2">
      <c r="A76" t="s">
        <v>94</v>
      </c>
      <c r="B76">
        <v>0</v>
      </c>
      <c r="C76">
        <v>1</v>
      </c>
      <c r="D76">
        <v>8</v>
      </c>
      <c r="F76" s="49">
        <v>0.08</v>
      </c>
      <c r="H76" t="s">
        <v>95</v>
      </c>
    </row>
    <row r="77" spans="1:8" x14ac:dyDescent="0.2">
      <c r="A77"/>
      <c r="B77"/>
      <c r="C77"/>
      <c r="D77"/>
      <c r="F77" s="49"/>
      <c r="H77"/>
    </row>
    <row r="78" spans="1:8" x14ac:dyDescent="0.2">
      <c r="A78" t="s">
        <v>96</v>
      </c>
      <c r="B78">
        <v>0</v>
      </c>
      <c r="C78">
        <v>1</v>
      </c>
      <c r="D78">
        <v>8</v>
      </c>
      <c r="F78" s="49">
        <v>0.08</v>
      </c>
      <c r="H78" t="s">
        <v>343</v>
      </c>
    </row>
    <row r="79" spans="1:8" x14ac:dyDescent="0.2">
      <c r="A79" t="s">
        <v>96</v>
      </c>
      <c r="B79">
        <v>0</v>
      </c>
      <c r="C79">
        <v>5</v>
      </c>
      <c r="D79">
        <v>0</v>
      </c>
      <c r="F79" s="49">
        <f>B79+C79/20+D79/240</f>
        <v>0.25</v>
      </c>
      <c r="H79" t="s">
        <v>342</v>
      </c>
    </row>
    <row r="80" spans="1:8" x14ac:dyDescent="0.2">
      <c r="A80"/>
      <c r="B80"/>
      <c r="C80"/>
      <c r="D80"/>
      <c r="F80" s="49"/>
      <c r="H80"/>
    </row>
    <row r="81" spans="1:8" x14ac:dyDescent="0.2">
      <c r="A81" t="s">
        <v>344</v>
      </c>
      <c r="B81"/>
      <c r="C81"/>
      <c r="D81"/>
      <c r="F81" s="49">
        <f>F78+F75+F76</f>
        <v>0.24</v>
      </c>
      <c r="G81" s="46">
        <f>F81-F79</f>
        <v>-1.0000000000000009E-2</v>
      </c>
      <c r="H81" t="s">
        <v>179</v>
      </c>
    </row>
    <row r="82" spans="1:8" x14ac:dyDescent="0.2">
      <c r="A82"/>
      <c r="B82"/>
      <c r="C82"/>
      <c r="D82"/>
      <c r="F82" s="49"/>
      <c r="H82"/>
    </row>
    <row r="83" spans="1:8" x14ac:dyDescent="0.2">
      <c r="A83" t="s">
        <v>98</v>
      </c>
      <c r="B83">
        <v>0</v>
      </c>
      <c r="C83">
        <v>1</v>
      </c>
      <c r="D83">
        <v>8</v>
      </c>
      <c r="F83" s="49">
        <v>0.08</v>
      </c>
      <c r="H83" t="s">
        <v>99</v>
      </c>
    </row>
    <row r="84" spans="1:8" x14ac:dyDescent="0.2">
      <c r="A84" t="s">
        <v>98</v>
      </c>
      <c r="B84">
        <v>0</v>
      </c>
      <c r="C84">
        <v>1</v>
      </c>
      <c r="D84">
        <v>0</v>
      </c>
      <c r="F84" s="49">
        <v>0.05</v>
      </c>
      <c r="H84" t="s">
        <v>100</v>
      </c>
    </row>
    <row r="85" spans="1:8" x14ac:dyDescent="0.2">
      <c r="A85" t="s">
        <v>98</v>
      </c>
      <c r="B85">
        <v>0</v>
      </c>
      <c r="C85">
        <v>1</v>
      </c>
      <c r="D85">
        <v>8</v>
      </c>
      <c r="F85" s="49">
        <v>0.08</v>
      </c>
      <c r="H85" t="s">
        <v>101</v>
      </c>
    </row>
    <row r="86" spans="1:8" x14ac:dyDescent="0.2">
      <c r="A86" t="s">
        <v>98</v>
      </c>
      <c r="B86">
        <v>0</v>
      </c>
      <c r="C86">
        <v>1</v>
      </c>
      <c r="D86">
        <v>8</v>
      </c>
      <c r="F86" s="49">
        <v>0.08</v>
      </c>
      <c r="H86" t="s">
        <v>102</v>
      </c>
    </row>
    <row r="87" spans="1:8" x14ac:dyDescent="0.2">
      <c r="A87" t="s">
        <v>98</v>
      </c>
      <c r="B87">
        <v>0</v>
      </c>
      <c r="C87">
        <v>1</v>
      </c>
      <c r="D87">
        <v>8</v>
      </c>
      <c r="F87" s="49">
        <v>0.08</v>
      </c>
      <c r="H87" t="s">
        <v>103</v>
      </c>
    </row>
    <row r="88" spans="1:8" x14ac:dyDescent="0.2">
      <c r="A88" t="s">
        <v>98</v>
      </c>
      <c r="B88">
        <v>0</v>
      </c>
      <c r="C88">
        <v>1</v>
      </c>
      <c r="D88">
        <v>8</v>
      </c>
      <c r="F88" s="49">
        <v>0.08</v>
      </c>
      <c r="H88" t="s">
        <v>104</v>
      </c>
    </row>
    <row r="89" spans="1:8" x14ac:dyDescent="0.2">
      <c r="A89" t="s">
        <v>98</v>
      </c>
      <c r="B89">
        <v>0</v>
      </c>
      <c r="C89">
        <v>1</v>
      </c>
      <c r="D89">
        <v>8</v>
      </c>
      <c r="F89" s="49">
        <v>0.08</v>
      </c>
      <c r="H89" t="s">
        <v>105</v>
      </c>
    </row>
    <row r="90" spans="1:8" x14ac:dyDescent="0.2">
      <c r="A90" t="s">
        <v>98</v>
      </c>
      <c r="B90">
        <v>0</v>
      </c>
      <c r="C90">
        <v>1</v>
      </c>
      <c r="D90">
        <v>8</v>
      </c>
      <c r="F90" s="49">
        <v>0.08</v>
      </c>
      <c r="H90" t="s">
        <v>340</v>
      </c>
    </row>
    <row r="91" spans="1:8" x14ac:dyDescent="0.2">
      <c r="A91" t="s">
        <v>98</v>
      </c>
      <c r="B91">
        <v>0</v>
      </c>
      <c r="C91">
        <v>12</v>
      </c>
      <c r="D91">
        <v>8</v>
      </c>
      <c r="F91" s="49">
        <f>B91+C91/20+D887243</f>
        <v>0.6</v>
      </c>
      <c r="H91" t="s">
        <v>341</v>
      </c>
    </row>
    <row r="92" spans="1:8" x14ac:dyDescent="0.2">
      <c r="A92"/>
      <c r="B92"/>
      <c r="C92"/>
      <c r="D92"/>
      <c r="F92" s="49">
        <f>SUM(F83:F90)</f>
        <v>0.61</v>
      </c>
      <c r="G92" s="46">
        <f>F92-F91</f>
        <v>1.0000000000000009E-2</v>
      </c>
      <c r="H92" t="s">
        <v>179</v>
      </c>
    </row>
    <row r="93" spans="1:8" x14ac:dyDescent="0.2">
      <c r="A93"/>
      <c r="B93"/>
      <c r="C93"/>
      <c r="D93"/>
      <c r="F93" s="49"/>
      <c r="H93"/>
    </row>
    <row r="94" spans="1:8" x14ac:dyDescent="0.2">
      <c r="A94" t="s">
        <v>107</v>
      </c>
      <c r="B94">
        <v>0</v>
      </c>
      <c r="C94">
        <v>6</v>
      </c>
      <c r="D94">
        <v>8</v>
      </c>
      <c r="F94" s="49">
        <v>0.33</v>
      </c>
      <c r="H94" t="s">
        <v>108</v>
      </c>
    </row>
    <row r="95" spans="1:8" x14ac:dyDescent="0.2">
      <c r="A95" t="s">
        <v>109</v>
      </c>
      <c r="B95">
        <v>0</v>
      </c>
      <c r="C95">
        <v>6</v>
      </c>
      <c r="D95">
        <v>8</v>
      </c>
      <c r="F95" s="49">
        <v>0.33</v>
      </c>
      <c r="H95" t="s">
        <v>110</v>
      </c>
    </row>
    <row r="96" spans="1:8" x14ac:dyDescent="0.2">
      <c r="A96" t="s">
        <v>109</v>
      </c>
      <c r="B96">
        <v>0</v>
      </c>
      <c r="C96">
        <v>0</v>
      </c>
      <c r="D96">
        <v>0</v>
      </c>
      <c r="F96" s="49">
        <v>0</v>
      </c>
      <c r="H96" t="s">
        <v>111</v>
      </c>
    </row>
    <row r="97" spans="1:8" x14ac:dyDescent="0.2">
      <c r="A97" t="s">
        <v>109</v>
      </c>
      <c r="B97">
        <v>1</v>
      </c>
      <c r="C97">
        <v>0</v>
      </c>
      <c r="D97">
        <v>0</v>
      </c>
      <c r="F97" s="49">
        <v>1</v>
      </c>
      <c r="H97" t="s">
        <v>112</v>
      </c>
    </row>
    <row r="98" spans="1:8" x14ac:dyDescent="0.2">
      <c r="A98"/>
      <c r="B98"/>
      <c r="C98"/>
      <c r="D98"/>
      <c r="F98" s="49">
        <f>SUM(F94:F96)</f>
        <v>0.66</v>
      </c>
      <c r="G98" s="46">
        <f>F98-F97</f>
        <v>-0.33999999999999997</v>
      </c>
      <c r="H98" t="s">
        <v>179</v>
      </c>
    </row>
    <row r="99" spans="1:8" x14ac:dyDescent="0.2">
      <c r="A99"/>
      <c r="B99"/>
      <c r="C99"/>
      <c r="D99"/>
      <c r="F99" s="49"/>
      <c r="H99"/>
    </row>
    <row r="100" spans="1:8" x14ac:dyDescent="0.2">
      <c r="A100" t="s">
        <v>113</v>
      </c>
      <c r="B100">
        <v>0</v>
      </c>
      <c r="C100">
        <v>3</v>
      </c>
      <c r="D100">
        <v>4</v>
      </c>
      <c r="F100" s="49">
        <v>0.17</v>
      </c>
      <c r="H100" t="s">
        <v>114</v>
      </c>
    </row>
    <row r="101" spans="1:8" x14ac:dyDescent="0.2">
      <c r="A101" t="s">
        <v>113</v>
      </c>
      <c r="B101">
        <v>0</v>
      </c>
      <c r="C101">
        <v>3</v>
      </c>
      <c r="D101">
        <v>4</v>
      </c>
      <c r="F101" s="49">
        <v>0.17</v>
      </c>
      <c r="H101" t="s">
        <v>115</v>
      </c>
    </row>
    <row r="102" spans="1:8" x14ac:dyDescent="0.2">
      <c r="A102"/>
      <c r="B102"/>
      <c r="C102"/>
      <c r="D102"/>
      <c r="F102" s="49">
        <f>SUM(F100)</f>
        <v>0.17</v>
      </c>
      <c r="G102" s="46">
        <f>F102-F101</f>
        <v>0</v>
      </c>
      <c r="H102" t="s">
        <v>179</v>
      </c>
    </row>
    <row r="103" spans="1:8" x14ac:dyDescent="0.2">
      <c r="A103"/>
      <c r="B103"/>
      <c r="C103"/>
      <c r="D103"/>
      <c r="F103" s="49"/>
      <c r="H103"/>
    </row>
    <row r="104" spans="1:8" x14ac:dyDescent="0.2">
      <c r="A104" t="s">
        <v>116</v>
      </c>
      <c r="B104">
        <v>0</v>
      </c>
      <c r="C104">
        <v>0</v>
      </c>
      <c r="D104">
        <v>0</v>
      </c>
      <c r="F104" s="49">
        <v>0</v>
      </c>
      <c r="H104" t="s">
        <v>117</v>
      </c>
    </row>
    <row r="105" spans="1:8" x14ac:dyDescent="0.2">
      <c r="A105" t="s">
        <v>116</v>
      </c>
      <c r="B105">
        <v>0</v>
      </c>
      <c r="C105">
        <v>3</v>
      </c>
      <c r="D105">
        <v>4</v>
      </c>
      <c r="F105" s="49">
        <v>0.17</v>
      </c>
      <c r="H105" t="s">
        <v>118</v>
      </c>
    </row>
    <row r="106" spans="1:8" x14ac:dyDescent="0.2">
      <c r="A106" t="s">
        <v>116</v>
      </c>
      <c r="B106">
        <v>0</v>
      </c>
      <c r="C106">
        <v>1</v>
      </c>
      <c r="D106">
        <v>8</v>
      </c>
      <c r="F106" s="49">
        <v>0.08</v>
      </c>
      <c r="H106" t="s">
        <v>119</v>
      </c>
    </row>
    <row r="107" spans="1:8" x14ac:dyDescent="0.2">
      <c r="A107" t="s">
        <v>116</v>
      </c>
      <c r="B107">
        <v>0</v>
      </c>
      <c r="C107">
        <v>3</v>
      </c>
      <c r="D107">
        <v>4</v>
      </c>
      <c r="F107" s="49">
        <v>0.17</v>
      </c>
      <c r="H107" t="s">
        <v>120</v>
      </c>
    </row>
    <row r="108" spans="1:8" x14ac:dyDescent="0.2">
      <c r="A108" t="s">
        <v>116</v>
      </c>
      <c r="B108">
        <v>0</v>
      </c>
      <c r="C108">
        <v>1</v>
      </c>
      <c r="D108">
        <v>8</v>
      </c>
      <c r="F108" s="49">
        <v>0.08</v>
      </c>
      <c r="H108" t="s">
        <v>121</v>
      </c>
    </row>
    <row r="109" spans="1:8" x14ac:dyDescent="0.2">
      <c r="A109" t="s">
        <v>116</v>
      </c>
      <c r="B109">
        <v>0</v>
      </c>
      <c r="C109">
        <v>2</v>
      </c>
      <c r="D109">
        <v>0</v>
      </c>
      <c r="F109" s="49">
        <v>0.1</v>
      </c>
      <c r="H109" t="s">
        <v>122</v>
      </c>
    </row>
    <row r="110" spans="1:8" x14ac:dyDescent="0.2">
      <c r="A110" t="s">
        <v>116</v>
      </c>
      <c r="B110">
        <v>0</v>
      </c>
      <c r="C110">
        <v>1</v>
      </c>
      <c r="D110">
        <v>8</v>
      </c>
      <c r="F110" s="49">
        <v>0.08</v>
      </c>
      <c r="H110" t="s">
        <v>123</v>
      </c>
    </row>
    <row r="111" spans="1:8" x14ac:dyDescent="0.2">
      <c r="A111" t="s">
        <v>116</v>
      </c>
      <c r="B111">
        <v>0</v>
      </c>
      <c r="C111">
        <v>2</v>
      </c>
      <c r="D111">
        <v>0</v>
      </c>
      <c r="F111" s="49">
        <v>0.1</v>
      </c>
      <c r="H111" t="s">
        <v>124</v>
      </c>
    </row>
    <row r="112" spans="1:8" x14ac:dyDescent="0.2">
      <c r="A112" t="s">
        <v>116</v>
      </c>
      <c r="B112">
        <v>0</v>
      </c>
      <c r="C112">
        <v>2</v>
      </c>
      <c r="D112">
        <v>0</v>
      </c>
      <c r="F112" s="49">
        <v>0.1</v>
      </c>
      <c r="H112" t="s">
        <v>125</v>
      </c>
    </row>
    <row r="113" spans="1:8" x14ac:dyDescent="0.2">
      <c r="A113" t="s">
        <v>116</v>
      </c>
      <c r="B113">
        <v>0</v>
      </c>
      <c r="C113">
        <v>1</v>
      </c>
      <c r="D113">
        <v>8</v>
      </c>
      <c r="F113" s="49">
        <v>0.08</v>
      </c>
      <c r="H113" t="s">
        <v>126</v>
      </c>
    </row>
    <row r="114" spans="1:8" x14ac:dyDescent="0.2">
      <c r="A114" t="s">
        <v>116</v>
      </c>
      <c r="B114">
        <v>1</v>
      </c>
      <c r="C114">
        <v>1</v>
      </c>
      <c r="D114">
        <v>0</v>
      </c>
      <c r="F114" s="49">
        <v>1.05</v>
      </c>
      <c r="H114" t="s">
        <v>127</v>
      </c>
    </row>
    <row r="115" spans="1:8" x14ac:dyDescent="0.2">
      <c r="A115"/>
      <c r="B115"/>
      <c r="C115"/>
      <c r="D115"/>
      <c r="F115" s="49">
        <f>SUM(F104:F113)</f>
        <v>0.95999999999999985</v>
      </c>
      <c r="G115" s="46">
        <f>F115-F114</f>
        <v>-9.0000000000000191E-2</v>
      </c>
      <c r="H115" t="s">
        <v>179</v>
      </c>
    </row>
    <row r="116" spans="1:8" x14ac:dyDescent="0.2">
      <c r="A116"/>
      <c r="B116"/>
      <c r="C116"/>
      <c r="D116"/>
      <c r="F116" s="49"/>
      <c r="H116"/>
    </row>
    <row r="117" spans="1:8" x14ac:dyDescent="0.2">
      <c r="A117" t="s">
        <v>128</v>
      </c>
      <c r="B117">
        <v>0</v>
      </c>
      <c r="C117">
        <v>6</v>
      </c>
      <c r="D117">
        <v>8</v>
      </c>
      <c r="F117" s="49">
        <v>0.33</v>
      </c>
      <c r="H117" t="s">
        <v>129</v>
      </c>
    </row>
    <row r="118" spans="1:8" x14ac:dyDescent="0.2">
      <c r="A118" t="s">
        <v>130</v>
      </c>
      <c r="B118">
        <v>0</v>
      </c>
      <c r="C118">
        <v>3</v>
      </c>
      <c r="D118">
        <v>4</v>
      </c>
      <c r="F118" s="49">
        <v>0.17</v>
      </c>
      <c r="H118" t="s">
        <v>131</v>
      </c>
    </row>
    <row r="119" spans="1:8" x14ac:dyDescent="0.2">
      <c r="A119" t="s">
        <v>130</v>
      </c>
      <c r="B119">
        <v>0</v>
      </c>
      <c r="C119">
        <v>1</v>
      </c>
      <c r="D119">
        <v>8</v>
      </c>
      <c r="F119" s="49">
        <v>0.08</v>
      </c>
      <c r="H119" t="s">
        <v>132</v>
      </c>
    </row>
    <row r="120" spans="1:8" x14ac:dyDescent="0.2">
      <c r="A120" t="s">
        <v>130</v>
      </c>
      <c r="B120">
        <v>0</v>
      </c>
      <c r="C120">
        <v>1</v>
      </c>
      <c r="D120">
        <v>8</v>
      </c>
      <c r="F120" s="49">
        <v>0.08</v>
      </c>
      <c r="H120" t="s">
        <v>133</v>
      </c>
    </row>
    <row r="121" spans="1:8" x14ac:dyDescent="0.2">
      <c r="A121" t="s">
        <v>130</v>
      </c>
      <c r="B121">
        <v>0</v>
      </c>
      <c r="C121">
        <v>3</v>
      </c>
      <c r="D121">
        <v>4</v>
      </c>
      <c r="F121" s="49">
        <v>0.17</v>
      </c>
      <c r="H121" t="s">
        <v>134</v>
      </c>
    </row>
    <row r="122" spans="1:8" x14ac:dyDescent="0.2">
      <c r="A122" t="s">
        <v>130</v>
      </c>
      <c r="B122">
        <v>0</v>
      </c>
      <c r="C122">
        <v>6</v>
      </c>
      <c r="D122">
        <v>8</v>
      </c>
      <c r="F122" s="49">
        <v>0.33</v>
      </c>
      <c r="H122" t="s">
        <v>135</v>
      </c>
    </row>
    <row r="123" spans="1:8" x14ac:dyDescent="0.2">
      <c r="A123" t="s">
        <v>130</v>
      </c>
      <c r="B123">
        <v>1</v>
      </c>
      <c r="C123">
        <v>3</v>
      </c>
      <c r="D123">
        <v>4</v>
      </c>
      <c r="F123" s="49">
        <v>1.17</v>
      </c>
      <c r="H123" t="s">
        <v>136</v>
      </c>
    </row>
    <row r="124" spans="1:8" x14ac:dyDescent="0.2">
      <c r="A124"/>
      <c r="B124"/>
      <c r="C124"/>
      <c r="D124"/>
      <c r="F124" s="49">
        <f>SUM(F117:F122)</f>
        <v>1.1599999999999999</v>
      </c>
      <c r="G124" s="46">
        <f>F124-F123</f>
        <v>-1.0000000000000009E-2</v>
      </c>
      <c r="H124" t="s">
        <v>179</v>
      </c>
    </row>
    <row r="125" spans="1:8" x14ac:dyDescent="0.2">
      <c r="A125"/>
      <c r="B125"/>
      <c r="C125"/>
      <c r="D125"/>
      <c r="F125" s="49"/>
      <c r="H125"/>
    </row>
    <row r="126" spans="1:8" x14ac:dyDescent="0.2">
      <c r="A126" t="s">
        <v>137</v>
      </c>
      <c r="B126">
        <v>0</v>
      </c>
      <c r="C126">
        <v>1</v>
      </c>
      <c r="D126">
        <v>0</v>
      </c>
      <c r="F126" s="49">
        <v>0.05</v>
      </c>
      <c r="H126" t="s">
        <v>138</v>
      </c>
    </row>
    <row r="127" spans="1:8" x14ac:dyDescent="0.2">
      <c r="A127" t="s">
        <v>137</v>
      </c>
      <c r="B127">
        <v>0</v>
      </c>
      <c r="C127">
        <v>1</v>
      </c>
      <c r="D127">
        <v>0</v>
      </c>
      <c r="F127" s="49">
        <v>0.05</v>
      </c>
      <c r="H127" t="s">
        <v>139</v>
      </c>
    </row>
    <row r="128" spans="1:8" x14ac:dyDescent="0.2">
      <c r="A128" t="s">
        <v>137</v>
      </c>
      <c r="B128">
        <v>0</v>
      </c>
      <c r="C128">
        <v>1</v>
      </c>
      <c r="D128">
        <v>0</v>
      </c>
      <c r="F128" s="49">
        <v>0.05</v>
      </c>
      <c r="H128" t="s">
        <v>140</v>
      </c>
    </row>
    <row r="129" spans="1:8" x14ac:dyDescent="0.2">
      <c r="A129" t="s">
        <v>137</v>
      </c>
      <c r="B129">
        <v>0</v>
      </c>
      <c r="C129">
        <v>1</v>
      </c>
      <c r="D129">
        <v>8</v>
      </c>
      <c r="F129" s="49">
        <v>0.08</v>
      </c>
      <c r="H129" t="s">
        <v>141</v>
      </c>
    </row>
    <row r="130" spans="1:8" x14ac:dyDescent="0.2">
      <c r="A130" t="s">
        <v>137</v>
      </c>
      <c r="B130">
        <v>0</v>
      </c>
      <c r="C130">
        <v>6</v>
      </c>
      <c r="D130">
        <v>8</v>
      </c>
      <c r="F130" s="49">
        <v>0.33</v>
      </c>
      <c r="H130" t="s">
        <v>142</v>
      </c>
    </row>
    <row r="131" spans="1:8" x14ac:dyDescent="0.2">
      <c r="A131" t="s">
        <v>143</v>
      </c>
      <c r="B131">
        <v>0</v>
      </c>
      <c r="C131">
        <v>1</v>
      </c>
      <c r="D131">
        <v>0</v>
      </c>
      <c r="F131" s="49">
        <v>0.05</v>
      </c>
      <c r="H131" t="s">
        <v>144</v>
      </c>
    </row>
    <row r="132" spans="1:8" x14ac:dyDescent="0.2">
      <c r="A132" t="s">
        <v>143</v>
      </c>
      <c r="B132">
        <v>1</v>
      </c>
      <c r="C132">
        <v>17</v>
      </c>
      <c r="D132">
        <v>8</v>
      </c>
      <c r="F132" s="49">
        <v>1.88</v>
      </c>
      <c r="H132" t="s">
        <v>145</v>
      </c>
    </row>
    <row r="133" spans="1:8" x14ac:dyDescent="0.2">
      <c r="A133"/>
      <c r="B133"/>
      <c r="C133"/>
      <c r="D133"/>
      <c r="F133" s="49">
        <f>SUM(F126:F131)</f>
        <v>0.6100000000000001</v>
      </c>
      <c r="G133" s="46">
        <f>F133-F132</f>
        <v>-1.2699999999999998</v>
      </c>
      <c r="H133" t="s">
        <v>179</v>
      </c>
    </row>
    <row r="134" spans="1:8" x14ac:dyDescent="0.2">
      <c r="A134"/>
      <c r="B134"/>
      <c r="C134"/>
      <c r="D134"/>
      <c r="F134" s="49"/>
      <c r="H134"/>
    </row>
    <row r="135" spans="1:8" x14ac:dyDescent="0.2">
      <c r="A135" t="s">
        <v>146</v>
      </c>
      <c r="B135">
        <v>0</v>
      </c>
      <c r="C135">
        <v>3</v>
      </c>
      <c r="D135">
        <v>4</v>
      </c>
      <c r="F135" s="49">
        <v>0.17</v>
      </c>
      <c r="H135" t="s">
        <v>147</v>
      </c>
    </row>
    <row r="136" spans="1:8" x14ac:dyDescent="0.2">
      <c r="A136" t="s">
        <v>146</v>
      </c>
      <c r="B136">
        <v>0</v>
      </c>
      <c r="C136">
        <v>1</v>
      </c>
      <c r="D136">
        <v>8</v>
      </c>
      <c r="F136" s="49">
        <v>0.08</v>
      </c>
      <c r="H136" t="s">
        <v>148</v>
      </c>
    </row>
    <row r="137" spans="1:8" x14ac:dyDescent="0.2">
      <c r="A137" t="s">
        <v>146</v>
      </c>
      <c r="B137">
        <v>0</v>
      </c>
      <c r="C137">
        <v>1</v>
      </c>
      <c r="D137">
        <v>8</v>
      </c>
      <c r="F137" s="49">
        <v>0.08</v>
      </c>
      <c r="H137" t="s">
        <v>149</v>
      </c>
    </row>
    <row r="138" spans="1:8" x14ac:dyDescent="0.2">
      <c r="A138" t="s">
        <v>146</v>
      </c>
      <c r="B138">
        <v>0</v>
      </c>
      <c r="C138">
        <v>6</v>
      </c>
      <c r="D138">
        <v>8</v>
      </c>
      <c r="F138" s="49">
        <v>0.33</v>
      </c>
      <c r="H138" t="s">
        <v>49</v>
      </c>
    </row>
    <row r="139" spans="1:8" x14ac:dyDescent="0.2">
      <c r="A139"/>
      <c r="B139"/>
      <c r="C139"/>
      <c r="D139"/>
      <c r="F139" s="49">
        <f>SUM(F135:F137)</f>
        <v>0.33</v>
      </c>
      <c r="G139" s="46">
        <f>F139-F138</f>
        <v>0</v>
      </c>
      <c r="H139" t="s">
        <v>179</v>
      </c>
    </row>
    <row r="140" spans="1:8" x14ac:dyDescent="0.2">
      <c r="A140"/>
      <c r="B140"/>
      <c r="C140"/>
      <c r="D140"/>
      <c r="F140" s="49"/>
      <c r="H140"/>
    </row>
    <row r="141" spans="1:8" x14ac:dyDescent="0.2">
      <c r="A141" t="s">
        <v>150</v>
      </c>
      <c r="B141">
        <v>0</v>
      </c>
      <c r="C141">
        <v>1</v>
      </c>
      <c r="D141">
        <v>0</v>
      </c>
      <c r="F141" s="49">
        <v>0.05</v>
      </c>
      <c r="H141" t="s">
        <v>151</v>
      </c>
    </row>
    <row r="142" spans="1:8" x14ac:dyDescent="0.2">
      <c r="A142" t="s">
        <v>150</v>
      </c>
      <c r="B142">
        <v>0</v>
      </c>
      <c r="C142">
        <v>1</v>
      </c>
      <c r="D142">
        <v>8</v>
      </c>
      <c r="F142" s="49">
        <v>0.08</v>
      </c>
      <c r="H142" t="s">
        <v>152</v>
      </c>
    </row>
    <row r="143" spans="1:8" x14ac:dyDescent="0.2">
      <c r="A143" t="s">
        <v>150</v>
      </c>
      <c r="B143">
        <v>0</v>
      </c>
      <c r="C143">
        <v>1</v>
      </c>
      <c r="D143">
        <v>8</v>
      </c>
      <c r="F143" s="49">
        <v>0.08</v>
      </c>
      <c r="H143" t="s">
        <v>149</v>
      </c>
    </row>
    <row r="144" spans="1:8" x14ac:dyDescent="0.2">
      <c r="A144" t="s">
        <v>150</v>
      </c>
      <c r="B144">
        <v>0</v>
      </c>
      <c r="C144">
        <v>1</v>
      </c>
      <c r="D144">
        <v>0</v>
      </c>
      <c r="F144" s="49">
        <v>0.05</v>
      </c>
      <c r="H144" t="s">
        <v>153</v>
      </c>
    </row>
    <row r="145" spans="1:8" x14ac:dyDescent="0.2">
      <c r="A145" t="s">
        <v>150</v>
      </c>
      <c r="B145">
        <v>0</v>
      </c>
      <c r="C145">
        <v>1</v>
      </c>
      <c r="D145">
        <v>0</v>
      </c>
      <c r="F145" s="49">
        <v>0.05</v>
      </c>
      <c r="H145" t="s">
        <v>154</v>
      </c>
    </row>
    <row r="146" spans="1:8" x14ac:dyDescent="0.2">
      <c r="A146" t="s">
        <v>150</v>
      </c>
      <c r="B146">
        <v>0</v>
      </c>
      <c r="C146">
        <v>1</v>
      </c>
      <c r="D146">
        <v>0</v>
      </c>
      <c r="F146" s="49">
        <v>0.05</v>
      </c>
      <c r="H146" t="s">
        <v>155</v>
      </c>
    </row>
    <row r="147" spans="1:8" x14ac:dyDescent="0.2">
      <c r="A147" t="s">
        <v>150</v>
      </c>
      <c r="B147">
        <v>0</v>
      </c>
      <c r="C147">
        <v>1</v>
      </c>
      <c r="D147">
        <v>0</v>
      </c>
      <c r="F147" s="49">
        <v>0.05</v>
      </c>
      <c r="H147" t="s">
        <v>156</v>
      </c>
    </row>
    <row r="148" spans="1:8" x14ac:dyDescent="0.2">
      <c r="A148"/>
      <c r="B148"/>
      <c r="C148"/>
      <c r="D148"/>
      <c r="F148" s="49"/>
      <c r="H148"/>
    </row>
    <row r="149" spans="1:8" x14ac:dyDescent="0.2">
      <c r="A149" t="s">
        <v>157</v>
      </c>
      <c r="B149">
        <v>1</v>
      </c>
      <c r="C149">
        <v>2</v>
      </c>
      <c r="D149">
        <v>8</v>
      </c>
      <c r="F149" s="49">
        <v>1.1299999999999999</v>
      </c>
      <c r="H149" t="s">
        <v>158</v>
      </c>
    </row>
    <row r="150" spans="1:8" x14ac:dyDescent="0.2">
      <c r="A150" t="s">
        <v>157</v>
      </c>
      <c r="B150">
        <v>1</v>
      </c>
      <c r="C150">
        <v>11</v>
      </c>
      <c r="D150">
        <v>0</v>
      </c>
      <c r="F150" s="49">
        <f>B150+C150/20+D150/240</f>
        <v>1.55</v>
      </c>
      <c r="H150" t="s">
        <v>339</v>
      </c>
    </row>
    <row r="151" spans="1:8" x14ac:dyDescent="0.2">
      <c r="A151" t="s">
        <v>157</v>
      </c>
      <c r="B151"/>
      <c r="C151"/>
      <c r="D151"/>
      <c r="F151" s="49">
        <f>SUM(F141:F149)</f>
        <v>1.5399999999999998</v>
      </c>
      <c r="G151" s="46">
        <f>F151-F150</f>
        <v>-1.0000000000000231E-2</v>
      </c>
      <c r="H151" t="s">
        <v>179</v>
      </c>
    </row>
    <row r="152" spans="1:8" x14ac:dyDescent="0.2">
      <c r="A152"/>
      <c r="B152"/>
      <c r="C152"/>
      <c r="D152"/>
      <c r="F152" s="49"/>
      <c r="H152"/>
    </row>
    <row r="153" spans="1:8" x14ac:dyDescent="0.2">
      <c r="A153" t="s">
        <v>160</v>
      </c>
      <c r="B153">
        <v>10</v>
      </c>
      <c r="C153">
        <v>0</v>
      </c>
      <c r="D153">
        <v>0</v>
      </c>
      <c r="F153" s="49">
        <v>10</v>
      </c>
      <c r="H153" t="s">
        <v>161</v>
      </c>
    </row>
    <row r="154" spans="1:8" x14ac:dyDescent="0.2">
      <c r="A154" t="s">
        <v>160</v>
      </c>
      <c r="B154">
        <v>0</v>
      </c>
      <c r="C154">
        <v>3</v>
      </c>
      <c r="D154">
        <v>4</v>
      </c>
      <c r="F154" s="49">
        <v>0.17</v>
      </c>
      <c r="H154" t="s">
        <v>162</v>
      </c>
    </row>
    <row r="155" spans="1:8" x14ac:dyDescent="0.2">
      <c r="A155" t="s">
        <v>160</v>
      </c>
      <c r="B155">
        <v>0</v>
      </c>
      <c r="C155">
        <v>0</v>
      </c>
      <c r="D155">
        <v>6</v>
      </c>
      <c r="F155" s="49">
        <v>0.03</v>
      </c>
      <c r="H155" t="s">
        <v>163</v>
      </c>
    </row>
    <row r="156" spans="1:8" x14ac:dyDescent="0.2">
      <c r="A156" t="s">
        <v>160</v>
      </c>
      <c r="B156">
        <v>10</v>
      </c>
      <c r="C156">
        <v>3</v>
      </c>
      <c r="D156">
        <v>10</v>
      </c>
      <c r="F156" s="49">
        <v>10.19</v>
      </c>
      <c r="H156" t="s">
        <v>164</v>
      </c>
    </row>
    <row r="157" spans="1:8" x14ac:dyDescent="0.2">
      <c r="A157" t="s">
        <v>160</v>
      </c>
      <c r="B157"/>
      <c r="C157"/>
      <c r="D157"/>
      <c r="F157" s="49">
        <f>SUM(F153:F155)</f>
        <v>10.199999999999999</v>
      </c>
      <c r="G157" s="46">
        <f>F157-F156</f>
        <v>9.9999999999997868E-3</v>
      </c>
      <c r="H157" t="s">
        <v>179</v>
      </c>
    </row>
    <row r="158" spans="1:8" x14ac:dyDescent="0.2">
      <c r="A158"/>
      <c r="B158"/>
      <c r="C158"/>
      <c r="D158"/>
      <c r="F158" s="49"/>
      <c r="H158"/>
    </row>
    <row r="159" spans="1:8" x14ac:dyDescent="0.2">
      <c r="A159" t="s">
        <v>165</v>
      </c>
      <c r="B159">
        <v>25</v>
      </c>
      <c r="C159">
        <v>12</v>
      </c>
      <c r="D159">
        <v>0</v>
      </c>
      <c r="F159" s="49">
        <v>25.6</v>
      </c>
      <c r="H159" t="s">
        <v>166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election activeCell="K14" sqref="K14"/>
    </sheetView>
  </sheetViews>
  <sheetFormatPr baseColWidth="10" defaultColWidth="8.83203125" defaultRowHeight="15" x14ac:dyDescent="0.2"/>
  <cols>
    <col min="1" max="1" width="22" bestFit="1" customWidth="1"/>
    <col min="6" max="6" width="8.83203125" style="49"/>
    <col min="7" max="7" width="8.83203125" style="50"/>
  </cols>
  <sheetData>
    <row r="1" spans="1:8" ht="16" x14ac:dyDescent="0.2">
      <c r="A1" s="31" t="s">
        <v>338</v>
      </c>
    </row>
    <row r="2" spans="1:8" ht="16" x14ac:dyDescent="0.2">
      <c r="A2" s="39" t="s">
        <v>0</v>
      </c>
      <c r="B2" s="40" t="s">
        <v>334</v>
      </c>
      <c r="C2" s="41" t="s">
        <v>335</v>
      </c>
      <c r="D2" s="41" t="s">
        <v>336</v>
      </c>
      <c r="E2" s="42"/>
      <c r="F2" s="43" t="s">
        <v>330</v>
      </c>
      <c r="G2" s="44" t="s">
        <v>178</v>
      </c>
      <c r="H2" s="39" t="s">
        <v>337</v>
      </c>
    </row>
    <row r="3" spans="1:8" x14ac:dyDescent="0.2">
      <c r="A3" t="s">
        <v>167</v>
      </c>
      <c r="B3">
        <v>3</v>
      </c>
      <c r="C3">
        <v>10</v>
      </c>
      <c r="D3">
        <v>0</v>
      </c>
      <c r="F3" s="49">
        <v>3.5</v>
      </c>
      <c r="H3" t="s">
        <v>168</v>
      </c>
    </row>
    <row r="4" spans="1:8" x14ac:dyDescent="0.2">
      <c r="A4" t="s">
        <v>167</v>
      </c>
      <c r="B4">
        <v>0</v>
      </c>
      <c r="C4">
        <v>10</v>
      </c>
      <c r="D4">
        <v>0</v>
      </c>
      <c r="F4" s="49">
        <v>0.5</v>
      </c>
      <c r="H4" t="s">
        <v>347</v>
      </c>
    </row>
    <row r="5" spans="1:8" x14ac:dyDescent="0.2">
      <c r="A5" t="s">
        <v>167</v>
      </c>
      <c r="B5">
        <v>0</v>
      </c>
      <c r="C5">
        <v>0</v>
      </c>
      <c r="D5">
        <v>6</v>
      </c>
      <c r="F5" s="49">
        <v>0.03</v>
      </c>
      <c r="H5" t="s">
        <v>170</v>
      </c>
    </row>
    <row r="6" spans="1:8" x14ac:dyDescent="0.2">
      <c r="A6" t="s">
        <v>167</v>
      </c>
      <c r="B6">
        <v>0</v>
      </c>
      <c r="C6">
        <v>1</v>
      </c>
      <c r="D6">
        <v>0</v>
      </c>
      <c r="F6" s="49">
        <v>0.05</v>
      </c>
      <c r="H6" t="s">
        <v>171</v>
      </c>
    </row>
    <row r="7" spans="1:8" x14ac:dyDescent="0.2">
      <c r="A7" t="s">
        <v>167</v>
      </c>
      <c r="B7">
        <v>0</v>
      </c>
      <c r="C7">
        <v>0</v>
      </c>
      <c r="D7">
        <v>6</v>
      </c>
      <c r="F7" s="49">
        <v>0.03</v>
      </c>
      <c r="H7" t="s">
        <v>172</v>
      </c>
    </row>
    <row r="8" spans="1:8" x14ac:dyDescent="0.2">
      <c r="A8" t="s">
        <v>167</v>
      </c>
      <c r="B8">
        <v>0</v>
      </c>
      <c r="C8">
        <v>2</v>
      </c>
      <c r="D8">
        <v>0</v>
      </c>
      <c r="F8" s="49">
        <v>0.1</v>
      </c>
      <c r="H8" t="s">
        <v>173</v>
      </c>
    </row>
    <row r="10" spans="1:8" x14ac:dyDescent="0.2">
      <c r="A10" t="s">
        <v>167</v>
      </c>
      <c r="B10">
        <v>3</v>
      </c>
      <c r="C10">
        <v>14</v>
      </c>
      <c r="D10">
        <v>10</v>
      </c>
      <c r="F10" s="49">
        <f>B10+C10/20+D10/240</f>
        <v>3.7416666666666667</v>
      </c>
      <c r="H10" t="s">
        <v>346</v>
      </c>
    </row>
    <row r="11" spans="1:8" x14ac:dyDescent="0.2">
      <c r="A11" t="s">
        <v>167</v>
      </c>
      <c r="F11" s="49">
        <f>SUM(F3:F8)</f>
        <v>4.21</v>
      </c>
      <c r="G11" s="50">
        <f>F11-F10</f>
        <v>0.46833333333333327</v>
      </c>
      <c r="H11" t="s">
        <v>179</v>
      </c>
    </row>
    <row r="13" spans="1:8" x14ac:dyDescent="0.2">
      <c r="A13" t="s">
        <v>348</v>
      </c>
      <c r="B13">
        <v>21</v>
      </c>
      <c r="C13">
        <v>17</v>
      </c>
      <c r="D13">
        <v>2</v>
      </c>
      <c r="F13" s="49">
        <f>B13+C13/20+D13/240</f>
        <v>21.858333333333334</v>
      </c>
      <c r="H13" t="s">
        <v>349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8.83203125" defaultRowHeight="15" x14ac:dyDescent="0.2"/>
  <sheetData>
    <row r="1" spans="1:1" x14ac:dyDescent="0.2">
      <c r="A1" t="s">
        <v>350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row r="1" spans="1:1" x14ac:dyDescent="0.2">
      <c r="A1" t="s">
        <v>351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workbookViewId="0">
      <selection activeCell="A2" sqref="A2"/>
    </sheetView>
  </sheetViews>
  <sheetFormatPr baseColWidth="10" defaultColWidth="8.83203125" defaultRowHeight="15" x14ac:dyDescent="0.2"/>
  <sheetData>
    <row r="1" spans="1:1" x14ac:dyDescent="0.2">
      <c r="A1" t="s">
        <v>352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7"/>
  <sheetViews>
    <sheetView topLeftCell="A2" workbookViewId="0">
      <selection activeCell="D21" sqref="D21:F118"/>
    </sheetView>
  </sheetViews>
  <sheetFormatPr baseColWidth="10" defaultColWidth="8.83203125" defaultRowHeight="15" x14ac:dyDescent="0.2"/>
  <cols>
    <col min="1" max="1" width="148.33203125" bestFit="1"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v>26.32</v>
      </c>
      <c r="D2">
        <v>26</v>
      </c>
      <c r="E2">
        <v>6</v>
      </c>
      <c r="F2">
        <v>4</v>
      </c>
      <c r="H2">
        <v>0</v>
      </c>
      <c r="I2">
        <v>0</v>
      </c>
      <c r="J2">
        <v>0</v>
      </c>
      <c r="K2">
        <v>0</v>
      </c>
      <c r="L2">
        <v>0</v>
      </c>
      <c r="M2">
        <v>0</v>
      </c>
      <c r="N2">
        <v>0</v>
      </c>
    </row>
    <row r="3" spans="1:30" x14ac:dyDescent="0.2">
      <c r="A3" t="s">
        <v>32</v>
      </c>
      <c r="B3" t="s">
        <v>33</v>
      </c>
      <c r="C3">
        <v>0.17</v>
      </c>
      <c r="D3">
        <v>0</v>
      </c>
      <c r="E3">
        <v>3</v>
      </c>
      <c r="F3">
        <v>4</v>
      </c>
      <c r="H3">
        <v>0</v>
      </c>
      <c r="I3">
        <v>0</v>
      </c>
      <c r="J3">
        <v>0</v>
      </c>
      <c r="K3">
        <v>0</v>
      </c>
      <c r="L3">
        <v>0</v>
      </c>
      <c r="M3">
        <v>0</v>
      </c>
      <c r="N3">
        <v>0</v>
      </c>
    </row>
    <row r="4" spans="1:30" x14ac:dyDescent="0.2">
      <c r="A4" t="s">
        <v>32</v>
      </c>
      <c r="B4" t="s">
        <v>34</v>
      </c>
      <c r="C4">
        <v>0.17</v>
      </c>
      <c r="D4">
        <v>0</v>
      </c>
      <c r="E4">
        <v>3</v>
      </c>
      <c r="F4">
        <v>4</v>
      </c>
      <c r="H4">
        <v>0</v>
      </c>
      <c r="I4">
        <v>0</v>
      </c>
      <c r="J4">
        <v>0</v>
      </c>
      <c r="K4">
        <v>0</v>
      </c>
      <c r="L4">
        <v>0</v>
      </c>
      <c r="M4">
        <v>0</v>
      </c>
      <c r="N4">
        <v>0</v>
      </c>
    </row>
    <row r="5" spans="1:30" x14ac:dyDescent="0.2">
      <c r="A5" t="s">
        <v>32</v>
      </c>
      <c r="B5" t="s">
        <v>35</v>
      </c>
      <c r="C5">
        <v>0.17</v>
      </c>
      <c r="D5">
        <v>0</v>
      </c>
      <c r="E5">
        <v>3</v>
      </c>
      <c r="F5">
        <v>4</v>
      </c>
      <c r="H5">
        <v>0</v>
      </c>
      <c r="I5">
        <v>0</v>
      </c>
      <c r="J5">
        <v>0</v>
      </c>
      <c r="K5">
        <v>0</v>
      </c>
      <c r="L5">
        <v>0</v>
      </c>
      <c r="M5">
        <v>0</v>
      </c>
      <c r="N5">
        <v>0</v>
      </c>
    </row>
    <row r="6" spans="1:30" x14ac:dyDescent="0.2">
      <c r="A6" t="s">
        <v>32</v>
      </c>
      <c r="B6" t="s">
        <v>36</v>
      </c>
      <c r="C6">
        <v>0.33</v>
      </c>
      <c r="D6">
        <v>0</v>
      </c>
      <c r="E6">
        <v>6</v>
      </c>
      <c r="F6">
        <v>8</v>
      </c>
      <c r="H6">
        <v>0</v>
      </c>
      <c r="I6">
        <v>0</v>
      </c>
      <c r="J6">
        <v>0</v>
      </c>
      <c r="K6">
        <v>0</v>
      </c>
      <c r="L6">
        <v>0</v>
      </c>
      <c r="M6">
        <v>0</v>
      </c>
      <c r="N6">
        <v>0</v>
      </c>
    </row>
    <row r="7" spans="1:30" x14ac:dyDescent="0.2">
      <c r="A7" t="s">
        <v>32</v>
      </c>
      <c r="B7" t="s">
        <v>37</v>
      </c>
      <c r="C7">
        <v>0.17</v>
      </c>
      <c r="D7">
        <v>0</v>
      </c>
      <c r="E7">
        <v>3</v>
      </c>
      <c r="F7">
        <v>4</v>
      </c>
      <c r="H7">
        <v>0</v>
      </c>
      <c r="I7">
        <v>0</v>
      </c>
      <c r="J7">
        <v>0</v>
      </c>
      <c r="K7">
        <v>0</v>
      </c>
      <c r="L7">
        <v>0</v>
      </c>
      <c r="M7">
        <v>0</v>
      </c>
      <c r="N7">
        <v>0</v>
      </c>
    </row>
    <row r="8" spans="1:30" x14ac:dyDescent="0.2">
      <c r="A8" t="s">
        <v>32</v>
      </c>
      <c r="B8" t="s">
        <v>38</v>
      </c>
      <c r="C8">
        <v>0.03</v>
      </c>
      <c r="D8">
        <v>0</v>
      </c>
      <c r="E8">
        <v>0</v>
      </c>
      <c r="F8">
        <v>6</v>
      </c>
      <c r="H8">
        <v>0</v>
      </c>
      <c r="I8">
        <v>0</v>
      </c>
      <c r="J8">
        <v>0</v>
      </c>
      <c r="K8">
        <v>0</v>
      </c>
      <c r="L8">
        <v>0</v>
      </c>
      <c r="M8">
        <v>0</v>
      </c>
      <c r="N8">
        <v>0</v>
      </c>
    </row>
    <row r="9" spans="1:30" x14ac:dyDescent="0.2">
      <c r="A9" t="s">
        <v>32</v>
      </c>
      <c r="B9" t="s">
        <v>39</v>
      </c>
      <c r="C9">
        <v>0.15</v>
      </c>
      <c r="D9">
        <v>0</v>
      </c>
      <c r="E9">
        <v>3</v>
      </c>
      <c r="F9">
        <v>0</v>
      </c>
      <c r="H9">
        <v>0</v>
      </c>
      <c r="I9">
        <v>0</v>
      </c>
      <c r="J9">
        <v>0</v>
      </c>
      <c r="K9">
        <v>0</v>
      </c>
      <c r="L9">
        <v>0</v>
      </c>
      <c r="M9">
        <v>0</v>
      </c>
      <c r="N9">
        <v>0</v>
      </c>
    </row>
    <row r="10" spans="1:30" x14ac:dyDescent="0.2">
      <c r="A10" t="s">
        <v>32</v>
      </c>
      <c r="B10" t="s">
        <v>40</v>
      </c>
      <c r="C10">
        <v>0.1</v>
      </c>
      <c r="D10">
        <v>0</v>
      </c>
      <c r="E10">
        <v>2</v>
      </c>
      <c r="F10">
        <v>0</v>
      </c>
      <c r="H10">
        <v>0</v>
      </c>
      <c r="I10">
        <v>0</v>
      </c>
      <c r="J10">
        <v>0</v>
      </c>
      <c r="K10">
        <v>0</v>
      </c>
      <c r="L10">
        <v>0</v>
      </c>
      <c r="M10">
        <v>0</v>
      </c>
      <c r="N10">
        <v>0</v>
      </c>
    </row>
    <row r="11" spans="1:30" x14ac:dyDescent="0.2">
      <c r="A11" t="s">
        <v>32</v>
      </c>
      <c r="B11" t="s">
        <v>41</v>
      </c>
      <c r="C11">
        <v>1.27</v>
      </c>
      <c r="D11">
        <v>1</v>
      </c>
      <c r="E11">
        <v>5</v>
      </c>
      <c r="F11">
        <v>6</v>
      </c>
      <c r="H11">
        <v>0</v>
      </c>
      <c r="I11">
        <v>0</v>
      </c>
      <c r="J11">
        <v>0</v>
      </c>
      <c r="K11">
        <v>0</v>
      </c>
      <c r="L11">
        <v>0</v>
      </c>
      <c r="M11">
        <v>0</v>
      </c>
      <c r="N11">
        <v>0</v>
      </c>
    </row>
    <row r="12" spans="1:30" x14ac:dyDescent="0.2">
      <c r="A12" t="s">
        <v>32</v>
      </c>
      <c r="B12" t="s">
        <v>42</v>
      </c>
      <c r="C12">
        <v>0.3</v>
      </c>
      <c r="D12">
        <v>0</v>
      </c>
      <c r="E12">
        <v>6</v>
      </c>
      <c r="F12">
        <v>0</v>
      </c>
      <c r="H12">
        <v>0</v>
      </c>
      <c r="I12">
        <v>0</v>
      </c>
      <c r="J12">
        <v>0</v>
      </c>
      <c r="K12">
        <v>0</v>
      </c>
      <c r="L12">
        <v>0</v>
      </c>
      <c r="M12">
        <v>0</v>
      </c>
      <c r="N12">
        <v>0</v>
      </c>
    </row>
    <row r="13" spans="1:30" x14ac:dyDescent="0.2">
      <c r="A13" t="s">
        <v>32</v>
      </c>
      <c r="B13" t="s">
        <v>43</v>
      </c>
      <c r="C13">
        <v>0.3</v>
      </c>
      <c r="D13">
        <v>0</v>
      </c>
      <c r="E13">
        <v>6</v>
      </c>
      <c r="F13">
        <v>0</v>
      </c>
      <c r="H13">
        <v>0</v>
      </c>
      <c r="I13">
        <v>0</v>
      </c>
      <c r="J13">
        <v>0</v>
      </c>
      <c r="K13">
        <v>0</v>
      </c>
      <c r="L13">
        <v>0</v>
      </c>
      <c r="M13">
        <v>0</v>
      </c>
      <c r="N13">
        <v>0</v>
      </c>
    </row>
    <row r="14" spans="1:30" x14ac:dyDescent="0.2">
      <c r="A14" t="s">
        <v>32</v>
      </c>
      <c r="B14" t="s">
        <v>44</v>
      </c>
      <c r="C14">
        <v>0.68</v>
      </c>
      <c r="D14">
        <v>0</v>
      </c>
      <c r="E14">
        <v>13</v>
      </c>
      <c r="F14">
        <v>8</v>
      </c>
      <c r="H14">
        <v>0</v>
      </c>
      <c r="I14">
        <v>0</v>
      </c>
      <c r="J14">
        <v>0</v>
      </c>
      <c r="K14">
        <v>0</v>
      </c>
      <c r="L14">
        <v>0</v>
      </c>
      <c r="M14">
        <v>0</v>
      </c>
      <c r="N14">
        <v>0</v>
      </c>
    </row>
    <row r="15" spans="1:30" x14ac:dyDescent="0.2">
      <c r="A15" t="s">
        <v>32</v>
      </c>
      <c r="B15" t="s">
        <v>45</v>
      </c>
      <c r="C15">
        <v>0.15</v>
      </c>
      <c r="D15">
        <v>0</v>
      </c>
      <c r="E15">
        <v>3</v>
      </c>
      <c r="F15">
        <v>0</v>
      </c>
      <c r="H15">
        <v>0</v>
      </c>
      <c r="I15">
        <v>0</v>
      </c>
      <c r="J15">
        <v>0</v>
      </c>
      <c r="K15">
        <v>0</v>
      </c>
      <c r="L15">
        <v>0</v>
      </c>
      <c r="M15">
        <v>0</v>
      </c>
      <c r="N15">
        <v>0</v>
      </c>
    </row>
    <row r="16" spans="1:30" x14ac:dyDescent="0.2">
      <c r="A16" t="s">
        <v>32</v>
      </c>
      <c r="B16" t="s">
        <v>46</v>
      </c>
      <c r="C16">
        <v>0.25</v>
      </c>
      <c r="D16">
        <v>0</v>
      </c>
      <c r="E16">
        <v>5</v>
      </c>
      <c r="F16">
        <v>0</v>
      </c>
      <c r="H16">
        <v>0</v>
      </c>
      <c r="I16">
        <v>0</v>
      </c>
      <c r="J16">
        <v>0</v>
      </c>
      <c r="K16">
        <v>0</v>
      </c>
      <c r="L16">
        <v>0</v>
      </c>
      <c r="M16">
        <v>0</v>
      </c>
      <c r="N16">
        <v>0</v>
      </c>
    </row>
    <row r="17" spans="1:14" x14ac:dyDescent="0.2">
      <c r="A17" t="s">
        <v>32</v>
      </c>
      <c r="B17" t="s">
        <v>47</v>
      </c>
      <c r="C17">
        <v>1.08</v>
      </c>
      <c r="D17">
        <v>1</v>
      </c>
      <c r="E17">
        <v>1</v>
      </c>
      <c r="F17">
        <v>8</v>
      </c>
      <c r="H17">
        <v>0</v>
      </c>
      <c r="I17">
        <v>0</v>
      </c>
      <c r="J17">
        <v>0</v>
      </c>
      <c r="K17">
        <v>0</v>
      </c>
      <c r="L17">
        <v>0</v>
      </c>
      <c r="M17">
        <v>0</v>
      </c>
      <c r="N17">
        <v>0</v>
      </c>
    </row>
    <row r="18" spans="1:14" x14ac:dyDescent="0.2">
      <c r="A18" t="s">
        <v>32</v>
      </c>
      <c r="B18" t="s">
        <v>48</v>
      </c>
      <c r="C18">
        <v>0.33</v>
      </c>
      <c r="D18">
        <v>0</v>
      </c>
      <c r="E18">
        <v>6</v>
      </c>
      <c r="F18">
        <v>8</v>
      </c>
      <c r="H18">
        <v>0</v>
      </c>
      <c r="I18">
        <v>0</v>
      </c>
      <c r="J18">
        <v>0</v>
      </c>
      <c r="K18">
        <v>0</v>
      </c>
      <c r="L18">
        <v>0</v>
      </c>
      <c r="M18">
        <v>0</v>
      </c>
      <c r="N18">
        <v>0</v>
      </c>
    </row>
    <row r="19" spans="1:14" x14ac:dyDescent="0.2">
      <c r="A19" t="s">
        <v>32</v>
      </c>
      <c r="B19" t="s">
        <v>49</v>
      </c>
      <c r="C19">
        <v>0.33</v>
      </c>
      <c r="D19">
        <v>0</v>
      </c>
      <c r="E19">
        <v>6</v>
      </c>
      <c r="F19">
        <v>8</v>
      </c>
      <c r="H19">
        <v>0</v>
      </c>
      <c r="I19">
        <v>0</v>
      </c>
      <c r="J19">
        <v>0</v>
      </c>
      <c r="K19">
        <v>0</v>
      </c>
      <c r="L19">
        <v>0</v>
      </c>
      <c r="M19">
        <v>0</v>
      </c>
      <c r="N19">
        <v>0</v>
      </c>
    </row>
    <row r="20" spans="1:14" x14ac:dyDescent="0.2">
      <c r="A20" t="s">
        <v>50</v>
      </c>
      <c r="B20" t="s">
        <v>51</v>
      </c>
      <c r="C20">
        <v>2.99</v>
      </c>
      <c r="D20">
        <v>2</v>
      </c>
      <c r="E20">
        <v>19</v>
      </c>
      <c r="F20">
        <v>10</v>
      </c>
      <c r="H20">
        <v>0</v>
      </c>
      <c r="I20">
        <v>0</v>
      </c>
      <c r="J20">
        <v>0</v>
      </c>
      <c r="K20">
        <v>0</v>
      </c>
      <c r="L20">
        <v>0</v>
      </c>
      <c r="M20">
        <v>0</v>
      </c>
      <c r="N20">
        <v>0</v>
      </c>
    </row>
    <row r="21" spans="1:14" x14ac:dyDescent="0.2">
      <c r="A21" t="s">
        <v>52</v>
      </c>
      <c r="B21" t="s">
        <v>53</v>
      </c>
      <c r="C21">
        <v>0.08</v>
      </c>
      <c r="D21">
        <v>0</v>
      </c>
      <c r="E21">
        <v>1</v>
      </c>
      <c r="F21">
        <v>8</v>
      </c>
      <c r="H21">
        <v>0</v>
      </c>
      <c r="I21">
        <v>0</v>
      </c>
      <c r="J21">
        <v>0</v>
      </c>
      <c r="K21">
        <v>0</v>
      </c>
      <c r="L21">
        <v>0</v>
      </c>
      <c r="M21">
        <v>0</v>
      </c>
      <c r="N21">
        <v>0</v>
      </c>
    </row>
    <row r="22" spans="1:14" x14ac:dyDescent="0.2">
      <c r="A22" t="s">
        <v>52</v>
      </c>
      <c r="B22" t="s">
        <v>54</v>
      </c>
      <c r="C22">
        <v>0.08</v>
      </c>
      <c r="D22">
        <v>0</v>
      </c>
      <c r="E22">
        <v>1</v>
      </c>
      <c r="F22">
        <v>8</v>
      </c>
      <c r="H22">
        <v>0</v>
      </c>
      <c r="I22">
        <v>0</v>
      </c>
      <c r="J22">
        <v>0</v>
      </c>
      <c r="K22">
        <v>0</v>
      </c>
      <c r="L22">
        <v>0</v>
      </c>
      <c r="M22">
        <v>0</v>
      </c>
      <c r="N22">
        <v>0</v>
      </c>
    </row>
    <row r="23" spans="1:14" x14ac:dyDescent="0.2">
      <c r="A23" t="s">
        <v>52</v>
      </c>
      <c r="B23" t="s">
        <v>55</v>
      </c>
      <c r="C23">
        <v>0.08</v>
      </c>
      <c r="D23">
        <v>0</v>
      </c>
      <c r="E23">
        <v>1</v>
      </c>
      <c r="F23">
        <v>8</v>
      </c>
      <c r="H23">
        <v>0</v>
      </c>
      <c r="I23">
        <v>0</v>
      </c>
      <c r="J23">
        <v>0</v>
      </c>
      <c r="K23">
        <v>0</v>
      </c>
      <c r="L23">
        <v>0</v>
      </c>
      <c r="M23">
        <v>0</v>
      </c>
      <c r="N23">
        <v>0</v>
      </c>
    </row>
    <row r="24" spans="1:14" x14ac:dyDescent="0.2">
      <c r="A24" t="s">
        <v>52</v>
      </c>
      <c r="B24" t="s">
        <v>56</v>
      </c>
      <c r="C24">
        <v>0.08</v>
      </c>
      <c r="D24">
        <v>0</v>
      </c>
      <c r="E24">
        <v>1</v>
      </c>
      <c r="F24">
        <v>8</v>
      </c>
      <c r="H24">
        <v>0</v>
      </c>
      <c r="I24">
        <v>0</v>
      </c>
      <c r="J24">
        <v>0</v>
      </c>
      <c r="K24">
        <v>0</v>
      </c>
      <c r="L24">
        <v>0</v>
      </c>
      <c r="M24">
        <v>0</v>
      </c>
      <c r="N24">
        <v>0</v>
      </c>
    </row>
    <row r="25" spans="1:14" x14ac:dyDescent="0.2">
      <c r="A25" t="s">
        <v>52</v>
      </c>
      <c r="B25" t="s">
        <v>57</v>
      </c>
      <c r="C25">
        <v>0.08</v>
      </c>
      <c r="D25">
        <v>0</v>
      </c>
      <c r="E25">
        <v>1</v>
      </c>
      <c r="F25">
        <v>8</v>
      </c>
      <c r="H25">
        <v>0</v>
      </c>
      <c r="I25">
        <v>0</v>
      </c>
      <c r="J25">
        <v>0</v>
      </c>
      <c r="K25">
        <v>0</v>
      </c>
      <c r="L25">
        <v>0</v>
      </c>
      <c r="M25">
        <v>0</v>
      </c>
      <c r="N25">
        <v>0</v>
      </c>
    </row>
    <row r="26" spans="1:14" x14ac:dyDescent="0.2">
      <c r="A26" t="s">
        <v>52</v>
      </c>
      <c r="B26" t="s">
        <v>58</v>
      </c>
      <c r="C26">
        <v>0.08</v>
      </c>
      <c r="D26">
        <v>0</v>
      </c>
      <c r="E26">
        <v>1</v>
      </c>
      <c r="F26">
        <v>8</v>
      </c>
      <c r="H26">
        <v>0</v>
      </c>
      <c r="I26">
        <v>0</v>
      </c>
      <c r="J26">
        <v>0</v>
      </c>
      <c r="K26">
        <v>0</v>
      </c>
      <c r="L26">
        <v>0</v>
      </c>
      <c r="M26">
        <v>0</v>
      </c>
      <c r="N26">
        <v>0</v>
      </c>
    </row>
    <row r="27" spans="1:14" x14ac:dyDescent="0.2">
      <c r="A27" t="s">
        <v>52</v>
      </c>
      <c r="B27" t="s">
        <v>59</v>
      </c>
      <c r="C27">
        <v>0.05</v>
      </c>
      <c r="D27">
        <v>0</v>
      </c>
      <c r="E27">
        <v>1</v>
      </c>
      <c r="F27">
        <v>0</v>
      </c>
      <c r="H27">
        <v>0</v>
      </c>
      <c r="I27">
        <v>0</v>
      </c>
      <c r="J27">
        <v>0</v>
      </c>
      <c r="K27">
        <v>0</v>
      </c>
      <c r="L27">
        <v>0</v>
      </c>
      <c r="M27">
        <v>0</v>
      </c>
      <c r="N27">
        <v>0</v>
      </c>
    </row>
    <row r="28" spans="1:14" x14ac:dyDescent="0.2">
      <c r="A28" t="s">
        <v>52</v>
      </c>
      <c r="B28" t="s">
        <v>60</v>
      </c>
      <c r="C28">
        <v>0.05</v>
      </c>
      <c r="D28">
        <v>0</v>
      </c>
      <c r="E28">
        <v>1</v>
      </c>
      <c r="F28">
        <v>0</v>
      </c>
      <c r="H28">
        <v>0</v>
      </c>
      <c r="I28">
        <v>0</v>
      </c>
      <c r="J28">
        <v>0</v>
      </c>
      <c r="K28">
        <v>0</v>
      </c>
      <c r="L28">
        <v>0</v>
      </c>
      <c r="M28">
        <v>0</v>
      </c>
      <c r="N28">
        <v>0</v>
      </c>
    </row>
    <row r="29" spans="1:14" x14ac:dyDescent="0.2">
      <c r="A29" t="s">
        <v>52</v>
      </c>
      <c r="B29" t="s">
        <v>61</v>
      </c>
      <c r="C29">
        <v>0.05</v>
      </c>
      <c r="D29">
        <v>0</v>
      </c>
      <c r="E29">
        <v>1</v>
      </c>
      <c r="F29">
        <v>0</v>
      </c>
      <c r="H29">
        <v>0</v>
      </c>
      <c r="I29">
        <v>0</v>
      </c>
      <c r="J29">
        <v>0</v>
      </c>
      <c r="K29">
        <v>0</v>
      </c>
      <c r="L29">
        <v>0</v>
      </c>
      <c r="M29">
        <v>0</v>
      </c>
      <c r="N29">
        <v>0</v>
      </c>
    </row>
    <row r="30" spans="1:14" x14ac:dyDescent="0.2">
      <c r="A30" t="s">
        <v>52</v>
      </c>
      <c r="B30" t="s">
        <v>62</v>
      </c>
      <c r="C30">
        <v>0.1</v>
      </c>
      <c r="D30">
        <v>0</v>
      </c>
      <c r="E30">
        <v>2</v>
      </c>
      <c r="F30">
        <v>0</v>
      </c>
      <c r="H30">
        <v>0</v>
      </c>
      <c r="I30">
        <v>0</v>
      </c>
      <c r="J30">
        <v>0</v>
      </c>
      <c r="K30">
        <v>0</v>
      </c>
      <c r="L30">
        <v>0</v>
      </c>
      <c r="M30">
        <v>0</v>
      </c>
      <c r="N30">
        <v>0</v>
      </c>
    </row>
    <row r="31" spans="1:14" x14ac:dyDescent="0.2">
      <c r="A31" t="s">
        <v>52</v>
      </c>
      <c r="B31" t="s">
        <v>63</v>
      </c>
      <c r="C31">
        <v>0.08</v>
      </c>
      <c r="D31">
        <v>0</v>
      </c>
      <c r="E31">
        <v>1</v>
      </c>
      <c r="F31">
        <v>8</v>
      </c>
      <c r="H31">
        <v>0</v>
      </c>
      <c r="I31">
        <v>0</v>
      </c>
      <c r="J31">
        <v>0</v>
      </c>
      <c r="K31">
        <v>0</v>
      </c>
      <c r="L31">
        <v>0</v>
      </c>
      <c r="M31">
        <v>0</v>
      </c>
      <c r="N31">
        <v>0</v>
      </c>
    </row>
    <row r="32" spans="1:14" x14ac:dyDescent="0.2">
      <c r="A32" t="s">
        <v>52</v>
      </c>
      <c r="B32" t="s">
        <v>64</v>
      </c>
      <c r="C32">
        <v>0.08</v>
      </c>
      <c r="D32">
        <v>0</v>
      </c>
      <c r="E32">
        <v>1</v>
      </c>
      <c r="F32">
        <v>8</v>
      </c>
      <c r="H32">
        <v>0</v>
      </c>
      <c r="I32">
        <v>0</v>
      </c>
      <c r="J32">
        <v>0</v>
      </c>
      <c r="K32">
        <v>0</v>
      </c>
      <c r="L32">
        <v>0</v>
      </c>
      <c r="M32">
        <v>0</v>
      </c>
      <c r="N32">
        <v>0</v>
      </c>
    </row>
    <row r="33" spans="1:14" x14ac:dyDescent="0.2">
      <c r="A33" t="s">
        <v>52</v>
      </c>
      <c r="B33" t="s">
        <v>65</v>
      </c>
      <c r="C33">
        <v>0.1</v>
      </c>
      <c r="D33">
        <v>0</v>
      </c>
      <c r="E33">
        <v>2</v>
      </c>
      <c r="F33">
        <v>0</v>
      </c>
      <c r="H33">
        <v>0</v>
      </c>
      <c r="I33">
        <v>0</v>
      </c>
      <c r="J33">
        <v>0</v>
      </c>
      <c r="K33">
        <v>0</v>
      </c>
      <c r="L33">
        <v>0</v>
      </c>
      <c r="M33">
        <v>0</v>
      </c>
      <c r="N33">
        <v>0</v>
      </c>
    </row>
    <row r="34" spans="1:14" x14ac:dyDescent="0.2">
      <c r="A34" t="s">
        <v>52</v>
      </c>
      <c r="B34" t="s">
        <v>66</v>
      </c>
      <c r="C34">
        <v>0.05</v>
      </c>
      <c r="D34">
        <v>0</v>
      </c>
      <c r="E34">
        <v>1</v>
      </c>
      <c r="F34">
        <v>0</v>
      </c>
      <c r="H34">
        <v>0</v>
      </c>
      <c r="I34">
        <v>0</v>
      </c>
      <c r="J34">
        <v>0</v>
      </c>
      <c r="K34">
        <v>0</v>
      </c>
      <c r="L34">
        <v>0</v>
      </c>
      <c r="M34">
        <v>0</v>
      </c>
      <c r="N34">
        <v>0</v>
      </c>
    </row>
    <row r="35" spans="1:14" x14ac:dyDescent="0.2">
      <c r="A35" t="s">
        <v>52</v>
      </c>
      <c r="B35" t="s">
        <v>67</v>
      </c>
      <c r="C35">
        <v>0.08</v>
      </c>
      <c r="D35">
        <v>0</v>
      </c>
      <c r="E35">
        <v>1</v>
      </c>
      <c r="F35">
        <v>8</v>
      </c>
      <c r="H35">
        <v>0</v>
      </c>
      <c r="I35">
        <v>0</v>
      </c>
      <c r="J35">
        <v>0</v>
      </c>
      <c r="K35">
        <v>0</v>
      </c>
      <c r="L35">
        <v>0</v>
      </c>
      <c r="M35">
        <v>0</v>
      </c>
      <c r="N35">
        <v>0</v>
      </c>
    </row>
    <row r="36" spans="1:14" x14ac:dyDescent="0.2">
      <c r="A36" t="s">
        <v>52</v>
      </c>
      <c r="B36" t="s">
        <v>68</v>
      </c>
      <c r="C36">
        <v>0.08</v>
      </c>
      <c r="D36">
        <v>0</v>
      </c>
      <c r="E36">
        <v>1</v>
      </c>
      <c r="F36">
        <v>8</v>
      </c>
      <c r="H36">
        <v>0</v>
      </c>
      <c r="I36">
        <v>0</v>
      </c>
      <c r="J36">
        <v>0</v>
      </c>
      <c r="K36">
        <v>0</v>
      </c>
      <c r="L36">
        <v>0</v>
      </c>
      <c r="M36">
        <v>0</v>
      </c>
      <c r="N36">
        <v>0</v>
      </c>
    </row>
    <row r="37" spans="1:14" x14ac:dyDescent="0.2">
      <c r="A37" t="s">
        <v>52</v>
      </c>
      <c r="B37" t="s">
        <v>69</v>
      </c>
      <c r="C37">
        <v>0.05</v>
      </c>
      <c r="D37">
        <v>0</v>
      </c>
      <c r="E37">
        <v>1</v>
      </c>
      <c r="F37">
        <v>0</v>
      </c>
      <c r="H37">
        <v>0</v>
      </c>
      <c r="I37">
        <v>0</v>
      </c>
      <c r="J37">
        <v>0</v>
      </c>
      <c r="K37">
        <v>0</v>
      </c>
      <c r="L37">
        <v>0</v>
      </c>
      <c r="M37">
        <v>0</v>
      </c>
      <c r="N37">
        <v>0</v>
      </c>
    </row>
    <row r="38" spans="1:14" x14ac:dyDescent="0.2">
      <c r="A38" t="s">
        <v>52</v>
      </c>
      <c r="B38" t="s">
        <v>70</v>
      </c>
      <c r="C38">
        <v>0.1</v>
      </c>
      <c r="D38">
        <v>0</v>
      </c>
      <c r="E38">
        <v>2</v>
      </c>
      <c r="F38">
        <v>0</v>
      </c>
      <c r="H38">
        <v>0</v>
      </c>
      <c r="I38">
        <v>0</v>
      </c>
      <c r="J38">
        <v>0</v>
      </c>
      <c r="K38">
        <v>0</v>
      </c>
      <c r="L38">
        <v>0</v>
      </c>
      <c r="M38">
        <v>0</v>
      </c>
      <c r="N38">
        <v>0</v>
      </c>
    </row>
    <row r="39" spans="1:14" x14ac:dyDescent="0.2">
      <c r="A39" t="s">
        <v>52</v>
      </c>
      <c r="B39" t="s">
        <v>71</v>
      </c>
      <c r="C39">
        <v>1.38</v>
      </c>
      <c r="D39">
        <v>1</v>
      </c>
      <c r="E39">
        <v>7</v>
      </c>
      <c r="F39">
        <v>8</v>
      </c>
      <c r="H39">
        <v>0</v>
      </c>
      <c r="I39">
        <v>0</v>
      </c>
      <c r="J39">
        <v>0</v>
      </c>
      <c r="K39">
        <v>0</v>
      </c>
      <c r="L39">
        <v>0</v>
      </c>
      <c r="M39">
        <v>0</v>
      </c>
      <c r="N39">
        <v>0</v>
      </c>
    </row>
    <row r="40" spans="1:14" x14ac:dyDescent="0.2">
      <c r="A40" t="s">
        <v>72</v>
      </c>
      <c r="B40" t="s">
        <v>73</v>
      </c>
      <c r="C40">
        <v>0.17</v>
      </c>
      <c r="D40">
        <v>0</v>
      </c>
      <c r="E40">
        <v>3</v>
      </c>
      <c r="F40">
        <v>4</v>
      </c>
      <c r="H40">
        <v>0</v>
      </c>
      <c r="I40">
        <v>0</v>
      </c>
      <c r="J40">
        <v>0</v>
      </c>
      <c r="K40">
        <v>0</v>
      </c>
      <c r="L40">
        <v>0</v>
      </c>
      <c r="M40">
        <v>0</v>
      </c>
      <c r="N40">
        <v>0</v>
      </c>
    </row>
    <row r="41" spans="1:14" x14ac:dyDescent="0.2">
      <c r="A41" t="s">
        <v>72</v>
      </c>
      <c r="B41" t="s">
        <v>74</v>
      </c>
      <c r="C41">
        <v>0.17</v>
      </c>
      <c r="D41">
        <v>0</v>
      </c>
      <c r="E41">
        <v>3</v>
      </c>
      <c r="F41">
        <v>4</v>
      </c>
      <c r="H41">
        <v>0</v>
      </c>
      <c r="I41">
        <v>0</v>
      </c>
      <c r="J41">
        <v>0</v>
      </c>
      <c r="K41">
        <v>0</v>
      </c>
      <c r="L41">
        <v>0</v>
      </c>
      <c r="M41">
        <v>0</v>
      </c>
      <c r="N41">
        <v>0</v>
      </c>
    </row>
    <row r="42" spans="1:14" x14ac:dyDescent="0.2">
      <c r="A42" t="s">
        <v>72</v>
      </c>
      <c r="B42" t="s">
        <v>75</v>
      </c>
      <c r="C42">
        <v>0.08</v>
      </c>
      <c r="D42">
        <v>0</v>
      </c>
      <c r="E42">
        <v>1</v>
      </c>
      <c r="F42">
        <v>8</v>
      </c>
      <c r="H42">
        <v>0</v>
      </c>
      <c r="I42">
        <v>0</v>
      </c>
      <c r="J42">
        <v>0</v>
      </c>
      <c r="K42">
        <v>0</v>
      </c>
      <c r="L42">
        <v>0</v>
      </c>
      <c r="M42">
        <v>0</v>
      </c>
      <c r="N42">
        <v>0</v>
      </c>
    </row>
    <row r="43" spans="1:14" x14ac:dyDescent="0.2">
      <c r="A43" t="s">
        <v>72</v>
      </c>
      <c r="B43" t="s">
        <v>76</v>
      </c>
      <c r="C43">
        <v>0.17</v>
      </c>
      <c r="D43">
        <v>0</v>
      </c>
      <c r="E43">
        <v>3</v>
      </c>
      <c r="F43">
        <v>4</v>
      </c>
      <c r="H43">
        <v>0</v>
      </c>
      <c r="I43">
        <v>0</v>
      </c>
      <c r="J43">
        <v>0</v>
      </c>
      <c r="K43">
        <v>0</v>
      </c>
      <c r="L43">
        <v>0</v>
      </c>
      <c r="M43">
        <v>0</v>
      </c>
      <c r="N43">
        <v>0</v>
      </c>
    </row>
    <row r="44" spans="1:14" x14ac:dyDescent="0.2">
      <c r="A44" t="s">
        <v>72</v>
      </c>
      <c r="B44" t="s">
        <v>77</v>
      </c>
      <c r="C44">
        <v>0.17</v>
      </c>
      <c r="D44">
        <v>0</v>
      </c>
      <c r="E44">
        <v>3</v>
      </c>
      <c r="F44">
        <v>4</v>
      </c>
      <c r="H44">
        <v>0</v>
      </c>
      <c r="I44">
        <v>0</v>
      </c>
      <c r="J44">
        <v>0</v>
      </c>
      <c r="K44">
        <v>0</v>
      </c>
      <c r="L44">
        <v>0</v>
      </c>
      <c r="M44">
        <v>0</v>
      </c>
      <c r="N44">
        <v>0</v>
      </c>
    </row>
    <row r="45" spans="1:14" x14ac:dyDescent="0.2">
      <c r="A45" t="s">
        <v>72</v>
      </c>
      <c r="B45" t="s">
        <v>78</v>
      </c>
      <c r="C45">
        <v>0.08</v>
      </c>
      <c r="D45">
        <v>0</v>
      </c>
      <c r="E45">
        <v>1</v>
      </c>
      <c r="F45">
        <v>8</v>
      </c>
      <c r="H45">
        <v>0</v>
      </c>
      <c r="I45">
        <v>0</v>
      </c>
      <c r="J45">
        <v>0</v>
      </c>
      <c r="K45">
        <v>0</v>
      </c>
      <c r="L45">
        <v>0</v>
      </c>
      <c r="M45">
        <v>0</v>
      </c>
      <c r="N45">
        <v>0</v>
      </c>
    </row>
    <row r="46" spans="1:14" x14ac:dyDescent="0.2">
      <c r="A46" t="s">
        <v>72</v>
      </c>
      <c r="B46" t="s">
        <v>79</v>
      </c>
      <c r="C46">
        <v>0.08</v>
      </c>
      <c r="D46">
        <v>0</v>
      </c>
      <c r="E46">
        <v>1</v>
      </c>
      <c r="F46">
        <v>8</v>
      </c>
      <c r="H46">
        <v>0</v>
      </c>
      <c r="I46">
        <v>0</v>
      </c>
      <c r="J46">
        <v>0</v>
      </c>
      <c r="K46">
        <v>0</v>
      </c>
      <c r="L46">
        <v>0</v>
      </c>
      <c r="M46">
        <v>0</v>
      </c>
      <c r="N46">
        <v>0</v>
      </c>
    </row>
    <row r="47" spans="1:14" x14ac:dyDescent="0.2">
      <c r="A47" t="s">
        <v>72</v>
      </c>
      <c r="B47" t="s">
        <v>80</v>
      </c>
      <c r="C47">
        <v>0.08</v>
      </c>
      <c r="D47">
        <v>0</v>
      </c>
      <c r="E47">
        <v>1</v>
      </c>
      <c r="F47">
        <v>8</v>
      </c>
      <c r="H47">
        <v>0</v>
      </c>
      <c r="I47">
        <v>0</v>
      </c>
      <c r="J47">
        <v>0</v>
      </c>
      <c r="K47">
        <v>0</v>
      </c>
      <c r="L47">
        <v>0</v>
      </c>
      <c r="M47">
        <v>0</v>
      </c>
      <c r="N47">
        <v>0</v>
      </c>
    </row>
    <row r="48" spans="1:14" x14ac:dyDescent="0.2">
      <c r="A48" t="s">
        <v>72</v>
      </c>
      <c r="B48" t="s">
        <v>81</v>
      </c>
      <c r="C48">
        <v>0.17</v>
      </c>
      <c r="D48">
        <v>0</v>
      </c>
      <c r="E48">
        <v>3</v>
      </c>
      <c r="F48">
        <v>4</v>
      </c>
      <c r="H48">
        <v>0</v>
      </c>
      <c r="I48">
        <v>0</v>
      </c>
      <c r="J48">
        <v>0</v>
      </c>
      <c r="K48">
        <v>0</v>
      </c>
      <c r="L48">
        <v>0</v>
      </c>
      <c r="M48">
        <v>0</v>
      </c>
      <c r="N48">
        <v>0</v>
      </c>
    </row>
    <row r="49" spans="1:14" x14ac:dyDescent="0.2">
      <c r="A49" t="s">
        <v>72</v>
      </c>
      <c r="B49" t="s">
        <v>82</v>
      </c>
      <c r="C49">
        <v>0.08</v>
      </c>
      <c r="D49">
        <v>0</v>
      </c>
      <c r="E49">
        <v>1</v>
      </c>
      <c r="F49">
        <v>8</v>
      </c>
      <c r="H49">
        <v>0</v>
      </c>
      <c r="I49">
        <v>0</v>
      </c>
      <c r="J49">
        <v>0</v>
      </c>
      <c r="K49">
        <v>0</v>
      </c>
      <c r="L49">
        <v>0</v>
      </c>
      <c r="M49">
        <v>0</v>
      </c>
      <c r="N49">
        <v>0</v>
      </c>
    </row>
    <row r="50" spans="1:14" x14ac:dyDescent="0.2">
      <c r="A50" t="s">
        <v>72</v>
      </c>
      <c r="B50" t="s">
        <v>83</v>
      </c>
      <c r="C50">
        <v>1.25</v>
      </c>
      <c r="D50">
        <v>1</v>
      </c>
      <c r="E50">
        <v>5</v>
      </c>
      <c r="F50">
        <v>0</v>
      </c>
      <c r="H50">
        <v>0</v>
      </c>
      <c r="I50">
        <v>0</v>
      </c>
      <c r="J50">
        <v>0</v>
      </c>
      <c r="K50">
        <v>0</v>
      </c>
      <c r="L50">
        <v>0</v>
      </c>
      <c r="M50">
        <v>0</v>
      </c>
      <c r="N50">
        <v>0</v>
      </c>
    </row>
    <row r="51" spans="1:14" x14ac:dyDescent="0.2">
      <c r="A51" t="s">
        <v>84</v>
      </c>
      <c r="B51" t="s">
        <v>85</v>
      </c>
      <c r="C51">
        <v>0.33</v>
      </c>
      <c r="D51">
        <v>0</v>
      </c>
      <c r="E51">
        <v>6</v>
      </c>
      <c r="F51">
        <v>8</v>
      </c>
      <c r="H51">
        <v>0</v>
      </c>
      <c r="I51">
        <v>0</v>
      </c>
      <c r="J51">
        <v>0</v>
      </c>
      <c r="K51">
        <v>0</v>
      </c>
      <c r="L51">
        <v>0</v>
      </c>
      <c r="M51">
        <v>0</v>
      </c>
      <c r="N51">
        <v>0</v>
      </c>
    </row>
    <row r="52" spans="1:14" x14ac:dyDescent="0.2">
      <c r="A52" t="s">
        <v>84</v>
      </c>
      <c r="B52" t="s">
        <v>86</v>
      </c>
      <c r="C52">
        <v>0.33</v>
      </c>
      <c r="D52">
        <v>0</v>
      </c>
      <c r="E52">
        <v>6</v>
      </c>
      <c r="F52">
        <v>8</v>
      </c>
      <c r="H52">
        <v>0</v>
      </c>
      <c r="I52">
        <v>0</v>
      </c>
      <c r="J52">
        <v>0</v>
      </c>
      <c r="K52">
        <v>0</v>
      </c>
      <c r="L52">
        <v>0</v>
      </c>
      <c r="M52">
        <v>0</v>
      </c>
      <c r="N52">
        <v>0</v>
      </c>
    </row>
    <row r="53" spans="1:14" x14ac:dyDescent="0.2">
      <c r="A53" t="s">
        <v>84</v>
      </c>
      <c r="B53" t="s">
        <v>87</v>
      </c>
      <c r="C53">
        <v>0.33</v>
      </c>
      <c r="D53">
        <v>0</v>
      </c>
      <c r="E53">
        <v>6</v>
      </c>
      <c r="F53">
        <v>8</v>
      </c>
      <c r="H53">
        <v>0</v>
      </c>
      <c r="I53">
        <v>0</v>
      </c>
      <c r="J53">
        <v>0</v>
      </c>
      <c r="K53">
        <v>0</v>
      </c>
      <c r="L53">
        <v>0</v>
      </c>
      <c r="M53">
        <v>0</v>
      </c>
      <c r="N53">
        <v>0</v>
      </c>
    </row>
    <row r="54" spans="1:14" x14ac:dyDescent="0.2">
      <c r="A54" t="s">
        <v>84</v>
      </c>
      <c r="B54" t="s">
        <v>88</v>
      </c>
      <c r="C54">
        <v>0.17</v>
      </c>
      <c r="D54">
        <v>0</v>
      </c>
      <c r="E54">
        <v>3</v>
      </c>
      <c r="F54">
        <v>4</v>
      </c>
      <c r="H54">
        <v>0</v>
      </c>
      <c r="I54">
        <v>0</v>
      </c>
      <c r="J54">
        <v>0</v>
      </c>
      <c r="K54">
        <v>0</v>
      </c>
      <c r="L54">
        <v>0</v>
      </c>
      <c r="M54">
        <v>0</v>
      </c>
      <c r="N54">
        <v>0</v>
      </c>
    </row>
    <row r="55" spans="1:14" x14ac:dyDescent="0.2">
      <c r="A55" t="s">
        <v>84</v>
      </c>
      <c r="B55" t="s">
        <v>89</v>
      </c>
      <c r="C55">
        <v>0.17</v>
      </c>
      <c r="D55">
        <v>0</v>
      </c>
      <c r="E55">
        <v>3</v>
      </c>
      <c r="F55">
        <v>4</v>
      </c>
      <c r="H55">
        <v>0</v>
      </c>
      <c r="I55">
        <v>0</v>
      </c>
      <c r="J55">
        <v>0</v>
      </c>
      <c r="K55">
        <v>0</v>
      </c>
      <c r="L55">
        <v>0</v>
      </c>
      <c r="M55">
        <v>0</v>
      </c>
      <c r="N55">
        <v>0</v>
      </c>
    </row>
    <row r="56" spans="1:14" x14ac:dyDescent="0.2">
      <c r="A56" t="s">
        <v>84</v>
      </c>
      <c r="B56" t="s">
        <v>90</v>
      </c>
      <c r="C56">
        <v>0.08</v>
      </c>
      <c r="D56">
        <v>0</v>
      </c>
      <c r="E56">
        <v>1</v>
      </c>
      <c r="F56">
        <v>8</v>
      </c>
      <c r="H56">
        <v>0</v>
      </c>
      <c r="I56">
        <v>0</v>
      </c>
      <c r="J56">
        <v>0</v>
      </c>
      <c r="K56">
        <v>0</v>
      </c>
      <c r="L56">
        <v>0</v>
      </c>
      <c r="M56">
        <v>0</v>
      </c>
      <c r="N56">
        <v>0</v>
      </c>
    </row>
    <row r="57" spans="1:14" x14ac:dyDescent="0.2">
      <c r="A57" t="s">
        <v>84</v>
      </c>
      <c r="B57" t="s">
        <v>91</v>
      </c>
      <c r="C57">
        <v>0.33</v>
      </c>
      <c r="D57">
        <v>0</v>
      </c>
      <c r="E57">
        <v>6</v>
      </c>
      <c r="F57">
        <v>8</v>
      </c>
      <c r="H57">
        <v>0</v>
      </c>
      <c r="I57">
        <v>0</v>
      </c>
      <c r="J57">
        <v>0</v>
      </c>
      <c r="K57">
        <v>0</v>
      </c>
      <c r="L57">
        <v>0</v>
      </c>
      <c r="M57">
        <v>0</v>
      </c>
      <c r="N57">
        <v>0</v>
      </c>
    </row>
    <row r="58" spans="1:14" x14ac:dyDescent="0.2">
      <c r="A58" t="s">
        <v>84</v>
      </c>
      <c r="B58" t="s">
        <v>92</v>
      </c>
      <c r="C58">
        <v>5</v>
      </c>
      <c r="D58">
        <v>5</v>
      </c>
      <c r="E58">
        <v>0</v>
      </c>
      <c r="F58">
        <v>0</v>
      </c>
      <c r="H58">
        <v>0</v>
      </c>
      <c r="I58">
        <v>0</v>
      </c>
      <c r="J58">
        <v>0</v>
      </c>
      <c r="K58">
        <v>0</v>
      </c>
      <c r="L58">
        <v>0</v>
      </c>
      <c r="M58">
        <v>0</v>
      </c>
      <c r="N58">
        <v>0</v>
      </c>
    </row>
    <row r="59" spans="1:14" x14ac:dyDescent="0.2">
      <c r="A59" t="s">
        <v>84</v>
      </c>
      <c r="B59" t="s">
        <v>93</v>
      </c>
      <c r="C59">
        <v>0.08</v>
      </c>
      <c r="D59">
        <v>0</v>
      </c>
      <c r="E59">
        <v>1</v>
      </c>
      <c r="F59">
        <v>8</v>
      </c>
      <c r="H59">
        <v>0</v>
      </c>
      <c r="I59">
        <v>0</v>
      </c>
      <c r="J59">
        <v>0</v>
      </c>
      <c r="K59">
        <v>0</v>
      </c>
      <c r="L59">
        <v>0</v>
      </c>
      <c r="M59">
        <v>0</v>
      </c>
      <c r="N59">
        <v>0</v>
      </c>
    </row>
    <row r="60" spans="1:14" x14ac:dyDescent="0.2">
      <c r="A60" t="s">
        <v>94</v>
      </c>
      <c r="B60" t="s">
        <v>95</v>
      </c>
      <c r="C60">
        <v>0.08</v>
      </c>
      <c r="D60">
        <v>0</v>
      </c>
      <c r="E60">
        <v>1</v>
      </c>
      <c r="F60">
        <v>8</v>
      </c>
      <c r="H60">
        <v>0</v>
      </c>
      <c r="I60">
        <v>0</v>
      </c>
      <c r="J60">
        <v>0</v>
      </c>
      <c r="K60">
        <v>0</v>
      </c>
      <c r="L60">
        <v>0</v>
      </c>
      <c r="M60">
        <v>0</v>
      </c>
      <c r="N60">
        <v>0</v>
      </c>
    </row>
    <row r="61" spans="1:14" x14ac:dyDescent="0.2">
      <c r="A61" t="s">
        <v>96</v>
      </c>
      <c r="B61" t="s">
        <v>97</v>
      </c>
      <c r="C61">
        <v>0.08</v>
      </c>
      <c r="D61">
        <v>0</v>
      </c>
      <c r="E61">
        <v>1</v>
      </c>
      <c r="F61">
        <v>8</v>
      </c>
      <c r="H61">
        <v>0</v>
      </c>
      <c r="I61">
        <v>0</v>
      </c>
      <c r="J61">
        <v>0</v>
      </c>
      <c r="K61">
        <v>0</v>
      </c>
      <c r="L61">
        <v>0</v>
      </c>
      <c r="M61">
        <v>0</v>
      </c>
      <c r="N61">
        <v>0</v>
      </c>
    </row>
    <row r="62" spans="1:14" x14ac:dyDescent="0.2">
      <c r="A62" t="s">
        <v>98</v>
      </c>
      <c r="B62" t="s">
        <v>99</v>
      </c>
      <c r="C62">
        <v>0.08</v>
      </c>
      <c r="D62">
        <v>0</v>
      </c>
      <c r="E62">
        <v>1</v>
      </c>
      <c r="F62">
        <v>8</v>
      </c>
      <c r="H62">
        <v>0</v>
      </c>
      <c r="I62">
        <v>0</v>
      </c>
      <c r="J62">
        <v>0</v>
      </c>
      <c r="K62">
        <v>0</v>
      </c>
      <c r="L62">
        <v>0</v>
      </c>
      <c r="M62">
        <v>0</v>
      </c>
      <c r="N62">
        <v>0</v>
      </c>
    </row>
    <row r="63" spans="1:14" x14ac:dyDescent="0.2">
      <c r="A63" t="s">
        <v>98</v>
      </c>
      <c r="B63" t="s">
        <v>100</v>
      </c>
      <c r="C63">
        <v>0.05</v>
      </c>
      <c r="D63">
        <v>0</v>
      </c>
      <c r="E63">
        <v>1</v>
      </c>
      <c r="F63">
        <v>0</v>
      </c>
      <c r="H63">
        <v>0</v>
      </c>
      <c r="I63">
        <v>0</v>
      </c>
      <c r="J63">
        <v>0</v>
      </c>
      <c r="K63">
        <v>0</v>
      </c>
      <c r="L63">
        <v>0</v>
      </c>
      <c r="M63">
        <v>0</v>
      </c>
      <c r="N63">
        <v>0</v>
      </c>
    </row>
    <row r="64" spans="1:14" x14ac:dyDescent="0.2">
      <c r="A64" t="s">
        <v>98</v>
      </c>
      <c r="B64" t="s">
        <v>101</v>
      </c>
      <c r="C64">
        <v>0.08</v>
      </c>
      <c r="D64">
        <v>0</v>
      </c>
      <c r="E64">
        <v>1</v>
      </c>
      <c r="F64">
        <v>8</v>
      </c>
      <c r="H64">
        <v>0</v>
      </c>
      <c r="I64">
        <v>0</v>
      </c>
      <c r="J64">
        <v>0</v>
      </c>
      <c r="K64">
        <v>0</v>
      </c>
      <c r="L64">
        <v>0</v>
      </c>
      <c r="M64">
        <v>0</v>
      </c>
      <c r="N64">
        <v>0</v>
      </c>
    </row>
    <row r="65" spans="1:14" x14ac:dyDescent="0.2">
      <c r="A65" t="s">
        <v>98</v>
      </c>
      <c r="B65" t="s">
        <v>102</v>
      </c>
      <c r="C65">
        <v>0.08</v>
      </c>
      <c r="D65">
        <v>0</v>
      </c>
      <c r="E65">
        <v>1</v>
      </c>
      <c r="F65">
        <v>8</v>
      </c>
      <c r="H65">
        <v>0</v>
      </c>
      <c r="I65">
        <v>0</v>
      </c>
      <c r="J65">
        <v>0</v>
      </c>
      <c r="K65">
        <v>0</v>
      </c>
      <c r="L65">
        <v>0</v>
      </c>
      <c r="M65">
        <v>0</v>
      </c>
      <c r="N65">
        <v>0</v>
      </c>
    </row>
    <row r="66" spans="1:14" x14ac:dyDescent="0.2">
      <c r="A66" t="s">
        <v>98</v>
      </c>
      <c r="B66" t="s">
        <v>103</v>
      </c>
      <c r="C66">
        <v>0.08</v>
      </c>
      <c r="D66">
        <v>0</v>
      </c>
      <c r="E66">
        <v>1</v>
      </c>
      <c r="F66">
        <v>8</v>
      </c>
      <c r="H66">
        <v>0</v>
      </c>
      <c r="I66">
        <v>0</v>
      </c>
      <c r="J66">
        <v>0</v>
      </c>
      <c r="K66">
        <v>0</v>
      </c>
      <c r="L66">
        <v>0</v>
      </c>
      <c r="M66">
        <v>0</v>
      </c>
      <c r="N66">
        <v>0</v>
      </c>
    </row>
    <row r="67" spans="1:14" x14ac:dyDescent="0.2">
      <c r="A67" t="s">
        <v>98</v>
      </c>
      <c r="B67" t="s">
        <v>104</v>
      </c>
      <c r="C67">
        <v>0.08</v>
      </c>
      <c r="D67">
        <v>0</v>
      </c>
      <c r="E67">
        <v>1</v>
      </c>
      <c r="F67">
        <v>8</v>
      </c>
      <c r="H67">
        <v>0</v>
      </c>
      <c r="I67">
        <v>0</v>
      </c>
      <c r="J67">
        <v>0</v>
      </c>
      <c r="K67">
        <v>0</v>
      </c>
      <c r="L67">
        <v>0</v>
      </c>
      <c r="M67">
        <v>0</v>
      </c>
      <c r="N67">
        <v>0</v>
      </c>
    </row>
    <row r="68" spans="1:14" x14ac:dyDescent="0.2">
      <c r="A68" t="s">
        <v>98</v>
      </c>
      <c r="B68" t="s">
        <v>105</v>
      </c>
      <c r="C68">
        <v>0.08</v>
      </c>
      <c r="D68">
        <v>0</v>
      </c>
      <c r="E68">
        <v>1</v>
      </c>
      <c r="F68">
        <v>8</v>
      </c>
      <c r="H68">
        <v>0</v>
      </c>
      <c r="I68">
        <v>0</v>
      </c>
      <c r="J68">
        <v>0</v>
      </c>
      <c r="K68">
        <v>0</v>
      </c>
      <c r="L68">
        <v>0</v>
      </c>
      <c r="M68">
        <v>0</v>
      </c>
      <c r="N68">
        <v>0</v>
      </c>
    </row>
    <row r="69" spans="1:14" x14ac:dyDescent="0.2">
      <c r="A69" t="s">
        <v>98</v>
      </c>
      <c r="B69" t="s">
        <v>106</v>
      </c>
      <c r="C69">
        <v>0.08</v>
      </c>
      <c r="D69">
        <v>0</v>
      </c>
      <c r="E69">
        <v>1</v>
      </c>
      <c r="F69">
        <v>8</v>
      </c>
      <c r="H69">
        <v>0</v>
      </c>
      <c r="I69">
        <v>0</v>
      </c>
      <c r="J69">
        <v>0</v>
      </c>
      <c r="K69">
        <v>0</v>
      </c>
      <c r="L69">
        <v>0</v>
      </c>
      <c r="M69">
        <v>0</v>
      </c>
      <c r="N69">
        <v>0</v>
      </c>
    </row>
    <row r="70" spans="1:14" x14ac:dyDescent="0.2">
      <c r="A70" t="s">
        <v>107</v>
      </c>
      <c r="B70" t="s">
        <v>108</v>
      </c>
      <c r="C70">
        <v>0.33</v>
      </c>
      <c r="D70">
        <v>0</v>
      </c>
      <c r="E70">
        <v>6</v>
      </c>
      <c r="F70">
        <v>8</v>
      </c>
      <c r="H70">
        <v>0</v>
      </c>
      <c r="I70">
        <v>0</v>
      </c>
      <c r="J70">
        <v>0</v>
      </c>
      <c r="K70">
        <v>0</v>
      </c>
      <c r="L70">
        <v>0</v>
      </c>
      <c r="M70">
        <v>0</v>
      </c>
      <c r="N70">
        <v>0</v>
      </c>
    </row>
    <row r="71" spans="1:14" x14ac:dyDescent="0.2">
      <c r="A71" t="s">
        <v>109</v>
      </c>
      <c r="B71" t="s">
        <v>110</v>
      </c>
      <c r="C71">
        <v>0.33</v>
      </c>
      <c r="D71">
        <v>0</v>
      </c>
      <c r="E71">
        <v>6</v>
      </c>
      <c r="F71">
        <v>8</v>
      </c>
      <c r="H71">
        <v>0</v>
      </c>
      <c r="I71">
        <v>0</v>
      </c>
      <c r="J71">
        <v>0</v>
      </c>
      <c r="K71">
        <v>0</v>
      </c>
      <c r="L71">
        <v>0</v>
      </c>
      <c r="M71">
        <v>0</v>
      </c>
      <c r="N71">
        <v>0</v>
      </c>
    </row>
    <row r="72" spans="1:14" x14ac:dyDescent="0.2">
      <c r="A72" t="s">
        <v>109</v>
      </c>
      <c r="B72" t="s">
        <v>111</v>
      </c>
      <c r="C72">
        <v>0</v>
      </c>
      <c r="D72">
        <v>0</v>
      </c>
      <c r="E72">
        <v>0</v>
      </c>
      <c r="F72">
        <v>0</v>
      </c>
      <c r="H72">
        <v>0</v>
      </c>
      <c r="I72">
        <v>0</v>
      </c>
      <c r="J72">
        <v>0</v>
      </c>
      <c r="K72">
        <v>0</v>
      </c>
      <c r="L72">
        <v>0</v>
      </c>
      <c r="M72">
        <v>0</v>
      </c>
      <c r="N72">
        <v>0</v>
      </c>
    </row>
    <row r="73" spans="1:14" x14ac:dyDescent="0.2">
      <c r="A73" t="s">
        <v>109</v>
      </c>
      <c r="B73" t="s">
        <v>112</v>
      </c>
      <c r="C73">
        <v>1</v>
      </c>
      <c r="D73">
        <v>1</v>
      </c>
      <c r="E73">
        <v>0</v>
      </c>
      <c r="F73">
        <v>0</v>
      </c>
      <c r="H73">
        <v>0</v>
      </c>
      <c r="I73">
        <v>0</v>
      </c>
      <c r="J73">
        <v>0</v>
      </c>
      <c r="K73">
        <v>0</v>
      </c>
      <c r="L73">
        <v>0</v>
      </c>
      <c r="M73">
        <v>0</v>
      </c>
      <c r="N73">
        <v>0</v>
      </c>
    </row>
    <row r="74" spans="1:14" x14ac:dyDescent="0.2">
      <c r="A74" t="s">
        <v>113</v>
      </c>
      <c r="B74" t="s">
        <v>114</v>
      </c>
      <c r="C74">
        <v>0.17</v>
      </c>
      <c r="D74">
        <v>0</v>
      </c>
      <c r="E74">
        <v>3</v>
      </c>
      <c r="F74">
        <v>4</v>
      </c>
      <c r="H74">
        <v>0</v>
      </c>
      <c r="I74">
        <v>0</v>
      </c>
      <c r="J74">
        <v>0</v>
      </c>
      <c r="K74">
        <v>0</v>
      </c>
      <c r="L74">
        <v>0</v>
      </c>
      <c r="M74">
        <v>0</v>
      </c>
      <c r="N74">
        <v>0</v>
      </c>
    </row>
    <row r="75" spans="1:14" x14ac:dyDescent="0.2">
      <c r="A75" t="s">
        <v>113</v>
      </c>
      <c r="B75" t="s">
        <v>115</v>
      </c>
      <c r="C75">
        <v>0.17</v>
      </c>
      <c r="D75">
        <v>0</v>
      </c>
      <c r="E75">
        <v>3</v>
      </c>
      <c r="F75">
        <v>4</v>
      </c>
      <c r="H75">
        <v>0</v>
      </c>
      <c r="I75">
        <v>0</v>
      </c>
      <c r="J75">
        <v>0</v>
      </c>
      <c r="K75">
        <v>0</v>
      </c>
      <c r="L75">
        <v>0</v>
      </c>
      <c r="M75">
        <v>0</v>
      </c>
      <c r="N75">
        <v>0</v>
      </c>
    </row>
    <row r="76" spans="1:14" x14ac:dyDescent="0.2">
      <c r="A76" t="s">
        <v>116</v>
      </c>
      <c r="B76" t="s">
        <v>117</v>
      </c>
      <c r="C76">
        <v>0</v>
      </c>
      <c r="D76">
        <v>0</v>
      </c>
      <c r="E76">
        <v>0</v>
      </c>
      <c r="F76">
        <v>0</v>
      </c>
      <c r="H76">
        <v>0</v>
      </c>
      <c r="I76">
        <v>0</v>
      </c>
      <c r="J76">
        <v>0</v>
      </c>
      <c r="K76">
        <v>0</v>
      </c>
      <c r="L76">
        <v>0</v>
      </c>
      <c r="M76">
        <v>0</v>
      </c>
      <c r="N76">
        <v>0</v>
      </c>
    </row>
    <row r="77" spans="1:14" x14ac:dyDescent="0.2">
      <c r="A77" t="s">
        <v>116</v>
      </c>
      <c r="B77" t="s">
        <v>118</v>
      </c>
      <c r="C77">
        <v>0.17</v>
      </c>
      <c r="D77">
        <v>0</v>
      </c>
      <c r="E77">
        <v>3</v>
      </c>
      <c r="F77">
        <v>4</v>
      </c>
      <c r="H77">
        <v>0</v>
      </c>
      <c r="I77">
        <v>0</v>
      </c>
      <c r="J77">
        <v>0</v>
      </c>
      <c r="K77">
        <v>0</v>
      </c>
      <c r="L77">
        <v>0</v>
      </c>
      <c r="M77">
        <v>0</v>
      </c>
      <c r="N77">
        <v>0</v>
      </c>
    </row>
    <row r="78" spans="1:14" x14ac:dyDescent="0.2">
      <c r="A78" t="s">
        <v>116</v>
      </c>
      <c r="B78" t="s">
        <v>119</v>
      </c>
      <c r="C78">
        <v>0.08</v>
      </c>
      <c r="D78">
        <v>0</v>
      </c>
      <c r="E78">
        <v>1</v>
      </c>
      <c r="F78">
        <v>8</v>
      </c>
      <c r="H78">
        <v>0</v>
      </c>
      <c r="I78">
        <v>0</v>
      </c>
      <c r="J78">
        <v>0</v>
      </c>
      <c r="K78">
        <v>0</v>
      </c>
      <c r="L78">
        <v>0</v>
      </c>
      <c r="M78">
        <v>0</v>
      </c>
      <c r="N78">
        <v>0</v>
      </c>
    </row>
    <row r="79" spans="1:14" x14ac:dyDescent="0.2">
      <c r="A79" t="s">
        <v>116</v>
      </c>
      <c r="B79" t="s">
        <v>120</v>
      </c>
      <c r="C79">
        <v>0.17</v>
      </c>
      <c r="D79">
        <v>0</v>
      </c>
      <c r="E79">
        <v>3</v>
      </c>
      <c r="F79">
        <v>4</v>
      </c>
      <c r="H79">
        <v>0</v>
      </c>
      <c r="I79">
        <v>0</v>
      </c>
      <c r="J79">
        <v>0</v>
      </c>
      <c r="K79">
        <v>0</v>
      </c>
      <c r="L79">
        <v>0</v>
      </c>
      <c r="M79">
        <v>0</v>
      </c>
      <c r="N79">
        <v>0</v>
      </c>
    </row>
    <row r="80" spans="1:14" x14ac:dyDescent="0.2">
      <c r="A80" t="s">
        <v>116</v>
      </c>
      <c r="B80" t="s">
        <v>121</v>
      </c>
      <c r="C80">
        <v>0.08</v>
      </c>
      <c r="D80">
        <v>0</v>
      </c>
      <c r="E80">
        <v>1</v>
      </c>
      <c r="F80">
        <v>8</v>
      </c>
      <c r="H80">
        <v>0</v>
      </c>
      <c r="I80">
        <v>0</v>
      </c>
      <c r="J80">
        <v>0</v>
      </c>
      <c r="K80">
        <v>0</v>
      </c>
      <c r="L80">
        <v>0</v>
      </c>
      <c r="M80">
        <v>0</v>
      </c>
      <c r="N80">
        <v>0</v>
      </c>
    </row>
    <row r="81" spans="1:14" x14ac:dyDescent="0.2">
      <c r="A81" t="s">
        <v>116</v>
      </c>
      <c r="B81" t="s">
        <v>122</v>
      </c>
      <c r="C81">
        <v>0.1</v>
      </c>
      <c r="D81">
        <v>0</v>
      </c>
      <c r="E81">
        <v>2</v>
      </c>
      <c r="F81">
        <v>0</v>
      </c>
      <c r="H81">
        <v>0</v>
      </c>
      <c r="I81">
        <v>0</v>
      </c>
      <c r="J81">
        <v>0</v>
      </c>
      <c r="K81">
        <v>0</v>
      </c>
      <c r="L81">
        <v>0</v>
      </c>
      <c r="M81">
        <v>0</v>
      </c>
      <c r="N81">
        <v>0</v>
      </c>
    </row>
    <row r="82" spans="1:14" x14ac:dyDescent="0.2">
      <c r="A82" t="s">
        <v>116</v>
      </c>
      <c r="B82" t="s">
        <v>123</v>
      </c>
      <c r="C82">
        <v>0.08</v>
      </c>
      <c r="D82">
        <v>0</v>
      </c>
      <c r="E82">
        <v>1</v>
      </c>
      <c r="F82">
        <v>8</v>
      </c>
      <c r="H82">
        <v>0</v>
      </c>
      <c r="I82">
        <v>0</v>
      </c>
      <c r="J82">
        <v>0</v>
      </c>
      <c r="K82">
        <v>0</v>
      </c>
      <c r="L82">
        <v>0</v>
      </c>
      <c r="M82">
        <v>0</v>
      </c>
      <c r="N82">
        <v>0</v>
      </c>
    </row>
    <row r="83" spans="1:14" x14ac:dyDescent="0.2">
      <c r="A83" t="s">
        <v>116</v>
      </c>
      <c r="B83" t="s">
        <v>124</v>
      </c>
      <c r="C83">
        <v>0.1</v>
      </c>
      <c r="D83">
        <v>0</v>
      </c>
      <c r="E83">
        <v>2</v>
      </c>
      <c r="F83">
        <v>0</v>
      </c>
      <c r="H83">
        <v>0</v>
      </c>
      <c r="I83">
        <v>0</v>
      </c>
      <c r="J83">
        <v>0</v>
      </c>
      <c r="K83">
        <v>0</v>
      </c>
      <c r="L83">
        <v>0</v>
      </c>
      <c r="M83">
        <v>0</v>
      </c>
      <c r="N83">
        <v>0</v>
      </c>
    </row>
    <row r="84" spans="1:14" x14ac:dyDescent="0.2">
      <c r="A84" t="s">
        <v>116</v>
      </c>
      <c r="B84" t="s">
        <v>125</v>
      </c>
      <c r="C84">
        <v>0.1</v>
      </c>
      <c r="D84">
        <v>0</v>
      </c>
      <c r="E84">
        <v>2</v>
      </c>
      <c r="F84">
        <v>0</v>
      </c>
      <c r="H84">
        <v>0</v>
      </c>
      <c r="I84">
        <v>0</v>
      </c>
      <c r="J84">
        <v>0</v>
      </c>
      <c r="K84">
        <v>0</v>
      </c>
      <c r="L84">
        <v>0</v>
      </c>
      <c r="M84">
        <v>0</v>
      </c>
      <c r="N84">
        <v>0</v>
      </c>
    </row>
    <row r="85" spans="1:14" x14ac:dyDescent="0.2">
      <c r="A85" t="s">
        <v>116</v>
      </c>
      <c r="B85" t="s">
        <v>126</v>
      </c>
      <c r="C85">
        <v>0.08</v>
      </c>
      <c r="D85">
        <v>0</v>
      </c>
      <c r="E85">
        <v>1</v>
      </c>
      <c r="F85">
        <v>8</v>
      </c>
      <c r="H85">
        <v>0</v>
      </c>
      <c r="I85">
        <v>0</v>
      </c>
      <c r="J85">
        <v>0</v>
      </c>
      <c r="K85">
        <v>0</v>
      </c>
      <c r="L85">
        <v>0</v>
      </c>
      <c r="M85">
        <v>0</v>
      </c>
      <c r="N85">
        <v>0</v>
      </c>
    </row>
    <row r="86" spans="1:14" x14ac:dyDescent="0.2">
      <c r="A86" t="s">
        <v>116</v>
      </c>
      <c r="B86" t="s">
        <v>127</v>
      </c>
      <c r="C86">
        <v>1.05</v>
      </c>
      <c r="D86">
        <v>1</v>
      </c>
      <c r="E86">
        <v>1</v>
      </c>
      <c r="F86">
        <v>0</v>
      </c>
      <c r="H86">
        <v>0</v>
      </c>
      <c r="I86">
        <v>0</v>
      </c>
      <c r="J86">
        <v>0</v>
      </c>
      <c r="K86">
        <v>0</v>
      </c>
      <c r="L86">
        <v>0</v>
      </c>
      <c r="M86">
        <v>0</v>
      </c>
      <c r="N86">
        <v>0</v>
      </c>
    </row>
    <row r="87" spans="1:14" x14ac:dyDescent="0.2">
      <c r="A87" t="s">
        <v>128</v>
      </c>
      <c r="B87" t="s">
        <v>129</v>
      </c>
      <c r="C87">
        <v>0.33</v>
      </c>
      <c r="D87">
        <v>0</v>
      </c>
      <c r="E87">
        <v>6</v>
      </c>
      <c r="F87">
        <v>8</v>
      </c>
      <c r="H87">
        <v>0</v>
      </c>
      <c r="I87">
        <v>0</v>
      </c>
      <c r="J87">
        <v>0</v>
      </c>
      <c r="K87">
        <v>0</v>
      </c>
      <c r="L87">
        <v>0</v>
      </c>
      <c r="M87">
        <v>0</v>
      </c>
      <c r="N87">
        <v>0</v>
      </c>
    </row>
    <row r="88" spans="1:14" x14ac:dyDescent="0.2">
      <c r="A88" t="s">
        <v>130</v>
      </c>
      <c r="B88" t="s">
        <v>131</v>
      </c>
      <c r="C88">
        <v>0.17</v>
      </c>
      <c r="D88">
        <v>0</v>
      </c>
      <c r="E88">
        <v>3</v>
      </c>
      <c r="F88">
        <v>4</v>
      </c>
      <c r="H88">
        <v>0</v>
      </c>
      <c r="I88">
        <v>0</v>
      </c>
      <c r="J88">
        <v>0</v>
      </c>
      <c r="K88">
        <v>0</v>
      </c>
      <c r="L88">
        <v>0</v>
      </c>
      <c r="M88">
        <v>0</v>
      </c>
      <c r="N88">
        <v>0</v>
      </c>
    </row>
    <row r="89" spans="1:14" x14ac:dyDescent="0.2">
      <c r="A89" t="s">
        <v>130</v>
      </c>
      <c r="B89" t="s">
        <v>132</v>
      </c>
      <c r="C89">
        <v>0.08</v>
      </c>
      <c r="D89">
        <v>0</v>
      </c>
      <c r="E89">
        <v>1</v>
      </c>
      <c r="F89">
        <v>8</v>
      </c>
      <c r="H89">
        <v>0</v>
      </c>
      <c r="I89">
        <v>0</v>
      </c>
      <c r="J89">
        <v>0</v>
      </c>
      <c r="K89">
        <v>0</v>
      </c>
      <c r="L89">
        <v>0</v>
      </c>
      <c r="M89">
        <v>0</v>
      </c>
      <c r="N89">
        <v>0</v>
      </c>
    </row>
    <row r="90" spans="1:14" x14ac:dyDescent="0.2">
      <c r="A90" t="s">
        <v>130</v>
      </c>
      <c r="B90" t="s">
        <v>133</v>
      </c>
      <c r="C90">
        <v>0.08</v>
      </c>
      <c r="D90">
        <v>0</v>
      </c>
      <c r="E90">
        <v>1</v>
      </c>
      <c r="F90">
        <v>8</v>
      </c>
      <c r="H90">
        <v>0</v>
      </c>
      <c r="I90">
        <v>0</v>
      </c>
      <c r="J90">
        <v>0</v>
      </c>
      <c r="K90">
        <v>0</v>
      </c>
      <c r="L90">
        <v>0</v>
      </c>
      <c r="M90">
        <v>0</v>
      </c>
      <c r="N90">
        <v>0</v>
      </c>
    </row>
    <row r="91" spans="1:14" x14ac:dyDescent="0.2">
      <c r="A91" t="s">
        <v>130</v>
      </c>
      <c r="B91" t="s">
        <v>134</v>
      </c>
      <c r="C91">
        <v>0.17</v>
      </c>
      <c r="D91">
        <v>0</v>
      </c>
      <c r="E91">
        <v>3</v>
      </c>
      <c r="F91">
        <v>4</v>
      </c>
      <c r="H91">
        <v>0</v>
      </c>
      <c r="I91">
        <v>0</v>
      </c>
      <c r="J91">
        <v>0</v>
      </c>
      <c r="K91">
        <v>0</v>
      </c>
      <c r="L91">
        <v>0</v>
      </c>
      <c r="M91">
        <v>0</v>
      </c>
      <c r="N91">
        <v>0</v>
      </c>
    </row>
    <row r="92" spans="1:14" x14ac:dyDescent="0.2">
      <c r="A92" t="s">
        <v>130</v>
      </c>
      <c r="B92" t="s">
        <v>135</v>
      </c>
      <c r="C92">
        <v>0.33</v>
      </c>
      <c r="D92">
        <v>0</v>
      </c>
      <c r="E92">
        <v>6</v>
      </c>
      <c r="F92">
        <v>8</v>
      </c>
      <c r="H92">
        <v>0</v>
      </c>
      <c r="I92">
        <v>0</v>
      </c>
      <c r="J92">
        <v>0</v>
      </c>
      <c r="K92">
        <v>0</v>
      </c>
      <c r="L92">
        <v>0</v>
      </c>
      <c r="M92">
        <v>0</v>
      </c>
      <c r="N92">
        <v>0</v>
      </c>
    </row>
    <row r="93" spans="1:14" x14ac:dyDescent="0.2">
      <c r="A93" t="s">
        <v>130</v>
      </c>
      <c r="B93" t="s">
        <v>136</v>
      </c>
      <c r="C93">
        <v>1.17</v>
      </c>
      <c r="D93">
        <v>1</v>
      </c>
      <c r="E93">
        <v>3</v>
      </c>
      <c r="F93">
        <v>4</v>
      </c>
      <c r="H93">
        <v>0</v>
      </c>
      <c r="I93">
        <v>0</v>
      </c>
      <c r="J93">
        <v>0</v>
      </c>
      <c r="K93">
        <v>0</v>
      </c>
      <c r="L93">
        <v>0</v>
      </c>
      <c r="M93">
        <v>0</v>
      </c>
      <c r="N93">
        <v>0</v>
      </c>
    </row>
    <row r="94" spans="1:14" x14ac:dyDescent="0.2">
      <c r="A94" t="s">
        <v>137</v>
      </c>
      <c r="B94" t="s">
        <v>138</v>
      </c>
      <c r="C94">
        <v>0.05</v>
      </c>
      <c r="D94">
        <v>0</v>
      </c>
      <c r="E94">
        <v>1</v>
      </c>
      <c r="F94">
        <v>0</v>
      </c>
      <c r="H94">
        <v>0</v>
      </c>
      <c r="I94">
        <v>0</v>
      </c>
      <c r="J94">
        <v>0</v>
      </c>
      <c r="K94">
        <v>0</v>
      </c>
      <c r="L94">
        <v>0</v>
      </c>
      <c r="M94">
        <v>0</v>
      </c>
      <c r="N94">
        <v>0</v>
      </c>
    </row>
    <row r="95" spans="1:14" x14ac:dyDescent="0.2">
      <c r="A95" t="s">
        <v>137</v>
      </c>
      <c r="B95" t="s">
        <v>139</v>
      </c>
      <c r="C95">
        <v>0.05</v>
      </c>
      <c r="D95">
        <v>0</v>
      </c>
      <c r="E95">
        <v>1</v>
      </c>
      <c r="F95">
        <v>0</v>
      </c>
      <c r="H95">
        <v>0</v>
      </c>
      <c r="I95">
        <v>0</v>
      </c>
      <c r="J95">
        <v>0</v>
      </c>
      <c r="K95">
        <v>0</v>
      </c>
      <c r="L95">
        <v>0</v>
      </c>
      <c r="M95">
        <v>0</v>
      </c>
      <c r="N95">
        <v>0</v>
      </c>
    </row>
    <row r="96" spans="1:14" x14ac:dyDescent="0.2">
      <c r="A96" t="s">
        <v>137</v>
      </c>
      <c r="B96" t="s">
        <v>140</v>
      </c>
      <c r="C96">
        <v>0.05</v>
      </c>
      <c r="D96">
        <v>0</v>
      </c>
      <c r="E96">
        <v>1</v>
      </c>
      <c r="F96">
        <v>0</v>
      </c>
      <c r="H96">
        <v>0</v>
      </c>
      <c r="I96">
        <v>0</v>
      </c>
      <c r="J96">
        <v>0</v>
      </c>
      <c r="K96">
        <v>0</v>
      </c>
      <c r="L96">
        <v>0</v>
      </c>
      <c r="M96">
        <v>0</v>
      </c>
      <c r="N96">
        <v>0</v>
      </c>
    </row>
    <row r="97" spans="1:14" x14ac:dyDescent="0.2">
      <c r="A97" t="s">
        <v>137</v>
      </c>
      <c r="B97" t="s">
        <v>141</v>
      </c>
      <c r="C97">
        <v>0.08</v>
      </c>
      <c r="D97">
        <v>0</v>
      </c>
      <c r="E97">
        <v>1</v>
      </c>
      <c r="F97">
        <v>8</v>
      </c>
      <c r="H97">
        <v>0</v>
      </c>
      <c r="I97">
        <v>0</v>
      </c>
      <c r="J97">
        <v>0</v>
      </c>
      <c r="K97">
        <v>0</v>
      </c>
      <c r="L97">
        <v>0</v>
      </c>
      <c r="M97">
        <v>0</v>
      </c>
      <c r="N97">
        <v>0</v>
      </c>
    </row>
    <row r="98" spans="1:14" x14ac:dyDescent="0.2">
      <c r="A98" t="s">
        <v>137</v>
      </c>
      <c r="B98" t="s">
        <v>142</v>
      </c>
      <c r="C98">
        <v>0.33</v>
      </c>
      <c r="D98">
        <v>0</v>
      </c>
      <c r="E98">
        <v>6</v>
      </c>
      <c r="F98">
        <v>8</v>
      </c>
      <c r="H98">
        <v>0</v>
      </c>
      <c r="I98">
        <v>0</v>
      </c>
      <c r="J98">
        <v>0</v>
      </c>
      <c r="K98">
        <v>0</v>
      </c>
      <c r="L98">
        <v>0</v>
      </c>
      <c r="M98">
        <v>0</v>
      </c>
      <c r="N98">
        <v>0</v>
      </c>
    </row>
    <row r="99" spans="1:14" x14ac:dyDescent="0.2">
      <c r="A99" t="s">
        <v>143</v>
      </c>
      <c r="B99" t="s">
        <v>144</v>
      </c>
      <c r="C99">
        <v>0.05</v>
      </c>
      <c r="D99">
        <v>0</v>
      </c>
      <c r="E99">
        <v>1</v>
      </c>
      <c r="F99">
        <v>0</v>
      </c>
      <c r="H99">
        <v>0</v>
      </c>
      <c r="I99">
        <v>0</v>
      </c>
      <c r="J99">
        <v>0</v>
      </c>
      <c r="K99">
        <v>0</v>
      </c>
      <c r="L99">
        <v>0</v>
      </c>
      <c r="M99">
        <v>0</v>
      </c>
      <c r="N99">
        <v>0</v>
      </c>
    </row>
    <row r="100" spans="1:14" x14ac:dyDescent="0.2">
      <c r="A100" t="s">
        <v>143</v>
      </c>
      <c r="B100" t="s">
        <v>145</v>
      </c>
      <c r="C100">
        <v>1.88</v>
      </c>
      <c r="D100">
        <v>1</v>
      </c>
      <c r="E100">
        <v>17</v>
      </c>
      <c r="F100">
        <v>8</v>
      </c>
      <c r="H100">
        <v>0</v>
      </c>
      <c r="I100">
        <v>0</v>
      </c>
      <c r="J100">
        <v>0</v>
      </c>
      <c r="K100">
        <v>0</v>
      </c>
      <c r="L100">
        <v>0</v>
      </c>
      <c r="M100">
        <v>0</v>
      </c>
      <c r="N100">
        <v>0</v>
      </c>
    </row>
    <row r="101" spans="1:14" x14ac:dyDescent="0.2">
      <c r="A101" t="s">
        <v>146</v>
      </c>
      <c r="B101" t="s">
        <v>147</v>
      </c>
      <c r="C101">
        <v>0.17</v>
      </c>
      <c r="D101">
        <v>0</v>
      </c>
      <c r="E101">
        <v>3</v>
      </c>
      <c r="F101">
        <v>4</v>
      </c>
      <c r="H101">
        <v>0</v>
      </c>
      <c r="I101">
        <v>0</v>
      </c>
      <c r="J101">
        <v>0</v>
      </c>
      <c r="K101">
        <v>0</v>
      </c>
      <c r="L101">
        <v>0</v>
      </c>
      <c r="M101">
        <v>0</v>
      </c>
      <c r="N101">
        <v>0</v>
      </c>
    </row>
    <row r="102" spans="1:14" x14ac:dyDescent="0.2">
      <c r="A102" t="s">
        <v>146</v>
      </c>
      <c r="B102" t="s">
        <v>148</v>
      </c>
      <c r="C102">
        <v>0.08</v>
      </c>
      <c r="D102">
        <v>0</v>
      </c>
      <c r="E102">
        <v>1</v>
      </c>
      <c r="F102">
        <v>8</v>
      </c>
      <c r="H102">
        <v>0</v>
      </c>
      <c r="I102">
        <v>0</v>
      </c>
      <c r="J102">
        <v>0</v>
      </c>
      <c r="K102">
        <v>0</v>
      </c>
      <c r="L102">
        <v>0</v>
      </c>
      <c r="M102">
        <v>0</v>
      </c>
      <c r="N102">
        <v>0</v>
      </c>
    </row>
    <row r="103" spans="1:14" x14ac:dyDescent="0.2">
      <c r="A103" t="s">
        <v>146</v>
      </c>
      <c r="B103" t="s">
        <v>149</v>
      </c>
      <c r="C103">
        <v>0.08</v>
      </c>
      <c r="D103">
        <v>0</v>
      </c>
      <c r="E103">
        <v>1</v>
      </c>
      <c r="F103">
        <v>8</v>
      </c>
      <c r="H103">
        <v>0</v>
      </c>
      <c r="I103">
        <v>0</v>
      </c>
      <c r="J103">
        <v>0</v>
      </c>
      <c r="K103">
        <v>0</v>
      </c>
      <c r="L103">
        <v>0</v>
      </c>
      <c r="M103">
        <v>0</v>
      </c>
      <c r="N103">
        <v>0</v>
      </c>
    </row>
    <row r="104" spans="1:14" x14ac:dyDescent="0.2">
      <c r="A104" t="s">
        <v>146</v>
      </c>
      <c r="B104" t="s">
        <v>49</v>
      </c>
      <c r="C104">
        <v>0.33</v>
      </c>
      <c r="D104">
        <v>0</v>
      </c>
      <c r="E104">
        <v>6</v>
      </c>
      <c r="F104">
        <v>8</v>
      </c>
      <c r="H104">
        <v>0</v>
      </c>
      <c r="I104">
        <v>0</v>
      </c>
      <c r="J104">
        <v>0</v>
      </c>
      <c r="K104">
        <v>0</v>
      </c>
      <c r="L104">
        <v>0</v>
      </c>
      <c r="M104">
        <v>0</v>
      </c>
      <c r="N104">
        <v>0</v>
      </c>
    </row>
    <row r="105" spans="1:14" x14ac:dyDescent="0.2">
      <c r="A105" t="s">
        <v>150</v>
      </c>
      <c r="B105" t="s">
        <v>151</v>
      </c>
      <c r="C105">
        <v>0.05</v>
      </c>
      <c r="D105">
        <v>0</v>
      </c>
      <c r="E105">
        <v>1</v>
      </c>
      <c r="F105">
        <v>0</v>
      </c>
      <c r="H105">
        <v>0</v>
      </c>
      <c r="I105">
        <v>0</v>
      </c>
      <c r="J105">
        <v>0</v>
      </c>
      <c r="K105">
        <v>0</v>
      </c>
      <c r="L105">
        <v>0</v>
      </c>
      <c r="M105">
        <v>0</v>
      </c>
      <c r="N105">
        <v>0</v>
      </c>
    </row>
    <row r="106" spans="1:14" x14ac:dyDescent="0.2">
      <c r="A106" t="s">
        <v>150</v>
      </c>
      <c r="B106" t="s">
        <v>152</v>
      </c>
      <c r="C106">
        <v>0.08</v>
      </c>
      <c r="D106">
        <v>0</v>
      </c>
      <c r="E106">
        <v>1</v>
      </c>
      <c r="F106">
        <v>8</v>
      </c>
      <c r="H106">
        <v>0</v>
      </c>
      <c r="I106">
        <v>0</v>
      </c>
      <c r="J106">
        <v>0</v>
      </c>
      <c r="K106">
        <v>0</v>
      </c>
      <c r="L106">
        <v>0</v>
      </c>
      <c r="M106">
        <v>0</v>
      </c>
      <c r="N106">
        <v>0</v>
      </c>
    </row>
    <row r="107" spans="1:14" x14ac:dyDescent="0.2">
      <c r="A107" t="s">
        <v>150</v>
      </c>
      <c r="B107" t="s">
        <v>149</v>
      </c>
      <c r="C107">
        <v>0.08</v>
      </c>
      <c r="D107">
        <v>0</v>
      </c>
      <c r="E107">
        <v>1</v>
      </c>
      <c r="F107">
        <v>8</v>
      </c>
      <c r="H107">
        <v>0</v>
      </c>
      <c r="I107">
        <v>0</v>
      </c>
      <c r="J107">
        <v>0</v>
      </c>
      <c r="K107">
        <v>0</v>
      </c>
      <c r="L107">
        <v>0</v>
      </c>
      <c r="M107">
        <v>0</v>
      </c>
      <c r="N107">
        <v>0</v>
      </c>
    </row>
    <row r="108" spans="1:14" x14ac:dyDescent="0.2">
      <c r="A108" t="s">
        <v>150</v>
      </c>
      <c r="B108" t="s">
        <v>153</v>
      </c>
      <c r="C108">
        <v>0.05</v>
      </c>
      <c r="D108">
        <v>0</v>
      </c>
      <c r="E108">
        <v>1</v>
      </c>
      <c r="F108">
        <v>0</v>
      </c>
      <c r="H108">
        <v>0</v>
      </c>
      <c r="I108">
        <v>0</v>
      </c>
      <c r="J108">
        <v>0</v>
      </c>
      <c r="K108">
        <v>0</v>
      </c>
      <c r="L108">
        <v>0</v>
      </c>
      <c r="M108">
        <v>0</v>
      </c>
      <c r="N108">
        <v>0</v>
      </c>
    </row>
    <row r="109" spans="1:14" x14ac:dyDescent="0.2">
      <c r="A109" t="s">
        <v>150</v>
      </c>
      <c r="B109" t="s">
        <v>154</v>
      </c>
      <c r="C109">
        <v>0.05</v>
      </c>
      <c r="D109">
        <v>0</v>
      </c>
      <c r="E109">
        <v>1</v>
      </c>
      <c r="F109">
        <v>0</v>
      </c>
      <c r="H109">
        <v>0</v>
      </c>
      <c r="I109">
        <v>0</v>
      </c>
      <c r="J109">
        <v>0</v>
      </c>
      <c r="K109">
        <v>0</v>
      </c>
      <c r="L109">
        <v>0</v>
      </c>
      <c r="M109">
        <v>0</v>
      </c>
      <c r="N109">
        <v>0</v>
      </c>
    </row>
    <row r="110" spans="1:14" x14ac:dyDescent="0.2">
      <c r="A110" t="s">
        <v>150</v>
      </c>
      <c r="B110" t="s">
        <v>155</v>
      </c>
      <c r="C110">
        <v>0.05</v>
      </c>
      <c r="D110">
        <v>0</v>
      </c>
      <c r="E110">
        <v>1</v>
      </c>
      <c r="F110">
        <v>0</v>
      </c>
      <c r="H110">
        <v>0</v>
      </c>
      <c r="I110">
        <v>0</v>
      </c>
      <c r="J110">
        <v>0</v>
      </c>
      <c r="K110">
        <v>0</v>
      </c>
      <c r="L110">
        <v>0</v>
      </c>
      <c r="M110">
        <v>0</v>
      </c>
      <c r="N110">
        <v>0</v>
      </c>
    </row>
    <row r="111" spans="1:14" x14ac:dyDescent="0.2">
      <c r="A111" t="s">
        <v>150</v>
      </c>
      <c r="B111" t="s">
        <v>156</v>
      </c>
      <c r="C111">
        <v>0.05</v>
      </c>
      <c r="D111">
        <v>0</v>
      </c>
      <c r="E111">
        <v>1</v>
      </c>
      <c r="F111">
        <v>0</v>
      </c>
      <c r="H111">
        <v>0</v>
      </c>
      <c r="I111">
        <v>0</v>
      </c>
      <c r="J111">
        <v>0</v>
      </c>
      <c r="K111">
        <v>0</v>
      </c>
      <c r="L111">
        <v>0</v>
      </c>
      <c r="M111">
        <v>0</v>
      </c>
      <c r="N111">
        <v>0</v>
      </c>
    </row>
    <row r="112" spans="1:14" x14ac:dyDescent="0.2">
      <c r="A112" t="s">
        <v>157</v>
      </c>
      <c r="B112" t="s">
        <v>158</v>
      </c>
      <c r="C112">
        <v>1.1299999999999999</v>
      </c>
      <c r="D112">
        <v>1</v>
      </c>
      <c r="E112">
        <v>2</v>
      </c>
      <c r="F112">
        <v>8</v>
      </c>
      <c r="H112">
        <v>0</v>
      </c>
      <c r="I112">
        <v>0</v>
      </c>
      <c r="J112">
        <v>0</v>
      </c>
      <c r="K112">
        <v>0</v>
      </c>
      <c r="L112">
        <v>0</v>
      </c>
      <c r="M112">
        <v>0</v>
      </c>
      <c r="N112">
        <v>0</v>
      </c>
    </row>
    <row r="113" spans="1:14" x14ac:dyDescent="0.2">
      <c r="A113" t="s">
        <v>157</v>
      </c>
      <c r="B113" t="s">
        <v>159</v>
      </c>
      <c r="C113">
        <v>1</v>
      </c>
      <c r="D113">
        <v>1</v>
      </c>
      <c r="E113">
        <v>0</v>
      </c>
      <c r="F113">
        <v>0</v>
      </c>
      <c r="H113">
        <v>0</v>
      </c>
      <c r="I113">
        <v>0</v>
      </c>
      <c r="J113">
        <v>0</v>
      </c>
      <c r="K113">
        <v>0</v>
      </c>
      <c r="L113">
        <v>0</v>
      </c>
      <c r="M113">
        <v>0</v>
      </c>
      <c r="N113">
        <v>0</v>
      </c>
    </row>
    <row r="114" spans="1:14" x14ac:dyDescent="0.2">
      <c r="A114" t="s">
        <v>160</v>
      </c>
      <c r="B114" t="s">
        <v>161</v>
      </c>
      <c r="C114">
        <v>10</v>
      </c>
      <c r="D114">
        <v>10</v>
      </c>
      <c r="E114">
        <v>0</v>
      </c>
      <c r="F114">
        <v>0</v>
      </c>
      <c r="H114">
        <v>0</v>
      </c>
      <c r="I114">
        <v>0</v>
      </c>
      <c r="J114">
        <v>0</v>
      </c>
      <c r="K114">
        <v>0</v>
      </c>
      <c r="L114">
        <v>0</v>
      </c>
      <c r="M114">
        <v>0</v>
      </c>
      <c r="N114">
        <v>0</v>
      </c>
    </row>
    <row r="115" spans="1:14" x14ac:dyDescent="0.2">
      <c r="A115" t="s">
        <v>160</v>
      </c>
      <c r="B115" t="s">
        <v>162</v>
      </c>
      <c r="C115">
        <v>0.17</v>
      </c>
      <c r="D115">
        <v>0</v>
      </c>
      <c r="E115">
        <v>3</v>
      </c>
      <c r="F115">
        <v>4</v>
      </c>
      <c r="H115">
        <v>0</v>
      </c>
      <c r="I115">
        <v>0</v>
      </c>
      <c r="J115">
        <v>0</v>
      </c>
      <c r="K115">
        <v>0</v>
      </c>
      <c r="L115">
        <v>0</v>
      </c>
      <c r="M115">
        <v>0</v>
      </c>
      <c r="N115">
        <v>0</v>
      </c>
    </row>
    <row r="116" spans="1:14" x14ac:dyDescent="0.2">
      <c r="A116" t="s">
        <v>160</v>
      </c>
      <c r="B116" t="s">
        <v>163</v>
      </c>
      <c r="C116">
        <v>0.03</v>
      </c>
      <c r="D116">
        <v>0</v>
      </c>
      <c r="E116">
        <v>0</v>
      </c>
      <c r="F116">
        <v>6</v>
      </c>
      <c r="H116">
        <v>0</v>
      </c>
      <c r="I116">
        <v>0</v>
      </c>
      <c r="J116">
        <v>0</v>
      </c>
      <c r="K116">
        <v>0</v>
      </c>
      <c r="L116">
        <v>0</v>
      </c>
      <c r="M116">
        <v>0</v>
      </c>
      <c r="N116">
        <v>0</v>
      </c>
    </row>
    <row r="117" spans="1:14" x14ac:dyDescent="0.2">
      <c r="A117" t="s">
        <v>160</v>
      </c>
      <c r="B117" t="s">
        <v>164</v>
      </c>
      <c r="C117">
        <v>10.19</v>
      </c>
      <c r="D117">
        <v>10</v>
      </c>
      <c r="E117">
        <v>3</v>
      </c>
      <c r="F117">
        <v>10</v>
      </c>
      <c r="H117">
        <v>0</v>
      </c>
      <c r="I117">
        <v>0</v>
      </c>
      <c r="J117">
        <v>0</v>
      </c>
      <c r="K117">
        <v>0</v>
      </c>
      <c r="L117">
        <v>0</v>
      </c>
      <c r="M117">
        <v>0</v>
      </c>
      <c r="N117">
        <v>0</v>
      </c>
    </row>
    <row r="118" spans="1:14" x14ac:dyDescent="0.2">
      <c r="A118" t="s">
        <v>165</v>
      </c>
      <c r="B118" t="s">
        <v>166</v>
      </c>
      <c r="C118">
        <v>25.6</v>
      </c>
      <c r="D118">
        <v>25</v>
      </c>
      <c r="E118">
        <v>12</v>
      </c>
      <c r="F118">
        <v>0</v>
      </c>
      <c r="H118">
        <v>0</v>
      </c>
      <c r="I118">
        <v>0</v>
      </c>
      <c r="J118">
        <v>0</v>
      </c>
      <c r="K118">
        <v>0</v>
      </c>
      <c r="L118">
        <v>0</v>
      </c>
      <c r="M118">
        <v>0</v>
      </c>
      <c r="N118">
        <v>0</v>
      </c>
    </row>
    <row r="119" spans="1:14" x14ac:dyDescent="0.2">
      <c r="A119" t="s">
        <v>167</v>
      </c>
      <c r="B119" t="s">
        <v>168</v>
      </c>
      <c r="C119">
        <v>3.5</v>
      </c>
      <c r="D119">
        <v>3</v>
      </c>
      <c r="E119">
        <v>10</v>
      </c>
      <c r="F119">
        <v>0</v>
      </c>
      <c r="H119">
        <v>0</v>
      </c>
      <c r="I119">
        <v>0</v>
      </c>
      <c r="J119">
        <v>0</v>
      </c>
      <c r="K119">
        <v>0</v>
      </c>
      <c r="L119">
        <v>0</v>
      </c>
      <c r="M119">
        <v>0</v>
      </c>
      <c r="N119">
        <v>0</v>
      </c>
    </row>
    <row r="120" spans="1:14" x14ac:dyDescent="0.2">
      <c r="A120" t="s">
        <v>167</v>
      </c>
      <c r="B120" t="s">
        <v>169</v>
      </c>
      <c r="C120">
        <v>0.5</v>
      </c>
      <c r="D120">
        <v>0</v>
      </c>
      <c r="E120">
        <v>10</v>
      </c>
      <c r="F120">
        <v>0</v>
      </c>
      <c r="H120">
        <v>0</v>
      </c>
      <c r="I120">
        <v>0</v>
      </c>
      <c r="J120">
        <v>0</v>
      </c>
      <c r="K120">
        <v>0</v>
      </c>
      <c r="L120">
        <v>0</v>
      </c>
      <c r="M120">
        <v>0</v>
      </c>
      <c r="N120">
        <v>0</v>
      </c>
    </row>
    <row r="121" spans="1:14" x14ac:dyDescent="0.2">
      <c r="A121" t="s">
        <v>167</v>
      </c>
      <c r="B121" t="s">
        <v>170</v>
      </c>
      <c r="C121">
        <v>0.03</v>
      </c>
      <c r="D121">
        <v>0</v>
      </c>
      <c r="E121">
        <v>0</v>
      </c>
      <c r="F121">
        <v>6</v>
      </c>
      <c r="H121">
        <v>0</v>
      </c>
      <c r="I121">
        <v>0</v>
      </c>
      <c r="J121">
        <v>0</v>
      </c>
      <c r="K121">
        <v>0</v>
      </c>
      <c r="L121">
        <v>0</v>
      </c>
      <c r="M121">
        <v>0</v>
      </c>
      <c r="N121">
        <v>0</v>
      </c>
    </row>
    <row r="122" spans="1:14" x14ac:dyDescent="0.2">
      <c r="A122" t="s">
        <v>167</v>
      </c>
      <c r="B122" t="s">
        <v>171</v>
      </c>
      <c r="C122">
        <v>0.05</v>
      </c>
      <c r="D122">
        <v>0</v>
      </c>
      <c r="E122">
        <v>1</v>
      </c>
      <c r="F122">
        <v>0</v>
      </c>
      <c r="H122">
        <v>0</v>
      </c>
      <c r="I122">
        <v>0</v>
      </c>
      <c r="J122">
        <v>0</v>
      </c>
      <c r="K122">
        <v>0</v>
      </c>
      <c r="L122">
        <v>0</v>
      </c>
      <c r="M122">
        <v>0</v>
      </c>
      <c r="N122">
        <v>0</v>
      </c>
    </row>
    <row r="123" spans="1:14" x14ac:dyDescent="0.2">
      <c r="A123" t="s">
        <v>167</v>
      </c>
      <c r="B123" t="s">
        <v>172</v>
      </c>
      <c r="C123">
        <v>0.03</v>
      </c>
      <c r="D123">
        <v>0</v>
      </c>
      <c r="E123">
        <v>0</v>
      </c>
      <c r="F123">
        <v>6</v>
      </c>
      <c r="H123">
        <v>0</v>
      </c>
      <c r="I123">
        <v>0</v>
      </c>
      <c r="J123">
        <v>0</v>
      </c>
      <c r="K123">
        <v>0</v>
      </c>
      <c r="L123">
        <v>0</v>
      </c>
      <c r="M123">
        <v>0</v>
      </c>
      <c r="N123">
        <v>0</v>
      </c>
    </row>
    <row r="124" spans="1:14" x14ac:dyDescent="0.2">
      <c r="A124" t="s">
        <v>167</v>
      </c>
      <c r="B124" t="s">
        <v>173</v>
      </c>
      <c r="C124">
        <v>0.1</v>
      </c>
      <c r="D124">
        <v>0</v>
      </c>
      <c r="E124">
        <v>2</v>
      </c>
      <c r="F124">
        <v>0</v>
      </c>
      <c r="H124">
        <v>0</v>
      </c>
      <c r="I124">
        <v>0</v>
      </c>
      <c r="J124">
        <v>0</v>
      </c>
      <c r="K124">
        <v>0</v>
      </c>
      <c r="L124">
        <v>0</v>
      </c>
      <c r="M124">
        <v>0</v>
      </c>
      <c r="N124">
        <v>0</v>
      </c>
    </row>
    <row r="125" spans="1:14" x14ac:dyDescent="0.2">
      <c r="A125" t="s">
        <v>174</v>
      </c>
      <c r="B125" t="s">
        <v>175</v>
      </c>
      <c r="C125">
        <v>3.74</v>
      </c>
      <c r="D125">
        <v>3</v>
      </c>
      <c r="E125">
        <v>14</v>
      </c>
      <c r="F125">
        <v>10</v>
      </c>
      <c r="H125">
        <v>0</v>
      </c>
      <c r="I125">
        <v>0</v>
      </c>
      <c r="J125">
        <v>0</v>
      </c>
      <c r="K125">
        <v>0</v>
      </c>
      <c r="L125">
        <v>0</v>
      </c>
      <c r="M125">
        <v>0</v>
      </c>
      <c r="N125">
        <v>0</v>
      </c>
    </row>
    <row r="126" spans="1:14" x14ac:dyDescent="0.2">
      <c r="A126" t="s">
        <v>174</v>
      </c>
      <c r="B126" t="s">
        <v>176</v>
      </c>
      <c r="C126">
        <v>27</v>
      </c>
      <c r="D126">
        <v>27</v>
      </c>
      <c r="E126">
        <v>0</v>
      </c>
      <c r="F126">
        <v>0</v>
      </c>
      <c r="H126">
        <v>0</v>
      </c>
      <c r="I126">
        <v>0</v>
      </c>
      <c r="J126">
        <v>0</v>
      </c>
      <c r="K126">
        <v>0</v>
      </c>
      <c r="L126">
        <v>0</v>
      </c>
      <c r="M126">
        <v>0</v>
      </c>
      <c r="N126">
        <v>0</v>
      </c>
    </row>
    <row r="127" spans="1:14" x14ac:dyDescent="0.2">
      <c r="A127" t="s">
        <v>174</v>
      </c>
      <c r="B127" t="s">
        <v>177</v>
      </c>
      <c r="C127">
        <v>0</v>
      </c>
      <c r="D127">
        <v>0</v>
      </c>
      <c r="E127">
        <v>0</v>
      </c>
      <c r="F127">
        <v>0</v>
      </c>
      <c r="H127">
        <v>0</v>
      </c>
      <c r="I127">
        <v>0</v>
      </c>
      <c r="J127">
        <v>0</v>
      </c>
      <c r="K127">
        <v>0</v>
      </c>
      <c r="L127">
        <v>0</v>
      </c>
      <c r="M127">
        <v>0</v>
      </c>
      <c r="N12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Receipts</vt:lpstr>
      <vt:lpstr>Expenses</vt:lpstr>
      <vt:lpstr>Issues of the Grange</vt:lpstr>
      <vt:lpstr>Issues of the Mills</vt:lpstr>
      <vt:lpstr>Stock</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2024-04-19T11:10:14Z</dcterms:created>
  <dcterms:modified xsi:type="dcterms:W3CDTF">2025-07-22T10:12:40Z</dcterms:modified>
</cp:coreProperties>
</file>